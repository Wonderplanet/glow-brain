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チェック対象管理" sheetId="1" state="visible" r:id="rId1"/>
    <sheet name="MstAutoPlayerSequence" sheetId="2" state="visible" r:id="rId2"/>
    <sheet name="master_config" sheetId="3" state="visible" r:id="rId3"/>
    <sheet name="マッピング設定シート_new" sheetId="4" state="visible" r:id="rId4"/>
    <sheet name="ステージ概要" sheetId="5" state="visible" r:id="rId5"/>
    <sheet name="早見表" sheetId="6" state="visible" r:id="rId6"/>
    <sheet name="ステージ設計▶︎" sheetId="7" state="visible" r:id="rId7"/>
    <sheet name="1話" sheetId="8" state="visible" r:id="rId8"/>
    <sheet name="敗北tips" sheetId="9" state="visible" r:id="rId9"/>
    <sheet name="報酬管理" sheetId="10" state="visible" r:id="rId10"/>
    <sheet name="参照用▶︎" sheetId="11" state="visible" r:id="rId11"/>
    <sheet name="スタミナ表" sheetId="12" state="visible" r:id="rId12"/>
    <sheet name="行パターン" sheetId="13" state="visible" r:id="rId13"/>
    <sheet name="コマ効果" sheetId="14" state="visible" r:id="rId14"/>
    <sheet name="エネミー出現" sheetId="15" state="visible" r:id="rId15"/>
    <sheet name="変身設定について" sheetId="16" state="visible" r:id="rId16"/>
    <sheet name="ファントムマスター" sheetId="17" state="visible" r:id="rId17"/>
    <sheet name="アイテムID_管理" sheetId="18" state="visible" r:id="rId18"/>
    <sheet name="クエストID_管理" sheetId="19" state="visible" r:id="rId19"/>
    <sheet name="キャラID_管理" sheetId="20" state="visible" r:id="rId20"/>
    <sheet name="BGM_管理" sheetId="21" state="visible" r:id="rId21"/>
  </sheets>
  <definedNames/>
  <calcPr calcId="124519" fullCalcOnLoad="1"/>
</workbook>
</file>

<file path=xl/styles.xml><?xml version="1.0" encoding="utf-8"?>
<styleSheet xmlns="http://schemas.openxmlformats.org/spreadsheetml/2006/main">
  <numFmts count="7">
    <numFmt numFmtId="164" formatCode="yyyy/mm/dd"/>
    <numFmt numFmtId="165" formatCode="H:mm:ss"/>
    <numFmt numFmtId="166" formatCode="&quot;¥&quot;#,##0.000"/>
    <numFmt numFmtId="167" formatCode="&quot;¥&quot;#,##0.00"/>
    <numFmt numFmtId="168" formatCode="yyyy-mm-dd h:mm:ss"/>
    <numFmt numFmtId="169" formatCode="yyyy/MM/dd"/>
    <numFmt numFmtId="170" formatCode="yyyy/mm/dd h:mm:ss"/>
  </numFmts>
  <fonts count="32">
    <font>
      <name val="Arial"/>
      <color rgb="FF000000"/>
      <sz val="10"/>
      <scheme val="minor"/>
    </font>
    <font>
      <name val="Arial"/>
      <color theme="1"/>
      <scheme val="minor"/>
    </font>
    <font>
      <color rgb="FF0000FF"/>
      <u val="single"/>
    </font>
    <font>
      <name val="Arial"/>
      <color theme="1"/>
      <sz val="8"/>
    </font>
    <font>
      <name val="Arial"/>
      <color theme="1"/>
    </font>
    <font>
      <name val="Arial"/>
      <color rgb="FFFFFFFF"/>
    </font>
    <font/>
    <font>
      <name val="Arial"/>
      <color theme="1"/>
      <sz val="7"/>
      <scheme val="minor"/>
    </font>
    <font>
      <name val="Arial"/>
      <b val="1"/>
      <color rgb="FFFFFFFF"/>
      <sz val="6"/>
    </font>
    <font>
      <name val="Arial"/>
      <color theme="1"/>
      <sz val="7"/>
    </font>
    <font>
      <name val="Arial"/>
      <color theme="1"/>
      <u val="single"/>
      <scheme val="minor"/>
    </font>
    <font>
      <name val="Arial"/>
      <b val="1"/>
      <color theme="1"/>
      <sz val="8"/>
    </font>
    <font>
      <name val="Arial"/>
      <color theme="1"/>
      <sz val="8"/>
      <scheme val="minor"/>
    </font>
    <font>
      <name val="Arial"/>
      <color rgb="FFFFFFFF"/>
      <sz val="8"/>
      <scheme val="minor"/>
    </font>
    <font>
      <name val="Arial"/>
      <b val="1"/>
      <color rgb="FFFFFFFF"/>
      <sz val="10"/>
      <scheme val="minor"/>
    </font>
    <font>
      <name val="Arial"/>
      <color rgb="FFFFFFFF"/>
      <scheme val="minor"/>
    </font>
    <font>
      <name val="Arial"/>
      <color rgb="FFFFFFFF"/>
      <sz val="8"/>
    </font>
    <font>
      <name val="Arial"/>
      <b val="1"/>
      <color theme="1"/>
      <sz val="10"/>
      <scheme val="minor"/>
    </font>
    <font>
      <name val="Arial"/>
      <color theme="1"/>
      <sz val="6"/>
      <scheme val="minor"/>
    </font>
    <font>
      <name val="Arial"/>
      <color rgb="FFFFFFFF"/>
      <sz val="6"/>
    </font>
    <font>
      <name val="Arial"/>
      <color rgb="FF0000FF"/>
      <sz val="6"/>
      <u val="single"/>
    </font>
    <font>
      <name val="Arial"/>
      <color theme="1"/>
      <sz val="6"/>
    </font>
    <font>
      <name val="Arial"/>
      <color rgb="FFFFFFFF"/>
      <sz val="7"/>
    </font>
    <font>
      <name val="Arial"/>
      <color rgb="FF000000"/>
      <sz val="7"/>
    </font>
    <font>
      <name val="Arial"/>
      <color rgb="FF0000FF"/>
      <sz val="7"/>
      <u val="single"/>
    </font>
    <font>
      <name val="Arial"/>
      <color rgb="FF1155CC"/>
      <u val="single"/>
    </font>
    <font>
      <name val="Arial"/>
      <color rgb="FFFF0000"/>
      <sz val="8"/>
    </font>
    <font>
      <name val="Arial"/>
      <color rgb="FF0000FF"/>
      <u val="single"/>
    </font>
    <font>
      <name val="Arial"/>
      <b val="1"/>
      <color rgb="FFFF0000"/>
      <sz val="8"/>
    </font>
    <font>
      <name val="Arial"/>
      <b val="1"/>
      <color rgb="FF0000FF"/>
      <sz val="8"/>
      <u val="single"/>
    </font>
    <font>
      <name val="Arial"/>
      <color rgb="FF0000FF"/>
      <u val="single"/>
    </font>
    <font>
      <name val="Arial"/>
      <color rgb="FF0000FF"/>
      <sz val="8"/>
      <u val="single"/>
    </font>
  </fonts>
  <fills count="20">
    <fill>
      <patternFill/>
    </fill>
    <fill>
      <patternFill patternType="lightGray"/>
    </fill>
    <fill>
      <patternFill patternType="solid">
        <fgColor rgb="FF6AA84F"/>
        <bgColor rgb="FF6AA84F"/>
      </patternFill>
    </fill>
    <fill>
      <patternFill patternType="solid">
        <fgColor rgb="FFD9D9D9"/>
        <bgColor rgb="FFD9D9D9"/>
      </patternFill>
    </fill>
    <fill>
      <patternFill patternType="solid">
        <fgColor rgb="FFFFFFFF"/>
        <bgColor rgb="FFFFFFFF"/>
      </patternFill>
    </fill>
    <fill>
      <patternFill patternType="solid">
        <fgColor rgb="FFD9EAD3"/>
        <bgColor rgb="FFD9EAD3"/>
      </patternFill>
    </fill>
    <fill>
      <patternFill patternType="solid">
        <fgColor rgb="FFCCCCCC"/>
        <bgColor rgb="FFCCCCCC"/>
      </patternFill>
    </fill>
    <fill>
      <patternFill patternType="solid">
        <fgColor rgb="FF434343"/>
        <bgColor rgb="FF434343"/>
      </patternFill>
    </fill>
    <fill>
      <patternFill patternType="solid">
        <fgColor rgb="FFD9D2E9"/>
        <bgColor rgb="FFD9D2E9"/>
      </patternFill>
    </fill>
    <fill>
      <patternFill patternType="solid">
        <fgColor rgb="FFF4CCCC"/>
        <bgColor rgb="FFF4CCCC"/>
      </patternFill>
    </fill>
    <fill>
      <patternFill patternType="solid">
        <fgColor rgb="FFC9DAF8"/>
        <bgColor rgb="FFC9DAF8"/>
      </patternFill>
    </fill>
    <fill>
      <patternFill patternType="solid">
        <fgColor rgb="FFFFF2CC"/>
        <bgColor rgb="FFFFF2CC"/>
      </patternFill>
    </fill>
    <fill>
      <patternFill patternType="solid">
        <fgColor rgb="FFD5A6BD"/>
        <bgColor rgb="FFD5A6BD"/>
      </patternFill>
    </fill>
    <fill>
      <patternFill patternType="solid">
        <fgColor rgb="FFFCE5CD"/>
        <bgColor rgb="FFFCE5CD"/>
      </patternFill>
    </fill>
    <fill>
      <patternFill patternType="solid">
        <fgColor rgb="FFFFD966"/>
        <bgColor rgb="FFFFD966"/>
      </patternFill>
    </fill>
    <fill>
      <patternFill patternType="solid">
        <fgColor rgb="FFCFE2F3"/>
        <bgColor rgb="FFCFE2F3"/>
      </patternFill>
    </fill>
    <fill>
      <patternFill patternType="solid">
        <fgColor rgb="FFEFEFEF"/>
        <bgColor rgb="FFEFEFEF"/>
      </patternFill>
    </fill>
    <fill>
      <patternFill patternType="solid">
        <fgColor rgb="FFB7B7B7"/>
        <bgColor rgb="FFB7B7B7"/>
      </patternFill>
    </fill>
    <fill>
      <patternFill patternType="solid">
        <fgColor rgb="FFFFFF00"/>
        <bgColor rgb="FFFFFF00"/>
      </patternFill>
    </fill>
    <fill>
      <patternFill patternType="solid">
        <fgColor rgb="FF999999"/>
        <bgColor rgb="FF999999"/>
      </patternFill>
    </fill>
  </fills>
  <borders count="59">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left style="medium">
        <color rgb="FF000000"/>
      </left>
      <right style="medium">
        <color rgb="FF000000"/>
      </right>
      <top style="medium">
        <color rgb="FF000000"/>
      </top>
    </border>
    <border>
      <left style="medium">
        <color rgb="FF000000"/>
      </left>
      <top style="medium">
        <color rgb="FF000000"/>
      </top>
      <bottom style="medium">
        <color rgb="FF000000"/>
      </bottom>
    </border>
    <border>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border>
    <border>
      <left style="medium">
        <color rgb="FF000000"/>
      </left>
    </border>
    <border>
      <left style="medium">
        <color rgb="FF000000"/>
      </left>
      <right style="medium">
        <color rgb="FF000000"/>
      </right>
      <bottom style="thin">
        <color rgb="FF000000"/>
      </bottom>
    </border>
    <border>
      <left style="medium">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right style="medium">
        <color rgb="FF000000"/>
      </right>
      <bottom style="thin">
        <color rgb="FF000000"/>
      </bottom>
    </border>
    <border>
      <left style="medium">
        <color rgb="FF000000"/>
      </left>
      <right style="medium">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medium">
        <color rgb="FF000000"/>
      </left>
      <top style="thin">
        <color rgb="FF000000"/>
      </top>
      <bottom style="thin">
        <color rgb="FF000000"/>
      </bottom>
    </border>
    <border>
      <left style="medium">
        <color rgb="FF000000"/>
      </left>
      <right style="medium">
        <color rgb="FF000000"/>
      </right>
      <top style="thin">
        <color rgb="FF000000"/>
      </top>
      <bottom style="medium">
        <color rgb="FF000000"/>
      </bottom>
    </border>
    <border>
      <top style="thin">
        <color rgb="FF000000"/>
      </top>
      <bottom style="medium">
        <color rgb="FF000000"/>
      </bottom>
    </border>
    <border>
      <right style="medium">
        <color rgb="FF000000"/>
      </right>
      <top style="thin">
        <color rgb="FF000000"/>
      </top>
      <bottom style="medium">
        <color rgb="FF000000"/>
      </bottom>
    </border>
    <border>
      <left style="medium">
        <color rgb="FF000000"/>
      </left>
      <right style="thin">
        <color rgb="FF000000"/>
      </right>
      <top style="thin">
        <color rgb="FF000000"/>
      </top>
      <bottom style="medium">
        <color rgb="FF000000"/>
      </bottom>
    </border>
    <border>
      <left style="medium">
        <color rgb="FF000000"/>
      </left>
      <top style="thin">
        <color rgb="FF000000"/>
      </top>
      <bottom style="medium">
        <color rgb="FF000000"/>
      </bottom>
    </border>
    <border>
      <left style="medium">
        <color rgb="FF000000"/>
      </left>
      <right style="thin">
        <color rgb="FF000000"/>
      </right>
      <bottom style="thin">
        <color rgb="FF000000"/>
      </bottom>
    </border>
    <border>
      <left style="medium">
        <color rgb="FF000000"/>
      </left>
      <right style="thin">
        <color rgb="FF000000"/>
      </right>
      <bottom style="medium">
        <color rgb="FF000000"/>
      </bottom>
    </border>
    <border>
      <left style="medium">
        <color rgb="FF000000"/>
      </left>
      <right style="medium">
        <color rgb="FF000000"/>
      </right>
      <bottom style="medium">
        <color rgb="FF000000"/>
      </bottom>
    </border>
    <border>
      <left style="medium">
        <color rgb="FF000000"/>
      </left>
      <bottom style="medium">
        <color rgb="FF000000"/>
      </bottom>
    </border>
    <border>
      <bottom style="medium">
        <color rgb="FF000000"/>
      </bottom>
    </border>
    <border>
      <right style="thin">
        <color rgb="FF000000"/>
      </right>
      <bottom style="medium">
        <color rgb="FF000000"/>
      </bottom>
    </border>
    <border>
      <right style="medium">
        <color rgb="FF000000"/>
      </right>
      <bottom style="medium">
        <color rgb="FF000000"/>
      </bottom>
    </border>
    <border>
      <left style="medium">
        <color rgb="FF000000"/>
      </left>
      <right style="medium">
        <color rgb="FF000000"/>
      </right>
      <top style="thin">
        <color rgb="FF000000"/>
      </top>
    </border>
    <border>
      <left style="medium">
        <color rgb="FF000000"/>
      </left>
      <right style="thin">
        <color rgb="FF000000"/>
      </right>
      <top style="thin">
        <color rgb="FF000000"/>
      </top>
    </border>
    <border>
      <right style="medium">
        <color rgb="FF000000"/>
      </right>
      <top style="thin">
        <color rgb="FF000000"/>
      </top>
    </border>
    <border>
      <left style="thin">
        <color rgb="FF000000"/>
      </left>
    </border>
    <border>
      <right style="thin">
        <color rgb="FF000000"/>
      </right>
    </border>
    <border>
      <bottom style="thin">
        <color rgb="FF000000"/>
      </bottom>
    </border>
    <border>
      <right style="medium">
        <color rgb="FF000000"/>
      </right>
      <top style="medium">
        <color rgb="FF000000"/>
      </top>
      <bottom style="medium">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n">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right style="medium">
        <color rgb="FF000000"/>
      </right>
      <top style="thin">
        <color rgb="FF000000"/>
      </top>
      <bottom style="thin">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rder>
    <border>
      <left style="dotted">
        <color rgb="FF000000"/>
      </left>
      <right style="thin">
        <color rgb="FF000000"/>
      </right>
      <top style="thin">
        <color rgb="FF000000"/>
      </top>
      <bottom style="thin">
        <color rgb="FF000000"/>
      </bottom>
    </border>
    <border>
      <left style="thin">
        <color rgb="FF000000"/>
      </left>
      <right style="dotted">
        <color rgb="FF000000"/>
      </right>
      <top style="thin">
        <color rgb="FF000000"/>
      </top>
      <bottom style="thin">
        <color rgb="FF000000"/>
      </bottom>
    </border>
    <border>
      <right style="dotted">
        <color rgb="FF000000"/>
      </right>
      <top style="thin">
        <color rgb="FF000000"/>
      </top>
    </border>
    <border>
      <left style="dotted">
        <color rgb="FF000000"/>
      </left>
      <right style="dotted">
        <color rgb="FF000000"/>
      </right>
      <top style="thin">
        <color rgb="FF000000"/>
      </top>
      <bottom style="thin">
        <color rgb="FF000000"/>
      </bottom>
    </border>
    <border>
      <top style="medium">
        <color rgb="FF000000"/>
      </top>
    </border>
    <border>
      <right style="medium">
        <color rgb="FF000000"/>
      </right>
      <top style="medium">
        <color rgb="FF000000"/>
      </top>
    </border>
  </borders>
  <cellStyleXfs count="1">
    <xf numFmtId="0" fontId="0" fillId="0" borderId="0"/>
  </cellStyleXfs>
  <cellXfs count="567">
    <xf numFmtId="0" fontId="0" fillId="0" borderId="0" applyAlignment="1" pivotButton="0" quotePrefix="0" xfId="0">
      <alignment vertical="bottom"/>
    </xf>
    <xf numFmtId="0" fontId="1" fillId="0" borderId="1" pivotButton="0" quotePrefix="0" xfId="0"/>
    <xf numFmtId="0" fontId="1" fillId="0" borderId="2" pivotButton="0" quotePrefix="0" xfId="0"/>
    <xf numFmtId="0" fontId="1" fillId="0" borderId="3" pivotButton="0" quotePrefix="0" xfId="0"/>
    <xf numFmtId="0" fontId="2" fillId="0" borderId="1" applyAlignment="1" pivotButton="0" quotePrefix="0" xfId="0">
      <alignment/>
    </xf>
    <xf numFmtId="14" fontId="1" fillId="0" borderId="3" pivotButton="0" quotePrefix="0" xfId="0"/>
    <xf numFmtId="0" fontId="1" fillId="0" borderId="1" applyAlignment="1" pivotButton="0" quotePrefix="0" xfId="0">
      <alignment/>
    </xf>
    <xf numFmtId="14" fontId="1" fillId="0" borderId="1" pivotButton="0" quotePrefix="0" xfId="0"/>
    <xf numFmtId="0" fontId="1" fillId="0" borderId="0" pivotButton="0" quotePrefix="0" xfId="0"/>
    <xf numFmtId="0" fontId="1" fillId="0" borderId="0" pivotButton="0" quotePrefix="0" xfId="0"/>
    <xf numFmtId="0" fontId="3" fillId="0" borderId="1" applyAlignment="1" pivotButton="0" quotePrefix="0" xfId="0">
      <alignment vertical="bottom"/>
    </xf>
    <xf numFmtId="0" fontId="3" fillId="0" borderId="0" applyAlignment="1" pivotButton="0" quotePrefix="0" xfId="0">
      <alignment vertical="bottom"/>
    </xf>
    <xf numFmtId="0" fontId="4" fillId="0" borderId="1"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vertical="bottom"/>
    </xf>
    <xf numFmtId="0" fontId="3" fillId="0" borderId="1" applyAlignment="1" pivotButton="0" quotePrefix="0" xfId="0">
      <alignment horizontal="center" vertical="bottom"/>
    </xf>
    <xf numFmtId="0" fontId="4" fillId="0" borderId="0" applyAlignment="1" pivotButton="0" quotePrefix="0" xfId="0">
      <alignment vertical="bottom"/>
    </xf>
    <xf numFmtId="0" fontId="4" fillId="0" borderId="1" applyAlignment="1" pivotButton="0" quotePrefix="0" xfId="0">
      <alignment vertical="bottom"/>
    </xf>
    <xf numFmtId="0" fontId="4" fillId="0" borderId="0" applyAlignment="1" pivotButton="0" quotePrefix="0" xfId="0">
      <alignment vertical="bottom"/>
    </xf>
    <xf numFmtId="0" fontId="5" fillId="2" borderId="2" applyAlignment="1" pivotButton="0" quotePrefix="0" xfId="0">
      <alignment vertical="bottom"/>
    </xf>
    <xf numFmtId="0" fontId="6" fillId="0" borderId="4" pivotButton="0" quotePrefix="0" xfId="0"/>
    <xf numFmtId="0" fontId="6" fillId="0" borderId="3" pivotButton="0" quotePrefix="0" xfId="0"/>
    <xf numFmtId="0" fontId="5" fillId="2" borderId="5" applyAlignment="1" pivotButton="0" quotePrefix="0" xfId="0">
      <alignment vertical="bottom"/>
    </xf>
    <xf numFmtId="0" fontId="6" fillId="0" borderId="6" pivotButton="0" quotePrefix="0" xfId="0"/>
    <xf numFmtId="0" fontId="6" fillId="0" borderId="7" pivotButton="0" quotePrefix="0" xfId="0"/>
    <xf numFmtId="0" fontId="4" fillId="3" borderId="2" applyAlignment="1" pivotButton="0" quotePrefix="0" xfId="0">
      <alignment vertical="bottom"/>
    </xf>
    <xf numFmtId="164" fontId="4" fillId="4" borderId="2" pivotButton="0" quotePrefix="0" xfId="0"/>
    <xf numFmtId="0" fontId="4" fillId="4" borderId="2" pivotButton="0" quotePrefix="0" xfId="0"/>
    <xf numFmtId="0" fontId="4" fillId="3" borderId="2" applyAlignment="1" pivotButton="0" quotePrefix="0" xfId="0">
      <alignment vertical="bottom"/>
    </xf>
    <xf numFmtId="0" fontId="4" fillId="3" borderId="4" applyAlignment="1" pivotButton="0" quotePrefix="0" xfId="0">
      <alignment vertical="bottom"/>
    </xf>
    <xf numFmtId="0" fontId="4" fillId="3" borderId="3" applyAlignment="1" pivotButton="0" quotePrefix="0" xfId="0">
      <alignment vertical="bottom"/>
    </xf>
    <xf numFmtId="0" fontId="4" fillId="3" borderId="2" applyAlignment="1" pivotButton="0" quotePrefix="0" xfId="0">
      <alignment horizontal="right" vertical="bottom"/>
    </xf>
    <xf numFmtId="0" fontId="4" fillId="5" borderId="2" applyAlignment="1" pivotButton="0" quotePrefix="0" xfId="0">
      <alignment vertical="center"/>
    </xf>
    <xf numFmtId="0" fontId="3" fillId="6" borderId="2" applyAlignment="1" pivotButton="0" quotePrefix="0" xfId="0">
      <alignment vertical="bottom"/>
    </xf>
    <xf numFmtId="0" fontId="3" fillId="4" borderId="2" pivotButton="0" quotePrefix="0" xfId="0"/>
    <xf numFmtId="0" fontId="4" fillId="5" borderId="2" pivotButton="0" quotePrefix="0" xfId="0"/>
    <xf numFmtId="0" fontId="4" fillId="5" borderId="8" applyAlignment="1" pivotButton="0" quotePrefix="0" xfId="0">
      <alignment horizontal="center"/>
    </xf>
    <xf numFmtId="0" fontId="6" fillId="0" borderId="9" pivotButton="0" quotePrefix="0" xfId="0"/>
    <xf numFmtId="164" fontId="4" fillId="4" borderId="2" applyAlignment="1" pivotButton="0" quotePrefix="0" xfId="0">
      <alignment horizontal="center"/>
    </xf>
    <xf numFmtId="0" fontId="6" fillId="0" borderId="10" pivotButton="0" quotePrefix="0" xfId="0"/>
    <xf numFmtId="21" fontId="4" fillId="4" borderId="11" applyAlignment="1" pivotButton="0" quotePrefix="0" xfId="0">
      <alignment horizontal="center"/>
    </xf>
    <xf numFmtId="0" fontId="4" fillId="4" borderId="11" pivotButton="0" quotePrefix="0" xfId="0"/>
    <xf numFmtId="165" fontId="4" fillId="4" borderId="11" applyAlignment="1" pivotButton="0" quotePrefix="0" xfId="0">
      <alignment horizontal="center"/>
    </xf>
    <xf numFmtId="0" fontId="4" fillId="4" borderId="11" pivotButton="0" quotePrefix="0" xfId="0"/>
    <xf numFmtId="0" fontId="7" fillId="0" borderId="0" pivotButton="0" quotePrefix="0" xfId="0"/>
    <xf numFmtId="0" fontId="8" fillId="7" borderId="2" pivotButton="0" quotePrefix="0" xfId="0"/>
    <xf numFmtId="0" fontId="7" fillId="0" borderId="2" pivotButton="0" quotePrefix="0" xfId="0"/>
    <xf numFmtId="0" fontId="9" fillId="3" borderId="2" pivotButton="0" quotePrefix="0" xfId="0"/>
    <xf numFmtId="0" fontId="9" fillId="0" borderId="2" applyAlignment="1" pivotButton="0" quotePrefix="0" xfId="0">
      <alignment wrapText="1"/>
    </xf>
    <xf numFmtId="0" fontId="7" fillId="0" borderId="0" pivotButton="0" quotePrefix="0" xfId="0"/>
    <xf numFmtId="0" fontId="10" fillId="0" borderId="0" pivotButton="0" quotePrefix="0" xfId="0"/>
    <xf numFmtId="0" fontId="11" fillId="8" borderId="12" pivotButton="0" quotePrefix="0" xfId="0"/>
    <xf numFmtId="0" fontId="11" fillId="5" borderId="12" applyAlignment="1" pivotButton="0" quotePrefix="0" xfId="0">
      <alignment vertical="bottom"/>
    </xf>
    <xf numFmtId="0" fontId="11" fillId="5" borderId="13" applyAlignment="1" pivotButton="0" quotePrefix="0" xfId="0">
      <alignment vertical="bottom"/>
    </xf>
    <xf numFmtId="0" fontId="4" fillId="5" borderId="14" applyAlignment="1" pivotButton="0" quotePrefix="0" xfId="0">
      <alignment vertical="bottom"/>
    </xf>
    <xf numFmtId="0" fontId="11" fillId="9" borderId="13" applyAlignment="1" pivotButton="0" quotePrefix="0" xfId="0">
      <alignment vertical="bottom"/>
    </xf>
    <xf numFmtId="0" fontId="4" fillId="9" borderId="14" applyAlignment="1" pivotButton="0" quotePrefix="0" xfId="0">
      <alignment vertical="bottom"/>
    </xf>
    <xf numFmtId="0" fontId="11" fillId="3" borderId="15" applyAlignment="1" pivotButton="0" quotePrefix="0" xfId="0">
      <alignment vertical="bottom"/>
    </xf>
    <xf numFmtId="0" fontId="11" fillId="0" borderId="0" applyAlignment="1" pivotButton="0" quotePrefix="0" xfId="0">
      <alignment vertical="bottom"/>
    </xf>
    <xf numFmtId="0" fontId="11" fillId="8" borderId="16" pivotButton="0" quotePrefix="0" xfId="0"/>
    <xf numFmtId="0" fontId="4" fillId="5" borderId="16" applyAlignment="1" pivotButton="0" quotePrefix="0" xfId="0">
      <alignment vertical="bottom"/>
    </xf>
    <xf numFmtId="0" fontId="3" fillId="10" borderId="17" applyAlignment="1" pivotButton="0" quotePrefix="0" xfId="0">
      <alignment vertical="bottom"/>
    </xf>
    <xf numFmtId="0" fontId="3" fillId="9" borderId="17" applyAlignment="1" pivotButton="0" quotePrefix="0" xfId="0">
      <alignment vertical="bottom"/>
    </xf>
    <xf numFmtId="0" fontId="3" fillId="5" borderId="17" applyAlignment="1" pivotButton="0" quotePrefix="0" xfId="0">
      <alignment vertical="bottom"/>
    </xf>
    <xf numFmtId="0" fontId="3" fillId="0" borderId="17" applyAlignment="1" pivotButton="0" quotePrefix="0" xfId="0">
      <alignment vertical="bottom"/>
    </xf>
    <xf numFmtId="0" fontId="4" fillId="0" borderId="18" applyAlignment="1" pivotButton="0" quotePrefix="0" xfId="0">
      <alignment vertical="bottom"/>
    </xf>
    <xf numFmtId="0" fontId="3" fillId="0" borderId="19" applyAlignment="1" pivotButton="0" quotePrefix="0" xfId="0">
      <alignment horizontal="center" vertical="bottom"/>
    </xf>
    <xf numFmtId="0" fontId="3" fillId="10" borderId="19" applyAlignment="1" pivotButton="0" quotePrefix="0" xfId="0">
      <alignment horizontal="center" vertical="bottom"/>
    </xf>
    <xf numFmtId="3" fontId="3" fillId="0" borderId="20" applyAlignment="1" pivotButton="0" quotePrefix="0" xfId="0">
      <alignment horizontal="center" vertical="bottom"/>
    </xf>
    <xf numFmtId="3" fontId="3" fillId="0" borderId="19" applyAlignment="1" pivotButton="0" quotePrefix="0" xfId="0">
      <alignment horizontal="center" vertical="bottom"/>
    </xf>
    <xf numFmtId="3" fontId="4" fillId="0" borderId="21" applyAlignment="1" pivotButton="0" quotePrefix="0" xfId="0">
      <alignment vertical="bottom"/>
    </xf>
    <xf numFmtId="3" fontId="3" fillId="0" borderId="0" applyAlignment="1" pivotButton="0" quotePrefix="0" xfId="0">
      <alignment horizontal="center" vertical="bottom"/>
    </xf>
    <xf numFmtId="0" fontId="3" fillId="0" borderId="22" applyAlignment="1" pivotButton="0" quotePrefix="0" xfId="0">
      <alignment horizontal="center" vertical="bottom"/>
    </xf>
    <xf numFmtId="0" fontId="3" fillId="10" borderId="22" applyAlignment="1" pivotButton="0" quotePrefix="0" xfId="0">
      <alignment horizontal="center" vertical="bottom"/>
    </xf>
    <xf numFmtId="3" fontId="3" fillId="0" borderId="23" applyAlignment="1" pivotButton="0" quotePrefix="0" xfId="0">
      <alignment horizontal="center" vertical="bottom"/>
    </xf>
    <xf numFmtId="3" fontId="3" fillId="0" borderId="22" applyAlignment="1" pivotButton="0" quotePrefix="0" xfId="0">
      <alignment horizontal="center" vertical="bottom"/>
    </xf>
    <xf numFmtId="3" fontId="4" fillId="0" borderId="24" applyAlignment="1" pivotButton="0" quotePrefix="0" xfId="0">
      <alignment vertical="bottom"/>
    </xf>
    <xf numFmtId="0" fontId="3" fillId="4" borderId="22" applyAlignment="1" pivotButton="0" quotePrefix="0" xfId="0">
      <alignment horizontal="center" vertical="bottom"/>
    </xf>
    <xf numFmtId="0" fontId="3" fillId="4" borderId="25" applyAlignment="1" pivotButton="0" quotePrefix="0" xfId="0">
      <alignment horizontal="center" vertical="bottom"/>
    </xf>
    <xf numFmtId="3" fontId="3" fillId="0" borderId="24" applyAlignment="1" pivotButton="0" quotePrefix="0" xfId="0">
      <alignment horizontal="center" vertical="bottom"/>
    </xf>
    <xf numFmtId="3" fontId="3" fillId="0" borderId="25" applyAlignment="1" pivotButton="0" quotePrefix="0" xfId="0">
      <alignment horizontal="center" vertical="bottom"/>
    </xf>
    <xf numFmtId="0" fontId="3" fillId="0" borderId="25" applyAlignment="1" pivotButton="0" quotePrefix="0" xfId="0">
      <alignment horizontal="center" vertical="bottom"/>
    </xf>
    <xf numFmtId="0" fontId="4" fillId="10" borderId="22" applyAlignment="1" pivotButton="0" quotePrefix="0" xfId="0">
      <alignment vertical="bottom"/>
    </xf>
    <xf numFmtId="0" fontId="3" fillId="0" borderId="26" applyAlignment="1" pivotButton="0" quotePrefix="0" xfId="0">
      <alignment horizontal="center" vertical="bottom"/>
    </xf>
    <xf numFmtId="0" fontId="3" fillId="10" borderId="27" applyAlignment="1" pivotButton="0" quotePrefix="0" xfId="0">
      <alignment horizontal="center" vertical="bottom"/>
    </xf>
    <xf numFmtId="3" fontId="3" fillId="0" borderId="26" applyAlignment="1" pivotButton="0" quotePrefix="0" xfId="0">
      <alignment horizontal="center" vertical="bottom"/>
    </xf>
    <xf numFmtId="3" fontId="3" fillId="0" borderId="28" applyAlignment="1" pivotButton="0" quotePrefix="0" xfId="0">
      <alignment horizontal="center" vertical="bottom"/>
    </xf>
    <xf numFmtId="3" fontId="3" fillId="0" borderId="29" applyAlignment="1" pivotButton="0" quotePrefix="0" xfId="0">
      <alignment horizontal="center" vertical="bottom"/>
    </xf>
    <xf numFmtId="3" fontId="3" fillId="0" borderId="30" applyAlignment="1" pivotButton="0" quotePrefix="0" xfId="0">
      <alignment horizontal="center" vertical="bottom"/>
    </xf>
    <xf numFmtId="3" fontId="4" fillId="0" borderId="28" applyAlignment="1" pivotButton="0" quotePrefix="0" xfId="0">
      <alignment vertical="bottom"/>
    </xf>
    <xf numFmtId="0" fontId="3" fillId="0" borderId="18" applyAlignment="1" pivotButton="0" quotePrefix="0" xfId="0">
      <alignment horizontal="center" vertical="bottom"/>
    </xf>
    <xf numFmtId="0" fontId="3" fillId="8" borderId="18" applyAlignment="1" pivotButton="0" quotePrefix="0" xfId="0">
      <alignment horizontal="center" vertical="bottom"/>
    </xf>
    <xf numFmtId="3" fontId="3" fillId="0" borderId="31" applyAlignment="1" pivotButton="0" quotePrefix="0" xfId="0">
      <alignment horizontal="center" vertical="bottom"/>
    </xf>
    <xf numFmtId="0" fontId="3" fillId="8" borderId="22" applyAlignment="1" pivotButton="0" quotePrefix="0" xfId="0">
      <alignment horizontal="center" vertical="bottom"/>
    </xf>
    <xf numFmtId="0" fontId="3" fillId="8" borderId="26" applyAlignment="1" pivotButton="0" quotePrefix="0" xfId="0">
      <alignment horizontal="center" vertical="bottom"/>
    </xf>
    <xf numFmtId="3" fontId="3" fillId="0" borderId="32" applyAlignment="1" pivotButton="0" quotePrefix="0" xfId="0">
      <alignment horizontal="center" vertical="bottom"/>
    </xf>
    <xf numFmtId="0" fontId="3" fillId="0" borderId="33" applyAlignment="1" pivotButton="0" quotePrefix="0" xfId="0">
      <alignment horizontal="center" vertical="bottom"/>
    </xf>
    <xf numFmtId="0" fontId="3" fillId="0" borderId="34" applyAlignment="1" pivotButton="0" quotePrefix="0" xfId="0">
      <alignment horizontal="center" vertical="bottom"/>
    </xf>
    <xf numFmtId="3" fontId="4" fillId="6" borderId="32" applyAlignment="1" pivotButton="0" quotePrefix="0" xfId="0">
      <alignment vertical="bottom"/>
    </xf>
    <xf numFmtId="3" fontId="4" fillId="6" borderId="34" applyAlignment="1" pivotButton="0" quotePrefix="0" xfId="0">
      <alignment vertical="bottom"/>
    </xf>
    <xf numFmtId="3" fontId="3" fillId="0" borderId="34" applyAlignment="1" pivotButton="0" quotePrefix="0" xfId="0">
      <alignment horizontal="center" vertical="bottom"/>
    </xf>
    <xf numFmtId="3" fontId="3" fillId="0" borderId="35" applyAlignment="1" pivotButton="0" quotePrefix="0" xfId="0">
      <alignment horizontal="center" vertical="bottom"/>
    </xf>
    <xf numFmtId="3" fontId="3" fillId="0" borderId="36" applyAlignment="1" pivotButton="0" quotePrefix="0" xfId="0">
      <alignment horizontal="center" vertical="bottom"/>
    </xf>
    <xf numFmtId="3" fontId="3" fillId="0" borderId="36" applyAlignment="1" pivotButton="0" quotePrefix="0" xfId="0">
      <alignment horizontal="center" vertical="bottom"/>
    </xf>
    <xf numFmtId="3" fontId="3" fillId="0" borderId="33" applyAlignment="1" pivotButton="0" quotePrefix="0" xfId="0">
      <alignment horizontal="center" vertical="bottom"/>
    </xf>
    <xf numFmtId="3" fontId="4" fillId="0" borderId="37" applyAlignment="1" pivotButton="0" quotePrefix="0" xfId="0">
      <alignment vertical="bottom"/>
    </xf>
    <xf numFmtId="0" fontId="3" fillId="10" borderId="26" applyAlignment="1" pivotButton="0" quotePrefix="0" xfId="0">
      <alignment horizontal="center" vertical="bottom"/>
    </xf>
    <xf numFmtId="0" fontId="3" fillId="0" borderId="38" applyAlignment="1" pivotButton="0" quotePrefix="0" xfId="0">
      <alignment horizontal="center" vertical="bottom"/>
    </xf>
    <xf numFmtId="0" fontId="3" fillId="11" borderId="38" applyAlignment="1" pivotButton="0" quotePrefix="0" xfId="0">
      <alignment horizontal="center" vertical="bottom"/>
    </xf>
    <xf numFmtId="3" fontId="3" fillId="0" borderId="39" applyAlignment="1" pivotButton="0" quotePrefix="0" xfId="0">
      <alignment horizontal="center" vertical="bottom"/>
    </xf>
    <xf numFmtId="3" fontId="4" fillId="0" borderId="40" applyAlignment="1" pivotButton="0" quotePrefix="0" xfId="0">
      <alignment vertical="bottom"/>
    </xf>
    <xf numFmtId="0" fontId="3" fillId="11" borderId="26" applyAlignment="1" pivotButton="0" quotePrefix="0" xfId="0">
      <alignment horizontal="center" vertical="bottom"/>
    </xf>
    <xf numFmtId="0" fontId="3" fillId="9" borderId="18" applyAlignment="1" pivotButton="0" quotePrefix="0" xfId="0">
      <alignment horizontal="center" vertical="bottom"/>
    </xf>
    <xf numFmtId="0" fontId="3" fillId="9" borderId="26" applyAlignment="1" pivotButton="0" quotePrefix="0" xfId="0">
      <alignment horizontal="center" vertical="bottom"/>
    </xf>
    <xf numFmtId="0" fontId="3" fillId="12" borderId="22" applyAlignment="1" pivotButton="0" quotePrefix="0" xfId="0">
      <alignment horizontal="center" vertical="bottom"/>
    </xf>
    <xf numFmtId="3" fontId="4" fillId="6" borderId="23" applyAlignment="1" pivotButton="0" quotePrefix="0" xfId="0">
      <alignment vertical="bottom"/>
    </xf>
    <xf numFmtId="0" fontId="3" fillId="12" borderId="26" applyAlignment="1" pivotButton="0" quotePrefix="0" xfId="0">
      <alignment horizontal="center" vertical="bottom"/>
    </xf>
    <xf numFmtId="3" fontId="4" fillId="6" borderId="29" applyAlignment="1" pivotButton="0" quotePrefix="0" xfId="0">
      <alignment vertical="bottom"/>
    </xf>
    <xf numFmtId="0" fontId="9" fillId="0" borderId="0" applyAlignment="1" pivotButton="0" quotePrefix="0" xfId="0">
      <alignment horizontal="center" vertical="bottom"/>
    </xf>
    <xf numFmtId="0" fontId="3" fillId="0" borderId="0" applyAlignment="1" pivotButton="0" quotePrefix="0" xfId="0">
      <alignment horizontal="center" vertical="bottom"/>
    </xf>
    <xf numFmtId="0" fontId="12" fillId="0" borderId="0" pivotButton="0" quotePrefix="0" xfId="0"/>
    <xf numFmtId="0" fontId="12" fillId="7" borderId="0" pivotButton="0" quotePrefix="0" xfId="0"/>
    <xf numFmtId="0" fontId="13" fillId="7" borderId="0" pivotButton="0" quotePrefix="0" xfId="0"/>
    <xf numFmtId="0" fontId="14" fillId="7" borderId="0" pivotButton="0" quotePrefix="0" xfId="0"/>
    <xf numFmtId="0" fontId="7" fillId="7" borderId="0" pivotButton="0" quotePrefix="0" xfId="0"/>
    <xf numFmtId="0" fontId="12" fillId="6" borderId="0" pivotButton="0" quotePrefix="0" xfId="0"/>
    <xf numFmtId="0" fontId="7" fillId="6" borderId="0" pivotButton="0" quotePrefix="0" xfId="0"/>
    <xf numFmtId="0" fontId="12" fillId="5" borderId="2" pivotButton="0" quotePrefix="0" xfId="0"/>
    <xf numFmtId="0" fontId="12" fillId="5" borderId="4" pivotButton="0" quotePrefix="0" xfId="0"/>
    <xf numFmtId="0" fontId="12" fillId="5" borderId="3" pivotButton="0" quotePrefix="0" xfId="0"/>
    <xf numFmtId="0" fontId="3" fillId="5" borderId="2" applyAlignment="1" pivotButton="0" quotePrefix="0" xfId="0">
      <alignment vertical="bottom"/>
    </xf>
    <xf numFmtId="0" fontId="12" fillId="0" borderId="0" pivotButton="0" quotePrefix="0" xfId="0"/>
    <xf numFmtId="0" fontId="12" fillId="0" borderId="5" applyAlignment="1" pivotButton="0" quotePrefix="0" xfId="0">
      <alignment vertical="top"/>
    </xf>
    <xf numFmtId="0" fontId="3" fillId="0" borderId="5" applyAlignment="1" pivotButton="0" quotePrefix="0" xfId="0">
      <alignment vertical="top"/>
    </xf>
    <xf numFmtId="0" fontId="6" fillId="0" borderId="41" pivotButton="0" quotePrefix="0" xfId="0"/>
    <xf numFmtId="0" fontId="6" fillId="0" borderId="42" pivotButton="0" quotePrefix="0" xfId="0"/>
    <xf numFmtId="0" fontId="12" fillId="0" borderId="1" pivotButton="0" quotePrefix="0" xfId="0"/>
    <xf numFmtId="0" fontId="6" fillId="0" borderId="8" pivotButton="0" quotePrefix="0" xfId="0"/>
    <xf numFmtId="0" fontId="6" fillId="0" borderId="43" pivotButton="0" quotePrefix="0" xfId="0"/>
    <xf numFmtId="0" fontId="15" fillId="2" borderId="2" pivotButton="0" quotePrefix="0" xfId="0"/>
    <xf numFmtId="0" fontId="15" fillId="2" borderId="4" pivotButton="0" quotePrefix="0" xfId="0"/>
    <xf numFmtId="0" fontId="1" fillId="6" borderId="2" pivotButton="0" quotePrefix="0" xfId="0"/>
    <xf numFmtId="0" fontId="5" fillId="2" borderId="2" applyAlignment="1" pivotButton="0" quotePrefix="0" xfId="0">
      <alignment vertical="bottom"/>
    </xf>
    <xf numFmtId="0" fontId="5" fillId="2" borderId="4" applyAlignment="1" pivotButton="0" quotePrefix="0" xfId="0">
      <alignment vertical="bottom"/>
    </xf>
    <xf numFmtId="0" fontId="12" fillId="0" borderId="2" pivotButton="0" quotePrefix="0" xfId="0"/>
    <xf numFmtId="0" fontId="12" fillId="0" borderId="4" pivotButton="0" quotePrefix="0" xfId="0"/>
    <xf numFmtId="0" fontId="1" fillId="6" borderId="2" pivotButton="0" quotePrefix="0" xfId="0"/>
    <xf numFmtId="0" fontId="3" fillId="0" borderId="2" applyAlignment="1" pivotButton="0" quotePrefix="0" xfId="0">
      <alignment vertical="bottom"/>
    </xf>
    <xf numFmtId="0" fontId="3" fillId="5" borderId="2" applyAlignment="1" pivotButton="0" quotePrefix="0" xfId="0">
      <alignment vertical="bottom"/>
    </xf>
    <xf numFmtId="0" fontId="3" fillId="5" borderId="4" applyAlignment="1" pivotButton="0" quotePrefix="0" xfId="0">
      <alignment vertical="bottom"/>
    </xf>
    <xf numFmtId="0" fontId="3" fillId="5" borderId="3" applyAlignment="1" pivotButton="0" quotePrefix="0" xfId="0">
      <alignment vertical="bottom"/>
    </xf>
    <xf numFmtId="0" fontId="3" fillId="5" borderId="5" applyAlignment="1" pivotButton="0" quotePrefix="0" xfId="0">
      <alignment vertical="bottom"/>
    </xf>
    <xf numFmtId="0" fontId="3" fillId="0" borderId="2" applyAlignment="1" pivotButton="0" quotePrefix="0" xfId="0">
      <alignment horizontal="left" vertical="bottom"/>
    </xf>
    <xf numFmtId="0" fontId="3" fillId="0" borderId="4" applyAlignment="1" pivotButton="0" quotePrefix="0" xfId="0">
      <alignment horizontal="right" vertical="bottom"/>
    </xf>
    <xf numFmtId="0" fontId="3" fillId="0" borderId="3" applyAlignment="1" pivotButton="0" quotePrefix="0" xfId="0">
      <alignment horizontal="right" vertical="bottom"/>
    </xf>
    <xf numFmtId="0" fontId="3" fillId="0" borderId="2" applyAlignment="1" pivotButton="0" quotePrefix="0" xfId="0">
      <alignment horizontal="left" vertical="bottom"/>
    </xf>
    <xf numFmtId="0" fontId="3" fillId="0" borderId="0" applyAlignment="1" pivotButton="0" quotePrefix="0" xfId="0">
      <alignment horizontal="left" vertical="bottom"/>
    </xf>
    <xf numFmtId="0" fontId="3" fillId="0" borderId="0" applyAlignment="1" pivotButton="0" quotePrefix="0" xfId="0">
      <alignment horizontal="right" vertical="bottom"/>
    </xf>
    <xf numFmtId="0" fontId="3" fillId="0" borderId="0" applyAlignment="1" pivotButton="0" quotePrefix="0" xfId="0">
      <alignment horizontal="left" vertical="bottom"/>
    </xf>
    <xf numFmtId="0" fontId="3" fillId="0" borderId="0" applyAlignment="1" pivotButton="0" quotePrefix="0" xfId="0">
      <alignment vertical="bottom"/>
    </xf>
    <xf numFmtId="0" fontId="12" fillId="7" borderId="0" pivotButton="0" quotePrefix="0" xfId="0"/>
    <xf numFmtId="0" fontId="13" fillId="2" borderId="2" pivotButton="0" quotePrefix="0" xfId="0"/>
    <xf numFmtId="0" fontId="16" fillId="2" borderId="2" applyAlignment="1" pivotButton="0" quotePrefix="0" xfId="0">
      <alignment vertical="bottom"/>
    </xf>
    <xf numFmtId="3" fontId="3" fillId="3" borderId="2" applyAlignment="1" pivotButton="0" quotePrefix="0" xfId="0">
      <alignment horizontal="right" vertical="bottom"/>
    </xf>
    <xf numFmtId="3" fontId="12" fillId="3" borderId="2" pivotButton="0" quotePrefix="0" xfId="0"/>
    <xf numFmtId="9" fontId="12" fillId="0" borderId="2" pivotButton="0" quotePrefix="0" xfId="0"/>
    <xf numFmtId="0" fontId="3" fillId="0" borderId="2" applyAlignment="1" pivotButton="0" quotePrefix="0" xfId="0">
      <alignment horizontal="center" vertical="bottom"/>
    </xf>
    <xf numFmtId="0" fontId="13" fillId="2" borderId="5" pivotButton="0" quotePrefix="0" xfId="0"/>
    <xf numFmtId="0" fontId="13" fillId="2" borderId="6" pivotButton="0" quotePrefix="0" xfId="0"/>
    <xf numFmtId="0" fontId="13" fillId="2" borderId="4" pivotButton="0" quotePrefix="0" xfId="0"/>
    <xf numFmtId="0" fontId="3" fillId="0" borderId="2" applyAlignment="1" pivotButton="0" quotePrefix="0" xfId="0">
      <alignment vertical="bottom"/>
    </xf>
    <xf numFmtId="0" fontId="3" fillId="3" borderId="2" applyAlignment="1" pivotButton="0" quotePrefix="0" xfId="0">
      <alignment vertical="bottom"/>
    </xf>
    <xf numFmtId="0" fontId="3" fillId="3" borderId="3" applyAlignment="1" pivotButton="0" quotePrefix="0" xfId="0">
      <alignment vertical="bottom"/>
    </xf>
    <xf numFmtId="0" fontId="3" fillId="6" borderId="4" applyAlignment="1" pivotButton="0" quotePrefix="0" xfId="0">
      <alignment vertical="bottom"/>
    </xf>
    <xf numFmtId="0" fontId="3" fillId="6" borderId="3" applyAlignment="1" pivotButton="0" quotePrefix="0" xfId="0">
      <alignment vertical="bottom"/>
    </xf>
    <xf numFmtId="0" fontId="3" fillId="0" borderId="2" applyAlignment="1" pivotButton="0" quotePrefix="0" xfId="0">
      <alignment horizontal="right" vertical="bottom"/>
    </xf>
    <xf numFmtId="0" fontId="3" fillId="0" borderId="4" applyAlignment="1" pivotButton="0" quotePrefix="0" xfId="0">
      <alignment vertical="bottom"/>
    </xf>
    <xf numFmtId="0" fontId="3" fillId="0" borderId="8" applyAlignment="1" pivotButton="0" quotePrefix="0" xfId="0">
      <alignment horizontal="right" vertical="bottom"/>
    </xf>
    <xf numFmtId="0" fontId="3" fillId="0" borderId="9" applyAlignment="1" pivotButton="0" quotePrefix="0" xfId="0">
      <alignment vertical="bottom"/>
    </xf>
    <xf numFmtId="0" fontId="3" fillId="0" borderId="3" applyAlignment="1" pivotButton="0" quotePrefix="0" xfId="0">
      <alignment vertical="bottom"/>
    </xf>
    <xf numFmtId="0" fontId="12" fillId="3" borderId="2" pivotButton="0" quotePrefix="0" xfId="0"/>
    <xf numFmtId="0" fontId="12" fillId="3" borderId="3" pivotButton="0" quotePrefix="0" xfId="0"/>
    <xf numFmtId="0" fontId="12" fillId="0" borderId="2" pivotButton="0" quotePrefix="0" xfId="0"/>
    <xf numFmtId="0" fontId="12" fillId="0" borderId="3" pivotButton="0" quotePrefix="0" xfId="0"/>
    <xf numFmtId="0" fontId="16" fillId="2" borderId="2" applyAlignment="1" pivotButton="0" quotePrefix="0" xfId="0">
      <alignment horizontal="right" vertical="bottom"/>
    </xf>
    <xf numFmtId="0" fontId="16" fillId="2" borderId="2" applyAlignment="1" pivotButton="0" quotePrefix="0" xfId="0">
      <alignment horizontal="right" vertical="bottom"/>
    </xf>
    <xf numFmtId="0" fontId="3" fillId="11" borderId="2" applyAlignment="1" pivotButton="0" quotePrefix="0" xfId="0">
      <alignment vertical="bottom"/>
    </xf>
    <xf numFmtId="0" fontId="3" fillId="13" borderId="2" applyAlignment="1" pivotButton="0" quotePrefix="0" xfId="0">
      <alignment vertical="bottom"/>
    </xf>
    <xf numFmtId="0" fontId="3" fillId="9" borderId="2" applyAlignment="1" pivotButton="0" quotePrefix="0" xfId="0">
      <alignment vertical="bottom"/>
    </xf>
    <xf numFmtId="0" fontId="3" fillId="9" borderId="2" applyAlignment="1" pivotButton="0" quotePrefix="0" xfId="0">
      <alignment vertical="bottom"/>
    </xf>
    <xf numFmtId="0" fontId="4" fillId="7" borderId="0" applyAlignment="1" pivotButton="0" quotePrefix="0" xfId="0">
      <alignment vertical="bottom"/>
    </xf>
    <xf numFmtId="0" fontId="4" fillId="6" borderId="0" applyAlignment="1" pivotButton="0" quotePrefix="0" xfId="0">
      <alignment vertical="bottom"/>
    </xf>
    <xf numFmtId="0" fontId="9" fillId="6" borderId="0" applyAlignment="1" pivotButton="0" quotePrefix="0" xfId="0">
      <alignment vertical="bottom"/>
    </xf>
    <xf numFmtId="0" fontId="3" fillId="0" borderId="2" applyAlignment="1" pivotButton="0" quotePrefix="0" xfId="0">
      <alignment horizontal="right" vertical="bottom"/>
    </xf>
    <xf numFmtId="0" fontId="3" fillId="6" borderId="2" applyAlignment="1" pivotButton="0" quotePrefix="0" xfId="0">
      <alignment horizontal="right" vertical="bottom"/>
    </xf>
    <xf numFmtId="0" fontId="3" fillId="6" borderId="2" applyAlignment="1" pivotButton="0" quotePrefix="0" xfId="0">
      <alignment horizontal="right" vertical="bottom"/>
    </xf>
    <xf numFmtId="0" fontId="3" fillId="0" borderId="2" applyAlignment="1" pivotButton="0" quotePrefix="0" xfId="0">
      <alignment horizontal="right" vertical="bottom"/>
    </xf>
    <xf numFmtId="0" fontId="4" fillId="0" borderId="2" applyAlignment="1" pivotButton="0" quotePrefix="0" xfId="0">
      <alignment vertical="bottom"/>
    </xf>
    <xf numFmtId="0" fontId="4" fillId="0" borderId="2" applyAlignment="1" pivotButton="0" quotePrefix="0" xfId="0">
      <alignment vertical="bottom"/>
    </xf>
    <xf numFmtId="0" fontId="4" fillId="6" borderId="0" applyAlignment="1" pivotButton="0" quotePrefix="0" xfId="0">
      <alignment vertical="bottom"/>
    </xf>
    <xf numFmtId="0" fontId="9" fillId="6" borderId="0" applyAlignment="1" pivotButton="0" quotePrefix="0" xfId="0">
      <alignment vertical="bottom"/>
    </xf>
    <xf numFmtId="0" fontId="12" fillId="10" borderId="0" pivotButton="0" quotePrefix="0" xfId="0"/>
    <xf numFmtId="0" fontId="17" fillId="10" borderId="0" pivotButton="0" quotePrefix="0" xfId="0"/>
    <xf numFmtId="0" fontId="12" fillId="10" borderId="0" pivotButton="0" quotePrefix="0" xfId="0"/>
    <xf numFmtId="0" fontId="9" fillId="7" borderId="0" applyAlignment="1" pivotButton="0" quotePrefix="0" xfId="0">
      <alignment vertical="center"/>
    </xf>
    <xf numFmtId="0" fontId="9" fillId="6" borderId="0" applyAlignment="1" pivotButton="0" quotePrefix="0" xfId="0">
      <alignment vertical="center"/>
    </xf>
    <xf numFmtId="0" fontId="12" fillId="4" borderId="0" pivotButton="0" quotePrefix="0" xfId="0"/>
    <xf numFmtId="0" fontId="7" fillId="4" borderId="0" pivotButton="0" quotePrefix="0" xfId="0"/>
    <xf numFmtId="0" fontId="18" fillId="0" borderId="0" pivotButton="0" quotePrefix="0" xfId="0"/>
    <xf numFmtId="0" fontId="19" fillId="2" borderId="2" applyAlignment="1" pivotButton="0" quotePrefix="0" xfId="0">
      <alignment horizontal="center" vertical="center" wrapText="1"/>
    </xf>
    <xf numFmtId="0" fontId="19" fillId="2" borderId="2" applyAlignment="1" pivotButton="0" quotePrefix="0" xfId="0">
      <alignment horizontal="center" vertical="center" wrapText="1"/>
    </xf>
    <xf numFmtId="0" fontId="20" fillId="2" borderId="2" applyAlignment="1" pivotButton="0" quotePrefix="0" xfId="0">
      <alignment horizontal="center" vertical="center" wrapText="1"/>
    </xf>
    <xf numFmtId="0" fontId="19" fillId="2" borderId="2" applyAlignment="1" pivotButton="0" quotePrefix="0" xfId="0">
      <alignment horizontal="center" vertical="center"/>
    </xf>
    <xf numFmtId="0" fontId="19" fillId="2" borderId="2" applyAlignment="1" pivotButton="0" quotePrefix="0" xfId="0">
      <alignment horizontal="center" vertical="center"/>
    </xf>
    <xf numFmtId="0" fontId="21" fillId="14" borderId="2" applyAlignment="1" pivotButton="0" quotePrefix="0" xfId="0">
      <alignment horizontal="center" vertical="center"/>
    </xf>
    <xf numFmtId="0" fontId="21" fillId="5" borderId="2" applyAlignment="1" pivotButton="0" quotePrefix="0" xfId="0">
      <alignment horizontal="center" vertical="center"/>
    </xf>
    <xf numFmtId="0" fontId="22" fillId="2" borderId="2" applyAlignment="1" pivotButton="0" quotePrefix="0" xfId="0">
      <alignment horizontal="center" vertical="center"/>
    </xf>
    <xf numFmtId="0" fontId="23" fillId="9" borderId="2" applyAlignment="1" pivotButton="0" quotePrefix="0" xfId="0">
      <alignment horizontal="center" vertical="center"/>
    </xf>
    <xf numFmtId="0" fontId="9" fillId="9" borderId="2" applyAlignment="1" pivotButton="0" quotePrefix="0" xfId="0">
      <alignment horizontal="center" vertical="center"/>
    </xf>
    <xf numFmtId="0" fontId="9" fillId="5" borderId="2" applyAlignment="1" pivotButton="0" quotePrefix="0" xfId="0">
      <alignment horizontal="center" vertical="center"/>
    </xf>
    <xf numFmtId="0" fontId="21" fillId="14" borderId="2" applyAlignment="1" pivotButton="0" quotePrefix="0" xfId="0">
      <alignment horizontal="center" vertical="center"/>
    </xf>
    <xf numFmtId="0" fontId="9" fillId="14" borderId="2" applyAlignment="1" pivotButton="0" quotePrefix="0" xfId="0">
      <alignment horizontal="center" vertical="center"/>
    </xf>
    <xf numFmtId="0" fontId="9" fillId="14" borderId="2" applyAlignment="1" pivotButton="0" quotePrefix="0" xfId="0">
      <alignment horizontal="center" vertical="center"/>
    </xf>
    <xf numFmtId="0" fontId="21" fillId="10" borderId="2" applyAlignment="1" pivotButton="0" quotePrefix="0" xfId="0">
      <alignment horizontal="center" vertical="center"/>
    </xf>
    <xf numFmtId="0" fontId="21" fillId="10" borderId="2" applyAlignment="1" pivotButton="0" quotePrefix="0" xfId="0">
      <alignment horizontal="center" vertical="bottom"/>
    </xf>
    <xf numFmtId="0" fontId="18" fillId="3" borderId="2" applyAlignment="1" pivotButton="0" quotePrefix="0" xfId="0">
      <alignment horizontal="center" vertical="center"/>
    </xf>
    <xf numFmtId="0" fontId="18" fillId="7" borderId="0" pivotButton="0" quotePrefix="0" xfId="0"/>
    <xf numFmtId="0" fontId="9" fillId="11" borderId="1" applyAlignment="1" pivotButton="0" quotePrefix="0" xfId="0">
      <alignment vertical="bottom"/>
    </xf>
    <xf numFmtId="0" fontId="24" fillId="11" borderId="1" applyAlignment="1" pivotButton="0" quotePrefix="0" xfId="0">
      <alignment vertical="bottom"/>
    </xf>
    <xf numFmtId="0" fontId="18" fillId="0" borderId="0" pivotButton="0" quotePrefix="0" xfId="0"/>
    <xf numFmtId="0" fontId="7" fillId="0" borderId="0" pivotButton="0" quotePrefix="0" xfId="0"/>
    <xf numFmtId="0" fontId="9" fillId="0" borderId="2" applyAlignment="1" pivotButton="0" quotePrefix="0" xfId="0">
      <alignment horizontal="right" vertical="bottom"/>
    </xf>
    <xf numFmtId="0" fontId="21" fillId="0" borderId="2" applyAlignment="1" pivotButton="0" quotePrefix="0" xfId="0">
      <alignment vertical="bottom"/>
    </xf>
    <xf numFmtId="0" fontId="9" fillId="0" borderId="2" applyAlignment="1" pivotButton="0" quotePrefix="0" xfId="0">
      <alignment vertical="bottom"/>
    </xf>
    <xf numFmtId="0" fontId="9" fillId="3" borderId="2" applyAlignment="1" pivotButton="0" quotePrefix="0" xfId="0">
      <alignment horizontal="center" vertical="bottom"/>
    </xf>
    <xf numFmtId="0" fontId="9" fillId="0" borderId="2" applyAlignment="1" pivotButton="0" quotePrefix="0" xfId="0">
      <alignment vertical="bottom"/>
    </xf>
    <xf numFmtId="0" fontId="9" fillId="3" borderId="2" applyAlignment="1" pivotButton="0" quotePrefix="0" xfId="0">
      <alignment horizontal="right" vertical="bottom"/>
    </xf>
    <xf numFmtId="0" fontId="9" fillId="6" borderId="2" applyAlignment="1" pivotButton="0" quotePrefix="0" xfId="0">
      <alignment horizontal="right" vertical="bottom"/>
    </xf>
    <xf numFmtId="0" fontId="9" fillId="6" borderId="2" applyAlignment="1" pivotButton="0" quotePrefix="0" xfId="0">
      <alignment vertical="bottom"/>
    </xf>
    <xf numFmtId="2" fontId="9" fillId="6" borderId="2" applyAlignment="1" pivotButton="0" quotePrefix="0" xfId="0">
      <alignment horizontal="right" vertical="bottom"/>
    </xf>
    <xf numFmtId="0" fontId="4" fillId="6" borderId="2" applyAlignment="1" pivotButton="0" quotePrefix="0" xfId="0">
      <alignment vertical="bottom"/>
    </xf>
    <xf numFmtId="0" fontId="4" fillId="3" borderId="2" applyAlignment="1" pivotButton="0" quotePrefix="0" xfId="0">
      <alignment vertical="bottom"/>
    </xf>
    <xf numFmtId="0" fontId="9" fillId="3" borderId="4" applyAlignment="1" pivotButton="0" quotePrefix="0" xfId="0">
      <alignment horizontal="right" vertical="bottom"/>
    </xf>
    <xf numFmtId="0" fontId="9" fillId="0" borderId="2" applyAlignment="1" pivotButton="0" quotePrefix="0" xfId="0">
      <alignment vertical="bottom"/>
    </xf>
    <xf numFmtId="0" fontId="9" fillId="0" borderId="2" applyAlignment="1" pivotButton="0" quotePrefix="0" xfId="0">
      <alignment horizontal="right"/>
    </xf>
    <xf numFmtId="0" fontId="9" fillId="0" borderId="2" applyAlignment="1" pivotButton="0" quotePrefix="0" xfId="0">
      <alignment horizontal="right"/>
    </xf>
    <xf numFmtId="0" fontId="4" fillId="0" borderId="2" pivotButton="0" quotePrefix="0" xfId="0"/>
    <xf numFmtId="0" fontId="9" fillId="0" borderId="2" pivotButton="0" quotePrefix="0" xfId="0"/>
    <xf numFmtId="0" fontId="9" fillId="0" borderId="2" applyAlignment="1" pivotButton="0" quotePrefix="0" xfId="0">
      <alignment horizontal="center"/>
    </xf>
    <xf numFmtId="0" fontId="7" fillId="0" borderId="1" applyAlignment="1" pivotButton="0" quotePrefix="0" xfId="0">
      <alignment horizontal="right"/>
    </xf>
    <xf numFmtId="0" fontId="12" fillId="0" borderId="0" pivotButton="0" quotePrefix="0" xfId="0"/>
    <xf numFmtId="0" fontId="9" fillId="0" borderId="2" applyAlignment="1" pivotButton="0" quotePrefix="0" xfId="0">
      <alignment horizontal="right" vertical="bottom"/>
    </xf>
    <xf numFmtId="0" fontId="9" fillId="0" borderId="2" applyAlignment="1" pivotButton="0" quotePrefix="0" xfId="0">
      <alignment horizontal="right" vertical="bottom"/>
    </xf>
    <xf numFmtId="0" fontId="7" fillId="15" borderId="1" applyAlignment="1" pivotButton="0" quotePrefix="0" xfId="0">
      <alignment horizontal="right"/>
    </xf>
    <xf numFmtId="0" fontId="9" fillId="0" borderId="2" applyAlignment="1" pivotButton="0" quotePrefix="0" xfId="0">
      <alignment horizontal="center" vertical="bottom"/>
    </xf>
    <xf numFmtId="0" fontId="9" fillId="3" borderId="2" applyAlignment="1" pivotButton="0" quotePrefix="0" xfId="0">
      <alignment vertical="bottom"/>
    </xf>
    <xf numFmtId="2" fontId="9" fillId="6" borderId="2" applyAlignment="1" pivotButton="0" quotePrefix="0" xfId="0">
      <alignment vertical="bottom"/>
    </xf>
    <xf numFmtId="0" fontId="9" fillId="0" borderId="2" applyAlignment="1" pivotButton="0" quotePrefix="0" xfId="0">
      <alignment horizontal="center" vertical="bottom"/>
    </xf>
    <xf numFmtId="0" fontId="9" fillId="11" borderId="2" applyAlignment="1" pivotButton="0" quotePrefix="0" xfId="0">
      <alignment horizontal="center" vertical="bottom"/>
    </xf>
    <xf numFmtId="0" fontId="9" fillId="5" borderId="2" applyAlignment="1" pivotButton="0" quotePrefix="0" xfId="0">
      <alignment horizontal="center" vertical="bottom"/>
    </xf>
    <xf numFmtId="0" fontId="9" fillId="9" borderId="2" applyAlignment="1" pivotButton="0" quotePrefix="0" xfId="0">
      <alignment horizontal="center" vertical="bottom"/>
    </xf>
    <xf numFmtId="0" fontId="3" fillId="6" borderId="2" applyAlignment="1" pivotButton="0" quotePrefix="0" xfId="0">
      <alignment vertical="bottom"/>
    </xf>
    <xf numFmtId="0" fontId="9" fillId="10" borderId="2" applyAlignment="1" pivotButton="0" quotePrefix="0" xfId="0">
      <alignment horizontal="center" vertical="bottom"/>
    </xf>
    <xf numFmtId="0" fontId="7" fillId="0" borderId="2" pivotButton="0" quotePrefix="0" xfId="0"/>
    <xf numFmtId="0" fontId="7" fillId="0" borderId="2" applyAlignment="1" pivotButton="0" quotePrefix="0" xfId="0">
      <alignment horizontal="left"/>
    </xf>
    <xf numFmtId="0" fontId="7" fillId="3" borderId="2" applyAlignment="1" pivotButton="0" quotePrefix="0" xfId="0">
      <alignment horizontal="center"/>
    </xf>
    <xf numFmtId="0" fontId="7" fillId="0" borderId="2" applyAlignment="1" pivotButton="0" quotePrefix="0" xfId="0">
      <alignment horizontal="center"/>
    </xf>
    <xf numFmtId="0" fontId="7" fillId="3" borderId="2" pivotButton="0" quotePrefix="0" xfId="0"/>
    <xf numFmtId="0" fontId="7" fillId="6" borderId="2" pivotButton="0" quotePrefix="0" xfId="0"/>
    <xf numFmtId="2" fontId="7" fillId="6" borderId="2" pivotButton="0" quotePrefix="0" xfId="0"/>
    <xf numFmtId="0" fontId="7" fillId="6" borderId="2" applyAlignment="1" pivotButton="0" quotePrefix="0" xfId="0">
      <alignment horizontal="right"/>
    </xf>
    <xf numFmtId="0" fontId="7" fillId="3" borderId="2" applyAlignment="1" pivotButton="0" quotePrefix="0" xfId="0">
      <alignment horizontal="right"/>
    </xf>
    <xf numFmtId="0" fontId="9" fillId="0" borderId="2" applyAlignment="1" pivotButton="0" quotePrefix="0" xfId="0">
      <alignment vertical="center"/>
    </xf>
    <xf numFmtId="0" fontId="9" fillId="0" borderId="2" applyAlignment="1" pivotButton="0" quotePrefix="0" xfId="0">
      <alignment vertical="center"/>
    </xf>
    <xf numFmtId="0" fontId="7" fillId="4" borderId="1" applyAlignment="1" pivotButton="0" quotePrefix="0" xfId="0">
      <alignment horizontal="right"/>
    </xf>
    <xf numFmtId="0" fontId="4" fillId="2" borderId="4" applyAlignment="1" pivotButton="0" quotePrefix="0" xfId="0">
      <alignment vertical="bottom"/>
    </xf>
    <xf numFmtId="0" fontId="4" fillId="2" borderId="3" applyAlignment="1" pivotButton="0" quotePrefix="0" xfId="0">
      <alignment vertical="bottom"/>
    </xf>
    <xf numFmtId="0" fontId="4" fillId="6" borderId="2" pivotButton="0" quotePrefix="0" xfId="0"/>
    <xf numFmtId="0" fontId="4" fillId="6" borderId="4" pivotButton="0" quotePrefix="0" xfId="0"/>
    <xf numFmtId="0" fontId="4" fillId="6" borderId="3" pivotButton="0" quotePrefix="0" xfId="0"/>
    <xf numFmtId="0" fontId="4" fillId="6" borderId="2" applyAlignment="1" pivotButton="0" quotePrefix="0" xfId="0">
      <alignment horizontal="center"/>
    </xf>
    <xf numFmtId="0" fontId="4" fillId="6" borderId="2" applyAlignment="1" pivotButton="0" quotePrefix="0" xfId="0">
      <alignment vertical="bottom"/>
    </xf>
    <xf numFmtId="0" fontId="4" fillId="6" borderId="4" applyAlignment="1" pivotButton="0" quotePrefix="0" xfId="0">
      <alignment vertical="bottom"/>
    </xf>
    <xf numFmtId="0" fontId="4" fillId="6" borderId="3" applyAlignment="1" pivotButton="0" quotePrefix="0" xfId="0">
      <alignment vertical="bottom"/>
    </xf>
    <xf numFmtId="0" fontId="4" fillId="3" borderId="3" applyAlignment="1" pivotButton="0" quotePrefix="0" xfId="0">
      <alignment horizontal="right" vertical="bottom"/>
    </xf>
    <xf numFmtId="0" fontId="4" fillId="6" borderId="2" applyAlignment="1" pivotButton="0" quotePrefix="0" xfId="0">
      <alignment vertical="bottom"/>
    </xf>
    <xf numFmtId="0" fontId="4" fillId="3" borderId="3" applyAlignment="1" pivotButton="0" quotePrefix="0" xfId="0">
      <alignment horizontal="right" vertical="bottom"/>
    </xf>
    <xf numFmtId="0" fontId="4" fillId="0" borderId="0" pivotButton="0" quotePrefix="0" xfId="0"/>
    <xf numFmtId="0" fontId="4" fillId="0" borderId="0" applyAlignment="1" pivotButton="0" quotePrefix="0" xfId="0">
      <alignment vertical="top"/>
    </xf>
    <xf numFmtId="0" fontId="16" fillId="2" borderId="2" applyAlignment="1" pivotButton="0" quotePrefix="0" xfId="0">
      <alignment horizontal="center" wrapText="1"/>
    </xf>
    <xf numFmtId="0" fontId="16" fillId="2" borderId="3" applyAlignment="1" pivotButton="0" quotePrefix="0" xfId="0">
      <alignment horizontal="center" wrapText="1"/>
    </xf>
    <xf numFmtId="0" fontId="3" fillId="0" borderId="1" applyAlignment="1" pivotButton="0" quotePrefix="0" xfId="0">
      <alignment horizontal="right" vertical="bottom"/>
    </xf>
    <xf numFmtId="0" fontId="3" fillId="3" borderId="1" applyAlignment="1" pivotButton="0" quotePrefix="0" xfId="0">
      <alignment vertical="bottom"/>
    </xf>
    <xf numFmtId="0" fontId="3" fillId="0" borderId="1" applyAlignment="1" pivotButton="0" quotePrefix="0" xfId="0">
      <alignment horizontal="right" vertical="bottom"/>
    </xf>
    <xf numFmtId="0" fontId="3" fillId="0" borderId="0" applyAlignment="1" pivotButton="0" quotePrefix="0" xfId="0">
      <alignment vertical="bottom"/>
    </xf>
    <xf numFmtId="0" fontId="3" fillId="3" borderId="1" applyAlignment="1" pivotButton="0" quotePrefix="0" xfId="0">
      <alignment vertical="bottom"/>
    </xf>
    <xf numFmtId="0" fontId="3" fillId="0" borderId="1" applyAlignment="1" pivotButton="0" quotePrefix="0" xfId="0">
      <alignment vertical="bottom"/>
    </xf>
    <xf numFmtId="0" fontId="3" fillId="0" borderId="1" applyAlignment="1" pivotButton="0" quotePrefix="0" xfId="0">
      <alignment horizontal="right" vertical="bottom"/>
    </xf>
    <xf numFmtId="0" fontId="4" fillId="5" borderId="15" applyAlignment="1" pivotButton="0" quotePrefix="0" xfId="0">
      <alignment horizontal="center" vertical="bottom"/>
    </xf>
    <xf numFmtId="0" fontId="4" fillId="15" borderId="14" applyAlignment="1" pivotButton="0" quotePrefix="0" xfId="0">
      <alignment horizontal="center" vertical="bottom"/>
    </xf>
    <xf numFmtId="0" fontId="6" fillId="0" borderId="14" pivotButton="0" quotePrefix="0" xfId="0"/>
    <xf numFmtId="0" fontId="6" fillId="0" borderId="44" pivotButton="0" quotePrefix="0" xfId="0"/>
    <xf numFmtId="0" fontId="4" fillId="9" borderId="13" applyAlignment="1" pivotButton="0" quotePrefix="0" xfId="0">
      <alignment horizontal="center" vertical="bottom"/>
    </xf>
    <xf numFmtId="0" fontId="4" fillId="0" borderId="18" applyAlignment="1" pivotButton="0" quotePrefix="0" xfId="0">
      <alignment horizontal="center" vertical="bottom"/>
    </xf>
    <xf numFmtId="0" fontId="4" fillId="16" borderId="20" applyAlignment="1" pivotButton="0" quotePrefix="0" xfId="0">
      <alignment vertical="bottom"/>
    </xf>
    <xf numFmtId="0" fontId="4" fillId="16" borderId="45" applyAlignment="1" pivotButton="0" quotePrefix="0" xfId="0">
      <alignment vertical="bottom"/>
    </xf>
    <xf numFmtId="0" fontId="4" fillId="16" borderId="46" applyAlignment="1" pivotButton="0" quotePrefix="0" xfId="0">
      <alignment vertical="bottom"/>
    </xf>
    <xf numFmtId="0" fontId="3" fillId="0" borderId="31" applyAlignment="1" pivotButton="0" quotePrefix="0" xfId="0">
      <alignment horizontal="center" vertical="bottom"/>
    </xf>
    <xf numFmtId="0" fontId="4" fillId="16" borderId="47" applyAlignment="1" pivotButton="0" quotePrefix="0" xfId="0">
      <alignment vertical="bottom"/>
    </xf>
    <xf numFmtId="0" fontId="4" fillId="16" borderId="8" applyAlignment="1" pivotButton="0" quotePrefix="0" xfId="0">
      <alignment vertical="bottom"/>
    </xf>
    <xf numFmtId="0" fontId="4" fillId="16" borderId="48" applyAlignment="1" pivotButton="0" quotePrefix="0" xfId="0">
      <alignment vertical="bottom"/>
    </xf>
    <xf numFmtId="0" fontId="4" fillId="0" borderId="22" applyAlignment="1" pivotButton="0" quotePrefix="0" xfId="0">
      <alignment horizontal="center" vertical="bottom"/>
    </xf>
    <xf numFmtId="0" fontId="3" fillId="0" borderId="23" applyAlignment="1" pivotButton="0" quotePrefix="0" xfId="0">
      <alignment horizontal="center" vertical="bottom"/>
    </xf>
    <xf numFmtId="0" fontId="4" fillId="16" borderId="1" applyAlignment="1" pivotButton="0" quotePrefix="0" xfId="0">
      <alignment vertical="bottom"/>
    </xf>
    <xf numFmtId="0" fontId="4" fillId="16" borderId="49" applyAlignment="1" pivotButton="0" quotePrefix="0" xfId="0">
      <alignment vertical="bottom"/>
    </xf>
    <xf numFmtId="0" fontId="4" fillId="16" borderId="23" applyAlignment="1" pivotButton="0" quotePrefix="0" xfId="0">
      <alignment vertical="bottom"/>
    </xf>
    <xf numFmtId="0" fontId="3" fillId="0" borderId="1" applyAlignment="1" pivotButton="0" quotePrefix="0" xfId="0">
      <alignment horizontal="center" vertical="bottom"/>
    </xf>
    <xf numFmtId="0" fontId="3" fillId="0" borderId="49" applyAlignment="1" pivotButton="0" quotePrefix="0" xfId="0">
      <alignment horizontal="center" vertical="bottom"/>
    </xf>
    <xf numFmtId="0" fontId="4" fillId="16" borderId="2" applyAlignment="1" pivotButton="0" quotePrefix="0" xfId="0">
      <alignment vertical="bottom"/>
    </xf>
    <xf numFmtId="0" fontId="4" fillId="0" borderId="26" applyAlignment="1" pivotButton="0" quotePrefix="0" xfId="0">
      <alignment horizontal="center" vertical="bottom"/>
    </xf>
    <xf numFmtId="0" fontId="4" fillId="16" borderId="29" applyAlignment="1" pivotButton="0" quotePrefix="0" xfId="0">
      <alignment vertical="bottom"/>
    </xf>
    <xf numFmtId="0" fontId="4" fillId="16" borderId="50" applyAlignment="1" pivotButton="0" quotePrefix="0" xfId="0">
      <alignment vertical="bottom"/>
    </xf>
    <xf numFmtId="0" fontId="4" fillId="16" borderId="51" applyAlignment="1" pivotButton="0" quotePrefix="0" xfId="0">
      <alignment vertical="bottom"/>
    </xf>
    <xf numFmtId="0" fontId="3" fillId="4" borderId="51" applyAlignment="1" pivotButton="0" quotePrefix="0" xfId="0">
      <alignment horizontal="center" vertical="bottom"/>
    </xf>
    <xf numFmtId="0" fontId="1" fillId="5" borderId="1" pivotButton="0" quotePrefix="0" xfId="0"/>
    <xf numFmtId="0" fontId="1" fillId="5" borderId="1" pivotButton="0" quotePrefix="0" xfId="0"/>
    <xf numFmtId="0" fontId="1" fillId="0" borderId="0" pivotButton="0" quotePrefix="0" xfId="0"/>
    <xf numFmtId="0" fontId="1" fillId="0" borderId="0" pivotButton="0" quotePrefix="0" xfId="0"/>
    <xf numFmtId="2" fontId="1" fillId="0" borderId="0" pivotButton="0" quotePrefix="0" xfId="0"/>
    <xf numFmtId="2" fontId="1" fillId="0" borderId="0" pivotButton="0" quotePrefix="0" xfId="0"/>
    <xf numFmtId="2" fontId="1" fillId="0" borderId="0" applyAlignment="1" pivotButton="0" quotePrefix="0" xfId="0">
      <alignment vertical="center"/>
    </xf>
    <xf numFmtId="0" fontId="4" fillId="5" borderId="1" applyAlignment="1" pivotButton="0" quotePrefix="0" xfId="0">
      <alignment vertical="bottom"/>
    </xf>
    <xf numFmtId="0" fontId="25" fillId="5" borderId="1" applyAlignment="1" pivotButton="0" quotePrefix="0" xfId="0">
      <alignment vertical="bottom"/>
    </xf>
    <xf numFmtId="0" fontId="4" fillId="5" borderId="0" applyAlignment="1" pivotButton="0" quotePrefix="0" xfId="0">
      <alignment vertical="bottom"/>
    </xf>
    <xf numFmtId="0" fontId="4" fillId="0" borderId="0" applyAlignment="1" pivotButton="0" quotePrefix="0" xfId="0">
      <alignment vertical="bottom"/>
    </xf>
    <xf numFmtId="0" fontId="4" fillId="0" borderId="0" applyAlignment="1" pivotButton="0" quotePrefix="0" xfId="0">
      <alignment vertical="bottom" wrapText="1"/>
    </xf>
    <xf numFmtId="0" fontId="5" fillId="7" borderId="0" applyAlignment="1" pivotButton="0" quotePrefix="0" xfId="0">
      <alignment vertical="bottom"/>
    </xf>
    <xf numFmtId="0" fontId="4" fillId="0" borderId="43" applyAlignment="1" pivotButton="0" quotePrefix="0" xfId="0">
      <alignment vertical="bottom"/>
    </xf>
    <xf numFmtId="0" fontId="4" fillId="0" borderId="43" applyAlignment="1" pivotButton="0" quotePrefix="0" xfId="0">
      <alignment vertical="bottom"/>
    </xf>
    <xf numFmtId="0" fontId="4" fillId="0" borderId="42" applyAlignment="1" pivotButton="0" quotePrefix="0" xfId="0">
      <alignment vertical="bottom"/>
    </xf>
    <xf numFmtId="49" fontId="11" fillId="15" borderId="1" applyAlignment="1" pivotButton="0" quotePrefix="0" xfId="0">
      <alignment horizontal="center" vertical="bottom"/>
    </xf>
    <xf numFmtId="49" fontId="11" fillId="15" borderId="3" applyAlignment="1" pivotButton="0" quotePrefix="0" xfId="0">
      <alignment horizontal="center" vertical="bottom"/>
    </xf>
    <xf numFmtId="49" fontId="11" fillId="5" borderId="3" applyAlignment="1" pivotButton="0" quotePrefix="0" xfId="0">
      <alignment horizontal="center" vertical="bottom"/>
    </xf>
    <xf numFmtId="49" fontId="11" fillId="11" borderId="3" applyAlignment="1" pivotButton="0" quotePrefix="0" xfId="0">
      <alignment horizontal="center" vertical="bottom"/>
    </xf>
    <xf numFmtId="49" fontId="11" fillId="9" borderId="3" applyAlignment="1" pivotButton="0" quotePrefix="0" xfId="0">
      <alignment horizontal="right" vertical="bottom"/>
    </xf>
    <xf numFmtId="49" fontId="11" fillId="9" borderId="3" applyAlignment="1" pivotButton="0" quotePrefix="0" xfId="0">
      <alignment horizontal="center" vertical="bottom"/>
    </xf>
    <xf numFmtId="49" fontId="11" fillId="13" borderId="3" applyAlignment="1" pivotButton="0" quotePrefix="0" xfId="0">
      <alignment horizontal="center" vertical="bottom"/>
    </xf>
    <xf numFmtId="49" fontId="1" fillId="0" borderId="0" pivotButton="0" quotePrefix="0" xfId="0"/>
    <xf numFmtId="49" fontId="3" fillId="0" borderId="1" applyAlignment="1" pivotButton="0" quotePrefix="0" xfId="0">
      <alignment vertical="bottom"/>
    </xf>
    <xf numFmtId="0" fontId="4" fillId="3" borderId="1" applyAlignment="1" pivotButton="0" quotePrefix="0" xfId="0">
      <alignment vertical="bottom"/>
    </xf>
    <xf numFmtId="49" fontId="4" fillId="0" borderId="1" applyAlignment="1" pivotButton="0" quotePrefix="0" xfId="0">
      <alignment vertical="bottom"/>
    </xf>
    <xf numFmtId="0" fontId="1" fillId="0" borderId="1" pivotButton="0" quotePrefix="0" xfId="0"/>
    <xf numFmtId="0" fontId="1" fillId="3" borderId="1" pivotButton="0" quotePrefix="0" xfId="0"/>
    <xf numFmtId="49" fontId="1" fillId="0" borderId="1" pivotButton="0" quotePrefix="0" xfId="0"/>
    <xf numFmtId="0" fontId="1" fillId="3" borderId="0" pivotButton="0" quotePrefix="0" xfId="0"/>
    <xf numFmtId="0" fontId="11" fillId="15" borderId="1" applyAlignment="1" pivotButton="0" quotePrefix="0" xfId="0">
      <alignment horizontal="center" vertical="bottom"/>
    </xf>
    <xf numFmtId="0" fontId="11" fillId="15" borderId="3" applyAlignment="1" pivotButton="0" quotePrefix="0" xfId="0">
      <alignment horizontal="center" vertical="bottom"/>
    </xf>
    <xf numFmtId="49" fontId="11" fillId="15" borderId="3" applyAlignment="1" pivotButton="0" quotePrefix="0" xfId="0">
      <alignment horizontal="center" vertical="bottom"/>
    </xf>
    <xf numFmtId="0" fontId="11" fillId="15" borderId="3" applyAlignment="1" pivotButton="0" quotePrefix="0" xfId="0">
      <alignment horizontal="center" vertical="bottom" wrapText="1"/>
    </xf>
    <xf numFmtId="0" fontId="11" fillId="15" borderId="3" applyAlignment="1" pivotButton="0" quotePrefix="0" xfId="0">
      <alignment horizontal="center" vertical="bottom" wrapText="1"/>
    </xf>
    <xf numFmtId="0" fontId="4" fillId="15" borderId="3" applyAlignment="1" pivotButton="0" quotePrefix="0" xfId="0">
      <alignment vertical="bottom"/>
    </xf>
    <xf numFmtId="0" fontId="3" fillId="0" borderId="47" applyAlignment="1" pivotButton="0" quotePrefix="0" xfId="0">
      <alignment horizontal="center" vertical="bottom"/>
    </xf>
    <xf numFmtId="0" fontId="3" fillId="16" borderId="9" applyAlignment="1" pivotButton="0" quotePrefix="0" xfId="0">
      <alignment horizontal="center" vertical="bottom"/>
    </xf>
    <xf numFmtId="0" fontId="3" fillId="4" borderId="9" applyAlignment="1" pivotButton="0" quotePrefix="0" xfId="0">
      <alignment horizontal="center" vertical="bottom"/>
    </xf>
    <xf numFmtId="49" fontId="3" fillId="0" borderId="9" applyAlignment="1" pivotButton="0" quotePrefix="0" xfId="0">
      <alignment horizontal="center" vertical="bottom"/>
    </xf>
    <xf numFmtId="0" fontId="3" fillId="0" borderId="9" applyAlignment="1" pivotButton="0" quotePrefix="0" xfId="0">
      <alignment horizontal="center" vertical="bottom"/>
    </xf>
    <xf numFmtId="3" fontId="3" fillId="0" borderId="9" applyAlignment="1" pivotButton="0" quotePrefix="0" xfId="0">
      <alignment horizontal="center" vertical="bottom"/>
    </xf>
    <xf numFmtId="3" fontId="26" fillId="0" borderId="9" applyAlignment="1" pivotButton="0" quotePrefix="0" xfId="0">
      <alignment horizontal="center" vertical="bottom"/>
    </xf>
    <xf numFmtId="0" fontId="4" fillId="0" borderId="9" applyAlignment="1" pivotButton="0" quotePrefix="0" xfId="0">
      <alignment vertical="bottom"/>
    </xf>
    <xf numFmtId="166" fontId="4" fillId="0" borderId="9" applyAlignment="1" pivotButton="0" quotePrefix="0" xfId="0">
      <alignment vertical="bottom"/>
    </xf>
    <xf numFmtId="0" fontId="3" fillId="0" borderId="9" applyAlignment="1" pivotButton="0" quotePrefix="0" xfId="0">
      <alignment horizontal="center" vertical="bottom"/>
    </xf>
    <xf numFmtId="3" fontId="4" fillId="0" borderId="9" applyAlignment="1" pivotButton="0" quotePrefix="0" xfId="0">
      <alignment vertical="bottom"/>
    </xf>
    <xf numFmtId="0" fontId="4" fillId="0" borderId="8" applyAlignment="1" pivotButton="0" quotePrefix="0" xfId="0">
      <alignment vertical="bottom"/>
    </xf>
    <xf numFmtId="49" fontId="4" fillId="0" borderId="43" applyAlignment="1" pivotButton="0" quotePrefix="0" xfId="0">
      <alignment vertical="bottom"/>
    </xf>
    <xf numFmtId="3" fontId="4" fillId="0" borderId="43" applyAlignment="1" pivotButton="0" quotePrefix="0" xfId="0">
      <alignment vertical="bottom"/>
    </xf>
    <xf numFmtId="0" fontId="26" fillId="0" borderId="9" applyAlignment="1" pivotButton="0" quotePrefix="0" xfId="0">
      <alignment horizontal="center" vertical="bottom"/>
    </xf>
    <xf numFmtId="166" fontId="3" fillId="0" borderId="9" applyAlignment="1" pivotButton="0" quotePrefix="0" xfId="0">
      <alignment vertical="bottom" wrapText="1"/>
    </xf>
    <xf numFmtId="3" fontId="3" fillId="0" borderId="9" applyAlignment="1" pivotButton="0" quotePrefix="0" xfId="0">
      <alignment horizontal="center" vertical="bottom"/>
    </xf>
    <xf numFmtId="166" fontId="3" fillId="0" borderId="9" applyAlignment="1" pivotButton="0" quotePrefix="0" xfId="0">
      <alignment vertical="bottom" wrapText="1"/>
    </xf>
    <xf numFmtId="166" fontId="27" fillId="0" borderId="9" applyAlignment="1" pivotButton="0" quotePrefix="0" xfId="0">
      <alignment vertical="bottom"/>
    </xf>
    <xf numFmtId="0" fontId="3" fillId="0" borderId="9" applyAlignment="1" pivotButton="0" quotePrefix="0" xfId="0">
      <alignment vertical="bottom" wrapText="1"/>
    </xf>
    <xf numFmtId="0" fontId="4" fillId="0" borderId="47" applyAlignment="1" pivotButton="0" quotePrefix="0" xfId="0">
      <alignment vertical="bottom"/>
    </xf>
    <xf numFmtId="49" fontId="4" fillId="0" borderId="9" applyAlignment="1" pivotButton="0" quotePrefix="0" xfId="0">
      <alignment vertical="bottom"/>
    </xf>
    <xf numFmtId="0" fontId="4" fillId="16" borderId="9" applyAlignment="1" pivotButton="0" quotePrefix="0" xfId="0">
      <alignment vertical="bottom"/>
    </xf>
    <xf numFmtId="0" fontId="4" fillId="17" borderId="47" applyAlignment="1" pivotButton="0" quotePrefix="0" xfId="0">
      <alignment vertical="bottom"/>
    </xf>
    <xf numFmtId="0" fontId="4" fillId="17" borderId="9" applyAlignment="1" pivotButton="0" quotePrefix="0" xfId="0">
      <alignment vertical="bottom"/>
    </xf>
    <xf numFmtId="49" fontId="4" fillId="17" borderId="9" applyAlignment="1" pivotButton="0" quotePrefix="0" xfId="0">
      <alignment vertical="bottom"/>
    </xf>
    <xf numFmtId="3" fontId="4" fillId="17" borderId="9" applyAlignment="1" pivotButton="0" quotePrefix="0" xfId="0">
      <alignment vertical="bottom"/>
    </xf>
    <xf numFmtId="166" fontId="4" fillId="17" borderId="9" applyAlignment="1" pivotButton="0" quotePrefix="0" xfId="0">
      <alignment vertical="bottom"/>
    </xf>
    <xf numFmtId="0" fontId="3" fillId="5" borderId="47" applyAlignment="1" pivotButton="0" quotePrefix="0" xfId="0">
      <alignment horizontal="center" vertical="bottom"/>
    </xf>
    <xf numFmtId="0" fontId="3" fillId="5" borderId="9" applyAlignment="1" pivotButton="0" quotePrefix="0" xfId="0">
      <alignment horizontal="center" vertical="bottom"/>
    </xf>
    <xf numFmtId="49" fontId="3" fillId="16" borderId="9" applyAlignment="1" pivotButton="0" quotePrefix="0" xfId="0">
      <alignment horizontal="center" vertical="bottom"/>
    </xf>
    <xf numFmtId="3" fontId="3" fillId="5" borderId="9" applyAlignment="1" pivotButton="0" quotePrefix="0" xfId="0">
      <alignment horizontal="center" vertical="bottom"/>
    </xf>
    <xf numFmtId="3" fontId="4" fillId="5" borderId="9" applyAlignment="1" pivotButton="0" quotePrefix="0" xfId="0">
      <alignment vertical="bottom"/>
    </xf>
    <xf numFmtId="0" fontId="28" fillId="5" borderId="9" applyAlignment="1" pivotButton="0" quotePrefix="0" xfId="0">
      <alignment vertical="bottom" wrapText="1"/>
    </xf>
    <xf numFmtId="0" fontId="4" fillId="5" borderId="9" applyAlignment="1" pivotButton="0" quotePrefix="0" xfId="0">
      <alignment vertical="bottom"/>
    </xf>
    <xf numFmtId="166" fontId="4" fillId="5" borderId="9" applyAlignment="1" pivotButton="0" quotePrefix="0" xfId="0">
      <alignment vertical="bottom"/>
    </xf>
    <xf numFmtId="167" fontId="4" fillId="5" borderId="9" applyAlignment="1" pivotButton="0" quotePrefix="0" xfId="0">
      <alignment vertical="bottom"/>
    </xf>
    <xf numFmtId="167" fontId="4" fillId="0" borderId="9" applyAlignment="1" pivotButton="0" quotePrefix="0" xfId="0">
      <alignment vertical="bottom"/>
    </xf>
    <xf numFmtId="0" fontId="3" fillId="16" borderId="47" applyAlignment="1" pivotButton="0" quotePrefix="0" xfId="0">
      <alignment horizontal="center" vertical="bottom"/>
    </xf>
    <xf numFmtId="3" fontId="3" fillId="16" borderId="9" applyAlignment="1" pivotButton="0" quotePrefix="0" xfId="0">
      <alignment horizontal="center" vertical="bottom"/>
    </xf>
    <xf numFmtId="3" fontId="3" fillId="16" borderId="9" applyAlignment="1" pivotButton="0" quotePrefix="0" xfId="0">
      <alignment horizontal="center" vertical="bottom" wrapText="1"/>
    </xf>
    <xf numFmtId="166" fontId="4" fillId="16" borderId="9" applyAlignment="1" pivotButton="0" quotePrefix="0" xfId="0">
      <alignment vertical="bottom"/>
    </xf>
    <xf numFmtId="0" fontId="3" fillId="16" borderId="9" applyAlignment="1" pivotButton="0" quotePrefix="0" xfId="0">
      <alignment horizontal="center" vertical="bottom"/>
    </xf>
    <xf numFmtId="3" fontId="4" fillId="16" borderId="9" applyAlignment="1" pivotButton="0" quotePrefix="0" xfId="0">
      <alignment vertical="bottom"/>
    </xf>
    <xf numFmtId="0" fontId="4" fillId="4" borderId="9" applyAlignment="1" pivotButton="0" quotePrefix="0" xfId="0">
      <alignment vertical="bottom"/>
    </xf>
    <xf numFmtId="0" fontId="4" fillId="17" borderId="8" applyAlignment="1" pivotButton="0" quotePrefix="0" xfId="0">
      <alignment vertical="bottom"/>
    </xf>
    <xf numFmtId="49" fontId="4" fillId="16" borderId="9" applyAlignment="1" pivotButton="0" quotePrefix="0" xfId="0">
      <alignment vertical="bottom"/>
    </xf>
    <xf numFmtId="49" fontId="4" fillId="0" borderId="0" applyAlignment="1" pivotButton="0" quotePrefix="0" xfId="0">
      <alignment vertical="bottom"/>
    </xf>
    <xf numFmtId="3" fontId="4" fillId="0" borderId="0" applyAlignment="1" pivotButton="0" quotePrefix="0" xfId="0">
      <alignment vertical="bottom"/>
    </xf>
    <xf numFmtId="49" fontId="4" fillId="0" borderId="42" applyAlignment="1" pivotButton="0" quotePrefix="0" xfId="0">
      <alignment vertical="bottom"/>
    </xf>
    <xf numFmtId="168" fontId="4" fillId="0" borderId="42" applyAlignment="1" pivotButton="0" quotePrefix="0" xfId="0">
      <alignment vertical="bottom"/>
    </xf>
    <xf numFmtId="49" fontId="3" fillId="4" borderId="9" applyAlignment="1" pivotButton="0" quotePrefix="0" xfId="0">
      <alignment horizontal="center" vertical="bottom"/>
    </xf>
    <xf numFmtId="49" fontId="3" fillId="0" borderId="9" applyAlignment="1" pivotButton="0" quotePrefix="0" xfId="0">
      <alignment horizontal="center" vertical="bottom"/>
    </xf>
    <xf numFmtId="0" fontId="3" fillId="16" borderId="9" applyAlignment="1" pivotButton="0" quotePrefix="0" xfId="0">
      <alignment horizontal="center" vertical="bottom" wrapText="1"/>
    </xf>
    <xf numFmtId="49" fontId="4" fillId="4" borderId="9" applyAlignment="1" pivotButton="0" quotePrefix="0" xfId="0">
      <alignment vertical="bottom"/>
    </xf>
    <xf numFmtId="0" fontId="11" fillId="15" borderId="1" applyAlignment="1" pivotButton="0" quotePrefix="0" xfId="0">
      <alignment horizontal="center"/>
    </xf>
    <xf numFmtId="0" fontId="11" fillId="15" borderId="3" applyAlignment="1" pivotButton="0" quotePrefix="0" xfId="0">
      <alignment horizontal="center"/>
    </xf>
    <xf numFmtId="49" fontId="11" fillId="15" borderId="3" applyAlignment="1" pivotButton="0" quotePrefix="0" xfId="0">
      <alignment horizontal="center"/>
    </xf>
    <xf numFmtId="0" fontId="11" fillId="3" borderId="3" applyAlignment="1" pivotButton="0" quotePrefix="0" xfId="0">
      <alignment horizontal="center"/>
    </xf>
    <xf numFmtId="0" fontId="11" fillId="18" borderId="3" applyAlignment="1" pivotButton="0" quotePrefix="0" xfId="0">
      <alignment horizontal="center"/>
    </xf>
    <xf numFmtId="0" fontId="11" fillId="5" borderId="3" applyAlignment="1" pivotButton="0" quotePrefix="0" xfId="0">
      <alignment horizontal="center"/>
    </xf>
    <xf numFmtId="0" fontId="11" fillId="9" borderId="3" applyAlignment="1" pivotButton="0" quotePrefix="0" xfId="0">
      <alignment horizontal="center"/>
    </xf>
    <xf numFmtId="49" fontId="11" fillId="9" borderId="3" applyAlignment="1" pivotButton="0" quotePrefix="0" xfId="0">
      <alignment horizontal="center"/>
    </xf>
    <xf numFmtId="169" fontId="11" fillId="15" borderId="3" applyAlignment="1" pivotButton="0" quotePrefix="0" xfId="0">
      <alignment horizontal="center"/>
    </xf>
    <xf numFmtId="0" fontId="3" fillId="19" borderId="9" applyAlignment="1" pivotButton="0" quotePrefix="0" xfId="0">
      <alignment horizontal="center" vertical="bottom"/>
    </xf>
    <xf numFmtId="0" fontId="3" fillId="19" borderId="9" applyAlignment="1" pivotButton="0" quotePrefix="0" xfId="0">
      <alignment horizontal="center" vertical="bottom"/>
    </xf>
    <xf numFmtId="49" fontId="4" fillId="19" borderId="9" applyAlignment="1" pivotButton="0" quotePrefix="0" xfId="0">
      <alignment vertical="bottom"/>
    </xf>
    <xf numFmtId="0" fontId="3" fillId="19" borderId="9" applyAlignment="1" pivotButton="0" quotePrefix="0" xfId="0">
      <alignment horizontal="center" vertical="bottom" wrapText="1"/>
    </xf>
    <xf numFmtId="0" fontId="4" fillId="19" borderId="9" applyAlignment="1" pivotButton="0" quotePrefix="0" xfId="0">
      <alignment vertical="bottom"/>
    </xf>
    <xf numFmtId="0" fontId="3" fillId="0" borderId="9" applyAlignment="1" pivotButton="0" quotePrefix="0" xfId="0">
      <alignment horizontal="center"/>
    </xf>
    <xf numFmtId="168" fontId="4" fillId="19" borderId="9" applyAlignment="1" pivotButton="0" quotePrefix="0" xfId="0">
      <alignment vertical="bottom"/>
    </xf>
    <xf numFmtId="168" fontId="3" fillId="19" borderId="9" applyAlignment="1" pivotButton="0" quotePrefix="0" xfId="0">
      <alignment horizontal="center" vertical="bottom"/>
    </xf>
    <xf numFmtId="49" fontId="3" fillId="19" borderId="9" applyAlignment="1" pivotButton="0" quotePrefix="0" xfId="0">
      <alignment horizontal="center" vertical="bottom"/>
    </xf>
    <xf numFmtId="168" fontId="3" fillId="19" borderId="9" applyAlignment="1" pivotButton="0" quotePrefix="0" xfId="0">
      <alignment vertical="bottom"/>
    </xf>
    <xf numFmtId="0" fontId="3" fillId="16" borderId="9" applyAlignment="1" pivotButton="0" quotePrefix="0" xfId="0">
      <alignment horizontal="center"/>
    </xf>
    <xf numFmtId="49" fontId="3" fillId="0" borderId="9" applyAlignment="1" pivotButton="0" quotePrefix="0" xfId="0">
      <alignment horizontal="center"/>
    </xf>
    <xf numFmtId="0" fontId="3" fillId="16" borderId="9" applyAlignment="1" pivotButton="0" quotePrefix="0" xfId="0">
      <alignment horizontal="center" wrapText="1"/>
    </xf>
    <xf numFmtId="0" fontId="4" fillId="0" borderId="9" pivotButton="0" quotePrefix="0" xfId="0"/>
    <xf numFmtId="0" fontId="3" fillId="0" borderId="9" applyAlignment="1" pivotButton="0" quotePrefix="0" xfId="0">
      <alignment horizontal="center"/>
    </xf>
    <xf numFmtId="168" fontId="4" fillId="4" borderId="9" pivotButton="0" quotePrefix="0" xfId="0"/>
    <xf numFmtId="168" fontId="3" fillId="4" borderId="9" applyAlignment="1" pivotButton="0" quotePrefix="0" xfId="0">
      <alignment horizontal="center"/>
    </xf>
    <xf numFmtId="49" fontId="3" fillId="18" borderId="9" applyAlignment="1" pivotButton="0" quotePrefix="0" xfId="0">
      <alignment horizontal="center"/>
    </xf>
    <xf numFmtId="170" fontId="3" fillId="16" borderId="9" applyAlignment="1" pivotButton="0" quotePrefix="0" xfId="0">
      <alignment vertical="bottom"/>
    </xf>
    <xf numFmtId="168" fontId="3" fillId="16" borderId="9" applyAlignment="1" pivotButton="0" quotePrefix="0" xfId="0">
      <alignment vertical="bottom"/>
    </xf>
    <xf numFmtId="0" fontId="4" fillId="4" borderId="9" pivotButton="0" quotePrefix="0" xfId="0"/>
    <xf numFmtId="49" fontId="4" fillId="4" borderId="9" pivotButton="0" quotePrefix="0" xfId="0"/>
    <xf numFmtId="49" fontId="4" fillId="0" borderId="9" pivotButton="0" quotePrefix="0" xfId="0"/>
    <xf numFmtId="0" fontId="3" fillId="16" borderId="9" applyAlignment="1" pivotButton="0" quotePrefix="0" xfId="0">
      <alignment vertical="bottom"/>
    </xf>
    <xf numFmtId="0" fontId="3" fillId="4" borderId="9" applyAlignment="1" pivotButton="0" quotePrefix="0" xfId="0">
      <alignment horizontal="center"/>
    </xf>
    <xf numFmtId="49" fontId="3" fillId="4" borderId="9" applyAlignment="1" pivotButton="0" quotePrefix="0" xfId="0">
      <alignment horizontal="center"/>
    </xf>
    <xf numFmtId="0" fontId="3" fillId="17" borderId="9" applyAlignment="1" pivotButton="0" quotePrefix="0" xfId="0">
      <alignment horizontal="center"/>
    </xf>
    <xf numFmtId="0" fontId="3" fillId="17" borderId="9" applyAlignment="1" pivotButton="0" quotePrefix="0" xfId="0">
      <alignment horizontal="center"/>
    </xf>
    <xf numFmtId="49" fontId="3" fillId="17" borderId="9" applyAlignment="1" pivotButton="0" quotePrefix="0" xfId="0">
      <alignment horizontal="center"/>
    </xf>
    <xf numFmtId="0" fontId="3" fillId="17" borderId="9" applyAlignment="1" pivotButton="0" quotePrefix="0" xfId="0">
      <alignment horizontal="center" wrapText="1"/>
    </xf>
    <xf numFmtId="0" fontId="4" fillId="17" borderId="9" pivotButton="0" quotePrefix="0" xfId="0"/>
    <xf numFmtId="168" fontId="4" fillId="17" borderId="9" pivotButton="0" quotePrefix="0" xfId="0"/>
    <xf numFmtId="168" fontId="3" fillId="17" borderId="9" applyAlignment="1" pivotButton="0" quotePrefix="0" xfId="0">
      <alignment horizontal="center"/>
    </xf>
    <xf numFmtId="170" fontId="3" fillId="17" borderId="9" applyAlignment="1" pivotButton="0" quotePrefix="0" xfId="0">
      <alignment vertical="bottom"/>
    </xf>
    <xf numFmtId="168" fontId="3" fillId="17" borderId="9" applyAlignment="1" pivotButton="0" quotePrefix="0" xfId="0">
      <alignment vertical="bottom"/>
    </xf>
    <xf numFmtId="0" fontId="3" fillId="18" borderId="9" applyAlignment="1" pivotButton="0" quotePrefix="0" xfId="0">
      <alignment horizontal="center"/>
    </xf>
    <xf numFmtId="168" fontId="4" fillId="0" borderId="9" pivotButton="0" quotePrefix="0" xfId="0"/>
    <xf numFmtId="168" fontId="3" fillId="0" borderId="9" applyAlignment="1" pivotButton="0" quotePrefix="0" xfId="0">
      <alignment horizontal="center"/>
    </xf>
    <xf numFmtId="0" fontId="4" fillId="0" borderId="9" applyAlignment="1" pivotButton="0" quotePrefix="0" xfId="0">
      <alignment horizontal="center"/>
    </xf>
    <xf numFmtId="0" fontId="4" fillId="0" borderId="0" pivotButton="0" quotePrefix="0" xfId="0"/>
    <xf numFmtId="49" fontId="4" fillId="0" borderId="0" pivotButton="0" quotePrefix="0" xfId="0"/>
    <xf numFmtId="170" fontId="4" fillId="0" borderId="0" pivotButton="0" quotePrefix="0" xfId="0"/>
    <xf numFmtId="168" fontId="4" fillId="0" borderId="0" pivotButton="0" quotePrefix="0" xfId="0"/>
    <xf numFmtId="0" fontId="11" fillId="15" borderId="41" applyAlignment="1" pivotButton="0" quotePrefix="0" xfId="0">
      <alignment horizontal="center" vertical="bottom"/>
    </xf>
    <xf numFmtId="0" fontId="11" fillId="15" borderId="0" applyAlignment="1" pivotButton="0" quotePrefix="0" xfId="0">
      <alignment horizontal="center" vertical="bottom"/>
    </xf>
    <xf numFmtId="49" fontId="11" fillId="15" borderId="0" applyAlignment="1" pivotButton="0" quotePrefix="0" xfId="0">
      <alignment horizontal="center" vertical="bottom"/>
    </xf>
    <xf numFmtId="0" fontId="11" fillId="15" borderId="42" applyAlignment="1" pivotButton="0" quotePrefix="0" xfId="0">
      <alignment horizontal="center" vertical="bottom"/>
    </xf>
    <xf numFmtId="168" fontId="11" fillId="15" borderId="0" applyAlignment="1" pivotButton="0" quotePrefix="0" xfId="0">
      <alignment horizontal="center" vertical="bottom"/>
    </xf>
    <xf numFmtId="49" fontId="11" fillId="15" borderId="42" applyAlignment="1" pivotButton="0" quotePrefix="0" xfId="0">
      <alignment horizontal="center" vertical="bottom"/>
    </xf>
    <xf numFmtId="0" fontId="11" fillId="15" borderId="8" applyAlignment="1" pivotButton="0" quotePrefix="0" xfId="0">
      <alignment horizontal="center" vertical="bottom"/>
    </xf>
    <xf numFmtId="0" fontId="11" fillId="15" borderId="43" applyAlignment="1" pivotButton="0" quotePrefix="0" xfId="0">
      <alignment horizontal="center" vertical="bottom"/>
    </xf>
    <xf numFmtId="0" fontId="11" fillId="15" borderId="9" applyAlignment="1" pivotButton="0" quotePrefix="0" xfId="0">
      <alignment horizontal="center" vertical="bottom"/>
    </xf>
    <xf numFmtId="0" fontId="29" fillId="15" borderId="1" applyAlignment="1" pivotButton="0" quotePrefix="0" xfId="0">
      <alignment horizontal="center"/>
    </xf>
    <xf numFmtId="0" fontId="3" fillId="19" borderId="9" applyAlignment="1" pivotButton="0" quotePrefix="0" xfId="0">
      <alignment vertical="bottom"/>
    </xf>
    <xf numFmtId="0" fontId="30" fillId="0" borderId="9" pivotButton="0" quotePrefix="0" xfId="0"/>
    <xf numFmtId="0" fontId="31" fillId="0" borderId="9" applyAlignment="1" pivotButton="0" quotePrefix="0" xfId="0">
      <alignment horizontal="center"/>
    </xf>
    <xf numFmtId="0" fontId="3" fillId="17" borderId="9" applyAlignment="1" pivotButton="0" quotePrefix="0" xfId="0">
      <alignment vertical="bottom"/>
    </xf>
    <xf numFmtId="0" fontId="0" fillId="0" borderId="0" pivotButton="0" quotePrefix="0" xfId="0"/>
    <xf numFmtId="0" fontId="5" fillId="2" borderId="1" applyAlignment="1" pivotButton="0" quotePrefix="0" xfId="0">
      <alignment vertical="bottom"/>
    </xf>
    <xf numFmtId="0" fontId="0" fillId="0" borderId="4" pivotButton="0" quotePrefix="0" xfId="0"/>
    <xf numFmtId="0" fontId="0" fillId="0" borderId="3" pivotButton="0" quotePrefix="0" xfId="0"/>
    <xf numFmtId="0" fontId="5" fillId="2" borderId="52" applyAlignment="1" pivotButton="0" quotePrefix="0" xfId="0">
      <alignment vertical="bottom"/>
    </xf>
    <xf numFmtId="0" fontId="0" fillId="0" borderId="6" pivotButton="0" quotePrefix="0" xfId="0"/>
    <xf numFmtId="0" fontId="0" fillId="0" borderId="7" pivotButton="0" quotePrefix="0" xfId="0"/>
    <xf numFmtId="164" fontId="4" fillId="4" borderId="1" pivotButton="0" quotePrefix="0" xfId="0"/>
    <xf numFmtId="0" fontId="4" fillId="4" borderId="1" pivotButton="0" quotePrefix="0" xfId="0"/>
    <xf numFmtId="0" fontId="4" fillId="3" borderId="1" applyAlignment="1" pivotButton="0" quotePrefix="0" xfId="0">
      <alignment horizontal="right" vertical="bottom"/>
    </xf>
    <xf numFmtId="0" fontId="4" fillId="5" borderId="1" applyAlignment="1" pivotButton="0" quotePrefix="0" xfId="0">
      <alignment vertical="center"/>
    </xf>
    <xf numFmtId="0" fontId="3" fillId="6" borderId="1" applyAlignment="1" pivotButton="0" quotePrefix="0" xfId="0">
      <alignment vertical="bottom"/>
    </xf>
    <xf numFmtId="0" fontId="3" fillId="4" borderId="1" pivotButton="0" quotePrefix="0" xfId="0"/>
    <xf numFmtId="0" fontId="4" fillId="5" borderId="1" pivotButton="0" quotePrefix="0" xfId="0"/>
    <xf numFmtId="0" fontId="4" fillId="5" borderId="47" applyAlignment="1" pivotButton="0" quotePrefix="0" xfId="0">
      <alignment horizontal="center"/>
    </xf>
    <xf numFmtId="0" fontId="0" fillId="0" borderId="9" pivotButton="0" quotePrefix="0" xfId="0"/>
    <xf numFmtId="164" fontId="4" fillId="4" borderId="54" applyAlignment="1" pivotButton="0" quotePrefix="0" xfId="0">
      <alignment horizontal="center"/>
    </xf>
    <xf numFmtId="0" fontId="0" fillId="0" borderId="10" pivotButton="0" quotePrefix="0" xfId="0"/>
    <xf numFmtId="21" fontId="4" fillId="4" borderId="56" applyAlignment="1" pivotButton="0" quotePrefix="0" xfId="0">
      <alignment horizontal="center"/>
    </xf>
    <xf numFmtId="0" fontId="4" fillId="4" borderId="53" pivotButton="0" quotePrefix="0" xfId="0"/>
    <xf numFmtId="165" fontId="4" fillId="4" borderId="56" applyAlignment="1" pivotButton="0" quotePrefix="0" xfId="0">
      <alignment horizontal="center"/>
    </xf>
    <xf numFmtId="0" fontId="7" fillId="0" borderId="1" pivotButton="0" quotePrefix="0" xfId="0"/>
    <xf numFmtId="0" fontId="9" fillId="3" borderId="1" pivotButton="0" quotePrefix="0" xfId="0"/>
    <xf numFmtId="0" fontId="9" fillId="0" borderId="1" applyAlignment="1" pivotButton="0" quotePrefix="0" xfId="0">
      <alignment wrapText="1"/>
    </xf>
    <xf numFmtId="0" fontId="3" fillId="5" borderId="1" applyAlignment="1" pivotButton="0" quotePrefix="0" xfId="0">
      <alignment vertical="bottom"/>
    </xf>
    <xf numFmtId="0" fontId="12" fillId="0" borderId="1" applyAlignment="1" pivotButton="0" quotePrefix="0" xfId="0">
      <alignment vertical="top"/>
    </xf>
    <xf numFmtId="0" fontId="3" fillId="0" borderId="1" applyAlignment="1" pivotButton="0" quotePrefix="0" xfId="0">
      <alignment vertical="top"/>
    </xf>
    <xf numFmtId="0" fontId="0" fillId="0" borderId="41" pivotButton="0" quotePrefix="0" xfId="0"/>
    <xf numFmtId="0" fontId="0" fillId="0" borderId="42" pivotButton="0" quotePrefix="0" xfId="0"/>
    <xf numFmtId="0" fontId="0" fillId="0" borderId="8" pivotButton="0" quotePrefix="0" xfId="0"/>
    <xf numFmtId="0" fontId="0" fillId="0" borderId="43" pivotButton="0" quotePrefix="0" xfId="0"/>
    <xf numFmtId="0" fontId="1" fillId="6" borderId="1" pivotButton="0" quotePrefix="0" xfId="0"/>
    <xf numFmtId="0" fontId="15" fillId="2" borderId="1" pivotButton="0" quotePrefix="0" xfId="0"/>
    <xf numFmtId="0" fontId="5" fillId="2" borderId="3" applyAlignment="1" pivotButton="0" quotePrefix="0" xfId="0">
      <alignment vertical="bottom"/>
    </xf>
    <xf numFmtId="0" fontId="3" fillId="5" borderId="52" applyAlignment="1" pivotButton="0" quotePrefix="0" xfId="0">
      <alignment vertical="bottom"/>
    </xf>
    <xf numFmtId="0" fontId="13" fillId="2" borderId="1" pivotButton="0" quotePrefix="0" xfId="0"/>
    <xf numFmtId="0" fontId="16" fillId="2" borderId="1" applyAlignment="1" pivotButton="0" quotePrefix="0" xfId="0">
      <alignment vertical="bottom"/>
    </xf>
    <xf numFmtId="3" fontId="3" fillId="3" borderId="1" applyAlignment="1" pivotButton="0" quotePrefix="0" xfId="0">
      <alignment horizontal="right" vertical="bottom"/>
    </xf>
    <xf numFmtId="3" fontId="12" fillId="3" borderId="1" pivotButton="0" quotePrefix="0" xfId="0"/>
    <xf numFmtId="9" fontId="12" fillId="0" borderId="1" pivotButton="0" quotePrefix="0" xfId="0"/>
    <xf numFmtId="0" fontId="16" fillId="2" borderId="1" applyAlignment="1" pivotButton="0" quotePrefix="0" xfId="0">
      <alignment horizontal="right" vertical="bottom"/>
    </xf>
    <xf numFmtId="0" fontId="3" fillId="6" borderId="1" applyAlignment="1" pivotButton="0" quotePrefix="0" xfId="0">
      <alignment horizontal="right" vertical="bottom"/>
    </xf>
    <xf numFmtId="0" fontId="19" fillId="2" borderId="1" applyAlignment="1" pivotButton="0" quotePrefix="0" xfId="0">
      <alignment horizontal="center" vertical="center" wrapText="1"/>
    </xf>
    <xf numFmtId="0" fontId="20" fillId="2" borderId="1" applyAlignment="1" pivotButton="0" quotePrefix="0" xfId="0">
      <alignment horizontal="center" vertical="center" wrapText="1"/>
    </xf>
    <xf numFmtId="0" fontId="19" fillId="2" borderId="1" applyAlignment="1" pivotButton="0" quotePrefix="0" xfId="0">
      <alignment horizontal="center" vertical="center"/>
    </xf>
    <xf numFmtId="0" fontId="21" fillId="14" borderId="1" applyAlignment="1" pivotButton="0" quotePrefix="0" xfId="0">
      <alignment horizontal="center" vertical="center"/>
    </xf>
    <xf numFmtId="0" fontId="9" fillId="9" borderId="1" applyAlignment="1" pivotButton="0" quotePrefix="0" xfId="0">
      <alignment horizontal="center" vertical="center"/>
    </xf>
    <xf numFmtId="0" fontId="9" fillId="14" borderId="1" applyAlignment="1" pivotButton="0" quotePrefix="0" xfId="0">
      <alignment horizontal="center" vertical="center"/>
    </xf>
    <xf numFmtId="0" fontId="21" fillId="10" borderId="1" applyAlignment="1" pivotButton="0" quotePrefix="0" xfId="0">
      <alignment horizontal="center" vertical="center"/>
    </xf>
    <xf numFmtId="0" fontId="21" fillId="10" borderId="1" applyAlignment="1" pivotButton="0" quotePrefix="0" xfId="0">
      <alignment horizontal="center" vertical="bottom"/>
    </xf>
    <xf numFmtId="0" fontId="18" fillId="3" borderId="1" applyAlignment="1" pivotButton="0" quotePrefix="0" xfId="0">
      <alignment horizontal="center" vertical="center"/>
    </xf>
    <xf numFmtId="0" fontId="9" fillId="0" borderId="1" applyAlignment="1" pivotButton="0" quotePrefix="0" xfId="0">
      <alignment horizontal="right" vertical="bottom"/>
    </xf>
    <xf numFmtId="0" fontId="21" fillId="0" borderId="1" applyAlignment="1" pivotButton="0" quotePrefix="0" xfId="0">
      <alignment vertical="bottom"/>
    </xf>
    <xf numFmtId="0" fontId="9" fillId="0" borderId="1" applyAlignment="1" pivotButton="0" quotePrefix="0" xfId="0">
      <alignment vertical="bottom"/>
    </xf>
    <xf numFmtId="0" fontId="9" fillId="3" borderId="1" applyAlignment="1" pivotButton="0" quotePrefix="0" xfId="0">
      <alignment horizontal="center" vertical="bottom"/>
    </xf>
    <xf numFmtId="0" fontId="9" fillId="3" borderId="1" applyAlignment="1" pivotButton="0" quotePrefix="0" xfId="0">
      <alignment horizontal="right" vertical="bottom"/>
    </xf>
    <xf numFmtId="0" fontId="9" fillId="6" borderId="1" applyAlignment="1" pivotButton="0" quotePrefix="0" xfId="0">
      <alignment horizontal="right" vertical="bottom"/>
    </xf>
    <xf numFmtId="0" fontId="9" fillId="6" borderId="1" applyAlignment="1" pivotButton="0" quotePrefix="0" xfId="0">
      <alignment vertical="bottom"/>
    </xf>
    <xf numFmtId="2" fontId="9" fillId="6" borderId="1" applyAlignment="1" pivotButton="0" quotePrefix="0" xfId="0">
      <alignment horizontal="right" vertical="bottom"/>
    </xf>
    <xf numFmtId="0" fontId="4" fillId="6" borderId="1" applyAlignment="1" pivotButton="0" quotePrefix="0" xfId="0">
      <alignment vertical="bottom"/>
    </xf>
    <xf numFmtId="0" fontId="9" fillId="3" borderId="3" applyAlignment="1" pivotButton="0" quotePrefix="0" xfId="0">
      <alignment horizontal="right" vertical="bottom"/>
    </xf>
    <xf numFmtId="0" fontId="9" fillId="0" borderId="1" applyAlignment="1" pivotButton="0" quotePrefix="0" xfId="0">
      <alignment horizontal="right"/>
    </xf>
    <xf numFmtId="0" fontId="4" fillId="0" borderId="1" pivotButton="0" quotePrefix="0" xfId="0"/>
    <xf numFmtId="0" fontId="9" fillId="0" borderId="1" pivotButton="0" quotePrefix="0" xfId="0"/>
    <xf numFmtId="0" fontId="9" fillId="0" borderId="1" applyAlignment="1" pivotButton="0" quotePrefix="0" xfId="0">
      <alignment horizontal="center"/>
    </xf>
    <xf numFmtId="0" fontId="9" fillId="0" borderId="1" applyAlignment="1" pivotButton="0" quotePrefix="0" xfId="0">
      <alignment horizontal="center" vertical="bottom"/>
    </xf>
    <xf numFmtId="0" fontId="9" fillId="3" borderId="1" applyAlignment="1" pivotButton="0" quotePrefix="0" xfId="0">
      <alignment vertical="bottom"/>
    </xf>
    <xf numFmtId="2" fontId="9" fillId="6" borderId="1" applyAlignment="1" pivotButton="0" quotePrefix="0" xfId="0">
      <alignment vertical="bottom"/>
    </xf>
    <xf numFmtId="0" fontId="9" fillId="11" borderId="1" applyAlignment="1" pivotButton="0" quotePrefix="0" xfId="0">
      <alignment horizontal="center" vertical="bottom"/>
    </xf>
    <xf numFmtId="0" fontId="9" fillId="5" borderId="1" applyAlignment="1" pivotButton="0" quotePrefix="0" xfId="0">
      <alignment horizontal="center" vertical="bottom"/>
    </xf>
    <xf numFmtId="0" fontId="9" fillId="9" borderId="1" applyAlignment="1" pivotButton="0" quotePrefix="0" xfId="0">
      <alignment horizontal="center" vertical="bottom"/>
    </xf>
    <xf numFmtId="0" fontId="9" fillId="10" borderId="1" applyAlignment="1" pivotButton="0" quotePrefix="0" xfId="0">
      <alignment horizontal="center" vertical="bottom"/>
    </xf>
    <xf numFmtId="0" fontId="7" fillId="0" borderId="1" applyAlignment="1" pivotButton="0" quotePrefix="0" xfId="0">
      <alignment horizontal="left"/>
    </xf>
    <xf numFmtId="0" fontId="7" fillId="3" borderId="1" applyAlignment="1" pivotButton="0" quotePrefix="0" xfId="0">
      <alignment horizontal="center"/>
    </xf>
    <xf numFmtId="0" fontId="7" fillId="0" borderId="1" applyAlignment="1" pivotButton="0" quotePrefix="0" xfId="0">
      <alignment horizontal="center"/>
    </xf>
    <xf numFmtId="0" fontId="7" fillId="3" borderId="1" pivotButton="0" quotePrefix="0" xfId="0"/>
    <xf numFmtId="0" fontId="7" fillId="6" borderId="1" pivotButton="0" quotePrefix="0" xfId="0"/>
    <xf numFmtId="2" fontId="7" fillId="6" borderId="1" pivotButton="0" quotePrefix="0" xfId="0"/>
    <xf numFmtId="0" fontId="7" fillId="6" borderId="1" applyAlignment="1" pivotButton="0" quotePrefix="0" xfId="0">
      <alignment horizontal="right"/>
    </xf>
    <xf numFmtId="0" fontId="7" fillId="3" borderId="1" applyAlignment="1" pivotButton="0" quotePrefix="0" xfId="0">
      <alignment horizontal="right"/>
    </xf>
    <xf numFmtId="0" fontId="9" fillId="0" borderId="1" applyAlignment="1" pivotButton="0" quotePrefix="0" xfId="0">
      <alignment vertical="center"/>
    </xf>
    <xf numFmtId="0" fontId="4" fillId="15" borderId="44" applyAlignment="1" pivotButton="0" quotePrefix="0" xfId="0">
      <alignment horizontal="center" vertical="bottom"/>
    </xf>
    <xf numFmtId="0" fontId="0" fillId="0" borderId="14" pivotButton="0" quotePrefix="0" xfId="0"/>
    <xf numFmtId="0" fontId="0" fillId="0" borderId="44" pivotButton="0" quotePrefix="0" xfId="0"/>
    <xf numFmtId="0" fontId="4" fillId="9" borderId="15" applyAlignment="1" pivotButton="0" quotePrefix="0" xfId="0">
      <alignment horizontal="center" vertical="bottom"/>
    </xf>
  </cellXfs>
  <cellStyles count="1">
    <cellStyle name="Normal" xfId="0" builtinId="0"/>
  </cellStyles>
  <dxfs count="8">
    <dxf>
      <font>
        <color rgb="FF434343"/>
      </font>
      <fill>
        <patternFill patternType="solid">
          <fgColor rgb="FFCCCCCC"/>
          <bgColor rgb="FFCCCCCC"/>
        </patternFill>
      </fill>
      <border/>
    </dxf>
    <dxf>
      <font>
        <color rgb="FFCC0000"/>
      </font>
      <fill>
        <patternFill patternType="solid">
          <fgColor rgb="FFF4C7C3"/>
          <bgColor rgb="FFF4C7C3"/>
        </patternFill>
      </fill>
      <border/>
    </dxf>
    <dxf>
      <font/>
      <fill>
        <patternFill patternType="solid">
          <fgColor rgb="FFCCCCCC"/>
          <bgColor rgb="FFCCCCCC"/>
        </patternFill>
      </fill>
      <border/>
    </dxf>
    <dxf>
      <font/>
      <fill>
        <patternFill patternType="solid">
          <fgColor rgb="FFFFF2CC"/>
          <bgColor rgb="FFFFF2CC"/>
        </patternFill>
      </fill>
      <border/>
    </dxf>
    <dxf>
      <font/>
      <fill>
        <patternFill patternType="solid">
          <fgColor rgb="FFC9DAF8"/>
          <bgColor rgb="FFC9DAF8"/>
        </patternFill>
      </fill>
      <border/>
    </dxf>
    <dxf>
      <font/>
      <fill>
        <patternFill patternType="solid">
          <fgColor rgb="FFF4CCCC"/>
          <bgColor rgb="FFF4CCCC"/>
        </patternFill>
      </fill>
      <border/>
    </dxf>
    <dxf>
      <font/>
      <fill>
        <patternFill patternType="solid">
          <fgColor rgb="FFD9EAD3"/>
          <bgColor rgb="FFD9EAD3"/>
        </patternFill>
      </fill>
      <border/>
    </dxf>
    <dxf>
      <font/>
      <fill>
        <patternFill patternType="solid">
          <fgColor rgb="FFD9D9D9"/>
          <bgColor rgb="FFD9D9D9"/>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ocs.google.com/spreadsheets/d/1TS8YjnOCA1QWgrPJa5HzzKVS7WefPnRxDbr5XFhNQ5o/edit?gid=1350936069" TargetMode="External" Id="rId1" /></Relationships>
</file>

<file path=xl/worksheets/_rels/sheet6.xml.rels><Relationships xmlns="http://schemas.openxmlformats.org/package/2006/relationships"><Relationship Type="http://schemas.openxmlformats.org/officeDocument/2006/relationships/hyperlink" Target="https://docs.google.com/spreadsheets/d/1W8OpcopRdGt_kp6Wv2HnCO-OW0kyPfH0EZN3xwX35hw/edit?gid=1515282012" TargetMode="External" Id="rId1" /></Relationships>
</file>

<file path=xl/worksheets/_rels/sheet8.xml.rels><Relationships xmlns="http://schemas.openxmlformats.org/package/2006/relationships"><Relationship Type="http://schemas.openxmlformats.org/officeDocument/2006/relationships/hyperlink" Target="http://deactivation_condition_type/" TargetMode="External" Id="rId1" /><Relationship Type="http://schemas.openxmlformats.org/officeDocument/2006/relationships/hyperlink" Target="https://wonderplanet-glow.slack.com/archives/C069N3UL80H/p1741157480866849?thread_ts=1741155527.728529&amp;cid=C069N3UL80H" TargetMode="External" Id="rId2" /></Relationships>
</file>

<file path=xl/worksheets/_rels/sheet15.xml.rels><Relationships xmlns="http://schemas.openxmlformats.org/package/2006/relationships"><Relationship Type="http://schemas.openxmlformats.org/officeDocument/2006/relationships/hyperlink" Target="https://wonderplanet-ug.slack.com/archives/C069N3UL80H/p1722995173288529?thread_ts=1722835297.861409&amp;cid=C069N3UL80H" TargetMode="External" Id="rId1" /><Relationship Type="http://schemas.openxmlformats.org/officeDocument/2006/relationships/hyperlink" Target="https://wonderplanet.atlassian.net/wiki/spaces/GLOW/pages/332726851/3_?focusedCommentId=374046741" TargetMode="External" Id="rId2" /></Relationships>
</file>

<file path=xl/worksheets/_rels/sheet18.xml.rels><Relationships xmlns="http://schemas.openxmlformats.org/package/2006/relationships"><Relationship Type="http://schemas.openxmlformats.org/officeDocument/2006/relationships/hyperlink" Target="https://wonderplanet.atlassian.net/wiki/spaces/GLOW/pages/344622597" TargetMode="External" Id="rId1" /></Relationships>
</file>

<file path=xl/worksheets/_rels/sheet21.xml.rels><Relationships xmlns="http://schemas.openxmlformats.org/package/2006/relationships"><Relationship Type="http://schemas.openxmlformats.org/officeDocument/2006/relationships/hyperlink" Target="https://app.box.com/folder/303904861699" TargetMode="External" Id="rId1" /><Relationship Type="http://schemas.openxmlformats.org/officeDocument/2006/relationships/hyperlink" Target="https://app.box.com/folder/313090384535" TargetMode="External" Id="rId2" /><Relationship Type="http://schemas.openxmlformats.org/officeDocument/2006/relationships/hyperlink" Target="https://app.box.com/folder/313090384535" TargetMode="External" Id="rId3" /><Relationship Type="http://schemas.openxmlformats.org/officeDocument/2006/relationships/hyperlink" Target="https://app.box.com/folder/307822120496" TargetMode="External" Id="rId4" /><Relationship Type="http://schemas.openxmlformats.org/officeDocument/2006/relationships/hyperlink" Target="https://app.box.com/folder/309364595927" TargetMode="External" Id="rId5" /><Relationship Type="http://schemas.openxmlformats.org/officeDocument/2006/relationships/hyperlink" Target="https://app.box.com/folder/309364595927" TargetMode="External" Id="rId6" /><Relationship Type="http://schemas.openxmlformats.org/officeDocument/2006/relationships/hyperlink" Target="https://app.box.com/folder/313090384535" TargetMode="External" Id="rId7" /><Relationship Type="http://schemas.openxmlformats.org/officeDocument/2006/relationships/hyperlink" Target="https://app.box.com/file/1721214030733" TargetMode="External" Id="rId8" /><Relationship Type="http://schemas.openxmlformats.org/officeDocument/2006/relationships/hyperlink" Target="https://app.box.com/file/1721214030733" TargetMode="External" Id="rId9" /></Relationships>
</file>

<file path=xl/worksheets/sheet1.xml><?xml version="1.0" encoding="utf-8"?>
<worksheet xmlns="http://schemas.openxmlformats.org/spreadsheetml/2006/main">
  <sheetPr>
    <tabColor rgb="FFFF0000"/>
    <outlinePr summaryBelow="0" summaryRight="0"/>
    <pageSetUpPr/>
  </sheetPr>
  <dimension ref="A1:F19"/>
  <sheetViews>
    <sheetView workbookViewId="0">
      <pane ySplit="1" topLeftCell="A2" activePane="bottomLeft" state="frozen"/>
      <selection pane="bottomLeft" activeCell="B3" sqref="B3"/>
    </sheetView>
  </sheetViews>
  <sheetFormatPr baseColWidth="8" defaultColWidth="12.63" defaultRowHeight="15.75" customHeight="1"/>
  <cols>
    <col width="21" customWidth="1" style="482" min="1" max="1"/>
    <col width="31" customWidth="1" style="482" min="2" max="2"/>
    <col width="33.63" customWidth="1" style="482" min="3" max="4"/>
    <col width="23.25" customWidth="1" style="482" min="5" max="5"/>
    <col width="32" customWidth="1" style="482" min="6" max="6"/>
  </cols>
  <sheetData>
    <row r="1">
      <c r="A1" s="351" t="inlineStr">
        <is>
          <t>チェック</t>
        </is>
      </c>
      <c r="B1" s="351" t="inlineStr">
        <is>
          <t>シート名</t>
        </is>
      </c>
      <c r="C1" s="2" t="inlineStr">
        <is>
          <t>マッピング</t>
        </is>
      </c>
      <c r="D1" s="351" t="inlineStr">
        <is>
          <t>マスターURL</t>
        </is>
      </c>
      <c r="E1" s="3" t="inlineStr">
        <is>
          <t>最終チェック日時</t>
        </is>
      </c>
      <c r="F1" s="351" t="inlineStr">
        <is>
          <t>結果</t>
        </is>
      </c>
    </row>
    <row r="2">
      <c r="A2" s="351" t="b">
        <v>1</v>
      </c>
      <c r="B2" s="351" t="inlineStr">
        <is>
          <t>1話</t>
        </is>
      </c>
      <c r="C2" s="2" t="inlineStr">
        <is>
          <t>マッピング設定シート_new</t>
        </is>
      </c>
      <c r="D2" s="4" t="inlineStr">
        <is>
          <t>https://docs.google.com/spreadsheets/d/1TS8YjnOCA1QWgrPJa5HzzKVS7WefPnRxDbr5XFhNQ5o/edit?gid=1350936069#gid=1350936069</t>
        </is>
      </c>
      <c r="E2" s="5" t="n">
        <v>46027.68656988426</v>
      </c>
      <c r="F2" s="351" t="inlineStr">
        <is>
          <t>✅ OK</t>
        </is>
      </c>
    </row>
    <row r="3">
      <c r="A3" s="351" t="b">
        <v>0</v>
      </c>
      <c r="B3" s="351" t="n"/>
      <c r="C3" s="2" t="n"/>
      <c r="D3" s="6" t="n"/>
      <c r="E3" s="5" t="n"/>
      <c r="F3" s="351" t="n"/>
    </row>
    <row r="4">
      <c r="A4" s="351" t="b">
        <v>0</v>
      </c>
      <c r="B4" s="351" t="n"/>
      <c r="C4" s="2" t="n"/>
      <c r="D4" s="6" t="n"/>
      <c r="E4" s="5" t="n"/>
      <c r="F4" s="351" t="n"/>
    </row>
    <row r="5">
      <c r="A5" s="351" t="b">
        <v>0</v>
      </c>
      <c r="B5" s="351" t="n"/>
      <c r="C5" s="2" t="n"/>
      <c r="D5" s="6" t="n"/>
      <c r="E5" s="5" t="n"/>
      <c r="F5" s="351" t="n"/>
    </row>
    <row r="6">
      <c r="A6" s="351" t="b">
        <v>0</v>
      </c>
      <c r="B6" s="351" t="n"/>
      <c r="C6" s="2" t="n"/>
      <c r="D6" s="6" t="n"/>
      <c r="E6" s="5" t="n"/>
      <c r="F6" s="351" t="n"/>
    </row>
    <row r="7">
      <c r="A7" s="351" t="b">
        <v>0</v>
      </c>
      <c r="B7" s="351" t="n"/>
      <c r="C7" s="2" t="n"/>
      <c r="D7" s="6" t="n"/>
      <c r="E7" s="5" t="n"/>
      <c r="F7" s="351" t="n"/>
    </row>
    <row r="8">
      <c r="A8" s="351" t="b">
        <v>0</v>
      </c>
      <c r="B8" s="351" t="n"/>
      <c r="C8" s="2" t="n"/>
      <c r="D8" s="6" t="n"/>
      <c r="E8" s="5" t="n"/>
      <c r="F8" s="351" t="n"/>
    </row>
    <row r="9">
      <c r="A9" s="351" t="b">
        <v>0</v>
      </c>
      <c r="B9" s="351" t="n"/>
      <c r="C9" s="2" t="n"/>
      <c r="D9" s="6" t="n"/>
      <c r="E9" s="7" t="n"/>
      <c r="F9" s="351" t="n"/>
    </row>
    <row r="10">
      <c r="A10" s="351" t="b">
        <v>0</v>
      </c>
      <c r="B10" s="351" t="n"/>
      <c r="C10" s="2" t="n"/>
      <c r="D10" s="6" t="n"/>
      <c r="E10" s="7" t="n"/>
      <c r="F10" s="351" t="n"/>
    </row>
    <row r="11">
      <c r="A11" s="351" t="b">
        <v>0</v>
      </c>
      <c r="B11" s="351" t="n"/>
      <c r="C11" s="2" t="n"/>
      <c r="D11" s="6" t="n"/>
      <c r="E11" s="7" t="n"/>
      <c r="F11" s="351" t="n"/>
    </row>
    <row r="12">
      <c r="A12" s="351" t="b">
        <v>0</v>
      </c>
      <c r="B12" s="351" t="n"/>
      <c r="C12" s="2" t="n"/>
      <c r="D12" s="6" t="n"/>
      <c r="E12" s="7" t="n"/>
      <c r="F12" s="351" t="n"/>
    </row>
    <row r="13">
      <c r="A13" s="351" t="b">
        <v>0</v>
      </c>
      <c r="B13" s="351" t="n"/>
      <c r="C13" s="2" t="n"/>
      <c r="D13" s="6" t="n"/>
      <c r="E13" s="7" t="n"/>
      <c r="F13" s="351" t="n"/>
    </row>
    <row r="14">
      <c r="A14" s="351" t="b">
        <v>0</v>
      </c>
      <c r="B14" s="351" t="n"/>
      <c r="C14" s="2" t="n"/>
      <c r="D14" s="6" t="n"/>
      <c r="E14" s="7" t="n"/>
      <c r="F14" s="351" t="n"/>
    </row>
    <row r="15">
      <c r="A15" s="351" t="b">
        <v>0</v>
      </c>
      <c r="B15" s="351" t="n"/>
      <c r="C15" s="2" t="n"/>
      <c r="D15" s="6" t="n"/>
      <c r="E15" s="7" t="n"/>
      <c r="F15" s="351" t="n"/>
    </row>
    <row r="16">
      <c r="A16" s="351" t="b">
        <v>0</v>
      </c>
      <c r="B16" s="351" t="n"/>
      <c r="C16" s="2" t="n"/>
      <c r="D16" s="6" t="n"/>
      <c r="E16" s="7" t="n"/>
      <c r="F16" s="351" t="n"/>
    </row>
    <row r="17">
      <c r="A17" s="351" t="b">
        <v>0</v>
      </c>
      <c r="B17" s="351" t="n"/>
      <c r="C17" s="2" t="n"/>
      <c r="D17" s="6" t="n"/>
      <c r="E17" s="7" t="n"/>
      <c r="F17" s="351" t="n"/>
    </row>
    <row r="18">
      <c r="A18" s="351" t="b">
        <v>0</v>
      </c>
      <c r="B18" s="351" t="n"/>
      <c r="C18" s="2" t="n"/>
      <c r="D18" s="6" t="n"/>
      <c r="E18" s="7" t="n"/>
      <c r="F18" s="351" t="n"/>
    </row>
    <row r="19">
      <c r="A19" s="351" t="b">
        <v>0</v>
      </c>
      <c r="B19" s="351" t="n"/>
      <c r="C19" s="2" t="n"/>
      <c r="D19" s="6" t="n"/>
      <c r="E19" s="7" t="n"/>
      <c r="F19" s="351" t="n"/>
    </row>
  </sheetData>
  <hyperlinks>
    <hyperlink xmlns:r="http://schemas.openxmlformats.org/officeDocument/2006/relationships" ref="D2" location="gid=1350936069" r:id="rId1"/>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AI24"/>
  <sheetViews>
    <sheetView workbookViewId="0">
      <selection activeCell="A1" sqref="A1"/>
    </sheetView>
  </sheetViews>
  <sheetFormatPr baseColWidth="8" defaultColWidth="12.63" defaultRowHeight="15.75" customHeight="1"/>
  <sheetData>
    <row r="1">
      <c r="A1" s="327" t="inlineStr">
        <is>
          <t>シート名</t>
        </is>
      </c>
      <c r="B1" s="327" t="inlineStr">
        <is>
          <t>id</t>
        </is>
      </c>
      <c r="C1" s="327" t="inlineStr">
        <is>
          <t>sequence_set_id</t>
        </is>
      </c>
      <c r="D1" s="327" t="inlineStr">
        <is>
          <t>sequence_group_id</t>
        </is>
      </c>
      <c r="E1" s="327" t="inlineStr">
        <is>
          <t>sequence_element_id</t>
        </is>
      </c>
      <c r="F1" s="327" t="inlineStr">
        <is>
          <t>priority_sequence_element_id</t>
        </is>
      </c>
      <c r="G1" s="327" t="inlineStr">
        <is>
          <t>condition_type</t>
        </is>
      </c>
      <c r="H1" s="327" t="inlineStr">
        <is>
          <t>condition_value</t>
        </is>
      </c>
      <c r="I1" s="327" t="inlineStr">
        <is>
          <t>action_type</t>
        </is>
      </c>
      <c r="J1" s="327" t="inlineStr">
        <is>
          <t>action_value</t>
        </is>
      </c>
      <c r="K1" s="327" t="inlineStr">
        <is>
          <t>action_value2</t>
        </is>
      </c>
      <c r="L1" s="327" t="inlineStr">
        <is>
          <t>summon_count</t>
        </is>
      </c>
      <c r="M1" s="327" t="inlineStr">
        <is>
          <t>summon_interval</t>
        </is>
      </c>
      <c r="N1" s="327" t="inlineStr">
        <is>
          <t>summon_animation_type</t>
        </is>
      </c>
      <c r="O1" s="327" t="inlineStr">
        <is>
          <t>summon_position</t>
        </is>
      </c>
      <c r="P1" s="327" t="inlineStr">
        <is>
          <t>move_start_condition_type</t>
        </is>
      </c>
      <c r="Q1" s="327" t="inlineStr">
        <is>
          <t>move_start_condition_value</t>
        </is>
      </c>
      <c r="R1" s="327" t="inlineStr">
        <is>
          <t>move_stop_condition_type</t>
        </is>
      </c>
      <c r="S1" s="327" t="inlineStr">
        <is>
          <t>move_stop_condition_value</t>
        </is>
      </c>
      <c r="T1" s="327" t="inlineStr">
        <is>
          <t>move_restart_condition_type</t>
        </is>
      </c>
      <c r="U1" s="327" t="inlineStr">
        <is>
          <t>move_restart_condition_value</t>
        </is>
      </c>
      <c r="V1" s="327" t="inlineStr">
        <is>
          <t>move_loop_count</t>
        </is>
      </c>
      <c r="W1" s="327" t="inlineStr">
        <is>
          <t>is_summon_unit_outpost_damage_invalidation</t>
        </is>
      </c>
      <c r="X1" s="327" t="inlineStr">
        <is>
          <t>last_boss_trigger</t>
        </is>
      </c>
      <c r="Y1" s="327" t="inlineStr">
        <is>
          <t>aura_type</t>
        </is>
      </c>
      <c r="Z1" s="327" t="inlineStr">
        <is>
          <t>death_type</t>
        </is>
      </c>
      <c r="AA1" s="327" t="inlineStr">
        <is>
          <t>enemy_hp_coef</t>
        </is>
      </c>
      <c r="AB1" s="327" t="inlineStr">
        <is>
          <t>enemy_attack_coef</t>
        </is>
      </c>
      <c r="AC1" s="327" t="inlineStr">
        <is>
          <t>enemy_speed_coef</t>
        </is>
      </c>
      <c r="AD1" s="327" t="inlineStr">
        <is>
          <t>override_drop_battle_point</t>
        </is>
      </c>
      <c r="AE1" s="327" t="inlineStr">
        <is>
          <t>defeated_score</t>
        </is>
      </c>
      <c r="AF1" s="327" t="inlineStr">
        <is>
          <t>action_delay</t>
        </is>
      </c>
      <c r="AG1" s="327" t="inlineStr">
        <is>
          <t>deactivation_condition_type</t>
        </is>
      </c>
      <c r="AH1" s="327" t="inlineStr">
        <is>
          <t>deactivation_condition_value</t>
        </is>
      </c>
      <c r="AI1" s="327" t="inlineStr">
        <is>
          <t>release_key</t>
        </is>
      </c>
    </row>
    <row r="2">
      <c r="A2" s="327" t="inlineStr">
        <is>
          <t>1話</t>
        </is>
      </c>
      <c r="C2" s="327" t="inlineStr">
        <is>
          <t>raid_jig1_00001</t>
        </is>
      </c>
      <c r="E2" s="327" t="n">
        <v>1</v>
      </c>
      <c r="G2" s="327" t="inlineStr">
        <is>
          <t>ElapsedTime</t>
        </is>
      </c>
      <c r="H2" s="327" t="n">
        <v>0</v>
      </c>
      <c r="I2" s="327" t="inlineStr">
        <is>
          <t>SummonEnemy</t>
        </is>
      </c>
      <c r="J2" s="327" t="inlineStr">
        <is>
          <t>e_jig_00401_jig1_advent_Normal_Colorless</t>
        </is>
      </c>
      <c r="L2" s="327" t="n">
        <v>5</v>
      </c>
      <c r="M2" s="327" t="n">
        <v>100</v>
      </c>
      <c r="N2" s="327" t="inlineStr">
        <is>
          <t>None</t>
        </is>
      </c>
      <c r="P2" s="327" t="inlineStr">
        <is>
          <t>None</t>
        </is>
      </c>
      <c r="R2" s="327" t="inlineStr">
        <is>
          <t>None</t>
        </is>
      </c>
      <c r="T2" s="327" t="inlineStr">
        <is>
          <t>None</t>
        </is>
      </c>
      <c r="W2" s="327" t="b">
        <v>0</v>
      </c>
      <c r="Y2" s="327" t="inlineStr">
        <is>
          <t>Default</t>
        </is>
      </c>
      <c r="Z2" s="327" t="inlineStr">
        <is>
          <t>Normal</t>
        </is>
      </c>
      <c r="AA2" s="327" t="n">
        <v>3</v>
      </c>
      <c r="AB2" s="327" t="n">
        <v>0.3</v>
      </c>
      <c r="AC2" s="327" t="n">
        <v>1</v>
      </c>
      <c r="AD2" s="327" t="n">
        <v>50</v>
      </c>
      <c r="AE2" s="327" t="n">
        <v>20</v>
      </c>
      <c r="AG2" s="327" t="inlineStr">
        <is>
          <t>None</t>
        </is>
      </c>
      <c r="AI2" s="327" t="n">
        <v>202601010</v>
      </c>
    </row>
    <row r="3">
      <c r="A3" s="327" t="inlineStr">
        <is>
          <t>1話</t>
        </is>
      </c>
      <c r="C3" s="327" t="inlineStr">
        <is>
          <t>raid_jig1_00001</t>
        </is>
      </c>
      <c r="E3" s="327" t="n">
        <v>2</v>
      </c>
      <c r="G3" s="327" t="inlineStr">
        <is>
          <t>ElapsedTime</t>
        </is>
      </c>
      <c r="H3" s="327" t="n">
        <v>0</v>
      </c>
      <c r="I3" s="327" t="inlineStr">
        <is>
          <t>SummonEnemy</t>
        </is>
      </c>
      <c r="J3" s="327" t="inlineStr">
        <is>
          <t>e_jig_00001_jig1_advent_Normal_Colorless</t>
        </is>
      </c>
      <c r="L3" s="327" t="n">
        <v>5</v>
      </c>
      <c r="M3" s="327" t="n">
        <v>180</v>
      </c>
      <c r="N3" s="327" t="inlineStr">
        <is>
          <t>None</t>
        </is>
      </c>
      <c r="P3" s="327" t="inlineStr">
        <is>
          <t>None</t>
        </is>
      </c>
      <c r="R3" s="327" t="inlineStr">
        <is>
          <t>None</t>
        </is>
      </c>
      <c r="T3" s="327" t="inlineStr">
        <is>
          <t>None</t>
        </is>
      </c>
      <c r="W3" s="327" t="b">
        <v>0</v>
      </c>
      <c r="Y3" s="327" t="inlineStr">
        <is>
          <t>Default</t>
        </is>
      </c>
      <c r="Z3" s="327" t="inlineStr">
        <is>
          <t>Normal</t>
        </is>
      </c>
      <c r="AA3" s="327" t="n">
        <v>0.7</v>
      </c>
      <c r="AB3" s="327" t="n">
        <v>0.6</v>
      </c>
      <c r="AC3" s="327" t="n">
        <v>1</v>
      </c>
      <c r="AE3" s="327" t="n">
        <v>20</v>
      </c>
      <c r="AG3" s="327" t="inlineStr">
        <is>
          <t>None</t>
        </is>
      </c>
      <c r="AI3" s="327" t="n">
        <v>202601010</v>
      </c>
    </row>
    <row r="4">
      <c r="A4" s="327" t="inlineStr">
        <is>
          <t>1話</t>
        </is>
      </c>
      <c r="C4" s="327" t="inlineStr">
        <is>
          <t>raid_jig1_00001</t>
        </is>
      </c>
      <c r="E4" s="327" t="n">
        <v>3</v>
      </c>
      <c r="G4" s="327" t="inlineStr">
        <is>
          <t>InitialSummon</t>
        </is>
      </c>
      <c r="H4" s="327" t="n">
        <v>1</v>
      </c>
      <c r="I4" s="327" t="inlineStr">
        <is>
          <t>SummonEnemy</t>
        </is>
      </c>
      <c r="J4" s="327" t="inlineStr">
        <is>
          <t>e_jig_00301_jig1_advent_Boss_Colorless</t>
        </is>
      </c>
      <c r="L4" s="327" t="n">
        <v>1</v>
      </c>
      <c r="M4" s="327" t="n">
        <v>0</v>
      </c>
      <c r="N4" s="327" t="inlineStr">
        <is>
          <t>None</t>
        </is>
      </c>
      <c r="O4" s="327" t="n">
        <v>1.7</v>
      </c>
      <c r="P4" s="327" t="inlineStr">
        <is>
          <t>EnterTargetKoma</t>
        </is>
      </c>
      <c r="Q4" s="327" t="n">
        <v>1</v>
      </c>
      <c r="R4" s="327" t="inlineStr">
        <is>
          <t>None</t>
        </is>
      </c>
      <c r="T4" s="327" t="inlineStr">
        <is>
          <t>None</t>
        </is>
      </c>
      <c r="W4" s="327" t="b">
        <v>0</v>
      </c>
      <c r="Y4" s="327" t="inlineStr">
        <is>
          <t>AdventBoss2</t>
        </is>
      </c>
      <c r="Z4" s="327" t="inlineStr">
        <is>
          <t>Normal</t>
        </is>
      </c>
      <c r="AA4" s="327" t="n">
        <v>8</v>
      </c>
      <c r="AB4" s="327" t="n">
        <v>0.6</v>
      </c>
      <c r="AC4" s="327" t="n">
        <v>1</v>
      </c>
      <c r="AD4" s="327" t="n">
        <v>800</v>
      </c>
      <c r="AE4" s="327" t="n">
        <v>700</v>
      </c>
      <c r="AG4" s="327" t="inlineStr">
        <is>
          <t>None</t>
        </is>
      </c>
      <c r="AI4" s="327" t="n">
        <v>202601010</v>
      </c>
    </row>
    <row r="5">
      <c r="A5" s="327" t="inlineStr">
        <is>
          <t>1話</t>
        </is>
      </c>
      <c r="C5" s="327" t="inlineStr">
        <is>
          <t>raid_jig1_00001</t>
        </is>
      </c>
      <c r="E5" s="327" t="inlineStr">
        <is>
          <t>groupchange_1</t>
        </is>
      </c>
      <c r="G5" s="327" t="inlineStr">
        <is>
          <t>ElapsedTime</t>
        </is>
      </c>
      <c r="H5" s="327" t="n">
        <v>200</v>
      </c>
      <c r="I5" s="327" t="inlineStr">
        <is>
          <t>SwitchSequenceGroup</t>
        </is>
      </c>
      <c r="J5" s="327" t="inlineStr">
        <is>
          <t>w1</t>
        </is>
      </c>
      <c r="N5" s="327" t="inlineStr">
        <is>
          <t>None</t>
        </is>
      </c>
      <c r="P5" s="327" t="inlineStr">
        <is>
          <t>None</t>
        </is>
      </c>
      <c r="R5" s="327" t="inlineStr">
        <is>
          <t>None</t>
        </is>
      </c>
      <c r="T5" s="327" t="inlineStr">
        <is>
          <t>None</t>
        </is>
      </c>
      <c r="W5" s="327" t="b">
        <v>0</v>
      </c>
      <c r="Y5" s="327" t="inlineStr">
        <is>
          <t>Default</t>
        </is>
      </c>
      <c r="Z5" s="327" t="inlineStr">
        <is>
          <t>Normal</t>
        </is>
      </c>
      <c r="AA5" s="327" t="n">
        <v>1</v>
      </c>
      <c r="AB5" s="327" t="n">
        <v>1</v>
      </c>
      <c r="AC5" s="327" t="n">
        <v>1</v>
      </c>
      <c r="AG5" s="327" t="inlineStr">
        <is>
          <t>None</t>
        </is>
      </c>
      <c r="AI5" s="327" t="n">
        <v>202601010</v>
      </c>
    </row>
    <row r="6">
      <c r="A6" s="327" t="inlineStr">
        <is>
          <t>1話</t>
        </is>
      </c>
      <c r="C6" s="327" t="inlineStr">
        <is>
          <t>raid_jig1_00001</t>
        </is>
      </c>
      <c r="D6" s="327" t="inlineStr">
        <is>
          <t>w1</t>
        </is>
      </c>
      <c r="E6" s="327" t="n">
        <v>101</v>
      </c>
      <c r="G6" s="327" t="inlineStr">
        <is>
          <t>ElapsedTimeSinceSequenceGroupActivated</t>
        </is>
      </c>
      <c r="H6" s="327" t="n">
        <v>0</v>
      </c>
      <c r="I6" s="327" t="inlineStr">
        <is>
          <t>SummonEnemy</t>
        </is>
      </c>
      <c r="J6" s="327" t="inlineStr">
        <is>
          <t>e_jig_00401_jig1_advent_Normal_Yellow</t>
        </is>
      </c>
      <c r="L6" s="327" t="n">
        <v>10</v>
      </c>
      <c r="M6" s="327" t="n">
        <v>450</v>
      </c>
      <c r="N6" s="327" t="inlineStr">
        <is>
          <t>None</t>
        </is>
      </c>
      <c r="P6" s="327" t="inlineStr">
        <is>
          <t>None</t>
        </is>
      </c>
      <c r="R6" s="327" t="inlineStr">
        <is>
          <t>None</t>
        </is>
      </c>
      <c r="T6" s="327" t="inlineStr">
        <is>
          <t>None</t>
        </is>
      </c>
      <c r="W6" s="327" t="b">
        <v>0</v>
      </c>
      <c r="Y6" s="327" t="inlineStr">
        <is>
          <t>Default</t>
        </is>
      </c>
      <c r="Z6" s="327" t="inlineStr">
        <is>
          <t>Normal</t>
        </is>
      </c>
      <c r="AA6" s="327" t="n">
        <v>5</v>
      </c>
      <c r="AB6" s="327" t="n">
        <v>0.4</v>
      </c>
      <c r="AC6" s="327" t="n">
        <v>1</v>
      </c>
      <c r="AD6" s="327" t="n">
        <v>50</v>
      </c>
      <c r="AE6" s="327" t="n">
        <v>30</v>
      </c>
      <c r="AG6" s="327" t="inlineStr">
        <is>
          <t>None</t>
        </is>
      </c>
      <c r="AI6" s="327" t="n">
        <v>202601010</v>
      </c>
    </row>
    <row r="7">
      <c r="A7" s="327" t="inlineStr">
        <is>
          <t>1話</t>
        </is>
      </c>
      <c r="C7" s="327" t="inlineStr">
        <is>
          <t>raid_jig1_00001</t>
        </is>
      </c>
      <c r="D7" s="327" t="inlineStr">
        <is>
          <t>w1</t>
        </is>
      </c>
      <c r="E7" s="327" t="n">
        <v>103</v>
      </c>
      <c r="G7" s="327" t="inlineStr">
        <is>
          <t>ElapsedTimeSinceSequenceGroupActivated</t>
        </is>
      </c>
      <c r="H7" s="327" t="n">
        <v>200</v>
      </c>
      <c r="I7" s="327" t="inlineStr">
        <is>
          <t>SummonEnemy</t>
        </is>
      </c>
      <c r="J7" s="327" t="inlineStr">
        <is>
          <t>e_jig_00201_jig1_advent_Boss_Yellow</t>
        </is>
      </c>
      <c r="L7" s="327" t="n">
        <v>1</v>
      </c>
      <c r="M7" s="327" t="n">
        <v>0</v>
      </c>
      <c r="N7" s="327" t="inlineStr">
        <is>
          <t>None</t>
        </is>
      </c>
      <c r="P7" s="327" t="inlineStr">
        <is>
          <t>None</t>
        </is>
      </c>
      <c r="R7" s="327" t="inlineStr">
        <is>
          <t>None</t>
        </is>
      </c>
      <c r="T7" s="327" t="inlineStr">
        <is>
          <t>None</t>
        </is>
      </c>
      <c r="W7" s="327" t="b">
        <v>0</v>
      </c>
      <c r="Y7" s="327" t="inlineStr">
        <is>
          <t>AdventBoss1</t>
        </is>
      </c>
      <c r="Z7" s="327" t="inlineStr">
        <is>
          <t>Normal</t>
        </is>
      </c>
      <c r="AA7" s="327" t="n">
        <v>0.13</v>
      </c>
      <c r="AB7" s="327" t="n">
        <v>0.4</v>
      </c>
      <c r="AC7" s="327" t="n">
        <v>1</v>
      </c>
      <c r="AD7" s="327" t="n">
        <v>250</v>
      </c>
      <c r="AE7" s="327" t="n">
        <v>400</v>
      </c>
      <c r="AG7" s="327" t="inlineStr">
        <is>
          <t>None</t>
        </is>
      </c>
      <c r="AI7" s="327" t="n">
        <v>202601010</v>
      </c>
    </row>
    <row r="8">
      <c r="A8" s="327" t="inlineStr">
        <is>
          <t>1話</t>
        </is>
      </c>
      <c r="C8" s="327" t="inlineStr">
        <is>
          <t>raid_jig1_00001</t>
        </is>
      </c>
      <c r="D8" s="327" t="inlineStr">
        <is>
          <t>w1</t>
        </is>
      </c>
      <c r="E8" s="327" t="inlineStr">
        <is>
          <t>groupchange_2</t>
        </is>
      </c>
      <c r="G8" s="327" t="inlineStr">
        <is>
          <t>FriendUnitDead</t>
        </is>
      </c>
      <c r="H8" s="327" t="n">
        <v>103</v>
      </c>
      <c r="I8" s="327" t="inlineStr">
        <is>
          <t>SwitchSequenceGroup</t>
        </is>
      </c>
      <c r="J8" s="327" t="inlineStr">
        <is>
          <t>w2</t>
        </is>
      </c>
      <c r="N8" s="327" t="inlineStr">
        <is>
          <t>None</t>
        </is>
      </c>
      <c r="P8" s="327" t="inlineStr">
        <is>
          <t>None</t>
        </is>
      </c>
      <c r="R8" s="327" t="inlineStr">
        <is>
          <t>None</t>
        </is>
      </c>
      <c r="T8" s="327" t="inlineStr">
        <is>
          <t>None</t>
        </is>
      </c>
      <c r="W8" s="327" t="b">
        <v>0</v>
      </c>
      <c r="Y8" s="327" t="inlineStr">
        <is>
          <t>Default</t>
        </is>
      </c>
      <c r="Z8" s="327" t="inlineStr">
        <is>
          <t>Normal</t>
        </is>
      </c>
      <c r="AA8" s="327" t="n">
        <v>1</v>
      </c>
      <c r="AB8" s="327" t="n">
        <v>1</v>
      </c>
      <c r="AC8" s="327" t="n">
        <v>1</v>
      </c>
      <c r="AG8" s="327" t="inlineStr">
        <is>
          <t>None</t>
        </is>
      </c>
      <c r="AI8" s="327" t="n">
        <v>202601010</v>
      </c>
    </row>
    <row r="9">
      <c r="A9" s="327" t="inlineStr">
        <is>
          <t>1話</t>
        </is>
      </c>
      <c r="C9" s="327" t="inlineStr">
        <is>
          <t>raid_jig1_00001</t>
        </is>
      </c>
      <c r="D9" s="327" t="inlineStr">
        <is>
          <t>w2</t>
        </is>
      </c>
      <c r="E9" s="327" t="n">
        <v>201</v>
      </c>
      <c r="G9" s="327" t="inlineStr">
        <is>
          <t>ElapsedTimeSinceSequenceGroupActivated</t>
        </is>
      </c>
      <c r="H9" s="327" t="n">
        <v>5</v>
      </c>
      <c r="I9" s="327" t="inlineStr">
        <is>
          <t>SummonEnemy</t>
        </is>
      </c>
      <c r="J9" s="327" t="inlineStr">
        <is>
          <t>e_jig_00401_jig1_advent_Normal_Yellow</t>
        </is>
      </c>
      <c r="L9" s="327" t="n">
        <v>40</v>
      </c>
      <c r="M9" s="327" t="n">
        <v>360</v>
      </c>
      <c r="N9" s="327" t="inlineStr">
        <is>
          <t>None</t>
        </is>
      </c>
      <c r="P9" s="327" t="inlineStr">
        <is>
          <t>None</t>
        </is>
      </c>
      <c r="R9" s="327" t="inlineStr">
        <is>
          <t>None</t>
        </is>
      </c>
      <c r="T9" s="327" t="inlineStr">
        <is>
          <t>None</t>
        </is>
      </c>
      <c r="W9" s="327" t="b">
        <v>0</v>
      </c>
      <c r="Y9" s="327" t="inlineStr">
        <is>
          <t>Default</t>
        </is>
      </c>
      <c r="Z9" s="327" t="inlineStr">
        <is>
          <t>Normal</t>
        </is>
      </c>
      <c r="AA9" s="327" t="n">
        <v>7</v>
      </c>
      <c r="AB9" s="327" t="n">
        <v>0.7</v>
      </c>
      <c r="AC9" s="327" t="n">
        <v>1</v>
      </c>
      <c r="AD9" s="327" t="n">
        <v>50</v>
      </c>
      <c r="AE9" s="327" t="n">
        <v>50</v>
      </c>
      <c r="AG9" s="327" t="inlineStr">
        <is>
          <t>None</t>
        </is>
      </c>
      <c r="AI9" s="327" t="n">
        <v>202601010</v>
      </c>
    </row>
    <row r="10">
      <c r="A10" s="327" t="inlineStr">
        <is>
          <t>1話</t>
        </is>
      </c>
      <c r="C10" s="327" t="inlineStr">
        <is>
          <t>raid_jig1_00001</t>
        </is>
      </c>
      <c r="D10" s="327" t="inlineStr">
        <is>
          <t>w2</t>
        </is>
      </c>
      <c r="E10" s="327" t="n">
        <v>202</v>
      </c>
      <c r="G10" s="327" t="inlineStr">
        <is>
          <t>ElapsedTimeSinceSequenceGroupActivated</t>
        </is>
      </c>
      <c r="H10" s="327" t="n">
        <v>50</v>
      </c>
      <c r="I10" s="327" t="inlineStr">
        <is>
          <t>SummonEnemy</t>
        </is>
      </c>
      <c r="J10" s="327" t="inlineStr">
        <is>
          <t>e_jig_00601_jig1_advent_Boss_Yellow</t>
        </is>
      </c>
      <c r="L10" s="327" t="n">
        <v>1</v>
      </c>
      <c r="M10" s="327" t="n">
        <v>0</v>
      </c>
      <c r="N10" s="327" t="inlineStr">
        <is>
          <t>None</t>
        </is>
      </c>
      <c r="P10" s="327" t="inlineStr">
        <is>
          <t>None</t>
        </is>
      </c>
      <c r="R10" s="327" t="inlineStr">
        <is>
          <t>None</t>
        </is>
      </c>
      <c r="T10" s="327" t="inlineStr">
        <is>
          <t>None</t>
        </is>
      </c>
      <c r="W10" s="327" t="b">
        <v>0</v>
      </c>
      <c r="Y10" s="327" t="inlineStr">
        <is>
          <t>AdventBoss2</t>
        </is>
      </c>
      <c r="Z10" s="327" t="inlineStr">
        <is>
          <t>Normal</t>
        </is>
      </c>
      <c r="AA10" s="327" t="n">
        <v>0.7</v>
      </c>
      <c r="AB10" s="327" t="n">
        <v>1.3</v>
      </c>
      <c r="AC10" s="327" t="n">
        <v>1</v>
      </c>
      <c r="AD10" s="327" t="n">
        <v>250</v>
      </c>
      <c r="AE10" s="327" t="n">
        <v>500</v>
      </c>
      <c r="AG10" s="327" t="inlineStr">
        <is>
          <t>None</t>
        </is>
      </c>
      <c r="AI10" s="327" t="n">
        <v>202601010</v>
      </c>
    </row>
    <row r="11">
      <c r="A11" s="327" t="inlineStr">
        <is>
          <t>1話</t>
        </is>
      </c>
      <c r="C11" s="327" t="inlineStr">
        <is>
          <t>raid_jig1_00001</t>
        </is>
      </c>
      <c r="D11" s="327" t="inlineStr">
        <is>
          <t>w2</t>
        </is>
      </c>
      <c r="E11" s="327" t="inlineStr">
        <is>
          <t>groupchange_3</t>
        </is>
      </c>
      <c r="G11" s="327" t="inlineStr">
        <is>
          <t>FriendUnitDead</t>
        </is>
      </c>
      <c r="H11" s="327" t="n">
        <v>202</v>
      </c>
      <c r="I11" s="327" t="inlineStr">
        <is>
          <t>SwitchSequenceGroup</t>
        </is>
      </c>
      <c r="J11" s="327" t="inlineStr">
        <is>
          <t>w3</t>
        </is>
      </c>
      <c r="N11" s="327" t="inlineStr">
        <is>
          <t>None</t>
        </is>
      </c>
      <c r="P11" s="327" t="inlineStr">
        <is>
          <t>None</t>
        </is>
      </c>
      <c r="R11" s="327" t="inlineStr">
        <is>
          <t>None</t>
        </is>
      </c>
      <c r="T11" s="327" t="inlineStr">
        <is>
          <t>None</t>
        </is>
      </c>
      <c r="W11" s="327" t="b">
        <v>0</v>
      </c>
      <c r="Y11" s="327" t="inlineStr">
        <is>
          <t>Default</t>
        </is>
      </c>
      <c r="Z11" s="327" t="inlineStr">
        <is>
          <t>Normal</t>
        </is>
      </c>
      <c r="AA11" s="327" t="n">
        <v>1</v>
      </c>
      <c r="AB11" s="327" t="n">
        <v>1</v>
      </c>
      <c r="AC11" s="327" t="n">
        <v>1</v>
      </c>
      <c r="AG11" s="327" t="inlineStr">
        <is>
          <t>None</t>
        </is>
      </c>
      <c r="AI11" s="327" t="n">
        <v>202601010</v>
      </c>
    </row>
    <row r="12">
      <c r="A12" s="327" t="inlineStr">
        <is>
          <t>1話</t>
        </is>
      </c>
      <c r="C12" s="327" t="inlineStr">
        <is>
          <t>raid_jig1_00001</t>
        </is>
      </c>
      <c r="D12" s="327" t="inlineStr">
        <is>
          <t>w3</t>
        </is>
      </c>
      <c r="E12" s="327" t="n">
        <v>302</v>
      </c>
      <c r="G12" s="327" t="inlineStr">
        <is>
          <t>ElapsedTimeSinceSequenceGroupActivated</t>
        </is>
      </c>
      <c r="H12" s="327" t="n">
        <v>10</v>
      </c>
      <c r="I12" s="327" t="inlineStr">
        <is>
          <t>SummonEnemy</t>
        </is>
      </c>
      <c r="J12" s="327" t="inlineStr">
        <is>
          <t>e_jig_00001_jig1_advent_Normal_Green</t>
        </is>
      </c>
      <c r="L12" s="327" t="n">
        <v>30</v>
      </c>
      <c r="M12" s="327" t="n">
        <v>360</v>
      </c>
      <c r="N12" s="327" t="inlineStr">
        <is>
          <t>None</t>
        </is>
      </c>
      <c r="P12" s="327" t="inlineStr">
        <is>
          <t>None</t>
        </is>
      </c>
      <c r="R12" s="327" t="inlineStr">
        <is>
          <t>None</t>
        </is>
      </c>
      <c r="T12" s="327" t="inlineStr">
        <is>
          <t>None</t>
        </is>
      </c>
      <c r="W12" s="327" t="b">
        <v>0</v>
      </c>
      <c r="Y12" s="327" t="inlineStr">
        <is>
          <t>Default</t>
        </is>
      </c>
      <c r="Z12" s="327" t="inlineStr">
        <is>
          <t>Normal</t>
        </is>
      </c>
      <c r="AA12" s="327" t="n">
        <v>1.7</v>
      </c>
      <c r="AB12" s="327" t="n">
        <v>1.5</v>
      </c>
      <c r="AC12" s="327" t="n">
        <v>1</v>
      </c>
      <c r="AD12" s="327" t="n">
        <v>50</v>
      </c>
      <c r="AE12" s="327" t="n">
        <v>60</v>
      </c>
      <c r="AG12" s="327" t="inlineStr">
        <is>
          <t>None</t>
        </is>
      </c>
      <c r="AI12" s="327" t="n">
        <v>202601010</v>
      </c>
    </row>
    <row r="13">
      <c r="A13" s="327" t="inlineStr">
        <is>
          <t>1話</t>
        </is>
      </c>
      <c r="C13" s="327" t="inlineStr">
        <is>
          <t>raid_jig1_00001</t>
        </is>
      </c>
      <c r="D13" s="327" t="inlineStr">
        <is>
          <t>w3</t>
        </is>
      </c>
      <c r="E13" s="327" t="n">
        <v>304</v>
      </c>
      <c r="G13" s="327" t="inlineStr">
        <is>
          <t>ElapsedTimeSinceSequenceGroupActivated</t>
        </is>
      </c>
      <c r="H13" s="327" t="n">
        <v>100</v>
      </c>
      <c r="I13" s="327" t="inlineStr">
        <is>
          <t>SummonEnemy</t>
        </is>
      </c>
      <c r="J13" s="327" t="inlineStr">
        <is>
          <t>e_jig_00301_jig1_advent_Boss_Green</t>
        </is>
      </c>
      <c r="L13" s="327" t="n">
        <v>1</v>
      </c>
      <c r="M13" s="327" t="n">
        <v>0</v>
      </c>
      <c r="N13" s="327" t="inlineStr">
        <is>
          <t>None</t>
        </is>
      </c>
      <c r="P13" s="327" t="inlineStr">
        <is>
          <t>None</t>
        </is>
      </c>
      <c r="R13" s="327" t="inlineStr">
        <is>
          <t>None</t>
        </is>
      </c>
      <c r="T13" s="327" t="inlineStr">
        <is>
          <t>None</t>
        </is>
      </c>
      <c r="W13" s="327" t="b">
        <v>0</v>
      </c>
      <c r="Y13" s="327" t="inlineStr">
        <is>
          <t>AdventBoss1</t>
        </is>
      </c>
      <c r="Z13" s="327" t="inlineStr">
        <is>
          <t>Normal</t>
        </is>
      </c>
      <c r="AA13" s="327" t="n">
        <v>1.5</v>
      </c>
      <c r="AB13" s="327" t="n">
        <v>0.8</v>
      </c>
      <c r="AC13" s="327" t="n">
        <v>1</v>
      </c>
      <c r="AE13" s="327" t="n">
        <v>500</v>
      </c>
      <c r="AG13" s="327" t="inlineStr">
        <is>
          <t>None</t>
        </is>
      </c>
      <c r="AI13" s="327" t="n">
        <v>202601010</v>
      </c>
    </row>
    <row r="14">
      <c r="A14" s="327" t="inlineStr">
        <is>
          <t>1話</t>
        </is>
      </c>
      <c r="C14" s="327" t="inlineStr">
        <is>
          <t>raid_jig1_00001</t>
        </is>
      </c>
      <c r="D14" s="327" t="inlineStr">
        <is>
          <t>w3</t>
        </is>
      </c>
      <c r="E14" s="327" t="inlineStr">
        <is>
          <t>groupchange_4</t>
        </is>
      </c>
      <c r="G14" s="327" t="inlineStr">
        <is>
          <t>FriendUnitDead</t>
        </is>
      </c>
      <c r="H14" s="327" t="n">
        <v>304</v>
      </c>
      <c r="I14" s="327" t="inlineStr">
        <is>
          <t>SwitchSequenceGroup</t>
        </is>
      </c>
      <c r="J14" s="327" t="inlineStr">
        <is>
          <t>w4</t>
        </is>
      </c>
      <c r="N14" s="327" t="inlineStr">
        <is>
          <t>None</t>
        </is>
      </c>
      <c r="P14" s="327" t="inlineStr">
        <is>
          <t>None</t>
        </is>
      </c>
      <c r="R14" s="327" t="inlineStr">
        <is>
          <t>None</t>
        </is>
      </c>
      <c r="T14" s="327" t="inlineStr">
        <is>
          <t>None</t>
        </is>
      </c>
      <c r="W14" s="327" t="b">
        <v>0</v>
      </c>
      <c r="Y14" s="327" t="inlineStr">
        <is>
          <t>Default</t>
        </is>
      </c>
      <c r="Z14" s="327" t="inlineStr">
        <is>
          <t>Normal</t>
        </is>
      </c>
      <c r="AA14" s="327" t="n">
        <v>1</v>
      </c>
      <c r="AB14" s="327" t="n">
        <v>1</v>
      </c>
      <c r="AC14" s="327" t="n">
        <v>1</v>
      </c>
      <c r="AG14" s="327" t="inlineStr">
        <is>
          <t>None</t>
        </is>
      </c>
      <c r="AI14" s="327" t="n">
        <v>202601010</v>
      </c>
    </row>
    <row r="15">
      <c r="A15" s="327" t="inlineStr">
        <is>
          <t>1話</t>
        </is>
      </c>
      <c r="C15" s="327" t="inlineStr">
        <is>
          <t>raid_jig1_00001</t>
        </is>
      </c>
      <c r="D15" s="327" t="inlineStr">
        <is>
          <t>w4</t>
        </is>
      </c>
      <c r="E15" s="327" t="n">
        <v>402</v>
      </c>
      <c r="G15" s="327" t="inlineStr">
        <is>
          <t>ElapsedTimeSinceSequenceGroupActivated</t>
        </is>
      </c>
      <c r="H15" s="327" t="n">
        <v>10</v>
      </c>
      <c r="I15" s="327" t="inlineStr">
        <is>
          <t>SummonEnemy</t>
        </is>
      </c>
      <c r="J15" s="327" t="inlineStr">
        <is>
          <t>e_jig_00001_jig1_advent_Normal_Red</t>
        </is>
      </c>
      <c r="L15" s="327" t="n">
        <v>40</v>
      </c>
      <c r="M15" s="327" t="n">
        <v>360</v>
      </c>
      <c r="N15" s="327" t="inlineStr">
        <is>
          <t>None</t>
        </is>
      </c>
      <c r="P15" s="327" t="inlineStr">
        <is>
          <t>None</t>
        </is>
      </c>
      <c r="R15" s="327" t="inlineStr">
        <is>
          <t>None</t>
        </is>
      </c>
      <c r="T15" s="327" t="inlineStr">
        <is>
          <t>None</t>
        </is>
      </c>
      <c r="W15" s="327" t="b">
        <v>0</v>
      </c>
      <c r="Y15" s="327" t="inlineStr">
        <is>
          <t>Default</t>
        </is>
      </c>
      <c r="Z15" s="327" t="inlineStr">
        <is>
          <t>Normal</t>
        </is>
      </c>
      <c r="AA15" s="327" t="n">
        <v>2</v>
      </c>
      <c r="AB15" s="327" t="n">
        <v>1.5</v>
      </c>
      <c r="AC15" s="327" t="n">
        <v>1</v>
      </c>
      <c r="AD15" s="327" t="n">
        <v>50</v>
      </c>
      <c r="AE15" s="327" t="n">
        <v>70</v>
      </c>
      <c r="AG15" s="327" t="inlineStr">
        <is>
          <t>None</t>
        </is>
      </c>
      <c r="AI15" s="327" t="n">
        <v>202601010</v>
      </c>
    </row>
    <row r="16">
      <c r="A16" s="327" t="inlineStr">
        <is>
          <t>1話</t>
        </is>
      </c>
      <c r="C16" s="327" t="inlineStr">
        <is>
          <t>raid_jig1_00001</t>
        </is>
      </c>
      <c r="D16" s="327" t="inlineStr">
        <is>
          <t>w4</t>
        </is>
      </c>
      <c r="E16" s="327" t="n">
        <v>405</v>
      </c>
      <c r="G16" s="327" t="inlineStr">
        <is>
          <t>ElapsedTimeSinceSequenceGroupActivated</t>
        </is>
      </c>
      <c r="H16" s="327" t="n">
        <v>100</v>
      </c>
      <c r="I16" s="327" t="inlineStr">
        <is>
          <t>SummonEnemy</t>
        </is>
      </c>
      <c r="J16" s="327" t="inlineStr">
        <is>
          <t>e_jig_00201_jig1_advent_Boss_Red</t>
        </is>
      </c>
      <c r="L16" s="327" t="n">
        <v>1</v>
      </c>
      <c r="M16" s="327" t="n">
        <v>0</v>
      </c>
      <c r="N16" s="327" t="inlineStr">
        <is>
          <t>None</t>
        </is>
      </c>
      <c r="P16" s="327" t="inlineStr">
        <is>
          <t>None</t>
        </is>
      </c>
      <c r="R16" s="327" t="inlineStr">
        <is>
          <t>None</t>
        </is>
      </c>
      <c r="T16" s="327" t="inlineStr">
        <is>
          <t>None</t>
        </is>
      </c>
      <c r="W16" s="327" t="b">
        <v>0</v>
      </c>
      <c r="Y16" s="327" t="inlineStr">
        <is>
          <t>AdventBoss2</t>
        </is>
      </c>
      <c r="Z16" s="327" t="inlineStr">
        <is>
          <t>Normal</t>
        </is>
      </c>
      <c r="AA16" s="327" t="n">
        <v>0.3</v>
      </c>
      <c r="AB16" s="327" t="n">
        <v>1.3</v>
      </c>
      <c r="AC16" s="327" t="n">
        <v>1</v>
      </c>
      <c r="AD16" s="327" t="n">
        <v>200</v>
      </c>
      <c r="AE16" s="327" t="n">
        <v>500</v>
      </c>
      <c r="AG16" s="327" t="inlineStr">
        <is>
          <t>None</t>
        </is>
      </c>
      <c r="AI16" s="327" t="n">
        <v>202601010</v>
      </c>
    </row>
    <row r="17">
      <c r="A17" s="327" t="inlineStr">
        <is>
          <t>1話</t>
        </is>
      </c>
      <c r="C17" s="327" t="inlineStr">
        <is>
          <t>raid_jig1_00001</t>
        </is>
      </c>
      <c r="D17" s="327" t="inlineStr">
        <is>
          <t>w4</t>
        </is>
      </c>
      <c r="E17" s="327" t="inlineStr">
        <is>
          <t>groupchange_5</t>
        </is>
      </c>
      <c r="G17" s="327" t="inlineStr">
        <is>
          <t>FriendUnitDead</t>
        </is>
      </c>
      <c r="H17" s="327" t="n">
        <v>405</v>
      </c>
      <c r="I17" s="327" t="inlineStr">
        <is>
          <t>SwitchSequenceGroup</t>
        </is>
      </c>
      <c r="J17" s="327" t="inlineStr">
        <is>
          <t>w5</t>
        </is>
      </c>
      <c r="N17" s="327" t="inlineStr">
        <is>
          <t>None</t>
        </is>
      </c>
      <c r="P17" s="327" t="inlineStr">
        <is>
          <t>None</t>
        </is>
      </c>
      <c r="R17" s="327" t="inlineStr">
        <is>
          <t>None</t>
        </is>
      </c>
      <c r="T17" s="327" t="inlineStr">
        <is>
          <t>None</t>
        </is>
      </c>
      <c r="W17" s="327" t="b">
        <v>0</v>
      </c>
      <c r="Y17" s="327" t="inlineStr">
        <is>
          <t>Default</t>
        </is>
      </c>
      <c r="Z17" s="327" t="inlineStr">
        <is>
          <t>Normal</t>
        </is>
      </c>
      <c r="AA17" s="327" t="n">
        <v>1</v>
      </c>
      <c r="AB17" s="327" t="n">
        <v>1</v>
      </c>
      <c r="AC17" s="327" t="n">
        <v>1</v>
      </c>
      <c r="AG17" s="327" t="inlineStr">
        <is>
          <t>None</t>
        </is>
      </c>
      <c r="AI17" s="327" t="n">
        <v>202601010</v>
      </c>
    </row>
    <row r="18">
      <c r="A18" s="327" t="inlineStr">
        <is>
          <t>1話</t>
        </is>
      </c>
      <c r="C18" s="327" t="inlineStr">
        <is>
          <t>raid_jig1_00001</t>
        </is>
      </c>
      <c r="D18" s="327" t="inlineStr">
        <is>
          <t>w5</t>
        </is>
      </c>
      <c r="E18" s="327" t="n">
        <v>501</v>
      </c>
      <c r="G18" s="327" t="inlineStr">
        <is>
          <t>FriendUnitDead</t>
        </is>
      </c>
      <c r="H18" s="327" t="n">
        <v>503</v>
      </c>
      <c r="I18" s="327" t="inlineStr">
        <is>
          <t>SummonEnemy</t>
        </is>
      </c>
      <c r="J18" s="327" t="inlineStr">
        <is>
          <t>e_jig_00401_jig1_advent_Normal_Colorless</t>
        </is>
      </c>
      <c r="L18" s="327" t="n">
        <v>20</v>
      </c>
      <c r="M18" s="327" t="n">
        <v>300</v>
      </c>
      <c r="N18" s="327" t="inlineStr">
        <is>
          <t>None</t>
        </is>
      </c>
      <c r="P18" s="327" t="inlineStr">
        <is>
          <t>None</t>
        </is>
      </c>
      <c r="R18" s="327" t="inlineStr">
        <is>
          <t>None</t>
        </is>
      </c>
      <c r="T18" s="327" t="inlineStr">
        <is>
          <t>None</t>
        </is>
      </c>
      <c r="W18" s="327" t="b">
        <v>0</v>
      </c>
      <c r="Y18" s="327" t="inlineStr">
        <is>
          <t>Default</t>
        </is>
      </c>
      <c r="Z18" s="327" t="inlineStr">
        <is>
          <t>Normal</t>
        </is>
      </c>
      <c r="AA18" s="327" t="n">
        <v>15</v>
      </c>
      <c r="AB18" s="327" t="n">
        <v>1.7</v>
      </c>
      <c r="AC18" s="327" t="n">
        <v>1</v>
      </c>
      <c r="AD18" s="327" t="n">
        <v>50</v>
      </c>
      <c r="AE18" s="327" t="n">
        <v>60</v>
      </c>
      <c r="AG18" s="327" t="inlineStr">
        <is>
          <t>None</t>
        </is>
      </c>
      <c r="AI18" s="327" t="n">
        <v>202601010</v>
      </c>
    </row>
    <row r="19">
      <c r="A19" s="327" t="inlineStr">
        <is>
          <t>1話</t>
        </is>
      </c>
      <c r="C19" s="327" t="inlineStr">
        <is>
          <t>raid_jig1_00001</t>
        </is>
      </c>
      <c r="D19" s="327" t="inlineStr">
        <is>
          <t>w5</t>
        </is>
      </c>
      <c r="E19" s="327" t="n">
        <v>502</v>
      </c>
      <c r="G19" s="327" t="inlineStr">
        <is>
          <t>FriendUnitDead</t>
        </is>
      </c>
      <c r="H19" s="327" t="n">
        <v>504</v>
      </c>
      <c r="I19" s="327" t="inlineStr">
        <is>
          <t>SummonEnemy</t>
        </is>
      </c>
      <c r="J19" s="327" t="inlineStr">
        <is>
          <t>e_jig_00001_jig1_advent_Normal_Colorless</t>
        </is>
      </c>
      <c r="L19" s="327" t="n">
        <v>40</v>
      </c>
      <c r="M19" s="327" t="n">
        <v>270</v>
      </c>
      <c r="N19" s="327" t="inlineStr">
        <is>
          <t>None</t>
        </is>
      </c>
      <c r="P19" s="327" t="inlineStr">
        <is>
          <t>None</t>
        </is>
      </c>
      <c r="R19" s="327" t="inlineStr">
        <is>
          <t>None</t>
        </is>
      </c>
      <c r="T19" s="327" t="inlineStr">
        <is>
          <t>None</t>
        </is>
      </c>
      <c r="W19" s="327" t="b">
        <v>0</v>
      </c>
      <c r="Y19" s="327" t="inlineStr">
        <is>
          <t>Default</t>
        </is>
      </c>
      <c r="Z19" s="327" t="inlineStr">
        <is>
          <t>Normal</t>
        </is>
      </c>
      <c r="AA19" s="327" t="n">
        <v>5</v>
      </c>
      <c r="AB19" s="327" t="n">
        <v>2.6</v>
      </c>
      <c r="AC19" s="327" t="n">
        <v>1</v>
      </c>
      <c r="AD19" s="327" t="n">
        <v>50</v>
      </c>
      <c r="AE19" s="327" t="n">
        <v>60</v>
      </c>
      <c r="AG19" s="327" t="inlineStr">
        <is>
          <t>None</t>
        </is>
      </c>
      <c r="AI19" s="327" t="n">
        <v>202601010</v>
      </c>
    </row>
    <row r="20">
      <c r="A20" s="327" t="inlineStr">
        <is>
          <t>1話</t>
        </is>
      </c>
      <c r="C20" s="327" t="inlineStr">
        <is>
          <t>raid_jig1_00001</t>
        </is>
      </c>
      <c r="D20" s="327" t="inlineStr">
        <is>
          <t>w5</t>
        </is>
      </c>
      <c r="E20" s="327" t="n">
        <v>503</v>
      </c>
      <c r="G20" s="327" t="inlineStr">
        <is>
          <t>ElapsedTimeSinceSequenceGroupActivated</t>
        </is>
      </c>
      <c r="H20" s="327" t="n">
        <v>5</v>
      </c>
      <c r="I20" s="327" t="inlineStr">
        <is>
          <t>SummonEnemy</t>
        </is>
      </c>
      <c r="J20" s="327" t="inlineStr">
        <is>
          <t>e_jig_00301_jig1_advent_Boss_Green</t>
        </is>
      </c>
      <c r="L20" s="327" t="n">
        <v>1</v>
      </c>
      <c r="M20" s="327" t="n">
        <v>0</v>
      </c>
      <c r="N20" s="327" t="inlineStr">
        <is>
          <t>None</t>
        </is>
      </c>
      <c r="P20" s="327" t="inlineStr">
        <is>
          <t>None</t>
        </is>
      </c>
      <c r="R20" s="327" t="inlineStr">
        <is>
          <t>None</t>
        </is>
      </c>
      <c r="T20" s="327" t="inlineStr">
        <is>
          <t>None</t>
        </is>
      </c>
      <c r="W20" s="327" t="b">
        <v>0</v>
      </c>
      <c r="Y20" s="327" t="inlineStr">
        <is>
          <t>AdventBoss2</t>
        </is>
      </c>
      <c r="Z20" s="327" t="inlineStr">
        <is>
          <t>Normal</t>
        </is>
      </c>
      <c r="AA20" s="327" t="n">
        <v>15</v>
      </c>
      <c r="AB20" s="327" t="n">
        <v>3.3</v>
      </c>
      <c r="AC20" s="327" t="n">
        <v>1</v>
      </c>
      <c r="AD20" s="327" t="n">
        <v>200</v>
      </c>
      <c r="AE20" s="327" t="n">
        <v>600</v>
      </c>
      <c r="AG20" s="327" t="inlineStr">
        <is>
          <t>None</t>
        </is>
      </c>
      <c r="AI20" s="327" t="n">
        <v>202601010</v>
      </c>
    </row>
    <row r="21">
      <c r="A21" s="327" t="inlineStr">
        <is>
          <t>1話</t>
        </is>
      </c>
      <c r="C21" s="327" t="inlineStr">
        <is>
          <t>raid_jig1_00001</t>
        </is>
      </c>
      <c r="D21" s="327" t="inlineStr">
        <is>
          <t>w5</t>
        </is>
      </c>
      <c r="E21" s="327" t="n">
        <v>504</v>
      </c>
      <c r="G21" s="327" t="inlineStr">
        <is>
          <t>FriendUnitDead</t>
        </is>
      </c>
      <c r="H21" s="327" t="n">
        <v>503</v>
      </c>
      <c r="I21" s="327" t="inlineStr">
        <is>
          <t>SummonEnemy</t>
        </is>
      </c>
      <c r="J21" s="327" t="inlineStr">
        <is>
          <t>e_jig_00201_jig1_advent_Boss_Yellow</t>
        </is>
      </c>
      <c r="L21" s="327" t="n">
        <v>1</v>
      </c>
      <c r="M21" s="327" t="n">
        <v>0</v>
      </c>
      <c r="N21" s="327" t="inlineStr">
        <is>
          <t>None</t>
        </is>
      </c>
      <c r="P21" s="327" t="inlineStr">
        <is>
          <t>None</t>
        </is>
      </c>
      <c r="R21" s="327" t="inlineStr">
        <is>
          <t>None</t>
        </is>
      </c>
      <c r="T21" s="327" t="inlineStr">
        <is>
          <t>None</t>
        </is>
      </c>
      <c r="W21" s="327" t="b">
        <v>0</v>
      </c>
      <c r="Y21" s="327" t="inlineStr">
        <is>
          <t>AdventBoss2</t>
        </is>
      </c>
      <c r="Z21" s="327" t="inlineStr">
        <is>
          <t>Normal</t>
        </is>
      </c>
      <c r="AA21" s="327" t="n">
        <v>1</v>
      </c>
      <c r="AB21" s="327" t="n">
        <v>2.1</v>
      </c>
      <c r="AC21" s="327" t="n">
        <v>1</v>
      </c>
      <c r="AE21" s="327" t="n">
        <v>700</v>
      </c>
      <c r="AG21" s="327" t="inlineStr">
        <is>
          <t>None</t>
        </is>
      </c>
      <c r="AI21" s="327" t="n">
        <v>202601010</v>
      </c>
    </row>
    <row r="22">
      <c r="A22" s="327" t="inlineStr">
        <is>
          <t>1話</t>
        </is>
      </c>
      <c r="C22" s="327" t="inlineStr">
        <is>
          <t>raid_jig1_00001</t>
        </is>
      </c>
      <c r="D22" s="327" t="inlineStr">
        <is>
          <t>w5</t>
        </is>
      </c>
      <c r="E22" s="327" t="n">
        <v>505</v>
      </c>
      <c r="G22" s="327" t="inlineStr">
        <is>
          <t>FriendUnitDead</t>
        </is>
      </c>
      <c r="H22" s="327" t="n">
        <v>504</v>
      </c>
      <c r="I22" s="327" t="inlineStr">
        <is>
          <t>SummonEnemy</t>
        </is>
      </c>
      <c r="J22" s="327" t="inlineStr">
        <is>
          <t>e_jig_00601_jig1_advent_Boss_Yellow</t>
        </is>
      </c>
      <c r="L22" s="327" t="n">
        <v>1</v>
      </c>
      <c r="M22" s="327" t="n">
        <v>0</v>
      </c>
      <c r="N22" s="327" t="inlineStr">
        <is>
          <t>None</t>
        </is>
      </c>
      <c r="P22" s="327" t="inlineStr">
        <is>
          <t>None</t>
        </is>
      </c>
      <c r="R22" s="327" t="inlineStr">
        <is>
          <t>None</t>
        </is>
      </c>
      <c r="T22" s="327" t="inlineStr">
        <is>
          <t>None</t>
        </is>
      </c>
      <c r="W22" s="327" t="b">
        <v>0</v>
      </c>
      <c r="Y22" s="327" t="inlineStr">
        <is>
          <t>AdventBoss3</t>
        </is>
      </c>
      <c r="Z22" s="327" t="inlineStr">
        <is>
          <t>Normal</t>
        </is>
      </c>
      <c r="AA22" s="327" t="n">
        <v>6</v>
      </c>
      <c r="AB22" s="327" t="n">
        <v>5</v>
      </c>
      <c r="AC22" s="327" t="n">
        <v>1</v>
      </c>
      <c r="AE22" s="327" t="n">
        <v>1200</v>
      </c>
      <c r="AG22" s="327" t="inlineStr">
        <is>
          <t>None</t>
        </is>
      </c>
      <c r="AI22" s="327" t="n">
        <v>202601010</v>
      </c>
    </row>
    <row r="23">
      <c r="A23" s="327" t="inlineStr">
        <is>
          <t>1話</t>
        </is>
      </c>
      <c r="C23" s="327" t="inlineStr">
        <is>
          <t>raid_jig1_00001</t>
        </is>
      </c>
      <c r="D23" s="327" t="inlineStr">
        <is>
          <t>w5</t>
        </is>
      </c>
      <c r="E23" s="327" t="n">
        <v>506</v>
      </c>
      <c r="G23" s="327" t="inlineStr">
        <is>
          <t>FriendUnitDead</t>
        </is>
      </c>
      <c r="H23" s="327" t="n">
        <v>504</v>
      </c>
      <c r="I23" s="327" t="inlineStr">
        <is>
          <t>SummonEnemy</t>
        </is>
      </c>
      <c r="J23" s="327" t="inlineStr">
        <is>
          <t>e_jig_00201_jig1_advent_Boss_Red</t>
        </is>
      </c>
      <c r="L23" s="327" t="n">
        <v>1</v>
      </c>
      <c r="M23" s="327" t="n">
        <v>0</v>
      </c>
      <c r="N23" s="327" t="inlineStr">
        <is>
          <t>None</t>
        </is>
      </c>
      <c r="P23" s="327" t="inlineStr">
        <is>
          <t>None</t>
        </is>
      </c>
      <c r="R23" s="327" t="inlineStr">
        <is>
          <t>None</t>
        </is>
      </c>
      <c r="T23" s="327" t="inlineStr">
        <is>
          <t>None</t>
        </is>
      </c>
      <c r="W23" s="327" t="b">
        <v>0</v>
      </c>
      <c r="Y23" s="327" t="inlineStr">
        <is>
          <t>AdventBoss2</t>
        </is>
      </c>
      <c r="Z23" s="327" t="inlineStr">
        <is>
          <t>Normal</t>
        </is>
      </c>
      <c r="AA23" s="327" t="n">
        <v>1</v>
      </c>
      <c r="AB23" s="327" t="n">
        <v>2.1</v>
      </c>
      <c r="AC23" s="327" t="n">
        <v>1</v>
      </c>
      <c r="AE23" s="327" t="n">
        <v>700</v>
      </c>
      <c r="AG23" s="327" t="inlineStr">
        <is>
          <t>None</t>
        </is>
      </c>
      <c r="AI23" s="327" t="n">
        <v>202601010</v>
      </c>
    </row>
    <row r="24">
      <c r="A24" s="327" t="inlineStr">
        <is>
          <t>1話</t>
        </is>
      </c>
      <c r="C24" s="327" t="inlineStr">
        <is>
          <t>raid_jig1_00001</t>
        </is>
      </c>
      <c r="D24" s="327" t="inlineStr">
        <is>
          <t>w5</t>
        </is>
      </c>
      <c r="E24" s="327" t="inlineStr">
        <is>
          <t>groupchange_6</t>
        </is>
      </c>
      <c r="G24" s="327" t="inlineStr">
        <is>
          <t>FriendUnitDead</t>
        </is>
      </c>
      <c r="H24" s="327" t="n">
        <v>505</v>
      </c>
      <c r="I24" s="327" t="inlineStr">
        <is>
          <t>SwitchSequenceGroup</t>
        </is>
      </c>
      <c r="J24" s="327" t="inlineStr">
        <is>
          <t>w1</t>
        </is>
      </c>
      <c r="N24" s="327" t="inlineStr">
        <is>
          <t>None</t>
        </is>
      </c>
      <c r="P24" s="327" t="inlineStr">
        <is>
          <t>None</t>
        </is>
      </c>
      <c r="R24" s="327" t="inlineStr">
        <is>
          <t>None</t>
        </is>
      </c>
      <c r="T24" s="327" t="inlineStr">
        <is>
          <t>None</t>
        </is>
      </c>
      <c r="W24" s="327" t="b">
        <v>0</v>
      </c>
      <c r="Y24" s="327" t="inlineStr">
        <is>
          <t>Default</t>
        </is>
      </c>
      <c r="Z24" s="327" t="inlineStr">
        <is>
          <t>Normal</t>
        </is>
      </c>
      <c r="AA24" s="327" t="n">
        <v>1</v>
      </c>
      <c r="AB24" s="327" t="n">
        <v>1</v>
      </c>
      <c r="AC24" s="327" t="n">
        <v>1</v>
      </c>
      <c r="AG24" s="327" t="inlineStr">
        <is>
          <t>None</t>
        </is>
      </c>
      <c r="AI24" s="327" t="n">
        <v>202601010</v>
      </c>
    </row>
  </sheetData>
  <pageMargins left="0.75" right="0.75" top="1" bottom="1" header="0.5" footer="0.5"/>
</worksheet>
</file>

<file path=xl/worksheets/sheet3.xml><?xml version="1.0" encoding="utf-8"?>
<worksheet xmlns="http://schemas.openxmlformats.org/spreadsheetml/2006/main">
  <sheetPr>
    <tabColor rgb="FFFF0000"/>
    <outlinePr summaryBelow="0" summaryRight="0"/>
    <pageSetUpPr/>
  </sheetPr>
  <dimension ref="A1:C2"/>
  <sheetViews>
    <sheetView workbookViewId="0">
      <selection activeCell="A1" sqref="A1"/>
    </sheetView>
  </sheetViews>
  <sheetFormatPr baseColWidth="8" defaultColWidth="12.63" defaultRowHeight="15.75" customHeight="1"/>
  <cols>
    <col width="19.38" customWidth="1" style="482" min="1" max="1"/>
  </cols>
  <sheetData>
    <row r="1">
      <c r="A1" s="351" t="inlineStr">
        <is>
          <t>master名</t>
        </is>
      </c>
      <c r="B1" s="351" t="inlineStr">
        <is>
          <t>startRow</t>
        </is>
      </c>
      <c r="C1" s="351" t="inlineStr">
        <is>
          <t>startCol</t>
        </is>
      </c>
    </row>
    <row r="2">
      <c r="A2" s="351" t="inlineStr">
        <is>
          <t>MstAutoPlayerSequence</t>
        </is>
      </c>
      <c r="B2" s="351" t="n">
        <v>3</v>
      </c>
      <c r="C2" s="351" t="n">
        <v>2</v>
      </c>
    </row>
  </sheetData>
  <pageMargins left="0.75" right="0.75" top="1" bottom="1" header="0.5" footer="0.5"/>
</worksheet>
</file>

<file path=xl/worksheets/sheet4.xml><?xml version="1.0" encoding="utf-8"?>
<worksheet xmlns="http://schemas.openxmlformats.org/spreadsheetml/2006/main">
  <sheetPr>
    <tabColor rgb="FFFF0000"/>
    <outlinePr summaryBelow="0" summaryRight="0"/>
    <pageSetUpPr/>
  </sheetPr>
  <dimension ref="A1:H137"/>
  <sheetViews>
    <sheetView workbookViewId="0">
      <pane ySplit="1" topLeftCell="A2" activePane="bottomLeft" state="frozen"/>
      <selection pane="bottomLeft" activeCell="B3" sqref="B3"/>
    </sheetView>
  </sheetViews>
  <sheetFormatPr baseColWidth="8" defaultColWidth="12.63" defaultRowHeight="15.75" customHeight="1"/>
  <cols>
    <col width="23.25" customWidth="1" style="482" min="1" max="1"/>
    <col width="7.5" customWidth="1" style="482" min="2" max="2"/>
    <col width="26" customWidth="1" style="482" min="3" max="3"/>
    <col width="9" customWidth="1" style="482" min="4" max="4"/>
    <col width="26" customWidth="1" style="482" min="5" max="5"/>
    <col width="17.88" customWidth="1" style="482" min="6" max="6"/>
    <col width="21.75" customWidth="1" style="482" min="7" max="7"/>
  </cols>
  <sheetData>
    <row r="1">
      <c r="A1" s="296" t="inlineStr">
        <is>
          <t>項目名</t>
        </is>
      </c>
      <c r="B1" s="296" t="inlineStr">
        <is>
          <t>方向</t>
        </is>
      </c>
      <c r="C1" s="296" t="inlineStr">
        <is>
          <t>マスター名</t>
        </is>
      </c>
      <c r="D1" s="296" t="inlineStr">
        <is>
          <t>チェック無視</t>
        </is>
      </c>
      <c r="E1" s="296" t="inlineStr">
        <is>
          <t>マスター列名</t>
        </is>
      </c>
      <c r="F1" s="296" t="inlineStr">
        <is>
          <t>ユニークキー</t>
        </is>
      </c>
      <c r="G1" s="296" t="inlineStr">
        <is>
          <t>展開タイプ</t>
        </is>
      </c>
      <c r="H1" s="294" t="inlineStr">
        <is>
          <t>空白無視</t>
        </is>
      </c>
    </row>
    <row r="2">
      <c r="A2" s="17" t="n"/>
      <c r="B2" s="17" t="inlineStr">
        <is>
          <t>▼</t>
        </is>
      </c>
      <c r="C2" s="296" t="inlineStr">
        <is>
          <t>MstAutoPlayerSequence</t>
        </is>
      </c>
      <c r="D2" s="13" t="b">
        <v>1</v>
      </c>
      <c r="E2" s="296" t="inlineStr">
        <is>
          <t>id</t>
        </is>
      </c>
      <c r="F2" s="316" t="b">
        <v>1</v>
      </c>
      <c r="G2" s="296" t="inlineStr">
        <is>
          <t>通常</t>
        </is>
      </c>
      <c r="H2" s="316" t="b">
        <v>1</v>
      </c>
    </row>
    <row r="3">
      <c r="A3" s="296" t="inlineStr">
        <is>
          <t>敵ゲートID</t>
        </is>
      </c>
      <c r="B3" s="17" t="inlineStr">
        <is>
          <t>▼</t>
        </is>
      </c>
      <c r="C3" s="296" t="inlineStr">
        <is>
          <t>MstAutoPlayerSequence</t>
        </is>
      </c>
      <c r="D3" s="316" t="b">
        <v>0</v>
      </c>
      <c r="E3" s="296" t="inlineStr">
        <is>
          <t>sequence_set_id</t>
        </is>
      </c>
      <c r="F3" s="334" t="n"/>
      <c r="G3" s="296" t="inlineStr">
        <is>
          <t>下方継承</t>
        </is>
      </c>
      <c r="H3" s="13" t="b">
        <v>0</v>
      </c>
    </row>
    <row r="4">
      <c r="A4" s="296" t="inlineStr">
        <is>
          <t>sequence_group_id</t>
        </is>
      </c>
      <c r="B4" s="17" t="inlineStr">
        <is>
          <t>▼</t>
        </is>
      </c>
      <c r="C4" s="296" t="inlineStr">
        <is>
          <t>MstAutoPlayerSequence</t>
        </is>
      </c>
      <c r="D4" s="316" t="b">
        <v>0</v>
      </c>
      <c r="E4" s="296" t="inlineStr">
        <is>
          <t>sequence_group_id</t>
        </is>
      </c>
      <c r="F4" s="17" t="n"/>
      <c r="G4" s="296" t="inlineStr">
        <is>
          <t>通常</t>
        </is>
      </c>
      <c r="H4" s="316" t="b">
        <v>0</v>
      </c>
    </row>
    <row r="5">
      <c r="A5" s="296" t="inlineStr">
        <is>
          <t>sequence_element_id</t>
        </is>
      </c>
      <c r="B5" s="17" t="inlineStr">
        <is>
          <t>▼</t>
        </is>
      </c>
      <c r="C5" s="296" t="inlineStr">
        <is>
          <t>MstAutoPlayerSequence</t>
        </is>
      </c>
      <c r="D5" s="13" t="b">
        <v>0</v>
      </c>
      <c r="E5" s="296" t="inlineStr">
        <is>
          <t>sequence_element_id</t>
        </is>
      </c>
      <c r="F5" s="316" t="b">
        <v>1</v>
      </c>
      <c r="G5" s="296" t="inlineStr">
        <is>
          <t>通常</t>
        </is>
      </c>
      <c r="H5" s="316" t="b">
        <v>1</v>
      </c>
    </row>
    <row r="6">
      <c r="A6" s="296" t="inlineStr">
        <is>
          <t>priority_sequence_element_id</t>
        </is>
      </c>
      <c r="B6" s="17" t="inlineStr">
        <is>
          <t>▼</t>
        </is>
      </c>
      <c r="C6" s="296" t="inlineStr">
        <is>
          <t>MstAutoPlayerSequence</t>
        </is>
      </c>
      <c r="D6" s="316" t="b">
        <v>0</v>
      </c>
      <c r="E6" s="296" t="inlineStr">
        <is>
          <t>priority_sequence_element_id</t>
        </is>
      </c>
      <c r="F6" s="17" t="n"/>
      <c r="G6" s="296" t="inlineStr">
        <is>
          <t>通常</t>
        </is>
      </c>
      <c r="H6" s="316" t="b">
        <v>0</v>
      </c>
    </row>
    <row r="7">
      <c r="A7" s="296" t="inlineStr">
        <is>
          <t>condition_type</t>
        </is>
      </c>
      <c r="B7" s="17" t="inlineStr">
        <is>
          <t>▼</t>
        </is>
      </c>
      <c r="C7" s="296" t="inlineStr">
        <is>
          <t>MstAutoPlayerSequence</t>
        </is>
      </c>
      <c r="D7" s="316" t="b">
        <v>0</v>
      </c>
      <c r="E7" s="296" t="inlineStr">
        <is>
          <t>condition_type</t>
        </is>
      </c>
      <c r="F7" s="17" t="n"/>
      <c r="G7" s="296" t="inlineStr">
        <is>
          <t>通常</t>
        </is>
      </c>
      <c r="H7" s="316" t="b">
        <v>0</v>
      </c>
    </row>
    <row r="8">
      <c r="A8" s="296" t="inlineStr">
        <is>
          <t>condition_value</t>
        </is>
      </c>
      <c r="B8" s="17" t="inlineStr">
        <is>
          <t>▼</t>
        </is>
      </c>
      <c r="C8" s="296" t="inlineStr">
        <is>
          <t>MstAutoPlayerSequence</t>
        </is>
      </c>
      <c r="D8" s="316" t="b">
        <v>0</v>
      </c>
      <c r="E8" s="296" t="inlineStr">
        <is>
          <t>condition_value</t>
        </is>
      </c>
      <c r="F8" s="17" t="n"/>
      <c r="G8" s="296" t="inlineStr">
        <is>
          <t>通常</t>
        </is>
      </c>
      <c r="H8" s="316" t="b">
        <v>0</v>
      </c>
    </row>
    <row r="9">
      <c r="A9" s="296" t="inlineStr">
        <is>
          <t>action_type</t>
        </is>
      </c>
      <c r="B9" s="17" t="inlineStr">
        <is>
          <t>▼</t>
        </is>
      </c>
      <c r="C9" s="296" t="inlineStr">
        <is>
          <t>MstAutoPlayerSequence</t>
        </is>
      </c>
      <c r="D9" s="316" t="b">
        <v>0</v>
      </c>
      <c r="E9" s="296" t="inlineStr">
        <is>
          <t>action_type</t>
        </is>
      </c>
      <c r="F9" s="17" t="n"/>
      <c r="G9" s="296" t="inlineStr">
        <is>
          <t>通常</t>
        </is>
      </c>
      <c r="H9" s="316" t="b">
        <v>0</v>
      </c>
    </row>
    <row r="10">
      <c r="A10" s="296" t="inlineStr">
        <is>
          <t>action_value</t>
        </is>
      </c>
      <c r="B10" s="17" t="inlineStr">
        <is>
          <t>▼</t>
        </is>
      </c>
      <c r="C10" s="296" t="inlineStr">
        <is>
          <t>MstAutoPlayerSequence</t>
        </is>
      </c>
      <c r="D10" s="316" t="b">
        <v>0</v>
      </c>
      <c r="E10" s="296" t="inlineStr">
        <is>
          <t>action_value</t>
        </is>
      </c>
      <c r="F10" s="17" t="n"/>
      <c r="G10" s="296" t="inlineStr">
        <is>
          <t>通常</t>
        </is>
      </c>
      <c r="H10" s="316" t="b">
        <v>0</v>
      </c>
    </row>
    <row r="11">
      <c r="A11" s="296" t="inlineStr">
        <is>
          <t>action_value2</t>
        </is>
      </c>
      <c r="B11" s="17" t="inlineStr">
        <is>
          <t>▼</t>
        </is>
      </c>
      <c r="C11" s="296" t="inlineStr">
        <is>
          <t>MstAutoPlayerSequence</t>
        </is>
      </c>
      <c r="D11" s="316" t="b">
        <v>0</v>
      </c>
      <c r="E11" s="296" t="inlineStr">
        <is>
          <t>action_value2</t>
        </is>
      </c>
      <c r="F11" s="17" t="n"/>
      <c r="G11" s="296" t="inlineStr">
        <is>
          <t>通常</t>
        </is>
      </c>
      <c r="H11" s="316" t="b">
        <v>0</v>
      </c>
    </row>
    <row r="12">
      <c r="A12" s="296" t="inlineStr">
        <is>
          <t>summon_count</t>
        </is>
      </c>
      <c r="B12" s="17" t="inlineStr">
        <is>
          <t>▼</t>
        </is>
      </c>
      <c r="C12" s="296" t="inlineStr">
        <is>
          <t>MstAutoPlayerSequence</t>
        </is>
      </c>
      <c r="D12" s="316" t="b">
        <v>0</v>
      </c>
      <c r="E12" s="296" t="inlineStr">
        <is>
          <t>summon_count</t>
        </is>
      </c>
      <c r="F12" s="17" t="n"/>
      <c r="G12" s="296" t="inlineStr">
        <is>
          <t>通常</t>
        </is>
      </c>
      <c r="H12" s="316" t="b">
        <v>0</v>
      </c>
    </row>
    <row r="13">
      <c r="A13" s="296" t="inlineStr">
        <is>
          <t>summon_interval</t>
        </is>
      </c>
      <c r="B13" s="17" t="inlineStr">
        <is>
          <t>▼</t>
        </is>
      </c>
      <c r="C13" s="296" t="inlineStr">
        <is>
          <t>MstAutoPlayerSequence</t>
        </is>
      </c>
      <c r="D13" s="316" t="b">
        <v>0</v>
      </c>
      <c r="E13" s="296" t="inlineStr">
        <is>
          <t>summon_interval</t>
        </is>
      </c>
      <c r="F13" s="17" t="n"/>
      <c r="G13" s="296" t="inlineStr">
        <is>
          <t>通常</t>
        </is>
      </c>
      <c r="H13" s="316" t="b">
        <v>0</v>
      </c>
    </row>
    <row r="14">
      <c r="A14" s="296" t="inlineStr">
        <is>
          <t>summon_animation_type</t>
        </is>
      </c>
      <c r="B14" s="17" t="inlineStr">
        <is>
          <t>▼</t>
        </is>
      </c>
      <c r="C14" s="296" t="inlineStr">
        <is>
          <t>MstAutoPlayerSequence</t>
        </is>
      </c>
      <c r="D14" s="316" t="b">
        <v>0</v>
      </c>
      <c r="E14" s="296" t="inlineStr">
        <is>
          <t>summon_animation_type</t>
        </is>
      </c>
      <c r="F14" s="17" t="n"/>
      <c r="G14" s="296" t="inlineStr">
        <is>
          <t>通常</t>
        </is>
      </c>
      <c r="H14" s="316" t="b">
        <v>0</v>
      </c>
    </row>
    <row r="15">
      <c r="A15" s="296" t="inlineStr">
        <is>
          <t>summon_position</t>
        </is>
      </c>
      <c r="B15" s="17" t="inlineStr">
        <is>
          <t>▼</t>
        </is>
      </c>
      <c r="C15" s="296" t="inlineStr">
        <is>
          <t>MstAutoPlayerSequence</t>
        </is>
      </c>
      <c r="D15" s="316" t="b">
        <v>0</v>
      </c>
      <c r="E15" s="296" t="inlineStr">
        <is>
          <t>summon_position</t>
        </is>
      </c>
      <c r="F15" s="17" t="n"/>
      <c r="G15" s="296" t="inlineStr">
        <is>
          <t>通常</t>
        </is>
      </c>
      <c r="H15" s="316" t="b">
        <v>0</v>
      </c>
    </row>
    <row r="16">
      <c r="A16" s="296" t="inlineStr">
        <is>
          <t>move_start_condition_type</t>
        </is>
      </c>
      <c r="B16" s="17" t="inlineStr">
        <is>
          <t>▼</t>
        </is>
      </c>
      <c r="C16" s="296" t="inlineStr">
        <is>
          <t>MstAutoPlayerSequence</t>
        </is>
      </c>
      <c r="D16" s="316" t="b">
        <v>0</v>
      </c>
      <c r="E16" s="296" t="inlineStr">
        <is>
          <t>move_start_condition_type</t>
        </is>
      </c>
      <c r="F16" s="17" t="n"/>
      <c r="G16" s="296" t="inlineStr">
        <is>
          <t>通常</t>
        </is>
      </c>
      <c r="H16" s="316" t="b">
        <v>0</v>
      </c>
    </row>
    <row r="17">
      <c r="A17" s="296" t="inlineStr">
        <is>
          <t>move_start_condition_value</t>
        </is>
      </c>
      <c r="B17" s="17" t="inlineStr">
        <is>
          <t>▼</t>
        </is>
      </c>
      <c r="C17" s="296" t="inlineStr">
        <is>
          <t>MstAutoPlayerSequence</t>
        </is>
      </c>
      <c r="D17" s="316" t="b">
        <v>0</v>
      </c>
      <c r="E17" s="296" t="inlineStr">
        <is>
          <t>move_start_condition_value</t>
        </is>
      </c>
      <c r="F17" s="17" t="n"/>
      <c r="G17" s="296" t="inlineStr">
        <is>
          <t>通常</t>
        </is>
      </c>
      <c r="H17" s="316" t="b">
        <v>0</v>
      </c>
    </row>
    <row r="18">
      <c r="A18" s="296" t="inlineStr">
        <is>
          <t>move_stop_condition_type</t>
        </is>
      </c>
      <c r="B18" s="17" t="inlineStr">
        <is>
          <t>▼</t>
        </is>
      </c>
      <c r="C18" s="296" t="inlineStr">
        <is>
          <t>MstAutoPlayerSequence</t>
        </is>
      </c>
      <c r="D18" s="316" t="b">
        <v>0</v>
      </c>
      <c r="E18" s="296" t="inlineStr">
        <is>
          <t>move_stop_condition_type</t>
        </is>
      </c>
      <c r="F18" s="17" t="n"/>
      <c r="G18" s="296" t="inlineStr">
        <is>
          <t>通常</t>
        </is>
      </c>
      <c r="H18" s="316" t="b">
        <v>0</v>
      </c>
    </row>
    <row r="19">
      <c r="A19" s="296" t="inlineStr">
        <is>
          <t>move_stop_condition_value</t>
        </is>
      </c>
      <c r="B19" s="17" t="inlineStr">
        <is>
          <t>▼</t>
        </is>
      </c>
      <c r="C19" s="296" t="inlineStr">
        <is>
          <t>MstAutoPlayerSequence</t>
        </is>
      </c>
      <c r="D19" s="316" t="b">
        <v>0</v>
      </c>
      <c r="E19" s="296" t="inlineStr">
        <is>
          <t>move_stop_condition_value</t>
        </is>
      </c>
      <c r="F19" s="17" t="n"/>
      <c r="G19" s="296" t="inlineStr">
        <is>
          <t>通常</t>
        </is>
      </c>
      <c r="H19" s="316" t="b">
        <v>0</v>
      </c>
    </row>
    <row r="20">
      <c r="A20" s="296" t="inlineStr">
        <is>
          <t>move_restart_condition_type</t>
        </is>
      </c>
      <c r="B20" s="17" t="inlineStr">
        <is>
          <t>▼</t>
        </is>
      </c>
      <c r="C20" s="296" t="inlineStr">
        <is>
          <t>MstAutoPlayerSequence</t>
        </is>
      </c>
      <c r="D20" s="316" t="b">
        <v>0</v>
      </c>
      <c r="E20" s="296" t="inlineStr">
        <is>
          <t>move_restart_condition_type</t>
        </is>
      </c>
      <c r="F20" s="17" t="n"/>
      <c r="G20" s="296" t="inlineStr">
        <is>
          <t>通常</t>
        </is>
      </c>
      <c r="H20" s="316" t="b">
        <v>0</v>
      </c>
    </row>
    <row r="21">
      <c r="A21" s="296" t="inlineStr">
        <is>
          <t>move_restart_condition_value</t>
        </is>
      </c>
      <c r="B21" s="17" t="inlineStr">
        <is>
          <t>▼</t>
        </is>
      </c>
      <c r="C21" s="296" t="inlineStr">
        <is>
          <t>MstAutoPlayerSequence</t>
        </is>
      </c>
      <c r="D21" s="316" t="b">
        <v>0</v>
      </c>
      <c r="E21" s="296" t="inlineStr">
        <is>
          <t>move_restart_condition_value</t>
        </is>
      </c>
      <c r="F21" s="17" t="n"/>
      <c r="G21" s="296" t="inlineStr">
        <is>
          <t>通常</t>
        </is>
      </c>
      <c r="H21" s="316" t="b">
        <v>0</v>
      </c>
    </row>
    <row r="22">
      <c r="A22" s="296" t="inlineStr">
        <is>
          <t>move_loop_count</t>
        </is>
      </c>
      <c r="B22" s="17" t="inlineStr">
        <is>
          <t>▼</t>
        </is>
      </c>
      <c r="C22" s="296" t="inlineStr">
        <is>
          <t>MstAutoPlayerSequence</t>
        </is>
      </c>
      <c r="D22" s="316" t="b">
        <v>0</v>
      </c>
      <c r="E22" s="296" t="inlineStr">
        <is>
          <t>move_loop_count</t>
        </is>
      </c>
      <c r="F22" s="17" t="n"/>
      <c r="G22" s="296" t="inlineStr">
        <is>
          <t>通常</t>
        </is>
      </c>
      <c r="H22" s="316" t="b">
        <v>0</v>
      </c>
    </row>
    <row r="23">
      <c r="A23" s="296" t="inlineStr">
        <is>
          <t>is_summon_unit_outpost_damage_invalidation</t>
        </is>
      </c>
      <c r="B23" s="17" t="inlineStr">
        <is>
          <t>▼</t>
        </is>
      </c>
      <c r="C23" s="296" t="inlineStr">
        <is>
          <t>MstAutoPlayerSequence</t>
        </is>
      </c>
      <c r="D23" s="316" t="b">
        <v>0</v>
      </c>
      <c r="E23" s="296" t="inlineStr">
        <is>
          <t>is_summon_unit_outpost_damage_invalidation</t>
        </is>
      </c>
      <c r="F23" s="17" t="n"/>
      <c r="G23" s="296" t="inlineStr">
        <is>
          <t>通常</t>
        </is>
      </c>
      <c r="H23" s="316" t="b">
        <v>0</v>
      </c>
    </row>
    <row r="24">
      <c r="A24" s="296" t="inlineStr">
        <is>
          <t>last_boss_trigger</t>
        </is>
      </c>
      <c r="B24" s="17" t="inlineStr">
        <is>
          <t>▼</t>
        </is>
      </c>
      <c r="C24" s="296" t="inlineStr">
        <is>
          <t>MstAutoPlayerSequence</t>
        </is>
      </c>
      <c r="D24" s="13" t="b">
        <v>1</v>
      </c>
      <c r="E24" s="296" t="inlineStr">
        <is>
          <t>last_boss_trigger</t>
        </is>
      </c>
      <c r="F24" s="17" t="n"/>
      <c r="G24" s="296" t="inlineStr">
        <is>
          <t>通常</t>
        </is>
      </c>
      <c r="H24" s="316" t="b">
        <v>0</v>
      </c>
    </row>
    <row r="25">
      <c r="A25" s="296" t="inlineStr">
        <is>
          <t>aura_type</t>
        </is>
      </c>
      <c r="B25" s="17" t="inlineStr">
        <is>
          <t>▼</t>
        </is>
      </c>
      <c r="C25" s="296" t="inlineStr">
        <is>
          <t>MstAutoPlayerSequence</t>
        </is>
      </c>
      <c r="D25" s="316" t="b">
        <v>0</v>
      </c>
      <c r="E25" s="296" t="inlineStr">
        <is>
          <t>aura_type</t>
        </is>
      </c>
      <c r="F25" s="17" t="n"/>
      <c r="G25" s="296" t="inlineStr">
        <is>
          <t>通常</t>
        </is>
      </c>
      <c r="H25" s="316" t="b">
        <v>0</v>
      </c>
    </row>
    <row r="26">
      <c r="A26" s="296" t="inlineStr">
        <is>
          <t>death_type</t>
        </is>
      </c>
      <c r="B26" s="17" t="inlineStr">
        <is>
          <t>▼</t>
        </is>
      </c>
      <c r="C26" s="296" t="inlineStr">
        <is>
          <t>MstAutoPlayerSequence</t>
        </is>
      </c>
      <c r="D26" s="316" t="b">
        <v>0</v>
      </c>
      <c r="E26" s="296" t="inlineStr">
        <is>
          <t>death_type</t>
        </is>
      </c>
      <c r="F26" s="17" t="n"/>
      <c r="G26" s="296" t="inlineStr">
        <is>
          <t>通常</t>
        </is>
      </c>
      <c r="H26" s="316" t="b">
        <v>0</v>
      </c>
    </row>
    <row r="27">
      <c r="A27" s="296" t="inlineStr">
        <is>
          <t>enemy_hp_coef</t>
        </is>
      </c>
      <c r="B27" s="17" t="inlineStr">
        <is>
          <t>▼</t>
        </is>
      </c>
      <c r="C27" s="296" t="inlineStr">
        <is>
          <t>MstAutoPlayerSequence</t>
        </is>
      </c>
      <c r="D27" s="316" t="b">
        <v>0</v>
      </c>
      <c r="E27" s="296" t="inlineStr">
        <is>
          <t>enemy_hp_coef</t>
        </is>
      </c>
      <c r="F27" s="17" t="n"/>
      <c r="G27" s="296" t="inlineStr">
        <is>
          <t>通常</t>
        </is>
      </c>
      <c r="H27" s="316" t="b">
        <v>0</v>
      </c>
    </row>
    <row r="28">
      <c r="A28" s="296" t="inlineStr">
        <is>
          <t>enemy_attack_coef</t>
        </is>
      </c>
      <c r="B28" s="17" t="inlineStr">
        <is>
          <t>▼</t>
        </is>
      </c>
      <c r="C28" s="296" t="inlineStr">
        <is>
          <t>MstAutoPlayerSequence</t>
        </is>
      </c>
      <c r="D28" s="316" t="b">
        <v>0</v>
      </c>
      <c r="E28" s="296" t="inlineStr">
        <is>
          <t>enemy_attack_coef</t>
        </is>
      </c>
      <c r="F28" s="17" t="n"/>
      <c r="G28" s="296" t="inlineStr">
        <is>
          <t>通常</t>
        </is>
      </c>
      <c r="H28" s="316" t="b">
        <v>0</v>
      </c>
    </row>
    <row r="29">
      <c r="A29" s="296" t="inlineStr">
        <is>
          <t>enemy_speed_coef</t>
        </is>
      </c>
      <c r="B29" s="17" t="inlineStr">
        <is>
          <t>▼</t>
        </is>
      </c>
      <c r="C29" s="296" t="inlineStr">
        <is>
          <t>MstAutoPlayerSequence</t>
        </is>
      </c>
      <c r="D29" s="316" t="b">
        <v>0</v>
      </c>
      <c r="E29" s="296" t="inlineStr">
        <is>
          <t>enemy_speed_coef</t>
        </is>
      </c>
      <c r="F29" s="17" t="n"/>
      <c r="G29" s="296" t="inlineStr">
        <is>
          <t>通常</t>
        </is>
      </c>
      <c r="H29" s="316" t="b">
        <v>0</v>
      </c>
    </row>
    <row r="30">
      <c r="A30" s="296" t="inlineStr">
        <is>
          <t>override_drop_battle_point</t>
        </is>
      </c>
      <c r="B30" s="17" t="inlineStr">
        <is>
          <t>▼</t>
        </is>
      </c>
      <c r="C30" s="296" t="inlineStr">
        <is>
          <t>MstAutoPlayerSequence</t>
        </is>
      </c>
      <c r="D30" s="316" t="b">
        <v>0</v>
      </c>
      <c r="E30" s="296" t="inlineStr">
        <is>
          <t>override_drop_battle_point</t>
        </is>
      </c>
      <c r="F30" s="17" t="n"/>
      <c r="G30" s="296" t="inlineStr">
        <is>
          <t>通常</t>
        </is>
      </c>
      <c r="H30" s="316" t="b">
        <v>0</v>
      </c>
    </row>
    <row r="31">
      <c r="A31" s="296" t="inlineStr">
        <is>
          <t>defeated_score</t>
        </is>
      </c>
      <c r="B31" s="17" t="inlineStr">
        <is>
          <t>▼</t>
        </is>
      </c>
      <c r="C31" s="296" t="inlineStr">
        <is>
          <t>MstAutoPlayerSequence</t>
        </is>
      </c>
      <c r="D31" s="316" t="b">
        <v>0</v>
      </c>
      <c r="E31" s="296" t="inlineStr">
        <is>
          <t>defeated_score</t>
        </is>
      </c>
      <c r="F31" s="17" t="n"/>
      <c r="G31" s="296" t="inlineStr">
        <is>
          <t>通常</t>
        </is>
      </c>
      <c r="H31" s="316" t="b">
        <v>0</v>
      </c>
    </row>
    <row r="32">
      <c r="A32" s="296" t="inlineStr">
        <is>
          <t>action_delay</t>
        </is>
      </c>
      <c r="B32" s="17" t="inlineStr">
        <is>
          <t>▼</t>
        </is>
      </c>
      <c r="C32" s="296" t="inlineStr">
        <is>
          <t>MstAutoPlayerSequence</t>
        </is>
      </c>
      <c r="D32" s="316" t="b">
        <v>0</v>
      </c>
      <c r="E32" s="296" t="inlineStr">
        <is>
          <t>action_delay</t>
        </is>
      </c>
      <c r="F32" s="17" t="n"/>
      <c r="G32" s="296" t="inlineStr">
        <is>
          <t>通常</t>
        </is>
      </c>
      <c r="H32" s="316" t="b">
        <v>0</v>
      </c>
    </row>
    <row r="33">
      <c r="A33" s="296" t="inlineStr">
        <is>
          <t>deactivation_condition_type</t>
        </is>
      </c>
      <c r="B33" s="17" t="inlineStr">
        <is>
          <t>▼</t>
        </is>
      </c>
      <c r="C33" s="296" t="inlineStr">
        <is>
          <t>MstAutoPlayerSequence</t>
        </is>
      </c>
      <c r="D33" s="316" t="b">
        <v>0</v>
      </c>
      <c r="E33" s="296" t="inlineStr">
        <is>
          <t>deactivation_condition_type</t>
        </is>
      </c>
      <c r="F33" s="17" t="n"/>
      <c r="G33" s="296" t="inlineStr">
        <is>
          <t>通常</t>
        </is>
      </c>
      <c r="H33" s="316" t="b">
        <v>0</v>
      </c>
    </row>
    <row r="34">
      <c r="A34" s="296" t="inlineStr">
        <is>
          <t>deactivation_condition_value</t>
        </is>
      </c>
      <c r="B34" s="17" t="inlineStr">
        <is>
          <t>▼</t>
        </is>
      </c>
      <c r="C34" s="296" t="inlineStr">
        <is>
          <t>MstAutoPlayerSequence</t>
        </is>
      </c>
      <c r="D34" s="316" t="b">
        <v>0</v>
      </c>
      <c r="E34" s="296" t="inlineStr">
        <is>
          <t>deactivation_condition_value</t>
        </is>
      </c>
      <c r="F34" s="17" t="n"/>
      <c r="G34" s="296" t="inlineStr">
        <is>
          <t>通常</t>
        </is>
      </c>
      <c r="H34" s="316" t="b">
        <v>0</v>
      </c>
    </row>
    <row r="35">
      <c r="A35" s="296" t="inlineStr">
        <is>
          <t>リリースキー</t>
        </is>
      </c>
      <c r="B35" s="17" t="inlineStr">
        <is>
          <t>▼</t>
        </is>
      </c>
      <c r="C35" s="296" t="inlineStr">
        <is>
          <t>MstAutoPlayerSequence</t>
        </is>
      </c>
      <c r="D35" s="316" t="b">
        <v>0</v>
      </c>
      <c r="E35" s="296" t="inlineStr">
        <is>
          <t>release_key</t>
        </is>
      </c>
      <c r="F35" s="17" t="n"/>
      <c r="G35" s="296" t="inlineStr">
        <is>
          <t>下方継承</t>
        </is>
      </c>
      <c r="H35" s="316" t="b">
        <v>0</v>
      </c>
    </row>
    <row r="36">
      <c r="A36" s="17" t="n"/>
      <c r="B36" s="17" t="n"/>
      <c r="C36" s="17" t="n"/>
      <c r="D36" s="17" t="n"/>
      <c r="E36" s="17" t="n"/>
      <c r="F36" s="17" t="n"/>
      <c r="G36" s="17" t="n"/>
      <c r="H36" s="17" t="n"/>
    </row>
    <row r="37">
      <c r="A37" s="17" t="n"/>
      <c r="B37" s="17" t="n"/>
      <c r="C37" s="17" t="n"/>
      <c r="D37" s="17" t="n"/>
      <c r="E37" s="17" t="n"/>
      <c r="F37" s="17" t="n"/>
      <c r="G37" s="17" t="n"/>
      <c r="H37" s="17" t="n"/>
    </row>
    <row r="38">
      <c r="A38" s="17" t="n"/>
      <c r="B38" s="17" t="n"/>
      <c r="C38" s="17" t="n"/>
      <c r="D38" s="17" t="n"/>
      <c r="E38" s="17" t="n"/>
      <c r="F38" s="17" t="n"/>
      <c r="G38" s="17" t="n"/>
      <c r="H38" s="17" t="n"/>
    </row>
    <row r="39">
      <c r="A39" s="17" t="n"/>
      <c r="B39" s="17" t="n"/>
      <c r="C39" s="17" t="n"/>
      <c r="D39" s="17" t="n"/>
      <c r="E39" s="17" t="n"/>
      <c r="F39" s="17" t="n"/>
      <c r="G39" s="17" t="n"/>
      <c r="H39" s="17" t="n"/>
    </row>
    <row r="40">
      <c r="A40" s="17" t="n"/>
      <c r="B40" s="17" t="n"/>
      <c r="C40" s="17" t="n"/>
      <c r="D40" s="17" t="n"/>
      <c r="E40" s="17" t="n"/>
      <c r="F40" s="17" t="n"/>
      <c r="G40" s="17" t="n"/>
      <c r="H40" s="17" t="n"/>
    </row>
    <row r="41">
      <c r="A41" s="17" t="n"/>
      <c r="B41" s="17" t="n"/>
      <c r="C41" s="17" t="n"/>
      <c r="D41" s="17" t="n"/>
      <c r="E41" s="17" t="n"/>
      <c r="F41" s="17" t="n"/>
      <c r="G41" s="17" t="n"/>
      <c r="H41" s="17" t="n"/>
    </row>
    <row r="42">
      <c r="A42" s="17" t="n"/>
      <c r="B42" s="17" t="n"/>
      <c r="C42" s="17" t="n"/>
      <c r="D42" s="17" t="n"/>
      <c r="E42" s="17" t="n"/>
      <c r="F42" s="17" t="n"/>
      <c r="G42" s="17" t="n"/>
      <c r="H42" s="17" t="n"/>
    </row>
    <row r="43">
      <c r="A43" s="17" t="n"/>
      <c r="B43" s="17" t="n"/>
      <c r="C43" s="17" t="n"/>
      <c r="D43" s="17" t="n"/>
      <c r="E43" s="17" t="n"/>
      <c r="F43" s="17" t="n"/>
      <c r="G43" s="17" t="n"/>
      <c r="H43" s="17" t="n"/>
    </row>
    <row r="44">
      <c r="A44" s="334" t="n"/>
      <c r="B44" s="334" t="n"/>
      <c r="C44" s="334" t="n"/>
      <c r="D44" s="334" t="n"/>
      <c r="E44" s="334" t="n"/>
      <c r="F44" s="334" t="n"/>
      <c r="G44" s="334" t="n"/>
      <c r="H44" s="334" t="n"/>
    </row>
    <row r="45">
      <c r="A45" s="334" t="n"/>
      <c r="B45" s="334" t="n"/>
      <c r="C45" s="334" t="n"/>
      <c r="D45" s="334" t="n"/>
      <c r="E45" s="334" t="n"/>
      <c r="F45" s="334" t="n"/>
      <c r="G45" s="334" t="n"/>
      <c r="H45" s="334" t="n"/>
    </row>
    <row r="46">
      <c r="A46" s="334" t="n"/>
      <c r="B46" s="334" t="n"/>
      <c r="C46" s="334" t="n"/>
      <c r="D46" s="334" t="n"/>
      <c r="E46" s="334" t="n"/>
      <c r="F46" s="334" t="n"/>
      <c r="G46" s="334" t="n"/>
      <c r="H46" s="334" t="n"/>
    </row>
    <row r="47">
      <c r="A47" s="334" t="n"/>
      <c r="B47" s="334" t="n"/>
      <c r="C47" s="334" t="n"/>
      <c r="D47" s="334" t="n"/>
      <c r="E47" s="334" t="n"/>
      <c r="F47" s="334" t="n"/>
      <c r="G47" s="334" t="n"/>
      <c r="H47" s="334" t="n"/>
    </row>
    <row r="48">
      <c r="A48" s="334" t="n"/>
      <c r="B48" s="334" t="n"/>
      <c r="C48" s="334" t="n"/>
      <c r="D48" s="334" t="n"/>
      <c r="E48" s="334" t="n"/>
      <c r="F48" s="334" t="n"/>
      <c r="G48" s="334" t="n"/>
      <c r="H48" s="334" t="n"/>
    </row>
    <row r="49">
      <c r="A49" s="334" t="n"/>
      <c r="B49" s="334" t="n"/>
      <c r="C49" s="334" t="n"/>
      <c r="D49" s="334" t="n"/>
      <c r="E49" s="334" t="n"/>
      <c r="F49" s="334" t="n"/>
      <c r="G49" s="334" t="n"/>
      <c r="H49" s="334" t="n"/>
    </row>
    <row r="50">
      <c r="A50" s="334" t="n"/>
      <c r="B50" s="334" t="n"/>
      <c r="C50" s="334" t="n"/>
      <c r="D50" s="334" t="n"/>
      <c r="E50" s="334" t="n"/>
      <c r="F50" s="334" t="n"/>
      <c r="G50" s="334" t="n"/>
      <c r="H50" s="334" t="n"/>
    </row>
    <row r="51">
      <c r="A51" s="334" t="n"/>
      <c r="B51" s="334" t="n"/>
      <c r="C51" s="334" t="n"/>
      <c r="D51" s="334" t="n"/>
      <c r="E51" s="334" t="n"/>
      <c r="F51" s="334" t="n"/>
      <c r="G51" s="334" t="n"/>
      <c r="H51" s="334" t="n"/>
    </row>
    <row r="52">
      <c r="A52" s="334" t="n"/>
      <c r="B52" s="334" t="n"/>
      <c r="C52" s="334" t="n"/>
      <c r="D52" s="334" t="n"/>
      <c r="E52" s="334" t="n"/>
      <c r="F52" s="334" t="n"/>
      <c r="G52" s="334" t="n"/>
      <c r="H52" s="334" t="n"/>
    </row>
    <row r="53">
      <c r="A53" s="334" t="n"/>
      <c r="B53" s="334" t="n"/>
      <c r="C53" s="334" t="n"/>
      <c r="D53" s="334" t="n"/>
      <c r="E53" s="334" t="n"/>
      <c r="F53" s="334" t="n"/>
      <c r="G53" s="334" t="n"/>
      <c r="H53" s="334" t="n"/>
    </row>
    <row r="54">
      <c r="A54" s="334" t="n"/>
      <c r="B54" s="334" t="n"/>
      <c r="C54" s="334" t="n"/>
      <c r="D54" s="334" t="n"/>
      <c r="E54" s="334" t="n"/>
      <c r="F54" s="334" t="n"/>
      <c r="G54" s="334" t="n"/>
      <c r="H54" s="334" t="n"/>
    </row>
    <row r="55">
      <c r="A55" s="334" t="n"/>
      <c r="B55" s="334" t="n"/>
      <c r="C55" s="334" t="n"/>
      <c r="D55" s="334" t="n"/>
      <c r="E55" s="334" t="n"/>
      <c r="F55" s="334" t="n"/>
      <c r="G55" s="334" t="n"/>
      <c r="H55" s="334" t="n"/>
    </row>
    <row r="56">
      <c r="A56" s="334" t="n"/>
      <c r="B56" s="334" t="n"/>
      <c r="C56" s="334" t="n"/>
      <c r="D56" s="334" t="n"/>
      <c r="E56" s="334" t="n"/>
      <c r="F56" s="334" t="n"/>
      <c r="G56" s="334" t="n"/>
      <c r="H56" s="334" t="n"/>
    </row>
    <row r="57">
      <c r="A57" s="334" t="n"/>
      <c r="B57" s="334" t="n"/>
      <c r="C57" s="334" t="n"/>
      <c r="D57" s="334" t="n"/>
      <c r="E57" s="334" t="n"/>
      <c r="F57" s="334" t="n"/>
      <c r="G57" s="334" t="n"/>
      <c r="H57" s="334" t="n"/>
    </row>
    <row r="58">
      <c r="A58" s="334" t="n"/>
      <c r="B58" s="334" t="n"/>
      <c r="C58" s="334" t="n"/>
      <c r="D58" s="334" t="n"/>
      <c r="E58" s="334" t="n"/>
      <c r="F58" s="334" t="n"/>
      <c r="G58" s="334" t="n"/>
      <c r="H58" s="334" t="n"/>
    </row>
    <row r="59">
      <c r="A59" s="334" t="n"/>
      <c r="B59" s="334" t="n"/>
      <c r="C59" s="334" t="n"/>
      <c r="D59" s="334" t="n"/>
      <c r="E59" s="334" t="n"/>
      <c r="F59" s="334" t="n"/>
      <c r="G59" s="334" t="n"/>
      <c r="H59" s="334" t="n"/>
    </row>
    <row r="60">
      <c r="A60" s="334" t="n"/>
      <c r="B60" s="334" t="n"/>
      <c r="C60" s="334" t="n"/>
      <c r="D60" s="334" t="n"/>
      <c r="E60" s="334" t="n"/>
      <c r="F60" s="334" t="n"/>
      <c r="G60" s="334" t="n"/>
      <c r="H60" s="334" t="n"/>
    </row>
    <row r="61">
      <c r="A61" s="334" t="n"/>
      <c r="B61" s="334" t="n"/>
      <c r="C61" s="334" t="n"/>
      <c r="D61" s="334" t="n"/>
      <c r="E61" s="334" t="n"/>
      <c r="F61" s="334" t="n"/>
      <c r="G61" s="334" t="n"/>
      <c r="H61" s="334" t="n"/>
    </row>
    <row r="62">
      <c r="A62" s="334" t="n"/>
      <c r="B62" s="334" t="n"/>
      <c r="C62" s="334" t="n"/>
      <c r="D62" s="334" t="n"/>
      <c r="E62" s="334" t="n"/>
      <c r="F62" s="334" t="n"/>
      <c r="G62" s="334" t="n"/>
      <c r="H62" s="334" t="n"/>
    </row>
    <row r="63">
      <c r="A63" s="334" t="n"/>
      <c r="B63" s="334" t="n"/>
      <c r="C63" s="334" t="n"/>
      <c r="D63" s="334" t="n"/>
      <c r="E63" s="334" t="n"/>
      <c r="F63" s="334" t="n"/>
      <c r="G63" s="334" t="n"/>
      <c r="H63" s="334" t="n"/>
    </row>
    <row r="64">
      <c r="A64" s="334" t="n"/>
      <c r="B64" s="334" t="n"/>
      <c r="C64" s="334" t="n"/>
      <c r="D64" s="334" t="n"/>
      <c r="E64" s="334" t="n"/>
      <c r="F64" s="334" t="n"/>
      <c r="G64" s="334" t="n"/>
      <c r="H64" s="334" t="n"/>
    </row>
    <row r="65">
      <c r="A65" s="334" t="n"/>
      <c r="B65" s="334" t="n"/>
      <c r="C65" s="334" t="n"/>
      <c r="D65" s="334" t="n"/>
      <c r="E65" s="334" t="n"/>
      <c r="F65" s="334" t="n"/>
      <c r="G65" s="334" t="n"/>
      <c r="H65" s="334" t="n"/>
    </row>
    <row r="66">
      <c r="A66" s="334" t="n"/>
      <c r="B66" s="334" t="n"/>
      <c r="C66" s="334" t="n"/>
      <c r="D66" s="334" t="n"/>
      <c r="E66" s="334" t="n"/>
      <c r="F66" s="334" t="n"/>
      <c r="G66" s="334" t="n"/>
      <c r="H66" s="334" t="n"/>
    </row>
    <row r="67">
      <c r="A67" s="334" t="n"/>
      <c r="B67" s="334" t="n"/>
      <c r="C67" s="334" t="n"/>
      <c r="D67" s="334" t="n"/>
      <c r="E67" s="334" t="n"/>
      <c r="F67" s="334" t="n"/>
      <c r="G67" s="334" t="n"/>
      <c r="H67" s="334" t="n"/>
    </row>
    <row r="68">
      <c r="A68" s="334" t="n"/>
      <c r="B68" s="334" t="n"/>
      <c r="C68" s="334" t="n"/>
      <c r="D68" s="334" t="n"/>
      <c r="E68" s="334" t="n"/>
      <c r="F68" s="334" t="n"/>
      <c r="G68" s="334" t="n"/>
      <c r="H68" s="334" t="n"/>
    </row>
    <row r="69">
      <c r="A69" s="334" t="n"/>
      <c r="B69" s="334" t="n"/>
      <c r="C69" s="334" t="n"/>
      <c r="D69" s="334" t="n"/>
      <c r="E69" s="334" t="n"/>
      <c r="F69" s="334" t="n"/>
      <c r="G69" s="334" t="n"/>
      <c r="H69" s="334" t="n"/>
    </row>
    <row r="70">
      <c r="A70" s="334" t="n"/>
      <c r="B70" s="334" t="n"/>
      <c r="C70" s="334" t="n"/>
      <c r="D70" s="334" t="n"/>
      <c r="E70" s="334" t="n"/>
      <c r="F70" s="334" t="n"/>
      <c r="G70" s="334" t="n"/>
      <c r="H70" s="334" t="n"/>
    </row>
    <row r="71">
      <c r="A71" s="334" t="n"/>
      <c r="B71" s="334" t="n"/>
      <c r="C71" s="334" t="n"/>
      <c r="D71" s="334" t="n"/>
      <c r="E71" s="334" t="n"/>
      <c r="F71" s="334" t="n"/>
      <c r="G71" s="334" t="n"/>
      <c r="H71" s="334" t="n"/>
    </row>
    <row r="72">
      <c r="A72" s="334" t="n"/>
      <c r="B72" s="334" t="n"/>
      <c r="C72" s="334" t="n"/>
      <c r="D72" s="334" t="n"/>
      <c r="E72" s="334" t="n"/>
      <c r="F72" s="334" t="n"/>
      <c r="G72" s="334" t="n"/>
      <c r="H72" s="334" t="n"/>
    </row>
    <row r="73">
      <c r="A73" s="334" t="n"/>
      <c r="B73" s="334" t="n"/>
      <c r="C73" s="334" t="n"/>
      <c r="D73" s="334" t="n"/>
      <c r="E73" s="334" t="n"/>
      <c r="F73" s="334" t="n"/>
      <c r="G73" s="334" t="n"/>
      <c r="H73" s="334" t="n"/>
    </row>
    <row r="74">
      <c r="A74" s="334" t="n"/>
      <c r="B74" s="334" t="n"/>
      <c r="C74" s="334" t="n"/>
      <c r="D74" s="334" t="n"/>
      <c r="E74" s="334" t="n"/>
      <c r="F74" s="334" t="n"/>
      <c r="G74" s="334" t="n"/>
      <c r="H74" s="334" t="n"/>
    </row>
    <row r="75">
      <c r="A75" s="334" t="n"/>
      <c r="B75" s="334" t="n"/>
      <c r="C75" s="334" t="n"/>
      <c r="D75" s="334" t="n"/>
      <c r="E75" s="334" t="n"/>
      <c r="F75" s="334" t="n"/>
      <c r="G75" s="334" t="n"/>
      <c r="H75" s="334" t="n"/>
    </row>
    <row r="76">
      <c r="A76" s="334" t="n"/>
      <c r="B76" s="334" t="n"/>
      <c r="C76" s="334" t="n"/>
      <c r="D76" s="334" t="n"/>
      <c r="E76" s="334" t="n"/>
      <c r="F76" s="334" t="n"/>
      <c r="G76" s="334" t="n"/>
      <c r="H76" s="334" t="n"/>
    </row>
    <row r="77">
      <c r="A77" s="334" t="n"/>
      <c r="B77" s="334" t="n"/>
      <c r="C77" s="334" t="n"/>
      <c r="D77" s="334" t="n"/>
      <c r="E77" s="334" t="n"/>
      <c r="F77" s="334" t="n"/>
      <c r="G77" s="334" t="n"/>
      <c r="H77" s="334" t="n"/>
    </row>
    <row r="78">
      <c r="A78" s="334" t="n"/>
      <c r="B78" s="334" t="n"/>
      <c r="C78" s="334" t="n"/>
      <c r="D78" s="334" t="n"/>
      <c r="E78" s="334" t="n"/>
      <c r="F78" s="334" t="n"/>
      <c r="G78" s="334" t="n"/>
      <c r="H78" s="334" t="n"/>
    </row>
    <row r="79">
      <c r="A79" s="334" t="n"/>
      <c r="B79" s="334" t="n"/>
      <c r="C79" s="334" t="n"/>
      <c r="D79" s="334" t="n"/>
      <c r="E79" s="334" t="n"/>
      <c r="F79" s="334" t="n"/>
      <c r="G79" s="334" t="n"/>
      <c r="H79" s="334" t="n"/>
    </row>
    <row r="80">
      <c r="A80" s="334" t="n"/>
      <c r="B80" s="334" t="n"/>
      <c r="C80" s="334" t="n"/>
      <c r="D80" s="334" t="n"/>
      <c r="E80" s="334" t="n"/>
      <c r="F80" s="334" t="n"/>
      <c r="G80" s="334" t="n"/>
      <c r="H80" s="334" t="n"/>
    </row>
    <row r="81">
      <c r="A81" s="334" t="n"/>
      <c r="B81" s="334" t="n"/>
      <c r="C81" s="334" t="n"/>
      <c r="D81" s="334" t="n"/>
      <c r="E81" s="334" t="n"/>
      <c r="F81" s="334" t="n"/>
      <c r="G81" s="334" t="n"/>
      <c r="H81" s="334" t="n"/>
    </row>
    <row r="82">
      <c r="A82" s="334" t="n"/>
      <c r="B82" s="334" t="n"/>
      <c r="C82" s="334" t="n"/>
      <c r="D82" s="334" t="n"/>
      <c r="E82" s="334" t="n"/>
      <c r="F82" s="334" t="n"/>
      <c r="G82" s="334" t="n"/>
      <c r="H82" s="334" t="n"/>
    </row>
    <row r="83">
      <c r="A83" s="334" t="n"/>
      <c r="B83" s="334" t="n"/>
      <c r="C83" s="334" t="n"/>
      <c r="D83" s="334" t="n"/>
      <c r="E83" s="334" t="n"/>
      <c r="F83" s="334" t="n"/>
      <c r="G83" s="334" t="n"/>
      <c r="H83" s="334" t="n"/>
    </row>
    <row r="84">
      <c r="A84" s="334" t="n"/>
      <c r="B84" s="334" t="n"/>
      <c r="C84" s="334" t="n"/>
      <c r="D84" s="334" t="n"/>
      <c r="E84" s="334" t="n"/>
      <c r="F84" s="334" t="n"/>
      <c r="G84" s="334" t="n"/>
      <c r="H84" s="334" t="n"/>
    </row>
    <row r="85">
      <c r="A85" s="334" t="n"/>
      <c r="B85" s="334" t="n"/>
      <c r="C85" s="334" t="n"/>
      <c r="D85" s="334" t="n"/>
      <c r="E85" s="334" t="n"/>
      <c r="F85" s="334" t="n"/>
      <c r="G85" s="334" t="n"/>
      <c r="H85" s="334" t="n"/>
    </row>
    <row r="86">
      <c r="A86" s="334" t="n"/>
      <c r="B86" s="334" t="n"/>
      <c r="C86" s="334" t="n"/>
      <c r="D86" s="334" t="n"/>
      <c r="E86" s="334" t="n"/>
      <c r="F86" s="334" t="n"/>
      <c r="G86" s="334" t="n"/>
      <c r="H86" s="334" t="n"/>
    </row>
    <row r="87">
      <c r="A87" s="334" t="n"/>
      <c r="B87" s="334" t="n"/>
      <c r="C87" s="334" t="n"/>
      <c r="D87" s="334" t="n"/>
      <c r="E87" s="334" t="n"/>
      <c r="F87" s="334" t="n"/>
      <c r="G87" s="334" t="n"/>
      <c r="H87" s="334" t="n"/>
    </row>
    <row r="88">
      <c r="A88" s="334" t="n"/>
      <c r="B88" s="334" t="n"/>
      <c r="C88" s="334" t="n"/>
      <c r="D88" s="334" t="n"/>
      <c r="E88" s="334" t="n"/>
      <c r="F88" s="334" t="n"/>
      <c r="G88" s="334" t="n"/>
      <c r="H88" s="334" t="n"/>
    </row>
    <row r="89">
      <c r="A89" s="334" t="n"/>
      <c r="B89" s="334" t="n"/>
      <c r="C89" s="334" t="n"/>
      <c r="D89" s="334" t="n"/>
      <c r="E89" s="334" t="n"/>
      <c r="F89" s="334" t="n"/>
      <c r="G89" s="334" t="n"/>
      <c r="H89" s="334" t="n"/>
    </row>
    <row r="90">
      <c r="A90" s="334" t="n"/>
      <c r="B90" s="334" t="n"/>
      <c r="C90" s="334" t="n"/>
      <c r="D90" s="334" t="n"/>
      <c r="E90" s="334" t="n"/>
      <c r="F90" s="334" t="n"/>
      <c r="G90" s="334" t="n"/>
      <c r="H90" s="334" t="n"/>
    </row>
    <row r="91">
      <c r="A91" s="334" t="n"/>
      <c r="B91" s="334" t="n"/>
      <c r="C91" s="334" t="n"/>
      <c r="D91" s="334" t="n"/>
      <c r="E91" s="334" t="n"/>
      <c r="F91" s="334" t="n"/>
      <c r="G91" s="334" t="n"/>
      <c r="H91" s="334" t="n"/>
    </row>
    <row r="92">
      <c r="A92" s="334" t="n"/>
      <c r="B92" s="334" t="n"/>
      <c r="C92" s="334" t="n"/>
      <c r="D92" s="334" t="n"/>
      <c r="E92" s="334" t="n"/>
      <c r="F92" s="334" t="n"/>
      <c r="G92" s="334" t="n"/>
      <c r="H92" s="334" t="n"/>
    </row>
    <row r="93">
      <c r="A93" s="334" t="n"/>
      <c r="B93" s="334" t="n"/>
      <c r="C93" s="334" t="n"/>
      <c r="D93" s="334" t="n"/>
      <c r="E93" s="334" t="n"/>
      <c r="F93" s="334" t="n"/>
      <c r="G93" s="334" t="n"/>
      <c r="H93" s="334" t="n"/>
    </row>
    <row r="94">
      <c r="A94" s="334" t="n"/>
      <c r="B94" s="334" t="n"/>
      <c r="C94" s="334" t="n"/>
      <c r="D94" s="334" t="n"/>
      <c r="E94" s="334" t="n"/>
      <c r="F94" s="334" t="n"/>
      <c r="G94" s="334" t="n"/>
      <c r="H94" s="334" t="n"/>
    </row>
    <row r="95">
      <c r="A95" s="334" t="n"/>
      <c r="B95" s="334" t="n"/>
      <c r="C95" s="334" t="n"/>
      <c r="D95" s="334" t="n"/>
      <c r="E95" s="334" t="n"/>
      <c r="F95" s="334" t="n"/>
      <c r="G95" s="334" t="n"/>
      <c r="H95" s="334" t="n"/>
    </row>
    <row r="96">
      <c r="A96" s="334" t="n"/>
      <c r="B96" s="334" t="n"/>
      <c r="C96" s="334" t="n"/>
      <c r="D96" s="334" t="n"/>
      <c r="E96" s="334" t="n"/>
      <c r="F96" s="334" t="n"/>
      <c r="G96" s="334" t="n"/>
      <c r="H96" s="334" t="n"/>
    </row>
    <row r="97">
      <c r="A97" s="334" t="n"/>
      <c r="B97" s="334" t="n"/>
      <c r="C97" s="334" t="n"/>
      <c r="D97" s="334" t="n"/>
      <c r="E97" s="334" t="n"/>
      <c r="F97" s="334" t="n"/>
      <c r="G97" s="334" t="n"/>
      <c r="H97" s="334" t="n"/>
    </row>
    <row r="98">
      <c r="A98" s="334" t="n"/>
      <c r="B98" s="334" t="n"/>
      <c r="C98" s="334" t="n"/>
      <c r="D98" s="334" t="n"/>
      <c r="E98" s="334" t="n"/>
      <c r="F98" s="334" t="n"/>
      <c r="G98" s="334" t="n"/>
      <c r="H98" s="334" t="n"/>
    </row>
    <row r="99">
      <c r="A99" s="334" t="n"/>
      <c r="B99" s="334" t="n"/>
      <c r="C99" s="334" t="n"/>
      <c r="D99" s="334" t="n"/>
      <c r="E99" s="334" t="n"/>
      <c r="F99" s="334" t="n"/>
      <c r="G99" s="334" t="n"/>
      <c r="H99" s="334" t="n"/>
    </row>
    <row r="100">
      <c r="A100" s="334" t="n"/>
      <c r="B100" s="334" t="n"/>
      <c r="C100" s="334" t="n"/>
      <c r="D100" s="334" t="n"/>
      <c r="E100" s="334" t="n"/>
      <c r="F100" s="334" t="n"/>
      <c r="G100" s="334" t="n"/>
      <c r="H100" s="334" t="n"/>
    </row>
    <row r="101">
      <c r="A101" s="334" t="n"/>
      <c r="B101" s="334" t="n"/>
      <c r="C101" s="334" t="n"/>
      <c r="D101" s="334" t="n"/>
      <c r="E101" s="334" t="n"/>
      <c r="F101" s="334" t="n"/>
      <c r="G101" s="334" t="n"/>
      <c r="H101" s="334" t="n"/>
    </row>
    <row r="102">
      <c r="A102" s="334" t="n"/>
      <c r="B102" s="334" t="n"/>
      <c r="C102" s="334" t="n"/>
      <c r="D102" s="334" t="n"/>
      <c r="E102" s="334" t="n"/>
      <c r="F102" s="334" t="n"/>
      <c r="G102" s="334" t="n"/>
      <c r="H102" s="334" t="n"/>
    </row>
    <row r="103">
      <c r="A103" s="334" t="n"/>
      <c r="B103" s="334" t="n"/>
      <c r="C103" s="334" t="n"/>
      <c r="D103" s="334" t="n"/>
      <c r="E103" s="334" t="n"/>
      <c r="F103" s="334" t="n"/>
      <c r="G103" s="334" t="n"/>
      <c r="H103" s="334" t="n"/>
    </row>
    <row r="104">
      <c r="A104" s="334" t="n"/>
      <c r="B104" s="334" t="n"/>
      <c r="C104" s="334" t="n"/>
      <c r="D104" s="334" t="n"/>
      <c r="E104" s="334" t="n"/>
      <c r="F104" s="334" t="n"/>
      <c r="G104" s="334" t="n"/>
      <c r="H104" s="334" t="n"/>
    </row>
    <row r="105">
      <c r="A105" s="334" t="n"/>
      <c r="B105" s="334" t="n"/>
      <c r="C105" s="334" t="n"/>
      <c r="D105" s="334" t="n"/>
      <c r="E105" s="334" t="n"/>
      <c r="F105" s="334" t="n"/>
      <c r="G105" s="334" t="n"/>
      <c r="H105" s="334" t="n"/>
    </row>
    <row r="106">
      <c r="A106" s="334" t="n"/>
      <c r="B106" s="334" t="n"/>
      <c r="C106" s="334" t="n"/>
      <c r="D106" s="334" t="n"/>
      <c r="E106" s="334" t="n"/>
      <c r="F106" s="334" t="n"/>
      <c r="G106" s="334" t="n"/>
      <c r="H106" s="334" t="n"/>
    </row>
    <row r="107">
      <c r="A107" s="334" t="n"/>
      <c r="B107" s="334" t="n"/>
      <c r="C107" s="334" t="n"/>
      <c r="D107" s="334" t="n"/>
      <c r="E107" s="334" t="n"/>
      <c r="F107" s="334" t="n"/>
      <c r="G107" s="334" t="n"/>
      <c r="H107" s="334" t="n"/>
    </row>
    <row r="108">
      <c r="A108" s="334" t="n"/>
      <c r="B108" s="334" t="n"/>
      <c r="C108" s="334" t="n"/>
      <c r="D108" s="334" t="n"/>
      <c r="E108" s="334" t="n"/>
      <c r="F108" s="334" t="n"/>
      <c r="G108" s="334" t="n"/>
      <c r="H108" s="334" t="n"/>
    </row>
    <row r="109">
      <c r="A109" s="334" t="n"/>
      <c r="B109" s="334" t="n"/>
      <c r="C109" s="334" t="n"/>
      <c r="D109" s="334" t="n"/>
      <c r="E109" s="334" t="n"/>
      <c r="F109" s="334" t="n"/>
      <c r="G109" s="334" t="n"/>
      <c r="H109" s="334" t="n"/>
    </row>
    <row r="110">
      <c r="A110" s="334" t="n"/>
      <c r="B110" s="334" t="n"/>
      <c r="C110" s="334" t="n"/>
      <c r="D110" s="334" t="n"/>
      <c r="E110" s="334" t="n"/>
      <c r="F110" s="334" t="n"/>
      <c r="G110" s="334" t="n"/>
      <c r="H110" s="334" t="n"/>
    </row>
    <row r="111">
      <c r="A111" s="334" t="n"/>
      <c r="B111" s="334" t="n"/>
      <c r="C111" s="334" t="n"/>
      <c r="D111" s="334" t="n"/>
      <c r="E111" s="334" t="n"/>
      <c r="F111" s="334" t="n"/>
      <c r="G111" s="334" t="n"/>
      <c r="H111" s="334" t="n"/>
    </row>
    <row r="112">
      <c r="A112" s="334" t="n"/>
      <c r="B112" s="334" t="n"/>
      <c r="C112" s="334" t="n"/>
      <c r="D112" s="334" t="n"/>
      <c r="E112" s="334" t="n"/>
      <c r="F112" s="334" t="n"/>
      <c r="G112" s="334" t="n"/>
      <c r="H112" s="334" t="n"/>
    </row>
    <row r="113">
      <c r="A113" s="334" t="n"/>
      <c r="B113" s="334" t="n"/>
      <c r="C113" s="334" t="n"/>
      <c r="D113" s="334" t="n"/>
      <c r="E113" s="334" t="n"/>
      <c r="F113" s="334" t="n"/>
      <c r="G113" s="334" t="n"/>
      <c r="H113" s="334" t="n"/>
    </row>
    <row r="114">
      <c r="A114" s="334" t="n"/>
      <c r="B114" s="334" t="n"/>
      <c r="C114" s="334" t="n"/>
      <c r="D114" s="334" t="n"/>
      <c r="E114" s="334" t="n"/>
      <c r="F114" s="334" t="n"/>
      <c r="G114" s="334" t="n"/>
      <c r="H114" s="334" t="n"/>
    </row>
    <row r="115">
      <c r="A115" s="334" t="n"/>
      <c r="B115" s="334" t="n"/>
      <c r="C115" s="334" t="n"/>
      <c r="D115" s="334" t="n"/>
      <c r="E115" s="334" t="n"/>
      <c r="F115" s="334" t="n"/>
      <c r="G115" s="334" t="n"/>
      <c r="H115" s="334" t="n"/>
    </row>
    <row r="116">
      <c r="A116" s="334" t="n"/>
      <c r="B116" s="334" t="n"/>
      <c r="C116" s="334" t="n"/>
      <c r="D116" s="334" t="n"/>
      <c r="E116" s="334" t="n"/>
      <c r="F116" s="334" t="n"/>
      <c r="G116" s="334" t="n"/>
      <c r="H116" s="334" t="n"/>
    </row>
    <row r="117">
      <c r="A117" s="334" t="n"/>
      <c r="B117" s="334" t="n"/>
      <c r="C117" s="334" t="n"/>
      <c r="D117" s="334" t="n"/>
      <c r="E117" s="334" t="n"/>
      <c r="F117" s="334" t="n"/>
      <c r="G117" s="334" t="n"/>
      <c r="H117" s="334" t="n"/>
    </row>
    <row r="118">
      <c r="A118" s="334" t="n"/>
      <c r="B118" s="334" t="n"/>
      <c r="C118" s="334" t="n"/>
      <c r="D118" s="334" t="n"/>
      <c r="E118" s="334" t="n"/>
      <c r="F118" s="334" t="n"/>
      <c r="G118" s="334" t="n"/>
      <c r="H118" s="334" t="n"/>
    </row>
    <row r="119">
      <c r="A119" s="334" t="n"/>
      <c r="B119" s="334" t="n"/>
      <c r="C119" s="334" t="n"/>
      <c r="D119" s="334" t="n"/>
      <c r="E119" s="334" t="n"/>
      <c r="F119" s="334" t="n"/>
      <c r="G119" s="334" t="n"/>
      <c r="H119" s="334" t="n"/>
    </row>
    <row r="120">
      <c r="A120" s="334" t="n"/>
      <c r="B120" s="334" t="n"/>
      <c r="C120" s="334" t="n"/>
      <c r="D120" s="334" t="n"/>
      <c r="E120" s="334" t="n"/>
      <c r="F120" s="334" t="n"/>
      <c r="G120" s="334" t="n"/>
      <c r="H120" s="334" t="n"/>
    </row>
    <row r="121">
      <c r="A121" s="334" t="n"/>
      <c r="B121" s="334" t="n"/>
      <c r="C121" s="334" t="n"/>
      <c r="D121" s="334" t="n"/>
      <c r="E121" s="334" t="n"/>
      <c r="F121" s="334" t="n"/>
      <c r="G121" s="334" t="n"/>
      <c r="H121" s="334" t="n"/>
    </row>
    <row r="122">
      <c r="A122" s="334" t="n"/>
      <c r="B122" s="334" t="n"/>
      <c r="C122" s="334" t="n"/>
      <c r="D122" s="334" t="n"/>
      <c r="E122" s="334" t="n"/>
      <c r="F122" s="334" t="n"/>
      <c r="G122" s="334" t="n"/>
      <c r="H122" s="334" t="n"/>
    </row>
    <row r="123">
      <c r="A123" s="334" t="n"/>
      <c r="B123" s="334" t="n"/>
      <c r="C123" s="334" t="n"/>
      <c r="D123" s="334" t="n"/>
      <c r="E123" s="334" t="n"/>
      <c r="F123" s="334" t="n"/>
      <c r="G123" s="334" t="n"/>
      <c r="H123" s="334" t="n"/>
    </row>
    <row r="124">
      <c r="A124" s="334" t="n"/>
      <c r="B124" s="334" t="n"/>
      <c r="C124" s="334" t="n"/>
      <c r="D124" s="334" t="n"/>
      <c r="E124" s="334" t="n"/>
      <c r="F124" s="334" t="n"/>
      <c r="G124" s="334" t="n"/>
      <c r="H124" s="334" t="n"/>
    </row>
    <row r="125">
      <c r="A125" s="334" t="n"/>
      <c r="B125" s="334" t="n"/>
      <c r="C125" s="334" t="n"/>
      <c r="D125" s="334" t="n"/>
      <c r="E125" s="334" t="n"/>
      <c r="F125" s="334" t="n"/>
      <c r="G125" s="334" t="n"/>
      <c r="H125" s="334" t="n"/>
    </row>
    <row r="126">
      <c r="A126" s="334" t="n"/>
      <c r="B126" s="334" t="n"/>
      <c r="C126" s="334" t="n"/>
      <c r="D126" s="334" t="n"/>
      <c r="E126" s="334" t="n"/>
      <c r="F126" s="334" t="n"/>
      <c r="G126" s="334" t="n"/>
      <c r="H126" s="334" t="n"/>
    </row>
    <row r="127">
      <c r="A127" s="334" t="n"/>
      <c r="B127" s="334" t="n"/>
      <c r="C127" s="334" t="n"/>
      <c r="D127" s="334" t="n"/>
      <c r="E127" s="334" t="n"/>
      <c r="F127" s="334" t="n"/>
      <c r="G127" s="334" t="n"/>
      <c r="H127" s="334" t="n"/>
    </row>
    <row r="128">
      <c r="A128" s="334" t="n"/>
      <c r="B128" s="334" t="n"/>
      <c r="C128" s="334" t="n"/>
      <c r="D128" s="334" t="n"/>
      <c r="E128" s="334" t="n"/>
      <c r="F128" s="334" t="n"/>
      <c r="G128" s="334" t="n"/>
      <c r="H128" s="334" t="n"/>
    </row>
    <row r="129">
      <c r="A129" s="334" t="n"/>
      <c r="B129" s="334" t="n"/>
      <c r="C129" s="334" t="n"/>
      <c r="D129" s="334" t="n"/>
      <c r="E129" s="334" t="n"/>
      <c r="F129" s="334" t="n"/>
      <c r="G129" s="334" t="n"/>
      <c r="H129" s="334" t="n"/>
    </row>
    <row r="130">
      <c r="A130" s="334" t="n"/>
      <c r="B130" s="334" t="n"/>
      <c r="C130" s="334" t="n"/>
      <c r="D130" s="334" t="n"/>
      <c r="E130" s="334" t="n"/>
      <c r="F130" s="334" t="n"/>
      <c r="G130" s="334" t="n"/>
      <c r="H130" s="334" t="n"/>
    </row>
    <row r="131">
      <c r="A131" s="334" t="n"/>
      <c r="B131" s="334" t="n"/>
      <c r="C131" s="334" t="n"/>
      <c r="D131" s="334" t="n"/>
      <c r="E131" s="334" t="n"/>
      <c r="F131" s="334" t="n"/>
      <c r="G131" s="334" t="n"/>
      <c r="H131" s="334" t="n"/>
    </row>
    <row r="132">
      <c r="A132" s="334" t="n"/>
      <c r="B132" s="334" t="n"/>
      <c r="C132" s="334" t="n"/>
      <c r="D132" s="334" t="n"/>
      <c r="E132" s="334" t="n"/>
      <c r="F132" s="334" t="n"/>
      <c r="G132" s="334" t="n"/>
      <c r="H132" s="334" t="n"/>
    </row>
    <row r="133">
      <c r="A133" s="334" t="n"/>
      <c r="B133" s="334" t="n"/>
      <c r="C133" s="334" t="n"/>
      <c r="D133" s="334" t="n"/>
      <c r="E133" s="334" t="n"/>
      <c r="F133" s="334" t="n"/>
      <c r="G133" s="334" t="n"/>
      <c r="H133" s="334" t="n"/>
    </row>
    <row r="134">
      <c r="A134" s="334" t="n"/>
      <c r="B134" s="334" t="n"/>
      <c r="C134" s="334" t="n"/>
      <c r="D134" s="334" t="n"/>
      <c r="E134" s="334" t="n"/>
      <c r="F134" s="334" t="n"/>
      <c r="G134" s="334" t="n"/>
      <c r="H134" s="334" t="n"/>
    </row>
    <row r="135">
      <c r="A135" s="334" t="n"/>
      <c r="B135" s="334" t="n"/>
      <c r="C135" s="334" t="n"/>
      <c r="D135" s="334" t="n"/>
      <c r="E135" s="334" t="n"/>
      <c r="F135" s="334" t="n"/>
      <c r="G135" s="334" t="n"/>
      <c r="H135" s="334" t="n"/>
    </row>
    <row r="136">
      <c r="A136" s="334" t="n"/>
      <c r="B136" s="334" t="n"/>
      <c r="C136" s="334" t="n"/>
      <c r="D136" s="334" t="n"/>
      <c r="E136" s="334" t="n"/>
      <c r="F136" s="334" t="n"/>
      <c r="G136" s="334" t="n"/>
      <c r="H136" s="334" t="n"/>
    </row>
    <row r="137">
      <c r="A137" s="334" t="n"/>
      <c r="B137" s="334" t="n"/>
      <c r="C137" s="334" t="n"/>
      <c r="D137" s="334" t="n"/>
      <c r="E137" s="334" t="n"/>
      <c r="F137" s="334" t="n"/>
      <c r="G137" s="334" t="n"/>
      <c r="H137" s="334" t="n"/>
    </row>
  </sheetData>
  <dataValidations count="2">
    <dataValidation sqref="B2:B44" showDropDown="0" showInputMessage="0" showErrorMessage="1" allowBlank="1" type="list">
      <formula1>"▼,▶︎"</formula1>
    </dataValidation>
    <dataValidation sqref="G2:G38" showDropDown="0" showInputMessage="0" showErrorMessage="1" allowBlank="1" type="list">
      <formula1>"下方継承,通常"</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2:AD19"/>
  <sheetViews>
    <sheetView workbookViewId="0">
      <selection activeCell="A1" sqref="A1"/>
    </sheetView>
  </sheetViews>
  <sheetFormatPr baseColWidth="8" defaultColWidth="12.63" defaultRowHeight="15.75" customHeight="1"/>
  <cols>
    <col width="4.25" customWidth="1" style="482" min="1" max="30"/>
  </cols>
  <sheetData>
    <row r="2">
      <c r="B2" s="483" t="inlineStr">
        <is>
          <t>作成開始日</t>
        </is>
      </c>
      <c r="C2" s="484" t="n"/>
      <c r="D2" s="485" t="n"/>
      <c r="E2" s="483" t="inlineStr">
        <is>
          <t>担当者</t>
        </is>
      </c>
      <c r="F2" s="484" t="n"/>
      <c r="G2" s="484" t="n"/>
      <c r="H2" s="485" t="n"/>
      <c r="P2" s="486" t="inlineStr">
        <is>
          <t>クエストフレーバーテキスト（最大18文字×8行）</t>
        </is>
      </c>
      <c r="Q2" s="487" t="n"/>
      <c r="R2" s="487" t="n"/>
      <c r="S2" s="487" t="n"/>
      <c r="T2" s="487" t="n"/>
      <c r="U2" s="487" t="n"/>
      <c r="V2" s="487" t="n"/>
      <c r="W2" s="487" t="n"/>
      <c r="X2" s="487" t="n"/>
      <c r="Y2" s="487" t="n"/>
      <c r="Z2" s="488" t="n"/>
      <c r="AA2" s="349" t="inlineStr">
        <is>
          <t>文字数</t>
        </is>
      </c>
      <c r="AB2" s="485" t="n"/>
    </row>
    <row r="3">
      <c r="B3" s="489" t="n">
        <v>45996</v>
      </c>
      <c r="C3" s="484" t="n"/>
      <c r="D3" s="485" t="n"/>
      <c r="E3" s="490" t="inlineStr">
        <is>
          <t>古澤</t>
        </is>
      </c>
      <c r="F3" s="484" t="n"/>
      <c r="G3" s="484" t="n"/>
      <c r="H3" s="485" t="n"/>
      <c r="P3" s="241" t="inlineStr">
        <is>
          <t>設定なし</t>
        </is>
      </c>
      <c r="Q3" s="29" t="n"/>
      <c r="R3" s="29" t="n"/>
      <c r="S3" s="29" t="n"/>
      <c r="T3" s="29" t="n"/>
      <c r="U3" s="29" t="n"/>
      <c r="V3" s="29" t="n"/>
      <c r="W3" s="29" t="n"/>
      <c r="X3" s="29" t="n"/>
      <c r="Y3" s="29" t="n"/>
      <c r="Z3" s="30" t="n"/>
      <c r="AA3" s="491">
        <f>len(P3)</f>
        <v/>
      </c>
      <c r="AB3" s="485" t="n"/>
    </row>
    <row r="4">
      <c r="P4" s="241" t="n"/>
      <c r="Q4" s="29" t="n"/>
      <c r="R4" s="29" t="n"/>
      <c r="S4" s="29" t="n"/>
      <c r="T4" s="29" t="n"/>
      <c r="U4" s="29" t="n"/>
      <c r="V4" s="29" t="n"/>
      <c r="W4" s="29" t="n"/>
      <c r="X4" s="29" t="n"/>
      <c r="Y4" s="29" t="n"/>
      <c r="Z4" s="30" t="n"/>
      <c r="AA4" s="491">
        <f>len(P4)</f>
        <v/>
      </c>
      <c r="AB4" s="485" t="n"/>
    </row>
    <row r="5">
      <c r="P5" s="241" t="n"/>
      <c r="Q5" s="29" t="n"/>
      <c r="R5" s="29" t="n"/>
      <c r="S5" s="29" t="n"/>
      <c r="T5" s="29" t="n"/>
      <c r="U5" s="29" t="n"/>
      <c r="V5" s="29" t="n"/>
      <c r="W5" s="29" t="n"/>
      <c r="X5" s="29" t="n"/>
      <c r="Y5" s="29" t="n"/>
      <c r="Z5" s="30" t="n"/>
      <c r="AA5" s="491">
        <f>len(P5)</f>
        <v/>
      </c>
      <c r="AB5" s="485" t="n"/>
    </row>
    <row r="6">
      <c r="B6" s="492" t="inlineStr">
        <is>
          <t>クエスト名</t>
        </is>
      </c>
      <c r="C6" s="484" t="n"/>
      <c r="D6" s="485" t="n"/>
      <c r="E6" s="493">
        <f>iferror(VLOOKUP(E7,'クエストID_管理'!F:G,2,false),"クエストIDを入力してください,又はクエストID_管理シートの関数を有効化してください")</f>
        <v/>
      </c>
      <c r="F6" s="484" t="n"/>
      <c r="G6" s="484" t="n"/>
      <c r="H6" s="484" t="n"/>
      <c r="I6" s="484" t="n"/>
      <c r="J6" s="484" t="n"/>
      <c r="K6" s="484" t="n"/>
      <c r="L6" s="485" t="n"/>
      <c r="P6" s="241" t="n"/>
      <c r="Q6" s="29" t="n"/>
      <c r="R6" s="29" t="n"/>
      <c r="S6" s="29" t="n"/>
      <c r="T6" s="29" t="n"/>
      <c r="U6" s="29" t="n"/>
      <c r="V6" s="29" t="n"/>
      <c r="W6" s="29" t="n"/>
      <c r="X6" s="29" t="n"/>
      <c r="Y6" s="29" t="n"/>
      <c r="Z6" s="30" t="n"/>
      <c r="AA6" s="491">
        <f>len(P6)</f>
        <v/>
      </c>
      <c r="AB6" s="485" t="n"/>
    </row>
    <row r="7">
      <c r="B7" s="492" t="inlineStr">
        <is>
          <t>クエストID</t>
        </is>
      </c>
      <c r="C7" s="484" t="n"/>
      <c r="D7" s="485" t="n"/>
      <c r="E7" s="494" t="inlineStr">
        <is>
          <t>quest_raid_jig1_00001</t>
        </is>
      </c>
      <c r="F7" s="484" t="n"/>
      <c r="G7" s="484" t="n"/>
      <c r="H7" s="485" t="n"/>
      <c r="P7" s="241" t="n"/>
      <c r="Q7" s="29" t="n"/>
      <c r="R7" s="29" t="n"/>
      <c r="S7" s="29" t="n"/>
      <c r="T7" s="29" t="n"/>
      <c r="U7" s="29" t="n"/>
      <c r="V7" s="29" t="n"/>
      <c r="W7" s="29" t="n"/>
      <c r="X7" s="29" t="n"/>
      <c r="Y7" s="29" t="n"/>
      <c r="Z7" s="30" t="n"/>
      <c r="AA7" s="491">
        <f>len(P7)</f>
        <v/>
      </c>
      <c r="AB7" s="485" t="n"/>
    </row>
    <row r="8">
      <c r="B8" s="492" t="inlineStr">
        <is>
          <t>クエスト種類</t>
        </is>
      </c>
      <c r="C8" s="484" t="n"/>
      <c r="D8" s="485" t="n"/>
      <c r="E8" s="351" t="inlineStr">
        <is>
          <t>降臨バトル</t>
        </is>
      </c>
      <c r="F8" s="484" t="n"/>
      <c r="G8" s="484" t="n"/>
      <c r="H8" s="485" t="n"/>
      <c r="P8" s="241" t="n"/>
      <c r="Q8" s="29" t="n"/>
      <c r="R8" s="29" t="n"/>
      <c r="S8" s="29" t="n"/>
      <c r="T8" s="29" t="n"/>
      <c r="U8" s="29" t="n"/>
      <c r="V8" s="29" t="n"/>
      <c r="W8" s="29" t="n"/>
      <c r="X8" s="29" t="n"/>
      <c r="Y8" s="29" t="n"/>
      <c r="Z8" s="30" t="n"/>
      <c r="AA8" s="491">
        <f>len(P8)</f>
        <v/>
      </c>
      <c r="AB8" s="485" t="n"/>
    </row>
    <row r="9">
      <c r="B9" s="495" t="inlineStr">
        <is>
          <t>リリースキー</t>
        </is>
      </c>
      <c r="C9" s="484" t="n"/>
      <c r="D9" s="485" t="n"/>
      <c r="E9" s="490" t="n">
        <v>202601010</v>
      </c>
      <c r="F9" s="484" t="n"/>
      <c r="G9" s="484" t="n"/>
      <c r="H9" s="485" t="n"/>
      <c r="P9" s="241" t="n"/>
      <c r="Q9" s="29" t="n"/>
      <c r="R9" s="29" t="n"/>
      <c r="S9" s="29" t="n"/>
      <c r="T9" s="29" t="n"/>
      <c r="U9" s="29" t="n"/>
      <c r="V9" s="29" t="n"/>
      <c r="W9" s="29" t="n"/>
      <c r="X9" s="29" t="n"/>
      <c r="Y9" s="29" t="n"/>
      <c r="Z9" s="30" t="n"/>
      <c r="AA9" s="491">
        <f>len(P9)</f>
        <v/>
      </c>
      <c r="AB9" s="485" t="n"/>
    </row>
    <row r="10">
      <c r="P10" s="241" t="n"/>
      <c r="Q10" s="29" t="n"/>
      <c r="R10" s="29" t="n"/>
      <c r="S10" s="29" t="n"/>
      <c r="T10" s="29" t="n"/>
      <c r="U10" s="29" t="n"/>
      <c r="V10" s="29" t="n"/>
      <c r="W10" s="29" t="n"/>
      <c r="X10" s="29" t="n"/>
      <c r="Y10" s="29" t="n"/>
      <c r="Z10" s="30" t="n"/>
      <c r="AA10" s="491">
        <f>len(P10)</f>
        <v/>
      </c>
      <c r="AB10" s="485" t="n"/>
    </row>
    <row r="12">
      <c r="B12" s="483" t="inlineStr">
        <is>
          <t>開催期間</t>
        </is>
      </c>
      <c r="C12" s="484" t="n"/>
      <c r="D12" s="484" t="n"/>
      <c r="E12" s="484" t="n"/>
      <c r="F12" s="484" t="n"/>
      <c r="G12" s="484" t="n"/>
      <c r="H12" s="484" t="n"/>
      <c r="I12" s="484" t="n"/>
      <c r="J12" s="484" t="n"/>
      <c r="K12" s="484" t="n"/>
      <c r="L12" s="485" t="n"/>
    </row>
    <row r="13">
      <c r="B13" s="496" t="inlineStr">
        <is>
          <t>開始日時</t>
        </is>
      </c>
      <c r="C13" s="497" t="n"/>
      <c r="D13" s="498" t="n">
        <v>46045</v>
      </c>
      <c r="E13" s="484" t="n"/>
      <c r="F13" s="499" t="n"/>
      <c r="G13" s="500" t="n">
        <v>0.625</v>
      </c>
      <c r="H13" s="484" t="n"/>
      <c r="I13" s="499" t="n"/>
      <c r="J13" s="501" t="inlineStr">
        <is>
          <t>から</t>
        </is>
      </c>
      <c r="K13" s="484" t="n"/>
      <c r="L13" s="485" t="n"/>
    </row>
    <row r="14">
      <c r="B14" s="496" t="inlineStr">
        <is>
          <t>終了日時</t>
        </is>
      </c>
      <c r="C14" s="497" t="n"/>
      <c r="D14" s="498" t="n">
        <v>46051</v>
      </c>
      <c r="E14" s="484" t="n"/>
      <c r="F14" s="499" t="n"/>
      <c r="G14" s="502" t="n">
        <v>0.624988425925926</v>
      </c>
      <c r="H14" s="484" t="n"/>
      <c r="I14" s="499" t="n"/>
      <c r="J14" s="501" t="inlineStr">
        <is>
          <t>終了なし</t>
        </is>
      </c>
      <c r="K14" s="484" t="n"/>
      <c r="L14" s="485" t="n"/>
    </row>
    <row r="16">
      <c r="A16" s="230" t="n"/>
      <c r="B16" s="45" t="inlineStr">
        <is>
          <t>クエストトップ表示キャラID</t>
        </is>
      </c>
      <c r="C16" s="484" t="n"/>
      <c r="D16" s="484" t="n"/>
      <c r="E16" s="45" t="inlineStr">
        <is>
          <t>キャラ名</t>
        </is>
      </c>
      <c r="F16" s="484" t="n"/>
      <c r="G16" s="484" t="n"/>
      <c r="H16" s="45" t="inlineStr">
        <is>
          <t>セリフ1</t>
        </is>
      </c>
      <c r="I16" s="484" t="n"/>
      <c r="J16" s="484" t="n"/>
      <c r="K16" s="45" t="inlineStr">
        <is>
          <t>セリフ2</t>
        </is>
      </c>
      <c r="L16" s="484" t="n"/>
      <c r="M16" s="484" t="n"/>
      <c r="N16" s="45" t="inlineStr">
        <is>
          <t>セリフ3</t>
        </is>
      </c>
      <c r="O16" s="484" t="n"/>
      <c r="P16" s="484" t="n"/>
      <c r="Q16" s="230" t="n"/>
      <c r="R16" s="230" t="n"/>
      <c r="S16" s="230" t="n"/>
      <c r="T16" s="230" t="n"/>
      <c r="U16" s="230" t="n"/>
      <c r="V16" s="230" t="n"/>
      <c r="W16" s="230" t="n"/>
      <c r="X16" s="230" t="n"/>
      <c r="Y16" s="230" t="n"/>
      <c r="Z16" s="230" t="n"/>
      <c r="AA16" s="230" t="n"/>
      <c r="AB16" s="230" t="n"/>
      <c r="AC16" s="230" t="n"/>
      <c r="AD16" s="230" t="n"/>
    </row>
    <row r="17">
      <c r="A17" s="230" t="n"/>
      <c r="B17" s="503" t="inlineStr">
        <is>
          <t>enemy_jig_00601</t>
        </is>
      </c>
      <c r="C17" s="484" t="n"/>
      <c r="D17" s="485" t="n"/>
      <c r="E17" s="504">
        <f t="array" ref="E17">iferror(INDEX('キャラID_管理'!F:F,MATCH(B17,'キャラID_管理'!D:D,0),0),"error")</f>
        <v/>
      </c>
      <c r="F17" s="484" t="n"/>
      <c r="G17" s="485" t="n"/>
      <c r="H17" s="505" t="inlineStr">
        <is>
          <t>なし</t>
        </is>
      </c>
      <c r="I17" s="484" t="n"/>
      <c r="J17" s="485" t="n"/>
      <c r="K17" s="505" t="n"/>
      <c r="L17" s="484" t="n"/>
      <c r="M17" s="485" t="n"/>
      <c r="N17" s="505" t="n"/>
      <c r="O17" s="484" t="n"/>
      <c r="P17" s="485" t="n"/>
      <c r="Q17" s="230" t="inlineStr">
        <is>
          <t>ヂュジン</t>
        </is>
      </c>
      <c r="R17" s="230" t="n"/>
      <c r="S17" s="230" t="n"/>
      <c r="T17" s="230" t="n"/>
      <c r="U17" s="230" t="n"/>
      <c r="V17" s="230" t="n"/>
      <c r="W17" s="230" t="n"/>
      <c r="X17" s="230" t="n"/>
      <c r="Y17" s="230" t="n"/>
      <c r="Z17" s="230" t="n"/>
      <c r="AA17" s="230" t="n"/>
      <c r="AB17" s="230" t="n"/>
      <c r="AC17" s="230" t="n"/>
      <c r="AD17" s="230" t="n"/>
    </row>
    <row r="18">
      <c r="A18" s="230" t="n"/>
      <c r="B18" s="503" t="n"/>
      <c r="C18" s="484" t="n"/>
      <c r="D18" s="485" t="n"/>
      <c r="E18" s="504">
        <f t="array" ref="E18">iferror(INDEX('キャラID_管理'!F:F,MATCH(B18,'キャラID_管理'!D:D,0),0),"error")</f>
        <v/>
      </c>
      <c r="F18" s="484" t="n"/>
      <c r="G18" s="485" t="n"/>
      <c r="H18" s="505" t="n"/>
      <c r="I18" s="484" t="n"/>
      <c r="J18" s="485" t="n"/>
      <c r="K18" s="505" t="n"/>
      <c r="L18" s="484" t="n"/>
      <c r="M18" s="485" t="n"/>
      <c r="N18" s="505" t="n"/>
      <c r="O18" s="484" t="n"/>
      <c r="P18" s="485" t="n"/>
      <c r="Q18" s="230" t="n"/>
      <c r="R18" s="230" t="n"/>
      <c r="S18" s="230" t="n"/>
      <c r="T18" s="230" t="n"/>
      <c r="U18" s="230" t="n"/>
      <c r="V18" s="230" t="n"/>
      <c r="W18" s="230" t="n"/>
      <c r="X18" s="230" t="n"/>
      <c r="Y18" s="230" t="n"/>
      <c r="Z18" s="230" t="n"/>
      <c r="AA18" s="230" t="n"/>
      <c r="AB18" s="230" t="n"/>
      <c r="AC18" s="230" t="n"/>
      <c r="AD18" s="230" t="n"/>
    </row>
    <row r="19">
      <c r="A19" s="230" t="n"/>
      <c r="B19" s="503" t="n"/>
      <c r="C19" s="484" t="n"/>
      <c r="D19" s="485" t="n"/>
      <c r="E19" s="504">
        <f t="array" ref="E19">iferror(INDEX('キャラID_管理'!F:F,MATCH(B19,'キャラID_管理'!D:D,0),0),"error")</f>
        <v/>
      </c>
      <c r="F19" s="484" t="n"/>
      <c r="G19" s="485" t="n"/>
      <c r="H19" s="505" t="n"/>
      <c r="I19" s="484" t="n"/>
      <c r="J19" s="485" t="n"/>
      <c r="K19" s="505" t="n"/>
      <c r="L19" s="484" t="n"/>
      <c r="M19" s="485" t="n"/>
      <c r="N19" s="505" t="n"/>
      <c r="O19" s="484" t="n"/>
      <c r="P19" s="485" t="n"/>
      <c r="Q19" s="230" t="n"/>
      <c r="R19" s="230" t="n"/>
      <c r="S19" s="230" t="n"/>
      <c r="T19" s="230" t="n"/>
      <c r="U19" s="230" t="n"/>
      <c r="V19" s="230" t="n"/>
      <c r="W19" s="230" t="n"/>
      <c r="X19" s="230" t="n"/>
      <c r="Y19" s="230" t="n"/>
      <c r="Z19" s="230" t="n"/>
      <c r="AA19" s="230" t="n"/>
      <c r="AB19" s="230" t="n"/>
      <c r="AC19" s="230" t="n"/>
      <c r="AD19" s="230" t="n"/>
    </row>
  </sheetData>
  <mergeCells count="51">
    <mergeCell ref="D13:F13"/>
    <mergeCell ref="E19:G19"/>
    <mergeCell ref="G13:I13"/>
    <mergeCell ref="N18:P18"/>
    <mergeCell ref="B8:D8"/>
    <mergeCell ref="AA10:AB10"/>
    <mergeCell ref="B17:D17"/>
    <mergeCell ref="N17:P17"/>
    <mergeCell ref="E7:H7"/>
    <mergeCell ref="H17:J17"/>
    <mergeCell ref="AA9:AB9"/>
    <mergeCell ref="H16:J16"/>
    <mergeCell ref="B12:L12"/>
    <mergeCell ref="B19:D19"/>
    <mergeCell ref="G14:I14"/>
    <mergeCell ref="N19:P19"/>
    <mergeCell ref="E3:H3"/>
    <mergeCell ref="AA6:AB6"/>
    <mergeCell ref="H19:J19"/>
    <mergeCell ref="B9:D9"/>
    <mergeCell ref="AA5:AB5"/>
    <mergeCell ref="B14:C14"/>
    <mergeCell ref="P2:Z2"/>
    <mergeCell ref="K17:M17"/>
    <mergeCell ref="B6:D6"/>
    <mergeCell ref="AA4:AB4"/>
    <mergeCell ref="E16:G16"/>
    <mergeCell ref="B13:C13"/>
    <mergeCell ref="D14:F14"/>
    <mergeCell ref="K19:M19"/>
    <mergeCell ref="H18:J18"/>
    <mergeCell ref="AA7:AB7"/>
    <mergeCell ref="E8:H8"/>
    <mergeCell ref="E6:L6"/>
    <mergeCell ref="E18:G18"/>
    <mergeCell ref="K18:M18"/>
    <mergeCell ref="B7:D7"/>
    <mergeCell ref="K16:M16"/>
    <mergeCell ref="B16:D16"/>
    <mergeCell ref="AA3:AB3"/>
    <mergeCell ref="B3:D3"/>
    <mergeCell ref="E9:H9"/>
    <mergeCell ref="N16:P16"/>
    <mergeCell ref="J14:L14"/>
    <mergeCell ref="AA2:AB2"/>
    <mergeCell ref="J13:L13"/>
    <mergeCell ref="B18:D18"/>
    <mergeCell ref="E17:G17"/>
    <mergeCell ref="AA8:AB8"/>
    <mergeCell ref="E2:H2"/>
    <mergeCell ref="B2:D2"/>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B1:R51"/>
  <sheetViews>
    <sheetView workbookViewId="0">
      <pane ySplit="3" topLeftCell="A4" activePane="bottomLeft" state="frozen"/>
      <selection pane="bottomLeft" activeCell="B5" sqref="B5"/>
    </sheetView>
  </sheetViews>
  <sheetFormatPr baseColWidth="8" defaultColWidth="12.63" defaultRowHeight="15.75" customHeight="1"/>
  <cols>
    <col width="2.88" customWidth="1" style="482" min="1" max="1"/>
    <col width="9.130000000000001" customWidth="1" style="482" min="2" max="2"/>
    <col width="11.63" customWidth="1" style="482" min="3" max="3"/>
    <col width="10.13" customWidth="1" style="482" min="4" max="17"/>
    <col width="5.75" customWidth="1" style="482" min="18" max="18"/>
  </cols>
  <sheetData>
    <row r="1">
      <c r="B1" s="327" t="inlineStr">
        <is>
          <t>元シート</t>
        </is>
      </c>
      <c r="C1" s="50" t="inlineStr">
        <is>
          <t>GLOW_クエストレギュレーション</t>
        </is>
      </c>
    </row>
    <row r="2">
      <c r="B2" s="51" t="inlineStr">
        <is>
          <t>推奨PTLv</t>
        </is>
      </c>
      <c r="C2" s="52" t="inlineStr">
        <is>
          <t>難易度</t>
        </is>
      </c>
      <c r="D2" s="53" t="inlineStr">
        <is>
          <t>雑魚HP RPG系</t>
        </is>
      </c>
      <c r="E2" s="54" t="n"/>
      <c r="F2" s="54" t="n"/>
      <c r="G2" s="55" t="inlineStr">
        <is>
          <t>雑魚ATK※バフ考慮外</t>
        </is>
      </c>
      <c r="H2" s="56" t="n"/>
      <c r="I2" s="56" t="n"/>
      <c r="J2" s="53" t="inlineStr">
        <is>
          <t>ボスHP</t>
        </is>
      </c>
      <c r="K2" s="54" t="n"/>
      <c r="L2" s="54" t="n"/>
      <c r="M2" s="55" t="inlineStr">
        <is>
          <t>ボスATK※バフ考慮外</t>
        </is>
      </c>
      <c r="N2" s="56" t="n"/>
      <c r="O2" s="56" t="n"/>
      <c r="P2" s="55" t="inlineStr">
        <is>
          <t>ゲートHP</t>
        </is>
      </c>
      <c r="Q2" s="57" t="inlineStr">
        <is>
          <t>備考</t>
        </is>
      </c>
      <c r="R2" s="58" t="n"/>
    </row>
    <row r="3">
      <c r="B3" s="59" t="n"/>
      <c r="C3" s="60" t="n"/>
      <c r="D3" s="61" t="inlineStr">
        <is>
          <t>ディフェンス</t>
        </is>
      </c>
      <c r="E3" s="62" t="inlineStr">
        <is>
          <t>アタック / テクニカル</t>
        </is>
      </c>
      <c r="F3" s="63" t="inlineStr">
        <is>
          <t>サポート</t>
        </is>
      </c>
      <c r="G3" s="61" t="inlineStr">
        <is>
          <t>ディフェンス</t>
        </is>
      </c>
      <c r="H3" s="62" t="inlineStr">
        <is>
          <t>アタック / テクニカル</t>
        </is>
      </c>
      <c r="I3" s="63" t="inlineStr">
        <is>
          <t>サポート</t>
        </is>
      </c>
      <c r="J3" s="61" t="inlineStr">
        <is>
          <t>ディフェンス</t>
        </is>
      </c>
      <c r="K3" s="62" t="inlineStr">
        <is>
          <t>アタック / テクニカル</t>
        </is>
      </c>
      <c r="L3" s="63" t="inlineStr">
        <is>
          <t>サポート</t>
        </is>
      </c>
      <c r="M3" s="61" t="inlineStr">
        <is>
          <t>ディフェンス</t>
        </is>
      </c>
      <c r="N3" s="62" t="inlineStr">
        <is>
          <t>アタック / テクニカル</t>
        </is>
      </c>
      <c r="O3" s="63" t="inlineStr">
        <is>
          <t>サポート</t>
        </is>
      </c>
      <c r="P3" s="64" t="inlineStr">
        <is>
          <t>各ステージ毎に調整</t>
        </is>
      </c>
      <c r="Q3" s="65" t="n"/>
      <c r="R3" s="334" t="n"/>
    </row>
    <row r="4">
      <c r="B4" s="66" t="inlineStr">
        <is>
          <t>Lv1~/星1</t>
        </is>
      </c>
      <c r="C4" s="67" t="inlineStr">
        <is>
          <t>Normal 1</t>
        </is>
      </c>
      <c r="D4" s="68" t="n">
        <v>5600</v>
      </c>
      <c r="E4" s="68" t="n">
        <v>1050</v>
      </c>
      <c r="F4" s="68" t="n">
        <v>2450</v>
      </c>
      <c r="G4" s="68" t="n">
        <v>21</v>
      </c>
      <c r="H4" s="68" t="n">
        <v>70</v>
      </c>
      <c r="I4" s="68" t="n">
        <v>35</v>
      </c>
      <c r="J4" s="68" t="n">
        <v>56000</v>
      </c>
      <c r="K4" s="68" t="n">
        <v>10500</v>
      </c>
      <c r="L4" s="68" t="n">
        <v>24500</v>
      </c>
      <c r="M4" s="68" t="n">
        <v>56</v>
      </c>
      <c r="N4" s="68" t="n">
        <v>140</v>
      </c>
      <c r="O4" s="68" t="n">
        <v>84</v>
      </c>
      <c r="P4" s="69" t="n">
        <v>5000</v>
      </c>
      <c r="Q4" s="70" t="n"/>
      <c r="R4" s="71" t="n"/>
    </row>
    <row r="5">
      <c r="B5" s="72" t="inlineStr">
        <is>
          <t>Lv2~/星1</t>
        </is>
      </c>
      <c r="C5" s="73" t="inlineStr">
        <is>
          <t>Normal 2</t>
        </is>
      </c>
      <c r="D5" s="74" t="n">
        <v>6300</v>
      </c>
      <c r="E5" s="74" t="n">
        <v>1400</v>
      </c>
      <c r="F5" s="74" t="n">
        <v>2800</v>
      </c>
      <c r="G5" s="74" t="n">
        <v>28</v>
      </c>
      <c r="H5" s="74" t="n">
        <v>84</v>
      </c>
      <c r="I5" s="74" t="n">
        <v>49</v>
      </c>
      <c r="J5" s="74" t="n">
        <v>63000</v>
      </c>
      <c r="K5" s="74" t="n">
        <v>14000</v>
      </c>
      <c r="L5" s="74" t="n">
        <v>28000</v>
      </c>
      <c r="M5" s="74" t="n">
        <v>56</v>
      </c>
      <c r="N5" s="74" t="n">
        <v>140</v>
      </c>
      <c r="O5" s="74" t="n">
        <v>84</v>
      </c>
      <c r="P5" s="75" t="n">
        <v>5000</v>
      </c>
      <c r="Q5" s="76" t="n"/>
      <c r="R5" s="71" t="n"/>
    </row>
    <row r="6">
      <c r="B6" s="72" t="inlineStr">
        <is>
          <t>Lv3~/星1</t>
        </is>
      </c>
      <c r="C6" s="73" t="inlineStr">
        <is>
          <t>Normal 3</t>
        </is>
      </c>
      <c r="D6" s="74" t="n">
        <v>7000</v>
      </c>
      <c r="E6" s="74" t="n">
        <v>2450</v>
      </c>
      <c r="F6" s="74" t="n">
        <v>3150</v>
      </c>
      <c r="G6" s="74" t="n">
        <v>49</v>
      </c>
      <c r="H6" s="74" t="n">
        <v>119</v>
      </c>
      <c r="I6" s="74" t="n">
        <v>70</v>
      </c>
      <c r="J6" s="74" t="n">
        <v>70000</v>
      </c>
      <c r="K6" s="74" t="n">
        <v>24500</v>
      </c>
      <c r="L6" s="74" t="n">
        <v>31500</v>
      </c>
      <c r="M6" s="74" t="n">
        <v>84</v>
      </c>
      <c r="N6" s="74" t="n">
        <v>175</v>
      </c>
      <c r="O6" s="74" t="n">
        <v>105</v>
      </c>
      <c r="P6" s="75" t="n">
        <v>5000</v>
      </c>
      <c r="Q6" s="76" t="n"/>
      <c r="R6" s="71" t="n"/>
    </row>
    <row r="7">
      <c r="B7" s="72" t="inlineStr">
        <is>
          <t>Lv5~/星1</t>
        </is>
      </c>
      <c r="C7" s="73" t="inlineStr">
        <is>
          <t>Normal 4</t>
        </is>
      </c>
      <c r="D7" s="74" t="n">
        <v>8400</v>
      </c>
      <c r="E7" s="74" t="n">
        <v>3150</v>
      </c>
      <c r="F7" s="74" t="n">
        <v>3500</v>
      </c>
      <c r="G7" s="74" t="n">
        <v>70</v>
      </c>
      <c r="H7" s="74" t="n">
        <v>140</v>
      </c>
      <c r="I7" s="74" t="n">
        <v>91</v>
      </c>
      <c r="J7" s="74" t="n">
        <v>84000</v>
      </c>
      <c r="K7" s="74" t="n">
        <v>31500</v>
      </c>
      <c r="L7" s="74" t="n">
        <v>35000</v>
      </c>
      <c r="M7" s="74" t="n">
        <v>84</v>
      </c>
      <c r="N7" s="74" t="n">
        <v>175</v>
      </c>
      <c r="O7" s="74" t="n">
        <v>105</v>
      </c>
      <c r="P7" s="75" t="n">
        <v>15000</v>
      </c>
      <c r="Q7" s="76" t="n"/>
      <c r="R7" s="71" t="n"/>
    </row>
    <row r="8">
      <c r="B8" s="72" t="inlineStr">
        <is>
          <t>Lv7~/星1</t>
        </is>
      </c>
      <c r="C8" s="73" t="inlineStr">
        <is>
          <t>Normal 5</t>
        </is>
      </c>
      <c r="D8" s="74" t="n">
        <v>9800</v>
      </c>
      <c r="E8" s="74" t="n">
        <v>3850</v>
      </c>
      <c r="F8" s="74" t="n">
        <v>3850</v>
      </c>
      <c r="G8" s="74" t="n">
        <v>84</v>
      </c>
      <c r="H8" s="74" t="n">
        <v>175</v>
      </c>
      <c r="I8" s="74" t="n">
        <v>105</v>
      </c>
      <c r="J8" s="74" t="n">
        <v>98000</v>
      </c>
      <c r="K8" s="74" t="n">
        <v>38500</v>
      </c>
      <c r="L8" s="74" t="n">
        <v>38500</v>
      </c>
      <c r="M8" s="74" t="n">
        <v>98</v>
      </c>
      <c r="N8" s="74" t="n">
        <v>210</v>
      </c>
      <c r="O8" s="74" t="n">
        <v>126</v>
      </c>
      <c r="P8" s="75" t="n">
        <v>15000</v>
      </c>
      <c r="Q8" s="76" t="n"/>
      <c r="R8" s="71" t="n"/>
    </row>
    <row r="9">
      <c r="B9" s="72" t="inlineStr">
        <is>
          <t>Lv10~/星1</t>
        </is>
      </c>
      <c r="C9" s="73" t="inlineStr">
        <is>
          <t>Normal 6</t>
        </is>
      </c>
      <c r="D9" s="74" t="n">
        <v>11900</v>
      </c>
      <c r="E9" s="74" t="n">
        <v>4900</v>
      </c>
      <c r="F9" s="74" t="n">
        <v>5600</v>
      </c>
      <c r="G9" s="74" t="n">
        <v>105</v>
      </c>
      <c r="H9" s="74" t="n">
        <v>210</v>
      </c>
      <c r="I9" s="74" t="n">
        <v>140</v>
      </c>
      <c r="J9" s="74" t="n">
        <v>119000</v>
      </c>
      <c r="K9" s="74" t="n">
        <v>49000</v>
      </c>
      <c r="L9" s="74" t="n">
        <v>56000</v>
      </c>
      <c r="M9" s="74" t="n">
        <v>119</v>
      </c>
      <c r="N9" s="74" t="n">
        <v>350</v>
      </c>
      <c r="O9" s="74" t="n">
        <v>210</v>
      </c>
      <c r="P9" s="75" t="n">
        <v>25000</v>
      </c>
      <c r="Q9" s="76" t="n"/>
      <c r="R9" s="71" t="n"/>
    </row>
    <row r="10">
      <c r="B10" s="72" t="inlineStr">
        <is>
          <t>Lv15~/星1</t>
        </is>
      </c>
      <c r="C10" s="73" t="inlineStr">
        <is>
          <t>Normal 7</t>
        </is>
      </c>
      <c r="D10" s="74" t="n">
        <v>15400</v>
      </c>
      <c r="E10" s="74" t="n">
        <v>6650</v>
      </c>
      <c r="F10" s="74" t="n">
        <v>7000</v>
      </c>
      <c r="G10" s="74" t="n">
        <v>140</v>
      </c>
      <c r="H10" s="74" t="n">
        <v>280</v>
      </c>
      <c r="I10" s="74" t="n">
        <v>210</v>
      </c>
      <c r="J10" s="74" t="n">
        <v>154000</v>
      </c>
      <c r="K10" s="74" t="n">
        <v>66500</v>
      </c>
      <c r="L10" s="74" t="n">
        <v>70000</v>
      </c>
      <c r="M10" s="74" t="n">
        <v>140</v>
      </c>
      <c r="N10" s="74" t="n">
        <v>420</v>
      </c>
      <c r="O10" s="74" t="n">
        <v>280</v>
      </c>
      <c r="P10" s="75" t="n">
        <v>25000</v>
      </c>
      <c r="Q10" s="76" t="n"/>
      <c r="R10" s="71" t="n"/>
    </row>
    <row r="11">
      <c r="B11" s="72" t="inlineStr">
        <is>
          <t>Lv20~/星1</t>
        </is>
      </c>
      <c r="C11" s="73" t="inlineStr">
        <is>
          <t>Normal 8</t>
        </is>
      </c>
      <c r="D11" s="74" t="n">
        <v>18900</v>
      </c>
      <c r="E11" s="74" t="n">
        <v>8400</v>
      </c>
      <c r="F11" s="74" t="n">
        <v>9100</v>
      </c>
      <c r="G11" s="74" t="n">
        <v>210</v>
      </c>
      <c r="H11" s="74" t="n">
        <v>350</v>
      </c>
      <c r="I11" s="74" t="n">
        <v>245</v>
      </c>
      <c r="J11" s="74" t="n">
        <v>189000</v>
      </c>
      <c r="K11" s="74" t="n">
        <v>84000</v>
      </c>
      <c r="L11" s="74" t="n">
        <v>91000</v>
      </c>
      <c r="M11" s="74" t="n">
        <v>210</v>
      </c>
      <c r="N11" s="74" t="n">
        <v>490</v>
      </c>
      <c r="O11" s="74" t="n">
        <v>350</v>
      </c>
      <c r="P11" s="75" t="n">
        <v>25000</v>
      </c>
      <c r="Q11" s="76" t="n"/>
      <c r="R11" s="71" t="n"/>
    </row>
    <row r="12">
      <c r="B12" s="72" t="inlineStr">
        <is>
          <t>Lv25~/星1</t>
        </is>
      </c>
      <c r="C12" s="73" t="inlineStr">
        <is>
          <t>Normal 9</t>
        </is>
      </c>
      <c r="D12" s="74" t="n">
        <v>22400</v>
      </c>
      <c r="E12" s="74" t="n">
        <v>10150</v>
      </c>
      <c r="F12" s="74" t="n">
        <v>11900</v>
      </c>
      <c r="G12" s="74" t="n">
        <v>280</v>
      </c>
      <c r="H12" s="74" t="n">
        <v>420</v>
      </c>
      <c r="I12" s="74" t="n">
        <v>245</v>
      </c>
      <c r="J12" s="74" t="n">
        <v>224000</v>
      </c>
      <c r="K12" s="74" t="n">
        <v>101500</v>
      </c>
      <c r="L12" s="74" t="n">
        <v>119000</v>
      </c>
      <c r="M12" s="74" t="n">
        <v>280</v>
      </c>
      <c r="N12" s="74" t="n">
        <v>560</v>
      </c>
      <c r="O12" s="74" t="n">
        <v>420</v>
      </c>
      <c r="P12" s="75" t="n">
        <v>30000</v>
      </c>
      <c r="Q12" s="76" t="n"/>
      <c r="R12" s="71" t="n"/>
    </row>
    <row r="13">
      <c r="B13" s="77" t="inlineStr">
        <is>
          <t>Lv30~/星1</t>
        </is>
      </c>
      <c r="C13" s="73" t="inlineStr">
        <is>
          <t>Normal 10</t>
        </is>
      </c>
      <c r="D13" s="74" t="n">
        <v>26600</v>
      </c>
      <c r="E13" s="74" t="n">
        <v>11900</v>
      </c>
      <c r="F13" s="74" t="n">
        <v>14700</v>
      </c>
      <c r="G13" s="74" t="n">
        <v>350</v>
      </c>
      <c r="H13" s="74" t="n">
        <v>560</v>
      </c>
      <c r="I13" s="74" t="n">
        <v>350</v>
      </c>
      <c r="J13" s="74" t="n">
        <v>266000</v>
      </c>
      <c r="K13" s="74" t="n">
        <v>119000</v>
      </c>
      <c r="L13" s="74" t="n">
        <v>147000</v>
      </c>
      <c r="M13" s="74" t="n">
        <v>350</v>
      </c>
      <c r="N13" s="74" t="n">
        <v>770</v>
      </c>
      <c r="O13" s="74" t="n">
        <v>490</v>
      </c>
      <c r="P13" s="75" t="n">
        <v>30000</v>
      </c>
      <c r="Q13" s="76" t="n"/>
      <c r="R13" s="71" t="n"/>
    </row>
    <row r="14">
      <c r="B14" s="77" t="inlineStr">
        <is>
          <t>Lv35~/星1</t>
        </is>
      </c>
      <c r="C14" s="73" t="inlineStr">
        <is>
          <t>Normal 11</t>
        </is>
      </c>
      <c r="D14" s="74" t="n">
        <v>31500</v>
      </c>
      <c r="E14" s="74" t="n">
        <v>14000</v>
      </c>
      <c r="F14" s="74" t="n">
        <v>17500</v>
      </c>
      <c r="G14" s="74" t="n">
        <v>350</v>
      </c>
      <c r="H14" s="74" t="n">
        <v>700</v>
      </c>
      <c r="I14" s="74" t="n">
        <v>420</v>
      </c>
      <c r="J14" s="74" t="n">
        <v>315000</v>
      </c>
      <c r="K14" s="74" t="n">
        <v>140000</v>
      </c>
      <c r="L14" s="74" t="n">
        <v>175000</v>
      </c>
      <c r="M14" s="74" t="n">
        <v>420</v>
      </c>
      <c r="N14" s="74" t="n">
        <v>840</v>
      </c>
      <c r="O14" s="74" t="n">
        <v>560</v>
      </c>
      <c r="P14" s="75" t="n">
        <v>30000</v>
      </c>
      <c r="Q14" s="76" t="n"/>
      <c r="R14" s="71" t="n"/>
    </row>
    <row r="15">
      <c r="B15" s="77" t="inlineStr">
        <is>
          <t>Lv40~/星1</t>
        </is>
      </c>
      <c r="C15" s="73" t="inlineStr">
        <is>
          <t>Normal 12,13
Hard ~3</t>
        </is>
      </c>
      <c r="D15" s="74" t="n">
        <v>38500</v>
      </c>
      <c r="E15" s="74" t="n">
        <v>16800</v>
      </c>
      <c r="F15" s="75" t="n">
        <v>20300</v>
      </c>
      <c r="G15" s="74" t="n">
        <v>420</v>
      </c>
      <c r="H15" s="74" t="n">
        <v>840</v>
      </c>
      <c r="I15" s="74" t="n">
        <v>490</v>
      </c>
      <c r="J15" s="74" t="n">
        <v>350000</v>
      </c>
      <c r="K15" s="74" t="n">
        <v>175000</v>
      </c>
      <c r="L15" s="74" t="n">
        <v>231000</v>
      </c>
      <c r="M15" s="74" t="n">
        <v>490</v>
      </c>
      <c r="N15" s="74" t="n">
        <v>980</v>
      </c>
      <c r="O15" s="74" t="n">
        <v>700</v>
      </c>
      <c r="P15" s="75" t="n">
        <v>50000</v>
      </c>
      <c r="Q15" s="76" t="n"/>
      <c r="R15" s="71" t="n"/>
    </row>
    <row r="16">
      <c r="B16" s="77" t="inlineStr">
        <is>
          <t>Lv45~/星1</t>
        </is>
      </c>
      <c r="C16" s="73" t="inlineStr">
        <is>
          <t>Normal 14,15</t>
        </is>
      </c>
      <c r="D16" s="74" t="n">
        <v>42000</v>
      </c>
      <c r="E16" s="74" t="n">
        <v>18200</v>
      </c>
      <c r="F16" s="75" t="n">
        <v>23100</v>
      </c>
      <c r="G16" s="74" t="n">
        <v>420</v>
      </c>
      <c r="H16" s="74" t="n">
        <v>980</v>
      </c>
      <c r="I16" s="74" t="n">
        <v>560</v>
      </c>
      <c r="J16" s="74" t="n">
        <v>420000</v>
      </c>
      <c r="K16" s="74" t="n">
        <v>210000</v>
      </c>
      <c r="L16" s="74" t="n">
        <v>259000</v>
      </c>
      <c r="M16" s="74" t="n">
        <v>560</v>
      </c>
      <c r="N16" s="74" t="n">
        <v>1120</v>
      </c>
      <c r="O16" s="74" t="n">
        <v>770</v>
      </c>
      <c r="P16" s="75" t="n">
        <v>50000</v>
      </c>
      <c r="Q16" s="76" t="n"/>
      <c r="R16" s="71" t="n"/>
    </row>
    <row r="17">
      <c r="B17" s="78" t="inlineStr">
        <is>
          <t>Lv50~/星1</t>
        </is>
      </c>
      <c r="C17" s="73" t="inlineStr">
        <is>
          <t>Normal 16
Hard ~6</t>
        </is>
      </c>
      <c r="D17" s="79" t="n">
        <v>49000</v>
      </c>
      <c r="E17" s="79" t="n">
        <v>21000</v>
      </c>
      <c r="F17" s="75" t="n">
        <v>26600</v>
      </c>
      <c r="G17" s="80" t="n">
        <v>490</v>
      </c>
      <c r="H17" s="74" t="n">
        <v>1120</v>
      </c>
      <c r="I17" s="80" t="n">
        <v>630</v>
      </c>
      <c r="J17" s="75" t="n">
        <v>490000</v>
      </c>
      <c r="K17" s="79" t="n">
        <v>245000</v>
      </c>
      <c r="L17" s="79" t="n">
        <v>315000</v>
      </c>
      <c r="M17" s="74" t="n">
        <v>630</v>
      </c>
      <c r="N17" s="74" t="n">
        <v>1260</v>
      </c>
      <c r="O17" s="74" t="n">
        <v>910</v>
      </c>
      <c r="P17" s="75" t="n">
        <v>50000</v>
      </c>
      <c r="Q17" s="76" t="n"/>
      <c r="R17" s="71" t="n"/>
    </row>
    <row r="18">
      <c r="B18" s="81" t="inlineStr">
        <is>
          <t>Lv55~/星1</t>
        </is>
      </c>
      <c r="C18" s="82" t="n"/>
      <c r="D18" s="79" t="n">
        <v>56000</v>
      </c>
      <c r="E18" s="74" t="n">
        <v>24500</v>
      </c>
      <c r="F18" s="75" t="n">
        <v>30100</v>
      </c>
      <c r="G18" s="80" t="n">
        <v>490</v>
      </c>
      <c r="H18" s="74" t="n">
        <v>1260</v>
      </c>
      <c r="I18" s="80" t="n">
        <v>700</v>
      </c>
      <c r="J18" s="75" t="n">
        <v>560000</v>
      </c>
      <c r="K18" s="79" t="n">
        <v>280000</v>
      </c>
      <c r="L18" s="79" t="n">
        <v>350000</v>
      </c>
      <c r="M18" s="74" t="n">
        <v>700</v>
      </c>
      <c r="N18" s="74" t="n">
        <v>1400</v>
      </c>
      <c r="O18" s="74" t="n">
        <v>910</v>
      </c>
      <c r="P18" s="75" t="n">
        <v>50000</v>
      </c>
      <c r="Q18" s="76" t="n"/>
      <c r="R18" s="71" t="n"/>
    </row>
    <row r="19">
      <c r="B19" s="72" t="inlineStr">
        <is>
          <t>Lv60~/星1</t>
        </is>
      </c>
      <c r="C19" s="73" t="inlineStr">
        <is>
          <t>Hard ~9</t>
        </is>
      </c>
      <c r="D19" s="79" t="n">
        <v>63000</v>
      </c>
      <c r="E19" s="79" t="n">
        <v>28000</v>
      </c>
      <c r="F19" s="75" t="n">
        <v>33600</v>
      </c>
      <c r="G19" s="80" t="n">
        <v>560</v>
      </c>
      <c r="H19" s="74" t="n">
        <v>1400</v>
      </c>
      <c r="I19" s="74" t="n">
        <v>770</v>
      </c>
      <c r="J19" s="74" t="n">
        <v>630000</v>
      </c>
      <c r="K19" s="75" t="n">
        <v>350000</v>
      </c>
      <c r="L19" s="79" t="n">
        <v>420000</v>
      </c>
      <c r="M19" s="74" t="n">
        <v>770</v>
      </c>
      <c r="N19" s="74" t="n">
        <v>1540</v>
      </c>
      <c r="O19" s="74" t="n">
        <v>1050</v>
      </c>
      <c r="P19" s="75" t="n">
        <v>75000</v>
      </c>
      <c r="Q19" s="76" t="n"/>
      <c r="R19" s="71" t="n"/>
    </row>
    <row r="20">
      <c r="B20" s="72" t="inlineStr">
        <is>
          <t>Lv65~/星1</t>
        </is>
      </c>
      <c r="C20" s="82" t="n"/>
      <c r="D20" s="79" t="n">
        <v>70000</v>
      </c>
      <c r="E20" s="74" t="n">
        <v>31500</v>
      </c>
      <c r="F20" s="75" t="n">
        <v>37100</v>
      </c>
      <c r="G20" s="80" t="n">
        <v>560</v>
      </c>
      <c r="H20" s="74" t="n">
        <v>1540</v>
      </c>
      <c r="I20" s="74" t="n">
        <v>840</v>
      </c>
      <c r="J20" s="75" t="n">
        <v>770000</v>
      </c>
      <c r="K20" s="79" t="n">
        <v>420000</v>
      </c>
      <c r="L20" s="79" t="n">
        <v>560000</v>
      </c>
      <c r="M20" s="74" t="n">
        <v>840</v>
      </c>
      <c r="N20" s="74" t="n">
        <v>1750</v>
      </c>
      <c r="O20" s="74" t="n">
        <v>1120</v>
      </c>
      <c r="P20" s="75" t="n">
        <v>75000</v>
      </c>
      <c r="Q20" s="76" t="n"/>
      <c r="R20" s="71" t="n"/>
    </row>
    <row r="21">
      <c r="B21" s="72" t="inlineStr">
        <is>
          <t>Lv70~/星1</t>
        </is>
      </c>
      <c r="C21" s="73" t="inlineStr">
        <is>
          <t>Hard ~13</t>
        </is>
      </c>
      <c r="D21" s="79" t="n">
        <v>77000</v>
      </c>
      <c r="E21" s="79" t="n">
        <v>35000</v>
      </c>
      <c r="F21" s="75" t="n">
        <v>43400</v>
      </c>
      <c r="G21" s="80" t="n">
        <v>630</v>
      </c>
      <c r="H21" s="74" t="n">
        <v>1680</v>
      </c>
      <c r="I21" s="74" t="n">
        <v>910</v>
      </c>
      <c r="J21" s="74" t="n">
        <v>980000</v>
      </c>
      <c r="K21" s="75" t="n">
        <v>560000</v>
      </c>
      <c r="L21" s="79" t="n">
        <v>700000</v>
      </c>
      <c r="M21" s="74" t="n">
        <v>910</v>
      </c>
      <c r="N21" s="74" t="n">
        <v>1960</v>
      </c>
      <c r="O21" s="74" t="n">
        <v>1260</v>
      </c>
      <c r="P21" s="75" t="n">
        <v>75000</v>
      </c>
      <c r="Q21" s="76" t="n"/>
      <c r="R21" s="71" t="n"/>
    </row>
    <row r="22">
      <c r="B22" s="72" t="inlineStr">
        <is>
          <t>Lv75~/星1</t>
        </is>
      </c>
      <c r="C22" s="82" t="n"/>
      <c r="D22" s="75" t="n">
        <v>84000</v>
      </c>
      <c r="E22" s="74" t="n">
        <v>38500</v>
      </c>
      <c r="F22" s="74" t="n">
        <v>49700</v>
      </c>
      <c r="G22" s="80" t="n">
        <v>630</v>
      </c>
      <c r="H22" s="74" t="n">
        <v>1820</v>
      </c>
      <c r="I22" s="74" t="n">
        <v>980</v>
      </c>
      <c r="J22" s="75" t="n">
        <v>1190000</v>
      </c>
      <c r="K22" s="79" t="n">
        <v>700000</v>
      </c>
      <c r="L22" s="79" t="n">
        <v>910000</v>
      </c>
      <c r="M22" s="74" t="n">
        <v>980</v>
      </c>
      <c r="N22" s="74" t="n">
        <v>2170</v>
      </c>
      <c r="O22" s="74" t="n">
        <v>1260</v>
      </c>
      <c r="P22" s="75" t="n">
        <v>100000</v>
      </c>
      <c r="Q22" s="76" t="n"/>
      <c r="R22" s="71" t="n"/>
    </row>
    <row r="23">
      <c r="B23" s="83" t="inlineStr">
        <is>
          <t>Lv80~/星1</t>
        </is>
      </c>
      <c r="C23" s="84" t="inlineStr">
        <is>
          <t>Hard ~16</t>
        </is>
      </c>
      <c r="D23" s="85" t="n">
        <v>91000</v>
      </c>
      <c r="E23" s="86" t="n">
        <v>42000</v>
      </c>
      <c r="F23" s="87" t="n">
        <v>56000</v>
      </c>
      <c r="G23" s="88" t="n">
        <v>700</v>
      </c>
      <c r="H23" s="85" t="n">
        <v>1960</v>
      </c>
      <c r="I23" s="88" t="n">
        <v>1050</v>
      </c>
      <c r="J23" s="87" t="n">
        <v>1400000</v>
      </c>
      <c r="K23" s="85" t="n">
        <v>840000</v>
      </c>
      <c r="L23" s="87" t="n">
        <v>1050000</v>
      </c>
      <c r="M23" s="87" t="n">
        <v>1120</v>
      </c>
      <c r="N23" s="87" t="n">
        <v>2380</v>
      </c>
      <c r="O23" s="87" t="n">
        <v>1400</v>
      </c>
      <c r="P23" s="85" t="n">
        <v>100000</v>
      </c>
      <c r="Q23" s="89" t="n"/>
      <c r="R23" s="71" t="n"/>
    </row>
    <row r="24">
      <c r="B24" s="90" t="inlineStr">
        <is>
          <t>Lv60~/星3</t>
        </is>
      </c>
      <c r="C24" s="91" t="inlineStr">
        <is>
          <t>Ex main ~5</t>
        </is>
      </c>
      <c r="D24" s="92" t="n">
        <v>75600</v>
      </c>
      <c r="E24" s="92" t="n">
        <v>33600</v>
      </c>
      <c r="F24" s="92" t="n">
        <v>40320</v>
      </c>
      <c r="G24" s="92" t="n">
        <v>672</v>
      </c>
      <c r="H24" s="92" t="n">
        <v>1680</v>
      </c>
      <c r="I24" s="92" t="n">
        <v>924</v>
      </c>
      <c r="J24" s="92" t="n">
        <v>756000</v>
      </c>
      <c r="K24" s="92" t="n">
        <v>420000</v>
      </c>
      <c r="L24" s="92" t="n">
        <v>504000</v>
      </c>
      <c r="M24" s="92" t="n">
        <v>924</v>
      </c>
      <c r="N24" s="92" t="n">
        <v>1848</v>
      </c>
      <c r="O24" s="92" t="n">
        <v>1260</v>
      </c>
      <c r="P24" s="92" t="n">
        <v>150000</v>
      </c>
      <c r="Q24" s="70" t="n"/>
      <c r="R24" s="71" t="n"/>
    </row>
    <row r="25">
      <c r="B25" s="72" t="inlineStr">
        <is>
          <t>Lv60~/星5</t>
        </is>
      </c>
      <c r="C25" s="93" t="inlineStr">
        <is>
          <t>Ex</t>
        </is>
      </c>
      <c r="D25" s="74" t="n">
        <v>88200</v>
      </c>
      <c r="E25" s="74" t="n">
        <v>39200</v>
      </c>
      <c r="F25" s="74" t="n">
        <v>47040</v>
      </c>
      <c r="G25" s="74" t="n">
        <v>784</v>
      </c>
      <c r="H25" s="74" t="n">
        <v>1960</v>
      </c>
      <c r="I25" s="74" t="n">
        <v>1078</v>
      </c>
      <c r="J25" s="74" t="n">
        <v>882000</v>
      </c>
      <c r="K25" s="74" t="n">
        <v>490000</v>
      </c>
      <c r="L25" s="74" t="n">
        <v>588000</v>
      </c>
      <c r="M25" s="74" t="n">
        <v>1078</v>
      </c>
      <c r="N25" s="74" t="n">
        <v>2156</v>
      </c>
      <c r="O25" s="74" t="n">
        <v>1470</v>
      </c>
      <c r="P25" s="92" t="n">
        <v>150000</v>
      </c>
      <c r="Q25" s="76" t="n"/>
      <c r="R25" s="71" t="n"/>
    </row>
    <row r="26">
      <c r="B26" s="72" t="inlineStr">
        <is>
          <t>Lv70~/星3</t>
        </is>
      </c>
      <c r="C26" s="93" t="inlineStr">
        <is>
          <t>Ex main ~10</t>
        </is>
      </c>
      <c r="D26" s="74" t="n">
        <v>100100</v>
      </c>
      <c r="E26" s="74" t="n">
        <v>45500</v>
      </c>
      <c r="F26" s="74" t="n">
        <v>56420</v>
      </c>
      <c r="G26" s="74" t="n">
        <v>819</v>
      </c>
      <c r="H26" s="74" t="n">
        <v>2184</v>
      </c>
      <c r="I26" s="74" t="n">
        <v>1183</v>
      </c>
      <c r="J26" s="74" t="n">
        <v>1274000</v>
      </c>
      <c r="K26" s="74" t="n">
        <v>728000</v>
      </c>
      <c r="L26" s="74" t="n">
        <v>910000</v>
      </c>
      <c r="M26" s="74" t="n">
        <v>1183</v>
      </c>
      <c r="N26" s="74" t="n">
        <v>2548</v>
      </c>
      <c r="O26" s="74" t="n">
        <v>1638</v>
      </c>
      <c r="P26" s="92" t="n">
        <v>150000</v>
      </c>
      <c r="Q26" s="76" t="n"/>
      <c r="R26" s="71" t="n"/>
    </row>
    <row r="27">
      <c r="B27" s="72" t="inlineStr">
        <is>
          <t>Lv70~/星5</t>
        </is>
      </c>
      <c r="C27" s="93" t="inlineStr">
        <is>
          <t>Ex</t>
        </is>
      </c>
      <c r="D27" s="74" t="n">
        <v>115500</v>
      </c>
      <c r="E27" s="74" t="n">
        <v>52500</v>
      </c>
      <c r="F27" s="74" t="n">
        <v>65100</v>
      </c>
      <c r="G27" s="74" t="n">
        <v>945</v>
      </c>
      <c r="H27" s="74" t="n">
        <v>2520</v>
      </c>
      <c r="I27" s="74" t="n">
        <v>1365</v>
      </c>
      <c r="J27" s="74" t="n">
        <v>1470000</v>
      </c>
      <c r="K27" s="74" t="n">
        <v>840000</v>
      </c>
      <c r="L27" s="74" t="n">
        <v>1050000</v>
      </c>
      <c r="M27" s="74" t="n">
        <v>1365</v>
      </c>
      <c r="N27" s="74" t="n">
        <v>2940</v>
      </c>
      <c r="O27" s="74" t="n">
        <v>1890</v>
      </c>
      <c r="P27" s="92" t="n">
        <v>200000</v>
      </c>
      <c r="Q27" s="76" t="n"/>
      <c r="R27" s="71" t="n"/>
    </row>
    <row r="28">
      <c r="B28" s="72" t="inlineStr">
        <is>
          <t>Lv80~/星3</t>
        </is>
      </c>
      <c r="C28" s="91" t="inlineStr">
        <is>
          <t>Ex main ~16</t>
        </is>
      </c>
      <c r="D28" s="74" t="n">
        <v>118300</v>
      </c>
      <c r="E28" s="74" t="n">
        <v>54600</v>
      </c>
      <c r="F28" s="74" t="n">
        <v>72800</v>
      </c>
      <c r="G28" s="74" t="n">
        <v>910</v>
      </c>
      <c r="H28" s="74" t="n">
        <v>2548</v>
      </c>
      <c r="I28" s="74" t="n">
        <v>1365</v>
      </c>
      <c r="J28" s="74" t="n">
        <v>1820000</v>
      </c>
      <c r="K28" s="74" t="n">
        <v>1092000</v>
      </c>
      <c r="L28" s="74" t="n">
        <v>1365000</v>
      </c>
      <c r="M28" s="74" t="n">
        <v>1456</v>
      </c>
      <c r="N28" s="74" t="n">
        <v>3094</v>
      </c>
      <c r="O28" s="74" t="n">
        <v>1820</v>
      </c>
      <c r="P28" s="92" t="n">
        <v>200000</v>
      </c>
      <c r="Q28" s="76" t="n"/>
      <c r="R28" s="71" t="n"/>
    </row>
    <row r="29">
      <c r="B29" s="83" t="inlineStr">
        <is>
          <t>Lv80~/星5</t>
        </is>
      </c>
      <c r="C29" s="94" t="inlineStr">
        <is>
          <t>Ex</t>
        </is>
      </c>
      <c r="D29" s="87" t="n">
        <v>136500</v>
      </c>
      <c r="E29" s="87" t="n">
        <v>63000</v>
      </c>
      <c r="F29" s="87" t="n">
        <v>84000</v>
      </c>
      <c r="G29" s="87" t="n">
        <v>1050</v>
      </c>
      <c r="H29" s="87" t="n">
        <v>2940</v>
      </c>
      <c r="I29" s="87" t="n">
        <v>1575</v>
      </c>
      <c r="J29" s="87" t="n">
        <v>2100000</v>
      </c>
      <c r="K29" s="87" t="n">
        <v>1260000</v>
      </c>
      <c r="L29" s="87" t="n">
        <v>1575000</v>
      </c>
      <c r="M29" s="87" t="n">
        <v>1680</v>
      </c>
      <c r="N29" s="87" t="n">
        <v>3570</v>
      </c>
      <c r="O29" s="87" t="n">
        <v>2100</v>
      </c>
      <c r="P29" s="95" t="n">
        <v>300000</v>
      </c>
      <c r="Q29" s="89" t="n"/>
      <c r="R29" s="71" t="n"/>
    </row>
    <row r="30">
      <c r="B30" s="96" t="inlineStr">
        <is>
          <t>any</t>
        </is>
      </c>
      <c r="C30" s="97" t="inlineStr">
        <is>
          <t>1日1回</t>
        </is>
      </c>
      <c r="D30" s="98" t="n"/>
      <c r="E30" s="98" t="n"/>
      <c r="F30" s="98" t="n"/>
      <c r="G30" s="98" t="n"/>
      <c r="H30" s="98" t="n"/>
      <c r="I30" s="99" t="n"/>
      <c r="J30" s="100" t="n">
        <v>210000</v>
      </c>
      <c r="K30" s="101" t="n"/>
      <c r="L30" s="103" t="n"/>
      <c r="M30" s="103" t="n">
        <v>21</v>
      </c>
      <c r="N30" s="95" t="n">
        <v>70</v>
      </c>
      <c r="O30" s="100" t="n">
        <v>35</v>
      </c>
      <c r="P30" s="104" t="n">
        <v>1000</v>
      </c>
      <c r="Q30" s="105" t="n"/>
      <c r="R30" s="71" t="n"/>
    </row>
    <row r="31">
      <c r="B31" s="66" t="inlineStr">
        <is>
          <t>Lv1~/星1</t>
        </is>
      </c>
      <c r="C31" s="73" t="inlineStr">
        <is>
          <t>ストーリー1話</t>
        </is>
      </c>
      <c r="D31" s="74" t="n">
        <v>5600</v>
      </c>
      <c r="E31" s="74" t="n">
        <v>1050</v>
      </c>
      <c r="F31" s="74" t="n">
        <v>2450</v>
      </c>
      <c r="G31" s="74" t="n">
        <v>21</v>
      </c>
      <c r="H31" s="74" t="n">
        <v>70</v>
      </c>
      <c r="I31" s="74" t="n">
        <v>35</v>
      </c>
      <c r="J31" s="92" t="n">
        <v>56000</v>
      </c>
      <c r="K31" s="92" t="n">
        <v>10500</v>
      </c>
      <c r="L31" s="92" t="n">
        <v>24500</v>
      </c>
      <c r="M31" s="74" t="n">
        <v>56</v>
      </c>
      <c r="N31" s="74" t="n">
        <v>140</v>
      </c>
      <c r="O31" s="74" t="n">
        <v>84</v>
      </c>
      <c r="P31" s="74" t="n">
        <v>5000</v>
      </c>
      <c r="Q31" s="70" t="n"/>
      <c r="R31" s="71" t="n"/>
    </row>
    <row r="32">
      <c r="B32" s="72" t="inlineStr">
        <is>
          <t>Lv3~/星1</t>
        </is>
      </c>
      <c r="C32" s="73" t="inlineStr">
        <is>
          <t>ストーリー2話</t>
        </is>
      </c>
      <c r="D32" s="74" t="n">
        <v>7000</v>
      </c>
      <c r="E32" s="74" t="n">
        <v>2450</v>
      </c>
      <c r="F32" s="74" t="n">
        <v>3150</v>
      </c>
      <c r="G32" s="74" t="n">
        <v>49</v>
      </c>
      <c r="H32" s="74" t="n">
        <v>119</v>
      </c>
      <c r="I32" s="74" t="n">
        <v>70</v>
      </c>
      <c r="J32" s="74" t="n">
        <v>70000</v>
      </c>
      <c r="K32" s="74" t="n">
        <v>24500</v>
      </c>
      <c r="L32" s="74" t="n">
        <v>31500</v>
      </c>
      <c r="M32" s="74" t="n">
        <v>84</v>
      </c>
      <c r="N32" s="74" t="n">
        <v>175</v>
      </c>
      <c r="O32" s="74" t="n">
        <v>105</v>
      </c>
      <c r="P32" s="74" t="n">
        <v>5000</v>
      </c>
      <c r="Q32" s="70" t="n"/>
      <c r="R32" s="71" t="n"/>
    </row>
    <row r="33">
      <c r="B33" s="72" t="inlineStr">
        <is>
          <t>Lv5~/星1</t>
        </is>
      </c>
      <c r="C33" s="73" t="inlineStr">
        <is>
          <t>ストーリー3話,4話</t>
        </is>
      </c>
      <c r="D33" s="74" t="n">
        <v>8400</v>
      </c>
      <c r="E33" s="74" t="n">
        <v>3150</v>
      </c>
      <c r="F33" s="74" t="n">
        <v>3500</v>
      </c>
      <c r="G33" s="74" t="n">
        <v>70</v>
      </c>
      <c r="H33" s="74" t="n">
        <v>140</v>
      </c>
      <c r="I33" s="74" t="n">
        <v>91</v>
      </c>
      <c r="J33" s="74" t="n">
        <v>84000</v>
      </c>
      <c r="K33" s="74" t="n">
        <v>31500</v>
      </c>
      <c r="L33" s="74" t="n">
        <v>35000</v>
      </c>
      <c r="M33" s="74" t="n">
        <v>84</v>
      </c>
      <c r="N33" s="74" t="n">
        <v>175</v>
      </c>
      <c r="O33" s="74" t="n">
        <v>105</v>
      </c>
      <c r="P33" s="74" t="n">
        <v>15000</v>
      </c>
      <c r="Q33" s="70" t="n"/>
      <c r="R33" s="71" t="n"/>
    </row>
    <row r="34">
      <c r="B34" s="72" t="inlineStr">
        <is>
          <t>Lv10~/星1</t>
        </is>
      </c>
      <c r="C34" s="73" t="inlineStr">
        <is>
          <t>ストーリー5話,6話</t>
        </is>
      </c>
      <c r="D34" s="74" t="n">
        <v>11900</v>
      </c>
      <c r="E34" s="74" t="n">
        <v>4900</v>
      </c>
      <c r="F34" s="74" t="n">
        <v>5600</v>
      </c>
      <c r="G34" s="74" t="n">
        <v>105</v>
      </c>
      <c r="H34" s="74" t="n">
        <v>210</v>
      </c>
      <c r="I34" s="74" t="n">
        <v>140</v>
      </c>
      <c r="J34" s="74" t="n">
        <v>119000</v>
      </c>
      <c r="K34" s="74" t="n">
        <v>49000</v>
      </c>
      <c r="L34" s="74" t="n">
        <v>56000</v>
      </c>
      <c r="M34" s="74" t="n">
        <v>119</v>
      </c>
      <c r="N34" s="74" t="n">
        <v>350</v>
      </c>
      <c r="O34" s="74" t="n">
        <v>210</v>
      </c>
      <c r="P34" s="74" t="n">
        <v>25000</v>
      </c>
      <c r="Q34" s="70" t="n"/>
      <c r="R34" s="71" t="n"/>
    </row>
    <row r="35">
      <c r="B35" s="72" t="inlineStr">
        <is>
          <t>Lv15~/星1</t>
        </is>
      </c>
      <c r="C35" s="73" t="inlineStr">
        <is>
          <t>ストーリー7話</t>
        </is>
      </c>
      <c r="D35" s="74" t="n">
        <v>15400</v>
      </c>
      <c r="E35" s="74" t="n">
        <v>6650</v>
      </c>
      <c r="F35" s="74" t="n">
        <v>7000</v>
      </c>
      <c r="G35" s="74" t="n">
        <v>140</v>
      </c>
      <c r="H35" s="74" t="n">
        <v>280</v>
      </c>
      <c r="I35" s="74" t="n">
        <v>210</v>
      </c>
      <c r="J35" s="74" t="n">
        <v>154000</v>
      </c>
      <c r="K35" s="74" t="n">
        <v>6650</v>
      </c>
      <c r="L35" s="74" t="n">
        <v>70000</v>
      </c>
      <c r="M35" s="74" t="n">
        <v>140</v>
      </c>
      <c r="N35" s="74" t="n">
        <v>420</v>
      </c>
      <c r="O35" s="74" t="n">
        <v>280</v>
      </c>
      <c r="P35" s="74" t="n">
        <v>25000</v>
      </c>
      <c r="Q35" s="76" t="n"/>
      <c r="R35" s="71" t="n"/>
    </row>
    <row r="36">
      <c r="B36" s="83" t="inlineStr">
        <is>
          <t>Lv20~/星1</t>
        </is>
      </c>
      <c r="C36" s="106" t="inlineStr">
        <is>
          <t>ストーリー8話</t>
        </is>
      </c>
      <c r="D36" s="87" t="n">
        <v>18900</v>
      </c>
      <c r="E36" s="87" t="n">
        <v>8400</v>
      </c>
      <c r="F36" s="87" t="n">
        <v>9100</v>
      </c>
      <c r="G36" s="87" t="n">
        <v>210</v>
      </c>
      <c r="H36" s="87" t="n">
        <v>350</v>
      </c>
      <c r="I36" s="87" t="n">
        <v>245</v>
      </c>
      <c r="J36" s="87" t="n">
        <v>189000</v>
      </c>
      <c r="K36" s="87" t="n">
        <v>84000</v>
      </c>
      <c r="L36" s="87" t="n">
        <v>91000</v>
      </c>
      <c r="M36" s="87" t="n">
        <v>210</v>
      </c>
      <c r="N36" s="87" t="n">
        <v>490</v>
      </c>
      <c r="O36" s="87" t="n">
        <v>350</v>
      </c>
      <c r="P36" s="87" t="n">
        <v>25000</v>
      </c>
      <c r="Q36" s="89" t="n"/>
      <c r="R36" s="71" t="n"/>
    </row>
    <row r="37">
      <c r="B37" s="107" t="inlineStr">
        <is>
          <t>Lv10~/星1</t>
        </is>
      </c>
      <c r="C37" s="108" t="inlineStr">
        <is>
          <t>チャレンジ1話</t>
        </is>
      </c>
      <c r="D37" s="109" t="n">
        <v>11900</v>
      </c>
      <c r="E37" s="109" t="n">
        <v>4900</v>
      </c>
      <c r="F37" s="109" t="n">
        <v>5600</v>
      </c>
      <c r="G37" s="109" t="n">
        <v>105</v>
      </c>
      <c r="H37" s="109" t="n">
        <v>210</v>
      </c>
      <c r="I37" s="109" t="n">
        <v>140</v>
      </c>
      <c r="J37" s="109" t="n">
        <v>119000</v>
      </c>
      <c r="K37" s="109" t="n">
        <v>49000</v>
      </c>
      <c r="L37" s="109" t="n">
        <v>56000</v>
      </c>
      <c r="M37" s="109" t="n">
        <v>119</v>
      </c>
      <c r="N37" s="109" t="n">
        <v>350</v>
      </c>
      <c r="O37" s="109" t="n">
        <v>210</v>
      </c>
      <c r="P37" s="109" t="n">
        <v>25000</v>
      </c>
      <c r="Q37" s="110" t="n"/>
      <c r="R37" s="71" t="n"/>
    </row>
    <row r="38">
      <c r="B38" s="107" t="inlineStr">
        <is>
          <t>Lv20~/星1</t>
        </is>
      </c>
      <c r="C38" s="108" t="inlineStr">
        <is>
          <t>チャレンジ2話</t>
        </is>
      </c>
      <c r="D38" s="109" t="n">
        <v>18900</v>
      </c>
      <c r="E38" s="109" t="n">
        <v>8400</v>
      </c>
      <c r="F38" s="109" t="n">
        <v>9100</v>
      </c>
      <c r="G38" s="109" t="n">
        <v>210</v>
      </c>
      <c r="H38" s="109" t="n">
        <v>350</v>
      </c>
      <c r="I38" s="109" t="n">
        <v>245</v>
      </c>
      <c r="J38" s="109" t="n">
        <v>189000</v>
      </c>
      <c r="K38" s="109" t="n">
        <v>84000</v>
      </c>
      <c r="L38" s="109" t="n">
        <v>91000</v>
      </c>
      <c r="M38" s="109" t="n">
        <v>210</v>
      </c>
      <c r="N38" s="109" t="n">
        <v>490</v>
      </c>
      <c r="O38" s="109" t="n">
        <v>350</v>
      </c>
      <c r="P38" s="109" t="n">
        <v>25000</v>
      </c>
      <c r="Q38" s="110" t="n"/>
      <c r="R38" s="71" t="n"/>
    </row>
    <row r="39">
      <c r="B39" s="107" t="inlineStr">
        <is>
          <t>Lv30~/星1</t>
        </is>
      </c>
      <c r="C39" s="108" t="inlineStr">
        <is>
          <t>チャレンジ3話</t>
        </is>
      </c>
      <c r="D39" s="109" t="n">
        <v>26600</v>
      </c>
      <c r="E39" s="109" t="n">
        <v>11900</v>
      </c>
      <c r="F39" s="109" t="n">
        <v>14700</v>
      </c>
      <c r="G39" s="109" t="n">
        <v>350</v>
      </c>
      <c r="H39" s="109" t="n">
        <v>560</v>
      </c>
      <c r="I39" s="109" t="n">
        <v>350</v>
      </c>
      <c r="J39" s="109" t="n">
        <v>266000</v>
      </c>
      <c r="K39" s="109" t="n">
        <v>119000</v>
      </c>
      <c r="L39" s="109" t="n">
        <v>147000</v>
      </c>
      <c r="M39" s="109" t="n">
        <v>350</v>
      </c>
      <c r="N39" s="109" t="n">
        <v>770</v>
      </c>
      <c r="O39" s="109" t="n">
        <v>490</v>
      </c>
      <c r="P39" s="109" t="n">
        <v>30000</v>
      </c>
      <c r="Q39" s="110" t="n"/>
      <c r="R39" s="71" t="n"/>
    </row>
    <row r="40">
      <c r="B40" s="83" t="inlineStr">
        <is>
          <t>Lv40~/星1</t>
        </is>
      </c>
      <c r="C40" s="111" t="inlineStr">
        <is>
          <t>チャレンジ4話</t>
        </is>
      </c>
      <c r="D40" s="87" t="n">
        <v>38500</v>
      </c>
      <c r="E40" s="87" t="n">
        <v>16800</v>
      </c>
      <c r="F40" s="87" t="n">
        <v>20300</v>
      </c>
      <c r="G40" s="87" t="n">
        <v>420</v>
      </c>
      <c r="H40" s="87" t="n">
        <v>840</v>
      </c>
      <c r="I40" s="87" t="n">
        <v>490</v>
      </c>
      <c r="J40" s="87" t="n">
        <v>350000</v>
      </c>
      <c r="K40" s="87" t="n">
        <v>175000</v>
      </c>
      <c r="L40" s="87" t="n">
        <v>231000</v>
      </c>
      <c r="M40" s="87" t="n">
        <v>490</v>
      </c>
      <c r="N40" s="87" t="n">
        <v>980</v>
      </c>
      <c r="O40" s="87" t="n">
        <v>700</v>
      </c>
      <c r="P40" s="87" t="n">
        <v>50000</v>
      </c>
      <c r="Q40" s="89" t="n"/>
      <c r="R40" s="71" t="n"/>
    </row>
    <row r="41">
      <c r="B41" s="90" t="inlineStr">
        <is>
          <t>Lv40~/星1</t>
        </is>
      </c>
      <c r="C41" s="112" t="inlineStr">
        <is>
          <t>高難度ver1 1話</t>
        </is>
      </c>
      <c r="D41" s="92" t="n">
        <v>38500</v>
      </c>
      <c r="E41" s="92" t="n">
        <v>16800</v>
      </c>
      <c r="F41" s="92" t="n">
        <v>20300</v>
      </c>
      <c r="G41" s="92" t="n">
        <v>420</v>
      </c>
      <c r="H41" s="92" t="n">
        <v>840</v>
      </c>
      <c r="I41" s="92" t="n">
        <v>490</v>
      </c>
      <c r="J41" s="92" t="n">
        <v>350000</v>
      </c>
      <c r="K41" s="92" t="n">
        <v>175000</v>
      </c>
      <c r="L41" s="92" t="n">
        <v>231000</v>
      </c>
      <c r="M41" s="92" t="n">
        <v>490</v>
      </c>
      <c r="N41" s="92" t="n">
        <v>980</v>
      </c>
      <c r="O41" s="92" t="n">
        <v>700</v>
      </c>
      <c r="P41" s="92" t="n">
        <v>50000</v>
      </c>
      <c r="Q41" s="70" t="n"/>
      <c r="R41" s="71" t="n"/>
    </row>
    <row r="42">
      <c r="B42" s="83" t="inlineStr">
        <is>
          <t>Lv70~/星1</t>
        </is>
      </c>
      <c r="C42" s="113" t="inlineStr">
        <is>
          <t>高難度ver1 2話</t>
        </is>
      </c>
      <c r="D42" s="87" t="n">
        <v>77000</v>
      </c>
      <c r="E42" s="87" t="n">
        <v>35000</v>
      </c>
      <c r="F42" s="87" t="n">
        <v>43400</v>
      </c>
      <c r="G42" s="87" t="n">
        <v>630</v>
      </c>
      <c r="H42" s="87" t="n">
        <v>1680</v>
      </c>
      <c r="I42" s="87" t="n">
        <v>910</v>
      </c>
      <c r="J42" s="87" t="n">
        <v>980000</v>
      </c>
      <c r="K42" s="87" t="n">
        <v>560000</v>
      </c>
      <c r="L42" s="87" t="n">
        <v>700000</v>
      </c>
      <c r="M42" s="87" t="n">
        <v>910</v>
      </c>
      <c r="N42" s="87" t="n">
        <v>1960</v>
      </c>
      <c r="O42" s="87" t="n">
        <v>1260</v>
      </c>
      <c r="P42" s="87" t="n">
        <v>150000</v>
      </c>
      <c r="Q42" s="89" t="n"/>
      <c r="R42" s="71" t="n"/>
    </row>
    <row r="43">
      <c r="B43" s="72" t="inlineStr">
        <is>
          <t>Lv5~/星1</t>
        </is>
      </c>
      <c r="C43" s="114" t="inlineStr">
        <is>
          <t>降臨バトルwave1</t>
        </is>
      </c>
      <c r="D43" s="74" t="n">
        <v>8400</v>
      </c>
      <c r="E43" s="74" t="n">
        <v>3150</v>
      </c>
      <c r="F43" s="74" t="n">
        <v>3500</v>
      </c>
      <c r="G43" s="74" t="n">
        <v>70</v>
      </c>
      <c r="H43" s="74" t="n">
        <v>140</v>
      </c>
      <c r="I43" s="74" t="n">
        <v>91</v>
      </c>
      <c r="J43" s="74" t="n">
        <v>84000</v>
      </c>
      <c r="K43" s="74" t="n">
        <v>31500</v>
      </c>
      <c r="L43" s="74" t="n">
        <v>35000</v>
      </c>
      <c r="M43" s="74" t="n">
        <v>84</v>
      </c>
      <c r="N43" s="74" t="n">
        <v>175</v>
      </c>
      <c r="O43" s="74" t="n">
        <v>105</v>
      </c>
      <c r="P43" s="115" t="n"/>
      <c r="Q43" s="76" t="n"/>
      <c r="R43" s="71" t="n"/>
    </row>
    <row r="44">
      <c r="B44" s="72" t="inlineStr">
        <is>
          <t>Lv10~/星1</t>
        </is>
      </c>
      <c r="C44" s="114" t="inlineStr">
        <is>
          <t>降臨バトルwave2</t>
        </is>
      </c>
      <c r="D44" s="74" t="n">
        <v>11900</v>
      </c>
      <c r="E44" s="74" t="n">
        <v>4900</v>
      </c>
      <c r="F44" s="74" t="n">
        <v>5600</v>
      </c>
      <c r="G44" s="74" t="n">
        <v>105</v>
      </c>
      <c r="H44" s="74" t="n">
        <v>210</v>
      </c>
      <c r="I44" s="74" t="n">
        <v>140</v>
      </c>
      <c r="J44" s="74" t="n">
        <v>119000</v>
      </c>
      <c r="K44" s="74" t="n">
        <v>49000</v>
      </c>
      <c r="L44" s="74" t="n">
        <v>56000</v>
      </c>
      <c r="M44" s="74" t="n">
        <v>119</v>
      </c>
      <c r="N44" s="74" t="n">
        <v>350</v>
      </c>
      <c r="O44" s="74" t="n">
        <v>210</v>
      </c>
      <c r="P44" s="115" t="n"/>
      <c r="Q44" s="76" t="n"/>
      <c r="R44" s="71" t="n"/>
    </row>
    <row r="45">
      <c r="B45" s="72" t="inlineStr">
        <is>
          <t>Lv20~/星1</t>
        </is>
      </c>
      <c r="C45" s="114" t="inlineStr">
        <is>
          <t>降臨バトルwave3</t>
        </is>
      </c>
      <c r="D45" s="74" t="n">
        <v>26600</v>
      </c>
      <c r="E45" s="74" t="n">
        <v>11900</v>
      </c>
      <c r="F45" s="74" t="n">
        <v>14700</v>
      </c>
      <c r="G45" s="74" t="n">
        <v>350</v>
      </c>
      <c r="H45" s="74" t="n">
        <v>560</v>
      </c>
      <c r="I45" s="74" t="n">
        <v>350</v>
      </c>
      <c r="J45" s="74" t="n">
        <v>266000</v>
      </c>
      <c r="K45" s="74" t="n">
        <v>119000</v>
      </c>
      <c r="L45" s="74" t="n">
        <v>147000</v>
      </c>
      <c r="M45" s="74" t="n">
        <v>350</v>
      </c>
      <c r="N45" s="74" t="n">
        <v>770</v>
      </c>
      <c r="O45" s="74" t="n">
        <v>490</v>
      </c>
      <c r="P45" s="115" t="n"/>
      <c r="Q45" s="76" t="n"/>
      <c r="R45" s="71" t="n"/>
    </row>
    <row r="46">
      <c r="B46" s="72" t="inlineStr">
        <is>
          <t>Lv30~/星1</t>
        </is>
      </c>
      <c r="C46" s="114" t="inlineStr">
        <is>
          <t>降臨バトルwave4</t>
        </is>
      </c>
      <c r="D46" s="74" t="n">
        <v>26600</v>
      </c>
      <c r="E46" s="74" t="n">
        <v>11900</v>
      </c>
      <c r="F46" s="74" t="n">
        <v>14700</v>
      </c>
      <c r="G46" s="74" t="n">
        <v>350</v>
      </c>
      <c r="H46" s="74" t="n">
        <v>560</v>
      </c>
      <c r="I46" s="74" t="n">
        <v>350</v>
      </c>
      <c r="J46" s="74" t="n">
        <v>266000</v>
      </c>
      <c r="K46" s="74" t="n">
        <v>119000</v>
      </c>
      <c r="L46" s="74" t="n">
        <v>147000</v>
      </c>
      <c r="M46" s="74" t="n">
        <v>350</v>
      </c>
      <c r="N46" s="74" t="n">
        <v>770</v>
      </c>
      <c r="O46" s="74" t="n">
        <v>490</v>
      </c>
      <c r="P46" s="115" t="n"/>
      <c r="Q46" s="76" t="n"/>
      <c r="R46" s="71" t="n"/>
    </row>
    <row r="47">
      <c r="B47" s="72" t="inlineStr">
        <is>
          <t>Lv40~/星1</t>
        </is>
      </c>
      <c r="C47" s="114" t="inlineStr">
        <is>
          <t>降臨バトルwave5</t>
        </is>
      </c>
      <c r="D47" s="74" t="n">
        <v>38500</v>
      </c>
      <c r="E47" s="74" t="n">
        <v>16800</v>
      </c>
      <c r="F47" s="74" t="n">
        <v>20300</v>
      </c>
      <c r="G47" s="74" t="n">
        <v>420</v>
      </c>
      <c r="H47" s="74" t="n">
        <v>840</v>
      </c>
      <c r="I47" s="74" t="n">
        <v>490</v>
      </c>
      <c r="J47" s="74" t="n">
        <v>350000</v>
      </c>
      <c r="K47" s="74" t="n">
        <v>175000</v>
      </c>
      <c r="L47" s="74" t="n">
        <v>231000</v>
      </c>
      <c r="M47" s="74" t="n">
        <v>490</v>
      </c>
      <c r="N47" s="74" t="n">
        <v>980</v>
      </c>
      <c r="O47" s="74" t="n">
        <v>700</v>
      </c>
      <c r="P47" s="115" t="n"/>
      <c r="Q47" s="76" t="n"/>
      <c r="R47" s="71" t="n"/>
    </row>
    <row r="48">
      <c r="B48" s="72" t="inlineStr">
        <is>
          <t>Lv50~/星1</t>
        </is>
      </c>
      <c r="C48" s="114" t="inlineStr">
        <is>
          <t>降臨バトルwave6</t>
        </is>
      </c>
      <c r="D48" s="74" t="n">
        <v>49000</v>
      </c>
      <c r="E48" s="74" t="n">
        <v>21000</v>
      </c>
      <c r="F48" s="74" t="n">
        <v>26600</v>
      </c>
      <c r="G48" s="74" t="n">
        <v>490</v>
      </c>
      <c r="H48" s="74" t="n">
        <v>1120</v>
      </c>
      <c r="I48" s="74" t="n">
        <v>630</v>
      </c>
      <c r="J48" s="74" t="n">
        <v>490000</v>
      </c>
      <c r="K48" s="74" t="n">
        <v>245000</v>
      </c>
      <c r="L48" s="74" t="n">
        <v>315000</v>
      </c>
      <c r="M48" s="74" t="n">
        <v>630</v>
      </c>
      <c r="N48" s="74" t="n">
        <v>1260</v>
      </c>
      <c r="O48" s="74" t="n">
        <v>910</v>
      </c>
      <c r="P48" s="115" t="n"/>
      <c r="Q48" s="76" t="n"/>
      <c r="R48" s="71" t="n"/>
    </row>
    <row r="49">
      <c r="B49" s="72" t="inlineStr">
        <is>
          <t>Lv60~/星1</t>
        </is>
      </c>
      <c r="C49" s="114" t="inlineStr">
        <is>
          <t>降臨バトルwave7</t>
        </is>
      </c>
      <c r="D49" s="74" t="n">
        <v>63000</v>
      </c>
      <c r="E49" s="74" t="n">
        <v>28000</v>
      </c>
      <c r="F49" s="74" t="n">
        <v>33600</v>
      </c>
      <c r="G49" s="74" t="n">
        <v>560</v>
      </c>
      <c r="H49" s="74" t="n">
        <v>1400</v>
      </c>
      <c r="I49" s="74" t="n">
        <v>770</v>
      </c>
      <c r="J49" s="74" t="n">
        <v>630000</v>
      </c>
      <c r="K49" s="74" t="n">
        <v>350000</v>
      </c>
      <c r="L49" s="74" t="n">
        <v>420000</v>
      </c>
      <c r="M49" s="74" t="n">
        <v>770</v>
      </c>
      <c r="N49" s="74" t="n">
        <v>1540</v>
      </c>
      <c r="O49" s="74" t="n">
        <v>1050</v>
      </c>
      <c r="P49" s="115" t="n"/>
      <c r="Q49" s="76" t="n"/>
      <c r="R49" s="71" t="n"/>
    </row>
    <row r="50">
      <c r="B50" s="83" t="inlineStr">
        <is>
          <t>Lv70~/星1</t>
        </is>
      </c>
      <c r="C50" s="116" t="inlineStr">
        <is>
          <t>降臨バトルwave8</t>
        </is>
      </c>
      <c r="D50" s="87" t="n">
        <v>77000</v>
      </c>
      <c r="E50" s="87" t="n">
        <v>35000</v>
      </c>
      <c r="F50" s="87" t="n">
        <v>43400</v>
      </c>
      <c r="G50" s="87" t="n">
        <v>630</v>
      </c>
      <c r="H50" s="87" t="n">
        <v>1680</v>
      </c>
      <c r="I50" s="87" t="n">
        <v>910</v>
      </c>
      <c r="J50" s="87" t="n">
        <v>980000</v>
      </c>
      <c r="K50" s="87" t="n">
        <v>560000</v>
      </c>
      <c r="L50" s="87" t="n">
        <v>700000</v>
      </c>
      <c r="M50" s="87" t="n">
        <v>910</v>
      </c>
      <c r="N50" s="87" t="n">
        <v>1960</v>
      </c>
      <c r="O50" s="87" t="n">
        <v>1260</v>
      </c>
      <c r="P50" s="117" t="n"/>
      <c r="Q50" s="89" t="n"/>
      <c r="R50" s="71" t="n"/>
    </row>
    <row r="51">
      <c r="B51" s="118" t="n"/>
      <c r="C51" s="119" t="n"/>
      <c r="D51" s="71" t="n"/>
      <c r="E51" s="71" t="n"/>
      <c r="F51" s="71" t="n"/>
      <c r="G51" s="71" t="n"/>
      <c r="H51" s="71" t="n"/>
      <c r="I51" s="71" t="n"/>
      <c r="J51" s="71" t="n"/>
      <c r="K51" s="71" t="n"/>
      <c r="L51" s="71" t="n"/>
      <c r="M51" s="71" t="n"/>
      <c r="N51" s="71" t="n"/>
      <c r="O51" s="71" t="n"/>
      <c r="P51" s="71" t="n"/>
      <c r="Q51" s="71" t="n"/>
      <c r="R51" s="71" t="n"/>
    </row>
  </sheetData>
  <hyperlinks>
    <hyperlink xmlns:r="http://schemas.openxmlformats.org/officeDocument/2006/relationships" ref="C1" location="gid=1515282012&amp;range=A1" r:id="rId1"/>
  </hyperlinks>
  <pageMargins left="0.75" right="0.75" top="1" bottom="1" header="0.5" footer="0.5"/>
</worksheet>
</file>

<file path=xl/worksheets/sheet7.xml><?xml version="1.0" encoding="utf-8"?>
<worksheet xmlns="http://schemas.openxmlformats.org/spreadsheetml/2006/main">
  <sheetPr>
    <tabColor rgb="FF00FF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8.xml><?xml version="1.0" encoding="utf-8"?>
<worksheet xmlns="http://schemas.openxmlformats.org/spreadsheetml/2006/main">
  <sheetPr>
    <tabColor rgb="FF00FF00"/>
    <outlinePr summaryBelow="0" summaryRight="0"/>
    <pageSetUpPr/>
  </sheetPr>
  <dimension ref="A1:FR82"/>
  <sheetViews>
    <sheetView showGridLines="0" workbookViewId="0">
      <selection activeCell="A1" sqref="A1"/>
    </sheetView>
  </sheetViews>
  <sheetFormatPr baseColWidth="8" defaultColWidth="12.63" defaultRowHeight="15.75" customHeight="1"/>
  <cols>
    <col width="4.13" customWidth="1" style="482" min="1" max="1"/>
    <col width="4.25" customWidth="1" style="482" min="2" max="132"/>
    <col width="11.5" customWidth="1" style="482" min="133" max="133"/>
    <col width="12.5" customWidth="1" style="482" min="134" max="134"/>
    <col width="16.88" customWidth="1" style="482" min="135" max="135"/>
    <col width="10.13" customWidth="1" style="482" min="136" max="137"/>
    <col width="9.5" customWidth="1" style="482" min="138" max="138"/>
    <col width="22.25" customWidth="1" style="482" min="139" max="139"/>
    <col width="9.25" customWidth="1" style="482" min="140" max="140"/>
    <col width="11" customWidth="1" style="482" min="141" max="141"/>
    <col width="12.63" customWidth="1" style="482" min="142" max="142"/>
    <col width="16.38" customWidth="1" style="482" min="143" max="143"/>
    <col width="12.63" customWidth="1" style="482" min="144" max="144"/>
    <col width="16.75" customWidth="1" style="482" min="145" max="150"/>
    <col width="12.63" customWidth="1" style="482" min="151" max="151"/>
    <col width="25.5" customWidth="1" style="482" min="152" max="152"/>
    <col width="7.38" customWidth="1" style="482" min="153" max="154"/>
    <col width="7.88" customWidth="1" style="482" min="155" max="155"/>
    <col width="10.5" customWidth="1" style="482" min="156" max="156"/>
    <col width="12.63" customWidth="1" style="482" min="157" max="159"/>
    <col width="10.25" customWidth="1" style="482" min="160" max="160"/>
    <col width="9.130000000000001" customWidth="1" style="482" min="161" max="161"/>
    <col width="16.5" customWidth="1" style="482" min="162" max="163"/>
    <col width="4.25" customWidth="1" style="482" min="164" max="167"/>
  </cols>
  <sheetData>
    <row r="1">
      <c r="A1" s="250" t="n"/>
      <c r="B1" s="250" t="n"/>
      <c r="C1" s="250" t="n"/>
      <c r="D1" s="250" t="n"/>
      <c r="E1" s="250" t="n"/>
      <c r="F1" s="250" t="n"/>
      <c r="G1" s="250" t="n"/>
      <c r="H1" s="250" t="n"/>
      <c r="I1" s="250" t="n"/>
      <c r="J1" s="250" t="n"/>
      <c r="K1" s="250" t="n"/>
      <c r="L1" s="250" t="n"/>
      <c r="M1" s="250" t="n"/>
      <c r="N1" s="250" t="n"/>
      <c r="O1" s="250" t="n"/>
      <c r="P1" s="250" t="n"/>
      <c r="Q1" s="250" t="n"/>
      <c r="R1" s="250" t="n"/>
      <c r="S1" s="250" t="n"/>
      <c r="T1" s="250" t="n"/>
      <c r="U1" s="250" t="n"/>
      <c r="V1" s="250" t="n"/>
      <c r="W1" s="250" t="n"/>
      <c r="X1" s="250" t="n"/>
      <c r="Y1" s="250" t="n"/>
      <c r="Z1" s="250" t="n"/>
      <c r="AA1" s="250" t="n"/>
      <c r="AB1" s="250" t="n"/>
      <c r="AC1" s="250" t="n"/>
      <c r="AD1" s="250" t="n"/>
      <c r="AE1" s="250" t="n"/>
      <c r="AF1" s="250" t="n"/>
      <c r="AG1" s="250" t="n"/>
      <c r="AH1" s="250" t="n"/>
      <c r="AI1" s="250" t="n"/>
      <c r="AJ1" s="250" t="n"/>
      <c r="AK1" s="250" t="n"/>
      <c r="AL1" s="250" t="n"/>
      <c r="AM1" s="250" t="n"/>
      <c r="AN1" s="250" t="n"/>
      <c r="AO1" s="250" t="n"/>
      <c r="AP1" s="250" t="n"/>
      <c r="AQ1" s="250" t="n"/>
      <c r="AR1" s="250" t="n"/>
      <c r="AS1" s="250" t="n"/>
      <c r="AT1" s="250" t="n"/>
      <c r="AU1" s="250" t="n"/>
      <c r="AV1" s="250" t="n"/>
      <c r="AW1" s="250" t="n"/>
      <c r="AX1" s="250" t="n"/>
      <c r="AY1" s="250" t="n"/>
      <c r="AZ1" s="250" t="n"/>
      <c r="BA1" s="250" t="n"/>
      <c r="BB1" s="250" t="n"/>
      <c r="BC1" s="250" t="n"/>
      <c r="BD1" s="250" t="n"/>
      <c r="BE1" s="250" t="n"/>
      <c r="BF1" s="250" t="n"/>
      <c r="BG1" s="250" t="n"/>
      <c r="BH1" s="250" t="n"/>
      <c r="BI1" s="250" t="n"/>
      <c r="BJ1" s="250" t="n"/>
      <c r="BK1" s="250" t="n"/>
      <c r="BL1" s="250" t="n"/>
      <c r="BM1" s="250" t="n"/>
      <c r="BN1" s="250" t="n"/>
      <c r="BO1" s="250" t="n"/>
      <c r="BP1" s="250" t="n"/>
      <c r="BQ1" s="250" t="n"/>
      <c r="BR1" s="250" t="n"/>
      <c r="BS1" s="250" t="n"/>
      <c r="BT1" s="250" t="n"/>
      <c r="BU1" s="250" t="n"/>
      <c r="BV1" s="250" t="n"/>
      <c r="BW1" s="250" t="n"/>
      <c r="BX1" s="250" t="n"/>
      <c r="BY1" s="250" t="n"/>
      <c r="BZ1" s="250" t="n"/>
      <c r="CA1" s="250" t="n"/>
      <c r="CB1" s="250" t="n"/>
      <c r="CC1" s="250" t="n"/>
      <c r="CD1" s="250" t="n"/>
      <c r="CE1" s="250" t="n"/>
      <c r="CF1" s="250" t="n"/>
      <c r="CG1" s="250" t="n"/>
      <c r="CH1" s="250" t="n"/>
      <c r="CI1" s="250" t="n"/>
      <c r="CJ1" s="250" t="n"/>
      <c r="CK1" s="250" t="n"/>
      <c r="CL1" s="250" t="n"/>
      <c r="CM1" s="250" t="n"/>
      <c r="CN1" s="250" t="n"/>
      <c r="CO1" s="250" t="n"/>
      <c r="CP1" s="250" t="n"/>
      <c r="CQ1" s="250" t="n"/>
      <c r="CR1" s="250" t="n"/>
      <c r="CS1" s="250" t="n"/>
      <c r="CT1" s="250" t="n"/>
      <c r="CU1" s="250" t="n"/>
      <c r="CV1" s="250" t="n"/>
      <c r="CW1" s="250" t="n"/>
      <c r="CX1" s="250" t="n"/>
      <c r="CY1" s="250" t="n"/>
      <c r="CZ1" s="250" t="n"/>
      <c r="DA1" s="250" t="n"/>
      <c r="DB1" s="250" t="n"/>
      <c r="DC1" s="250" t="n"/>
      <c r="DD1" s="250" t="n"/>
      <c r="DE1" s="250" t="n"/>
      <c r="DF1" s="250" t="n"/>
      <c r="DG1" s="250" t="n"/>
      <c r="DH1" s="250" t="n"/>
      <c r="DI1" s="250" t="n"/>
      <c r="DJ1" s="250" t="n"/>
      <c r="DK1" s="250" t="n"/>
      <c r="DL1" s="250" t="n"/>
      <c r="DM1" s="250" t="n"/>
      <c r="DN1" s="250" t="n"/>
      <c r="DO1" s="250" t="n"/>
      <c r="DP1" s="250" t="n"/>
      <c r="DQ1" s="250" t="n"/>
      <c r="DR1" s="250" t="n"/>
      <c r="DS1" s="250" t="n"/>
      <c r="DT1" s="250" t="n"/>
      <c r="DU1" s="250" t="n"/>
      <c r="DV1" s="250" t="n"/>
      <c r="DW1" s="250" t="n"/>
      <c r="DX1" s="250" t="n"/>
      <c r="DY1" s="250" t="n"/>
      <c r="DZ1" s="250" t="n"/>
      <c r="EA1" s="160" t="n"/>
      <c r="EB1" s="250" t="n"/>
      <c r="EC1" s="230" t="n"/>
      <c r="ED1" s="230" t="n"/>
      <c r="EE1" s="230" t="n"/>
      <c r="EF1" s="230" t="n"/>
      <c r="EG1" s="230" t="n"/>
      <c r="EH1" s="230" t="n"/>
      <c r="EI1" s="230" t="n"/>
      <c r="EJ1" s="230" t="n"/>
      <c r="EK1" s="230" t="n"/>
      <c r="EL1" s="230" t="n"/>
      <c r="EM1" s="230" t="n"/>
      <c r="EN1" s="230" t="n"/>
      <c r="EO1" s="230" t="n"/>
      <c r="EP1" s="230" t="n"/>
      <c r="EQ1" s="230" t="n"/>
      <c r="ER1" s="230" t="n"/>
      <c r="ES1" s="230" t="n"/>
      <c r="ET1" s="230" t="n"/>
      <c r="EU1" s="230" t="n"/>
      <c r="EV1" s="230" t="n"/>
      <c r="EW1" s="230" t="n"/>
      <c r="EX1" s="230" t="n"/>
      <c r="EY1" s="230" t="n"/>
      <c r="EZ1" s="230" t="n"/>
      <c r="FA1" s="230" t="n"/>
      <c r="FB1" s="230" t="n"/>
      <c r="FC1" s="230" t="n"/>
      <c r="FD1" s="230" t="n"/>
      <c r="FE1" s="230" t="n"/>
      <c r="FF1" s="230" t="n"/>
      <c r="FG1" s="230" t="n"/>
      <c r="FH1" s="250" t="n"/>
      <c r="FI1" s="250" t="n"/>
      <c r="FJ1" s="250" t="n"/>
      <c r="FK1" s="250" t="n"/>
    </row>
    <row r="2">
      <c r="A2" s="122" t="n"/>
      <c r="B2" s="123" t="inlineStr">
        <is>
          <t>■基礎情報</t>
        </is>
      </c>
      <c r="C2" s="160" t="n"/>
      <c r="D2" s="160" t="n"/>
      <c r="E2" s="160" t="n"/>
      <c r="F2" s="160" t="n"/>
      <c r="G2" s="160" t="n"/>
      <c r="H2" s="160" t="n"/>
      <c r="I2" s="160" t="n"/>
      <c r="J2" s="160" t="n"/>
      <c r="K2" s="160" t="n"/>
      <c r="L2" s="160" t="n"/>
      <c r="M2" s="160" t="n"/>
      <c r="N2" s="160" t="n"/>
      <c r="O2" s="160" t="n"/>
      <c r="P2" s="160" t="n"/>
      <c r="Q2" s="160" t="n"/>
      <c r="R2" s="160" t="n"/>
      <c r="S2" s="160" t="n"/>
      <c r="T2" s="160" t="n"/>
      <c r="U2" s="160" t="n"/>
      <c r="V2" s="160" t="n"/>
      <c r="W2" s="160" t="n"/>
      <c r="X2" s="160" t="n"/>
      <c r="Y2" s="160" t="n"/>
      <c r="Z2" s="160" t="n"/>
      <c r="AA2" s="160" t="n"/>
      <c r="AB2" s="160" t="n"/>
      <c r="AC2" s="160" t="n"/>
      <c r="AD2" s="160" t="n"/>
      <c r="AE2" s="160" t="n"/>
      <c r="AF2" s="160" t="n"/>
      <c r="AG2" s="160" t="n"/>
      <c r="AH2" s="160" t="n"/>
      <c r="AI2" s="160" t="n"/>
      <c r="AJ2" s="160" t="n"/>
      <c r="AK2" s="160" t="n"/>
      <c r="AL2" s="160" t="n"/>
      <c r="AM2" s="160" t="n"/>
      <c r="AN2" s="160" t="n"/>
      <c r="AO2" s="160" t="n"/>
      <c r="AP2" s="160" t="n"/>
      <c r="AQ2" s="160" t="n"/>
      <c r="AR2" s="160" t="n"/>
      <c r="AS2" s="160" t="n"/>
      <c r="AT2" s="160" t="n"/>
      <c r="AU2" s="160" t="n"/>
      <c r="AV2" s="160" t="n"/>
      <c r="AW2" s="160" t="n"/>
      <c r="AX2" s="160" t="n"/>
      <c r="AY2" s="160" t="n"/>
      <c r="AZ2" s="160" t="n"/>
      <c r="BA2" s="160" t="n"/>
      <c r="BB2" s="160" t="n"/>
      <c r="BC2" s="160" t="n"/>
      <c r="BD2" s="160" t="n"/>
      <c r="BE2" s="160" t="n"/>
      <c r="BF2" s="160" t="n"/>
      <c r="BG2" s="160" t="n"/>
      <c r="BH2" s="160" t="n"/>
      <c r="BI2" s="160" t="n"/>
      <c r="BJ2" s="160" t="n"/>
      <c r="BK2" s="160" t="n"/>
      <c r="BL2" s="160" t="n"/>
      <c r="BM2" s="160" t="n"/>
      <c r="BN2" s="160" t="n"/>
      <c r="BO2" s="160" t="n"/>
      <c r="BP2" s="160" t="n"/>
      <c r="BQ2" s="160" t="n"/>
      <c r="BR2" s="160" t="n"/>
      <c r="BS2" s="160" t="n"/>
      <c r="BT2" s="160" t="n"/>
      <c r="BU2" s="160" t="n"/>
      <c r="BV2" s="160" t="n"/>
      <c r="BW2" s="160" t="n"/>
      <c r="BX2" s="160" t="n"/>
      <c r="BY2" s="160" t="n"/>
      <c r="BZ2" s="160" t="n"/>
      <c r="CA2" s="160" t="n"/>
      <c r="CB2" s="160" t="n"/>
      <c r="CC2" s="160" t="n"/>
      <c r="CD2" s="160" t="n"/>
      <c r="CE2" s="160" t="n"/>
      <c r="CF2" s="160" t="n"/>
      <c r="CG2" s="160" t="n"/>
      <c r="CH2" s="160" t="n"/>
      <c r="CI2" s="160" t="n"/>
      <c r="CJ2" s="160" t="n"/>
      <c r="CK2" s="160" t="n"/>
      <c r="CL2" s="160" t="n"/>
      <c r="CM2" s="160" t="n"/>
      <c r="CN2" s="160" t="n"/>
      <c r="CO2" s="160" t="n"/>
      <c r="CP2" s="160" t="n"/>
      <c r="CQ2" s="160" t="n"/>
      <c r="CR2" s="160" t="n"/>
      <c r="CS2" s="160" t="n"/>
      <c r="CT2" s="160" t="n"/>
      <c r="CU2" s="160" t="n"/>
      <c r="CV2" s="160" t="n"/>
      <c r="CW2" s="160" t="n"/>
      <c r="CX2" s="160" t="n"/>
      <c r="CY2" s="160" t="n"/>
      <c r="CZ2" s="160" t="n"/>
      <c r="DA2" s="160" t="n"/>
      <c r="DB2" s="160" t="n"/>
      <c r="DC2" s="160" t="n"/>
      <c r="DD2" s="160" t="n"/>
      <c r="DE2" s="160" t="n"/>
      <c r="DF2" s="160" t="n"/>
      <c r="DG2" s="160" t="n"/>
      <c r="DH2" s="160" t="n"/>
      <c r="DI2" s="160" t="n"/>
      <c r="DJ2" s="160" t="n"/>
      <c r="DK2" s="160" t="n"/>
      <c r="DL2" s="160" t="n"/>
      <c r="DM2" s="160" t="n"/>
      <c r="DN2" s="160" t="n"/>
      <c r="DO2" s="160" t="n"/>
      <c r="DP2" s="160" t="n"/>
      <c r="DQ2" s="160" t="n"/>
      <c r="DR2" s="160" t="n"/>
      <c r="DS2" s="160" t="n"/>
      <c r="DT2" s="160" t="n"/>
      <c r="DU2" s="160" t="n"/>
      <c r="DV2" s="160" t="n"/>
      <c r="DW2" s="160" t="n"/>
      <c r="DX2" s="160" t="n"/>
      <c r="DY2" s="160" t="n"/>
      <c r="DZ2" s="160" t="n"/>
      <c r="EA2" s="160" t="n"/>
      <c r="EB2" s="160" t="n"/>
      <c r="EC2" s="124" t="n"/>
      <c r="ED2" s="124" t="n"/>
      <c r="EE2" s="124" t="n"/>
      <c r="EF2" s="124" t="n"/>
      <c r="EG2" s="124" t="n"/>
      <c r="EH2" s="124" t="n"/>
      <c r="EI2" s="124" t="n"/>
      <c r="EJ2" s="124" t="n"/>
      <c r="EK2" s="124" t="n"/>
      <c r="EL2" s="124" t="n"/>
      <c r="EM2" s="124" t="n"/>
      <c r="EN2" s="124" t="n"/>
      <c r="EO2" s="124" t="n"/>
      <c r="EP2" s="124" t="n"/>
      <c r="EQ2" s="124" t="n"/>
      <c r="ER2" s="124" t="n"/>
      <c r="ES2" s="124" t="n"/>
      <c r="ET2" s="124" t="n"/>
      <c r="EU2" s="124" t="n"/>
      <c r="EV2" s="124" t="n"/>
      <c r="EW2" s="124" t="n"/>
      <c r="EX2" s="124" t="n"/>
      <c r="EY2" s="124" t="n"/>
      <c r="EZ2" s="124" t="n"/>
      <c r="FA2" s="124" t="n"/>
      <c r="FB2" s="124" t="n"/>
      <c r="FC2" s="124" t="n"/>
      <c r="FD2" s="124" t="n"/>
      <c r="FE2" s="124" t="n"/>
      <c r="FF2" s="124" t="n"/>
      <c r="FG2" s="124" t="n"/>
      <c r="FH2" s="160" t="n"/>
      <c r="FI2" s="160" t="n"/>
      <c r="FJ2" s="160" t="n"/>
      <c r="FK2" s="160" t="n"/>
    </row>
    <row r="3">
      <c r="A3" s="250" t="n"/>
      <c r="B3" s="250" t="n"/>
      <c r="C3" s="250" t="n"/>
      <c r="D3" s="250" t="n"/>
      <c r="E3" s="250" t="n"/>
      <c r="F3" s="250" t="n"/>
      <c r="G3" s="250" t="n"/>
      <c r="H3" s="250" t="n"/>
      <c r="I3" s="250" t="n"/>
      <c r="J3" s="250" t="n"/>
      <c r="K3" s="250" t="n"/>
      <c r="L3" s="250" t="n"/>
      <c r="M3" s="250" t="n"/>
      <c r="N3" s="250" t="n"/>
      <c r="O3" s="250" t="n"/>
      <c r="P3" s="250" t="n"/>
      <c r="Q3" s="250" t="n"/>
      <c r="R3" s="250" t="n"/>
      <c r="S3" s="250" t="n"/>
      <c r="T3" s="250" t="n"/>
      <c r="U3" s="250" t="n"/>
      <c r="V3" s="250" t="n"/>
      <c r="W3" s="250" t="n"/>
      <c r="X3" s="250" t="n"/>
      <c r="Y3" s="250" t="n"/>
      <c r="Z3" s="250" t="n"/>
      <c r="AA3" s="250" t="n"/>
      <c r="AB3" s="250" t="n"/>
      <c r="AC3" s="250" t="n"/>
      <c r="AD3" s="250" t="n"/>
      <c r="AE3" s="250" t="n"/>
      <c r="AF3" s="250" t="n"/>
      <c r="AG3" s="250" t="n"/>
      <c r="AH3" s="250" t="n"/>
      <c r="AI3" s="250" t="n"/>
      <c r="AJ3" s="250" t="n"/>
      <c r="AK3" s="250" t="n"/>
      <c r="AL3" s="250" t="n"/>
      <c r="AM3" s="250" t="n"/>
      <c r="AN3" s="250" t="n"/>
      <c r="AO3" s="250" t="n"/>
      <c r="AP3" s="250" t="n"/>
      <c r="AQ3" s="250" t="n"/>
      <c r="AR3" s="250" t="n"/>
      <c r="AS3" s="250" t="n"/>
      <c r="AT3" s="250" t="n"/>
      <c r="AU3" s="250" t="n"/>
      <c r="AV3" s="250" t="n"/>
      <c r="AW3" s="250" t="n"/>
      <c r="AX3" s="250" t="n"/>
      <c r="AY3" s="250" t="n"/>
      <c r="AZ3" s="250" t="n"/>
      <c r="BA3" s="250" t="n"/>
      <c r="BB3" s="250" t="n"/>
      <c r="BC3" s="250" t="n"/>
      <c r="BD3" s="250" t="n"/>
      <c r="BE3" s="250" t="n"/>
      <c r="BF3" s="250" t="n"/>
      <c r="BG3" s="250" t="n"/>
      <c r="BH3" s="250" t="n"/>
      <c r="BI3" s="250" t="n"/>
      <c r="BJ3" s="250" t="n"/>
      <c r="BK3" s="250" t="n"/>
      <c r="BL3" s="250" t="n"/>
      <c r="BM3" s="250" t="n"/>
      <c r="BN3" s="250" t="n"/>
      <c r="BO3" s="250" t="n"/>
      <c r="BP3" s="250" t="n"/>
      <c r="BQ3" s="250" t="n"/>
      <c r="BR3" s="250" t="n"/>
      <c r="BS3" s="250" t="n"/>
      <c r="BT3" s="250" t="n"/>
      <c r="BU3" s="250" t="n"/>
      <c r="BV3" s="250" t="n"/>
      <c r="BW3" s="250" t="n"/>
      <c r="BX3" s="250" t="n"/>
      <c r="BY3" s="250" t="n"/>
      <c r="BZ3" s="250" t="n"/>
      <c r="CA3" s="250" t="n"/>
      <c r="CB3" s="250" t="n"/>
      <c r="CC3" s="250" t="n"/>
      <c r="CD3" s="250" t="n"/>
      <c r="CE3" s="250" t="n"/>
      <c r="CF3" s="250" t="n"/>
      <c r="CG3" s="250" t="n"/>
      <c r="CH3" s="250" t="n"/>
      <c r="CI3" s="250" t="n"/>
      <c r="CJ3" s="250" t="n"/>
      <c r="CK3" s="250" t="n"/>
      <c r="CL3" s="250" t="n"/>
      <c r="CM3" s="250" t="n"/>
      <c r="CN3" s="250" t="n"/>
      <c r="CO3" s="250" t="n"/>
      <c r="CP3" s="250" t="n"/>
      <c r="CQ3" s="250" t="n"/>
      <c r="CR3" s="250" t="n"/>
      <c r="CS3" s="250" t="n"/>
      <c r="CT3" s="250" t="n"/>
      <c r="CU3" s="250" t="n"/>
      <c r="CV3" s="250" t="n"/>
      <c r="CW3" s="250" t="n"/>
      <c r="CX3" s="250" t="n"/>
      <c r="CY3" s="250" t="n"/>
      <c r="CZ3" s="250" t="n"/>
      <c r="DA3" s="250" t="n"/>
      <c r="DB3" s="250" t="n"/>
      <c r="DC3" s="250" t="n"/>
      <c r="DD3" s="250" t="n"/>
      <c r="DE3" s="250" t="n"/>
      <c r="DF3" s="250" t="n"/>
      <c r="DG3" s="250" t="n"/>
      <c r="DH3" s="250" t="n"/>
      <c r="DI3" s="250" t="n"/>
      <c r="DJ3" s="250" t="n"/>
      <c r="DK3" s="250" t="n"/>
      <c r="DL3" s="250" t="n"/>
      <c r="DM3" s="250" t="n"/>
      <c r="DN3" s="250" t="n"/>
      <c r="DO3" s="250" t="n"/>
      <c r="DP3" s="250" t="n"/>
      <c r="DQ3" s="250" t="n"/>
      <c r="DR3" s="250" t="n"/>
      <c r="DS3" s="250" t="n"/>
      <c r="DT3" s="250" t="n"/>
      <c r="DU3" s="250" t="n"/>
      <c r="DV3" s="250" t="n"/>
      <c r="DW3" s="250" t="n"/>
      <c r="DX3" s="250" t="n"/>
      <c r="DY3" s="250" t="n"/>
      <c r="DZ3" s="250" t="n"/>
      <c r="EA3" s="160" t="n"/>
      <c r="EB3" s="125" t="n"/>
      <c r="EC3" s="126" t="n"/>
      <c r="ED3" s="126" t="n"/>
      <c r="EE3" s="126" t="n"/>
      <c r="EF3" s="126" t="n"/>
      <c r="EG3" s="126" t="n"/>
      <c r="EH3" s="126" t="n"/>
      <c r="EI3" s="126" t="n"/>
      <c r="EJ3" s="126" t="n"/>
      <c r="EK3" s="126" t="n"/>
      <c r="EL3" s="126" t="n"/>
      <c r="EM3" s="126" t="n"/>
      <c r="EN3" s="126" t="n"/>
      <c r="EO3" s="126" t="n"/>
      <c r="EP3" s="126" t="n"/>
      <c r="EQ3" s="126" t="n"/>
      <c r="ER3" s="126" t="n"/>
      <c r="ES3" s="126" t="n"/>
      <c r="ET3" s="126" t="n"/>
      <c r="EU3" s="126" t="n"/>
      <c r="EV3" s="126" t="n"/>
      <c r="EW3" s="126" t="n"/>
      <c r="EX3" s="126" t="n"/>
      <c r="EY3" s="126" t="n"/>
      <c r="EZ3" s="126" t="n"/>
      <c r="FA3" s="126" t="n"/>
      <c r="FB3" s="126" t="n"/>
      <c r="FC3" s="126" t="n"/>
      <c r="FD3" s="126" t="n"/>
      <c r="FE3" s="126" t="n"/>
      <c r="FF3" s="126" t="n"/>
      <c r="FG3" s="126" t="n"/>
      <c r="FH3" s="125" t="n"/>
      <c r="FI3" s="125" t="n"/>
      <c r="FJ3" s="125" t="n"/>
      <c r="FK3" s="125" t="n"/>
    </row>
    <row r="4">
      <c r="A4" s="250" t="n"/>
      <c r="B4" s="127" t="inlineStr">
        <is>
          <t>ステージコンセプト</t>
        </is>
      </c>
      <c r="C4" s="128" t="n"/>
      <c r="D4" s="129" t="n"/>
      <c r="E4" s="250" t="n"/>
      <c r="F4" s="250" t="n"/>
      <c r="G4" s="250" t="n"/>
      <c r="H4" s="250" t="n"/>
      <c r="I4" s="250" t="n"/>
      <c r="J4" s="250" t="n"/>
      <c r="K4" s="250" t="n"/>
      <c r="L4" s="250" t="n"/>
      <c r="M4" s="250" t="n"/>
      <c r="N4" s="250" t="n"/>
      <c r="O4" s="250" t="n"/>
      <c r="P4" s="250" t="n"/>
      <c r="Q4" s="250" t="n"/>
      <c r="R4" s="250" t="n"/>
      <c r="S4" s="506" t="inlineStr">
        <is>
          <t>ステージ情報詳細</t>
        </is>
      </c>
      <c r="T4" s="484" t="n"/>
      <c r="U4" s="485" t="n"/>
      <c r="V4" s="334" t="n"/>
      <c r="W4" s="334" t="n"/>
      <c r="X4" s="334" t="n"/>
      <c r="Y4" s="334" t="n"/>
      <c r="Z4" s="334" t="n"/>
      <c r="AA4" s="334" t="n"/>
      <c r="AB4" s="334" t="n"/>
      <c r="AC4" s="334" t="n"/>
      <c r="AD4" s="334" t="n"/>
      <c r="AE4" s="334" t="n"/>
      <c r="AF4" s="334" t="n"/>
      <c r="AG4" s="334" t="n"/>
      <c r="AH4" s="334" t="n"/>
      <c r="AI4" s="250" t="n"/>
      <c r="AJ4" s="250" t="n"/>
      <c r="AK4" s="250" t="inlineStr">
        <is>
          <t>作成用メモ</t>
        </is>
      </c>
      <c r="AL4" s="250" t="n"/>
      <c r="AM4" s="250" t="n"/>
      <c r="AN4" s="250" t="n"/>
      <c r="AO4" s="250" t="n"/>
      <c r="AP4" s="250" t="n"/>
      <c r="AQ4" s="250" t="n"/>
      <c r="AR4" s="250" t="n"/>
      <c r="AS4" s="250" t="n"/>
      <c r="AT4" s="250" t="n"/>
      <c r="AU4" s="250" t="n"/>
      <c r="AV4" s="250" t="n"/>
      <c r="AW4" s="250" t="n"/>
      <c r="AX4" s="250" t="n"/>
      <c r="AY4" s="250" t="n"/>
      <c r="AZ4" s="250" t="n"/>
      <c r="BA4" s="250" t="n"/>
      <c r="BB4" s="250" t="n"/>
      <c r="BC4" s="250" t="n"/>
      <c r="BD4" s="250" t="n"/>
      <c r="BE4" s="250" t="n"/>
      <c r="BF4" s="250" t="n"/>
      <c r="BG4" s="250" t="n"/>
      <c r="BH4" s="250" t="n"/>
      <c r="BI4" s="250" t="n"/>
      <c r="BJ4" s="250" t="n"/>
      <c r="BK4" s="250" t="n"/>
      <c r="BL4" s="250" t="n"/>
      <c r="BM4" s="250" t="n"/>
      <c r="BN4" s="250" t="n"/>
      <c r="BO4" s="250" t="n"/>
      <c r="BP4" s="250" t="n"/>
      <c r="BQ4" s="250" t="n"/>
      <c r="BR4" s="250" t="n"/>
      <c r="BS4" s="250" t="n"/>
      <c r="BT4" s="250" t="n"/>
      <c r="BU4" s="250" t="n"/>
      <c r="BV4" s="250" t="n"/>
      <c r="BW4" s="250" t="n"/>
      <c r="BX4" s="250" t="n"/>
      <c r="BY4" s="250" t="n"/>
      <c r="BZ4" s="250" t="n"/>
      <c r="CA4" s="250" t="n"/>
      <c r="CB4" s="250" t="n"/>
      <c r="CC4" s="250" t="n"/>
      <c r="CD4" s="250" t="n"/>
      <c r="CE4" s="250" t="n"/>
      <c r="CF4" s="250" t="n"/>
      <c r="CG4" s="250" t="n"/>
      <c r="CH4" s="250" t="n"/>
      <c r="CI4" s="250" t="n"/>
      <c r="CJ4" s="250" t="n"/>
      <c r="CK4" s="250" t="n"/>
      <c r="CL4" s="250" t="n"/>
      <c r="CM4" s="250" t="n"/>
      <c r="CN4" s="250" t="n"/>
      <c r="CO4" s="250" t="n"/>
      <c r="CP4" s="250" t="n"/>
      <c r="CQ4" s="250" t="n"/>
      <c r="CR4" s="250" t="n"/>
      <c r="CS4" s="250" t="n"/>
      <c r="CT4" s="250" t="n"/>
      <c r="CU4" s="250" t="n"/>
      <c r="CV4" s="250" t="n"/>
      <c r="CW4" s="250" t="n"/>
      <c r="CX4" s="250" t="n"/>
      <c r="CY4" s="250" t="n"/>
      <c r="CZ4" s="250" t="n"/>
      <c r="DA4" s="250" t="n"/>
      <c r="DB4" s="250" t="n"/>
      <c r="DC4" s="250" t="n"/>
      <c r="DD4" s="250" t="n"/>
      <c r="DE4" s="250" t="n"/>
      <c r="DF4" s="250" t="n"/>
      <c r="DG4" s="250" t="n"/>
      <c r="DH4" s="250" t="n"/>
      <c r="DI4" s="250" t="n"/>
      <c r="DJ4" s="250" t="n"/>
      <c r="DK4" s="250" t="n"/>
      <c r="DL4" s="250" t="n"/>
      <c r="DM4" s="250" t="n"/>
      <c r="DN4" s="250" t="n"/>
      <c r="DO4" s="250" t="n"/>
      <c r="DP4" s="250" t="n"/>
      <c r="DQ4" s="250" t="n"/>
      <c r="DR4" s="250" t="n"/>
      <c r="DS4" s="250" t="n"/>
      <c r="DT4" s="250" t="n"/>
      <c r="DU4" s="250" t="n"/>
      <c r="DV4" s="250" t="n"/>
      <c r="DW4" s="250" t="n"/>
      <c r="DX4" s="250" t="n"/>
      <c r="DY4" s="250" t="n"/>
      <c r="DZ4" s="250" t="n"/>
      <c r="EA4" s="160" t="n"/>
      <c r="EB4" s="125" t="n"/>
      <c r="EC4" s="126" t="n"/>
      <c r="ED4" s="126" t="n"/>
      <c r="EE4" s="126" t="n"/>
      <c r="EF4" s="126" t="n"/>
      <c r="EG4" s="126" t="n"/>
      <c r="EH4" s="126" t="n"/>
      <c r="EI4" s="126" t="n"/>
      <c r="EJ4" s="126" t="n"/>
      <c r="EK4" s="126" t="n"/>
      <c r="EL4" s="126" t="n"/>
      <c r="EM4" s="126" t="n"/>
      <c r="EN4" s="126" t="n"/>
      <c r="EO4" s="126" t="n"/>
      <c r="EP4" s="126" t="n"/>
      <c r="EQ4" s="126" t="n"/>
      <c r="ER4" s="126" t="n"/>
      <c r="ES4" s="126" t="n"/>
      <c r="ET4" s="126" t="n"/>
      <c r="EU4" s="126" t="n"/>
      <c r="EV4" s="126" t="n"/>
      <c r="EW4" s="126" t="n"/>
      <c r="EX4" s="126" t="n"/>
      <c r="EY4" s="126" t="n"/>
      <c r="EZ4" s="126" t="n"/>
      <c r="FA4" s="126" t="n"/>
      <c r="FB4" s="126" t="n"/>
      <c r="FC4" s="126" t="n"/>
      <c r="FD4" s="126" t="n"/>
      <c r="FE4" s="126" t="n"/>
      <c r="FF4" s="126" t="n"/>
      <c r="FG4" s="126" t="n"/>
      <c r="FH4" s="125" t="n"/>
      <c r="FI4" s="125" t="n"/>
      <c r="FJ4" s="125" t="n"/>
      <c r="FK4" s="125" t="n"/>
    </row>
    <row r="5">
      <c r="A5" s="250" t="n"/>
      <c r="B5" s="507" t="inlineStr">
        <is>
          <t>地獄楽は黄色キャラが未登場のため青の敵は出ない。
敵の同時出現数は少なめ。高HPの強敵と殴り合いリレー。
UR弔兵衛の弱体化を受けて下がられるとデバフが薄まるので、全エネミーHP低下でノックバックしない。</t>
        </is>
      </c>
      <c r="C5" s="487" t="n"/>
      <c r="D5" s="487" t="n"/>
      <c r="E5" s="487" t="n"/>
      <c r="F5" s="487" t="n"/>
      <c r="G5" s="487" t="n"/>
      <c r="H5" s="487" t="n"/>
      <c r="I5" s="487" t="n"/>
      <c r="J5" s="487" t="n"/>
      <c r="K5" s="487" t="n"/>
      <c r="L5" s="487" t="n"/>
      <c r="M5" s="487" t="n"/>
      <c r="N5" s="487" t="n"/>
      <c r="O5" s="487" t="n"/>
      <c r="P5" s="487" t="n"/>
      <c r="Q5" s="488" t="n"/>
      <c r="R5" s="250" t="n"/>
      <c r="S5" s="508" t="inlineStr">
        <is>
          <t>このステージは、3段で構成されているぞ!
【ギミック情報】
体力と攻撃の高い強敵が多く登場するぞ!
高ダメージを与えられるキャラを編成しよう!
敵を多く倒して、スコアを稼ごう!</t>
        </is>
      </c>
      <c r="T5" s="487" t="n"/>
      <c r="U5" s="487" t="n"/>
      <c r="V5" s="487" t="n"/>
      <c r="W5" s="487" t="n"/>
      <c r="X5" s="487" t="n"/>
      <c r="Y5" s="487" t="n"/>
      <c r="Z5" s="487" t="n"/>
      <c r="AA5" s="487" t="n"/>
      <c r="AB5" s="487" t="n"/>
      <c r="AC5" s="487" t="n"/>
      <c r="AD5" s="487" t="n"/>
      <c r="AE5" s="487" t="n"/>
      <c r="AF5" s="487" t="n"/>
      <c r="AG5" s="487" t="n"/>
      <c r="AH5" s="488" t="n"/>
      <c r="AI5" s="250" t="n"/>
      <c r="AJ5" s="250" t="n"/>
      <c r="AK5" s="250" t="n"/>
      <c r="AL5" s="250" t="n"/>
      <c r="AM5" s="250" t="n"/>
      <c r="AN5" s="250" t="inlineStr">
        <is>
          <t>本ID</t>
        </is>
      </c>
      <c r="AO5" s="250" t="inlineStr">
        <is>
          <t>元ID</t>
        </is>
      </c>
      <c r="AP5" s="250" t="n"/>
      <c r="AQ5" s="250" t="n"/>
      <c r="AR5" s="250" t="n"/>
      <c r="AS5" s="250" t="n"/>
      <c r="AT5" s="250" t="n"/>
      <c r="AU5" s="250" t="n"/>
      <c r="AV5" s="250" t="n"/>
      <c r="AW5" s="250" t="n"/>
      <c r="AX5" s="250" t="n"/>
      <c r="AY5" s="250" t="n"/>
      <c r="AZ5" s="250" t="n"/>
      <c r="BA5" s="250" t="n"/>
      <c r="BB5" s="250" t="n"/>
      <c r="BC5" s="250" t="n"/>
      <c r="BD5" s="250" t="n"/>
      <c r="BE5" s="250" t="n"/>
      <c r="BF5" s="250" t="n"/>
      <c r="BG5" s="250" t="n"/>
      <c r="BH5" s="250" t="n"/>
      <c r="BI5" s="250" t="n"/>
      <c r="BJ5" s="250" t="n"/>
      <c r="BK5" s="250" t="n"/>
      <c r="BL5" s="250" t="n"/>
      <c r="BM5" s="250" t="n"/>
      <c r="BN5" s="250" t="n"/>
      <c r="BO5" s="250" t="n"/>
      <c r="BP5" s="250" t="n"/>
      <c r="BQ5" s="250" t="n"/>
      <c r="BR5" s="250" t="n"/>
      <c r="BS5" s="250" t="n"/>
      <c r="BT5" s="250" t="n"/>
      <c r="BU5" s="250" t="n"/>
      <c r="BV5" s="250" t="n"/>
      <c r="BW5" s="250" t="n"/>
      <c r="BX5" s="250" t="n"/>
      <c r="BY5" s="250" t="n"/>
      <c r="BZ5" s="250" t="n"/>
      <c r="CA5" s="250" t="n"/>
      <c r="CB5" s="250" t="n"/>
      <c r="CC5" s="250" t="n"/>
      <c r="CD5" s="250" t="n"/>
      <c r="CE5" s="250" t="n"/>
      <c r="CF5" s="250" t="n"/>
      <c r="CG5" s="250" t="n"/>
      <c r="CH5" s="250" t="n"/>
      <c r="CI5" s="250" t="n"/>
      <c r="CJ5" s="250" t="n"/>
      <c r="CK5" s="250" t="n"/>
      <c r="CL5" s="250" t="n"/>
      <c r="CM5" s="250" t="n"/>
      <c r="CN5" s="250" t="n"/>
      <c r="CO5" s="250" t="n"/>
      <c r="CP5" s="250" t="n"/>
      <c r="CQ5" s="250" t="n"/>
      <c r="CR5" s="250" t="n"/>
      <c r="CS5" s="250" t="n"/>
      <c r="CT5" s="250" t="n"/>
      <c r="CU5" s="250" t="n"/>
      <c r="CV5" s="250" t="n"/>
      <c r="CW5" s="250" t="n"/>
      <c r="CX5" s="250" t="n"/>
      <c r="CY5" s="250" t="n"/>
      <c r="CZ5" s="250" t="n"/>
      <c r="DA5" s="250" t="n"/>
      <c r="DB5" s="250" t="n"/>
      <c r="DC5" s="250" t="n"/>
      <c r="DD5" s="250" t="n"/>
      <c r="DE5" s="250" t="n"/>
      <c r="DF5" s="250" t="n"/>
      <c r="DG5" s="250" t="n"/>
      <c r="DH5" s="250" t="n"/>
      <c r="DI5" s="250" t="n"/>
      <c r="DJ5" s="250" t="n"/>
      <c r="DK5" s="250" t="n"/>
      <c r="DL5" s="250" t="n"/>
      <c r="DM5" s="250" t="n"/>
      <c r="DN5" s="250" t="n"/>
      <c r="DO5" s="250" t="n"/>
      <c r="DP5" s="250" t="n"/>
      <c r="DQ5" s="250" t="n"/>
      <c r="DR5" s="250" t="n"/>
      <c r="DS5" s="250" t="n"/>
      <c r="DT5" s="250" t="n"/>
      <c r="DU5" s="250" t="n"/>
      <c r="DV5" s="250" t="n"/>
      <c r="DW5" s="250" t="n"/>
      <c r="DX5" s="250" t="n"/>
      <c r="DY5" s="250" t="n"/>
      <c r="DZ5" s="250" t="n"/>
      <c r="EA5" s="160" t="n"/>
      <c r="EB5" s="125" t="n"/>
      <c r="EC5" s="126" t="n"/>
      <c r="ED5" s="126" t="n"/>
      <c r="EE5" s="126" t="n"/>
      <c r="EF5" s="126" t="n"/>
      <c r="EG5" s="126" t="n"/>
      <c r="EH5" s="126" t="n"/>
      <c r="EI5" s="126" t="n"/>
      <c r="EJ5" s="126" t="n"/>
      <c r="EK5" s="126" t="n"/>
      <c r="EL5" s="126" t="n"/>
      <c r="EM5" s="126" t="n"/>
      <c r="EN5" s="126" t="n"/>
      <c r="EO5" s="126" t="n"/>
      <c r="EP5" s="126" t="n"/>
      <c r="EQ5" s="126" t="n"/>
      <c r="ER5" s="126" t="n"/>
      <c r="ES5" s="126" t="n"/>
      <c r="ET5" s="126" t="n"/>
      <c r="EU5" s="126" t="n"/>
      <c r="EV5" s="126" t="n"/>
      <c r="EW5" s="126" t="n"/>
      <c r="EX5" s="126" t="n"/>
      <c r="EY5" s="126" t="n"/>
      <c r="EZ5" s="126" t="n"/>
      <c r="FA5" s="126" t="n"/>
      <c r="FB5" s="126" t="n"/>
      <c r="FC5" s="126" t="n"/>
      <c r="FD5" s="126" t="n"/>
      <c r="FE5" s="126" t="n"/>
      <c r="FF5" s="126" t="n"/>
      <c r="FG5" s="126" t="n"/>
      <c r="FH5" s="125" t="n"/>
      <c r="FI5" s="125" t="n"/>
      <c r="FJ5" s="125" t="n"/>
      <c r="FK5" s="125" t="n"/>
    </row>
    <row r="6">
      <c r="A6" s="250" t="n"/>
      <c r="B6" s="509" t="n"/>
      <c r="Q6" s="510" t="n"/>
      <c r="R6" s="250" t="n"/>
      <c r="S6" s="509" t="n"/>
      <c r="AH6" s="510" t="n"/>
      <c r="AI6" s="250" t="n"/>
      <c r="AJ6" s="250" t="n"/>
      <c r="AK6" s="250" t="n"/>
      <c r="AL6" s="250" t="inlineStr">
        <is>
          <t>ヂュジン　黄</t>
        </is>
      </c>
      <c r="AM6" s="250" t="n"/>
      <c r="AN6" s="136" t="inlineStr">
        <is>
          <t>e_jig_00601_jig1_advent_Boss_Yellow</t>
        </is>
      </c>
      <c r="AO6" s="136" t="inlineStr">
        <is>
          <t>e_mag_00001_mag1_advent_Boss_Green</t>
        </is>
      </c>
      <c r="AP6" s="250" t="inlineStr">
        <is>
          <t>冷却</t>
        </is>
      </c>
      <c r="AQ6" s="250" t="n"/>
      <c r="AR6" s="250" t="n"/>
      <c r="AS6" s="250" t="n"/>
      <c r="AT6" s="250" t="n"/>
      <c r="AU6" s="250" t="n"/>
      <c r="AV6" s="250" t="n"/>
      <c r="AW6" s="250" t="n"/>
      <c r="AX6" s="250" t="n"/>
      <c r="AY6" s="250" t="n"/>
      <c r="AZ6" s="250" t="n"/>
      <c r="BA6" s="250" t="n"/>
      <c r="BB6" s="250" t="n"/>
      <c r="BC6" s="250" t="n"/>
      <c r="BD6" s="250" t="n"/>
      <c r="BE6" s="250" t="n"/>
      <c r="BF6" s="250" t="n"/>
      <c r="BG6" s="250" t="n"/>
      <c r="BH6" s="250" t="n"/>
      <c r="BI6" s="250" t="n"/>
      <c r="BJ6" s="250" t="n"/>
      <c r="BK6" s="250" t="n"/>
      <c r="BL6" s="250" t="n"/>
      <c r="BM6" s="250" t="n"/>
      <c r="BN6" s="250" t="n"/>
      <c r="BO6" s="250" t="n"/>
      <c r="BP6" s="250" t="n"/>
      <c r="BQ6" s="250" t="n"/>
      <c r="BR6" s="250" t="n"/>
      <c r="BS6" s="250" t="n"/>
      <c r="BT6" s="250" t="n"/>
      <c r="BU6" s="250" t="n"/>
      <c r="BV6" s="250" t="n"/>
      <c r="BW6" s="250" t="n"/>
      <c r="BX6" s="250" t="n"/>
      <c r="BY6" s="250" t="n"/>
      <c r="BZ6" s="250" t="n"/>
      <c r="CA6" s="250" t="n"/>
      <c r="CB6" s="250" t="n"/>
      <c r="CC6" s="250" t="n"/>
      <c r="CD6" s="250" t="n"/>
      <c r="CE6" s="250" t="n"/>
      <c r="CF6" s="250" t="n"/>
      <c r="CG6" s="250" t="n"/>
      <c r="CH6" s="250" t="n"/>
      <c r="CI6" s="250" t="n"/>
      <c r="CJ6" s="250" t="n"/>
      <c r="CK6" s="250" t="n"/>
      <c r="CL6" s="250" t="n"/>
      <c r="CM6" s="250" t="n"/>
      <c r="CN6" s="250" t="n"/>
      <c r="CO6" s="250" t="n"/>
      <c r="CP6" s="250" t="n"/>
      <c r="CQ6" s="250" t="n"/>
      <c r="CR6" s="250" t="n"/>
      <c r="CS6" s="250" t="n"/>
      <c r="CT6" s="250" t="n"/>
      <c r="CU6" s="250" t="n"/>
      <c r="CV6" s="250" t="n"/>
      <c r="CW6" s="250" t="n"/>
      <c r="CX6" s="250" t="n"/>
      <c r="CY6" s="250" t="n"/>
      <c r="CZ6" s="250" t="n"/>
      <c r="DA6" s="250" t="n"/>
      <c r="DB6" s="250" t="n"/>
      <c r="DC6" s="250" t="n"/>
      <c r="DD6" s="250" t="n"/>
      <c r="DE6" s="250" t="n"/>
      <c r="DF6" s="250" t="n"/>
      <c r="DG6" s="250" t="n"/>
      <c r="DH6" s="250" t="n"/>
      <c r="DI6" s="250" t="n"/>
      <c r="DJ6" s="250" t="n"/>
      <c r="DK6" s="250" t="n"/>
      <c r="DL6" s="250" t="n"/>
      <c r="DM6" s="250" t="n"/>
      <c r="DN6" s="250" t="n"/>
      <c r="DO6" s="250" t="n"/>
      <c r="DP6" s="250" t="n"/>
      <c r="DQ6" s="250" t="n"/>
      <c r="DR6" s="250" t="n"/>
      <c r="DS6" s="250" t="n"/>
      <c r="DT6" s="250" t="n"/>
      <c r="DU6" s="250" t="n"/>
      <c r="DV6" s="250" t="n"/>
      <c r="DW6" s="250" t="n"/>
      <c r="DX6" s="250" t="n"/>
      <c r="DY6" s="250" t="n"/>
      <c r="DZ6" s="250" t="n"/>
      <c r="EA6" s="160" t="n"/>
      <c r="EB6" s="125" t="n"/>
      <c r="EC6" s="126" t="n"/>
      <c r="ED6" s="126" t="n"/>
      <c r="EE6" s="126" t="n"/>
      <c r="EF6" s="126" t="n"/>
      <c r="EG6" s="126" t="n"/>
      <c r="EH6" s="126" t="n"/>
      <c r="EI6" s="126" t="n"/>
      <c r="EJ6" s="126" t="n"/>
      <c r="EK6" s="126" t="n"/>
      <c r="EL6" s="126" t="n"/>
      <c r="EM6" s="126" t="n"/>
      <c r="EN6" s="126" t="n"/>
      <c r="EO6" s="126" t="n"/>
      <c r="EP6" s="126" t="n"/>
      <c r="EQ6" s="126" t="n"/>
      <c r="ER6" s="126" t="n"/>
      <c r="ES6" s="126" t="n"/>
      <c r="ET6" s="126" t="n"/>
      <c r="EU6" s="126" t="n"/>
      <c r="EV6" s="126" t="n"/>
      <c r="EW6" s="126" t="n"/>
      <c r="EX6" s="126" t="n"/>
      <c r="EY6" s="126" t="n"/>
      <c r="EZ6" s="126" t="n"/>
      <c r="FA6" s="126" t="n"/>
      <c r="FB6" s="126" t="n"/>
      <c r="FC6" s="126" t="n"/>
      <c r="FD6" s="126" t="n"/>
      <c r="FE6" s="126" t="n"/>
      <c r="FF6" s="126" t="n"/>
      <c r="FG6" s="126" t="n"/>
      <c r="FH6" s="125" t="n"/>
      <c r="FI6" s="125" t="n"/>
      <c r="FJ6" s="125" t="n"/>
      <c r="FK6" s="125" t="n"/>
    </row>
    <row r="7">
      <c r="A7" s="250" t="n"/>
      <c r="B7" s="511" t="n"/>
      <c r="C7" s="512" t="n"/>
      <c r="D7" s="512" t="n"/>
      <c r="E7" s="512" t="n"/>
      <c r="F7" s="512" t="n"/>
      <c r="G7" s="512" t="n"/>
      <c r="H7" s="512" t="n"/>
      <c r="I7" s="512" t="n"/>
      <c r="J7" s="512" t="n"/>
      <c r="K7" s="512" t="n"/>
      <c r="L7" s="512" t="n"/>
      <c r="M7" s="512" t="n"/>
      <c r="N7" s="512" t="n"/>
      <c r="O7" s="512" t="n"/>
      <c r="P7" s="512" t="n"/>
      <c r="Q7" s="497" t="n"/>
      <c r="R7" s="250" t="n"/>
      <c r="S7" s="511" t="n"/>
      <c r="T7" s="512" t="n"/>
      <c r="U7" s="512" t="n"/>
      <c r="V7" s="512" t="n"/>
      <c r="W7" s="512" t="n"/>
      <c r="X7" s="512" t="n"/>
      <c r="Y7" s="512" t="n"/>
      <c r="Z7" s="512" t="n"/>
      <c r="AA7" s="512" t="n"/>
      <c r="AB7" s="512" t="n"/>
      <c r="AC7" s="512" t="n"/>
      <c r="AD7" s="512" t="n"/>
      <c r="AE7" s="512" t="n"/>
      <c r="AF7" s="512" t="n"/>
      <c r="AG7" s="512" t="n"/>
      <c r="AH7" s="497" t="n"/>
      <c r="AI7" s="250" t="n"/>
      <c r="AJ7" s="250" t="n"/>
      <c r="AK7" s="250" t="n"/>
      <c r="AL7" s="250" t="inlineStr">
        <is>
          <t>極楽蝶　無</t>
        </is>
      </c>
      <c r="AM7" s="250" t="n"/>
      <c r="AN7" s="136" t="inlineStr">
        <is>
          <t>e_jig_00401_jig1_advent_Normal_Colorless</t>
        </is>
      </c>
      <c r="AO7" s="136" t="inlineStr">
        <is>
          <t>e_mag_00101_mag1_advent_Normal_Colorless</t>
        </is>
      </c>
      <c r="AP7" s="250" t="inlineStr">
        <is>
          <t>つらら</t>
        </is>
      </c>
      <c r="AQ7" s="250" t="n"/>
      <c r="AR7" s="250" t="n"/>
      <c r="AS7" s="250" t="n"/>
      <c r="AT7" s="250" t="n"/>
      <c r="AU7" s="250" t="n"/>
      <c r="AV7" s="250" t="n"/>
      <c r="AW7" s="250" t="n"/>
      <c r="AX7" s="250" t="n"/>
      <c r="AY7" s="250" t="n"/>
      <c r="AZ7" s="250" t="n"/>
      <c r="BA7" s="250" t="n"/>
      <c r="BB7" s="250" t="n"/>
      <c r="BC7" s="250" t="n"/>
      <c r="BD7" s="250" t="n"/>
      <c r="BE7" s="250" t="n"/>
      <c r="BF7" s="250" t="n"/>
      <c r="BG7" s="250" t="n"/>
      <c r="BH7" s="250" t="n"/>
      <c r="BI7" s="250" t="n"/>
      <c r="BJ7" s="250" t="n"/>
      <c r="BK7" s="250" t="n"/>
      <c r="BL7" s="250" t="n"/>
      <c r="BM7" s="250" t="n"/>
      <c r="BN7" s="250" t="n"/>
      <c r="BO7" s="250" t="n"/>
      <c r="BP7" s="250" t="n"/>
      <c r="BQ7" s="250" t="n"/>
      <c r="BR7" s="250" t="n"/>
      <c r="BS7" s="250" t="n"/>
      <c r="BT7" s="250" t="n"/>
      <c r="BU7" s="250" t="n"/>
      <c r="BV7" s="250" t="n"/>
      <c r="BW7" s="250" t="n"/>
      <c r="BX7" s="250" t="n"/>
      <c r="BY7" s="250" t="n"/>
      <c r="BZ7" s="250" t="n"/>
      <c r="CA7" s="250" t="n"/>
      <c r="CB7" s="250" t="n"/>
      <c r="CC7" s="250" t="n"/>
      <c r="CD7" s="250" t="n"/>
      <c r="CE7" s="250" t="n"/>
      <c r="CF7" s="250" t="n"/>
      <c r="CG7" s="250" t="n"/>
      <c r="CH7" s="250" t="n"/>
      <c r="CI7" s="250" t="n"/>
      <c r="CJ7" s="250" t="n"/>
      <c r="CK7" s="250" t="n"/>
      <c r="CL7" s="250" t="n"/>
      <c r="CM7" s="250" t="n"/>
      <c r="CN7" s="250" t="n"/>
      <c r="CO7" s="250" t="n"/>
      <c r="CP7" s="250" t="n"/>
      <c r="CQ7" s="250" t="n"/>
      <c r="CR7" s="250" t="n"/>
      <c r="CS7" s="250" t="n"/>
      <c r="CT7" s="250" t="n"/>
      <c r="CU7" s="250" t="n"/>
      <c r="CV7" s="250" t="n"/>
      <c r="CW7" s="250" t="n"/>
      <c r="CX7" s="250" t="n"/>
      <c r="CY7" s="250" t="n"/>
      <c r="CZ7" s="250" t="n"/>
      <c r="DA7" s="250" t="n"/>
      <c r="DB7" s="250" t="n"/>
      <c r="DC7" s="250" t="n"/>
      <c r="DD7" s="250" t="n"/>
      <c r="DE7" s="250" t="n"/>
      <c r="DF7" s="250" t="n"/>
      <c r="DG7" s="250" t="n"/>
      <c r="DH7" s="250" t="n"/>
      <c r="DI7" s="250" t="n"/>
      <c r="DJ7" s="250" t="n"/>
      <c r="DK7" s="250" t="n"/>
      <c r="DL7" s="250" t="n"/>
      <c r="DM7" s="250" t="n"/>
      <c r="DN7" s="250" t="n"/>
      <c r="DO7" s="250" t="n"/>
      <c r="DP7" s="250" t="n"/>
      <c r="DQ7" s="250" t="n"/>
      <c r="DR7" s="250" t="n"/>
      <c r="DS7" s="250" t="n"/>
      <c r="DT7" s="250" t="n"/>
      <c r="DU7" s="250" t="n"/>
      <c r="DV7" s="250" t="n"/>
      <c r="DW7" s="250" t="n"/>
      <c r="DX7" s="250" t="n"/>
      <c r="DY7" s="250" t="n"/>
      <c r="DZ7" s="250" t="n"/>
      <c r="EA7" s="160" t="n"/>
      <c r="EB7" s="125" t="n"/>
      <c r="EC7" s="126" t="n"/>
      <c r="ED7" s="126" t="n"/>
      <c r="EE7" s="126" t="n"/>
      <c r="EF7" s="126" t="n"/>
      <c r="EG7" s="126" t="n"/>
      <c r="EH7" s="126" t="n"/>
      <c r="EI7" s="126" t="n"/>
      <c r="EJ7" s="126" t="n"/>
      <c r="EK7" s="126" t="n"/>
      <c r="EL7" s="126" t="n"/>
      <c r="EM7" s="126" t="n"/>
      <c r="EN7" s="126" t="n"/>
      <c r="EO7" s="126" t="n"/>
      <c r="EP7" s="126" t="n"/>
      <c r="EQ7" s="126" t="n"/>
      <c r="ER7" s="126" t="n"/>
      <c r="ES7" s="126" t="n"/>
      <c r="ET7" s="126" t="n"/>
      <c r="EU7" s="126" t="n"/>
      <c r="EV7" s="126" t="n"/>
      <c r="EW7" s="126" t="n"/>
      <c r="EX7" s="126" t="n"/>
      <c r="EY7" s="126" t="n"/>
      <c r="EZ7" s="126" t="n"/>
      <c r="FA7" s="126" t="n"/>
      <c r="FB7" s="126" t="n"/>
      <c r="FC7" s="126" t="n"/>
      <c r="FD7" s="126" t="n"/>
      <c r="FE7" s="126" t="n"/>
      <c r="FF7" s="126" t="n"/>
      <c r="FG7" s="126" t="n"/>
      <c r="FH7" s="125" t="n"/>
      <c r="FI7" s="125" t="n"/>
      <c r="FJ7" s="125" t="n"/>
      <c r="FK7" s="125" t="n"/>
    </row>
    <row r="8">
      <c r="A8" s="250" t="n"/>
      <c r="B8" s="250" t="n"/>
      <c r="C8" s="250" t="n"/>
      <c r="D8" s="250" t="n"/>
      <c r="E8" s="250" t="n"/>
      <c r="F8" s="250" t="n"/>
      <c r="G8" s="250" t="n"/>
      <c r="H8" s="250" t="n"/>
      <c r="I8" s="250" t="n"/>
      <c r="J8" s="250" t="n"/>
      <c r="K8" s="250" t="n"/>
      <c r="L8" s="250" t="n"/>
      <c r="M8" s="250" t="n"/>
      <c r="N8" s="250" t="n"/>
      <c r="O8" s="250" t="n"/>
      <c r="P8" s="250" t="n"/>
      <c r="Q8" s="250" t="n"/>
      <c r="R8" s="250" t="n"/>
      <c r="S8" s="250" t="n"/>
      <c r="T8" s="250" t="n"/>
      <c r="U8" s="250" t="n"/>
      <c r="V8" s="250" t="n"/>
      <c r="W8" s="250" t="n"/>
      <c r="X8" s="250" t="n"/>
      <c r="Y8" s="250" t="n"/>
      <c r="Z8" s="250" t="n"/>
      <c r="AA8" s="250" t="n"/>
      <c r="AB8" s="250" t="n"/>
      <c r="AC8" s="250" t="n"/>
      <c r="AD8" s="250" t="n"/>
      <c r="AE8" s="250" t="n"/>
      <c r="AF8" s="250" t="n"/>
      <c r="AG8" s="250" t="n"/>
      <c r="AH8" s="250" t="n"/>
      <c r="AI8" s="250" t="n"/>
      <c r="AJ8" s="250" t="n"/>
      <c r="AK8" s="250" t="n"/>
      <c r="AL8" s="250" t="inlineStr">
        <is>
          <t>極楽蝶　赤</t>
        </is>
      </c>
      <c r="AM8" s="250" t="n"/>
      <c r="AN8" s="136" t="inlineStr">
        <is>
          <t>e_jig_00401_jig1_advent_Normal_Red</t>
        </is>
      </c>
      <c r="AO8" s="136" t="inlineStr">
        <is>
          <t>e_mag_00101_mag1_advent_Normal_Red</t>
        </is>
      </c>
      <c r="AP8" s="250" t="inlineStr">
        <is>
          <t>つらら</t>
        </is>
      </c>
      <c r="AQ8" s="250" t="n"/>
      <c r="AR8" s="250" t="n"/>
      <c r="AS8" s="250" t="n"/>
      <c r="AT8" s="250" t="n"/>
      <c r="AU8" s="250" t="n"/>
      <c r="AV8" s="250" t="n"/>
      <c r="AW8" s="250" t="n"/>
      <c r="AX8" s="250" t="n"/>
      <c r="AY8" s="250" t="n"/>
      <c r="AZ8" s="250" t="n"/>
      <c r="BA8" s="250" t="n"/>
      <c r="BB8" s="250" t="n"/>
      <c r="BC8" s="250" t="n"/>
      <c r="BD8" s="250" t="n"/>
      <c r="BE8" s="250" t="n"/>
      <c r="BF8" s="250" t="n"/>
      <c r="BG8" s="250" t="n"/>
      <c r="BH8" s="250" t="n"/>
      <c r="BI8" s="250" t="n"/>
      <c r="BJ8" s="250" t="n"/>
      <c r="BK8" s="250" t="n"/>
      <c r="BL8" s="250" t="n"/>
      <c r="BM8" s="250" t="n"/>
      <c r="BN8" s="250" t="n"/>
      <c r="BO8" s="250" t="n"/>
      <c r="BP8" s="250" t="n"/>
      <c r="BQ8" s="250" t="n"/>
      <c r="BR8" s="250" t="n"/>
      <c r="BS8" s="250" t="n"/>
      <c r="BT8" s="250" t="n"/>
      <c r="BU8" s="250" t="n"/>
      <c r="BV8" s="250" t="n"/>
      <c r="BW8" s="250" t="n"/>
      <c r="BX8" s="250" t="n"/>
      <c r="BY8" s="250" t="n"/>
      <c r="BZ8" s="250" t="n"/>
      <c r="CA8" s="250" t="n"/>
      <c r="CB8" s="250" t="n"/>
      <c r="CC8" s="250" t="n"/>
      <c r="CD8" s="250" t="n"/>
      <c r="CE8" s="250" t="n"/>
      <c r="CF8" s="250" t="n"/>
      <c r="CG8" s="250" t="n"/>
      <c r="CH8" s="250" t="n"/>
      <c r="CI8" s="250" t="n"/>
      <c r="CJ8" s="250" t="n"/>
      <c r="CK8" s="250" t="n"/>
      <c r="CL8" s="250" t="n"/>
      <c r="CM8" s="250" t="n"/>
      <c r="CN8" s="250" t="n"/>
      <c r="CO8" s="250" t="n"/>
      <c r="CP8" s="250" t="n"/>
      <c r="CQ8" s="250" t="n"/>
      <c r="CR8" s="250" t="n"/>
      <c r="CS8" s="250" t="n"/>
      <c r="CT8" s="250" t="n"/>
      <c r="CU8" s="250" t="n"/>
      <c r="CV8" s="250" t="n"/>
      <c r="CW8" s="250" t="n"/>
      <c r="CX8" s="250" t="n"/>
      <c r="CY8" s="250" t="n"/>
      <c r="CZ8" s="250" t="n"/>
      <c r="DA8" s="250" t="n"/>
      <c r="DB8" s="250" t="n"/>
      <c r="DC8" s="250" t="n"/>
      <c r="DD8" s="250" t="n"/>
      <c r="DE8" s="250" t="n"/>
      <c r="DF8" s="250" t="n"/>
      <c r="DG8" s="250" t="n"/>
      <c r="DH8" s="250" t="n"/>
      <c r="DI8" s="250" t="n"/>
      <c r="DJ8" s="250" t="n"/>
      <c r="DK8" s="250" t="n"/>
      <c r="DL8" s="250" t="n"/>
      <c r="DM8" s="250" t="n"/>
      <c r="DN8" s="250" t="n"/>
      <c r="DO8" s="250" t="n"/>
      <c r="DP8" s="250" t="n"/>
      <c r="DQ8" s="250" t="n"/>
      <c r="DR8" s="250" t="n"/>
      <c r="DS8" s="250" t="n"/>
      <c r="DT8" s="250" t="n"/>
      <c r="DU8" s="250" t="n"/>
      <c r="DV8" s="250" t="n"/>
      <c r="DW8" s="250" t="n"/>
      <c r="DX8" s="250" t="n"/>
      <c r="DY8" s="250" t="n"/>
      <c r="DZ8" s="250" t="n"/>
      <c r="EA8" s="160" t="n"/>
      <c r="EB8" s="125" t="n"/>
      <c r="EC8" s="126" t="n"/>
      <c r="ED8" s="126" t="n"/>
      <c r="EE8" s="126" t="n"/>
      <c r="EF8" s="126" t="n"/>
      <c r="EG8" s="126" t="n"/>
      <c r="EH8" s="126" t="n"/>
      <c r="EI8" s="126" t="n"/>
      <c r="EJ8" s="126" t="n"/>
      <c r="EK8" s="126" t="n"/>
      <c r="EL8" s="126" t="n"/>
      <c r="EM8" s="126" t="n"/>
      <c r="EN8" s="126" t="n"/>
      <c r="EO8" s="126" t="n"/>
      <c r="EP8" s="126" t="n"/>
      <c r="EQ8" s="126" t="n"/>
      <c r="ER8" s="126" t="n"/>
      <c r="ES8" s="126" t="n"/>
      <c r="ET8" s="126" t="n"/>
      <c r="EU8" s="126" t="n"/>
      <c r="EV8" s="126" t="n"/>
      <c r="EW8" s="126" t="n"/>
      <c r="EX8" s="126" t="n"/>
      <c r="EY8" s="126" t="n"/>
      <c r="EZ8" s="126" t="n"/>
      <c r="FA8" s="126" t="n"/>
      <c r="FB8" s="126" t="n"/>
      <c r="FC8" s="126" t="n"/>
      <c r="FD8" s="126" t="n"/>
      <c r="FE8" s="126" t="n"/>
      <c r="FF8" s="126" t="n"/>
      <c r="FG8" s="126" t="n"/>
      <c r="FH8" s="125" t="n"/>
      <c r="FI8" s="125" t="n"/>
      <c r="FJ8" s="125" t="n"/>
      <c r="FK8" s="125" t="n"/>
    </row>
    <row r="9">
      <c r="A9" s="250" t="n"/>
      <c r="B9" s="139" t="inlineStr">
        <is>
          <t>ステージ名（最大20文字）</t>
        </is>
      </c>
      <c r="C9" s="140" t="n"/>
      <c r="D9" s="140" t="n"/>
      <c r="E9" s="140" t="n"/>
      <c r="F9" s="140" t="n"/>
      <c r="G9" s="513" t="inlineStr">
        <is>
          <t>文字数</t>
        </is>
      </c>
      <c r="H9" s="485" t="n"/>
      <c r="I9" s="514" t="inlineStr">
        <is>
          <t>スタミナ</t>
        </is>
      </c>
      <c r="J9" s="485" t="n"/>
      <c r="K9" s="483" t="inlineStr">
        <is>
          <t>通常BGM</t>
        </is>
      </c>
      <c r="L9" s="484" t="n"/>
      <c r="M9" s="484" t="n"/>
      <c r="N9" s="484" t="n"/>
      <c r="O9" s="485" t="n"/>
      <c r="P9" s="483" t="inlineStr">
        <is>
          <t>ボスBGM</t>
        </is>
      </c>
      <c r="Q9" s="484" t="n"/>
      <c r="R9" s="484" t="n"/>
      <c r="S9" s="484" t="n"/>
      <c r="T9" s="485" t="n"/>
      <c r="U9" s="515" t="inlineStr">
        <is>
          <t>ホームテキスト</t>
        </is>
      </c>
      <c r="V9" s="484" t="n"/>
      <c r="W9" s="484" t="n"/>
      <c r="X9" s="484" t="n"/>
      <c r="Y9" s="485" t="n"/>
      <c r="Z9" s="250" t="n"/>
      <c r="AA9" s="250" t="n"/>
      <c r="AB9" s="250" t="n"/>
      <c r="AC9" s="250" t="n"/>
      <c r="AD9" s="250" t="n"/>
      <c r="AE9" s="250" t="n"/>
      <c r="AF9" s="250" t="n"/>
      <c r="AG9" s="250" t="n"/>
      <c r="AH9" s="250" t="n"/>
      <c r="AI9" s="250" t="n"/>
      <c r="AJ9" s="250" t="n"/>
      <c r="AK9" s="250" t="n"/>
      <c r="AL9" s="250" t="inlineStr">
        <is>
          <t>極楽蝶　黄色</t>
        </is>
      </c>
      <c r="AM9" s="250" t="n"/>
      <c r="AN9" s="136" t="inlineStr">
        <is>
          <t>e_jig_00401_jig1_advent_Normal_Yellow</t>
        </is>
      </c>
      <c r="AO9" s="136" t="inlineStr">
        <is>
          <t>e_mag_00101_mag1_advent_Normal_Yellow</t>
        </is>
      </c>
      <c r="AP9" s="250" t="inlineStr">
        <is>
          <t>つらら</t>
        </is>
      </c>
      <c r="AQ9" s="250" t="n"/>
      <c r="AR9" s="250" t="n"/>
      <c r="AS9" s="250" t="n"/>
      <c r="AT9" s="250" t="n"/>
      <c r="AU9" s="250" t="n"/>
      <c r="AV9" s="250" t="n"/>
      <c r="AW9" s="250" t="n"/>
      <c r="AX9" s="250" t="n"/>
      <c r="AY9" s="250" t="n"/>
      <c r="AZ9" s="250" t="n"/>
      <c r="BA9" s="250" t="n"/>
      <c r="BB9" s="250" t="n"/>
      <c r="BC9" s="250" t="n"/>
      <c r="BD9" s="250" t="n"/>
      <c r="BE9" s="250" t="n"/>
      <c r="BF9" s="250" t="n"/>
      <c r="BG9" s="250" t="n"/>
      <c r="BH9" s="250" t="n"/>
      <c r="BI9" s="250" t="n"/>
      <c r="BJ9" s="250" t="n"/>
      <c r="BK9" s="250" t="n"/>
      <c r="BL9" s="250" t="n"/>
      <c r="BM9" s="250" t="n"/>
      <c r="BN9" s="250" t="n"/>
      <c r="BO9" s="250" t="n"/>
      <c r="BP9" s="250" t="n"/>
      <c r="BQ9" s="250" t="n"/>
      <c r="BR9" s="250" t="n"/>
      <c r="BS9" s="250" t="n"/>
      <c r="BT9" s="250" t="n"/>
      <c r="BU9" s="250" t="n"/>
      <c r="BV9" s="250" t="n"/>
      <c r="BW9" s="250" t="n"/>
      <c r="BX9" s="250" t="n"/>
      <c r="BY9" s="250" t="n"/>
      <c r="BZ9" s="250" t="n"/>
      <c r="CA9" s="250" t="n"/>
      <c r="CB9" s="250" t="n"/>
      <c r="CC9" s="250" t="n"/>
      <c r="CD9" s="250" t="n"/>
      <c r="CE9" s="250" t="n"/>
      <c r="CF9" s="250" t="n"/>
      <c r="CG9" s="250" t="n"/>
      <c r="CH9" s="250" t="n"/>
      <c r="CI9" s="250" t="n"/>
      <c r="CJ9" s="250" t="n"/>
      <c r="CK9" s="250" t="n"/>
      <c r="CL9" s="250" t="n"/>
      <c r="CM9" s="250" t="n"/>
      <c r="CN9" s="250" t="n"/>
      <c r="CO9" s="250" t="n"/>
      <c r="CP9" s="250" t="n"/>
      <c r="CQ9" s="250" t="n"/>
      <c r="CR9" s="250" t="n"/>
      <c r="CS9" s="250" t="n"/>
      <c r="CT9" s="250" t="n"/>
      <c r="CU9" s="250" t="n"/>
      <c r="CV9" s="250" t="n"/>
      <c r="CW9" s="250" t="n"/>
      <c r="CX9" s="250" t="n"/>
      <c r="CY9" s="250" t="n"/>
      <c r="CZ9" s="250" t="n"/>
      <c r="DA9" s="250" t="n"/>
      <c r="DB9" s="250" t="n"/>
      <c r="DC9" s="250" t="n"/>
      <c r="DD9" s="250" t="n"/>
      <c r="DE9" s="250" t="n"/>
      <c r="DF9" s="250" t="n"/>
      <c r="DG9" s="250" t="n"/>
      <c r="DH9" s="250" t="n"/>
      <c r="DI9" s="250" t="n"/>
      <c r="DJ9" s="250" t="n"/>
      <c r="DK9" s="250" t="n"/>
      <c r="DL9" s="250" t="n"/>
      <c r="DM9" s="250" t="n"/>
      <c r="DN9" s="250" t="n"/>
      <c r="DO9" s="250" t="n"/>
      <c r="DP9" s="250" t="n"/>
      <c r="DQ9" s="250" t="n"/>
      <c r="DR9" s="250" t="n"/>
      <c r="DS9" s="250" t="n"/>
      <c r="DT9" s="250" t="n"/>
      <c r="DU9" s="250" t="n"/>
      <c r="DV9" s="250" t="n"/>
      <c r="DW9" s="250" t="n"/>
      <c r="DX9" s="250" t="n"/>
      <c r="DY9" s="250" t="n"/>
      <c r="DZ9" s="250" t="n"/>
      <c r="EA9" s="160" t="n"/>
      <c r="EB9" s="125" t="n"/>
      <c r="EC9" s="126" t="n"/>
      <c r="ED9" s="126" t="n"/>
      <c r="EE9" s="126" t="n"/>
      <c r="EF9" s="126" t="n"/>
      <c r="EG9" s="126" t="n"/>
      <c r="EH9" s="126" t="n"/>
      <c r="EI9" s="126" t="n"/>
      <c r="EJ9" s="126" t="n"/>
      <c r="EK9" s="126" t="n"/>
      <c r="EL9" s="126" t="n"/>
      <c r="EM9" s="126" t="n"/>
      <c r="EN9" s="126" t="n"/>
      <c r="EO9" s="126" t="n"/>
      <c r="EP9" s="126" t="n"/>
      <c r="EQ9" s="126" t="n"/>
      <c r="ER9" s="126" t="n"/>
      <c r="ES9" s="126" t="n"/>
      <c r="ET9" s="126" t="n"/>
      <c r="EU9" s="126" t="n"/>
      <c r="EV9" s="126" t="n"/>
      <c r="EW9" s="126" t="n"/>
      <c r="EX9" s="126" t="n"/>
      <c r="EY9" s="126" t="n"/>
      <c r="EZ9" s="126" t="n"/>
      <c r="FA9" s="126" t="n"/>
      <c r="FB9" s="126" t="n"/>
      <c r="FC9" s="126" t="n"/>
      <c r="FD9" s="126" t="n"/>
      <c r="FE9" s="126" t="n"/>
      <c r="FF9" s="126" t="n"/>
      <c r="FG9" s="126" t="n"/>
      <c r="FH9" s="125" t="n"/>
      <c r="FI9" s="125" t="n"/>
      <c r="FJ9" s="125" t="n"/>
      <c r="FK9" s="125" t="n"/>
    </row>
    <row r="10">
      <c r="A10" s="250" t="n"/>
      <c r="B10" s="182" t="inlineStr">
        <is>
          <t>まるで 悪夢を見ているようだ</t>
        </is>
      </c>
      <c r="C10" s="145" t="n"/>
      <c r="D10" s="145" t="n"/>
      <c r="E10" s="145" t="n"/>
      <c r="F10" s="145" t="n"/>
      <c r="G10" s="513">
        <f>len(B10)</f>
        <v/>
      </c>
      <c r="H10" s="485" t="n"/>
      <c r="I10" s="136" t="n"/>
      <c r="J10" s="485" t="n"/>
      <c r="K10" s="296" t="inlineStr">
        <is>
          <t>SSE_SBG_003_008</t>
        </is>
      </c>
      <c r="L10" s="484" t="n"/>
      <c r="M10" s="484" t="n"/>
      <c r="N10" s="484" t="n"/>
      <c r="O10" s="485" t="n"/>
      <c r="P10" s="296" t="n"/>
      <c r="Q10" s="484" t="n"/>
      <c r="R10" s="484" t="n"/>
      <c r="S10" s="484" t="n"/>
      <c r="T10" s="485" t="n"/>
      <c r="U10" s="296" t="inlineStr">
        <is>
          <t>ボスを倒して高スコア獲得！！</t>
        </is>
      </c>
      <c r="V10" s="17" t="n"/>
      <c r="W10" s="17" t="n"/>
      <c r="X10" s="17" t="n"/>
      <c r="Y10" s="17" t="n"/>
      <c r="Z10" s="250" t="n"/>
      <c r="AA10" s="250" t="n"/>
      <c r="AB10" s="250" t="n"/>
      <c r="AC10" s="250" t="n"/>
      <c r="AD10" s="250" t="n"/>
      <c r="AE10" s="250" t="n"/>
      <c r="AF10" s="250" t="n"/>
      <c r="AG10" s="250" t="n"/>
      <c r="AH10" s="250" t="n"/>
      <c r="AI10" s="250" t="n"/>
      <c r="AJ10" s="250" t="n"/>
      <c r="AK10" s="250" t="n"/>
      <c r="AL10" s="250" t="inlineStr">
        <is>
          <t>極楽蝶　緑</t>
        </is>
      </c>
      <c r="AM10" s="250" t="n"/>
      <c r="AN10" s="136" t="inlineStr">
        <is>
          <t>e_jig_00401_jig1_advent_Normal_Green</t>
        </is>
      </c>
      <c r="AO10" s="136" t="inlineStr">
        <is>
          <t>e_mag_00101_mag1_advent_Normal_Green</t>
        </is>
      </c>
      <c r="AP10" s="250" t="inlineStr">
        <is>
          <t>つらら</t>
        </is>
      </c>
      <c r="AQ10" s="250" t="n"/>
      <c r="AR10" s="250" t="n"/>
      <c r="AS10" s="250" t="n"/>
      <c r="AT10" s="250" t="n"/>
      <c r="AU10" s="250" t="n"/>
      <c r="AV10" s="250" t="n"/>
      <c r="AW10" s="250" t="n"/>
      <c r="AX10" s="250" t="n"/>
      <c r="AY10" s="250" t="n"/>
      <c r="AZ10" s="250" t="n"/>
      <c r="BA10" s="250" t="n"/>
      <c r="BB10" s="250" t="n"/>
      <c r="BC10" s="250" t="n"/>
      <c r="BD10" s="250" t="n"/>
      <c r="BE10" s="250" t="n"/>
      <c r="BF10" s="250" t="n"/>
      <c r="BG10" s="250" t="n"/>
      <c r="BH10" s="250" t="n"/>
      <c r="BI10" s="250" t="n"/>
      <c r="BJ10" s="250" t="n"/>
      <c r="BK10" s="250" t="n"/>
      <c r="BL10" s="250" t="n"/>
      <c r="BM10" s="250" t="n"/>
      <c r="BN10" s="250" t="n"/>
      <c r="BO10" s="250" t="n"/>
      <c r="BP10" s="250" t="n"/>
      <c r="BQ10" s="250" t="n"/>
      <c r="BR10" s="250" t="n"/>
      <c r="BS10" s="250" t="n"/>
      <c r="BT10" s="250" t="n"/>
      <c r="BU10" s="250" t="n"/>
      <c r="BV10" s="250" t="n"/>
      <c r="BW10" s="250" t="n"/>
      <c r="BX10" s="250" t="n"/>
      <c r="BY10" s="250" t="n"/>
      <c r="BZ10" s="250" t="n"/>
      <c r="CA10" s="250" t="n"/>
      <c r="CB10" s="250" t="n"/>
      <c r="CC10" s="250" t="n"/>
      <c r="CD10" s="250" t="n"/>
      <c r="CE10" s="250" t="n"/>
      <c r="CF10" s="250" t="n"/>
      <c r="CG10" s="250" t="n"/>
      <c r="CH10" s="250" t="n"/>
      <c r="CI10" s="250" t="n"/>
      <c r="CJ10" s="250" t="n"/>
      <c r="CK10" s="250" t="n"/>
      <c r="CL10" s="250" t="n"/>
      <c r="CM10" s="250" t="n"/>
      <c r="CN10" s="250" t="n"/>
      <c r="CO10" s="250" t="n"/>
      <c r="CP10" s="250" t="n"/>
      <c r="CQ10" s="250" t="n"/>
      <c r="CR10" s="250" t="n"/>
      <c r="CS10" s="250" t="n"/>
      <c r="CT10" s="250" t="n"/>
      <c r="CU10" s="250" t="n"/>
      <c r="CV10" s="250" t="n"/>
      <c r="CW10" s="250" t="n"/>
      <c r="CX10" s="250" t="n"/>
      <c r="CY10" s="250" t="n"/>
      <c r="CZ10" s="250" t="n"/>
      <c r="DA10" s="250" t="n"/>
      <c r="DB10" s="250" t="n"/>
      <c r="DC10" s="250" t="n"/>
      <c r="DD10" s="250" t="n"/>
      <c r="DE10" s="250" t="n"/>
      <c r="DF10" s="250" t="n"/>
      <c r="DG10" s="250" t="n"/>
      <c r="DH10" s="250" t="n"/>
      <c r="DI10" s="250" t="n"/>
      <c r="DJ10" s="250" t="n"/>
      <c r="DK10" s="250" t="n"/>
      <c r="DL10" s="250" t="n"/>
      <c r="DM10" s="250" t="n"/>
      <c r="DN10" s="250" t="n"/>
      <c r="DO10" s="250" t="n"/>
      <c r="DP10" s="250" t="n"/>
      <c r="DQ10" s="250" t="n"/>
      <c r="DR10" s="250" t="n"/>
      <c r="DS10" s="250" t="n"/>
      <c r="DT10" s="250" t="n"/>
      <c r="DU10" s="250" t="n"/>
      <c r="DV10" s="250" t="n"/>
      <c r="DW10" s="250" t="n"/>
      <c r="DX10" s="250" t="n"/>
      <c r="DY10" s="250" t="n"/>
      <c r="DZ10" s="250" t="n"/>
      <c r="EA10" s="160" t="n"/>
      <c r="EB10" s="125" t="n"/>
      <c r="EC10" s="126" t="n"/>
      <c r="ED10" s="126" t="n"/>
      <c r="EE10" s="126" t="n"/>
      <c r="EF10" s="126" t="n"/>
      <c r="EG10" s="126" t="n"/>
      <c r="EH10" s="126" t="n"/>
      <c r="EI10" s="126" t="n"/>
      <c r="EJ10" s="126" t="n"/>
      <c r="EK10" s="126" t="n"/>
      <c r="EL10" s="126" t="n"/>
      <c r="EM10" s="126" t="n"/>
      <c r="EN10" s="126" t="n"/>
      <c r="EO10" s="126" t="n"/>
      <c r="EP10" s="126" t="n"/>
      <c r="EQ10" s="126" t="n"/>
      <c r="ER10" s="126" t="n"/>
      <c r="ES10" s="126" t="n"/>
      <c r="ET10" s="126" t="n"/>
      <c r="EU10" s="126" t="n"/>
      <c r="EV10" s="126" t="n"/>
      <c r="EW10" s="126" t="n"/>
      <c r="EX10" s="126" t="n"/>
      <c r="EY10" s="126" t="n"/>
      <c r="EZ10" s="126" t="n"/>
      <c r="FA10" s="126" t="n"/>
      <c r="FB10" s="126" t="n"/>
      <c r="FC10" s="126" t="n"/>
      <c r="FD10" s="126" t="n"/>
      <c r="FE10" s="126" t="n"/>
      <c r="FF10" s="126" t="n"/>
      <c r="FG10" s="126" t="n"/>
      <c r="FH10" s="125" t="n"/>
      <c r="FI10" s="125" t="n"/>
      <c r="FJ10" s="125" t="n"/>
      <c r="FK10" s="125" t="n"/>
    </row>
    <row r="11">
      <c r="A11" s="250" t="n"/>
      <c r="B11" s="250" t="n"/>
      <c r="C11" s="250" t="n"/>
      <c r="D11" s="250" t="n"/>
      <c r="E11" s="250" t="n"/>
      <c r="F11" s="250" t="n"/>
      <c r="G11" s="250" t="n"/>
      <c r="H11" s="250" t="n"/>
      <c r="I11" s="250" t="n"/>
      <c r="J11" s="250" t="n"/>
      <c r="K11" s="250" t="n"/>
      <c r="L11" s="250" t="n"/>
      <c r="M11" s="250" t="n"/>
      <c r="N11" s="250" t="n"/>
      <c r="O11" s="250" t="n"/>
      <c r="P11" s="250" t="n"/>
      <c r="Q11" s="250" t="n"/>
      <c r="R11" s="250" t="n"/>
      <c r="S11" s="250" t="n"/>
      <c r="T11" s="250" t="n"/>
      <c r="U11" s="250" t="n"/>
      <c r="V11" s="250" t="n"/>
      <c r="W11" s="250" t="n"/>
      <c r="X11" s="250" t="n"/>
      <c r="Y11" s="250" t="n"/>
      <c r="Z11" s="250" t="n"/>
      <c r="AA11" s="250" t="n"/>
      <c r="AB11" s="250" t="n"/>
      <c r="AC11" s="250" t="n"/>
      <c r="AD11" s="250" t="n"/>
      <c r="AE11" s="250" t="n"/>
      <c r="AF11" s="250" t="n"/>
      <c r="AG11" s="250" t="n"/>
      <c r="AH11" s="250" t="n"/>
      <c r="AI11" s="250" t="n"/>
      <c r="AJ11" s="250" t="n"/>
      <c r="AK11" s="250" t="n"/>
      <c r="AL11" s="250" t="inlineStr">
        <is>
          <t>門神大　赤</t>
        </is>
      </c>
      <c r="AM11" s="250" t="n"/>
      <c r="AN11" s="136" t="inlineStr">
        <is>
          <t>e_jig_00201_jig1_advent_Boss_Red</t>
        </is>
      </c>
      <c r="AO11" s="136" t="inlineStr">
        <is>
          <t>e_mag_00201_mag1_advent_Boss_Red</t>
        </is>
      </c>
      <c r="AP11" s="250" t="inlineStr">
        <is>
          <t>建造物大</t>
        </is>
      </c>
      <c r="AQ11" s="250" t="n"/>
      <c r="AR11" s="250" t="n"/>
      <c r="AS11" s="250" t="n"/>
      <c r="AT11" s="250" t="n"/>
      <c r="AU11" s="250" t="n"/>
      <c r="AV11" s="250" t="n"/>
      <c r="AW11" s="250" t="n"/>
      <c r="AX11" s="250" t="n"/>
      <c r="AY11" s="250" t="n"/>
      <c r="AZ11" s="250" t="n"/>
      <c r="BA11" s="250" t="n"/>
      <c r="BB11" s="250" t="n"/>
      <c r="BC11" s="250" t="n"/>
      <c r="BD11" s="250" t="n"/>
      <c r="BE11" s="250" t="n"/>
      <c r="BF11" s="250" t="n"/>
      <c r="BG11" s="250" t="n"/>
      <c r="BH11" s="250" t="n"/>
      <c r="BI11" s="250" t="n"/>
      <c r="BJ11" s="250" t="n"/>
      <c r="BK11" s="250" t="n"/>
      <c r="BL11" s="250" t="n"/>
      <c r="BM11" s="250" t="n"/>
      <c r="BN11" s="250" t="n"/>
      <c r="BO11" s="250" t="n"/>
      <c r="BP11" s="250" t="n"/>
      <c r="BQ11" s="250" t="n"/>
      <c r="BR11" s="250" t="n"/>
      <c r="BS11" s="250" t="n"/>
      <c r="BT11" s="250" t="n"/>
      <c r="BU11" s="250" t="n"/>
      <c r="BV11" s="250" t="n"/>
      <c r="BW11" s="250" t="n"/>
      <c r="BX11" s="250" t="n"/>
      <c r="BY11" s="250" t="n"/>
      <c r="BZ11" s="250" t="n"/>
      <c r="CA11" s="250" t="n"/>
      <c r="CB11" s="250" t="n"/>
      <c r="CC11" s="250" t="n"/>
      <c r="CD11" s="250" t="n"/>
      <c r="CE11" s="250" t="n"/>
      <c r="CF11" s="250" t="n"/>
      <c r="CG11" s="250" t="n"/>
      <c r="CH11" s="250" t="n"/>
      <c r="CI11" s="250" t="n"/>
      <c r="CJ11" s="250" t="n"/>
      <c r="CK11" s="250" t="n"/>
      <c r="CL11" s="250" t="n"/>
      <c r="CM11" s="250" t="n"/>
      <c r="CN11" s="250" t="n"/>
      <c r="CO11" s="250" t="n"/>
      <c r="CP11" s="250" t="n"/>
      <c r="CQ11" s="250" t="n"/>
      <c r="CR11" s="250" t="n"/>
      <c r="CS11" s="250" t="n"/>
      <c r="CT11" s="250" t="n"/>
      <c r="CU11" s="250" t="n"/>
      <c r="CV11" s="250" t="n"/>
      <c r="CW11" s="250" t="n"/>
      <c r="CX11" s="250" t="n"/>
      <c r="CY11" s="250" t="n"/>
      <c r="CZ11" s="250" t="n"/>
      <c r="DA11" s="250" t="n"/>
      <c r="DB11" s="250" t="n"/>
      <c r="DC11" s="250" t="n"/>
      <c r="DD11" s="250" t="n"/>
      <c r="DE11" s="250" t="n"/>
      <c r="DF11" s="250" t="n"/>
      <c r="DG11" s="250" t="n"/>
      <c r="DH11" s="250" t="n"/>
      <c r="DI11" s="250" t="n"/>
      <c r="DJ11" s="250" t="n"/>
      <c r="DK11" s="250" t="n"/>
      <c r="DL11" s="250" t="n"/>
      <c r="DM11" s="250" t="n"/>
      <c r="DN11" s="250" t="n"/>
      <c r="DO11" s="250" t="n"/>
      <c r="DP11" s="250" t="n"/>
      <c r="DQ11" s="250" t="n"/>
      <c r="DR11" s="250" t="n"/>
      <c r="DS11" s="250" t="n"/>
      <c r="DT11" s="250" t="n"/>
      <c r="DU11" s="250" t="n"/>
      <c r="DV11" s="250" t="n"/>
      <c r="DW11" s="250" t="n"/>
      <c r="DX11" s="250" t="n"/>
      <c r="DY11" s="250" t="n"/>
      <c r="DZ11" s="250" t="n"/>
      <c r="EA11" s="160" t="n"/>
      <c r="EB11" s="125" t="n"/>
      <c r="EC11" s="126" t="n"/>
      <c r="ED11" s="126" t="n"/>
      <c r="EE11" s="126" t="n"/>
      <c r="EF11" s="126" t="n"/>
      <c r="EG11" s="126" t="n"/>
      <c r="EH11" s="126" t="n"/>
      <c r="EI11" s="126" t="n"/>
      <c r="EJ11" s="126" t="n"/>
      <c r="EK11" s="126" t="n"/>
      <c r="EL11" s="126" t="n"/>
      <c r="EM11" s="126" t="n"/>
      <c r="EN11" s="126" t="n"/>
      <c r="EO11" s="126" t="n"/>
      <c r="EP11" s="126" t="n"/>
      <c r="EQ11" s="126" t="n"/>
      <c r="ER11" s="126" t="n"/>
      <c r="ES11" s="126" t="n"/>
      <c r="ET11" s="126" t="n"/>
      <c r="EU11" s="126" t="n"/>
      <c r="EV11" s="126" t="n"/>
      <c r="EW11" s="126" t="n"/>
      <c r="EX11" s="126" t="n"/>
      <c r="EY11" s="126" t="n"/>
      <c r="EZ11" s="126" t="n"/>
      <c r="FA11" s="126" t="n"/>
      <c r="FB11" s="126" t="n"/>
      <c r="FC11" s="126" t="n"/>
      <c r="FD11" s="126" t="n"/>
      <c r="FE11" s="126" t="n"/>
      <c r="FF11" s="126" t="n"/>
      <c r="FG11" s="126" t="n"/>
      <c r="FH11" s="125" t="n"/>
      <c r="FI11" s="125" t="n"/>
      <c r="FJ11" s="125" t="n"/>
      <c r="FK11" s="125" t="n"/>
    </row>
    <row r="12">
      <c r="A12" s="250" t="n"/>
      <c r="B12" s="148" t="inlineStr">
        <is>
          <t>味方ゲートID</t>
        </is>
      </c>
      <c r="C12" s="149" t="n"/>
      <c r="D12" s="149" t="n"/>
      <c r="E12" s="148" t="inlineStr">
        <is>
          <t>敵ゲートID</t>
        </is>
      </c>
      <c r="F12" s="484" t="n"/>
      <c r="G12" s="484" t="n"/>
      <c r="H12" s="148" t="inlineStr">
        <is>
          <t>敵ゲートasset</t>
        </is>
      </c>
      <c r="I12" s="149" t="n"/>
      <c r="J12" s="149" t="n"/>
      <c r="K12" s="148" t="inlineStr">
        <is>
          <t>敵ゲートHP</t>
        </is>
      </c>
      <c r="L12" s="149" t="n"/>
      <c r="M12" s="150" t="n"/>
      <c r="N12" s="516" t="inlineStr">
        <is>
          <t>リリースキー</t>
        </is>
      </c>
      <c r="O12" s="487" t="n"/>
      <c r="P12" s="488" t="n"/>
      <c r="S12" s="250" t="n"/>
      <c r="T12" s="250" t="n"/>
      <c r="U12" s="250" t="n"/>
      <c r="V12" s="250" t="n"/>
      <c r="W12" s="250" t="n"/>
      <c r="X12" s="250" t="n"/>
      <c r="Y12" s="250" t="n"/>
      <c r="Z12" s="250" t="n"/>
      <c r="AA12" s="250" t="n"/>
      <c r="AB12" s="250" t="n"/>
      <c r="AC12" s="250" t="n"/>
      <c r="AD12" s="250" t="n"/>
      <c r="AE12" s="250" t="n"/>
      <c r="AF12" s="250" t="n"/>
      <c r="AG12" s="250" t="n"/>
      <c r="AH12" s="250" t="n"/>
      <c r="AI12" s="250" t="n"/>
      <c r="AJ12" s="250" t="n"/>
      <c r="AK12" s="250" t="n"/>
      <c r="AL12" s="250" t="inlineStr">
        <is>
          <t>門神大　黄色</t>
        </is>
      </c>
      <c r="AM12" s="250" t="n"/>
      <c r="AN12" s="136" t="inlineStr">
        <is>
          <t>e_jig_00201_jig1_advent_Boss_Yellow</t>
        </is>
      </c>
      <c r="AO12" s="136" t="inlineStr">
        <is>
          <t>e_mag_00201_mag1_advent_Boss_Yellow</t>
        </is>
      </c>
      <c r="AP12" s="250" t="inlineStr">
        <is>
          <t>建造物大</t>
        </is>
      </c>
      <c r="AQ12" s="250" t="n"/>
      <c r="AR12" s="250" t="n"/>
      <c r="AS12" s="250" t="n"/>
      <c r="AT12" s="250" t="n"/>
      <c r="AU12" s="250" t="n"/>
      <c r="AV12" s="250" t="n"/>
      <c r="AW12" s="250" t="n"/>
      <c r="AX12" s="250" t="n"/>
      <c r="AY12" s="250" t="n"/>
      <c r="AZ12" s="250" t="n"/>
      <c r="BA12" s="250" t="n"/>
      <c r="BB12" s="250" t="n"/>
      <c r="BC12" s="250" t="n"/>
      <c r="BD12" s="250" t="n"/>
      <c r="BE12" s="250" t="n"/>
      <c r="BF12" s="250" t="n"/>
      <c r="BG12" s="250" t="n"/>
      <c r="BH12" s="250" t="n"/>
      <c r="BI12" s="250" t="n"/>
      <c r="BJ12" s="250" t="n"/>
      <c r="BK12" s="250" t="n"/>
      <c r="BL12" s="250" t="n"/>
      <c r="BM12" s="250" t="n"/>
      <c r="BN12" s="250" t="n"/>
      <c r="BO12" s="250" t="n"/>
      <c r="BP12" s="250" t="n"/>
      <c r="BQ12" s="250" t="n"/>
      <c r="BR12" s="250" t="n"/>
      <c r="BS12" s="250" t="n"/>
      <c r="BT12" s="250" t="n"/>
      <c r="BU12" s="250" t="n"/>
      <c r="BV12" s="250" t="n"/>
      <c r="BW12" s="250" t="n"/>
      <c r="BX12" s="250" t="n"/>
      <c r="BY12" s="250" t="n"/>
      <c r="BZ12" s="250" t="n"/>
      <c r="CA12" s="250" t="n"/>
      <c r="CB12" s="250" t="n"/>
      <c r="CC12" s="250" t="n"/>
      <c r="CD12" s="250" t="n"/>
      <c r="CE12" s="250" t="n"/>
      <c r="CF12" s="250" t="n"/>
      <c r="CG12" s="250" t="n"/>
      <c r="CH12" s="250" t="n"/>
      <c r="CI12" s="250" t="n"/>
      <c r="CJ12" s="250" t="n"/>
      <c r="CK12" s="250" t="n"/>
      <c r="CL12" s="250" t="n"/>
      <c r="CM12" s="250" t="n"/>
      <c r="CN12" s="250" t="n"/>
      <c r="CO12" s="250" t="n"/>
      <c r="CP12" s="250" t="n"/>
      <c r="CQ12" s="250" t="n"/>
      <c r="CR12" s="250" t="n"/>
      <c r="CS12" s="250" t="n"/>
      <c r="CT12" s="250" t="n"/>
      <c r="CU12" s="250" t="n"/>
      <c r="CV12" s="250" t="n"/>
      <c r="CW12" s="250" t="n"/>
      <c r="CX12" s="250" t="n"/>
      <c r="CY12" s="250" t="n"/>
      <c r="CZ12" s="250" t="n"/>
      <c r="DA12" s="250" t="n"/>
      <c r="DB12" s="250" t="n"/>
      <c r="DC12" s="250" t="n"/>
      <c r="DD12" s="250" t="n"/>
      <c r="DE12" s="250" t="n"/>
      <c r="DF12" s="250" t="n"/>
      <c r="DG12" s="250" t="n"/>
      <c r="DH12" s="250" t="n"/>
      <c r="DI12" s="250" t="n"/>
      <c r="DJ12" s="250" t="n"/>
      <c r="DK12" s="250" t="n"/>
      <c r="DL12" s="250" t="n"/>
      <c r="DM12" s="250" t="n"/>
      <c r="DN12" s="250" t="n"/>
      <c r="DO12" s="250" t="n"/>
      <c r="DP12" s="250" t="n"/>
      <c r="DQ12" s="250" t="n"/>
      <c r="DR12" s="250" t="n"/>
      <c r="DS12" s="250" t="n"/>
      <c r="DT12" s="250" t="n"/>
      <c r="DU12" s="250" t="n"/>
      <c r="DV12" s="250" t="n"/>
      <c r="DW12" s="250" t="n"/>
      <c r="DX12" s="250" t="n"/>
      <c r="DY12" s="250" t="n"/>
      <c r="DZ12" s="250" t="n"/>
      <c r="EA12" s="160" t="n"/>
      <c r="EB12" s="125" t="n"/>
      <c r="EC12" s="126" t="n"/>
      <c r="ED12" s="126" t="n"/>
      <c r="EE12" s="126" t="n"/>
      <c r="EF12" s="126" t="n"/>
      <c r="EG12" s="126" t="n"/>
      <c r="EH12" s="126" t="n"/>
      <c r="EI12" s="126" t="n"/>
      <c r="EJ12" s="126" t="n"/>
      <c r="EK12" s="126" t="n"/>
      <c r="EL12" s="126" t="n"/>
      <c r="EM12" s="126" t="n"/>
      <c r="EN12" s="126" t="n"/>
      <c r="EO12" s="126" t="n"/>
      <c r="EP12" s="126" t="n"/>
      <c r="EQ12" s="126" t="n"/>
      <c r="ER12" s="126" t="n"/>
      <c r="ES12" s="126" t="n"/>
      <c r="ET12" s="126" t="n"/>
      <c r="EU12" s="126" t="n"/>
      <c r="EV12" s="126" t="n"/>
      <c r="EW12" s="126" t="n"/>
      <c r="EX12" s="126" t="n"/>
      <c r="EY12" s="126" t="n"/>
      <c r="EZ12" s="126" t="n"/>
      <c r="FA12" s="126" t="n"/>
      <c r="FB12" s="126" t="n"/>
      <c r="FC12" s="126" t="n"/>
      <c r="FD12" s="126" t="n"/>
      <c r="FE12" s="126" t="n"/>
      <c r="FF12" s="126" t="n"/>
      <c r="FG12" s="126" t="n"/>
      <c r="FH12" s="125" t="n"/>
      <c r="FI12" s="125" t="n"/>
      <c r="FJ12" s="125" t="n"/>
      <c r="FK12" s="125" t="n"/>
    </row>
    <row r="13">
      <c r="A13" s="250" t="n"/>
      <c r="B13" s="155" t="inlineStr">
        <is>
          <t>default</t>
        </is>
      </c>
      <c r="C13" s="153" t="n"/>
      <c r="D13" s="154" t="n"/>
      <c r="E13" s="155" t="inlineStr">
        <is>
          <t>raid_jig1_00001</t>
        </is>
      </c>
      <c r="F13" s="153" t="n"/>
      <c r="G13" s="154" t="n"/>
      <c r="H13" s="155" t="inlineStr">
        <is>
          <t>jig_0003</t>
        </is>
      </c>
      <c r="I13" s="153" t="n"/>
      <c r="J13" s="154" t="n"/>
      <c r="K13" s="155" t="inlineStr">
        <is>
          <t>♾️</t>
        </is>
      </c>
      <c r="L13" s="153" t="n"/>
      <c r="M13" s="154" t="n"/>
      <c r="N13" s="296" t="n">
        <v>202601010</v>
      </c>
      <c r="O13" s="484" t="n"/>
      <c r="P13" s="485" t="n"/>
      <c r="S13" s="250" t="n"/>
      <c r="T13" s="250" t="n"/>
      <c r="U13" s="250" t="n"/>
      <c r="V13" s="250" t="n"/>
      <c r="W13" s="250" t="n"/>
      <c r="X13" s="250" t="n"/>
      <c r="Y13" s="250" t="n"/>
      <c r="Z13" s="250" t="n"/>
      <c r="AA13" s="250" t="n"/>
      <c r="AB13" s="250" t="n"/>
      <c r="AC13" s="250" t="n"/>
      <c r="AD13" s="250" t="n"/>
      <c r="AE13" s="250" t="n"/>
      <c r="AF13" s="250" t="n"/>
      <c r="AG13" s="250" t="n"/>
      <c r="AH13" s="250" t="n"/>
      <c r="AI13" s="250" t="n"/>
      <c r="AJ13" s="250" t="n"/>
      <c r="AK13" s="250" t="n"/>
      <c r="AL13" s="250" t="inlineStr">
        <is>
          <t>魚　無</t>
        </is>
      </c>
      <c r="AM13" s="250" t="n"/>
      <c r="AN13" s="136" t="inlineStr">
        <is>
          <t>e_jig_00301_jig1_advent_Boss_Colorless</t>
        </is>
      </c>
      <c r="AO13" s="136" t="inlineStr">
        <is>
          <t>e_mag_00401_mag1_advent_Boss_Colorless</t>
        </is>
      </c>
      <c r="AP13" s="250" t="inlineStr">
        <is>
          <t>工事現場</t>
        </is>
      </c>
      <c r="AQ13" s="250" t="n"/>
      <c r="AR13" s="250" t="n"/>
      <c r="AS13" s="250" t="n"/>
      <c r="AT13" s="250" t="n"/>
      <c r="AU13" s="250" t="n"/>
      <c r="AV13" s="250" t="n"/>
      <c r="AW13" s="250" t="n"/>
      <c r="AX13" s="250" t="n"/>
      <c r="AY13" s="250" t="n"/>
      <c r="AZ13" s="250" t="n"/>
      <c r="BA13" s="250" t="n"/>
      <c r="BB13" s="250" t="n"/>
      <c r="BC13" s="250" t="n"/>
      <c r="BD13" s="250" t="n"/>
      <c r="BE13" s="250" t="n"/>
      <c r="BF13" s="250" t="n"/>
      <c r="BG13" s="250" t="n"/>
      <c r="BH13" s="250" t="n"/>
      <c r="BI13" s="250" t="n"/>
      <c r="BJ13" s="250" t="n"/>
      <c r="BK13" s="250" t="n"/>
      <c r="BL13" s="250" t="n"/>
      <c r="BM13" s="250" t="n"/>
      <c r="BN13" s="250" t="n"/>
      <c r="BO13" s="250" t="n"/>
      <c r="BP13" s="250" t="n"/>
      <c r="BQ13" s="250" t="n"/>
      <c r="BR13" s="250" t="n"/>
      <c r="BS13" s="250" t="n"/>
      <c r="BT13" s="250" t="n"/>
      <c r="BU13" s="250" t="n"/>
      <c r="BV13" s="250" t="n"/>
      <c r="BW13" s="250" t="n"/>
      <c r="BX13" s="250" t="n"/>
      <c r="BY13" s="250" t="n"/>
      <c r="BZ13" s="250" t="n"/>
      <c r="CA13" s="250" t="n"/>
      <c r="CB13" s="250" t="n"/>
      <c r="CC13" s="250" t="n"/>
      <c r="CD13" s="250" t="n"/>
      <c r="CE13" s="250" t="n"/>
      <c r="CF13" s="250" t="n"/>
      <c r="CG13" s="250" t="n"/>
      <c r="CH13" s="250" t="n"/>
      <c r="CI13" s="250" t="n"/>
      <c r="CJ13" s="250" t="n"/>
      <c r="CK13" s="250" t="n"/>
      <c r="CL13" s="250" t="n"/>
      <c r="CM13" s="250" t="n"/>
      <c r="CN13" s="250" t="n"/>
      <c r="CO13" s="250" t="n"/>
      <c r="CP13" s="250" t="n"/>
      <c r="CQ13" s="250" t="n"/>
      <c r="CR13" s="250" t="n"/>
      <c r="CS13" s="250" t="n"/>
      <c r="CT13" s="250" t="n"/>
      <c r="CU13" s="250" t="n"/>
      <c r="CV13" s="250" t="n"/>
      <c r="CW13" s="250" t="n"/>
      <c r="CX13" s="250" t="n"/>
      <c r="CY13" s="250" t="n"/>
      <c r="CZ13" s="250" t="n"/>
      <c r="DA13" s="250" t="n"/>
      <c r="DB13" s="250" t="n"/>
      <c r="DC13" s="250" t="n"/>
      <c r="DD13" s="250" t="n"/>
      <c r="DE13" s="250" t="n"/>
      <c r="DF13" s="250" t="n"/>
      <c r="DG13" s="250" t="n"/>
      <c r="DH13" s="250" t="n"/>
      <c r="DI13" s="250" t="n"/>
      <c r="DJ13" s="250" t="n"/>
      <c r="DK13" s="250" t="n"/>
      <c r="DL13" s="250" t="n"/>
      <c r="DM13" s="250" t="n"/>
      <c r="DN13" s="250" t="n"/>
      <c r="DO13" s="250" t="n"/>
      <c r="DP13" s="250" t="n"/>
      <c r="DQ13" s="250" t="n"/>
      <c r="DR13" s="250" t="n"/>
      <c r="DS13" s="250" t="n"/>
      <c r="DT13" s="250" t="n"/>
      <c r="DU13" s="250" t="n"/>
      <c r="DV13" s="250" t="n"/>
      <c r="DW13" s="250" t="n"/>
      <c r="DX13" s="250" t="n"/>
      <c r="DY13" s="250" t="n"/>
      <c r="DZ13" s="250" t="n"/>
      <c r="EA13" s="160" t="n"/>
      <c r="EB13" s="125" t="n"/>
      <c r="EC13" s="126" t="n"/>
      <c r="ED13" s="126" t="n"/>
      <c r="EE13" s="126" t="n"/>
      <c r="EF13" s="126" t="n"/>
      <c r="EG13" s="126" t="n"/>
      <c r="EH13" s="126" t="n"/>
      <c r="EI13" s="126" t="n"/>
      <c r="EJ13" s="126" t="n"/>
      <c r="EK13" s="126" t="n"/>
      <c r="EL13" s="126" t="n"/>
      <c r="EM13" s="126" t="n"/>
      <c r="EN13" s="126" t="n"/>
      <c r="EO13" s="126" t="n"/>
      <c r="EP13" s="126" t="n"/>
      <c r="EQ13" s="126" t="n"/>
      <c r="ER13" s="126" t="n"/>
      <c r="ES13" s="126" t="n"/>
      <c r="ET13" s="126" t="n"/>
      <c r="EU13" s="126" t="n"/>
      <c r="EV13" s="126" t="n"/>
      <c r="EW13" s="126" t="n"/>
      <c r="EX13" s="126" t="n"/>
      <c r="EY13" s="126" t="n"/>
      <c r="EZ13" s="126" t="n"/>
      <c r="FA13" s="126" t="n"/>
      <c r="FB13" s="126" t="n"/>
      <c r="FC13" s="126" t="n"/>
      <c r="FD13" s="126" t="n"/>
      <c r="FE13" s="126" t="n"/>
      <c r="FF13" s="126" t="n"/>
      <c r="FG13" s="126" t="n"/>
      <c r="FH13" s="125" t="n"/>
      <c r="FI13" s="125" t="n"/>
      <c r="FJ13" s="125" t="n"/>
      <c r="FK13" s="125" t="n"/>
    </row>
    <row r="14">
      <c r="A14" s="250" t="n"/>
      <c r="B14" s="158" t="n"/>
      <c r="C14" s="157" t="n"/>
      <c r="D14" s="157" t="n"/>
      <c r="E14" s="158" t="n"/>
      <c r="F14" s="157" t="n"/>
      <c r="G14" s="157" t="n"/>
      <c r="H14" s="158" t="n"/>
      <c r="I14" s="157" t="n"/>
      <c r="J14" s="157" t="n"/>
      <c r="K14" s="158" t="n"/>
      <c r="L14" s="157" t="n"/>
      <c r="M14" s="157" t="n"/>
      <c r="N14" s="294" t="n"/>
      <c r="O14" s="294" t="n"/>
      <c r="P14" s="294" t="n"/>
      <c r="S14" s="250" t="n"/>
      <c r="T14" s="250" t="n"/>
      <c r="U14" s="250" t="n"/>
      <c r="V14" s="250" t="n"/>
      <c r="W14" s="250" t="n"/>
      <c r="X14" s="250" t="n"/>
      <c r="Y14" s="250" t="n"/>
      <c r="Z14" s="250" t="n"/>
      <c r="AA14" s="250" t="n"/>
      <c r="AB14" s="250" t="n"/>
      <c r="AC14" s="250" t="n"/>
      <c r="AD14" s="250" t="n"/>
      <c r="AE14" s="250" t="n"/>
      <c r="AF14" s="250" t="n"/>
      <c r="AG14" s="250" t="n"/>
      <c r="AH14" s="250" t="n"/>
      <c r="AI14" s="250" t="n"/>
      <c r="AJ14" s="250" t="n"/>
      <c r="AK14" s="250" t="n"/>
      <c r="AL14" s="250" t="inlineStr">
        <is>
          <t>魚　緑</t>
        </is>
      </c>
      <c r="AM14" s="250" t="n"/>
      <c r="AN14" s="136" t="inlineStr">
        <is>
          <t>e_jig_00301_jig1_advent_Boss_Green</t>
        </is>
      </c>
      <c r="AO14" s="136" t="inlineStr">
        <is>
          <t>e_mag_00401_mag1_advent_Boss_Green</t>
        </is>
      </c>
      <c r="AP14" s="250" t="inlineStr">
        <is>
          <t>工事現場</t>
        </is>
      </c>
      <c r="AQ14" s="250" t="n"/>
      <c r="AR14" s="250" t="n"/>
      <c r="AS14" s="250" t="n"/>
      <c r="AT14" s="250" t="n"/>
      <c r="AU14" s="250" t="n"/>
      <c r="AV14" s="250" t="n"/>
      <c r="AW14" s="250" t="n"/>
      <c r="AX14" s="250" t="n"/>
      <c r="AY14" s="250" t="n"/>
      <c r="AZ14" s="250" t="n"/>
      <c r="BA14" s="250" t="n"/>
      <c r="BB14" s="250" t="n"/>
      <c r="BC14" s="250" t="n"/>
      <c r="BD14" s="250" t="n"/>
      <c r="BE14" s="250" t="n"/>
      <c r="BF14" s="250" t="n"/>
      <c r="BG14" s="250" t="n"/>
      <c r="BH14" s="250" t="n"/>
      <c r="BI14" s="250" t="n"/>
      <c r="BJ14" s="250" t="n"/>
      <c r="BK14" s="250" t="n"/>
      <c r="BL14" s="250" t="n"/>
      <c r="BM14" s="250" t="n"/>
      <c r="BN14" s="250" t="n"/>
      <c r="BO14" s="250" t="n"/>
      <c r="BP14" s="250" t="n"/>
      <c r="BQ14" s="250" t="n"/>
      <c r="BR14" s="250" t="n"/>
      <c r="BS14" s="250" t="n"/>
      <c r="BT14" s="250" t="n"/>
      <c r="BU14" s="250" t="n"/>
      <c r="BV14" s="250" t="n"/>
      <c r="BW14" s="250" t="n"/>
      <c r="BX14" s="250" t="n"/>
      <c r="BY14" s="250" t="n"/>
      <c r="BZ14" s="250" t="n"/>
      <c r="CA14" s="250" t="n"/>
      <c r="CB14" s="250" t="n"/>
      <c r="CC14" s="250" t="n"/>
      <c r="CD14" s="250" t="n"/>
      <c r="CE14" s="250" t="n"/>
      <c r="CF14" s="250" t="n"/>
      <c r="CG14" s="250" t="n"/>
      <c r="CH14" s="250" t="n"/>
      <c r="CI14" s="250" t="n"/>
      <c r="CJ14" s="250" t="n"/>
      <c r="CK14" s="250" t="n"/>
      <c r="CL14" s="250" t="n"/>
      <c r="CM14" s="250" t="n"/>
      <c r="CN14" s="250" t="n"/>
      <c r="CO14" s="250" t="n"/>
      <c r="CP14" s="250" t="n"/>
      <c r="CQ14" s="250" t="n"/>
      <c r="CR14" s="250" t="n"/>
      <c r="CS14" s="250" t="n"/>
      <c r="CT14" s="250" t="n"/>
      <c r="CU14" s="250" t="n"/>
      <c r="CV14" s="250" t="n"/>
      <c r="CW14" s="250" t="n"/>
      <c r="CX14" s="250" t="n"/>
      <c r="CY14" s="250" t="n"/>
      <c r="CZ14" s="250" t="n"/>
      <c r="DA14" s="250" t="n"/>
      <c r="DB14" s="250" t="n"/>
      <c r="DC14" s="250" t="n"/>
      <c r="DD14" s="250" t="n"/>
      <c r="DE14" s="250" t="n"/>
      <c r="DF14" s="250" t="n"/>
      <c r="DG14" s="250" t="n"/>
      <c r="DH14" s="250" t="n"/>
      <c r="DI14" s="250" t="n"/>
      <c r="DJ14" s="250" t="n"/>
      <c r="DK14" s="250" t="n"/>
      <c r="DL14" s="250" t="n"/>
      <c r="DM14" s="250" t="n"/>
      <c r="DN14" s="250" t="n"/>
      <c r="DO14" s="250" t="n"/>
      <c r="DP14" s="250" t="n"/>
      <c r="DQ14" s="250" t="n"/>
      <c r="DR14" s="250" t="n"/>
      <c r="DS14" s="250" t="n"/>
      <c r="DT14" s="250" t="n"/>
      <c r="DU14" s="250" t="n"/>
      <c r="DV14" s="250" t="n"/>
      <c r="DW14" s="250" t="n"/>
      <c r="DX14" s="250" t="n"/>
      <c r="DY14" s="250" t="n"/>
      <c r="DZ14" s="250" t="n"/>
      <c r="EA14" s="160" t="n"/>
      <c r="EB14" s="125" t="n"/>
      <c r="EC14" s="126" t="n"/>
      <c r="ED14" s="126" t="n"/>
      <c r="EE14" s="126" t="n"/>
      <c r="EF14" s="126" t="n"/>
      <c r="EG14" s="126" t="n"/>
      <c r="EH14" s="126" t="n"/>
      <c r="EI14" s="126" t="n"/>
      <c r="EJ14" s="126" t="n"/>
      <c r="EK14" s="126" t="n"/>
      <c r="EL14" s="126" t="n"/>
      <c r="EM14" s="126" t="n"/>
      <c r="EN14" s="126" t="n"/>
      <c r="EO14" s="126" t="n"/>
      <c r="EP14" s="126" t="n"/>
      <c r="EQ14" s="126" t="n"/>
      <c r="ER14" s="126" t="n"/>
      <c r="ES14" s="126" t="n"/>
      <c r="ET14" s="126" t="n"/>
      <c r="EU14" s="126" t="n"/>
      <c r="EV14" s="126" t="n"/>
      <c r="EW14" s="126" t="n"/>
      <c r="EX14" s="126" t="n"/>
      <c r="EY14" s="126" t="n"/>
      <c r="EZ14" s="126" t="n"/>
      <c r="FA14" s="126" t="n"/>
      <c r="FB14" s="126" t="n"/>
      <c r="FC14" s="126" t="n"/>
      <c r="FD14" s="126" t="n"/>
      <c r="FE14" s="126" t="n"/>
      <c r="FF14" s="126" t="n"/>
      <c r="FG14" s="126" t="n"/>
      <c r="FH14" s="125" t="n"/>
      <c r="FI14" s="125" t="n"/>
      <c r="FJ14" s="125" t="n"/>
      <c r="FK14" s="125" t="n"/>
    </row>
    <row r="15">
      <c r="A15" s="250" t="n"/>
      <c r="B15" s="158" t="n"/>
      <c r="C15" s="157" t="n"/>
      <c r="D15" s="157" t="n"/>
      <c r="E15" s="158" t="n"/>
      <c r="F15" s="157" t="n"/>
      <c r="G15" s="157" t="n"/>
      <c r="H15" s="158" t="n"/>
      <c r="I15" s="157" t="n"/>
      <c r="J15" s="157" t="n"/>
      <c r="K15" s="158" t="n"/>
      <c r="L15" s="157" t="n"/>
      <c r="M15" s="157" t="n"/>
      <c r="N15" s="294" t="n"/>
      <c r="O15" s="294" t="n"/>
      <c r="P15" s="294" t="n"/>
      <c r="S15" s="250" t="n"/>
      <c r="T15" s="250" t="n"/>
      <c r="U15" s="250" t="n"/>
      <c r="V15" s="250" t="n"/>
      <c r="W15" s="250" t="n"/>
      <c r="X15" s="250" t="n"/>
      <c r="Y15" s="250" t="n"/>
      <c r="Z15" s="250" t="n"/>
      <c r="AA15" s="250" t="n"/>
      <c r="AB15" s="250" t="n"/>
      <c r="AC15" s="250" t="n"/>
      <c r="AD15" s="250" t="n"/>
      <c r="AE15" s="250" t="n"/>
      <c r="AF15" s="250" t="n"/>
      <c r="AG15" s="250" t="n"/>
      <c r="AH15" s="250" t="n"/>
      <c r="AI15" s="250" t="n"/>
      <c r="AJ15" s="250" t="n"/>
      <c r="AK15" s="250" t="n"/>
      <c r="AL15" s="250" t="inlineStr">
        <is>
          <t>門神　無</t>
        </is>
      </c>
      <c r="AM15" s="250" t="n"/>
      <c r="AN15" s="136" t="inlineStr">
        <is>
          <t>e_jig_00001_jig1_advent_Normal_Colorless</t>
        </is>
      </c>
      <c r="AO15" s="136" t="inlineStr">
        <is>
          <t>e_mag_00301_siget_Normal_Colorless</t>
        </is>
      </c>
      <c r="AP15" s="250" t="inlineStr">
        <is>
          <t>建造物</t>
        </is>
      </c>
      <c r="AQ15" s="250" t="n"/>
      <c r="AR15" s="250" t="n"/>
      <c r="AS15" s="250" t="n"/>
      <c r="AT15" s="250" t="n"/>
      <c r="AU15" s="250" t="n"/>
      <c r="AV15" s="250" t="n"/>
      <c r="AW15" s="250" t="n"/>
      <c r="AX15" s="250" t="n"/>
      <c r="AY15" s="250" t="n"/>
      <c r="AZ15" s="250" t="n"/>
      <c r="BA15" s="250" t="n"/>
      <c r="BB15" s="250" t="n"/>
      <c r="BC15" s="250" t="n"/>
      <c r="BD15" s="250" t="n"/>
      <c r="BE15" s="250" t="n"/>
      <c r="BF15" s="250" t="n"/>
      <c r="BG15" s="250" t="n"/>
      <c r="BH15" s="250" t="n"/>
      <c r="BI15" s="250" t="n"/>
      <c r="BJ15" s="250" t="n"/>
      <c r="BK15" s="250" t="n"/>
      <c r="BL15" s="250" t="n"/>
      <c r="BM15" s="250" t="n"/>
      <c r="BN15" s="250" t="n"/>
      <c r="BO15" s="250" t="n"/>
      <c r="BP15" s="250" t="n"/>
      <c r="BQ15" s="250" t="n"/>
      <c r="BR15" s="250" t="n"/>
      <c r="BS15" s="250" t="n"/>
      <c r="BT15" s="250" t="n"/>
      <c r="BU15" s="250" t="n"/>
      <c r="BV15" s="250" t="n"/>
      <c r="BW15" s="250" t="n"/>
      <c r="BX15" s="250" t="n"/>
      <c r="BY15" s="250" t="n"/>
      <c r="BZ15" s="250" t="n"/>
      <c r="CA15" s="250" t="n"/>
      <c r="CB15" s="250" t="n"/>
      <c r="CC15" s="250" t="n"/>
      <c r="CD15" s="250" t="n"/>
      <c r="CE15" s="250" t="n"/>
      <c r="CF15" s="250" t="n"/>
      <c r="CG15" s="250" t="n"/>
      <c r="CH15" s="250" t="n"/>
      <c r="CI15" s="250" t="n"/>
      <c r="CJ15" s="250" t="n"/>
      <c r="CK15" s="250" t="n"/>
      <c r="CL15" s="250" t="n"/>
      <c r="CM15" s="250" t="n"/>
      <c r="CN15" s="250" t="n"/>
      <c r="CO15" s="250" t="n"/>
      <c r="CP15" s="250" t="n"/>
      <c r="CQ15" s="250" t="n"/>
      <c r="CR15" s="250" t="n"/>
      <c r="CS15" s="250" t="n"/>
      <c r="CT15" s="250" t="n"/>
      <c r="CU15" s="250" t="n"/>
      <c r="CV15" s="250" t="n"/>
      <c r="CW15" s="250" t="n"/>
      <c r="CX15" s="250" t="n"/>
      <c r="CY15" s="250" t="n"/>
      <c r="CZ15" s="250" t="n"/>
      <c r="DA15" s="250" t="n"/>
      <c r="DB15" s="250" t="n"/>
      <c r="DC15" s="250" t="n"/>
      <c r="DD15" s="250" t="n"/>
      <c r="DE15" s="250" t="n"/>
      <c r="DF15" s="250" t="n"/>
      <c r="DG15" s="250" t="n"/>
      <c r="DH15" s="250" t="n"/>
      <c r="DI15" s="250" t="n"/>
      <c r="DJ15" s="250" t="n"/>
      <c r="DK15" s="250" t="n"/>
      <c r="DL15" s="250" t="n"/>
      <c r="DM15" s="250" t="n"/>
      <c r="DN15" s="250" t="n"/>
      <c r="DO15" s="250" t="n"/>
      <c r="DP15" s="250" t="n"/>
      <c r="DQ15" s="250" t="n"/>
      <c r="DR15" s="250" t="n"/>
      <c r="DS15" s="250" t="n"/>
      <c r="DT15" s="250" t="n"/>
      <c r="DU15" s="250" t="n"/>
      <c r="DV15" s="250" t="n"/>
      <c r="DW15" s="250" t="n"/>
      <c r="DX15" s="250" t="n"/>
      <c r="DY15" s="250" t="n"/>
      <c r="DZ15" s="250" t="n"/>
      <c r="EA15" s="160" t="n"/>
      <c r="EB15" s="125" t="n"/>
      <c r="EC15" s="126" t="n"/>
      <c r="ED15" s="126" t="n"/>
      <c r="EE15" s="126" t="n"/>
      <c r="EF15" s="126" t="n"/>
      <c r="EG15" s="126" t="n"/>
      <c r="EH15" s="126" t="n"/>
      <c r="EI15" s="126" t="n"/>
      <c r="EJ15" s="126" t="n"/>
      <c r="EK15" s="126" t="n"/>
      <c r="EL15" s="126" t="n"/>
      <c r="EM15" s="126" t="n"/>
      <c r="EN15" s="126" t="n"/>
      <c r="EO15" s="126" t="n"/>
      <c r="EP15" s="126" t="n"/>
      <c r="EQ15" s="126" t="n"/>
      <c r="ER15" s="126" t="n"/>
      <c r="ES15" s="126" t="n"/>
      <c r="ET15" s="126" t="n"/>
      <c r="EU15" s="126" t="n"/>
      <c r="EV15" s="126" t="n"/>
      <c r="EW15" s="126" t="n"/>
      <c r="EX15" s="126" t="n"/>
      <c r="EY15" s="126" t="n"/>
      <c r="EZ15" s="126" t="n"/>
      <c r="FA15" s="126" t="n"/>
      <c r="FB15" s="126" t="n"/>
      <c r="FC15" s="126" t="n"/>
      <c r="FD15" s="126" t="n"/>
      <c r="FE15" s="126" t="n"/>
      <c r="FF15" s="126" t="n"/>
      <c r="FG15" s="126" t="n"/>
      <c r="FH15" s="125" t="n"/>
      <c r="FI15" s="125" t="n"/>
      <c r="FJ15" s="125" t="n"/>
      <c r="FK15" s="125" t="n"/>
    </row>
    <row r="16">
      <c r="A16" s="250" t="n"/>
      <c r="B16" s="158" t="n"/>
      <c r="C16" s="157" t="n"/>
      <c r="D16" s="157" t="n"/>
      <c r="E16" s="158" t="n"/>
      <c r="F16" s="157" t="n"/>
      <c r="G16" s="157" t="n"/>
      <c r="H16" s="158" t="n"/>
      <c r="I16" s="157" t="n"/>
      <c r="J16" s="157" t="n"/>
      <c r="K16" s="158" t="n"/>
      <c r="L16" s="157" t="n"/>
      <c r="M16" s="157" t="n"/>
      <c r="N16" s="294" t="n"/>
      <c r="O16" s="294" t="n"/>
      <c r="P16" s="294" t="n"/>
      <c r="S16" s="250" t="n"/>
      <c r="T16" s="250" t="n"/>
      <c r="U16" s="250" t="n"/>
      <c r="V16" s="250" t="n"/>
      <c r="W16" s="250" t="n"/>
      <c r="X16" s="250" t="n"/>
      <c r="Y16" s="250" t="n"/>
      <c r="Z16" s="250" t="n"/>
      <c r="AA16" s="250" t="n"/>
      <c r="AB16" s="250" t="n"/>
      <c r="AC16" s="250" t="n"/>
      <c r="AD16" s="250" t="n"/>
      <c r="AE16" s="250" t="n"/>
      <c r="AF16" s="250" t="n"/>
      <c r="AG16" s="250" t="n"/>
      <c r="AH16" s="250" t="n"/>
      <c r="AI16" s="250" t="n"/>
      <c r="AJ16" s="250" t="n"/>
      <c r="AK16" s="250" t="n"/>
      <c r="AL16" s="250" t="inlineStr">
        <is>
          <t>門神　赤</t>
        </is>
      </c>
      <c r="AM16" s="250" t="n"/>
      <c r="AN16" s="136" t="inlineStr">
        <is>
          <t>e_jig_00001_jig1_advent_Normal_Red</t>
        </is>
      </c>
      <c r="AO16" s="136" t="inlineStr">
        <is>
          <t>e_mag_00301_challange_Normal_Red</t>
        </is>
      </c>
      <c r="AP16" s="250" t="inlineStr">
        <is>
          <t>建造物</t>
        </is>
      </c>
      <c r="AQ16" s="250" t="n"/>
      <c r="AR16" s="250" t="n"/>
      <c r="AS16" s="250" t="n"/>
      <c r="AT16" s="250" t="n"/>
      <c r="AU16" s="250" t="n"/>
      <c r="AV16" s="250" t="n"/>
      <c r="AW16" s="250" t="n"/>
      <c r="AX16" s="250" t="n"/>
      <c r="AY16" s="250" t="n"/>
      <c r="AZ16" s="250" t="n"/>
      <c r="BA16" s="250" t="n"/>
      <c r="BB16" s="250" t="n"/>
      <c r="BC16" s="250" t="n"/>
      <c r="BD16" s="250" t="n"/>
      <c r="BE16" s="250" t="n"/>
      <c r="BF16" s="250" t="n"/>
      <c r="BG16" s="250" t="n"/>
      <c r="BH16" s="250" t="n"/>
      <c r="BI16" s="250" t="n"/>
      <c r="BJ16" s="250" t="n"/>
      <c r="BK16" s="250" t="n"/>
      <c r="BL16" s="250" t="n"/>
      <c r="BM16" s="250" t="n"/>
      <c r="BN16" s="250" t="n"/>
      <c r="BO16" s="250" t="n"/>
      <c r="BP16" s="250" t="n"/>
      <c r="BQ16" s="250" t="n"/>
      <c r="BR16" s="250" t="n"/>
      <c r="BS16" s="250" t="n"/>
      <c r="BT16" s="250" t="n"/>
      <c r="BU16" s="250" t="n"/>
      <c r="BV16" s="250" t="n"/>
      <c r="BW16" s="250" t="n"/>
      <c r="BX16" s="250" t="n"/>
      <c r="BY16" s="250" t="n"/>
      <c r="BZ16" s="250" t="n"/>
      <c r="CA16" s="250" t="n"/>
      <c r="CB16" s="250" t="n"/>
      <c r="CC16" s="250" t="n"/>
      <c r="CD16" s="250" t="n"/>
      <c r="CE16" s="250" t="n"/>
      <c r="CF16" s="250" t="n"/>
      <c r="CG16" s="250" t="n"/>
      <c r="CH16" s="250" t="n"/>
      <c r="CI16" s="250" t="n"/>
      <c r="CJ16" s="250" t="n"/>
      <c r="CK16" s="250" t="n"/>
      <c r="CL16" s="250" t="n"/>
      <c r="CM16" s="250" t="n"/>
      <c r="CN16" s="250" t="n"/>
      <c r="CO16" s="250" t="n"/>
      <c r="CP16" s="250" t="n"/>
      <c r="CQ16" s="250" t="n"/>
      <c r="CR16" s="250" t="n"/>
      <c r="CS16" s="250" t="n"/>
      <c r="CT16" s="250" t="n"/>
      <c r="CU16" s="250" t="n"/>
      <c r="CV16" s="250" t="n"/>
      <c r="CW16" s="250" t="n"/>
      <c r="CX16" s="250" t="n"/>
      <c r="CY16" s="250" t="n"/>
      <c r="CZ16" s="250" t="n"/>
      <c r="DA16" s="250" t="n"/>
      <c r="DB16" s="250" t="n"/>
      <c r="DC16" s="250" t="n"/>
      <c r="DD16" s="250" t="n"/>
      <c r="DE16" s="250" t="n"/>
      <c r="DF16" s="250" t="n"/>
      <c r="DG16" s="250" t="n"/>
      <c r="DH16" s="250" t="n"/>
      <c r="DI16" s="250" t="n"/>
      <c r="DJ16" s="250" t="n"/>
      <c r="DK16" s="250" t="n"/>
      <c r="DL16" s="250" t="n"/>
      <c r="DM16" s="250" t="n"/>
      <c r="DN16" s="250" t="n"/>
      <c r="DO16" s="250" t="n"/>
      <c r="DP16" s="250" t="n"/>
      <c r="DQ16" s="250" t="n"/>
      <c r="DR16" s="250" t="n"/>
      <c r="DS16" s="250" t="n"/>
      <c r="DT16" s="250" t="n"/>
      <c r="DU16" s="250" t="n"/>
      <c r="DV16" s="250" t="n"/>
      <c r="DW16" s="250" t="n"/>
      <c r="DX16" s="250" t="n"/>
      <c r="DY16" s="250" t="n"/>
      <c r="DZ16" s="250" t="n"/>
      <c r="EA16" s="160" t="n"/>
      <c r="EB16" s="125" t="n"/>
      <c r="EC16" s="126" t="n"/>
      <c r="ED16" s="126" t="n"/>
      <c r="EE16" s="126" t="n"/>
      <c r="EF16" s="126" t="n"/>
      <c r="EG16" s="126" t="n"/>
      <c r="EH16" s="126" t="n"/>
      <c r="EI16" s="126" t="n"/>
      <c r="EJ16" s="126" t="n"/>
      <c r="EK16" s="126" t="n"/>
      <c r="EL16" s="126" t="n"/>
      <c r="EM16" s="126" t="n"/>
      <c r="EN16" s="126" t="n"/>
      <c r="EO16" s="126" t="n"/>
      <c r="EP16" s="126" t="n"/>
      <c r="EQ16" s="126" t="n"/>
      <c r="ER16" s="126" t="n"/>
      <c r="ES16" s="126" t="n"/>
      <c r="ET16" s="126" t="n"/>
      <c r="EU16" s="126" t="n"/>
      <c r="EV16" s="126" t="n"/>
      <c r="EW16" s="126" t="n"/>
      <c r="EX16" s="126" t="n"/>
      <c r="EY16" s="126" t="n"/>
      <c r="EZ16" s="126" t="n"/>
      <c r="FA16" s="126" t="n"/>
      <c r="FB16" s="126" t="n"/>
      <c r="FC16" s="126" t="n"/>
      <c r="FD16" s="126" t="n"/>
      <c r="FE16" s="126" t="n"/>
      <c r="FF16" s="126" t="n"/>
      <c r="FG16" s="126" t="n"/>
      <c r="FH16" s="125" t="n"/>
      <c r="FI16" s="125" t="n"/>
      <c r="FJ16" s="125" t="n"/>
      <c r="FK16" s="125" t="n"/>
    </row>
    <row r="17">
      <c r="A17" s="250" t="n"/>
      <c r="B17" s="158" t="n"/>
      <c r="C17" s="157" t="n"/>
      <c r="D17" s="157" t="n"/>
      <c r="E17" s="158" t="n"/>
      <c r="F17" s="157" t="n"/>
      <c r="G17" s="157" t="n"/>
      <c r="H17" s="158" t="n"/>
      <c r="I17" s="157" t="n"/>
      <c r="J17" s="157" t="n"/>
      <c r="K17" s="158" t="n"/>
      <c r="L17" s="157" t="n"/>
      <c r="M17" s="157" t="n"/>
      <c r="N17" s="294" t="n"/>
      <c r="O17" s="294" t="n"/>
      <c r="P17" s="294" t="n"/>
      <c r="S17" s="250" t="n"/>
      <c r="T17" s="250" t="n"/>
      <c r="U17" s="250" t="n"/>
      <c r="V17" s="250" t="n"/>
      <c r="W17" s="250" t="n"/>
      <c r="X17" s="250" t="n"/>
      <c r="Y17" s="250" t="n"/>
      <c r="Z17" s="250" t="n"/>
      <c r="AA17" s="250" t="n"/>
      <c r="AB17" s="250" t="n"/>
      <c r="AC17" s="250" t="n"/>
      <c r="AD17" s="250" t="n"/>
      <c r="AE17" s="250" t="n"/>
      <c r="AF17" s="250" t="n"/>
      <c r="AG17" s="250" t="n"/>
      <c r="AH17" s="250" t="n"/>
      <c r="AI17" s="250" t="n"/>
      <c r="AJ17" s="250" t="n"/>
      <c r="AK17" s="250" t="n"/>
      <c r="AL17" s="250" t="inlineStr">
        <is>
          <t>門神　黄色</t>
        </is>
      </c>
      <c r="AM17" s="250" t="n"/>
      <c r="AN17" s="136" t="inlineStr">
        <is>
          <t>e_jig_00001_jig1_advent_Normal_Yellow</t>
        </is>
      </c>
      <c r="AO17" s="136" t="inlineStr">
        <is>
          <t>e_mag_00301_siget_Normal_Yellow</t>
        </is>
      </c>
      <c r="AP17" s="250" t="inlineStr">
        <is>
          <t>建造物</t>
        </is>
      </c>
      <c r="AQ17" s="250" t="n"/>
      <c r="AR17" s="250" t="n"/>
      <c r="AS17" s="250" t="n"/>
      <c r="AT17" s="250" t="n"/>
      <c r="AU17" s="250" t="n"/>
      <c r="AV17" s="250" t="n"/>
      <c r="AW17" s="250" t="n"/>
      <c r="AX17" s="250" t="n"/>
      <c r="AY17" s="250" t="n"/>
      <c r="AZ17" s="250" t="n"/>
      <c r="BA17" s="250" t="n"/>
      <c r="BB17" s="250" t="n"/>
      <c r="BC17" s="250" t="n"/>
      <c r="BD17" s="250" t="n"/>
      <c r="BE17" s="250" t="n"/>
      <c r="BF17" s="250" t="n"/>
      <c r="BG17" s="250" t="n"/>
      <c r="BH17" s="250" t="n"/>
      <c r="BI17" s="250" t="n"/>
      <c r="BJ17" s="250" t="n"/>
      <c r="BK17" s="250" t="n"/>
      <c r="BL17" s="250" t="n"/>
      <c r="BM17" s="250" t="n"/>
      <c r="BN17" s="250" t="n"/>
      <c r="BO17" s="250" t="n"/>
      <c r="BP17" s="250" t="n"/>
      <c r="BQ17" s="250" t="n"/>
      <c r="BR17" s="250" t="n"/>
      <c r="BS17" s="250" t="n"/>
      <c r="BT17" s="250" t="n"/>
      <c r="BU17" s="250" t="n"/>
      <c r="BV17" s="250" t="n"/>
      <c r="BW17" s="250" t="n"/>
      <c r="BX17" s="250" t="n"/>
      <c r="BY17" s="250" t="n"/>
      <c r="BZ17" s="250" t="n"/>
      <c r="CA17" s="250" t="n"/>
      <c r="CB17" s="250" t="n"/>
      <c r="CC17" s="250" t="n"/>
      <c r="CD17" s="250" t="n"/>
      <c r="CE17" s="250" t="n"/>
      <c r="CF17" s="250" t="n"/>
      <c r="CG17" s="250" t="n"/>
      <c r="CH17" s="250" t="n"/>
      <c r="CI17" s="250" t="n"/>
      <c r="CJ17" s="250" t="n"/>
      <c r="CK17" s="250" t="n"/>
      <c r="CL17" s="250" t="n"/>
      <c r="CM17" s="250" t="n"/>
      <c r="CN17" s="250" t="n"/>
      <c r="CO17" s="250" t="n"/>
      <c r="CP17" s="250" t="n"/>
      <c r="CQ17" s="250" t="n"/>
      <c r="CR17" s="250" t="n"/>
      <c r="CS17" s="250" t="n"/>
      <c r="CT17" s="250" t="n"/>
      <c r="CU17" s="250" t="n"/>
      <c r="CV17" s="250" t="n"/>
      <c r="CW17" s="250" t="n"/>
      <c r="CX17" s="250" t="n"/>
      <c r="CY17" s="250" t="n"/>
      <c r="CZ17" s="250" t="n"/>
      <c r="DA17" s="250" t="n"/>
      <c r="DB17" s="250" t="n"/>
      <c r="DC17" s="250" t="n"/>
      <c r="DD17" s="250" t="n"/>
      <c r="DE17" s="250" t="n"/>
      <c r="DF17" s="250" t="n"/>
      <c r="DG17" s="250" t="n"/>
      <c r="DH17" s="250" t="n"/>
      <c r="DI17" s="250" t="n"/>
      <c r="DJ17" s="250" t="n"/>
      <c r="DK17" s="250" t="n"/>
      <c r="DL17" s="250" t="n"/>
      <c r="DM17" s="250" t="n"/>
      <c r="DN17" s="250" t="n"/>
      <c r="DO17" s="250" t="n"/>
      <c r="DP17" s="250" t="n"/>
      <c r="DQ17" s="250" t="n"/>
      <c r="DR17" s="250" t="n"/>
      <c r="DS17" s="250" t="n"/>
      <c r="DT17" s="250" t="n"/>
      <c r="DU17" s="250" t="n"/>
      <c r="DV17" s="250" t="n"/>
      <c r="DW17" s="250" t="n"/>
      <c r="DX17" s="250" t="n"/>
      <c r="DY17" s="250" t="n"/>
      <c r="DZ17" s="250" t="n"/>
      <c r="EA17" s="160" t="n"/>
      <c r="EB17" s="125" t="n"/>
      <c r="EC17" s="126" t="n"/>
      <c r="ED17" s="126" t="n"/>
      <c r="EE17" s="126" t="n"/>
      <c r="EF17" s="126" t="n"/>
      <c r="EG17" s="126" t="n"/>
      <c r="EH17" s="126" t="n"/>
      <c r="EI17" s="126" t="n"/>
      <c r="EJ17" s="126" t="n"/>
      <c r="EK17" s="126" t="n"/>
      <c r="EL17" s="126" t="n"/>
      <c r="EM17" s="126" t="n"/>
      <c r="EN17" s="126" t="n"/>
      <c r="EO17" s="126" t="n"/>
      <c r="EP17" s="126" t="n"/>
      <c r="EQ17" s="126" t="n"/>
      <c r="ER17" s="126" t="n"/>
      <c r="ES17" s="126" t="n"/>
      <c r="ET17" s="126" t="n"/>
      <c r="EU17" s="126" t="n"/>
      <c r="EV17" s="126" t="n"/>
      <c r="EW17" s="126" t="n"/>
      <c r="EX17" s="126" t="n"/>
      <c r="EY17" s="126" t="n"/>
      <c r="EZ17" s="126" t="n"/>
      <c r="FA17" s="126" t="n"/>
      <c r="FB17" s="126" t="n"/>
      <c r="FC17" s="126" t="n"/>
      <c r="FD17" s="126" t="n"/>
      <c r="FE17" s="126" t="n"/>
      <c r="FF17" s="126" t="n"/>
      <c r="FG17" s="126" t="n"/>
      <c r="FH17" s="125" t="n"/>
      <c r="FI17" s="125" t="n"/>
      <c r="FJ17" s="125" t="n"/>
      <c r="FK17" s="125" t="n"/>
    </row>
    <row r="18">
      <c r="A18" s="250" t="n"/>
      <c r="B18" s="158" t="n"/>
      <c r="C18" s="157" t="n"/>
      <c r="D18" s="157" t="n"/>
      <c r="E18" s="158" t="n"/>
      <c r="F18" s="157" t="n"/>
      <c r="G18" s="157" t="n"/>
      <c r="H18" s="158" t="n"/>
      <c r="I18" s="157" t="n"/>
      <c r="J18" s="157" t="n"/>
      <c r="K18" s="158" t="n"/>
      <c r="L18" s="157" t="n"/>
      <c r="M18" s="157" t="n"/>
      <c r="N18" s="294" t="n"/>
      <c r="O18" s="294" t="n"/>
      <c r="P18" s="294" t="n"/>
      <c r="S18" s="250" t="n"/>
      <c r="T18" s="250" t="n"/>
      <c r="U18" s="250" t="n"/>
      <c r="V18" s="250" t="n"/>
      <c r="W18" s="250" t="n"/>
      <c r="X18" s="250" t="n"/>
      <c r="Y18" s="250" t="n"/>
      <c r="Z18" s="250" t="n"/>
      <c r="AA18" s="250" t="n"/>
      <c r="AB18" s="250" t="n"/>
      <c r="AC18" s="250" t="n"/>
      <c r="AD18" s="250" t="n"/>
      <c r="AE18" s="250" t="n"/>
      <c r="AF18" s="250" t="n"/>
      <c r="AG18" s="250" t="n"/>
      <c r="AH18" s="250" t="n"/>
      <c r="AI18" s="250" t="n"/>
      <c r="AJ18" s="250" t="n"/>
      <c r="AK18" s="250" t="n"/>
      <c r="AL18" s="250" t="inlineStr">
        <is>
          <t>門神　緑</t>
        </is>
      </c>
      <c r="AM18" s="250" t="n"/>
      <c r="AN18" s="136" t="inlineStr">
        <is>
          <t>e_jig_00001_jig1_advent_Normal_Green</t>
        </is>
      </c>
      <c r="AO18" s="136" t="inlineStr">
        <is>
          <t>e_mag_00301_aknget_Normal_Green</t>
        </is>
      </c>
      <c r="AP18" s="250" t="inlineStr">
        <is>
          <t>建造物</t>
        </is>
      </c>
      <c r="AQ18" s="250" t="n"/>
      <c r="AR18" s="250" t="n"/>
      <c r="AS18" s="250" t="n"/>
      <c r="AT18" s="250" t="n"/>
      <c r="AU18" s="250" t="n"/>
      <c r="AV18" s="250" t="n"/>
      <c r="AW18" s="250" t="n"/>
      <c r="AX18" s="250" t="n"/>
      <c r="AY18" s="250" t="n"/>
      <c r="AZ18" s="250" t="n"/>
      <c r="BA18" s="250" t="n"/>
      <c r="BB18" s="250" t="n"/>
      <c r="BC18" s="250" t="n"/>
      <c r="BD18" s="250" t="n"/>
      <c r="BE18" s="250" t="n"/>
      <c r="BF18" s="250" t="n"/>
      <c r="BG18" s="250" t="n"/>
      <c r="BH18" s="250" t="n"/>
      <c r="BI18" s="250" t="n"/>
      <c r="BJ18" s="250" t="n"/>
      <c r="BK18" s="250" t="n"/>
      <c r="BL18" s="250" t="n"/>
      <c r="BM18" s="250" t="n"/>
      <c r="BN18" s="250" t="n"/>
      <c r="BO18" s="250" t="n"/>
      <c r="BP18" s="250" t="n"/>
      <c r="BQ18" s="250" t="n"/>
      <c r="BR18" s="250" t="n"/>
      <c r="BS18" s="250" t="n"/>
      <c r="BT18" s="250" t="n"/>
      <c r="BU18" s="250" t="n"/>
      <c r="BV18" s="250" t="n"/>
      <c r="BW18" s="250" t="n"/>
      <c r="BX18" s="250" t="n"/>
      <c r="BY18" s="250" t="n"/>
      <c r="BZ18" s="250" t="n"/>
      <c r="CA18" s="250" t="n"/>
      <c r="CB18" s="250" t="n"/>
      <c r="CC18" s="250" t="n"/>
      <c r="CD18" s="250" t="n"/>
      <c r="CE18" s="250" t="n"/>
      <c r="CF18" s="250" t="n"/>
      <c r="CG18" s="250" t="n"/>
      <c r="CH18" s="250" t="n"/>
      <c r="CI18" s="250" t="n"/>
      <c r="CJ18" s="250" t="n"/>
      <c r="CK18" s="250" t="n"/>
      <c r="CL18" s="250" t="n"/>
      <c r="CM18" s="250" t="n"/>
      <c r="CN18" s="250" t="n"/>
      <c r="CO18" s="250" t="n"/>
      <c r="CP18" s="250" t="n"/>
      <c r="CQ18" s="250" t="n"/>
      <c r="CR18" s="250" t="n"/>
      <c r="CS18" s="250" t="n"/>
      <c r="CT18" s="250" t="n"/>
      <c r="CU18" s="250" t="n"/>
      <c r="CV18" s="250" t="n"/>
      <c r="CW18" s="250" t="n"/>
      <c r="CX18" s="250" t="n"/>
      <c r="CY18" s="250" t="n"/>
      <c r="CZ18" s="250" t="n"/>
      <c r="DA18" s="250" t="n"/>
      <c r="DB18" s="250" t="n"/>
      <c r="DC18" s="250" t="n"/>
      <c r="DD18" s="250" t="n"/>
      <c r="DE18" s="250" t="n"/>
      <c r="DF18" s="250" t="n"/>
      <c r="DG18" s="250" t="n"/>
      <c r="DH18" s="250" t="n"/>
      <c r="DI18" s="250" t="n"/>
      <c r="DJ18" s="250" t="n"/>
      <c r="DK18" s="250" t="n"/>
      <c r="DL18" s="250" t="n"/>
      <c r="DM18" s="250" t="n"/>
      <c r="DN18" s="250" t="n"/>
      <c r="DO18" s="250" t="n"/>
      <c r="DP18" s="250" t="n"/>
      <c r="DQ18" s="250" t="n"/>
      <c r="DR18" s="250" t="n"/>
      <c r="DS18" s="250" t="n"/>
      <c r="DT18" s="250" t="n"/>
      <c r="DU18" s="250" t="n"/>
      <c r="DV18" s="250" t="n"/>
      <c r="DW18" s="250" t="n"/>
      <c r="DX18" s="250" t="n"/>
      <c r="DY18" s="250" t="n"/>
      <c r="DZ18" s="250" t="n"/>
      <c r="EA18" s="160" t="n"/>
      <c r="EB18" s="125" t="n"/>
      <c r="EC18" s="126" t="n"/>
      <c r="ED18" s="126" t="n"/>
      <c r="EE18" s="126" t="n"/>
      <c r="EF18" s="126" t="n"/>
      <c r="EG18" s="126" t="n"/>
      <c r="EH18" s="126" t="n"/>
      <c r="EI18" s="126" t="n"/>
      <c r="EJ18" s="126" t="n"/>
      <c r="EK18" s="126" t="n"/>
      <c r="EL18" s="126" t="n"/>
      <c r="EM18" s="126" t="n"/>
      <c r="EN18" s="126" t="n"/>
      <c r="EO18" s="126" t="n"/>
      <c r="EP18" s="126" t="n"/>
      <c r="EQ18" s="126" t="n"/>
      <c r="ER18" s="126" t="n"/>
      <c r="ES18" s="126" t="n"/>
      <c r="ET18" s="126" t="n"/>
      <c r="EU18" s="126" t="n"/>
      <c r="EV18" s="126" t="n"/>
      <c r="EW18" s="126" t="n"/>
      <c r="EX18" s="126" t="n"/>
      <c r="EY18" s="126" t="n"/>
      <c r="EZ18" s="126" t="n"/>
      <c r="FA18" s="126" t="n"/>
      <c r="FB18" s="126" t="n"/>
      <c r="FC18" s="126" t="n"/>
      <c r="FD18" s="126" t="n"/>
      <c r="FE18" s="126" t="n"/>
      <c r="FF18" s="126" t="n"/>
      <c r="FG18" s="126" t="n"/>
      <c r="FH18" s="125" t="n"/>
      <c r="FI18" s="125" t="n"/>
      <c r="FJ18" s="125" t="n"/>
      <c r="FK18" s="125" t="n"/>
    </row>
    <row r="19">
      <c r="A19" s="250" t="n"/>
      <c r="B19" s="158" t="n"/>
      <c r="C19" s="157" t="n"/>
      <c r="D19" s="157" t="n"/>
      <c r="E19" s="158" t="n"/>
      <c r="F19" s="157" t="n"/>
      <c r="G19" s="157" t="n"/>
      <c r="H19" s="158" t="n"/>
      <c r="I19" s="157" t="n"/>
      <c r="J19" s="157" t="n"/>
      <c r="K19" s="158" t="n"/>
      <c r="L19" s="157" t="n"/>
      <c r="M19" s="157" t="n"/>
      <c r="N19" s="294" t="n"/>
      <c r="O19" s="294" t="n"/>
      <c r="P19" s="294" t="n"/>
      <c r="S19" s="250" t="n"/>
      <c r="T19" s="250" t="n"/>
      <c r="U19" s="250" t="n"/>
      <c r="V19" s="250" t="n"/>
      <c r="W19" s="250" t="n"/>
      <c r="X19" s="250" t="n"/>
      <c r="Y19" s="250" t="n"/>
      <c r="Z19" s="250" t="n"/>
      <c r="AA19" s="250" t="n"/>
      <c r="AB19" s="250" t="n"/>
      <c r="AC19" s="250" t="n"/>
      <c r="AD19" s="250" t="n"/>
      <c r="AE19" s="250" t="n"/>
      <c r="AF19" s="250" t="n"/>
      <c r="AG19" s="250" t="n"/>
      <c r="AH19" s="250" t="n"/>
      <c r="AI19" s="250" t="n"/>
      <c r="AJ19" s="250" t="n"/>
      <c r="AK19" s="250" t="n"/>
      <c r="AL19" s="250" t="n"/>
      <c r="AM19" s="250" t="n"/>
      <c r="AN19" s="250" t="n"/>
      <c r="AO19" s="250" t="n"/>
      <c r="AP19" s="250" t="n"/>
      <c r="AQ19" s="250" t="n"/>
      <c r="AR19" s="250" t="n"/>
      <c r="AS19" s="250" t="n"/>
      <c r="AT19" s="250" t="n"/>
      <c r="AU19" s="250" t="n"/>
      <c r="AV19" s="250" t="n"/>
      <c r="AW19" s="250" t="n"/>
      <c r="AX19" s="250" t="n"/>
      <c r="AY19" s="250" t="n"/>
      <c r="AZ19" s="250" t="n"/>
      <c r="BA19" s="250" t="n"/>
      <c r="BB19" s="250" t="n"/>
      <c r="BC19" s="250" t="n"/>
      <c r="BD19" s="250" t="n"/>
      <c r="BE19" s="250" t="n"/>
      <c r="BF19" s="250" t="n"/>
      <c r="BG19" s="250" t="n"/>
      <c r="BH19" s="250" t="n"/>
      <c r="BI19" s="250" t="n"/>
      <c r="BJ19" s="250" t="n"/>
      <c r="BK19" s="250" t="n"/>
      <c r="BL19" s="250" t="n"/>
      <c r="BM19" s="250" t="n"/>
      <c r="BN19" s="250" t="n"/>
      <c r="BO19" s="250" t="n"/>
      <c r="BP19" s="250" t="n"/>
      <c r="BQ19" s="250" t="n"/>
      <c r="BR19" s="250" t="n"/>
      <c r="BS19" s="250" t="n"/>
      <c r="BT19" s="250" t="n"/>
      <c r="BU19" s="250" t="n"/>
      <c r="BV19" s="250" t="n"/>
      <c r="BW19" s="250" t="n"/>
      <c r="BX19" s="250" t="n"/>
      <c r="BY19" s="250" t="n"/>
      <c r="BZ19" s="250" t="n"/>
      <c r="CA19" s="250" t="n"/>
      <c r="CB19" s="250" t="n"/>
      <c r="CC19" s="250" t="n"/>
      <c r="CD19" s="250" t="n"/>
      <c r="CE19" s="250" t="n"/>
      <c r="CF19" s="250" t="n"/>
      <c r="CG19" s="250" t="n"/>
      <c r="CH19" s="250" t="n"/>
      <c r="CI19" s="250" t="n"/>
      <c r="CJ19" s="250" t="n"/>
      <c r="CK19" s="250" t="n"/>
      <c r="CL19" s="250" t="n"/>
      <c r="CM19" s="250" t="n"/>
      <c r="CN19" s="250" t="n"/>
      <c r="CO19" s="250" t="n"/>
      <c r="CP19" s="250" t="n"/>
      <c r="CQ19" s="250" t="n"/>
      <c r="CR19" s="250" t="n"/>
      <c r="CS19" s="250" t="n"/>
      <c r="CT19" s="250" t="n"/>
      <c r="CU19" s="250" t="n"/>
      <c r="CV19" s="250" t="n"/>
      <c r="CW19" s="250" t="n"/>
      <c r="CX19" s="250" t="n"/>
      <c r="CY19" s="250" t="n"/>
      <c r="CZ19" s="250" t="n"/>
      <c r="DA19" s="250" t="n"/>
      <c r="DB19" s="250" t="n"/>
      <c r="DC19" s="250" t="n"/>
      <c r="DD19" s="250" t="n"/>
      <c r="DE19" s="250" t="n"/>
      <c r="DF19" s="250" t="n"/>
      <c r="DG19" s="250" t="n"/>
      <c r="DH19" s="250" t="n"/>
      <c r="DI19" s="250" t="n"/>
      <c r="DJ19" s="250" t="n"/>
      <c r="DK19" s="250" t="n"/>
      <c r="DL19" s="250" t="n"/>
      <c r="DM19" s="250" t="n"/>
      <c r="DN19" s="250" t="n"/>
      <c r="DO19" s="250" t="n"/>
      <c r="DP19" s="250" t="n"/>
      <c r="DQ19" s="250" t="n"/>
      <c r="DR19" s="250" t="n"/>
      <c r="DS19" s="250" t="n"/>
      <c r="DT19" s="250" t="n"/>
      <c r="DU19" s="250" t="n"/>
      <c r="DV19" s="250" t="n"/>
      <c r="DW19" s="250" t="n"/>
      <c r="DX19" s="250" t="n"/>
      <c r="DY19" s="250" t="n"/>
      <c r="DZ19" s="250" t="n"/>
      <c r="EA19" s="160" t="n"/>
      <c r="EB19" s="125" t="n"/>
      <c r="EC19" s="126" t="n"/>
      <c r="ED19" s="126" t="n"/>
      <c r="EE19" s="126" t="n"/>
      <c r="EF19" s="126" t="n"/>
      <c r="EG19" s="126" t="n"/>
      <c r="EH19" s="126" t="n"/>
      <c r="EI19" s="126" t="n"/>
      <c r="EJ19" s="126" t="n"/>
      <c r="EK19" s="126" t="n"/>
      <c r="EL19" s="126" t="n"/>
      <c r="EM19" s="126" t="n"/>
      <c r="EN19" s="126" t="n"/>
      <c r="EO19" s="126" t="n"/>
      <c r="EP19" s="126" t="n"/>
      <c r="EQ19" s="126" t="n"/>
      <c r="ER19" s="126" t="n"/>
      <c r="ES19" s="126" t="n"/>
      <c r="ET19" s="126" t="n"/>
      <c r="EU19" s="126" t="n"/>
      <c r="EV19" s="126" t="n"/>
      <c r="EW19" s="126" t="n"/>
      <c r="EX19" s="126" t="n"/>
      <c r="EY19" s="126" t="n"/>
      <c r="EZ19" s="126" t="n"/>
      <c r="FA19" s="126" t="n"/>
      <c r="FB19" s="126" t="n"/>
      <c r="FC19" s="126" t="n"/>
      <c r="FD19" s="126" t="n"/>
      <c r="FE19" s="126" t="n"/>
      <c r="FF19" s="126" t="n"/>
      <c r="FG19" s="126" t="n"/>
      <c r="FH19" s="125" t="n"/>
      <c r="FI19" s="125" t="n"/>
      <c r="FJ19" s="125" t="n"/>
      <c r="FK19" s="125" t="n"/>
    </row>
    <row r="20">
      <c r="A20" s="250" t="n"/>
      <c r="B20" s="250" t="n"/>
      <c r="C20" s="250" t="n"/>
      <c r="D20" s="250" t="n"/>
      <c r="E20" s="250" t="n"/>
      <c r="F20" s="250" t="n"/>
      <c r="G20" s="250" t="n"/>
      <c r="H20" s="250" t="n"/>
      <c r="I20" s="250" t="n"/>
      <c r="J20" s="250" t="n"/>
      <c r="K20" s="250" t="n"/>
      <c r="L20" s="250" t="n"/>
      <c r="M20" s="250" t="n"/>
      <c r="N20" s="250" t="n"/>
      <c r="O20" s="250" t="n"/>
      <c r="P20" s="250" t="n"/>
      <c r="Q20" s="250" t="n"/>
      <c r="R20" s="250" t="n"/>
      <c r="S20" s="250" t="n"/>
      <c r="T20" s="250" t="n"/>
      <c r="U20" s="250" t="n"/>
      <c r="V20" s="250" t="n"/>
      <c r="W20" s="250" t="n"/>
      <c r="X20" s="250" t="n"/>
      <c r="Y20" s="250" t="n"/>
      <c r="Z20" s="250" t="n"/>
      <c r="AA20" s="250" t="n"/>
      <c r="AB20" s="250" t="n"/>
      <c r="AC20" s="250" t="n"/>
      <c r="AD20" s="250" t="n"/>
      <c r="AE20" s="250" t="n"/>
      <c r="AF20" s="250" t="n"/>
      <c r="AG20" s="250" t="n"/>
      <c r="AH20" s="250" t="n"/>
      <c r="AI20" s="250" t="n"/>
      <c r="AJ20" s="250" t="n"/>
      <c r="AK20" s="250" t="n"/>
      <c r="AL20" s="250" t="n"/>
      <c r="AM20" s="250" t="n"/>
      <c r="AN20" s="250" t="n"/>
      <c r="AO20" s="250" t="n"/>
      <c r="AP20" s="250" t="n"/>
      <c r="AQ20" s="250" t="n"/>
      <c r="AR20" s="250" t="n"/>
      <c r="AS20" s="250" t="n"/>
      <c r="AT20" s="250" t="n"/>
      <c r="AU20" s="250" t="n"/>
      <c r="AV20" s="250" t="n"/>
      <c r="AW20" s="250" t="n"/>
      <c r="AX20" s="250" t="n"/>
      <c r="AY20" s="250" t="n"/>
      <c r="AZ20" s="250" t="n"/>
      <c r="BA20" s="250" t="n"/>
      <c r="BB20" s="250" t="n"/>
      <c r="BC20" s="250" t="n"/>
      <c r="BD20" s="250" t="n"/>
      <c r="BE20" s="250" t="n"/>
      <c r="BF20" s="250" t="n"/>
      <c r="BG20" s="250" t="n"/>
      <c r="BH20" s="250" t="n"/>
      <c r="BI20" s="250" t="n"/>
      <c r="BJ20" s="250" t="n"/>
      <c r="BK20" s="250" t="n"/>
      <c r="BL20" s="250" t="n"/>
      <c r="BM20" s="250" t="n"/>
      <c r="BN20" s="250" t="n"/>
      <c r="BO20" s="250" t="n"/>
      <c r="BP20" s="250" t="n"/>
      <c r="BQ20" s="250" t="n"/>
      <c r="BR20" s="250" t="n"/>
      <c r="BS20" s="250" t="n"/>
      <c r="BT20" s="250" t="n"/>
      <c r="BU20" s="250" t="n"/>
      <c r="BV20" s="250" t="n"/>
      <c r="BW20" s="250" t="n"/>
      <c r="BX20" s="250" t="n"/>
      <c r="BY20" s="250" t="n"/>
      <c r="BZ20" s="250" t="n"/>
      <c r="CA20" s="250" t="n"/>
      <c r="CB20" s="250" t="n"/>
      <c r="CC20" s="250" t="n"/>
      <c r="CD20" s="250" t="n"/>
      <c r="CE20" s="250" t="n"/>
      <c r="CF20" s="250" t="n"/>
      <c r="CG20" s="250" t="n"/>
      <c r="CH20" s="250" t="n"/>
      <c r="CI20" s="250" t="n"/>
      <c r="CJ20" s="250" t="n"/>
      <c r="CK20" s="250" t="n"/>
      <c r="CL20" s="250" t="n"/>
      <c r="CM20" s="250" t="n"/>
      <c r="CN20" s="250" t="n"/>
      <c r="CO20" s="250" t="n"/>
      <c r="CP20" s="250" t="n"/>
      <c r="CQ20" s="250" t="n"/>
      <c r="CR20" s="250" t="n"/>
      <c r="CS20" s="250" t="n"/>
      <c r="CT20" s="250" t="n"/>
      <c r="CU20" s="250" t="n"/>
      <c r="CV20" s="250" t="n"/>
      <c r="CW20" s="250" t="n"/>
      <c r="CX20" s="250" t="n"/>
      <c r="CY20" s="250" t="n"/>
      <c r="CZ20" s="250" t="n"/>
      <c r="DA20" s="250" t="n"/>
      <c r="DB20" s="250" t="n"/>
      <c r="DC20" s="250" t="n"/>
      <c r="DD20" s="250" t="n"/>
      <c r="DE20" s="250" t="n"/>
      <c r="DF20" s="250" t="n"/>
      <c r="DG20" s="250" t="n"/>
      <c r="DH20" s="250" t="n"/>
      <c r="DI20" s="250" t="n"/>
      <c r="DJ20" s="250" t="n"/>
      <c r="DK20" s="250" t="n"/>
      <c r="DL20" s="250" t="n"/>
      <c r="DM20" s="250" t="n"/>
      <c r="DN20" s="250" t="n"/>
      <c r="DO20" s="250" t="n"/>
      <c r="DP20" s="250" t="n"/>
      <c r="DQ20" s="250" t="n"/>
      <c r="DR20" s="250" t="n"/>
      <c r="DS20" s="250" t="n"/>
      <c r="DT20" s="250" t="n"/>
      <c r="DU20" s="250" t="n"/>
      <c r="DV20" s="250" t="n"/>
      <c r="DW20" s="250" t="n"/>
      <c r="DX20" s="250" t="n"/>
      <c r="DY20" s="250" t="n"/>
      <c r="DZ20" s="250" t="n"/>
      <c r="EA20" s="160" t="n"/>
      <c r="EB20" s="125" t="n"/>
      <c r="EC20" s="126" t="n"/>
      <c r="ED20" s="126" t="n"/>
      <c r="EE20" s="126" t="n"/>
      <c r="EF20" s="126" t="n"/>
      <c r="EG20" s="126" t="n"/>
      <c r="EH20" s="126" t="n"/>
      <c r="EI20" s="126" t="n"/>
      <c r="EJ20" s="126" t="n"/>
      <c r="EK20" s="126" t="n"/>
      <c r="EL20" s="126" t="n"/>
      <c r="EM20" s="126" t="n"/>
      <c r="EN20" s="126" t="n"/>
      <c r="EO20" s="126" t="n"/>
      <c r="EP20" s="126" t="n"/>
      <c r="EQ20" s="126" t="n"/>
      <c r="ER20" s="126" t="n"/>
      <c r="ES20" s="126" t="n"/>
      <c r="ET20" s="126" t="n"/>
      <c r="EU20" s="126" t="n"/>
      <c r="EV20" s="126" t="n"/>
      <c r="EW20" s="126" t="n"/>
      <c r="EX20" s="126" t="n"/>
      <c r="EY20" s="126" t="n"/>
      <c r="EZ20" s="126" t="n"/>
      <c r="FA20" s="126" t="n"/>
      <c r="FB20" s="126" t="n"/>
      <c r="FC20" s="126" t="n"/>
      <c r="FD20" s="126" t="n"/>
      <c r="FE20" s="126" t="n"/>
      <c r="FF20" s="126" t="n"/>
      <c r="FG20" s="126" t="n"/>
      <c r="FH20" s="125" t="n"/>
      <c r="FI20" s="125" t="n"/>
      <c r="FJ20" s="125" t="n"/>
      <c r="FK20" s="125" t="n"/>
    </row>
    <row r="21">
      <c r="A21" s="122" t="n"/>
      <c r="B21" s="123" t="inlineStr">
        <is>
          <t>■報酬設計</t>
        </is>
      </c>
      <c r="C21" s="160" t="n"/>
      <c r="D21" s="160" t="n"/>
      <c r="E21" s="160" t="n"/>
      <c r="F21" s="160" t="n"/>
      <c r="G21" s="160" t="n"/>
      <c r="H21" s="160" t="n"/>
      <c r="I21" s="160" t="n"/>
      <c r="J21" s="160" t="n"/>
      <c r="K21" s="160" t="n"/>
      <c r="L21" s="160" t="n"/>
      <c r="M21" s="160" t="n"/>
      <c r="N21" s="160" t="n"/>
      <c r="O21" s="160" t="n"/>
      <c r="P21" s="160" t="n"/>
      <c r="Q21" s="160" t="n"/>
      <c r="R21" s="160" t="n"/>
      <c r="S21" s="160" t="n"/>
      <c r="T21" s="160" t="n"/>
      <c r="U21" s="160" t="n"/>
      <c r="V21" s="160" t="n"/>
      <c r="W21" s="160" t="n"/>
      <c r="X21" s="160" t="n"/>
      <c r="Y21" s="160" t="n"/>
      <c r="Z21" s="160" t="n"/>
      <c r="AA21" s="160" t="n"/>
      <c r="AB21" s="160" t="n"/>
      <c r="AC21" s="160" t="n"/>
      <c r="AD21" s="160" t="n"/>
      <c r="AE21" s="160" t="n"/>
      <c r="AF21" s="160" t="n"/>
      <c r="AG21" s="160" t="n"/>
      <c r="AH21" s="160" t="n"/>
      <c r="AI21" s="160" t="n"/>
      <c r="AJ21" s="160" t="n"/>
      <c r="AK21" s="160" t="n"/>
      <c r="AL21" s="160" t="n"/>
      <c r="AM21" s="160" t="n"/>
      <c r="AN21" s="160" t="n"/>
      <c r="AO21" s="160" t="n"/>
      <c r="AP21" s="160" t="n"/>
      <c r="AQ21" s="160" t="n"/>
      <c r="AR21" s="160" t="n"/>
      <c r="AS21" s="160" t="n"/>
      <c r="AT21" s="160" t="n"/>
      <c r="AU21" s="160" t="n"/>
      <c r="AV21" s="160" t="n"/>
      <c r="AW21" s="160" t="n"/>
      <c r="AX21" s="160" t="n"/>
      <c r="AY21" s="160" t="n"/>
      <c r="AZ21" s="160" t="n"/>
      <c r="BA21" s="160" t="n"/>
      <c r="BB21" s="160" t="n"/>
      <c r="BC21" s="160" t="n"/>
      <c r="BD21" s="160" t="n"/>
      <c r="BE21" s="160" t="n"/>
      <c r="BF21" s="160" t="n"/>
      <c r="BG21" s="160" t="n"/>
      <c r="BH21" s="160" t="n"/>
      <c r="BI21" s="160" t="n"/>
      <c r="BJ21" s="160" t="n"/>
      <c r="BK21" s="160" t="n"/>
      <c r="BL21" s="160" t="n"/>
      <c r="BM21" s="160" t="n"/>
      <c r="BN21" s="160" t="n"/>
      <c r="BO21" s="160" t="n"/>
      <c r="BP21" s="160" t="n"/>
      <c r="BQ21" s="160" t="n"/>
      <c r="BR21" s="160" t="n"/>
      <c r="BS21" s="160" t="n"/>
      <c r="BT21" s="160" t="n"/>
      <c r="BU21" s="160" t="n"/>
      <c r="BV21" s="160" t="n"/>
      <c r="BW21" s="160" t="n"/>
      <c r="BX21" s="160" t="n"/>
      <c r="BY21" s="160" t="n"/>
      <c r="BZ21" s="160" t="n"/>
      <c r="CA21" s="160" t="n"/>
      <c r="CB21" s="160" t="n"/>
      <c r="CC21" s="160" t="n"/>
      <c r="CD21" s="160" t="n"/>
      <c r="CE21" s="160" t="n"/>
      <c r="CF21" s="160" t="n"/>
      <c r="CG21" s="160" t="n"/>
      <c r="CH21" s="160" t="n"/>
      <c r="CI21" s="160" t="n"/>
      <c r="CJ21" s="160" t="n"/>
      <c r="CK21" s="160" t="n"/>
      <c r="CL21" s="160" t="n"/>
      <c r="CM21" s="160" t="n"/>
      <c r="CN21" s="160" t="n"/>
      <c r="CO21" s="160" t="n"/>
      <c r="CP21" s="160" t="n"/>
      <c r="CQ21" s="160" t="n"/>
      <c r="CR21" s="160" t="n"/>
      <c r="CS21" s="160" t="n"/>
      <c r="CT21" s="160" t="n"/>
      <c r="CU21" s="160" t="n"/>
      <c r="CV21" s="160" t="n"/>
      <c r="CW21" s="160" t="n"/>
      <c r="CX21" s="160" t="n"/>
      <c r="CY21" s="160" t="n"/>
      <c r="CZ21" s="160" t="n"/>
      <c r="DA21" s="160" t="n"/>
      <c r="DB21" s="160" t="n"/>
      <c r="DC21" s="160" t="n"/>
      <c r="DD21" s="160" t="n"/>
      <c r="DE21" s="160" t="n"/>
      <c r="DF21" s="160" t="n"/>
      <c r="DG21" s="160" t="n"/>
      <c r="DH21" s="160" t="n"/>
      <c r="DI21" s="160" t="n"/>
      <c r="DJ21" s="160" t="n"/>
      <c r="DK21" s="160" t="n"/>
      <c r="DL21" s="160" t="n"/>
      <c r="DM21" s="160" t="n"/>
      <c r="DN21" s="160" t="n"/>
      <c r="DO21" s="160" t="n"/>
      <c r="DP21" s="160" t="n"/>
      <c r="DQ21" s="160" t="n"/>
      <c r="DR21" s="160" t="n"/>
      <c r="DS21" s="160" t="n"/>
      <c r="DT21" s="160" t="n"/>
      <c r="DU21" s="160" t="n"/>
      <c r="DV21" s="160" t="n"/>
      <c r="DW21" s="160" t="n"/>
      <c r="DX21" s="160" t="n"/>
      <c r="DY21" s="160" t="n"/>
      <c r="DZ21" s="160" t="n"/>
      <c r="EA21" s="160" t="n"/>
      <c r="EB21" s="125" t="n"/>
      <c r="EC21" s="126" t="n"/>
      <c r="ED21" s="126" t="n"/>
      <c r="EE21" s="126" t="n"/>
      <c r="EF21" s="126" t="n"/>
      <c r="EG21" s="126" t="n"/>
      <c r="EH21" s="126" t="n"/>
      <c r="EI21" s="126" t="n"/>
      <c r="EJ21" s="126" t="n"/>
      <c r="EK21" s="126" t="n"/>
      <c r="EL21" s="126" t="n"/>
      <c r="EM21" s="126" t="n"/>
      <c r="EN21" s="126" t="n"/>
      <c r="EO21" s="126" t="n"/>
      <c r="EP21" s="126" t="n"/>
      <c r="EQ21" s="126" t="n"/>
      <c r="ER21" s="126" t="n"/>
      <c r="ES21" s="126" t="n"/>
      <c r="ET21" s="126" t="n"/>
      <c r="EU21" s="126" t="n"/>
      <c r="EV21" s="126" t="n"/>
      <c r="EW21" s="126" t="n"/>
      <c r="EX21" s="126" t="n"/>
      <c r="EY21" s="126" t="n"/>
      <c r="EZ21" s="126" t="n"/>
      <c r="FA21" s="126" t="n"/>
      <c r="FB21" s="126" t="n"/>
      <c r="FC21" s="126" t="n"/>
      <c r="FD21" s="126" t="n"/>
      <c r="FE21" s="126" t="n"/>
      <c r="FF21" s="126" t="n"/>
      <c r="FG21" s="126" t="n"/>
      <c r="FH21" s="125" t="n"/>
      <c r="FI21" s="125" t="n"/>
      <c r="FJ21" s="125" t="n"/>
      <c r="FK21" s="125" t="n"/>
    </row>
    <row r="22">
      <c r="A22" s="250" t="n"/>
      <c r="B22" s="250" t="n"/>
      <c r="C22" s="250" t="n"/>
      <c r="D22" s="250" t="n"/>
      <c r="E22" s="250" t="n"/>
      <c r="F22" s="250" t="n"/>
      <c r="G22" s="250" t="n"/>
      <c r="H22" s="250" t="n"/>
      <c r="I22" s="250" t="n"/>
      <c r="J22" s="250" t="n"/>
      <c r="K22" s="250" t="n"/>
      <c r="L22" s="250" t="n"/>
      <c r="M22" s="250" t="n"/>
      <c r="N22" s="250" t="n"/>
      <c r="O22" s="250" t="n"/>
      <c r="P22" s="250" t="n"/>
      <c r="Q22" s="250" t="n"/>
      <c r="R22" s="250" t="n"/>
      <c r="S22" s="250" t="n"/>
      <c r="T22" s="250" t="n"/>
      <c r="U22" s="250" t="n"/>
      <c r="V22" s="250" t="n"/>
      <c r="W22" s="250" t="n"/>
      <c r="X22" s="250" t="n"/>
      <c r="Y22" s="250" t="n"/>
      <c r="Z22" s="250" t="n"/>
      <c r="AA22" s="250" t="n"/>
      <c r="AB22" s="250" t="n"/>
      <c r="AC22" s="250" t="n"/>
      <c r="AD22" s="250" t="n"/>
      <c r="AE22" s="250" t="n"/>
      <c r="AF22" s="250" t="n"/>
      <c r="AG22" s="250" t="n"/>
      <c r="AH22" s="250" t="n"/>
      <c r="AI22" s="250" t="n"/>
      <c r="AJ22" s="250" t="n"/>
      <c r="AK22" s="250" t="n"/>
      <c r="AL22" s="250" t="n"/>
      <c r="AM22" s="250" t="n"/>
      <c r="AN22" s="250" t="n"/>
      <c r="AO22" s="250" t="n"/>
      <c r="AP22" s="250" t="n"/>
      <c r="AQ22" s="250" t="n"/>
      <c r="AR22" s="250" t="n"/>
      <c r="AS22" s="250" t="n"/>
      <c r="AT22" s="250" t="n"/>
      <c r="AU22" s="250" t="n"/>
      <c r="AV22" s="250" t="n"/>
      <c r="AW22" s="250" t="n"/>
      <c r="AX22" s="250" t="n"/>
      <c r="AY22" s="250" t="n"/>
      <c r="AZ22" s="250" t="n"/>
      <c r="BA22" s="250" t="n"/>
      <c r="BB22" s="250" t="n"/>
      <c r="BC22" s="250" t="n"/>
      <c r="BD22" s="250" t="n"/>
      <c r="BE22" s="250" t="n"/>
      <c r="BF22" s="250" t="n"/>
      <c r="BG22" s="250" t="n"/>
      <c r="BH22" s="250" t="n"/>
      <c r="BI22" s="250" t="n"/>
      <c r="BJ22" s="250" t="n"/>
      <c r="BK22" s="250" t="n"/>
      <c r="BL22" s="250" t="n"/>
      <c r="BM22" s="250" t="n"/>
      <c r="BN22" s="250" t="n"/>
      <c r="BO22" s="250" t="n"/>
      <c r="BP22" s="250" t="n"/>
      <c r="BQ22" s="250" t="n"/>
      <c r="BR22" s="250" t="n"/>
      <c r="BS22" s="250" t="n"/>
      <c r="BT22" s="250" t="n"/>
      <c r="BU22" s="250" t="n"/>
      <c r="BV22" s="250" t="n"/>
      <c r="BW22" s="250" t="n"/>
      <c r="BX22" s="250" t="n"/>
      <c r="BY22" s="250" t="n"/>
      <c r="BZ22" s="250" t="n"/>
      <c r="CA22" s="250" t="n"/>
      <c r="CB22" s="250" t="n"/>
      <c r="CC22" s="250" t="n"/>
      <c r="CD22" s="250" t="n"/>
      <c r="CE22" s="250" t="n"/>
      <c r="CF22" s="250" t="n"/>
      <c r="CG22" s="250" t="n"/>
      <c r="CH22" s="250" t="n"/>
      <c r="CI22" s="250" t="n"/>
      <c r="CJ22" s="250" t="n"/>
      <c r="CK22" s="250" t="n"/>
      <c r="CL22" s="250" t="n"/>
      <c r="CM22" s="250" t="n"/>
      <c r="CN22" s="250" t="n"/>
      <c r="CO22" s="250" t="n"/>
      <c r="CP22" s="250" t="n"/>
      <c r="CQ22" s="250" t="n"/>
      <c r="CR22" s="250" t="n"/>
      <c r="CS22" s="250" t="n"/>
      <c r="CT22" s="250" t="n"/>
      <c r="CU22" s="250" t="n"/>
      <c r="CV22" s="250" t="n"/>
      <c r="CW22" s="250" t="n"/>
      <c r="CX22" s="250" t="n"/>
      <c r="CY22" s="250" t="n"/>
      <c r="CZ22" s="250" t="n"/>
      <c r="DA22" s="250" t="n"/>
      <c r="DB22" s="250" t="n"/>
      <c r="DC22" s="250" t="n"/>
      <c r="DD22" s="250" t="n"/>
      <c r="DE22" s="250" t="n"/>
      <c r="DF22" s="250" t="n"/>
      <c r="DG22" s="250" t="n"/>
      <c r="DH22" s="250" t="n"/>
      <c r="DI22" s="250" t="n"/>
      <c r="DJ22" s="250" t="n"/>
      <c r="DK22" s="250" t="n"/>
      <c r="DL22" s="250" t="n"/>
      <c r="DM22" s="250" t="n"/>
      <c r="DN22" s="250" t="n"/>
      <c r="DO22" s="250" t="n"/>
      <c r="DP22" s="250" t="n"/>
      <c r="DQ22" s="250" t="n"/>
      <c r="DR22" s="250" t="n"/>
      <c r="DS22" s="250" t="n"/>
      <c r="DT22" s="250" t="n"/>
      <c r="DU22" s="250" t="n"/>
      <c r="DV22" s="250" t="n"/>
      <c r="DW22" s="250" t="n"/>
      <c r="DX22" s="250" t="n"/>
      <c r="DY22" s="250" t="n"/>
      <c r="DZ22" s="250" t="n"/>
      <c r="EA22" s="160" t="n"/>
      <c r="EB22" s="125" t="n"/>
      <c r="EC22" s="126" t="n"/>
      <c r="ED22" s="126" t="n"/>
      <c r="EE22" s="126" t="n"/>
      <c r="EF22" s="126" t="n"/>
      <c r="EG22" s="126" t="n"/>
      <c r="EH22" s="126" t="n"/>
      <c r="EI22" s="126" t="n"/>
      <c r="EJ22" s="126" t="n"/>
      <c r="EK22" s="126" t="n"/>
      <c r="EL22" s="126" t="n"/>
      <c r="EM22" s="126" t="n"/>
      <c r="EN22" s="126" t="n"/>
      <c r="EO22" s="126" t="n"/>
      <c r="EP22" s="126" t="n"/>
      <c r="EQ22" s="126" t="n"/>
      <c r="ER22" s="126" t="n"/>
      <c r="ES22" s="126" t="n"/>
      <c r="ET22" s="126" t="n"/>
      <c r="EU22" s="126" t="n"/>
      <c r="EV22" s="126" t="n"/>
      <c r="EW22" s="126" t="n"/>
      <c r="EX22" s="126" t="n"/>
      <c r="EY22" s="126" t="n"/>
      <c r="EZ22" s="126" t="n"/>
      <c r="FA22" s="126" t="n"/>
      <c r="FB22" s="126" t="n"/>
      <c r="FC22" s="126" t="n"/>
      <c r="FD22" s="126" t="n"/>
      <c r="FE22" s="126" t="n"/>
      <c r="FF22" s="126" t="n"/>
      <c r="FG22" s="126" t="n"/>
      <c r="FH22" s="125" t="n"/>
      <c r="FI22" s="125" t="n"/>
      <c r="FJ22" s="125" t="n"/>
      <c r="FK22" s="125" t="n"/>
    </row>
    <row r="23">
      <c r="A23" s="250" t="n"/>
      <c r="B23" s="517" t="inlineStr">
        <is>
          <t>クリアコイン</t>
        </is>
      </c>
      <c r="C23" s="484" t="n"/>
      <c r="D23" s="485" t="n"/>
      <c r="E23" s="517" t="inlineStr">
        <is>
          <t>リーダーEXP</t>
        </is>
      </c>
      <c r="F23" s="484" t="n"/>
      <c r="G23" s="485" t="n"/>
      <c r="H23" s="517" t="inlineStr">
        <is>
          <t>原画のかけら確率</t>
        </is>
      </c>
      <c r="I23" s="484" t="n"/>
      <c r="J23" s="485" t="n"/>
      <c r="K23" s="518" t="inlineStr">
        <is>
          <t>原画のかけら種</t>
        </is>
      </c>
      <c r="L23" s="484" t="n"/>
      <c r="M23" s="485" t="n"/>
      <c r="N23" s="250" t="n"/>
      <c r="O23" s="250" t="n"/>
      <c r="P23" s="250" t="n"/>
      <c r="Q23" s="250" t="n"/>
      <c r="R23" s="250" t="n"/>
      <c r="S23" s="250" t="n"/>
      <c r="T23" s="250" t="n"/>
      <c r="U23" s="250" t="n"/>
      <c r="V23" s="250" t="n"/>
      <c r="W23" s="250" t="n"/>
      <c r="X23" s="250" t="n"/>
      <c r="Y23" s="250" t="n"/>
      <c r="Z23" s="250" t="n"/>
      <c r="AA23" s="250" t="n"/>
      <c r="AB23" s="250" t="n"/>
      <c r="AC23" s="250" t="n"/>
      <c r="AD23" s="250" t="n"/>
      <c r="AE23" s="250" t="n"/>
      <c r="AF23" s="250" t="n"/>
      <c r="AG23" s="250" t="n"/>
      <c r="AH23" s="250" t="n"/>
      <c r="AI23" s="250" t="n"/>
      <c r="AJ23" s="250" t="n"/>
      <c r="AK23" s="250" t="n"/>
      <c r="AL23" s="250" t="n"/>
      <c r="AM23" s="250" t="n"/>
      <c r="AN23" s="250" t="n"/>
      <c r="AO23" s="250" t="n"/>
      <c r="AP23" s="250" t="n"/>
      <c r="AQ23" s="250" t="n"/>
      <c r="AR23" s="250" t="n"/>
      <c r="AS23" s="250" t="n"/>
      <c r="AT23" s="250" t="n"/>
      <c r="AU23" s="250" t="n"/>
      <c r="AV23" s="250" t="n"/>
      <c r="AW23" s="250" t="n"/>
      <c r="AX23" s="250" t="n"/>
      <c r="AY23" s="250" t="n"/>
      <c r="AZ23" s="250" t="n"/>
      <c r="BA23" s="250" t="n"/>
      <c r="BB23" s="250" t="n"/>
      <c r="BC23" s="250" t="n"/>
      <c r="BD23" s="250" t="n"/>
      <c r="BE23" s="250" t="n"/>
      <c r="BF23" s="250" t="n"/>
      <c r="BG23" s="250" t="n"/>
      <c r="BH23" s="250" t="n"/>
      <c r="BI23" s="250" t="n"/>
      <c r="BJ23" s="250" t="n"/>
      <c r="BK23" s="250" t="n"/>
      <c r="BL23" s="250" t="n"/>
      <c r="BM23" s="250" t="n"/>
      <c r="BN23" s="250" t="n"/>
      <c r="BO23" s="250" t="n"/>
      <c r="BP23" s="250" t="n"/>
      <c r="BQ23" s="250" t="n"/>
      <c r="BR23" s="250" t="n"/>
      <c r="BS23" s="250" t="n"/>
      <c r="BT23" s="250" t="n"/>
      <c r="BU23" s="250" t="n"/>
      <c r="BV23" s="250" t="n"/>
      <c r="BW23" s="250" t="n"/>
      <c r="BX23" s="250" t="n"/>
      <c r="BY23" s="250" t="n"/>
      <c r="BZ23" s="250" t="n"/>
      <c r="CA23" s="250" t="n"/>
      <c r="CB23" s="250" t="n"/>
      <c r="CC23" s="250" t="n"/>
      <c r="CD23" s="250" t="n"/>
      <c r="CE23" s="250" t="n"/>
      <c r="CF23" s="250" t="n"/>
      <c r="CG23" s="250" t="n"/>
      <c r="CH23" s="250" t="n"/>
      <c r="CI23" s="250" t="n"/>
      <c r="CJ23" s="250" t="n"/>
      <c r="CK23" s="250" t="n"/>
      <c r="CL23" s="250" t="n"/>
      <c r="CM23" s="250" t="n"/>
      <c r="CN23" s="250" t="n"/>
      <c r="CO23" s="250" t="n"/>
      <c r="CP23" s="250" t="n"/>
      <c r="CQ23" s="250" t="n"/>
      <c r="CR23" s="250" t="n"/>
      <c r="CS23" s="250" t="n"/>
      <c r="CT23" s="250" t="n"/>
      <c r="CU23" s="250" t="n"/>
      <c r="CV23" s="250" t="n"/>
      <c r="CW23" s="250" t="n"/>
      <c r="CX23" s="250" t="n"/>
      <c r="CY23" s="250" t="n"/>
      <c r="CZ23" s="250" t="n"/>
      <c r="DA23" s="250" t="n"/>
      <c r="DB23" s="250" t="n"/>
      <c r="DC23" s="250" t="n"/>
      <c r="DD23" s="250" t="n"/>
      <c r="DE23" s="250" t="n"/>
      <c r="DF23" s="250" t="n"/>
      <c r="DG23" s="250" t="n"/>
      <c r="DH23" s="250" t="n"/>
      <c r="DI23" s="250" t="n"/>
      <c r="DJ23" s="250" t="n"/>
      <c r="DK23" s="250" t="n"/>
      <c r="DL23" s="250" t="n"/>
      <c r="DM23" s="250" t="n"/>
      <c r="DN23" s="250" t="n"/>
      <c r="DO23" s="250" t="n"/>
      <c r="DP23" s="250" t="n"/>
      <c r="DQ23" s="250" t="n"/>
      <c r="DR23" s="250" t="n"/>
      <c r="DS23" s="250" t="n"/>
      <c r="DT23" s="250" t="n"/>
      <c r="DU23" s="250" t="n"/>
      <c r="DV23" s="250" t="n"/>
      <c r="DW23" s="250" t="n"/>
      <c r="DX23" s="250" t="n"/>
      <c r="DY23" s="250" t="n"/>
      <c r="DZ23" s="250" t="n"/>
      <c r="EA23" s="160" t="n"/>
      <c r="EB23" s="125" t="n"/>
      <c r="EC23" s="126" t="n"/>
      <c r="ED23" s="126" t="n"/>
      <c r="EE23" s="126" t="n"/>
      <c r="EF23" s="126" t="n"/>
      <c r="EG23" s="126" t="n"/>
      <c r="EH23" s="126" t="n"/>
      <c r="EI23" s="126" t="n"/>
      <c r="EJ23" s="126" t="n"/>
      <c r="EK23" s="126" t="n"/>
      <c r="EL23" s="126" t="n"/>
      <c r="EM23" s="126" t="n"/>
      <c r="EN23" s="126" t="n"/>
      <c r="EO23" s="126" t="n"/>
      <c r="EP23" s="126" t="n"/>
      <c r="EQ23" s="126" t="n"/>
      <c r="ER23" s="126" t="n"/>
      <c r="ES23" s="126" t="n"/>
      <c r="ET23" s="126" t="n"/>
      <c r="EU23" s="126" t="n"/>
      <c r="EV23" s="126" t="n"/>
      <c r="EW23" s="126" t="n"/>
      <c r="EX23" s="126" t="n"/>
      <c r="EY23" s="126" t="n"/>
      <c r="EZ23" s="126" t="n"/>
      <c r="FA23" s="126" t="n"/>
      <c r="FB23" s="126" t="n"/>
      <c r="FC23" s="126" t="n"/>
      <c r="FD23" s="126" t="n"/>
      <c r="FE23" s="126" t="n"/>
      <c r="FF23" s="126" t="n"/>
      <c r="FG23" s="126" t="n"/>
      <c r="FH23" s="125" t="n"/>
      <c r="FI23" s="125" t="n"/>
      <c r="FJ23" s="125" t="n"/>
      <c r="FK23" s="125" t="n"/>
    </row>
    <row r="24">
      <c r="A24" s="250" t="n"/>
      <c r="B24" s="519" t="n">
        <v>300</v>
      </c>
      <c r="C24" s="484" t="n"/>
      <c r="D24" s="485" t="n"/>
      <c r="E24" s="520" t="n">
        <v>100</v>
      </c>
      <c r="F24" s="484" t="n"/>
      <c r="G24" s="485" t="n"/>
      <c r="H24" s="521" t="n">
        <v>0</v>
      </c>
      <c r="I24" s="484" t="n"/>
      <c r="J24" s="485" t="n"/>
      <c r="K24" s="316" t="n"/>
      <c r="L24" s="484" t="n"/>
      <c r="M24" s="485" t="n"/>
      <c r="N24" s="250" t="n"/>
      <c r="O24" s="250" t="n"/>
      <c r="P24" s="250" t="n"/>
      <c r="Q24" s="250" t="n"/>
      <c r="R24" s="250" t="n"/>
      <c r="S24" s="250" t="n"/>
      <c r="T24" s="250" t="n"/>
      <c r="U24" s="250" t="n"/>
      <c r="V24" s="250" t="n"/>
      <c r="W24" s="250" t="n"/>
      <c r="X24" s="250" t="n"/>
      <c r="Y24" s="250" t="n"/>
      <c r="Z24" s="250" t="n"/>
      <c r="AA24" s="250" t="n"/>
      <c r="AB24" s="250" t="n"/>
      <c r="AC24" s="250" t="n"/>
      <c r="AD24" s="250" t="n"/>
      <c r="AE24" s="250" t="n"/>
      <c r="AF24" s="250" t="n"/>
      <c r="AG24" s="250" t="n"/>
      <c r="AH24" s="250" t="n"/>
      <c r="AI24" s="250" t="n"/>
      <c r="AJ24" s="250" t="n"/>
      <c r="AK24" s="250" t="n"/>
      <c r="AL24" s="250" t="n"/>
      <c r="AM24" s="250" t="n"/>
      <c r="AN24" s="250" t="n"/>
      <c r="AO24" s="250" t="n"/>
      <c r="AP24" s="250" t="n"/>
      <c r="AQ24" s="250" t="n"/>
      <c r="AR24" s="250" t="n"/>
      <c r="AS24" s="250" t="n"/>
      <c r="AT24" s="250" t="n"/>
      <c r="AU24" s="250" t="n"/>
      <c r="AV24" s="250" t="n"/>
      <c r="AW24" s="250" t="n"/>
      <c r="AX24" s="250" t="n"/>
      <c r="AY24" s="250" t="n"/>
      <c r="AZ24" s="250" t="n"/>
      <c r="BA24" s="250" t="n"/>
      <c r="BB24" s="250" t="n"/>
      <c r="BC24" s="250" t="n"/>
      <c r="BD24" s="250" t="n"/>
      <c r="BE24" s="250" t="n"/>
      <c r="BF24" s="250" t="n"/>
      <c r="BG24" s="250" t="n"/>
      <c r="BH24" s="250" t="n"/>
      <c r="BI24" s="250" t="n"/>
      <c r="BJ24" s="250" t="n"/>
      <c r="BK24" s="250" t="n"/>
      <c r="BL24" s="250" t="n"/>
      <c r="BM24" s="250" t="n"/>
      <c r="BN24" s="250" t="n"/>
      <c r="BO24" s="250" t="n"/>
      <c r="BP24" s="250" t="n"/>
      <c r="BQ24" s="250" t="n"/>
      <c r="BR24" s="250" t="n"/>
      <c r="BS24" s="250" t="n"/>
      <c r="BT24" s="250" t="n"/>
      <c r="BU24" s="250" t="n"/>
      <c r="BV24" s="250" t="n"/>
      <c r="BW24" s="250" t="n"/>
      <c r="BX24" s="250" t="n"/>
      <c r="BY24" s="250" t="n"/>
      <c r="BZ24" s="250" t="n"/>
      <c r="CA24" s="250" t="n"/>
      <c r="CB24" s="250" t="n"/>
      <c r="CC24" s="250" t="n"/>
      <c r="CD24" s="250" t="n"/>
      <c r="CE24" s="250" t="n"/>
      <c r="CF24" s="250" t="n"/>
      <c r="CG24" s="250" t="n"/>
      <c r="CH24" s="250" t="n"/>
      <c r="CI24" s="250" t="n"/>
      <c r="CJ24" s="250" t="n"/>
      <c r="CK24" s="250" t="n"/>
      <c r="CL24" s="250" t="n"/>
      <c r="CM24" s="250" t="n"/>
      <c r="CN24" s="250" t="n"/>
      <c r="CO24" s="250" t="n"/>
      <c r="CP24" s="250" t="n"/>
      <c r="CQ24" s="250" t="n"/>
      <c r="CR24" s="250" t="n"/>
      <c r="CS24" s="250" t="n"/>
      <c r="CT24" s="250" t="n"/>
      <c r="CU24" s="250" t="n"/>
      <c r="CV24" s="250" t="n"/>
      <c r="CW24" s="250" t="n"/>
      <c r="CX24" s="250" t="n"/>
      <c r="CY24" s="250" t="n"/>
      <c r="CZ24" s="250" t="n"/>
      <c r="DA24" s="250" t="n"/>
      <c r="DB24" s="250" t="n"/>
      <c r="DC24" s="250" t="n"/>
      <c r="DD24" s="250" t="n"/>
      <c r="DE24" s="250" t="n"/>
      <c r="DF24" s="250" t="n"/>
      <c r="DG24" s="250" t="n"/>
      <c r="DH24" s="250" t="n"/>
      <c r="DI24" s="250" t="n"/>
      <c r="DJ24" s="250" t="n"/>
      <c r="DK24" s="250" t="n"/>
      <c r="DL24" s="250" t="n"/>
      <c r="DM24" s="250" t="n"/>
      <c r="DN24" s="250" t="n"/>
      <c r="DO24" s="250" t="n"/>
      <c r="DP24" s="250" t="n"/>
      <c r="DQ24" s="250" t="n"/>
      <c r="DR24" s="250" t="n"/>
      <c r="DS24" s="250" t="n"/>
      <c r="DT24" s="250" t="n"/>
      <c r="DU24" s="250" t="n"/>
      <c r="DV24" s="250" t="n"/>
      <c r="DW24" s="250" t="n"/>
      <c r="DX24" s="250" t="n"/>
      <c r="DY24" s="250" t="n"/>
      <c r="DZ24" s="250" t="n"/>
      <c r="EA24" s="160" t="n"/>
      <c r="EB24" s="125" t="n"/>
      <c r="EC24" s="126" t="n"/>
      <c r="ED24" s="126" t="n"/>
      <c r="EE24" s="126" t="n"/>
      <c r="EF24" s="126" t="n"/>
      <c r="EG24" s="126" t="n"/>
      <c r="EH24" s="126" t="n"/>
      <c r="EI24" s="126" t="n"/>
      <c r="EJ24" s="126" t="n"/>
      <c r="EK24" s="126" t="n"/>
      <c r="EL24" s="126" t="n"/>
      <c r="EM24" s="126" t="n"/>
      <c r="EN24" s="126" t="n"/>
      <c r="EO24" s="126" t="n"/>
      <c r="EP24" s="126" t="n"/>
      <c r="EQ24" s="126" t="n"/>
      <c r="ER24" s="126" t="n"/>
      <c r="ES24" s="126" t="n"/>
      <c r="ET24" s="126" t="n"/>
      <c r="EU24" s="126" t="n"/>
      <c r="EV24" s="126" t="n"/>
      <c r="EW24" s="126" t="n"/>
      <c r="EX24" s="126" t="n"/>
      <c r="EY24" s="126" t="n"/>
      <c r="EZ24" s="126" t="n"/>
      <c r="FA24" s="126" t="n"/>
      <c r="FB24" s="126" t="n"/>
      <c r="FC24" s="126" t="n"/>
      <c r="FD24" s="126" t="n"/>
      <c r="FE24" s="126" t="n"/>
      <c r="FF24" s="126" t="n"/>
      <c r="FG24" s="126" t="n"/>
      <c r="FH24" s="125" t="n"/>
      <c r="FI24" s="125" t="n"/>
      <c r="FJ24" s="125" t="n"/>
      <c r="FK24" s="125" t="n"/>
    </row>
    <row r="25">
      <c r="A25" s="250" t="n"/>
      <c r="B25" s="250" t="n"/>
      <c r="C25" s="250" t="n"/>
      <c r="D25" s="250" t="n"/>
      <c r="E25" s="250" t="n"/>
      <c r="F25" s="250" t="n"/>
      <c r="G25" s="250" t="n"/>
      <c r="H25" s="250" t="n"/>
      <c r="I25" s="250" t="n"/>
      <c r="J25" s="250" t="n"/>
      <c r="K25" s="250" t="n"/>
      <c r="L25" s="250" t="n"/>
      <c r="M25" s="250" t="n"/>
      <c r="N25" s="250" t="n"/>
      <c r="O25" s="250" t="n"/>
      <c r="P25" s="250" t="n"/>
      <c r="Q25" s="250" t="n"/>
      <c r="R25" s="250" t="n"/>
      <c r="S25" s="250" t="n"/>
      <c r="T25" s="250" t="n"/>
      <c r="U25" s="250" t="n"/>
      <c r="V25" s="250" t="n"/>
      <c r="W25" s="250" t="n"/>
      <c r="X25" s="250" t="n"/>
      <c r="Y25" s="250" t="n"/>
      <c r="Z25" s="250" t="n"/>
      <c r="AA25" s="250" t="n"/>
      <c r="AB25" s="250" t="n"/>
      <c r="AC25" s="250" t="n"/>
      <c r="AD25" s="250" t="n"/>
      <c r="AE25" s="250" t="n"/>
      <c r="AF25" s="250" t="n"/>
      <c r="AG25" s="250" t="n"/>
      <c r="AH25" s="250" t="n"/>
      <c r="AI25" s="250" t="n"/>
      <c r="AJ25" s="250" t="n"/>
      <c r="AK25" s="250" t="n"/>
      <c r="AL25" s="250" t="n"/>
      <c r="AM25" s="250" t="n"/>
      <c r="AN25" s="250" t="n"/>
      <c r="AO25" s="250" t="n"/>
      <c r="AP25" s="250" t="n"/>
      <c r="AQ25" s="250" t="n"/>
      <c r="AR25" s="250" t="n"/>
      <c r="AS25" s="250" t="n"/>
      <c r="AT25" s="250" t="n"/>
      <c r="AU25" s="250" t="n"/>
      <c r="AV25" s="250" t="n"/>
      <c r="AW25" s="250" t="n"/>
      <c r="AX25" s="250" t="n"/>
      <c r="AY25" s="250" t="n"/>
      <c r="AZ25" s="250" t="n"/>
      <c r="BA25" s="250" t="n"/>
      <c r="BB25" s="250" t="n"/>
      <c r="BC25" s="250" t="n"/>
      <c r="BD25" s="250" t="n"/>
      <c r="BE25" s="250" t="n"/>
      <c r="BF25" s="250" t="n"/>
      <c r="BG25" s="250" t="n"/>
      <c r="BH25" s="250" t="n"/>
      <c r="BI25" s="250" t="n"/>
      <c r="BJ25" s="250" t="n"/>
      <c r="BK25" s="250" t="n"/>
      <c r="BL25" s="250" t="n"/>
      <c r="BM25" s="250" t="n"/>
      <c r="BN25" s="250" t="n"/>
      <c r="BO25" s="250" t="n"/>
      <c r="BP25" s="250" t="n"/>
      <c r="BQ25" s="250" t="n"/>
      <c r="BR25" s="250" t="n"/>
      <c r="BS25" s="250" t="n"/>
      <c r="BT25" s="250" t="n"/>
      <c r="BU25" s="250" t="n"/>
      <c r="BV25" s="250" t="n"/>
      <c r="BW25" s="250" t="n"/>
      <c r="BX25" s="250" t="n"/>
      <c r="BY25" s="250" t="n"/>
      <c r="BZ25" s="250" t="n"/>
      <c r="CA25" s="250" t="n"/>
      <c r="CB25" s="250" t="n"/>
      <c r="CC25" s="250" t="n"/>
      <c r="CD25" s="250" t="n"/>
      <c r="CE25" s="250" t="n"/>
      <c r="CF25" s="250" t="n"/>
      <c r="CG25" s="250" t="n"/>
      <c r="CH25" s="250" t="n"/>
      <c r="CI25" s="250" t="n"/>
      <c r="CJ25" s="250" t="n"/>
      <c r="CK25" s="250" t="n"/>
      <c r="CL25" s="250" t="n"/>
      <c r="CM25" s="250" t="n"/>
      <c r="CN25" s="250" t="n"/>
      <c r="CO25" s="250" t="n"/>
      <c r="CP25" s="250" t="n"/>
      <c r="CQ25" s="250" t="n"/>
      <c r="CR25" s="250" t="n"/>
      <c r="CS25" s="250" t="n"/>
      <c r="CT25" s="250" t="n"/>
      <c r="CU25" s="250" t="n"/>
      <c r="CV25" s="250" t="n"/>
      <c r="CW25" s="250" t="n"/>
      <c r="CX25" s="250" t="n"/>
      <c r="CY25" s="250" t="n"/>
      <c r="CZ25" s="250" t="n"/>
      <c r="DA25" s="250" t="n"/>
      <c r="DB25" s="250" t="n"/>
      <c r="DC25" s="250" t="n"/>
      <c r="DD25" s="250" t="n"/>
      <c r="DE25" s="250" t="n"/>
      <c r="DF25" s="250" t="n"/>
      <c r="DG25" s="250" t="n"/>
      <c r="DH25" s="250" t="n"/>
      <c r="DI25" s="250" t="n"/>
      <c r="DJ25" s="250" t="n"/>
      <c r="DK25" s="250" t="n"/>
      <c r="DL25" s="250" t="n"/>
      <c r="DM25" s="250" t="n"/>
      <c r="DN25" s="250" t="n"/>
      <c r="DO25" s="250" t="n"/>
      <c r="DP25" s="250" t="n"/>
      <c r="DQ25" s="250" t="n"/>
      <c r="DR25" s="250" t="n"/>
      <c r="DS25" s="250" t="n"/>
      <c r="DT25" s="250" t="n"/>
      <c r="DU25" s="250" t="n"/>
      <c r="DV25" s="250" t="n"/>
      <c r="DW25" s="250" t="n"/>
      <c r="DX25" s="250" t="n"/>
      <c r="DY25" s="250" t="n"/>
      <c r="DZ25" s="250" t="n"/>
      <c r="EA25" s="160" t="n"/>
      <c r="EB25" s="125" t="n"/>
      <c r="EC25" s="126" t="n"/>
      <c r="ED25" s="126" t="n"/>
      <c r="EE25" s="126" t="n"/>
      <c r="EF25" s="126" t="n"/>
      <c r="EG25" s="126" t="n"/>
      <c r="EH25" s="126" t="n"/>
      <c r="EI25" s="126" t="n"/>
      <c r="EJ25" s="126" t="n"/>
      <c r="EK25" s="126" t="n"/>
      <c r="EL25" s="126" t="n"/>
      <c r="EM25" s="126" t="n"/>
      <c r="EN25" s="126" t="n"/>
      <c r="EO25" s="126" t="n"/>
      <c r="EP25" s="126" t="n"/>
      <c r="EQ25" s="126" t="n"/>
      <c r="ER25" s="126" t="n"/>
      <c r="ES25" s="126" t="n"/>
      <c r="ET25" s="126" t="n"/>
      <c r="EU25" s="126" t="n"/>
      <c r="EV25" s="126" t="n"/>
      <c r="EW25" s="126" t="n"/>
      <c r="EX25" s="126" t="n"/>
      <c r="EY25" s="126" t="n"/>
      <c r="EZ25" s="126" t="n"/>
      <c r="FA25" s="126" t="n"/>
      <c r="FB25" s="126" t="n"/>
      <c r="FC25" s="126" t="n"/>
      <c r="FD25" s="126" t="n"/>
      <c r="FE25" s="126" t="n"/>
      <c r="FF25" s="126" t="n"/>
      <c r="FG25" s="126" t="n"/>
      <c r="FH25" s="125" t="n"/>
      <c r="FI25" s="125" t="n"/>
      <c r="FJ25" s="125" t="n"/>
      <c r="FK25" s="125" t="n"/>
    </row>
    <row r="26">
      <c r="A26" s="250" t="n"/>
      <c r="B26" s="517" t="inlineStr">
        <is>
          <t>ドロップ区分</t>
        </is>
      </c>
      <c r="C26" s="484" t="n"/>
      <c r="D26" s="485" t="n"/>
      <c r="E26" s="167" t="inlineStr">
        <is>
          <t>リソースtype</t>
        </is>
      </c>
      <c r="F26" s="168" t="n"/>
      <c r="G26" s="517" t="inlineStr">
        <is>
          <t>アイテムID</t>
        </is>
      </c>
      <c r="H26" s="484" t="n"/>
      <c r="I26" s="485" t="n"/>
      <c r="J26" s="517" t="inlineStr">
        <is>
          <t>アイテム名</t>
        </is>
      </c>
      <c r="K26" s="484" t="n"/>
      <c r="L26" s="484" t="n"/>
      <c r="M26" s="484" t="n"/>
      <c r="N26" s="484" t="n"/>
      <c r="O26" s="484" t="n"/>
      <c r="P26" s="484" t="n"/>
      <c r="Q26" s="485" t="n"/>
      <c r="R26" s="161" t="inlineStr">
        <is>
          <t>ドロップ数</t>
        </is>
      </c>
      <c r="S26" s="169" t="n"/>
      <c r="T26" s="167" t="inlineStr">
        <is>
          <t>ドロップ率</t>
        </is>
      </c>
      <c r="U26" s="167" t="n"/>
      <c r="Y26" s="250" t="n"/>
      <c r="Z26" s="250" t="n"/>
      <c r="AA26" s="250" t="n"/>
      <c r="AB26" s="250" t="n"/>
      <c r="AC26" s="250" t="n"/>
      <c r="AD26" s="250" t="n"/>
      <c r="AE26" s="250" t="n"/>
      <c r="AF26" s="250" t="n"/>
      <c r="AG26" s="250" t="n"/>
      <c r="AH26" s="250" t="n"/>
      <c r="AI26" s="250" t="n"/>
      <c r="AJ26" s="250" t="n"/>
      <c r="AN26" s="250" t="n"/>
      <c r="AO26" s="250" t="n"/>
      <c r="AP26" s="250" t="n"/>
      <c r="AQ26" s="250" t="n"/>
      <c r="AR26" s="250" t="n"/>
      <c r="AS26" s="250" t="n"/>
      <c r="AT26" s="250" t="n"/>
      <c r="AU26" s="250" t="n"/>
      <c r="AV26" s="250" t="n"/>
      <c r="AW26" s="250" t="n"/>
      <c r="AX26" s="250" t="n"/>
      <c r="AY26" s="250" t="n"/>
      <c r="AZ26" s="250" t="n"/>
      <c r="BA26" s="250" t="n"/>
      <c r="BB26" s="250" t="n"/>
      <c r="BC26" s="250" t="n"/>
      <c r="BD26" s="250" t="n"/>
      <c r="BE26" s="250" t="n"/>
      <c r="BF26" s="250" t="n"/>
      <c r="BG26" s="250" t="n"/>
      <c r="BH26" s="250" t="n"/>
      <c r="BI26" s="250" t="n"/>
      <c r="BJ26" s="250" t="n"/>
      <c r="BK26" s="250" t="n"/>
      <c r="BL26" s="250" t="n"/>
      <c r="BM26" s="250" t="n"/>
      <c r="BN26" s="250" t="n"/>
      <c r="BO26" s="250" t="n"/>
      <c r="BP26" s="250" t="n"/>
      <c r="BQ26" s="250" t="n"/>
      <c r="BR26" s="250" t="n"/>
      <c r="BS26" s="250" t="n"/>
      <c r="BT26" s="250" t="n"/>
      <c r="BU26" s="250" t="n"/>
      <c r="BV26" s="250" t="n"/>
      <c r="BW26" s="250" t="n"/>
      <c r="BX26" s="250" t="n"/>
      <c r="BY26" s="250" t="n"/>
      <c r="BZ26" s="250" t="n"/>
      <c r="CA26" s="250" t="n"/>
      <c r="CB26" s="250" t="n"/>
      <c r="CC26" s="250" t="n"/>
      <c r="CD26" s="250" t="n"/>
      <c r="CE26" s="250" t="n"/>
      <c r="CF26" s="250" t="n"/>
      <c r="CG26" s="250" t="n"/>
      <c r="CH26" s="250" t="n"/>
      <c r="CI26" s="250" t="n"/>
      <c r="CJ26" s="250" t="n"/>
      <c r="CK26" s="250" t="n"/>
      <c r="CL26" s="250" t="n"/>
      <c r="CM26" s="250" t="n"/>
      <c r="CN26" s="250" t="n"/>
      <c r="CO26" s="250" t="n"/>
      <c r="CP26" s="250" t="n"/>
      <c r="CQ26" s="250" t="n"/>
      <c r="CR26" s="250" t="n"/>
      <c r="CS26" s="250" t="n"/>
      <c r="CT26" s="250" t="n"/>
      <c r="CU26" s="250" t="n"/>
      <c r="CV26" s="250" t="n"/>
      <c r="CW26" s="250" t="n"/>
      <c r="CX26" s="250" t="n"/>
      <c r="CY26" s="250" t="n"/>
      <c r="CZ26" s="250" t="n"/>
      <c r="DA26" s="250" t="n"/>
      <c r="DB26" s="250" t="n"/>
      <c r="DC26" s="250" t="n"/>
      <c r="DD26" s="250" t="n"/>
      <c r="DE26" s="250" t="n"/>
      <c r="DF26" s="250" t="n"/>
      <c r="DG26" s="250" t="n"/>
      <c r="DH26" s="250" t="n"/>
      <c r="DI26" s="250" t="n"/>
      <c r="DJ26" s="250" t="n"/>
      <c r="DK26" s="250" t="n"/>
      <c r="DL26" s="250" t="n"/>
      <c r="DM26" s="250" t="n"/>
      <c r="DN26" s="250" t="n"/>
      <c r="DO26" s="250" t="n"/>
      <c r="DP26" s="250" t="n"/>
      <c r="DQ26" s="250" t="n"/>
      <c r="DR26" s="250" t="n"/>
      <c r="DS26" s="250" t="n"/>
      <c r="DT26" s="250" t="n"/>
      <c r="DU26" s="250" t="n"/>
      <c r="DV26" s="250" t="n"/>
      <c r="DW26" s="250" t="n"/>
      <c r="DX26" s="250" t="n"/>
      <c r="DY26" s="250" t="n"/>
      <c r="DZ26" s="250" t="n"/>
      <c r="EA26" s="160" t="n"/>
      <c r="EB26" s="125" t="n"/>
      <c r="EC26" s="126" t="n"/>
      <c r="ED26" s="126" t="n"/>
      <c r="EE26" s="126" t="n"/>
      <c r="EF26" s="126" t="n"/>
      <c r="EG26" s="126" t="n"/>
      <c r="EH26" s="126" t="n"/>
      <c r="EI26" s="126" t="n"/>
      <c r="EJ26" s="126" t="n"/>
      <c r="EK26" s="126" t="n"/>
      <c r="EL26" s="126" t="n"/>
      <c r="EM26" s="126" t="n"/>
      <c r="EN26" s="126" t="n"/>
      <c r="EO26" s="126" t="n"/>
      <c r="EP26" s="126" t="n"/>
      <c r="EQ26" s="126" t="n"/>
      <c r="ER26" s="126" t="n"/>
      <c r="ES26" s="126" t="n"/>
      <c r="ET26" s="126" t="n"/>
      <c r="EU26" s="126" t="n"/>
      <c r="EV26" s="126" t="n"/>
      <c r="EW26" s="126" t="n"/>
      <c r="EX26" s="126" t="n"/>
      <c r="EY26" s="126" t="n"/>
      <c r="EZ26" s="126" t="n"/>
      <c r="FA26" s="126" t="n"/>
      <c r="FB26" s="126" t="n"/>
      <c r="FC26" s="126" t="n"/>
      <c r="FD26" s="126" t="n"/>
      <c r="FE26" s="126" t="n"/>
      <c r="FF26" s="126" t="n"/>
      <c r="FG26" s="126" t="n"/>
      <c r="FH26" s="125" t="n"/>
      <c r="FI26" s="125" t="n"/>
      <c r="FJ26" s="125" t="n"/>
      <c r="FK26" s="125" t="n"/>
    </row>
    <row r="27">
      <c r="A27" s="250" t="n"/>
      <c r="B27" s="296" t="inlineStr">
        <is>
          <t>Random</t>
        </is>
      </c>
      <c r="C27" s="484" t="n"/>
      <c r="D27" s="485" t="n"/>
      <c r="E27" s="171">
        <f>if(J27="プリズム","FreeDiamond","item")</f>
        <v/>
      </c>
      <c r="F27" s="172" t="n"/>
      <c r="G27" s="173">
        <f t="array" ref="G27">iferror(INDEX('アイテムID_管理'!E:E,MATCH(J27,'アイテムID_管理'!H:H,0),0),"error")</f>
        <v/>
      </c>
      <c r="H27" s="173" t="n"/>
      <c r="I27" s="174" t="n"/>
      <c r="J27" s="296" t="inlineStr">
        <is>
          <t>カラーメモリー・グレー</t>
        </is>
      </c>
      <c r="K27" s="484" t="n"/>
      <c r="L27" s="484" t="n"/>
      <c r="M27" s="484" t="n"/>
      <c r="N27" s="484" t="n"/>
      <c r="O27" s="484" t="n"/>
      <c r="P27" s="484" t="n"/>
      <c r="Q27" s="485" t="n"/>
      <c r="R27" s="196" t="n">
        <v>3</v>
      </c>
      <c r="S27" s="176" t="n"/>
      <c r="T27" s="177" t="n">
        <v>20</v>
      </c>
      <c r="U27" s="178" t="n"/>
      <c r="V27" s="250" t="n"/>
      <c r="W27" s="250" t="n"/>
      <c r="X27" s="250" t="n"/>
      <c r="Y27" s="250" t="n"/>
      <c r="Z27" s="250" t="n"/>
      <c r="AA27" s="250" t="n"/>
      <c r="AB27" s="250" t="n"/>
      <c r="AC27" s="250" t="n"/>
      <c r="AD27" s="250" t="n"/>
      <c r="AE27" s="250" t="n"/>
      <c r="AF27" s="250" t="n"/>
      <c r="AG27" s="250" t="n"/>
      <c r="AH27" s="250" t="n"/>
      <c r="AI27" s="250" t="n"/>
      <c r="AJ27" s="250" t="n"/>
      <c r="AK27" s="250" t="n"/>
      <c r="AL27" s="250" t="n"/>
      <c r="AM27" s="250" t="n"/>
      <c r="AN27" s="250" t="n"/>
      <c r="AO27" s="250" t="n"/>
      <c r="AP27" s="250" t="n"/>
      <c r="AQ27" s="250" t="n"/>
      <c r="AR27" s="250" t="n"/>
      <c r="AS27" s="250" t="n"/>
      <c r="AT27" s="250" t="n"/>
      <c r="AU27" s="250" t="n"/>
      <c r="AV27" s="250" t="n"/>
      <c r="AW27" s="250" t="n"/>
      <c r="AX27" s="250" t="n"/>
      <c r="AY27" s="250" t="n"/>
      <c r="AZ27" s="250" t="n"/>
      <c r="BA27" s="250" t="n"/>
      <c r="BB27" s="250" t="n"/>
      <c r="BC27" s="250" t="n"/>
      <c r="BD27" s="250" t="n"/>
      <c r="BE27" s="250" t="n"/>
      <c r="BF27" s="250" t="n"/>
      <c r="BG27" s="250" t="n"/>
      <c r="BH27" s="250" t="n"/>
      <c r="BI27" s="250" t="n"/>
      <c r="BJ27" s="250" t="n"/>
      <c r="BK27" s="250" t="n"/>
      <c r="BL27" s="250" t="n"/>
      <c r="BM27" s="250" t="n"/>
      <c r="BN27" s="250" t="n"/>
      <c r="BO27" s="250" t="n"/>
      <c r="BP27" s="250" t="n"/>
      <c r="BQ27" s="250" t="n"/>
      <c r="BR27" s="250" t="n"/>
      <c r="BS27" s="250" t="n"/>
      <c r="BT27" s="250" t="n"/>
      <c r="BU27" s="250" t="n"/>
      <c r="BV27" s="250" t="n"/>
      <c r="BW27" s="250" t="n"/>
      <c r="BX27" s="250" t="n"/>
      <c r="BY27" s="250" t="n"/>
      <c r="BZ27" s="250" t="n"/>
      <c r="CA27" s="250" t="n"/>
      <c r="CB27" s="250" t="n"/>
      <c r="CC27" s="250" t="n"/>
      <c r="CD27" s="250" t="n"/>
      <c r="CE27" s="250" t="n"/>
      <c r="CF27" s="250" t="n"/>
      <c r="CG27" s="250" t="n"/>
      <c r="CH27" s="250" t="n"/>
      <c r="CI27" s="250" t="n"/>
      <c r="CJ27" s="250" t="n"/>
      <c r="CK27" s="250" t="n"/>
      <c r="CL27" s="250" t="n"/>
      <c r="CM27" s="250" t="n"/>
      <c r="CN27" s="250" t="n"/>
      <c r="CO27" s="250" t="n"/>
      <c r="CP27" s="250" t="n"/>
      <c r="CQ27" s="250" t="n"/>
      <c r="CR27" s="250" t="n"/>
      <c r="CS27" s="250" t="n"/>
      <c r="CT27" s="250" t="n"/>
      <c r="CU27" s="250" t="n"/>
      <c r="CV27" s="250" t="n"/>
      <c r="CW27" s="250" t="n"/>
      <c r="CX27" s="250" t="n"/>
      <c r="CY27" s="250" t="n"/>
      <c r="CZ27" s="250" t="n"/>
      <c r="DA27" s="250" t="n"/>
      <c r="DB27" s="250" t="n"/>
      <c r="DC27" s="250" t="n"/>
      <c r="DD27" s="250" t="n"/>
      <c r="DE27" s="250" t="n"/>
      <c r="DF27" s="250" t="n"/>
      <c r="DG27" s="250" t="n"/>
      <c r="DH27" s="250" t="n"/>
      <c r="DI27" s="250" t="n"/>
      <c r="DJ27" s="250" t="n"/>
      <c r="DK27" s="250" t="n"/>
      <c r="DL27" s="250" t="n"/>
      <c r="DM27" s="250" t="n"/>
      <c r="DN27" s="250" t="n"/>
      <c r="DO27" s="250" t="n"/>
      <c r="DP27" s="250" t="n"/>
      <c r="DQ27" s="250" t="n"/>
      <c r="DR27" s="250" t="n"/>
      <c r="DS27" s="250" t="n"/>
      <c r="DT27" s="250" t="n"/>
      <c r="DU27" s="250" t="n"/>
      <c r="DV27" s="250" t="n"/>
      <c r="DW27" s="250" t="n"/>
      <c r="DX27" s="250" t="n"/>
      <c r="DY27" s="250" t="n"/>
      <c r="DZ27" s="250" t="n"/>
      <c r="EA27" s="160" t="n"/>
      <c r="EB27" s="125" t="n"/>
      <c r="EC27" s="125" t="n"/>
      <c r="ED27" s="125" t="n"/>
      <c r="EE27" s="125" t="n"/>
      <c r="EF27" s="125" t="n"/>
      <c r="EG27" s="125" t="n"/>
      <c r="EH27" s="125" t="n"/>
      <c r="EI27" s="125" t="n"/>
      <c r="EJ27" s="125" t="n"/>
      <c r="EK27" s="125" t="n"/>
      <c r="EL27" s="125" t="n"/>
      <c r="EM27" s="125" t="n"/>
      <c r="EN27" s="125" t="n"/>
      <c r="EO27" s="125" t="n"/>
      <c r="EP27" s="125" t="n"/>
      <c r="EQ27" s="125" t="n"/>
      <c r="ER27" s="125" t="n"/>
      <c r="ES27" s="125" t="n"/>
      <c r="ET27" s="125" t="n"/>
      <c r="EU27" s="125" t="n"/>
      <c r="EV27" s="125" t="n"/>
      <c r="EW27" s="125" t="n"/>
      <c r="EX27" s="125" t="n"/>
      <c r="EY27" s="125" t="n"/>
      <c r="EZ27" s="125" t="n"/>
      <c r="FA27" s="125" t="n"/>
      <c r="FB27" s="125" t="n"/>
      <c r="FC27" s="125" t="n"/>
      <c r="FD27" s="125" t="n"/>
      <c r="FE27" s="125" t="n"/>
      <c r="FF27" s="125" t="n"/>
      <c r="FG27" s="125" t="n"/>
      <c r="FH27" s="125" t="n"/>
      <c r="FI27" s="125" t="n"/>
      <c r="FJ27" s="125" t="n"/>
      <c r="FK27" s="125" t="n"/>
    </row>
    <row r="28">
      <c r="A28" s="250" t="n"/>
      <c r="B28" s="296" t="inlineStr">
        <is>
          <t>Random</t>
        </is>
      </c>
      <c r="C28" s="484" t="n"/>
      <c r="D28" s="485" t="n"/>
      <c r="E28" s="171">
        <f>if(J28="プリズム","FreeDiamond","item")</f>
        <v/>
      </c>
      <c r="F28" s="172" t="n"/>
      <c r="G28" s="173">
        <f t="array" ref="G28">iferror(INDEX('アイテムID_管理'!E:E,MATCH(J28,'アイテムID_管理'!H:H,0),0),"none")</f>
        <v/>
      </c>
      <c r="H28" s="173" t="n"/>
      <c r="I28" s="173" t="n"/>
      <c r="J28" s="296" t="inlineStr">
        <is>
          <t>カラーメモリー・レッド</t>
        </is>
      </c>
      <c r="K28" s="484" t="n"/>
      <c r="L28" s="484" t="n"/>
      <c r="M28" s="484" t="n"/>
      <c r="N28" s="484" t="n"/>
      <c r="O28" s="484" t="n"/>
      <c r="P28" s="484" t="n"/>
      <c r="Q28" s="485" t="n"/>
      <c r="R28" s="196" t="n">
        <v>3</v>
      </c>
      <c r="S28" s="176" t="n"/>
      <c r="T28" s="196" t="n">
        <v>20</v>
      </c>
      <c r="U28" s="179" t="n"/>
      <c r="V28" s="250" t="n"/>
      <c r="W28" s="250" t="n"/>
      <c r="X28" s="250" t="n"/>
      <c r="Y28" s="250" t="n"/>
      <c r="Z28" s="250" t="n"/>
      <c r="AA28" s="250" t="n"/>
      <c r="AB28" s="250" t="n"/>
      <c r="AC28" s="250" t="n"/>
      <c r="AD28" s="250" t="n"/>
      <c r="AE28" s="250" t="n"/>
      <c r="AF28" s="250" t="n"/>
      <c r="AG28" s="250" t="n"/>
      <c r="AH28" s="250" t="n"/>
      <c r="AI28" s="250" t="n"/>
      <c r="AJ28" s="250" t="n"/>
      <c r="AK28" s="250" t="n"/>
      <c r="AL28" s="250" t="n"/>
      <c r="AM28" s="250" t="n"/>
      <c r="AN28" s="250" t="n"/>
      <c r="AO28" s="250" t="n"/>
      <c r="AP28" s="250" t="n"/>
      <c r="AQ28" s="250" t="n"/>
      <c r="AR28" s="250" t="n"/>
      <c r="AS28" s="250" t="n"/>
      <c r="AT28" s="250" t="n"/>
      <c r="AU28" s="250" t="n"/>
      <c r="AV28" s="250" t="n"/>
      <c r="AW28" s="250" t="n"/>
      <c r="AX28" s="250" t="n"/>
      <c r="AY28" s="250" t="n"/>
      <c r="AZ28" s="250" t="n"/>
      <c r="BA28" s="250" t="n"/>
      <c r="BB28" s="250" t="n"/>
      <c r="BC28" s="250" t="n"/>
      <c r="BD28" s="250" t="n"/>
      <c r="BE28" s="250" t="n"/>
      <c r="BF28" s="250" t="n"/>
      <c r="BG28" s="250" t="n"/>
      <c r="BH28" s="250" t="n"/>
      <c r="BI28" s="250" t="n"/>
      <c r="BJ28" s="250" t="n"/>
      <c r="BK28" s="250" t="n"/>
      <c r="BL28" s="250" t="n"/>
      <c r="BM28" s="250" t="n"/>
      <c r="BN28" s="250" t="n"/>
      <c r="BO28" s="250" t="n"/>
      <c r="BP28" s="250" t="n"/>
      <c r="BQ28" s="250" t="n"/>
      <c r="BR28" s="250" t="n"/>
      <c r="BS28" s="250" t="n"/>
      <c r="BT28" s="250" t="n"/>
      <c r="BU28" s="250" t="n"/>
      <c r="BV28" s="250" t="n"/>
      <c r="BW28" s="250" t="n"/>
      <c r="BX28" s="250" t="n"/>
      <c r="BY28" s="250" t="n"/>
      <c r="BZ28" s="250" t="n"/>
      <c r="CA28" s="250" t="n"/>
      <c r="CB28" s="250" t="n"/>
      <c r="CC28" s="250" t="n"/>
      <c r="CD28" s="250" t="n"/>
      <c r="CE28" s="250" t="n"/>
      <c r="CF28" s="250" t="n"/>
      <c r="CG28" s="250" t="n"/>
      <c r="CH28" s="250" t="n"/>
      <c r="CI28" s="250" t="n"/>
      <c r="CJ28" s="250" t="n"/>
      <c r="CK28" s="250" t="n"/>
      <c r="CL28" s="250" t="n"/>
      <c r="CM28" s="250" t="n"/>
      <c r="CN28" s="250" t="n"/>
      <c r="CO28" s="250" t="n"/>
      <c r="CP28" s="250" t="n"/>
      <c r="CQ28" s="250" t="n"/>
      <c r="CR28" s="250" t="n"/>
      <c r="CS28" s="250" t="n"/>
      <c r="CT28" s="250" t="n"/>
      <c r="CU28" s="250" t="n"/>
      <c r="CV28" s="250" t="n"/>
      <c r="CW28" s="250" t="n"/>
      <c r="CX28" s="250" t="n"/>
      <c r="CY28" s="250" t="n"/>
      <c r="CZ28" s="250" t="n"/>
      <c r="DA28" s="250" t="n"/>
      <c r="DB28" s="250" t="n"/>
      <c r="DC28" s="250" t="n"/>
      <c r="DD28" s="250" t="n"/>
      <c r="DE28" s="250" t="n"/>
      <c r="DF28" s="250" t="n"/>
      <c r="DG28" s="250" t="n"/>
      <c r="DH28" s="250" t="n"/>
      <c r="DI28" s="250" t="n"/>
      <c r="DJ28" s="250" t="n"/>
      <c r="DK28" s="250" t="n"/>
      <c r="DL28" s="250" t="n"/>
      <c r="DM28" s="250" t="n"/>
      <c r="DN28" s="250" t="n"/>
      <c r="DO28" s="250" t="n"/>
      <c r="DP28" s="250" t="n"/>
      <c r="DQ28" s="250" t="n"/>
      <c r="DR28" s="250" t="n"/>
      <c r="DS28" s="250" t="n"/>
      <c r="DT28" s="250" t="n"/>
      <c r="DU28" s="250" t="n"/>
      <c r="DV28" s="250" t="n"/>
      <c r="DW28" s="250" t="n"/>
      <c r="DX28" s="250" t="n"/>
      <c r="DY28" s="250" t="n"/>
      <c r="DZ28" s="250" t="n"/>
      <c r="EA28" s="160" t="inlineStr">
        <is>
          <t>★MstPage投入用▶</t>
        </is>
      </c>
      <c r="EB28" s="125" t="inlineStr">
        <is>
          <t>ENABLE</t>
        </is>
      </c>
      <c r="EC28" s="125" t="inlineStr">
        <is>
          <t>id</t>
        </is>
      </c>
      <c r="ED28" s="125" t="inlineStr">
        <is>
          <t>release_key</t>
        </is>
      </c>
      <c r="EE28" s="125" t="n"/>
      <c r="EF28" s="125" t="n"/>
      <c r="EG28" s="125" t="n"/>
      <c r="EH28" s="125" t="n"/>
      <c r="EI28" s="125" t="n"/>
      <c r="EJ28" s="125" t="n"/>
      <c r="EK28" s="125" t="n"/>
      <c r="EL28" s="125" t="n"/>
      <c r="EM28" s="125" t="n"/>
      <c r="EN28" s="125" t="n"/>
      <c r="EO28" s="125" t="n"/>
      <c r="EP28" s="125" t="n"/>
      <c r="EQ28" s="125" t="n"/>
      <c r="ER28" s="125" t="n"/>
      <c r="ES28" s="125" t="n"/>
      <c r="ET28" s="125" t="n"/>
      <c r="EU28" s="125" t="n"/>
      <c r="EV28" s="125" t="n"/>
      <c r="EW28" s="125" t="n"/>
      <c r="EX28" s="125" t="n"/>
      <c r="EY28" s="125" t="n"/>
      <c r="EZ28" s="125" t="n"/>
      <c r="FA28" s="125" t="n"/>
      <c r="FB28" s="125" t="n"/>
      <c r="FC28" s="125" t="n"/>
      <c r="FD28" s="125" t="n"/>
      <c r="FE28" s="125" t="n"/>
      <c r="FF28" s="125" t="n"/>
      <c r="FG28" s="125" t="n"/>
      <c r="FH28" s="125" t="n"/>
      <c r="FI28" s="125" t="n"/>
      <c r="FJ28" s="125" t="n"/>
      <c r="FK28" s="125" t="n"/>
    </row>
    <row r="29">
      <c r="A29" s="250" t="n"/>
      <c r="B29" s="296" t="inlineStr">
        <is>
          <t>Random</t>
        </is>
      </c>
      <c r="C29" s="484" t="n"/>
      <c r="D29" s="485" t="n"/>
      <c r="E29" s="171">
        <f>if(J29="プリズム","FreeDiamond","item")</f>
        <v/>
      </c>
      <c r="F29" s="172" t="n"/>
      <c r="G29" s="173">
        <f t="array" ref="G29">iferror(INDEX('アイテムID_管理'!E:E,MATCH(J29,'アイテムID_管理'!H:H,0),0),"none")</f>
        <v/>
      </c>
      <c r="H29" s="173" t="n"/>
      <c r="I29" s="173" t="n"/>
      <c r="J29" s="296" t="inlineStr">
        <is>
          <t>カラーメモリー・ブルー</t>
        </is>
      </c>
      <c r="K29" s="484" t="n"/>
      <c r="L29" s="484" t="n"/>
      <c r="M29" s="484" t="n"/>
      <c r="N29" s="484" t="n"/>
      <c r="O29" s="484" t="n"/>
      <c r="P29" s="484" t="n"/>
      <c r="Q29" s="485" t="n"/>
      <c r="R29" s="196" t="n">
        <v>3</v>
      </c>
      <c r="S29" s="176" t="n"/>
      <c r="T29" s="196" t="n">
        <v>20</v>
      </c>
      <c r="U29" s="179" t="n"/>
      <c r="V29" s="250" t="n"/>
      <c r="W29" s="250" t="n"/>
      <c r="X29" s="250" t="n"/>
      <c r="Y29" s="250" t="n"/>
      <c r="Z29" s="250" t="n"/>
      <c r="AA29" s="250" t="n"/>
      <c r="AB29" s="250" t="n"/>
      <c r="AC29" s="250" t="n"/>
      <c r="AD29" s="250" t="n"/>
      <c r="AE29" s="250" t="n"/>
      <c r="AF29" s="250" t="n"/>
      <c r="AG29" s="250" t="n"/>
      <c r="AH29" s="250" t="n"/>
      <c r="AI29" s="250" t="n"/>
      <c r="AJ29" s="250" t="n"/>
      <c r="AK29" s="250" t="n"/>
      <c r="AL29" s="250" t="n"/>
      <c r="AM29" s="250" t="n"/>
      <c r="AN29" s="250" t="n"/>
      <c r="AO29" s="250" t="n"/>
      <c r="AP29" s="250" t="n"/>
      <c r="AQ29" s="250" t="n"/>
      <c r="AR29" s="250" t="n"/>
      <c r="AS29" s="250" t="n"/>
      <c r="AT29" s="250" t="n"/>
      <c r="AU29" s="250" t="n"/>
      <c r="AV29" s="250" t="n"/>
      <c r="AW29" s="250" t="n"/>
      <c r="AX29" s="250" t="n"/>
      <c r="AY29" s="250" t="n"/>
      <c r="AZ29" s="250" t="n"/>
      <c r="BA29" s="250" t="n"/>
      <c r="BB29" s="250" t="n"/>
      <c r="BC29" s="250" t="n"/>
      <c r="BD29" s="250" t="n"/>
      <c r="BE29" s="250" t="n"/>
      <c r="BF29" s="250" t="n"/>
      <c r="BG29" s="250" t="n"/>
      <c r="BH29" s="250" t="n"/>
      <c r="BI29" s="250" t="n"/>
      <c r="BJ29" s="250" t="n"/>
      <c r="BK29" s="250" t="n"/>
      <c r="BL29" s="250" t="n"/>
      <c r="BM29" s="250" t="n"/>
      <c r="BN29" s="250" t="n"/>
      <c r="BO29" s="250" t="n"/>
      <c r="BP29" s="250" t="n"/>
      <c r="BQ29" s="250" t="n"/>
      <c r="BR29" s="250" t="n"/>
      <c r="BS29" s="250" t="n"/>
      <c r="BT29" s="250" t="n"/>
      <c r="BU29" s="250" t="n"/>
      <c r="BV29" s="250" t="n"/>
      <c r="BW29" s="250" t="n"/>
      <c r="BX29" s="250" t="n"/>
      <c r="BY29" s="250" t="n"/>
      <c r="BZ29" s="250" t="n"/>
      <c r="CA29" s="250" t="n"/>
      <c r="CB29" s="250" t="n"/>
      <c r="CC29" s="250" t="n"/>
      <c r="CD29" s="250" t="n"/>
      <c r="CE29" s="250" t="n"/>
      <c r="CF29" s="250" t="n"/>
      <c r="CG29" s="250" t="n"/>
      <c r="CH29" s="250" t="n"/>
      <c r="CI29" s="250" t="n"/>
      <c r="CJ29" s="250" t="n"/>
      <c r="CK29" s="250" t="n"/>
      <c r="CL29" s="250" t="n"/>
      <c r="CM29" s="250" t="n"/>
      <c r="CN29" s="250" t="n"/>
      <c r="CO29" s="250" t="n"/>
      <c r="CP29" s="250" t="n"/>
      <c r="CQ29" s="250" t="n"/>
      <c r="CR29" s="250" t="n"/>
      <c r="CS29" s="250" t="n"/>
      <c r="CT29" s="250" t="n"/>
      <c r="CU29" s="250" t="n"/>
      <c r="CV29" s="250" t="n"/>
      <c r="CW29" s="250" t="n"/>
      <c r="CX29" s="250" t="n"/>
      <c r="CY29" s="250" t="n"/>
      <c r="CZ29" s="250" t="n"/>
      <c r="DA29" s="250" t="n"/>
      <c r="DB29" s="250" t="n"/>
      <c r="DC29" s="250" t="n"/>
      <c r="DD29" s="250" t="n"/>
      <c r="DE29" s="250" t="n"/>
      <c r="DF29" s="250" t="n"/>
      <c r="DG29" s="250" t="n"/>
      <c r="DH29" s="250" t="n"/>
      <c r="DI29" s="250" t="n"/>
      <c r="DJ29" s="250" t="n"/>
      <c r="DK29" s="250" t="n"/>
      <c r="DL29" s="250" t="n"/>
      <c r="DM29" s="250" t="n"/>
      <c r="DN29" s="250" t="n"/>
      <c r="DO29" s="250" t="n"/>
      <c r="DP29" s="250" t="n"/>
      <c r="DQ29" s="250" t="n"/>
      <c r="DR29" s="250" t="n"/>
      <c r="DS29" s="250" t="n"/>
      <c r="DT29" s="250" t="n"/>
      <c r="DU29" s="250" t="n"/>
      <c r="DV29" s="250" t="n"/>
      <c r="DW29" s="250" t="n"/>
      <c r="DX29" s="250" t="n"/>
      <c r="DY29" s="250" t="n"/>
      <c r="DZ29" s="250" t="n"/>
      <c r="EA29" s="160" t="n"/>
      <c r="EB29" s="125">
        <f>LET(er,MATCH("敵ゲートID",E:E,0)+1,IF(INDIRECT("E"&amp;er)="","","e"))</f>
        <v/>
      </c>
      <c r="EC29" s="125">
        <f>LET(er,MATCH("敵ゲートID",E:E,0)+1,IF(INDIRECT("E"&amp;er)="","",INDIRECT("E"&amp;er)))</f>
        <v/>
      </c>
      <c r="ED29" s="125">
        <f>LET(er,MATCH("敵ゲートID",E:E,0)+1,rr,MATCH("リリースキー",N:N,0)+1,IF(INDIRECT("E"&amp;er)="","",TEXT(INDIRECT("N"&amp;rr),"0")))</f>
        <v/>
      </c>
      <c r="EE29" s="125" t="n"/>
      <c r="EF29" s="125" t="n"/>
      <c r="EG29" s="125" t="n"/>
      <c r="EH29" s="125" t="n"/>
      <c r="EI29" s="125" t="n"/>
      <c r="EJ29" s="125" t="n"/>
      <c r="EK29" s="125" t="n"/>
      <c r="EL29" s="125" t="n"/>
      <c r="EM29" s="125" t="n"/>
      <c r="EN29" s="125" t="n"/>
      <c r="EO29" s="125" t="n"/>
      <c r="EP29" s="125" t="n"/>
      <c r="EQ29" s="125" t="n"/>
      <c r="ER29" s="125" t="n"/>
      <c r="ES29" s="125" t="n"/>
      <c r="ET29" s="125" t="n"/>
      <c r="EU29" s="125" t="n"/>
      <c r="EV29" s="125" t="n"/>
      <c r="EW29" s="125" t="n"/>
      <c r="EX29" s="125" t="n"/>
      <c r="EY29" s="125" t="n"/>
      <c r="EZ29" s="125" t="n"/>
      <c r="FA29" s="125" t="n"/>
      <c r="FB29" s="125" t="n"/>
      <c r="FC29" s="125" t="n"/>
      <c r="FD29" s="125" t="n"/>
      <c r="FE29" s="125" t="n"/>
      <c r="FF29" s="125" t="n"/>
      <c r="FG29" s="125" t="n"/>
      <c r="FH29" s="125" t="n"/>
      <c r="FI29" s="125" t="n"/>
      <c r="FJ29" s="125" t="n"/>
      <c r="FK29" s="125" t="n"/>
    </row>
    <row r="30">
      <c r="A30" s="250" t="n"/>
      <c r="B30" s="296" t="inlineStr">
        <is>
          <t>Random</t>
        </is>
      </c>
      <c r="C30" s="484" t="n"/>
      <c r="D30" s="485" t="n"/>
      <c r="E30" s="171">
        <f>if(J30="プリズム","FreeDiamond","item")</f>
        <v/>
      </c>
      <c r="F30" s="172" t="n"/>
      <c r="G30" s="173">
        <f t="array" ref="G30">iferror(INDEX('アイテムID_管理'!E:E,MATCH(J30,'アイテムID_管理'!H:H,0),0),"none")</f>
        <v/>
      </c>
      <c r="H30" s="173" t="n"/>
      <c r="I30" s="173" t="n"/>
      <c r="J30" s="296" t="inlineStr">
        <is>
          <t>カラーメモリー・イエロー</t>
        </is>
      </c>
      <c r="K30" s="484" t="n"/>
      <c r="L30" s="484" t="n"/>
      <c r="M30" s="484" t="n"/>
      <c r="N30" s="484" t="n"/>
      <c r="O30" s="484" t="n"/>
      <c r="P30" s="484" t="n"/>
      <c r="Q30" s="485" t="n"/>
      <c r="R30" s="196" t="n">
        <v>3</v>
      </c>
      <c r="S30" s="176" t="n"/>
      <c r="T30" s="196" t="n">
        <v>20</v>
      </c>
      <c r="U30" s="179" t="n"/>
      <c r="V30" s="250" t="n"/>
      <c r="W30" s="250" t="n"/>
      <c r="X30" s="250" t="n"/>
      <c r="Y30" s="250" t="n"/>
      <c r="Z30" s="250" t="n"/>
      <c r="AA30" s="250" t="n"/>
      <c r="AB30" s="250" t="n"/>
      <c r="AC30" s="250" t="n"/>
      <c r="AD30" s="250" t="n"/>
      <c r="AE30" s="250" t="n"/>
      <c r="AF30" s="250" t="n"/>
      <c r="AG30" s="250" t="n"/>
      <c r="AH30" s="250" t="n"/>
      <c r="AI30" s="250" t="n"/>
      <c r="AJ30" s="250" t="n"/>
      <c r="AK30" s="250" t="n"/>
      <c r="AL30" s="250" t="n"/>
      <c r="AM30" s="250" t="n"/>
      <c r="AN30" s="250" t="n"/>
      <c r="AO30" s="250" t="n"/>
      <c r="AP30" s="250" t="n"/>
      <c r="AQ30" s="250" t="n"/>
      <c r="AR30" s="250" t="n"/>
      <c r="AS30" s="250" t="n"/>
      <c r="AT30" s="250" t="n"/>
      <c r="AU30" s="250" t="n"/>
      <c r="AV30" s="250" t="n"/>
      <c r="AW30" s="250" t="n"/>
      <c r="AX30" s="250" t="n"/>
      <c r="AY30" s="250" t="n"/>
      <c r="AZ30" s="250" t="n"/>
      <c r="BA30" s="250" t="n"/>
      <c r="BB30" s="250" t="n"/>
      <c r="BC30" s="250" t="n"/>
      <c r="BD30" s="250" t="n"/>
      <c r="BE30" s="250" t="n"/>
      <c r="BF30" s="250" t="n"/>
      <c r="BG30" s="250" t="n"/>
      <c r="BH30" s="250" t="n"/>
      <c r="BI30" s="250" t="n"/>
      <c r="BJ30" s="250" t="n"/>
      <c r="BK30" s="250" t="n"/>
      <c r="BL30" s="250" t="n"/>
      <c r="BM30" s="250" t="n"/>
      <c r="BN30" s="250" t="n"/>
      <c r="BO30" s="250" t="n"/>
      <c r="BP30" s="250" t="n"/>
      <c r="BQ30" s="250" t="n"/>
      <c r="BR30" s="250" t="n"/>
      <c r="BS30" s="250" t="n"/>
      <c r="BT30" s="250" t="n"/>
      <c r="BU30" s="250" t="n"/>
      <c r="BV30" s="250" t="n"/>
      <c r="BW30" s="250" t="n"/>
      <c r="BX30" s="250" t="n"/>
      <c r="BY30" s="250" t="n"/>
      <c r="BZ30" s="250" t="n"/>
      <c r="CA30" s="250" t="n"/>
      <c r="CB30" s="250" t="n"/>
      <c r="CC30" s="250" t="n"/>
      <c r="CD30" s="250" t="n"/>
      <c r="CE30" s="250" t="n"/>
      <c r="CF30" s="250" t="n"/>
      <c r="CG30" s="250" t="n"/>
      <c r="CH30" s="250" t="n"/>
      <c r="CI30" s="250" t="n"/>
      <c r="CJ30" s="250" t="n"/>
      <c r="CK30" s="250" t="n"/>
      <c r="CL30" s="250" t="n"/>
      <c r="CM30" s="250" t="n"/>
      <c r="CN30" s="250" t="n"/>
      <c r="CO30" s="250" t="n"/>
      <c r="CP30" s="250" t="n"/>
      <c r="CQ30" s="250" t="n"/>
      <c r="CR30" s="250" t="n"/>
      <c r="CS30" s="250" t="n"/>
      <c r="CT30" s="250" t="n"/>
      <c r="CU30" s="250" t="n"/>
      <c r="CV30" s="250" t="n"/>
      <c r="CW30" s="250" t="n"/>
      <c r="CX30" s="250" t="n"/>
      <c r="CY30" s="250" t="n"/>
      <c r="CZ30" s="250" t="n"/>
      <c r="DA30" s="250" t="n"/>
      <c r="DB30" s="250" t="n"/>
      <c r="DC30" s="250" t="n"/>
      <c r="DD30" s="250" t="n"/>
      <c r="DE30" s="250" t="n"/>
      <c r="DF30" s="250" t="n"/>
      <c r="DG30" s="250" t="n"/>
      <c r="DH30" s="250" t="n"/>
      <c r="DI30" s="250" t="n"/>
      <c r="DJ30" s="250" t="n"/>
      <c r="DK30" s="250" t="n"/>
      <c r="DL30" s="250" t="n"/>
      <c r="DM30" s="250" t="n"/>
      <c r="DN30" s="250" t="n"/>
      <c r="DO30" s="250" t="n"/>
      <c r="DP30" s="250" t="n"/>
      <c r="DQ30" s="250" t="n"/>
      <c r="DR30" s="250" t="n"/>
      <c r="DS30" s="250" t="n"/>
      <c r="DT30" s="250" t="n"/>
      <c r="DU30" s="250" t="n"/>
      <c r="DV30" s="250" t="n"/>
      <c r="DW30" s="250" t="n"/>
      <c r="DX30" s="250" t="n"/>
      <c r="DY30" s="250" t="n"/>
      <c r="DZ30" s="250" t="n"/>
      <c r="EA30" s="160" t="inlineStr">
        <is>
          <t>★MstKomaLine投入用▶</t>
        </is>
      </c>
      <c r="EB30" s="125" t="inlineStr">
        <is>
          <t>ENABLE</t>
        </is>
      </c>
      <c r="EC30" s="125" t="inlineStr">
        <is>
          <t>id</t>
        </is>
      </c>
      <c r="ED30" s="125" t="inlineStr">
        <is>
          <t>mst_page_id</t>
        </is>
      </c>
      <c r="EE30" s="125" t="inlineStr">
        <is>
          <t>row</t>
        </is>
      </c>
      <c r="EF30" s="125" t="inlineStr">
        <is>
          <t>height</t>
        </is>
      </c>
      <c r="EG30" s="125" t="inlineStr">
        <is>
          <t>koma_line_layout_asset_key</t>
        </is>
      </c>
      <c r="EH30" s="125" t="inlineStr">
        <is>
          <t>koma1_asset_key</t>
        </is>
      </c>
      <c r="EI30" s="125" t="inlineStr">
        <is>
          <t>koma1_width</t>
        </is>
      </c>
      <c r="EJ30" s="125" t="inlineStr">
        <is>
          <t>koma1_back_ground_offset</t>
        </is>
      </c>
      <c r="EK30" s="125" t="inlineStr">
        <is>
          <t>koma1_effect_type</t>
        </is>
      </c>
      <c r="EL30" s="125" t="inlineStr">
        <is>
          <t>koma1_effect_parameter1</t>
        </is>
      </c>
      <c r="EM30" s="125" t="inlineStr">
        <is>
          <t>koma1_effect_parameter2</t>
        </is>
      </c>
      <c r="EN30" s="125" t="inlineStr">
        <is>
          <t>koma1_effect_target_side</t>
        </is>
      </c>
      <c r="EO30" s="125" t="inlineStr">
        <is>
          <t>koma1_effect_target_colors</t>
        </is>
      </c>
      <c r="EP30" s="125" t="inlineStr">
        <is>
          <t>koma1_effect_target_roles</t>
        </is>
      </c>
      <c r="EQ30" s="125" t="inlineStr">
        <is>
          <t>koma2_asset_key</t>
        </is>
      </c>
      <c r="ER30" s="125" t="inlineStr">
        <is>
          <t>koma2_width</t>
        </is>
      </c>
      <c r="ES30" s="125" t="inlineStr">
        <is>
          <t>koma2_back_ground_offset</t>
        </is>
      </c>
      <c r="ET30" s="125" t="inlineStr">
        <is>
          <t>koma2_effect_type</t>
        </is>
      </c>
      <c r="EU30" s="125" t="inlineStr">
        <is>
          <t>koma2_effect_parameter1</t>
        </is>
      </c>
      <c r="EV30" s="125" t="inlineStr">
        <is>
          <t>koma2_effect_parameter2</t>
        </is>
      </c>
      <c r="EW30" s="125" t="inlineStr">
        <is>
          <t>koma2_effect_target_side</t>
        </is>
      </c>
      <c r="EX30" s="125" t="inlineStr">
        <is>
          <t>koma2_effect_target_colors</t>
        </is>
      </c>
      <c r="EY30" s="125" t="inlineStr">
        <is>
          <t>koma2_effect_target_roles</t>
        </is>
      </c>
      <c r="EZ30" s="125" t="inlineStr">
        <is>
          <t>koma3_asset_key</t>
        </is>
      </c>
      <c r="FA30" s="125" t="inlineStr">
        <is>
          <t>koma3_width</t>
        </is>
      </c>
      <c r="FB30" s="125" t="inlineStr">
        <is>
          <t>koma3_back_ground_offset</t>
        </is>
      </c>
      <c r="FC30" s="125" t="inlineStr">
        <is>
          <t>koma3_effect_type</t>
        </is>
      </c>
      <c r="FD30" s="125" t="inlineStr">
        <is>
          <t>koma3_effect_parameter1</t>
        </is>
      </c>
      <c r="FE30" s="125" t="inlineStr">
        <is>
          <t>koma3_effect_parameter2</t>
        </is>
      </c>
      <c r="FF30" s="125" t="inlineStr">
        <is>
          <t>koma3_effect_target_side</t>
        </is>
      </c>
      <c r="FG30" s="125" t="inlineStr">
        <is>
          <t>koma3_effect_target_colors</t>
        </is>
      </c>
      <c r="FH30" s="125" t="inlineStr">
        <is>
          <t>koma3_effect_target_roles</t>
        </is>
      </c>
      <c r="FI30" s="125" t="inlineStr">
        <is>
          <t>koma4_asset_key</t>
        </is>
      </c>
      <c r="FJ30" s="125" t="inlineStr">
        <is>
          <t>koma4_width</t>
        </is>
      </c>
      <c r="FK30" s="125" t="inlineStr">
        <is>
          <t>koma4_back_ground_offset</t>
        </is>
      </c>
      <c r="FL30" t="inlineStr">
        <is>
          <t>koma4_effect_type</t>
        </is>
      </c>
      <c r="FM30" t="inlineStr">
        <is>
          <t>koma4_effect_parameter1</t>
        </is>
      </c>
      <c r="FN30" t="inlineStr">
        <is>
          <t>koma4_effect_parameter2</t>
        </is>
      </c>
      <c r="FO30" t="inlineStr">
        <is>
          <t>koma4_effect_target_side</t>
        </is>
      </c>
      <c r="FP30" t="inlineStr">
        <is>
          <t>koma4_effect_target_colors</t>
        </is>
      </c>
      <c r="FQ30" t="inlineStr">
        <is>
          <t>koma4_effect_target_roles</t>
        </is>
      </c>
      <c r="FR30" t="inlineStr">
        <is>
          <t>release_key</t>
        </is>
      </c>
    </row>
    <row r="31">
      <c r="A31" s="250" t="n"/>
      <c r="B31" s="296" t="inlineStr">
        <is>
          <t>Random</t>
        </is>
      </c>
      <c r="C31" s="484" t="n"/>
      <c r="D31" s="485" t="n"/>
      <c r="E31" s="171">
        <f>if(J31="プリズム","FreeDiamond","item")</f>
        <v/>
      </c>
      <c r="F31" s="172" t="n"/>
      <c r="G31" s="173">
        <f t="array" ref="G31">iferror(INDEX('アイテムID_管理'!E:E,MATCH(J31,'アイテムID_管理'!H:H,0),0),"none")</f>
        <v/>
      </c>
      <c r="H31" s="173" t="n"/>
      <c r="I31" s="173" t="n"/>
      <c r="J31" s="296" t="inlineStr">
        <is>
          <t>カラーメモリー・グリーン</t>
        </is>
      </c>
      <c r="K31" s="484" t="n"/>
      <c r="L31" s="484" t="n"/>
      <c r="M31" s="484" t="n"/>
      <c r="N31" s="484" t="n"/>
      <c r="O31" s="484" t="n"/>
      <c r="P31" s="484" t="n"/>
      <c r="Q31" s="485" t="n"/>
      <c r="R31" s="196" t="n">
        <v>3</v>
      </c>
      <c r="S31" s="176" t="n"/>
      <c r="T31" s="196" t="n">
        <v>20</v>
      </c>
      <c r="U31" s="179" t="n"/>
      <c r="V31" s="250" t="n"/>
      <c r="W31" s="250" t="n"/>
      <c r="X31" s="250" t="n"/>
      <c r="Y31" s="250" t="n"/>
      <c r="Z31" s="250" t="n"/>
      <c r="AA31" s="250" t="n"/>
      <c r="AB31" s="250" t="n"/>
      <c r="AC31" s="250" t="n"/>
      <c r="AD31" s="250" t="n"/>
      <c r="AE31" s="250" t="n"/>
      <c r="AF31" s="250" t="n"/>
      <c r="AG31" s="250" t="n"/>
      <c r="AH31" s="250" t="n"/>
      <c r="AI31" s="250" t="n"/>
      <c r="AJ31" s="250" t="n"/>
      <c r="AK31" s="250" t="n"/>
      <c r="AL31" s="250" t="n"/>
      <c r="AM31" s="250" t="n"/>
      <c r="AN31" s="250" t="n"/>
      <c r="AO31" s="250" t="n"/>
      <c r="AP31" s="250" t="n"/>
      <c r="AQ31" s="250" t="n"/>
      <c r="AR31" s="250" t="n"/>
      <c r="AS31" s="250" t="n"/>
      <c r="AT31" s="250" t="n"/>
      <c r="AU31" s="250" t="n"/>
      <c r="AV31" s="250" t="n"/>
      <c r="AW31" s="250" t="n"/>
      <c r="AX31" s="250" t="n"/>
      <c r="AY31" s="250" t="n"/>
      <c r="AZ31" s="250" t="n"/>
      <c r="BA31" s="250" t="n"/>
      <c r="BB31" s="250" t="n"/>
      <c r="BC31" s="250" t="n"/>
      <c r="BD31" s="250" t="n"/>
      <c r="BE31" s="250" t="n"/>
      <c r="BF31" s="250" t="n"/>
      <c r="BG31" s="250" t="n"/>
      <c r="BH31" s="250" t="n"/>
      <c r="BI31" s="250" t="n"/>
      <c r="BJ31" s="250" t="n"/>
      <c r="BK31" s="250" t="n"/>
      <c r="BL31" s="250" t="n"/>
      <c r="BM31" s="250" t="n"/>
      <c r="BN31" s="250" t="n"/>
      <c r="BO31" s="250" t="n"/>
      <c r="BP31" s="250" t="n"/>
      <c r="BQ31" s="250" t="n"/>
      <c r="BR31" s="250" t="n"/>
      <c r="BS31" s="250" t="n"/>
      <c r="BT31" s="250" t="n"/>
      <c r="BU31" s="250" t="n"/>
      <c r="BV31" s="250" t="n"/>
      <c r="BW31" s="250" t="n"/>
      <c r="BX31" s="250" t="n"/>
      <c r="BY31" s="250" t="n"/>
      <c r="BZ31" s="250" t="n"/>
      <c r="CA31" s="250" t="n"/>
      <c r="CB31" s="250" t="n"/>
      <c r="CC31" s="250" t="n"/>
      <c r="CD31" s="250" t="n"/>
      <c r="CE31" s="250" t="n"/>
      <c r="CF31" s="250" t="n"/>
      <c r="CG31" s="250" t="n"/>
      <c r="CH31" s="250" t="n"/>
      <c r="CI31" s="250" t="n"/>
      <c r="CJ31" s="250" t="n"/>
      <c r="CK31" s="250" t="n"/>
      <c r="CL31" s="250" t="n"/>
      <c r="CM31" s="250" t="n"/>
      <c r="CN31" s="250" t="n"/>
      <c r="CO31" s="250" t="n"/>
      <c r="CP31" s="250" t="n"/>
      <c r="CQ31" s="250" t="n"/>
      <c r="CR31" s="250" t="n"/>
      <c r="CS31" s="250" t="n"/>
      <c r="CT31" s="250" t="n"/>
      <c r="CU31" s="250" t="n"/>
      <c r="CV31" s="250" t="n"/>
      <c r="CW31" s="250" t="n"/>
      <c r="CX31" s="250" t="n"/>
      <c r="CY31" s="250" t="n"/>
      <c r="CZ31" s="250" t="n"/>
      <c r="DA31" s="250" t="n"/>
      <c r="DB31" s="250" t="n"/>
      <c r="DC31" s="250" t="n"/>
      <c r="DD31" s="250" t="n"/>
      <c r="DE31" s="250" t="n"/>
      <c r="DF31" s="250" t="n"/>
      <c r="DG31" s="250" t="n"/>
      <c r="DH31" s="250" t="n"/>
      <c r="DI31" s="250" t="n"/>
      <c r="DJ31" s="250" t="n"/>
      <c r="DK31" s="250" t="n"/>
      <c r="DL31" s="250" t="n"/>
      <c r="DM31" s="250" t="n"/>
      <c r="DN31" s="250" t="n"/>
      <c r="DO31" s="250" t="n"/>
      <c r="DP31" s="250" t="n"/>
      <c r="DQ31" s="250" t="n"/>
      <c r="DR31" s="250" t="n"/>
      <c r="DS31" s="250" t="n"/>
      <c r="DT31" s="250" t="n"/>
      <c r="DU31" s="250" t="n"/>
      <c r="DV31" s="250" t="n"/>
      <c r="DW31" s="250" t="n"/>
      <c r="DX31" s="250" t="n"/>
      <c r="DY31" s="250" t="n"/>
      <c r="DZ31" s="250" t="n"/>
      <c r="EA31" s="160" t="n"/>
      <c r="EB31" s="125">
        <f>LET(kr,MATCH("■コマ設計",B:B,0)+3,IF(INDIRECT("D"&amp;kr)="","","e"))</f>
        <v/>
      </c>
      <c r="EC31" s="125">
        <f>LET(er,MATCH("敵ゲートID",E:E,0)+1,kr,MATCH("■コマ設計",B:B,0)+3,IF(INDIRECT("D"&amp;kr)="","",INDIRECT("E"&amp;er)&amp;"_1"))</f>
        <v/>
      </c>
      <c r="ED31" s="125">
        <f>LET(er,MATCH("敵ゲートID",E:E,0)+1,kr,MATCH("■コマ設計",B:B,0)+3,IF(INDIRECT("D"&amp;kr)="","",INDIRECT("E"&amp;er)))</f>
        <v/>
      </c>
      <c r="EE31" s="125">
        <f>LET(kr,MATCH("■コマ設計",B:B,0)+3,IF(INDIRECT("D"&amp;kr)="","",1))</f>
        <v/>
      </c>
      <c r="EF31" s="125">
        <f>LET(kr,MATCH("■コマ設計",B:B,0)+3,IF(INDIRECT("D"&amp;kr)="","",INDIRECT("H"&amp;kr)))</f>
        <v/>
      </c>
      <c r="EG31" s="125">
        <f>LET(kr,MATCH("■コマ設計",B:B,0)+3,IF(INDIRECT("D"&amp;kr)="","",INT(INDIRECT("D"&amp;kr))))</f>
        <v/>
      </c>
      <c r="EH31" s="125">
        <f>LET(kr,MATCH("■コマ設計",B:B,0)+3,IF(INDIRECT("D"&amp;kr)="","",IFERROR(INDIRECT("R"&amp;kr),"")))</f>
        <v/>
      </c>
      <c r="EI31" s="125">
        <f>LET(kr,MATCH("■コマ設計",B:B,0)+3,IF(INDIRECT("D"&amp;kr)="","",INDIRECT("J"&amp;kr)))</f>
        <v/>
      </c>
      <c r="EJ31" s="125">
        <f>LET(kr,MATCH("■コマ設計",B:B,0)+3,IF(INDIRECT("D"&amp;kr)="","",IF(INDIRECT("J"&amp;kr)=1,0,-1)))</f>
        <v/>
      </c>
      <c r="EK31" s="125">
        <f>LET(kr,MATCH("■コマ設計",B:B,0)+3,IF(INDIRECT("D"&amp;kr)="","",IF(OR(INDIRECT("U"&amp;kr)="",ISBLANK(INDIRECT("U"&amp;kr))),"None",INDIRECT("U"&amp;kr))))</f>
        <v/>
      </c>
      <c r="EL31" s="125">
        <f>LET(kr,MATCH("■コマ設計",B:B,0)+3,IF(INDIRECT("D"&amp;kr)="","",IF(OR(INDIRECT("U"&amp;kr)="",ISBLANK(INDIRECT("U"&amp;kr))),0,INDIRECT("Z"&amp;kr))))</f>
        <v/>
      </c>
      <c r="EM31" s="125">
        <f>LET(kr,MATCH("■コマ設計",B:B,0)+3,IF(INDIRECT("D"&amp;kr)="","",IF(OR(INDIRECT("U"&amp;kr)="",ISBLANK(INDIRECT("U"&amp;kr))),0,INDIRECT("AB"&amp;kr))))</f>
        <v/>
      </c>
      <c r="EN31" s="125">
        <f>LET(kr,MATCH("■コマ設計",B:B,0)+3,IF(INDIRECT("D"&amp;kr)="","","All"))</f>
        <v/>
      </c>
      <c r="EO31" s="125">
        <f>LET(kr,MATCH("■コマ設計",B:B,0)+3,IF(INDIRECT("D"&amp;kr)="","","All"))</f>
        <v/>
      </c>
      <c r="EP31" s="125">
        <f>LET(kr,MATCH("■コマ設計",B:B,0)+3,IF(INDIRECT("D"&amp;kr)="","","All"))</f>
        <v/>
      </c>
      <c r="EQ31" s="125">
        <f>LET(kr,MATCH("■コマ設計",B:B,0)+3,IF(INDIRECT("D"&amp;kr)="","",IF(AND(INDIRECT("L"&amp;kr)&lt;&gt;"",INDIRECT("L"&amp;kr)&lt;&gt;"none",INDIRECT("L"&amp;kr)&lt;&gt;"error",NOT(ISBLANK(INDIRECT("L"&amp;kr)))),IFERROR(INDIRECT("R"&amp;kr),""),"")))</f>
        <v/>
      </c>
      <c r="ER31" s="125">
        <f>LET(kr,MATCH("■コマ設計",B:B,0)+3,IF(INDIRECT("D"&amp;kr)="","",IF(AND(INDIRECT("L"&amp;kr)&lt;&gt;"",INDIRECT("L"&amp;kr)&lt;&gt;"none",INDIRECT("L"&amp;kr)&lt;&gt;"error",NOT(ISBLANK(INDIRECT("L"&amp;kr)))),INDIRECT("L"&amp;kr),"")))</f>
        <v/>
      </c>
      <c r="ES31" s="125">
        <f>LET(kr,MATCH("■コマ設計",B:B,0)+3,IF(INDIRECT("D"&amp;kr)="","",IF(AND(INDIRECT("L"&amp;kr)&lt;&gt;"",INDIRECT("L"&amp;kr)&lt;&gt;"none",INDIRECT("L"&amp;kr)&lt;&gt;"error",NOT(ISBLANK(INDIRECT("L"&amp;kr)))),IF(INDIRECT("L"&amp;kr)=1,0,-1),"__NULL__")))</f>
        <v/>
      </c>
      <c r="ET31" s="125">
        <f>LET(kr,MATCH("■コマ設計",B:B,0)+3,IF(INDIRECT("D"&amp;kr)="","",IF(AND(INDIRECT("L"&amp;kr)&lt;&gt;"",INDIRECT("L"&amp;kr)&lt;&gt;"none",INDIRECT("L"&amp;kr)&lt;&gt;"error",NOT(ISBLANK(INDIRECT("L"&amp;kr)))),IF(OR(INDIRECT("AD"&amp;kr)="",ISBLANK(INDIRECT("AD"&amp;kr))),"None",INDIRECT("AD"&amp;kr)),"None")))</f>
        <v/>
      </c>
      <c r="EU31" s="125">
        <f>LET(kr,MATCH("■コマ設計",B:B,0)+3,IF(INDIRECT("D"&amp;kr)="","",IF(AND(INDIRECT("L"&amp;kr)&lt;&gt;"",INDIRECT("L"&amp;kr)&lt;&gt;"none",INDIRECT("L"&amp;kr)&lt;&gt;"error",NOT(ISBLANK(INDIRECT("L"&amp;kr)))),IF(OR(INDIRECT("AD"&amp;kr)="",ISBLANK(INDIRECT("AD"&amp;kr))),0,INDIRECT("AI"&amp;kr)),"")))</f>
        <v/>
      </c>
      <c r="EV31" s="125">
        <f>LET(kr,MATCH("■コマ設計",B:B,0)+3,IF(INDIRECT("D"&amp;kr)="","",IF(AND(INDIRECT("L"&amp;kr)&lt;&gt;"",INDIRECT("L"&amp;kr)&lt;&gt;"none",INDIRECT("L"&amp;kr)&lt;&gt;"error",NOT(ISBLANK(INDIRECT("L"&amp;kr)))),IF(OR(INDIRECT("AD"&amp;kr)="",ISBLANK(INDIRECT("AD"&amp;kr))),0,INDIRECT("AK"&amp;kr)),"")))</f>
        <v/>
      </c>
      <c r="EW31" s="125">
        <f>LET(kr,MATCH("■コマ設計",B:B,0)+3,IF(INDIRECT("D"&amp;kr)="","",IF(AND(INDIRECT("L"&amp;kr)&lt;&gt;"",INDIRECT("L"&amp;kr)&lt;&gt;"none",INDIRECT("L"&amp;kr)&lt;&gt;"error",NOT(ISBLANK(INDIRECT("L"&amp;kr)))),"All","__NULL__")))</f>
        <v/>
      </c>
      <c r="EX31" s="125">
        <f>LET(kr,MATCH("■コマ設計",B:B,0)+3,IF(INDIRECT("D"&amp;kr)="","",IF(AND(INDIRECT("L"&amp;kr)&lt;&gt;"",INDIRECT("L"&amp;kr)&lt;&gt;"none",INDIRECT("L"&amp;kr)&lt;&gt;"error",NOT(ISBLANK(INDIRECT("L"&amp;kr)))),"All","")))</f>
        <v/>
      </c>
      <c r="EY31" s="125">
        <f>LET(kr,MATCH("■コマ設計",B:B,0)+3,IF(INDIRECT("D"&amp;kr)="","",IF(AND(INDIRECT("L"&amp;kr)&lt;&gt;"",INDIRECT("L"&amp;kr)&lt;&gt;"none",INDIRECT("L"&amp;kr)&lt;&gt;"error",NOT(ISBLANK(INDIRECT("L"&amp;kr)))),"All","")))</f>
        <v/>
      </c>
      <c r="EZ31" s="125">
        <f>LET(kr,MATCH("■コマ設計",B:B,0)+3,IF(INDIRECT("D"&amp;kr)="","",IF(AND(INDIRECT("N"&amp;kr)&lt;&gt;"",INDIRECT("N"&amp;kr)&lt;&gt;"none",INDIRECT("N"&amp;kr)&lt;&gt;"error",NOT(ISBLANK(INDIRECT("N"&amp;kr)))),IFERROR(INDIRECT("R"&amp;kr),""),"")))</f>
        <v/>
      </c>
      <c r="FA31" s="125">
        <f>LET(kr,MATCH("■コマ設計",B:B,0)+3,IF(INDIRECT("D"&amp;kr)="","",IF(AND(INDIRECT("N"&amp;kr)&lt;&gt;"",INDIRECT("N"&amp;kr)&lt;&gt;"none",INDIRECT("N"&amp;kr)&lt;&gt;"error",NOT(ISBLANK(INDIRECT("N"&amp;kr)))),INDIRECT("N"&amp;kr),"")))</f>
        <v/>
      </c>
      <c r="FB31" s="125">
        <f>LET(kr,MATCH("■コマ設計",B:B,0)+3,IF(INDIRECT("D"&amp;kr)="","",IF(AND(INDIRECT("N"&amp;kr)&lt;&gt;"",INDIRECT("N"&amp;kr)&lt;&gt;"none",INDIRECT("N"&amp;kr)&lt;&gt;"error",NOT(ISBLANK(INDIRECT("N"&amp;kr)))),IF(INDIRECT("N"&amp;kr)=1,0,-1),"__NULL__")))</f>
        <v/>
      </c>
      <c r="FC31" s="125">
        <f>LET(kr,MATCH("■コマ設計",B:B,0)+3,IF(INDIRECT("D"&amp;kr)="","",IF(AND(INDIRECT("N"&amp;kr)&lt;&gt;"",INDIRECT("N"&amp;kr)&lt;&gt;"none",INDIRECT("N"&amp;kr)&lt;&gt;"error",NOT(ISBLANK(INDIRECT("N"&amp;kr)))),IF(OR(INDIRECT("AM"&amp;kr)="",ISBLANK(INDIRECT("AM"&amp;kr))),"None",INDIRECT("AM"&amp;kr)),"None")))</f>
        <v/>
      </c>
      <c r="FD31" s="125">
        <f>LET(kr,MATCH("■コマ設計",B:B,0)+3,IF(INDIRECT("D"&amp;kr)="","",IF(AND(INDIRECT("N"&amp;kr)&lt;&gt;"",INDIRECT("N"&amp;kr)&lt;&gt;"none",INDIRECT("N"&amp;kr)&lt;&gt;"error",NOT(ISBLANK(INDIRECT("N"&amp;kr)))),IF(OR(INDIRECT("AM"&amp;kr)="",ISBLANK(INDIRECT("AM"&amp;kr))),0,INDIRECT("AR"&amp;kr)),"")))</f>
        <v/>
      </c>
      <c r="FE31" s="125">
        <f>LET(kr,MATCH("■コマ設計",B:B,0)+3,IF(INDIRECT("D"&amp;kr)="","",IF(AND(INDIRECT("N"&amp;kr)&lt;&gt;"",INDIRECT("N"&amp;kr)&lt;&gt;"none",INDIRECT("N"&amp;kr)&lt;&gt;"error",NOT(ISBLANK(INDIRECT("N"&amp;kr)))),IF(OR(INDIRECT("AM"&amp;kr)="",ISBLANK(INDIRECT("AM"&amp;kr))),0,INDIRECT("AT"&amp;kr)),"")))</f>
        <v/>
      </c>
      <c r="FF31" s="125">
        <f>LET(kr,MATCH("■コマ設計",B:B,0)+3,IF(INDIRECT("D"&amp;kr)="","",IF(AND(INDIRECT("N"&amp;kr)&lt;&gt;"",INDIRECT("N"&amp;kr)&lt;&gt;"none",INDIRECT("N"&amp;kr)&lt;&gt;"error",NOT(ISBLANK(INDIRECT("N"&amp;kr)))),"All","__NULL__")))</f>
        <v/>
      </c>
      <c r="FG31" s="125">
        <f>LET(kr,MATCH("■コマ設計",B:B,0)+3,IF(INDIRECT("D"&amp;kr)="","",IF(AND(INDIRECT("N"&amp;kr)&lt;&gt;"",INDIRECT("N"&amp;kr)&lt;&gt;"none",INDIRECT("N"&amp;kr)&lt;&gt;"error",NOT(ISBLANK(INDIRECT("N"&amp;kr)))),"All","")))</f>
        <v/>
      </c>
      <c r="FH31" s="125">
        <f>LET(kr,MATCH("■コマ設計",B:B,0)+3,IF(INDIRECT("D"&amp;kr)="","",IF(AND(INDIRECT("N"&amp;kr)&lt;&gt;"",INDIRECT("N"&amp;kr)&lt;&gt;"none",INDIRECT("N"&amp;kr)&lt;&gt;"error",NOT(ISBLANK(INDIRECT("N"&amp;kr)))),"All","")))</f>
        <v/>
      </c>
      <c r="FI31" s="125">
        <f>LET(kr,MATCH("■コマ設計",B:B,0)+3,IF(INDIRECT("D"&amp;kr)="","",IF(AND(INDIRECT("P"&amp;kr)&lt;&gt;"",INDIRECT("P"&amp;kr)&lt;&gt;"none",INDIRECT("P"&amp;kr)&lt;&gt;"error",NOT(ISBLANK(INDIRECT("P"&amp;kr)))),IFERROR(INDIRECT("R"&amp;kr),""),"")))</f>
        <v/>
      </c>
      <c r="FJ31" s="125">
        <f>LET(kr,MATCH("■コマ設計",B:B,0)+3,IF(INDIRECT("D"&amp;kr)="","",IF(AND(INDIRECT("P"&amp;kr)&lt;&gt;"",INDIRECT("P"&amp;kr)&lt;&gt;"none",INDIRECT("P"&amp;kr)&lt;&gt;"error",NOT(ISBLANK(INDIRECT("P"&amp;kr)))),INDIRECT("P"&amp;kr),"")))</f>
        <v/>
      </c>
      <c r="FK31" s="125">
        <f>LET(kr,MATCH("■コマ設計",B:B,0)+3,IF(INDIRECT("D"&amp;kr)="","",IF(AND(INDIRECT("P"&amp;kr)&lt;&gt;"",INDIRECT("P"&amp;kr)&lt;&gt;"none",INDIRECT("P"&amp;kr)&lt;&gt;"error",NOT(ISBLANK(INDIRECT("P"&amp;kr)))),IF(INDIRECT("P"&amp;kr)=1,0,-1),"__NULL__")))</f>
        <v/>
      </c>
      <c r="FL31">
        <f>LET(kr,MATCH("■コマ設計",B:B,0)+3,IF(INDIRECT("D"&amp;kr)="","",IF(AND(INDIRECT("P"&amp;kr)&lt;&gt;"",INDIRECT("P"&amp;kr)&lt;&gt;"none",INDIRECT("P"&amp;kr)&lt;&gt;"error",NOT(ISBLANK(INDIRECT("P"&amp;kr)))),IF(OR(INDIRECT("AV"&amp;kr)="",ISBLANK(INDIRECT("AV"&amp;kr))),"None",INDIRECT("AV"&amp;kr)),"None")))</f>
        <v/>
      </c>
      <c r="FM31">
        <f>LET(kr,MATCH("■コマ設計",B:B,0)+3,IF(INDIRECT("D"&amp;kr)="","",IF(AND(INDIRECT("P"&amp;kr)&lt;&gt;"",INDIRECT("P"&amp;kr)&lt;&gt;"none",INDIRECT("P"&amp;kr)&lt;&gt;"error",NOT(ISBLANK(INDIRECT("P"&amp;kr)))),IF(OR(INDIRECT("AV"&amp;kr)="",ISBLANK(INDIRECT("AV"&amp;kr))),0,INDIRECT("BA"&amp;kr)),"")))</f>
        <v/>
      </c>
      <c r="FN31">
        <f>LET(kr,MATCH("■コマ設計",B:B,0)+3,IF(INDIRECT("D"&amp;kr)="","",IF(AND(INDIRECT("P"&amp;kr)&lt;&gt;"",INDIRECT("P"&amp;kr)&lt;&gt;"none",INDIRECT("P"&amp;kr)&lt;&gt;"error",NOT(ISBLANK(INDIRECT("P"&amp;kr)))),IF(OR(INDIRECT("AV"&amp;kr)="",ISBLANK(INDIRECT("AV"&amp;kr))),0,INDIRECT("BC"&amp;kr)),"")))</f>
        <v/>
      </c>
      <c r="FO31">
        <f>LET(kr,MATCH("■コマ設計",B:B,0)+3,IF(INDIRECT("D"&amp;kr)="","",IF(AND(INDIRECT("P"&amp;kr)&lt;&gt;"",INDIRECT("P"&amp;kr)&lt;&gt;"none",INDIRECT("P"&amp;kr)&lt;&gt;"error",NOT(ISBLANK(INDIRECT("P"&amp;kr)))),"All","__NULL__")))</f>
        <v/>
      </c>
      <c r="FP31">
        <f>LET(kr,MATCH("■コマ設計",B:B,0)+3,IF(INDIRECT("D"&amp;kr)="","",IF(AND(INDIRECT("P"&amp;kr)&lt;&gt;"",INDIRECT("P"&amp;kr)&lt;&gt;"none",INDIRECT("P"&amp;kr)&lt;&gt;"error",NOT(ISBLANK(INDIRECT("P"&amp;kr)))),"All","")))</f>
        <v/>
      </c>
      <c r="FQ31">
        <f>LET(kr,MATCH("■コマ設計",B:B,0)+3,IF(INDIRECT("D"&amp;kr)="","",IF(AND(INDIRECT("P"&amp;kr)&lt;&gt;"",INDIRECT("P"&amp;kr)&lt;&gt;"none",INDIRECT("P"&amp;kr)&lt;&gt;"error",NOT(ISBLANK(INDIRECT("P"&amp;kr)))),"All","")))</f>
        <v/>
      </c>
      <c r="FR31">
        <f>LET(er,MATCH("敵ゲートID",E:E,0)+1,rr,MATCH("リリースキー",N:N,0)+1,kr,MATCH("■コマ設計",B:B,0)+3,IF(INDIRECT("D"&amp;kr)="","",TEXT(INDIRECT("N"&amp;rr),"0")))</f>
        <v/>
      </c>
    </row>
    <row r="32">
      <c r="A32" s="250" t="n"/>
      <c r="B32" s="136" t="n"/>
      <c r="C32" s="484" t="n"/>
      <c r="D32" s="485" t="n"/>
      <c r="E32" s="180" t="n"/>
      <c r="F32" s="181" t="n"/>
      <c r="G32" s="173">
        <f t="array" ref="G32">iferror(INDEX('アイテムID_管理'!E:E,MATCH(J32,'アイテムID_管理'!H:H,0),0),"none")</f>
        <v/>
      </c>
      <c r="H32" s="173" t="n"/>
      <c r="I32" s="173" t="n"/>
      <c r="J32" s="296" t="n"/>
      <c r="K32" s="484" t="n"/>
      <c r="L32" s="484" t="n"/>
      <c r="M32" s="484" t="n"/>
      <c r="N32" s="484" t="n"/>
      <c r="O32" s="484" t="n"/>
      <c r="P32" s="484" t="n"/>
      <c r="Q32" s="485" t="n"/>
      <c r="R32" s="182" t="n"/>
      <c r="S32" s="145" t="n"/>
      <c r="T32" s="182" t="n"/>
      <c r="U32" s="183" t="n"/>
      <c r="V32" s="250" t="n"/>
      <c r="W32" s="250" t="n"/>
      <c r="X32" s="250" t="n"/>
      <c r="Y32" s="250" t="n"/>
      <c r="Z32" s="250" t="n"/>
      <c r="AA32" s="250" t="n"/>
      <c r="AB32" s="250" t="n"/>
      <c r="AC32" s="250" t="n"/>
      <c r="AD32" s="250" t="n"/>
      <c r="AE32" s="250" t="n"/>
      <c r="AF32" s="250" t="n"/>
      <c r="AG32" s="250" t="n"/>
      <c r="AH32" s="250" t="n"/>
      <c r="AI32" s="250" t="n"/>
      <c r="AJ32" s="250" t="n"/>
      <c r="AK32" s="250" t="n"/>
      <c r="AL32" s="250" t="n"/>
      <c r="AM32" s="250" t="n"/>
      <c r="AN32" s="250" t="n"/>
      <c r="AO32" s="250" t="n"/>
      <c r="AP32" s="250" t="n"/>
      <c r="AQ32" s="250" t="n"/>
      <c r="AR32" s="250" t="n"/>
      <c r="AS32" s="250" t="n"/>
      <c r="AT32" s="250" t="n"/>
      <c r="AU32" s="250" t="n"/>
      <c r="AV32" s="250" t="n"/>
      <c r="AW32" s="250" t="n"/>
      <c r="AX32" s="250" t="n"/>
      <c r="AY32" s="250" t="n"/>
      <c r="AZ32" s="250" t="n"/>
      <c r="BA32" s="250" t="n"/>
      <c r="BB32" s="250" t="n"/>
      <c r="BC32" s="250" t="n"/>
      <c r="BD32" s="250" t="n"/>
      <c r="BE32" s="250" t="n"/>
      <c r="BF32" s="250" t="n"/>
      <c r="BG32" s="250" t="n"/>
      <c r="BH32" s="250" t="n"/>
      <c r="BI32" s="250" t="n"/>
      <c r="BJ32" s="250" t="n"/>
      <c r="BK32" s="250" t="n"/>
      <c r="BL32" s="250" t="n"/>
      <c r="BM32" s="250" t="n"/>
      <c r="BN32" s="250" t="n"/>
      <c r="BO32" s="250" t="n"/>
      <c r="BP32" s="250" t="n"/>
      <c r="BQ32" s="250" t="n"/>
      <c r="BR32" s="250" t="n"/>
      <c r="BS32" s="250" t="n"/>
      <c r="BT32" s="250" t="n"/>
      <c r="BU32" s="250" t="n"/>
      <c r="BV32" s="250" t="n"/>
      <c r="BW32" s="250" t="n"/>
      <c r="BX32" s="250" t="n"/>
      <c r="BY32" s="250" t="n"/>
      <c r="BZ32" s="250" t="n"/>
      <c r="CA32" s="250" t="n"/>
      <c r="CB32" s="250" t="n"/>
      <c r="CC32" s="250" t="n"/>
      <c r="CD32" s="250" t="n"/>
      <c r="CE32" s="250" t="n"/>
      <c r="CF32" s="250" t="n"/>
      <c r="CG32" s="250" t="n"/>
      <c r="CH32" s="250" t="n"/>
      <c r="CI32" s="250" t="n"/>
      <c r="CJ32" s="250" t="n"/>
      <c r="CK32" s="250" t="n"/>
      <c r="CL32" s="250" t="n"/>
      <c r="CM32" s="250" t="n"/>
      <c r="CN32" s="250" t="n"/>
      <c r="CO32" s="250" t="n"/>
      <c r="CP32" s="250" t="n"/>
      <c r="CQ32" s="250" t="n"/>
      <c r="CR32" s="250" t="n"/>
      <c r="CS32" s="250" t="n"/>
      <c r="CT32" s="250" t="n"/>
      <c r="CU32" s="250" t="n"/>
      <c r="CV32" s="250" t="n"/>
      <c r="CW32" s="250" t="n"/>
      <c r="CX32" s="250" t="n"/>
      <c r="CY32" s="250" t="n"/>
      <c r="CZ32" s="250" t="n"/>
      <c r="DA32" s="250" t="n"/>
      <c r="DB32" s="250" t="n"/>
      <c r="DC32" s="250" t="n"/>
      <c r="DD32" s="250" t="n"/>
      <c r="DE32" s="250" t="n"/>
      <c r="DF32" s="250" t="n"/>
      <c r="DG32" s="250" t="n"/>
      <c r="DH32" s="250" t="n"/>
      <c r="DI32" s="250" t="n"/>
      <c r="DJ32" s="250" t="n"/>
      <c r="DK32" s="250" t="n"/>
      <c r="DL32" s="250" t="n"/>
      <c r="DM32" s="250" t="n"/>
      <c r="DN32" s="250" t="n"/>
      <c r="DO32" s="250" t="n"/>
      <c r="DP32" s="250" t="n"/>
      <c r="DQ32" s="250" t="n"/>
      <c r="DR32" s="250" t="n"/>
      <c r="DS32" s="250" t="n"/>
      <c r="DT32" s="250" t="n"/>
      <c r="DU32" s="250" t="n"/>
      <c r="DV32" s="250" t="n"/>
      <c r="DW32" s="250" t="n"/>
      <c r="DX32" s="250" t="n"/>
      <c r="DY32" s="250" t="n"/>
      <c r="DZ32" s="250" t="n"/>
      <c r="EA32" s="160" t="n"/>
      <c r="EB32" s="125">
        <f>LET(kr,MATCH("■コマ設計",B:B,0)+4,IF(INDIRECT("D"&amp;kr)="","","e"))</f>
        <v/>
      </c>
      <c r="EC32" s="125">
        <f>LET(er,MATCH("敵ゲートID",E:E,0)+1,kr,MATCH("■コマ設計",B:B,0)+4,IF(INDIRECT("D"&amp;kr)="","",INDIRECT("E"&amp;er)&amp;"_2"))</f>
        <v/>
      </c>
      <c r="ED32" s="125">
        <f>LET(er,MATCH("敵ゲートID",E:E,0)+1,kr,MATCH("■コマ設計",B:B,0)+4,IF(INDIRECT("D"&amp;kr)="","",INDIRECT("E"&amp;er)))</f>
        <v/>
      </c>
      <c r="EE32" s="125">
        <f>LET(kr,MATCH("■コマ設計",B:B,0)+4,IF(INDIRECT("D"&amp;kr)="","",2))</f>
        <v/>
      </c>
      <c r="EF32" s="125">
        <f>LET(kr,MATCH("■コマ設計",B:B,0)+4,IF(INDIRECT("D"&amp;kr)="","",INDIRECT("H"&amp;kr)))</f>
        <v/>
      </c>
      <c r="EG32" s="125">
        <f>LET(kr,MATCH("■コマ設計",B:B,0)+4,IF(INDIRECT("D"&amp;kr)="","",INT(INDIRECT("D"&amp;kr))))</f>
        <v/>
      </c>
      <c r="EH32" s="125">
        <f>LET(kr,MATCH("■コマ設計",B:B,0)+4,IF(INDIRECT("D"&amp;kr)="","",IFERROR(INDIRECT("R"&amp;kr),"")))</f>
        <v/>
      </c>
      <c r="EI32" s="125">
        <f>LET(kr,MATCH("■コマ設計",B:B,0)+4,IF(INDIRECT("D"&amp;kr)="","",INDIRECT("J"&amp;kr)))</f>
        <v/>
      </c>
      <c r="EJ32" s="125">
        <f>LET(kr,MATCH("■コマ設計",B:B,0)+4,IF(INDIRECT("D"&amp;kr)="","",IF(INDIRECT("J"&amp;kr)=1,0,-1)))</f>
        <v/>
      </c>
      <c r="EK32" s="125">
        <f>LET(kr,MATCH("■コマ設計",B:B,0)+4,IF(INDIRECT("D"&amp;kr)="","",IF(OR(INDIRECT("U"&amp;kr)="",ISBLANK(INDIRECT("U"&amp;kr))),"None",INDIRECT("U"&amp;kr))))</f>
        <v/>
      </c>
      <c r="EL32" s="125">
        <f>LET(kr,MATCH("■コマ設計",B:B,0)+4,IF(INDIRECT("D"&amp;kr)="","",IF(OR(INDIRECT("U"&amp;kr)="",ISBLANK(INDIRECT("U"&amp;kr))),0,INDIRECT("Z"&amp;kr))))</f>
        <v/>
      </c>
      <c r="EM32" s="125">
        <f>LET(kr,MATCH("■コマ設計",B:B,0)+4,IF(INDIRECT("D"&amp;kr)="","",IF(OR(INDIRECT("U"&amp;kr)="",ISBLANK(INDIRECT("U"&amp;kr))),0,INDIRECT("AB"&amp;kr))))</f>
        <v/>
      </c>
      <c r="EN32" s="125">
        <f>LET(kr,MATCH("■コマ設計",B:B,0)+4,IF(INDIRECT("D"&amp;kr)="","","All"))</f>
        <v/>
      </c>
      <c r="EO32" s="125">
        <f>LET(kr,MATCH("■コマ設計",B:B,0)+4,IF(INDIRECT("D"&amp;kr)="","","All"))</f>
        <v/>
      </c>
      <c r="EP32" s="125">
        <f>LET(kr,MATCH("■コマ設計",B:B,0)+4,IF(INDIRECT("D"&amp;kr)="","","All"))</f>
        <v/>
      </c>
      <c r="EQ32" s="125">
        <f>LET(kr,MATCH("■コマ設計",B:B,0)+4,IF(INDIRECT("D"&amp;kr)="","",IF(AND(INDIRECT("L"&amp;kr)&lt;&gt;"",INDIRECT("L"&amp;kr)&lt;&gt;"none",INDIRECT("L"&amp;kr)&lt;&gt;"error",NOT(ISBLANK(INDIRECT("L"&amp;kr)))),IFERROR(INDIRECT("R"&amp;kr),""),"")))</f>
        <v/>
      </c>
      <c r="ER32" s="125">
        <f>LET(kr,MATCH("■コマ設計",B:B,0)+4,IF(INDIRECT("D"&amp;kr)="","",IF(AND(INDIRECT("L"&amp;kr)&lt;&gt;"",INDIRECT("L"&amp;kr)&lt;&gt;"none",INDIRECT("L"&amp;kr)&lt;&gt;"error",NOT(ISBLANK(INDIRECT("L"&amp;kr)))),INDIRECT("L"&amp;kr),"")))</f>
        <v/>
      </c>
      <c r="ES32" s="125">
        <f>LET(kr,MATCH("■コマ設計",B:B,0)+4,IF(INDIRECT("D"&amp;kr)="","",IF(AND(INDIRECT("L"&amp;kr)&lt;&gt;"",INDIRECT("L"&amp;kr)&lt;&gt;"none",INDIRECT("L"&amp;kr)&lt;&gt;"error",NOT(ISBLANK(INDIRECT("L"&amp;kr)))),IF(INDIRECT("L"&amp;kr)=1,0,-1),"__NULL__")))</f>
        <v/>
      </c>
      <c r="ET32" s="125">
        <f>LET(kr,MATCH("■コマ設計",B:B,0)+4,IF(INDIRECT("D"&amp;kr)="","",IF(AND(INDIRECT("L"&amp;kr)&lt;&gt;"",INDIRECT("L"&amp;kr)&lt;&gt;"none",INDIRECT("L"&amp;kr)&lt;&gt;"error",NOT(ISBLANK(INDIRECT("L"&amp;kr)))),IF(OR(INDIRECT("AD"&amp;kr)="",ISBLANK(INDIRECT("AD"&amp;kr))),"None",INDIRECT("AD"&amp;kr)),"None")))</f>
        <v/>
      </c>
      <c r="EU32" s="125">
        <f>LET(kr,MATCH("■コマ設計",B:B,0)+4,IF(INDIRECT("D"&amp;kr)="","",IF(AND(INDIRECT("L"&amp;kr)&lt;&gt;"",INDIRECT("L"&amp;kr)&lt;&gt;"none",INDIRECT("L"&amp;kr)&lt;&gt;"error",NOT(ISBLANK(INDIRECT("L"&amp;kr)))),IF(OR(INDIRECT("AD"&amp;kr)="",ISBLANK(INDIRECT("AD"&amp;kr))),0,INDIRECT("AI"&amp;kr)),"")))</f>
        <v/>
      </c>
      <c r="EV32" s="125">
        <f>LET(kr,MATCH("■コマ設計",B:B,0)+4,IF(INDIRECT("D"&amp;kr)="","",IF(AND(INDIRECT("L"&amp;kr)&lt;&gt;"",INDIRECT("L"&amp;kr)&lt;&gt;"none",INDIRECT("L"&amp;kr)&lt;&gt;"error",NOT(ISBLANK(INDIRECT("L"&amp;kr)))),IF(OR(INDIRECT("AD"&amp;kr)="",ISBLANK(INDIRECT("AD"&amp;kr))),0,INDIRECT("AK"&amp;kr)),"")))</f>
        <v/>
      </c>
      <c r="EW32" s="125">
        <f>LET(kr,MATCH("■コマ設計",B:B,0)+4,IF(INDIRECT("D"&amp;kr)="","",IF(AND(INDIRECT("L"&amp;kr)&lt;&gt;"",INDIRECT("L"&amp;kr)&lt;&gt;"none",INDIRECT("L"&amp;kr)&lt;&gt;"error",NOT(ISBLANK(INDIRECT("L"&amp;kr)))),"All","__NULL__")))</f>
        <v/>
      </c>
      <c r="EX32" s="125">
        <f>LET(kr,MATCH("■コマ設計",B:B,0)+4,IF(INDIRECT("D"&amp;kr)="","",IF(AND(INDIRECT("L"&amp;kr)&lt;&gt;"",INDIRECT("L"&amp;kr)&lt;&gt;"none",INDIRECT("L"&amp;kr)&lt;&gt;"error",NOT(ISBLANK(INDIRECT("L"&amp;kr)))),"All","")))</f>
        <v/>
      </c>
      <c r="EY32" s="125">
        <f>LET(kr,MATCH("■コマ設計",B:B,0)+4,IF(INDIRECT("D"&amp;kr)="","",IF(AND(INDIRECT("L"&amp;kr)&lt;&gt;"",INDIRECT("L"&amp;kr)&lt;&gt;"none",INDIRECT("L"&amp;kr)&lt;&gt;"error",NOT(ISBLANK(INDIRECT("L"&amp;kr)))),"All","")))</f>
        <v/>
      </c>
      <c r="EZ32" s="125">
        <f>LET(kr,MATCH("■コマ設計",B:B,0)+4,IF(INDIRECT("D"&amp;kr)="","",IF(AND(INDIRECT("N"&amp;kr)&lt;&gt;"",INDIRECT("N"&amp;kr)&lt;&gt;"none",INDIRECT("N"&amp;kr)&lt;&gt;"error",NOT(ISBLANK(INDIRECT("N"&amp;kr)))),IFERROR(INDIRECT("R"&amp;kr),""),"")))</f>
        <v/>
      </c>
      <c r="FA32" s="125">
        <f>LET(kr,MATCH("■コマ設計",B:B,0)+4,IF(INDIRECT("D"&amp;kr)="","",IF(AND(INDIRECT("N"&amp;kr)&lt;&gt;"",INDIRECT("N"&amp;kr)&lt;&gt;"none",INDIRECT("N"&amp;kr)&lt;&gt;"error",NOT(ISBLANK(INDIRECT("N"&amp;kr)))),INDIRECT("N"&amp;kr),"")))</f>
        <v/>
      </c>
      <c r="FB32" s="125">
        <f>LET(kr,MATCH("■コマ設計",B:B,0)+4,IF(INDIRECT("D"&amp;kr)="","",IF(AND(INDIRECT("N"&amp;kr)&lt;&gt;"",INDIRECT("N"&amp;kr)&lt;&gt;"none",INDIRECT("N"&amp;kr)&lt;&gt;"error",NOT(ISBLANK(INDIRECT("N"&amp;kr)))),IF(INDIRECT("N"&amp;kr)=1,0,-1),"__NULL__")))</f>
        <v/>
      </c>
      <c r="FC32" s="125">
        <f>LET(kr,MATCH("■コマ設計",B:B,0)+4,IF(INDIRECT("D"&amp;kr)="","",IF(AND(INDIRECT("N"&amp;kr)&lt;&gt;"",INDIRECT("N"&amp;kr)&lt;&gt;"none",INDIRECT("N"&amp;kr)&lt;&gt;"error",NOT(ISBLANK(INDIRECT("N"&amp;kr)))),IF(OR(INDIRECT("AM"&amp;kr)="",ISBLANK(INDIRECT("AM"&amp;kr))),"None",INDIRECT("AM"&amp;kr)),"None")))</f>
        <v/>
      </c>
      <c r="FD32" s="125">
        <f>LET(kr,MATCH("■コマ設計",B:B,0)+4,IF(INDIRECT("D"&amp;kr)="","",IF(AND(INDIRECT("N"&amp;kr)&lt;&gt;"",INDIRECT("N"&amp;kr)&lt;&gt;"none",INDIRECT("N"&amp;kr)&lt;&gt;"error",NOT(ISBLANK(INDIRECT("N"&amp;kr)))),IF(OR(INDIRECT("AM"&amp;kr)="",ISBLANK(INDIRECT("AM"&amp;kr))),0,INDIRECT("AR"&amp;kr)),"")))</f>
        <v/>
      </c>
      <c r="FE32" s="125">
        <f>LET(kr,MATCH("■コマ設計",B:B,0)+4,IF(INDIRECT("D"&amp;kr)="","",IF(AND(INDIRECT("N"&amp;kr)&lt;&gt;"",INDIRECT("N"&amp;kr)&lt;&gt;"none",INDIRECT("N"&amp;kr)&lt;&gt;"error",NOT(ISBLANK(INDIRECT("N"&amp;kr)))),IF(OR(INDIRECT("AM"&amp;kr)="",ISBLANK(INDIRECT("AM"&amp;kr))),0,INDIRECT("AT"&amp;kr)),"")))</f>
        <v/>
      </c>
      <c r="FF32" s="125">
        <f>LET(kr,MATCH("■コマ設計",B:B,0)+4,IF(INDIRECT("D"&amp;kr)="","",IF(AND(INDIRECT("N"&amp;kr)&lt;&gt;"",INDIRECT("N"&amp;kr)&lt;&gt;"none",INDIRECT("N"&amp;kr)&lt;&gt;"error",NOT(ISBLANK(INDIRECT("N"&amp;kr)))),"All","__NULL__")))</f>
        <v/>
      </c>
      <c r="FG32" s="125">
        <f>LET(kr,MATCH("■コマ設計",B:B,0)+4,IF(INDIRECT("D"&amp;kr)="","",IF(AND(INDIRECT("N"&amp;kr)&lt;&gt;"",INDIRECT("N"&amp;kr)&lt;&gt;"none",INDIRECT("N"&amp;kr)&lt;&gt;"error",NOT(ISBLANK(INDIRECT("N"&amp;kr)))),"All","")))</f>
        <v/>
      </c>
      <c r="FH32" s="125">
        <f>LET(kr,MATCH("■コマ設計",B:B,0)+4,IF(INDIRECT("D"&amp;kr)="","",IF(AND(INDIRECT("N"&amp;kr)&lt;&gt;"",INDIRECT("N"&amp;kr)&lt;&gt;"none",INDIRECT("N"&amp;kr)&lt;&gt;"error",NOT(ISBLANK(INDIRECT("N"&amp;kr)))),"All","")))</f>
        <v/>
      </c>
      <c r="FI32" s="125">
        <f>LET(kr,MATCH("■コマ設計",B:B,0)+4,IF(INDIRECT("D"&amp;kr)="","",IF(AND(INDIRECT("P"&amp;kr)&lt;&gt;"",INDIRECT("P"&amp;kr)&lt;&gt;"none",INDIRECT("P"&amp;kr)&lt;&gt;"error",NOT(ISBLANK(INDIRECT("P"&amp;kr)))),IFERROR(INDIRECT("R"&amp;kr),""),"")))</f>
        <v/>
      </c>
      <c r="FJ32" s="125">
        <f>LET(kr,MATCH("■コマ設計",B:B,0)+4,IF(INDIRECT("D"&amp;kr)="","",IF(AND(INDIRECT("P"&amp;kr)&lt;&gt;"",INDIRECT("P"&amp;kr)&lt;&gt;"none",INDIRECT("P"&amp;kr)&lt;&gt;"error",NOT(ISBLANK(INDIRECT("P"&amp;kr)))),INDIRECT("P"&amp;kr),"")))</f>
        <v/>
      </c>
      <c r="FK32" s="125">
        <f>LET(kr,MATCH("■コマ設計",B:B,0)+4,IF(INDIRECT("D"&amp;kr)="","",IF(AND(INDIRECT("P"&amp;kr)&lt;&gt;"",INDIRECT("P"&amp;kr)&lt;&gt;"none",INDIRECT("P"&amp;kr)&lt;&gt;"error",NOT(ISBLANK(INDIRECT("P"&amp;kr)))),IF(INDIRECT("P"&amp;kr)=1,0,-1),"__NULL__")))</f>
        <v/>
      </c>
      <c r="FL32">
        <f>LET(kr,MATCH("■コマ設計",B:B,0)+4,IF(INDIRECT("D"&amp;kr)="","",IF(AND(INDIRECT("P"&amp;kr)&lt;&gt;"",INDIRECT("P"&amp;kr)&lt;&gt;"none",INDIRECT("P"&amp;kr)&lt;&gt;"error",NOT(ISBLANK(INDIRECT("P"&amp;kr)))),IF(OR(INDIRECT("AV"&amp;kr)="",ISBLANK(INDIRECT("AV"&amp;kr))),"None",INDIRECT("AV"&amp;kr)),"None")))</f>
        <v/>
      </c>
      <c r="FM32">
        <f>LET(kr,MATCH("■コマ設計",B:B,0)+4,IF(INDIRECT("D"&amp;kr)="","",IF(AND(INDIRECT("P"&amp;kr)&lt;&gt;"",INDIRECT("P"&amp;kr)&lt;&gt;"none",INDIRECT("P"&amp;kr)&lt;&gt;"error",NOT(ISBLANK(INDIRECT("P"&amp;kr)))),IF(OR(INDIRECT("AV"&amp;kr)="",ISBLANK(INDIRECT("AV"&amp;kr))),0,INDIRECT("BA"&amp;kr)),"")))</f>
        <v/>
      </c>
      <c r="FN32">
        <f>LET(kr,MATCH("■コマ設計",B:B,0)+4,IF(INDIRECT("D"&amp;kr)="","",IF(AND(INDIRECT("P"&amp;kr)&lt;&gt;"",INDIRECT("P"&amp;kr)&lt;&gt;"none",INDIRECT("P"&amp;kr)&lt;&gt;"error",NOT(ISBLANK(INDIRECT("P"&amp;kr)))),IF(OR(INDIRECT("AV"&amp;kr)="",ISBLANK(INDIRECT("AV"&amp;kr))),0,INDIRECT("BC"&amp;kr)),"")))</f>
        <v/>
      </c>
      <c r="FO32">
        <f>LET(kr,MATCH("■コマ設計",B:B,0)+4,IF(INDIRECT("D"&amp;kr)="","",IF(AND(INDIRECT("P"&amp;kr)&lt;&gt;"",INDIRECT("P"&amp;kr)&lt;&gt;"none",INDIRECT("P"&amp;kr)&lt;&gt;"error",NOT(ISBLANK(INDIRECT("P"&amp;kr)))),"All","__NULL__")))</f>
        <v/>
      </c>
      <c r="FP32">
        <f>LET(kr,MATCH("■コマ設計",B:B,0)+4,IF(INDIRECT("D"&amp;kr)="","",IF(AND(INDIRECT("P"&amp;kr)&lt;&gt;"",INDIRECT("P"&amp;kr)&lt;&gt;"none",INDIRECT("P"&amp;kr)&lt;&gt;"error",NOT(ISBLANK(INDIRECT("P"&amp;kr)))),"All","")))</f>
        <v/>
      </c>
      <c r="FQ32">
        <f>LET(kr,MATCH("■コマ設計",B:B,0)+4,IF(INDIRECT("D"&amp;kr)="","",IF(AND(INDIRECT("P"&amp;kr)&lt;&gt;"",INDIRECT("P"&amp;kr)&lt;&gt;"none",INDIRECT("P"&amp;kr)&lt;&gt;"error",NOT(ISBLANK(INDIRECT("P"&amp;kr)))),"All","")))</f>
        <v/>
      </c>
      <c r="FR32">
        <f>LET(er,MATCH("敵ゲートID",E:E,0)+1,rr,MATCH("リリースキー",N:N,0)+1,kr,MATCH("■コマ設計",B:B,0)+4,IF(INDIRECT("D"&amp;kr)="","",TEXT(INDIRECT("N"&amp;rr),"0")))</f>
        <v/>
      </c>
    </row>
    <row r="33">
      <c r="A33" s="250" t="n"/>
      <c r="B33" s="250" t="n"/>
      <c r="C33" s="250" t="n"/>
      <c r="D33" s="250" t="n"/>
      <c r="E33" s="250" t="n"/>
      <c r="F33" s="250" t="n"/>
      <c r="G33" s="250" t="n"/>
      <c r="H33" s="250" t="n"/>
      <c r="I33" s="250" t="n"/>
      <c r="J33" s="250" t="n"/>
      <c r="K33" s="250" t="n"/>
      <c r="L33" s="250" t="n"/>
      <c r="M33" s="250" t="n"/>
      <c r="N33" s="250" t="n"/>
      <c r="O33" s="250" t="n"/>
      <c r="P33" s="250" t="n"/>
      <c r="Q33" s="250" t="n"/>
      <c r="R33" s="250" t="n"/>
      <c r="S33" s="250" t="n"/>
      <c r="T33" s="250" t="n"/>
      <c r="U33" s="250" t="n"/>
      <c r="V33" s="250" t="n"/>
      <c r="W33" s="250" t="n"/>
      <c r="X33" s="250" t="n"/>
      <c r="Y33" s="250" t="n"/>
      <c r="Z33" s="250" t="n"/>
      <c r="AA33" s="250" t="n"/>
      <c r="AB33" s="250" t="n"/>
      <c r="AC33" s="250" t="n"/>
      <c r="AD33" s="250" t="n"/>
      <c r="AE33" s="250" t="n"/>
      <c r="AF33" s="250" t="n"/>
      <c r="AG33" s="250" t="n"/>
      <c r="AH33" s="250" t="n"/>
      <c r="AI33" s="250" t="n"/>
      <c r="AJ33" s="250" t="n"/>
      <c r="AK33" s="250" t="n"/>
      <c r="AL33" s="250" t="n"/>
      <c r="AM33" s="250" t="n"/>
      <c r="AN33" s="250" t="n"/>
      <c r="AO33" s="250" t="n"/>
      <c r="AP33" s="250" t="n"/>
      <c r="AQ33" s="250" t="n"/>
      <c r="AR33" s="250" t="n"/>
      <c r="AS33" s="250" t="n"/>
      <c r="AT33" s="250" t="n"/>
      <c r="AU33" s="250" t="n"/>
      <c r="AV33" s="250" t="n"/>
      <c r="AW33" s="250" t="n"/>
      <c r="AX33" s="250" t="n"/>
      <c r="AY33" s="250" t="n"/>
      <c r="AZ33" s="250" t="n"/>
      <c r="BA33" s="250" t="n"/>
      <c r="BB33" s="250" t="n"/>
      <c r="BC33" s="250" t="n"/>
      <c r="BD33" s="250" t="n"/>
      <c r="BE33" s="250" t="n"/>
      <c r="BF33" s="250" t="n"/>
      <c r="BG33" s="250" t="n"/>
      <c r="BH33" s="250" t="n"/>
      <c r="BI33" s="250" t="n"/>
      <c r="BJ33" s="250" t="n"/>
      <c r="BK33" s="250" t="n"/>
      <c r="BL33" s="250" t="n"/>
      <c r="BM33" s="250" t="n"/>
      <c r="BN33" s="250" t="n"/>
      <c r="BO33" s="250" t="n"/>
      <c r="BP33" s="250" t="n"/>
      <c r="BQ33" s="250" t="n"/>
      <c r="BR33" s="250" t="n"/>
      <c r="BS33" s="250" t="n"/>
      <c r="BT33" s="250" t="n"/>
      <c r="BU33" s="250" t="n"/>
      <c r="BV33" s="250" t="n"/>
      <c r="BW33" s="250" t="n"/>
      <c r="BX33" s="250" t="n"/>
      <c r="BY33" s="250" t="n"/>
      <c r="BZ33" s="250" t="n"/>
      <c r="CA33" s="250" t="n"/>
      <c r="CB33" s="250" t="n"/>
      <c r="CC33" s="250" t="n"/>
      <c r="CD33" s="250" t="n"/>
      <c r="CE33" s="250" t="n"/>
      <c r="CF33" s="250" t="n"/>
      <c r="CG33" s="250" t="n"/>
      <c r="CH33" s="250" t="n"/>
      <c r="CI33" s="250" t="n"/>
      <c r="CJ33" s="250" t="n"/>
      <c r="CK33" s="250" t="n"/>
      <c r="CL33" s="250" t="n"/>
      <c r="CM33" s="250" t="n"/>
      <c r="CN33" s="250" t="n"/>
      <c r="CO33" s="250" t="n"/>
      <c r="CP33" s="250" t="n"/>
      <c r="CQ33" s="250" t="n"/>
      <c r="CR33" s="250" t="n"/>
      <c r="CS33" s="250" t="n"/>
      <c r="CT33" s="250" t="n"/>
      <c r="CU33" s="250" t="n"/>
      <c r="CV33" s="250" t="n"/>
      <c r="CW33" s="250" t="n"/>
      <c r="CX33" s="250" t="n"/>
      <c r="CY33" s="250" t="n"/>
      <c r="CZ33" s="250" t="n"/>
      <c r="DA33" s="250" t="n"/>
      <c r="DB33" s="250" t="n"/>
      <c r="DC33" s="250" t="n"/>
      <c r="DD33" s="250" t="n"/>
      <c r="DE33" s="250" t="n"/>
      <c r="DF33" s="250" t="n"/>
      <c r="DG33" s="250" t="n"/>
      <c r="DH33" s="250" t="n"/>
      <c r="DI33" s="250" t="n"/>
      <c r="DJ33" s="250" t="n"/>
      <c r="DK33" s="250" t="n"/>
      <c r="DL33" s="250" t="n"/>
      <c r="DM33" s="250" t="n"/>
      <c r="DN33" s="250" t="n"/>
      <c r="DO33" s="250" t="n"/>
      <c r="DP33" s="250" t="n"/>
      <c r="DQ33" s="250" t="n"/>
      <c r="DR33" s="250" t="n"/>
      <c r="DS33" s="250" t="n"/>
      <c r="DT33" s="250" t="n"/>
      <c r="DU33" s="250" t="n"/>
      <c r="DV33" s="250" t="n"/>
      <c r="DW33" s="250" t="n"/>
      <c r="DX33" s="250" t="n"/>
      <c r="DY33" s="250" t="n"/>
      <c r="DZ33" s="250" t="n"/>
      <c r="EA33" s="160" t="n"/>
      <c r="EB33" s="125">
        <f>LET(kr,MATCH("■コマ設計",B:B,0)+5,IF(INDIRECT("D"&amp;kr)="","","e"))</f>
        <v/>
      </c>
      <c r="EC33" s="125">
        <f>LET(er,MATCH("敵ゲートID",E:E,0)+1,kr,MATCH("■コマ設計",B:B,0)+5,IF(INDIRECT("D"&amp;kr)="","",INDIRECT("E"&amp;er)&amp;"_3"))</f>
        <v/>
      </c>
      <c r="ED33" s="125">
        <f>LET(er,MATCH("敵ゲートID",E:E,0)+1,kr,MATCH("■コマ設計",B:B,0)+5,IF(INDIRECT("D"&amp;kr)="","",INDIRECT("E"&amp;er)))</f>
        <v/>
      </c>
      <c r="EE33" s="125">
        <f>LET(kr,MATCH("■コマ設計",B:B,0)+5,IF(INDIRECT("D"&amp;kr)="","",3))</f>
        <v/>
      </c>
      <c r="EF33" s="125">
        <f>LET(kr,MATCH("■コマ設計",B:B,0)+5,IF(INDIRECT("D"&amp;kr)="","",INDIRECT("H"&amp;kr)))</f>
        <v/>
      </c>
      <c r="EG33" s="125">
        <f>LET(kr,MATCH("■コマ設計",B:B,0)+5,IF(INDIRECT("D"&amp;kr)="","",INT(INDIRECT("D"&amp;kr))))</f>
        <v/>
      </c>
      <c r="EH33" s="125">
        <f>LET(kr,MATCH("■コマ設計",B:B,0)+5,IF(INDIRECT("D"&amp;kr)="","",IFERROR(INDIRECT("R"&amp;kr),"")))</f>
        <v/>
      </c>
      <c r="EI33" s="125">
        <f>LET(kr,MATCH("■コマ設計",B:B,0)+5,IF(INDIRECT("D"&amp;kr)="","",INDIRECT("J"&amp;kr)))</f>
        <v/>
      </c>
      <c r="EJ33" s="125">
        <f>LET(kr,MATCH("■コマ設計",B:B,0)+5,IF(INDIRECT("D"&amp;kr)="","",IF(INDIRECT("J"&amp;kr)=1,0,-1)))</f>
        <v/>
      </c>
      <c r="EK33" s="125">
        <f>LET(kr,MATCH("■コマ設計",B:B,0)+5,IF(INDIRECT("D"&amp;kr)="","",IF(OR(INDIRECT("U"&amp;kr)="",ISBLANK(INDIRECT("U"&amp;kr))),"None",INDIRECT("U"&amp;kr))))</f>
        <v/>
      </c>
      <c r="EL33" s="125">
        <f>LET(kr,MATCH("■コマ設計",B:B,0)+5,IF(INDIRECT("D"&amp;kr)="","",IF(OR(INDIRECT("U"&amp;kr)="",ISBLANK(INDIRECT("U"&amp;kr))),0,INDIRECT("Z"&amp;kr))))</f>
        <v/>
      </c>
      <c r="EM33" s="125">
        <f>LET(kr,MATCH("■コマ設計",B:B,0)+5,IF(INDIRECT("D"&amp;kr)="","",IF(OR(INDIRECT("U"&amp;kr)="",ISBLANK(INDIRECT("U"&amp;kr))),0,INDIRECT("AB"&amp;kr))))</f>
        <v/>
      </c>
      <c r="EN33" s="125">
        <f>LET(kr,MATCH("■コマ設計",B:B,0)+5,IF(INDIRECT("D"&amp;kr)="","","All"))</f>
        <v/>
      </c>
      <c r="EO33" s="125">
        <f>LET(kr,MATCH("■コマ設計",B:B,0)+5,IF(INDIRECT("D"&amp;kr)="","","All"))</f>
        <v/>
      </c>
      <c r="EP33" s="125">
        <f>LET(kr,MATCH("■コマ設計",B:B,0)+5,IF(INDIRECT("D"&amp;kr)="","","All"))</f>
        <v/>
      </c>
      <c r="EQ33" s="125">
        <f>LET(kr,MATCH("■コマ設計",B:B,0)+5,IF(INDIRECT("D"&amp;kr)="","",IF(AND(INDIRECT("L"&amp;kr)&lt;&gt;"",INDIRECT("L"&amp;kr)&lt;&gt;"none",INDIRECT("L"&amp;kr)&lt;&gt;"error",NOT(ISBLANK(INDIRECT("L"&amp;kr)))),IFERROR(INDIRECT("R"&amp;kr),""),"")))</f>
        <v/>
      </c>
      <c r="ER33" s="125">
        <f>LET(kr,MATCH("■コマ設計",B:B,0)+5,IF(INDIRECT("D"&amp;kr)="","",IF(AND(INDIRECT("L"&amp;kr)&lt;&gt;"",INDIRECT("L"&amp;kr)&lt;&gt;"none",INDIRECT("L"&amp;kr)&lt;&gt;"error",NOT(ISBLANK(INDIRECT("L"&amp;kr)))),INDIRECT("L"&amp;kr),"")))</f>
        <v/>
      </c>
      <c r="ES33" s="125">
        <f>LET(kr,MATCH("■コマ設計",B:B,0)+5,IF(INDIRECT("D"&amp;kr)="","",IF(AND(INDIRECT("L"&amp;kr)&lt;&gt;"",INDIRECT("L"&amp;kr)&lt;&gt;"none",INDIRECT("L"&amp;kr)&lt;&gt;"error",NOT(ISBLANK(INDIRECT("L"&amp;kr)))),IF(INDIRECT("L"&amp;kr)=1,0,-1),"__NULL__")))</f>
        <v/>
      </c>
      <c r="ET33" s="125">
        <f>LET(kr,MATCH("■コマ設計",B:B,0)+5,IF(INDIRECT("D"&amp;kr)="","",IF(AND(INDIRECT("L"&amp;kr)&lt;&gt;"",INDIRECT("L"&amp;kr)&lt;&gt;"none",INDIRECT("L"&amp;kr)&lt;&gt;"error",NOT(ISBLANK(INDIRECT("L"&amp;kr)))),IF(OR(INDIRECT("AD"&amp;kr)="",ISBLANK(INDIRECT("AD"&amp;kr))),"None",INDIRECT("AD"&amp;kr)),"None")))</f>
        <v/>
      </c>
      <c r="EU33" s="125">
        <f>LET(kr,MATCH("■コマ設計",B:B,0)+5,IF(INDIRECT("D"&amp;kr)="","",IF(AND(INDIRECT("L"&amp;kr)&lt;&gt;"",INDIRECT("L"&amp;kr)&lt;&gt;"none",INDIRECT("L"&amp;kr)&lt;&gt;"error",NOT(ISBLANK(INDIRECT("L"&amp;kr)))),IF(OR(INDIRECT("AD"&amp;kr)="",ISBLANK(INDIRECT("AD"&amp;kr))),0,INDIRECT("AI"&amp;kr)),"")))</f>
        <v/>
      </c>
      <c r="EV33" s="125">
        <f>LET(kr,MATCH("■コマ設計",B:B,0)+5,IF(INDIRECT("D"&amp;kr)="","",IF(AND(INDIRECT("L"&amp;kr)&lt;&gt;"",INDIRECT("L"&amp;kr)&lt;&gt;"none",INDIRECT("L"&amp;kr)&lt;&gt;"error",NOT(ISBLANK(INDIRECT("L"&amp;kr)))),IF(OR(INDIRECT("AD"&amp;kr)="",ISBLANK(INDIRECT("AD"&amp;kr))),0,INDIRECT("AK"&amp;kr)),"")))</f>
        <v/>
      </c>
      <c r="EW33" s="125">
        <f>LET(kr,MATCH("■コマ設計",B:B,0)+5,IF(INDIRECT("D"&amp;kr)="","",IF(AND(INDIRECT("L"&amp;kr)&lt;&gt;"",INDIRECT("L"&amp;kr)&lt;&gt;"none",INDIRECT("L"&amp;kr)&lt;&gt;"error",NOT(ISBLANK(INDIRECT("L"&amp;kr)))),"All","__NULL__")))</f>
        <v/>
      </c>
      <c r="EX33" s="125">
        <f>LET(kr,MATCH("■コマ設計",B:B,0)+5,IF(INDIRECT("D"&amp;kr)="","",IF(AND(INDIRECT("L"&amp;kr)&lt;&gt;"",INDIRECT("L"&amp;kr)&lt;&gt;"none",INDIRECT("L"&amp;kr)&lt;&gt;"error",NOT(ISBLANK(INDIRECT("L"&amp;kr)))),"All","")))</f>
        <v/>
      </c>
      <c r="EY33" s="125">
        <f>LET(kr,MATCH("■コマ設計",B:B,0)+5,IF(INDIRECT("D"&amp;kr)="","",IF(AND(INDIRECT("L"&amp;kr)&lt;&gt;"",INDIRECT("L"&amp;kr)&lt;&gt;"none",INDIRECT("L"&amp;kr)&lt;&gt;"error",NOT(ISBLANK(INDIRECT("L"&amp;kr)))),"All","")))</f>
        <v/>
      </c>
      <c r="EZ33" s="125">
        <f>LET(kr,MATCH("■コマ設計",B:B,0)+5,IF(INDIRECT("D"&amp;kr)="","",IF(AND(INDIRECT("N"&amp;kr)&lt;&gt;"",INDIRECT("N"&amp;kr)&lt;&gt;"none",INDIRECT("N"&amp;kr)&lt;&gt;"error",NOT(ISBLANK(INDIRECT("N"&amp;kr)))),IFERROR(INDIRECT("R"&amp;kr),""),"")))</f>
        <v/>
      </c>
      <c r="FA33" s="125">
        <f>LET(kr,MATCH("■コマ設計",B:B,0)+5,IF(INDIRECT("D"&amp;kr)="","",IF(AND(INDIRECT("N"&amp;kr)&lt;&gt;"",INDIRECT("N"&amp;kr)&lt;&gt;"none",INDIRECT("N"&amp;kr)&lt;&gt;"error",NOT(ISBLANK(INDIRECT("N"&amp;kr)))),INDIRECT("N"&amp;kr),"")))</f>
        <v/>
      </c>
      <c r="FB33" s="125">
        <f>LET(kr,MATCH("■コマ設計",B:B,0)+5,IF(INDIRECT("D"&amp;kr)="","",IF(AND(INDIRECT("N"&amp;kr)&lt;&gt;"",INDIRECT("N"&amp;kr)&lt;&gt;"none",INDIRECT("N"&amp;kr)&lt;&gt;"error",NOT(ISBLANK(INDIRECT("N"&amp;kr)))),IF(INDIRECT("N"&amp;kr)=1,0,-1),"__NULL__")))</f>
        <v/>
      </c>
      <c r="FC33" s="125">
        <f>LET(kr,MATCH("■コマ設計",B:B,0)+5,IF(INDIRECT("D"&amp;kr)="","",IF(AND(INDIRECT("N"&amp;kr)&lt;&gt;"",INDIRECT("N"&amp;kr)&lt;&gt;"none",INDIRECT("N"&amp;kr)&lt;&gt;"error",NOT(ISBLANK(INDIRECT("N"&amp;kr)))),IF(OR(INDIRECT("AM"&amp;kr)="",ISBLANK(INDIRECT("AM"&amp;kr))),"None",INDIRECT("AM"&amp;kr)),"None")))</f>
        <v/>
      </c>
      <c r="FD33" s="125">
        <f>LET(kr,MATCH("■コマ設計",B:B,0)+5,IF(INDIRECT("D"&amp;kr)="","",IF(AND(INDIRECT("N"&amp;kr)&lt;&gt;"",INDIRECT("N"&amp;kr)&lt;&gt;"none",INDIRECT("N"&amp;kr)&lt;&gt;"error",NOT(ISBLANK(INDIRECT("N"&amp;kr)))),IF(OR(INDIRECT("AM"&amp;kr)="",ISBLANK(INDIRECT("AM"&amp;kr))),0,INDIRECT("AR"&amp;kr)),"")))</f>
        <v/>
      </c>
      <c r="FE33" s="125">
        <f>LET(kr,MATCH("■コマ設計",B:B,0)+5,IF(INDIRECT("D"&amp;kr)="","",IF(AND(INDIRECT("N"&amp;kr)&lt;&gt;"",INDIRECT("N"&amp;kr)&lt;&gt;"none",INDIRECT("N"&amp;kr)&lt;&gt;"error",NOT(ISBLANK(INDIRECT("N"&amp;kr)))),IF(OR(INDIRECT("AM"&amp;kr)="",ISBLANK(INDIRECT("AM"&amp;kr))),0,INDIRECT("AT"&amp;kr)),"")))</f>
        <v/>
      </c>
      <c r="FF33" s="125">
        <f>LET(kr,MATCH("■コマ設計",B:B,0)+5,IF(INDIRECT("D"&amp;kr)="","",IF(AND(INDIRECT("N"&amp;kr)&lt;&gt;"",INDIRECT("N"&amp;kr)&lt;&gt;"none",INDIRECT("N"&amp;kr)&lt;&gt;"error",NOT(ISBLANK(INDIRECT("N"&amp;kr)))),"All","__NULL__")))</f>
        <v/>
      </c>
      <c r="FG33" s="125">
        <f>LET(kr,MATCH("■コマ設計",B:B,0)+5,IF(INDIRECT("D"&amp;kr)="","",IF(AND(INDIRECT("N"&amp;kr)&lt;&gt;"",INDIRECT("N"&amp;kr)&lt;&gt;"none",INDIRECT("N"&amp;kr)&lt;&gt;"error",NOT(ISBLANK(INDIRECT("N"&amp;kr)))),"All","")))</f>
        <v/>
      </c>
      <c r="FH33" s="125">
        <f>LET(kr,MATCH("■コマ設計",B:B,0)+5,IF(INDIRECT("D"&amp;kr)="","",IF(AND(INDIRECT("N"&amp;kr)&lt;&gt;"",INDIRECT("N"&amp;kr)&lt;&gt;"none",INDIRECT("N"&amp;kr)&lt;&gt;"error",NOT(ISBLANK(INDIRECT("N"&amp;kr)))),"All","")))</f>
        <v/>
      </c>
      <c r="FI33" s="125">
        <f>LET(kr,MATCH("■コマ設計",B:B,0)+5,IF(INDIRECT("D"&amp;kr)="","",IF(AND(INDIRECT("P"&amp;kr)&lt;&gt;"",INDIRECT("P"&amp;kr)&lt;&gt;"none",INDIRECT("P"&amp;kr)&lt;&gt;"error",NOT(ISBLANK(INDIRECT("P"&amp;kr)))),IFERROR(INDIRECT("R"&amp;kr),""),"")))</f>
        <v/>
      </c>
      <c r="FJ33" s="125">
        <f>LET(kr,MATCH("■コマ設計",B:B,0)+5,IF(INDIRECT("D"&amp;kr)="","",IF(AND(INDIRECT("P"&amp;kr)&lt;&gt;"",INDIRECT("P"&amp;kr)&lt;&gt;"none",INDIRECT("P"&amp;kr)&lt;&gt;"error",NOT(ISBLANK(INDIRECT("P"&amp;kr)))),INDIRECT("P"&amp;kr),"")))</f>
        <v/>
      </c>
      <c r="FK33" s="125">
        <f>LET(kr,MATCH("■コマ設計",B:B,0)+5,IF(INDIRECT("D"&amp;kr)="","",IF(AND(INDIRECT("P"&amp;kr)&lt;&gt;"",INDIRECT("P"&amp;kr)&lt;&gt;"none",INDIRECT("P"&amp;kr)&lt;&gt;"error",NOT(ISBLANK(INDIRECT("P"&amp;kr)))),IF(INDIRECT("P"&amp;kr)=1,0,-1),"__NULL__")))</f>
        <v/>
      </c>
      <c r="FL33">
        <f>LET(kr,MATCH("■コマ設計",B:B,0)+5,IF(INDIRECT("D"&amp;kr)="","",IF(AND(INDIRECT("P"&amp;kr)&lt;&gt;"",INDIRECT("P"&amp;kr)&lt;&gt;"none",INDIRECT("P"&amp;kr)&lt;&gt;"error",NOT(ISBLANK(INDIRECT("P"&amp;kr)))),IF(OR(INDIRECT("AV"&amp;kr)="",ISBLANK(INDIRECT("AV"&amp;kr))),"None",INDIRECT("AV"&amp;kr)),"None")))</f>
        <v/>
      </c>
      <c r="FM33">
        <f>LET(kr,MATCH("■コマ設計",B:B,0)+5,IF(INDIRECT("D"&amp;kr)="","",IF(AND(INDIRECT("P"&amp;kr)&lt;&gt;"",INDIRECT("P"&amp;kr)&lt;&gt;"none",INDIRECT("P"&amp;kr)&lt;&gt;"error",NOT(ISBLANK(INDIRECT("P"&amp;kr)))),IF(OR(INDIRECT("AV"&amp;kr)="",ISBLANK(INDIRECT("AV"&amp;kr))),0,INDIRECT("BA"&amp;kr)),"")))</f>
        <v/>
      </c>
      <c r="FN33">
        <f>LET(kr,MATCH("■コマ設計",B:B,0)+5,IF(INDIRECT("D"&amp;kr)="","",IF(AND(INDIRECT("P"&amp;kr)&lt;&gt;"",INDIRECT("P"&amp;kr)&lt;&gt;"none",INDIRECT("P"&amp;kr)&lt;&gt;"error",NOT(ISBLANK(INDIRECT("P"&amp;kr)))),IF(OR(INDIRECT("AV"&amp;kr)="",ISBLANK(INDIRECT("AV"&amp;kr))),0,INDIRECT("BC"&amp;kr)),"")))</f>
        <v/>
      </c>
      <c r="FO33">
        <f>LET(kr,MATCH("■コマ設計",B:B,0)+5,IF(INDIRECT("D"&amp;kr)="","",IF(AND(INDIRECT("P"&amp;kr)&lt;&gt;"",INDIRECT("P"&amp;kr)&lt;&gt;"none",INDIRECT("P"&amp;kr)&lt;&gt;"error",NOT(ISBLANK(INDIRECT("P"&amp;kr)))),"All","__NULL__")))</f>
        <v/>
      </c>
      <c r="FP33">
        <f>LET(kr,MATCH("■コマ設計",B:B,0)+5,IF(INDIRECT("D"&amp;kr)="","",IF(AND(INDIRECT("P"&amp;kr)&lt;&gt;"",INDIRECT("P"&amp;kr)&lt;&gt;"none",INDIRECT("P"&amp;kr)&lt;&gt;"error",NOT(ISBLANK(INDIRECT("P"&amp;kr)))),"All","")))</f>
        <v/>
      </c>
      <c r="FQ33">
        <f>LET(kr,MATCH("■コマ設計",B:B,0)+5,IF(INDIRECT("D"&amp;kr)="","",IF(AND(INDIRECT("P"&amp;kr)&lt;&gt;"",INDIRECT("P"&amp;kr)&lt;&gt;"none",INDIRECT("P"&amp;kr)&lt;&gt;"error",NOT(ISBLANK(INDIRECT("P"&amp;kr)))),"All","")))</f>
        <v/>
      </c>
      <c r="FR33">
        <f>LET(er,MATCH("敵ゲートID",E:E,0)+1,rr,MATCH("リリースキー",N:N,0)+1,kr,MATCH("■コマ設計",B:B,0)+5,IF(INDIRECT("D"&amp;kr)="","",TEXT(INDIRECT("N"&amp;rr),"0")))</f>
        <v/>
      </c>
    </row>
    <row r="34">
      <c r="A34" s="250" t="n"/>
      <c r="B34" s="250" t="n"/>
      <c r="C34" s="250" t="n"/>
      <c r="D34" s="250" t="n"/>
      <c r="E34" s="250" t="n"/>
      <c r="F34" s="250" t="n"/>
      <c r="G34" s="250" t="n"/>
      <c r="H34" s="250" t="n"/>
      <c r="I34" s="250" t="n"/>
      <c r="J34" s="250" t="n"/>
      <c r="K34" s="250" t="n"/>
      <c r="L34" s="250" t="n"/>
      <c r="M34" s="250" t="n"/>
      <c r="N34" s="250" t="n"/>
      <c r="O34" s="250" t="n"/>
      <c r="P34" s="250" t="n"/>
      <c r="Q34" s="250" t="n"/>
      <c r="R34" s="250" t="n"/>
      <c r="S34" s="250" t="n"/>
      <c r="T34" s="250" t="n"/>
      <c r="U34" s="250" t="n"/>
      <c r="V34" s="250" t="n"/>
      <c r="W34" s="250" t="n"/>
      <c r="X34" s="250" t="n"/>
      <c r="Y34" s="250" t="n"/>
      <c r="Z34" s="250" t="n"/>
      <c r="AA34" s="250" t="n"/>
      <c r="AB34" s="250" t="n"/>
      <c r="AC34" s="250" t="n"/>
      <c r="AD34" s="250" t="n"/>
      <c r="AE34" s="250" t="n"/>
      <c r="AF34" s="250" t="n"/>
      <c r="AG34" s="250" t="n"/>
      <c r="AH34" s="250" t="n"/>
      <c r="AI34" s="250" t="n"/>
      <c r="AJ34" s="250" t="n"/>
      <c r="AK34" s="250" t="n"/>
      <c r="AL34" s="250" t="n"/>
      <c r="AM34" s="250" t="n"/>
      <c r="AN34" s="250" t="n"/>
      <c r="AO34" s="250" t="n"/>
      <c r="AP34" s="250" t="n"/>
      <c r="AQ34" s="250" t="n"/>
      <c r="AR34" s="250" t="n"/>
      <c r="AS34" s="250" t="n"/>
      <c r="AT34" s="250" t="n"/>
      <c r="AU34" s="250" t="n"/>
      <c r="AV34" s="250" t="n"/>
      <c r="AW34" s="250" t="n"/>
      <c r="AX34" s="250" t="n"/>
      <c r="AY34" s="250" t="n"/>
      <c r="AZ34" s="250" t="n"/>
      <c r="BA34" s="250" t="n"/>
      <c r="BB34" s="250" t="n"/>
      <c r="BC34" s="250" t="n"/>
      <c r="BD34" s="250" t="n"/>
      <c r="BE34" s="250" t="n"/>
      <c r="BF34" s="250" t="n"/>
      <c r="BG34" s="250" t="n"/>
      <c r="BH34" s="250" t="n"/>
      <c r="BI34" s="250" t="n"/>
      <c r="BJ34" s="250" t="n"/>
      <c r="BK34" s="250" t="n"/>
      <c r="BL34" s="250" t="n"/>
      <c r="BM34" s="250" t="n"/>
      <c r="BN34" s="250" t="n"/>
      <c r="BO34" s="250" t="n"/>
      <c r="BP34" s="250" t="n"/>
      <c r="BQ34" s="250" t="n"/>
      <c r="BR34" s="250" t="n"/>
      <c r="BS34" s="250" t="n"/>
      <c r="BT34" s="250" t="n"/>
      <c r="BU34" s="250" t="n"/>
      <c r="BV34" s="250" t="n"/>
      <c r="BW34" s="250" t="n"/>
      <c r="BX34" s="250" t="n"/>
      <c r="BY34" s="250" t="n"/>
      <c r="BZ34" s="250" t="n"/>
      <c r="CA34" s="250" t="n"/>
      <c r="CB34" s="250" t="n"/>
      <c r="CC34" s="250" t="n"/>
      <c r="CD34" s="250" t="n"/>
      <c r="CE34" s="250" t="n"/>
      <c r="CF34" s="250" t="n"/>
      <c r="CG34" s="250" t="n"/>
      <c r="CH34" s="250" t="n"/>
      <c r="CI34" s="250" t="n"/>
      <c r="CJ34" s="250" t="n"/>
      <c r="CK34" s="250" t="n"/>
      <c r="CL34" s="250" t="n"/>
      <c r="CM34" s="250" t="n"/>
      <c r="CN34" s="250" t="n"/>
      <c r="CO34" s="250" t="n"/>
      <c r="CP34" s="250" t="n"/>
      <c r="CQ34" s="250" t="n"/>
      <c r="CR34" s="250" t="n"/>
      <c r="CS34" s="250" t="n"/>
      <c r="CT34" s="250" t="n"/>
      <c r="CU34" s="250" t="n"/>
      <c r="CV34" s="250" t="n"/>
      <c r="CW34" s="250" t="n"/>
      <c r="CX34" s="250" t="n"/>
      <c r="CY34" s="250" t="n"/>
      <c r="CZ34" s="250" t="n"/>
      <c r="DA34" s="250" t="n"/>
      <c r="DB34" s="250" t="n"/>
      <c r="DC34" s="250" t="n"/>
      <c r="DD34" s="250" t="n"/>
      <c r="DE34" s="250" t="n"/>
      <c r="DF34" s="250" t="n"/>
      <c r="DG34" s="250" t="n"/>
      <c r="DH34" s="250" t="n"/>
      <c r="DI34" s="250" t="n"/>
      <c r="DJ34" s="250" t="n"/>
      <c r="DK34" s="250" t="n"/>
      <c r="DL34" s="250" t="n"/>
      <c r="DM34" s="250" t="n"/>
      <c r="DN34" s="250" t="n"/>
      <c r="DO34" s="250" t="n"/>
      <c r="DP34" s="250" t="n"/>
      <c r="DQ34" s="250" t="n"/>
      <c r="DR34" s="250" t="n"/>
      <c r="DS34" s="250" t="n"/>
      <c r="DT34" s="250" t="n"/>
      <c r="DU34" s="250" t="n"/>
      <c r="DV34" s="250" t="n"/>
      <c r="DW34" s="250" t="n"/>
      <c r="DX34" s="250" t="n"/>
      <c r="DY34" s="250" t="n"/>
      <c r="DZ34" s="250" t="n"/>
      <c r="EA34" s="160" t="n"/>
      <c r="EB34" s="125">
        <f>LET(kr,MATCH("■コマ設計",B:B,0)+6,IF(INDIRECT("D"&amp;kr)="","","e"))</f>
        <v/>
      </c>
      <c r="EC34" s="126">
        <f>LET(er,MATCH("敵ゲートID",E:E,0)+1,kr,MATCH("■コマ設計",B:B,0)+6,IF(INDIRECT("D"&amp;kr)="","",INDIRECT("E"&amp;er)&amp;"_4"))</f>
        <v/>
      </c>
      <c r="ED34" s="126">
        <f>LET(er,MATCH("敵ゲートID",E:E,0)+1,kr,MATCH("■コマ設計",B:B,0)+6,IF(INDIRECT("D"&amp;kr)="","",INDIRECT("E"&amp;er)))</f>
        <v/>
      </c>
      <c r="EE34" s="126">
        <f>LET(kr,MATCH("■コマ設計",B:B,0)+6,IF(INDIRECT("D"&amp;kr)="","",4))</f>
        <v/>
      </c>
      <c r="EF34" s="126">
        <f>LET(kr,MATCH("■コマ設計",B:B,0)+6,IF(INDIRECT("D"&amp;kr)="","",INDIRECT("H"&amp;kr)))</f>
        <v/>
      </c>
      <c r="EG34" s="126">
        <f>LET(kr,MATCH("■コマ設計",B:B,0)+6,IF(INDIRECT("D"&amp;kr)="","",INT(INDIRECT("D"&amp;kr))))</f>
        <v/>
      </c>
      <c r="EH34" s="126">
        <f>LET(kr,MATCH("■コマ設計",B:B,0)+6,IF(INDIRECT("D"&amp;kr)="","",IFERROR(INDIRECT("R"&amp;kr),"")))</f>
        <v/>
      </c>
      <c r="EI34" s="126">
        <f>LET(kr,MATCH("■コマ設計",B:B,0)+6,IF(INDIRECT("D"&amp;kr)="","",INDIRECT("J"&amp;kr)))</f>
        <v/>
      </c>
      <c r="EJ34" s="126">
        <f>LET(kr,MATCH("■コマ設計",B:B,0)+6,IF(INDIRECT("D"&amp;kr)="","",IF(INDIRECT("J"&amp;kr)=1,0,-1)))</f>
        <v/>
      </c>
      <c r="EK34" s="126">
        <f>LET(kr,MATCH("■コマ設計",B:B,0)+6,IF(INDIRECT("D"&amp;kr)="","",IF(OR(INDIRECT("U"&amp;kr)="",ISBLANK(INDIRECT("U"&amp;kr))),"None",INDIRECT("U"&amp;kr))))</f>
        <v/>
      </c>
      <c r="EL34" s="126">
        <f>LET(kr,MATCH("■コマ設計",B:B,0)+6,IF(INDIRECT("D"&amp;kr)="","",IF(OR(INDIRECT("U"&amp;kr)="",ISBLANK(INDIRECT("U"&amp;kr))),0,INDIRECT("Z"&amp;kr))))</f>
        <v/>
      </c>
      <c r="EM34" s="126">
        <f>LET(kr,MATCH("■コマ設計",B:B,0)+6,IF(INDIRECT("D"&amp;kr)="","",IF(OR(INDIRECT("U"&amp;kr)="",ISBLANK(INDIRECT("U"&amp;kr))),0,INDIRECT("AB"&amp;kr))))</f>
        <v/>
      </c>
      <c r="EN34" s="126">
        <f>LET(kr,MATCH("■コマ設計",B:B,0)+6,IF(INDIRECT("D"&amp;kr)="","","All"))</f>
        <v/>
      </c>
      <c r="EO34" s="126">
        <f>LET(kr,MATCH("■コマ設計",B:B,0)+6,IF(INDIRECT("D"&amp;kr)="","","All"))</f>
        <v/>
      </c>
      <c r="EP34" s="126">
        <f>LET(kr,MATCH("■コマ設計",B:B,0)+6,IF(INDIRECT("D"&amp;kr)="","","All"))</f>
        <v/>
      </c>
      <c r="EQ34" s="126">
        <f>LET(kr,MATCH("■コマ設計",B:B,0)+6,IF(INDIRECT("D"&amp;kr)="","",IF(AND(INDIRECT("L"&amp;kr)&lt;&gt;"",INDIRECT("L"&amp;kr)&lt;&gt;"none",INDIRECT("L"&amp;kr)&lt;&gt;"error",NOT(ISBLANK(INDIRECT("L"&amp;kr)))),IFERROR(INDIRECT("R"&amp;kr),""),"")))</f>
        <v/>
      </c>
      <c r="ER34" s="126">
        <f>LET(kr,MATCH("■コマ設計",B:B,0)+6,IF(INDIRECT("D"&amp;kr)="","",IF(AND(INDIRECT("L"&amp;kr)&lt;&gt;"",INDIRECT("L"&amp;kr)&lt;&gt;"none",INDIRECT("L"&amp;kr)&lt;&gt;"error",NOT(ISBLANK(INDIRECT("L"&amp;kr)))),INDIRECT("L"&amp;kr),"")))</f>
        <v/>
      </c>
      <c r="ES34" s="126">
        <f>LET(kr,MATCH("■コマ設計",B:B,0)+6,IF(INDIRECT("D"&amp;kr)="","",IF(AND(INDIRECT("L"&amp;kr)&lt;&gt;"",INDIRECT("L"&amp;kr)&lt;&gt;"none",INDIRECT("L"&amp;kr)&lt;&gt;"error",NOT(ISBLANK(INDIRECT("L"&amp;kr)))),IF(INDIRECT("L"&amp;kr)=1,0,-1),"__NULL__")))</f>
        <v/>
      </c>
      <c r="ET34" s="126">
        <f>LET(kr,MATCH("■コマ設計",B:B,0)+6,IF(INDIRECT("D"&amp;kr)="","",IF(AND(INDIRECT("L"&amp;kr)&lt;&gt;"",INDIRECT("L"&amp;kr)&lt;&gt;"none",INDIRECT("L"&amp;kr)&lt;&gt;"error",NOT(ISBLANK(INDIRECT("L"&amp;kr)))),IF(OR(INDIRECT("AD"&amp;kr)="",ISBLANK(INDIRECT("AD"&amp;kr))),"None",INDIRECT("AD"&amp;kr)),"None")))</f>
        <v/>
      </c>
      <c r="EU34" s="126">
        <f>LET(kr,MATCH("■コマ設計",B:B,0)+6,IF(INDIRECT("D"&amp;kr)="","",IF(AND(INDIRECT("L"&amp;kr)&lt;&gt;"",INDIRECT("L"&amp;kr)&lt;&gt;"none",INDIRECT("L"&amp;kr)&lt;&gt;"error",NOT(ISBLANK(INDIRECT("L"&amp;kr)))),IF(OR(INDIRECT("AD"&amp;kr)="",ISBLANK(INDIRECT("AD"&amp;kr))),0,INDIRECT("AI"&amp;kr)),"")))</f>
        <v/>
      </c>
      <c r="EV34" s="126">
        <f>LET(kr,MATCH("■コマ設計",B:B,0)+6,IF(INDIRECT("D"&amp;kr)="","",IF(AND(INDIRECT("L"&amp;kr)&lt;&gt;"",INDIRECT("L"&amp;kr)&lt;&gt;"none",INDIRECT("L"&amp;kr)&lt;&gt;"error",NOT(ISBLANK(INDIRECT("L"&amp;kr)))),IF(OR(INDIRECT("AD"&amp;kr)="",ISBLANK(INDIRECT("AD"&amp;kr))),0,INDIRECT("AK"&amp;kr)),"")))</f>
        <v/>
      </c>
      <c r="EW34" s="126">
        <f>LET(kr,MATCH("■コマ設計",B:B,0)+6,IF(INDIRECT("D"&amp;kr)="","",IF(AND(INDIRECT("L"&amp;kr)&lt;&gt;"",INDIRECT("L"&amp;kr)&lt;&gt;"none",INDIRECT("L"&amp;kr)&lt;&gt;"error",NOT(ISBLANK(INDIRECT("L"&amp;kr)))),"All","__NULL__")))</f>
        <v/>
      </c>
      <c r="EX34" s="126">
        <f>LET(kr,MATCH("■コマ設計",B:B,0)+6,IF(INDIRECT("D"&amp;kr)="","",IF(AND(INDIRECT("L"&amp;kr)&lt;&gt;"",INDIRECT("L"&amp;kr)&lt;&gt;"none",INDIRECT("L"&amp;kr)&lt;&gt;"error",NOT(ISBLANK(INDIRECT("L"&amp;kr)))),"All","")))</f>
        <v/>
      </c>
      <c r="EY34" s="126">
        <f>LET(kr,MATCH("■コマ設計",B:B,0)+6,IF(INDIRECT("D"&amp;kr)="","",IF(AND(INDIRECT("L"&amp;kr)&lt;&gt;"",INDIRECT("L"&amp;kr)&lt;&gt;"none",INDIRECT("L"&amp;kr)&lt;&gt;"error",NOT(ISBLANK(INDIRECT("L"&amp;kr)))),"All","")))</f>
        <v/>
      </c>
      <c r="EZ34" s="126">
        <f>LET(kr,MATCH("■コマ設計",B:B,0)+6,IF(INDIRECT("D"&amp;kr)="","",IF(AND(INDIRECT("N"&amp;kr)&lt;&gt;"",INDIRECT("N"&amp;kr)&lt;&gt;"none",INDIRECT("N"&amp;kr)&lt;&gt;"error",NOT(ISBLANK(INDIRECT("N"&amp;kr)))),IFERROR(INDIRECT("R"&amp;kr),""),"")))</f>
        <v/>
      </c>
      <c r="FA34" s="126">
        <f>LET(kr,MATCH("■コマ設計",B:B,0)+6,IF(INDIRECT("D"&amp;kr)="","",IF(AND(INDIRECT("N"&amp;kr)&lt;&gt;"",INDIRECT("N"&amp;kr)&lt;&gt;"none",INDIRECT("N"&amp;kr)&lt;&gt;"error",NOT(ISBLANK(INDIRECT("N"&amp;kr)))),INDIRECT("N"&amp;kr),"")))</f>
        <v/>
      </c>
      <c r="FB34" s="126">
        <f>LET(kr,MATCH("■コマ設計",B:B,0)+6,IF(INDIRECT("D"&amp;kr)="","",IF(AND(INDIRECT("N"&amp;kr)&lt;&gt;"",INDIRECT("N"&amp;kr)&lt;&gt;"none",INDIRECT("N"&amp;kr)&lt;&gt;"error",NOT(ISBLANK(INDIRECT("N"&amp;kr)))),IF(INDIRECT("N"&amp;kr)=1,0,-1),"__NULL__")))</f>
        <v/>
      </c>
      <c r="FC34" s="126">
        <f>LET(kr,MATCH("■コマ設計",B:B,0)+6,IF(INDIRECT("D"&amp;kr)="","",IF(AND(INDIRECT("N"&amp;kr)&lt;&gt;"",INDIRECT("N"&amp;kr)&lt;&gt;"none",INDIRECT("N"&amp;kr)&lt;&gt;"error",NOT(ISBLANK(INDIRECT("N"&amp;kr)))),IF(OR(INDIRECT("AM"&amp;kr)="",ISBLANK(INDIRECT("AM"&amp;kr))),"None",INDIRECT("AM"&amp;kr)),"None")))</f>
        <v/>
      </c>
      <c r="FD34" s="126">
        <f>LET(kr,MATCH("■コマ設計",B:B,0)+6,IF(INDIRECT("D"&amp;kr)="","",IF(AND(INDIRECT("N"&amp;kr)&lt;&gt;"",INDIRECT("N"&amp;kr)&lt;&gt;"none",INDIRECT("N"&amp;kr)&lt;&gt;"error",NOT(ISBLANK(INDIRECT("N"&amp;kr)))),IF(OR(INDIRECT("AM"&amp;kr)="",ISBLANK(INDIRECT("AM"&amp;kr))),0,INDIRECT("AR"&amp;kr)),"")))</f>
        <v/>
      </c>
      <c r="FE34" s="126">
        <f>LET(kr,MATCH("■コマ設計",B:B,0)+6,IF(INDIRECT("D"&amp;kr)="","",IF(AND(INDIRECT("N"&amp;kr)&lt;&gt;"",INDIRECT("N"&amp;kr)&lt;&gt;"none",INDIRECT("N"&amp;kr)&lt;&gt;"error",NOT(ISBLANK(INDIRECT("N"&amp;kr)))),IF(OR(INDIRECT("AM"&amp;kr)="",ISBLANK(INDIRECT("AM"&amp;kr))),0,INDIRECT("AT"&amp;kr)),"")))</f>
        <v/>
      </c>
      <c r="FF34" s="126">
        <f>LET(kr,MATCH("■コマ設計",B:B,0)+6,IF(INDIRECT("D"&amp;kr)="","",IF(AND(INDIRECT("N"&amp;kr)&lt;&gt;"",INDIRECT("N"&amp;kr)&lt;&gt;"none",INDIRECT("N"&amp;kr)&lt;&gt;"error",NOT(ISBLANK(INDIRECT("N"&amp;kr)))),"All","__NULL__")))</f>
        <v/>
      </c>
      <c r="FG34" s="126">
        <f>LET(kr,MATCH("■コマ設計",B:B,0)+6,IF(INDIRECT("D"&amp;kr)="","",IF(AND(INDIRECT("N"&amp;kr)&lt;&gt;"",INDIRECT("N"&amp;kr)&lt;&gt;"none",INDIRECT("N"&amp;kr)&lt;&gt;"error",NOT(ISBLANK(INDIRECT("N"&amp;kr)))),"All","")))</f>
        <v/>
      </c>
      <c r="FH34" s="125">
        <f>LET(kr,MATCH("■コマ設計",B:B,0)+6,IF(INDIRECT("D"&amp;kr)="","",IF(AND(INDIRECT("N"&amp;kr)&lt;&gt;"",INDIRECT("N"&amp;kr)&lt;&gt;"none",INDIRECT("N"&amp;kr)&lt;&gt;"error",NOT(ISBLANK(INDIRECT("N"&amp;kr)))),"All","")))</f>
        <v/>
      </c>
      <c r="FI34" s="125">
        <f>LET(kr,MATCH("■コマ設計",B:B,0)+6,IF(INDIRECT("D"&amp;kr)="","",IF(AND(INDIRECT("P"&amp;kr)&lt;&gt;"",INDIRECT("P"&amp;kr)&lt;&gt;"none",INDIRECT("P"&amp;kr)&lt;&gt;"error",NOT(ISBLANK(INDIRECT("P"&amp;kr)))),IFERROR(INDIRECT("R"&amp;kr),""),"")))</f>
        <v/>
      </c>
      <c r="FJ34" s="125">
        <f>LET(kr,MATCH("■コマ設計",B:B,0)+6,IF(INDIRECT("D"&amp;kr)="","",IF(AND(INDIRECT("P"&amp;kr)&lt;&gt;"",INDIRECT("P"&amp;kr)&lt;&gt;"none",INDIRECT("P"&amp;kr)&lt;&gt;"error",NOT(ISBLANK(INDIRECT("P"&amp;kr)))),INDIRECT("P"&amp;kr),"")))</f>
        <v/>
      </c>
      <c r="FK34" s="125">
        <f>LET(kr,MATCH("■コマ設計",B:B,0)+6,IF(INDIRECT("D"&amp;kr)="","",IF(AND(INDIRECT("P"&amp;kr)&lt;&gt;"",INDIRECT("P"&amp;kr)&lt;&gt;"none",INDIRECT("P"&amp;kr)&lt;&gt;"error",NOT(ISBLANK(INDIRECT("P"&amp;kr)))),IF(INDIRECT("P"&amp;kr)=1,0,-1),"__NULL__")))</f>
        <v/>
      </c>
      <c r="FL34">
        <f>LET(kr,MATCH("■コマ設計",B:B,0)+6,IF(INDIRECT("D"&amp;kr)="","",IF(AND(INDIRECT("P"&amp;kr)&lt;&gt;"",INDIRECT("P"&amp;kr)&lt;&gt;"none",INDIRECT("P"&amp;kr)&lt;&gt;"error",NOT(ISBLANK(INDIRECT("P"&amp;kr)))),IF(OR(INDIRECT("AV"&amp;kr)="",ISBLANK(INDIRECT("AV"&amp;kr))),"None",INDIRECT("AV"&amp;kr)),"None")))</f>
        <v/>
      </c>
      <c r="FM34">
        <f>LET(kr,MATCH("■コマ設計",B:B,0)+6,IF(INDIRECT("D"&amp;kr)="","",IF(AND(INDIRECT("P"&amp;kr)&lt;&gt;"",INDIRECT("P"&amp;kr)&lt;&gt;"none",INDIRECT("P"&amp;kr)&lt;&gt;"error",NOT(ISBLANK(INDIRECT("P"&amp;kr)))),IF(OR(INDIRECT("AV"&amp;kr)="",ISBLANK(INDIRECT("AV"&amp;kr))),0,INDIRECT("BA"&amp;kr)),"")))</f>
        <v/>
      </c>
      <c r="FN34">
        <f>LET(kr,MATCH("■コマ設計",B:B,0)+6,IF(INDIRECT("D"&amp;kr)="","",IF(AND(INDIRECT("P"&amp;kr)&lt;&gt;"",INDIRECT("P"&amp;kr)&lt;&gt;"none",INDIRECT("P"&amp;kr)&lt;&gt;"error",NOT(ISBLANK(INDIRECT("P"&amp;kr)))),IF(OR(INDIRECT("AV"&amp;kr)="",ISBLANK(INDIRECT("AV"&amp;kr))),0,INDIRECT("BC"&amp;kr)),"")))</f>
        <v/>
      </c>
      <c r="FO34">
        <f>LET(kr,MATCH("■コマ設計",B:B,0)+6,IF(INDIRECT("D"&amp;kr)="","",IF(AND(INDIRECT("P"&amp;kr)&lt;&gt;"",INDIRECT("P"&amp;kr)&lt;&gt;"none",INDIRECT("P"&amp;kr)&lt;&gt;"error",NOT(ISBLANK(INDIRECT("P"&amp;kr)))),"All","__NULL__")))</f>
        <v/>
      </c>
      <c r="FP34">
        <f>LET(kr,MATCH("■コマ設計",B:B,0)+6,IF(INDIRECT("D"&amp;kr)="","",IF(AND(INDIRECT("P"&amp;kr)&lt;&gt;"",INDIRECT("P"&amp;kr)&lt;&gt;"none",INDIRECT("P"&amp;kr)&lt;&gt;"error",NOT(ISBLANK(INDIRECT("P"&amp;kr)))),"All","")))</f>
        <v/>
      </c>
      <c r="FQ34">
        <f>LET(kr,MATCH("■コマ設計",B:B,0)+6,IF(INDIRECT("D"&amp;kr)="","",IF(AND(INDIRECT("P"&amp;kr)&lt;&gt;"",INDIRECT("P"&amp;kr)&lt;&gt;"none",INDIRECT("P"&amp;kr)&lt;&gt;"error",NOT(ISBLANK(INDIRECT("P"&amp;kr)))),"All","")))</f>
        <v/>
      </c>
      <c r="FR34">
        <f>LET(er,MATCH("敵ゲートID",E:E,0)+1,rr,MATCH("リリースキー",N:N,0)+1,kr,MATCH("■コマ設計",B:B,0)+6,IF(INDIRECT("D"&amp;kr)="","",TEXT(INDIRECT("N"&amp;rr),"0")))</f>
        <v/>
      </c>
    </row>
    <row r="35">
      <c r="A35" s="122" t="n"/>
      <c r="B35" s="123" t="inlineStr">
        <is>
          <t>■コマ設計</t>
        </is>
      </c>
      <c r="C35" s="160" t="n"/>
      <c r="D35" s="160" t="n"/>
      <c r="E35" s="160" t="n"/>
      <c r="F35" s="160" t="n"/>
      <c r="G35" s="160" t="n"/>
      <c r="H35" s="160" t="n"/>
      <c r="I35" s="160" t="n"/>
      <c r="J35" s="160" t="n"/>
      <c r="K35" s="160" t="n"/>
      <c r="L35" s="160" t="n"/>
      <c r="M35" s="160" t="n"/>
      <c r="N35" s="160" t="n"/>
      <c r="O35" s="160" t="n"/>
      <c r="P35" s="160" t="n"/>
      <c r="Q35" s="160" t="n"/>
      <c r="R35" s="160" t="n"/>
      <c r="S35" s="160" t="n"/>
      <c r="T35" s="160" t="n"/>
      <c r="U35" s="160" t="n"/>
      <c r="V35" s="160" t="n"/>
      <c r="W35" s="160" t="n"/>
      <c r="X35" s="160" t="n"/>
      <c r="Y35" s="160" t="n"/>
      <c r="Z35" s="160" t="n"/>
      <c r="AA35" s="160" t="n"/>
      <c r="AB35" s="160" t="n"/>
      <c r="AC35" s="160" t="n"/>
      <c r="AD35" s="160" t="n"/>
      <c r="AE35" s="160" t="n"/>
      <c r="AF35" s="160" t="n"/>
      <c r="AG35" s="160" t="n"/>
      <c r="AH35" s="160" t="n"/>
      <c r="AI35" s="160" t="n"/>
      <c r="AJ35" s="160" t="n"/>
      <c r="AK35" s="160" t="n"/>
      <c r="AL35" s="160" t="n"/>
      <c r="AM35" s="160" t="n"/>
      <c r="AN35" s="160" t="n"/>
      <c r="AO35" s="160" t="n"/>
      <c r="AP35" s="160" t="n"/>
      <c r="AQ35" s="160" t="n"/>
      <c r="AR35" s="160" t="n"/>
      <c r="AS35" s="160" t="n"/>
      <c r="AT35" s="160" t="n"/>
      <c r="AU35" s="160" t="n"/>
      <c r="AV35" s="160" t="n"/>
      <c r="AW35" s="160" t="n"/>
      <c r="AX35" s="160" t="n"/>
      <c r="AY35" s="160" t="n"/>
      <c r="AZ35" s="160" t="n"/>
      <c r="BA35" s="160" t="n"/>
      <c r="BB35" s="160" t="n"/>
      <c r="BC35" s="160" t="n"/>
      <c r="BD35" s="160" t="n"/>
      <c r="BE35" s="160" t="n"/>
      <c r="BF35" s="160" t="n"/>
      <c r="BG35" s="160" t="n"/>
      <c r="BH35" s="160" t="n"/>
      <c r="BI35" s="160" t="n"/>
      <c r="BJ35" s="160" t="n"/>
      <c r="BK35" s="160" t="n"/>
      <c r="BL35" s="160" t="n"/>
      <c r="BM35" s="160" t="n"/>
      <c r="BN35" s="160" t="n"/>
      <c r="BO35" s="160" t="n"/>
      <c r="BP35" s="160" t="n"/>
      <c r="BQ35" s="160" t="n"/>
      <c r="BR35" s="160" t="n"/>
      <c r="BS35" s="160" t="n"/>
      <c r="BT35" s="160" t="n"/>
      <c r="BU35" s="160" t="n"/>
      <c r="BV35" s="160" t="n"/>
      <c r="BW35" s="160" t="n"/>
      <c r="BX35" s="160" t="n"/>
      <c r="BY35" s="160" t="n"/>
      <c r="BZ35" s="160" t="n"/>
      <c r="CA35" s="160" t="n"/>
      <c r="CB35" s="160" t="n"/>
      <c r="CC35" s="160" t="n"/>
      <c r="CD35" s="160" t="n"/>
      <c r="CE35" s="160" t="n"/>
      <c r="CF35" s="160" t="n"/>
      <c r="CG35" s="160" t="n"/>
      <c r="CH35" s="160" t="n"/>
      <c r="CI35" s="160" t="n"/>
      <c r="CJ35" s="160" t="n"/>
      <c r="CK35" s="160" t="n"/>
      <c r="CL35" s="160" t="n"/>
      <c r="CM35" s="160" t="n"/>
      <c r="CN35" s="160" t="n"/>
      <c r="CO35" s="160" t="n"/>
      <c r="CP35" s="160" t="n"/>
      <c r="CQ35" s="160" t="n"/>
      <c r="CR35" s="160" t="n"/>
      <c r="CS35" s="160" t="n"/>
      <c r="CT35" s="160" t="n"/>
      <c r="CU35" s="160" t="n"/>
      <c r="CV35" s="160" t="n"/>
      <c r="CW35" s="160" t="n"/>
      <c r="CX35" s="160" t="n"/>
      <c r="CY35" s="160" t="n"/>
      <c r="CZ35" s="160" t="n"/>
      <c r="DA35" s="160" t="n"/>
      <c r="DB35" s="160" t="n"/>
      <c r="DC35" s="160" t="n"/>
      <c r="DD35" s="160" t="n"/>
      <c r="DE35" s="160" t="n"/>
      <c r="DF35" s="160" t="n"/>
      <c r="DG35" s="160" t="n"/>
      <c r="DH35" s="160" t="n"/>
      <c r="DI35" s="160" t="n"/>
      <c r="DJ35" s="160" t="n"/>
      <c r="DK35" s="160" t="n"/>
      <c r="DL35" s="160" t="n"/>
      <c r="DM35" s="160" t="n"/>
      <c r="DN35" s="160" t="n"/>
      <c r="DO35" s="160" t="n"/>
      <c r="DP35" s="160" t="n"/>
      <c r="DQ35" s="160" t="n"/>
      <c r="DR35" s="160" t="n"/>
      <c r="DS35" s="160" t="n"/>
      <c r="DT35" s="160" t="n"/>
      <c r="DU35" s="160" t="n"/>
      <c r="DV35" s="160" t="n"/>
      <c r="DW35" s="160" t="n"/>
      <c r="DX35" s="160" t="n"/>
      <c r="DY35" s="160" t="n"/>
      <c r="DZ35" s="160" t="n"/>
      <c r="EA35" s="160" t="n"/>
      <c r="EB35" s="125">
        <f>LET(kr,MATCH("■コマ設計",B:B,0)+7,IF(INDIRECT("D"&amp;kr)="","","e"))</f>
        <v/>
      </c>
      <c r="EC35" s="126">
        <f>LET(er,MATCH("敵ゲートID",E:E,0)+1,kr,MATCH("■コマ設計",B:B,0)+7,IF(INDIRECT("D"&amp;kr)="","",INDIRECT("E"&amp;er)&amp;"_5"))</f>
        <v/>
      </c>
      <c r="ED35" s="126">
        <f>LET(er,MATCH("敵ゲートID",E:E,0)+1,kr,MATCH("■コマ設計",B:B,0)+7,IF(INDIRECT("D"&amp;kr)="","",INDIRECT("E"&amp;er)))</f>
        <v/>
      </c>
      <c r="EE35" s="126">
        <f>LET(kr,MATCH("■コマ設計",B:B,0)+7,IF(INDIRECT("D"&amp;kr)="","",5))</f>
        <v/>
      </c>
      <c r="EF35" s="126">
        <f>LET(kr,MATCH("■コマ設計",B:B,0)+7,IF(INDIRECT("D"&amp;kr)="","",INDIRECT("H"&amp;kr)))</f>
        <v/>
      </c>
      <c r="EG35" s="126">
        <f>LET(kr,MATCH("■コマ設計",B:B,0)+7,IF(INDIRECT("D"&amp;kr)="","",INT(INDIRECT("D"&amp;kr))))</f>
        <v/>
      </c>
      <c r="EH35" s="126">
        <f>LET(kr,MATCH("■コマ設計",B:B,0)+7,IF(INDIRECT("D"&amp;kr)="","",IFERROR(INDIRECT("R"&amp;kr),"")))</f>
        <v/>
      </c>
      <c r="EI35" s="126">
        <f>LET(kr,MATCH("■コマ設計",B:B,0)+7,IF(INDIRECT("D"&amp;kr)="","",INDIRECT("J"&amp;kr)))</f>
        <v/>
      </c>
      <c r="EJ35" s="126">
        <f>LET(kr,MATCH("■コマ設計",B:B,0)+7,IF(INDIRECT("D"&amp;kr)="","",IF(INDIRECT("J"&amp;kr)=1,0,-1)))</f>
        <v/>
      </c>
      <c r="EK35" s="126">
        <f>LET(kr,MATCH("■コマ設計",B:B,0)+7,IF(INDIRECT("D"&amp;kr)="","",IF(OR(INDIRECT("U"&amp;kr)="",ISBLANK(INDIRECT("U"&amp;kr))),"None",INDIRECT("U"&amp;kr))))</f>
        <v/>
      </c>
      <c r="EL35" s="126">
        <f>LET(kr,MATCH("■コマ設計",B:B,0)+7,IF(INDIRECT("D"&amp;kr)="","",IF(OR(INDIRECT("U"&amp;kr)="",ISBLANK(INDIRECT("U"&amp;kr))),0,INDIRECT("Z"&amp;kr))))</f>
        <v/>
      </c>
      <c r="EM35" s="126">
        <f>LET(kr,MATCH("■コマ設計",B:B,0)+7,IF(INDIRECT("D"&amp;kr)="","",IF(OR(INDIRECT("U"&amp;kr)="",ISBLANK(INDIRECT("U"&amp;kr))),0,INDIRECT("AB"&amp;kr))))</f>
        <v/>
      </c>
      <c r="EN35" s="126">
        <f>LET(kr,MATCH("■コマ設計",B:B,0)+7,IF(INDIRECT("D"&amp;kr)="","","All"))</f>
        <v/>
      </c>
      <c r="EO35" s="126">
        <f>LET(kr,MATCH("■コマ設計",B:B,0)+7,IF(INDIRECT("D"&amp;kr)="","","All"))</f>
        <v/>
      </c>
      <c r="EP35" s="126">
        <f>LET(kr,MATCH("■コマ設計",B:B,0)+7,IF(INDIRECT("D"&amp;kr)="","","All"))</f>
        <v/>
      </c>
      <c r="EQ35" s="126">
        <f>LET(kr,MATCH("■コマ設計",B:B,0)+7,IF(INDIRECT("D"&amp;kr)="","",IF(AND(INDIRECT("L"&amp;kr)&lt;&gt;"",INDIRECT("L"&amp;kr)&lt;&gt;"none",INDIRECT("L"&amp;kr)&lt;&gt;"error",NOT(ISBLANK(INDIRECT("L"&amp;kr)))),IFERROR(INDIRECT("R"&amp;kr),""),"")))</f>
        <v/>
      </c>
      <c r="ER35" s="126">
        <f>LET(kr,MATCH("■コマ設計",B:B,0)+7,IF(INDIRECT("D"&amp;kr)="","",IF(AND(INDIRECT("L"&amp;kr)&lt;&gt;"",INDIRECT("L"&amp;kr)&lt;&gt;"none",INDIRECT("L"&amp;kr)&lt;&gt;"error",NOT(ISBLANK(INDIRECT("L"&amp;kr)))),INDIRECT("L"&amp;kr),"")))</f>
        <v/>
      </c>
      <c r="ES35" s="126">
        <f>LET(kr,MATCH("■コマ設計",B:B,0)+7,IF(INDIRECT("D"&amp;kr)="","",IF(AND(INDIRECT("L"&amp;kr)&lt;&gt;"",INDIRECT("L"&amp;kr)&lt;&gt;"none",INDIRECT("L"&amp;kr)&lt;&gt;"error",NOT(ISBLANK(INDIRECT("L"&amp;kr)))),IF(INDIRECT("L"&amp;kr)=1,0,-1),"__NULL__")))</f>
        <v/>
      </c>
      <c r="ET35" s="126">
        <f>LET(kr,MATCH("■コマ設計",B:B,0)+7,IF(INDIRECT("D"&amp;kr)="","",IF(AND(INDIRECT("L"&amp;kr)&lt;&gt;"",INDIRECT("L"&amp;kr)&lt;&gt;"none",INDIRECT("L"&amp;kr)&lt;&gt;"error",NOT(ISBLANK(INDIRECT("L"&amp;kr)))),IF(OR(INDIRECT("AD"&amp;kr)="",ISBLANK(INDIRECT("AD"&amp;kr))),"None",INDIRECT("AD"&amp;kr)),"None")))</f>
        <v/>
      </c>
      <c r="EU35" s="126">
        <f>LET(kr,MATCH("■コマ設計",B:B,0)+7,IF(INDIRECT("D"&amp;kr)="","",IF(AND(INDIRECT("L"&amp;kr)&lt;&gt;"",INDIRECT("L"&amp;kr)&lt;&gt;"none",INDIRECT("L"&amp;kr)&lt;&gt;"error",NOT(ISBLANK(INDIRECT("L"&amp;kr)))),IF(OR(INDIRECT("AD"&amp;kr)="",ISBLANK(INDIRECT("AD"&amp;kr))),0,INDIRECT("AI"&amp;kr)),"")))</f>
        <v/>
      </c>
      <c r="EV35" s="126">
        <f>LET(kr,MATCH("■コマ設計",B:B,0)+7,IF(INDIRECT("D"&amp;kr)="","",IF(AND(INDIRECT("L"&amp;kr)&lt;&gt;"",INDIRECT("L"&amp;kr)&lt;&gt;"none",INDIRECT("L"&amp;kr)&lt;&gt;"error",NOT(ISBLANK(INDIRECT("L"&amp;kr)))),IF(OR(INDIRECT("AD"&amp;kr)="",ISBLANK(INDIRECT("AD"&amp;kr))),0,INDIRECT("AK"&amp;kr)),"")))</f>
        <v/>
      </c>
      <c r="EW35" s="126">
        <f>LET(kr,MATCH("■コマ設計",B:B,0)+7,IF(INDIRECT("D"&amp;kr)="","",IF(AND(INDIRECT("L"&amp;kr)&lt;&gt;"",INDIRECT("L"&amp;kr)&lt;&gt;"none",INDIRECT("L"&amp;kr)&lt;&gt;"error",NOT(ISBLANK(INDIRECT("L"&amp;kr)))),"All","__NULL__")))</f>
        <v/>
      </c>
      <c r="EX35" s="126">
        <f>LET(kr,MATCH("■コマ設計",B:B,0)+7,IF(INDIRECT("D"&amp;kr)="","",IF(AND(INDIRECT("L"&amp;kr)&lt;&gt;"",INDIRECT("L"&amp;kr)&lt;&gt;"none",INDIRECT("L"&amp;kr)&lt;&gt;"error",NOT(ISBLANK(INDIRECT("L"&amp;kr)))),"All","")))</f>
        <v/>
      </c>
      <c r="EY35" s="126">
        <f>LET(kr,MATCH("■コマ設計",B:B,0)+7,IF(INDIRECT("D"&amp;kr)="","",IF(AND(INDIRECT("L"&amp;kr)&lt;&gt;"",INDIRECT("L"&amp;kr)&lt;&gt;"none",INDIRECT("L"&amp;kr)&lt;&gt;"error",NOT(ISBLANK(INDIRECT("L"&amp;kr)))),"All","")))</f>
        <v/>
      </c>
      <c r="EZ35" s="126">
        <f>LET(kr,MATCH("■コマ設計",B:B,0)+7,IF(INDIRECT("D"&amp;kr)="","",IF(AND(INDIRECT("N"&amp;kr)&lt;&gt;"",INDIRECT("N"&amp;kr)&lt;&gt;"none",INDIRECT("N"&amp;kr)&lt;&gt;"error",NOT(ISBLANK(INDIRECT("N"&amp;kr)))),IFERROR(INDIRECT("R"&amp;kr),""),"")))</f>
        <v/>
      </c>
      <c r="FA35" s="126">
        <f>LET(kr,MATCH("■コマ設計",B:B,0)+7,IF(INDIRECT("D"&amp;kr)="","",IF(AND(INDIRECT("N"&amp;kr)&lt;&gt;"",INDIRECT("N"&amp;kr)&lt;&gt;"none",INDIRECT("N"&amp;kr)&lt;&gt;"error",NOT(ISBLANK(INDIRECT("N"&amp;kr)))),INDIRECT("N"&amp;kr),"")))</f>
        <v/>
      </c>
      <c r="FB35" s="126">
        <f>LET(kr,MATCH("■コマ設計",B:B,0)+7,IF(INDIRECT("D"&amp;kr)="","",IF(AND(INDIRECT("N"&amp;kr)&lt;&gt;"",INDIRECT("N"&amp;kr)&lt;&gt;"none",INDIRECT("N"&amp;kr)&lt;&gt;"error",NOT(ISBLANK(INDIRECT("N"&amp;kr)))),IF(INDIRECT("N"&amp;kr)=1,0,-1),"__NULL__")))</f>
        <v/>
      </c>
      <c r="FC35" s="126">
        <f>LET(kr,MATCH("■コマ設計",B:B,0)+7,IF(INDIRECT("D"&amp;kr)="","",IF(AND(INDIRECT("N"&amp;kr)&lt;&gt;"",INDIRECT("N"&amp;kr)&lt;&gt;"none",INDIRECT("N"&amp;kr)&lt;&gt;"error",NOT(ISBLANK(INDIRECT("N"&amp;kr)))),IF(OR(INDIRECT("AM"&amp;kr)="",ISBLANK(INDIRECT("AM"&amp;kr))),"None",INDIRECT("AM"&amp;kr)),"None")))</f>
        <v/>
      </c>
      <c r="FD35" s="126">
        <f>LET(kr,MATCH("■コマ設計",B:B,0)+7,IF(INDIRECT("D"&amp;kr)="","",IF(AND(INDIRECT("N"&amp;kr)&lt;&gt;"",INDIRECT("N"&amp;kr)&lt;&gt;"none",INDIRECT("N"&amp;kr)&lt;&gt;"error",NOT(ISBLANK(INDIRECT("N"&amp;kr)))),IF(OR(INDIRECT("AM"&amp;kr)="",ISBLANK(INDIRECT("AM"&amp;kr))),0,INDIRECT("AR"&amp;kr)),"")))</f>
        <v/>
      </c>
      <c r="FE35" s="126">
        <f>LET(kr,MATCH("■コマ設計",B:B,0)+7,IF(INDIRECT("D"&amp;kr)="","",IF(AND(INDIRECT("N"&amp;kr)&lt;&gt;"",INDIRECT("N"&amp;kr)&lt;&gt;"none",INDIRECT("N"&amp;kr)&lt;&gt;"error",NOT(ISBLANK(INDIRECT("N"&amp;kr)))),IF(OR(INDIRECT("AM"&amp;kr)="",ISBLANK(INDIRECT("AM"&amp;kr))),0,INDIRECT("AT"&amp;kr)),"")))</f>
        <v/>
      </c>
      <c r="FF35" s="126">
        <f>LET(kr,MATCH("■コマ設計",B:B,0)+7,IF(INDIRECT("D"&amp;kr)="","",IF(AND(INDIRECT("N"&amp;kr)&lt;&gt;"",INDIRECT("N"&amp;kr)&lt;&gt;"none",INDIRECT("N"&amp;kr)&lt;&gt;"error",NOT(ISBLANK(INDIRECT("N"&amp;kr)))),"All","__NULL__")))</f>
        <v/>
      </c>
      <c r="FG35" s="126">
        <f>LET(kr,MATCH("■コマ設計",B:B,0)+7,IF(INDIRECT("D"&amp;kr)="","",IF(AND(INDIRECT("N"&amp;kr)&lt;&gt;"",INDIRECT("N"&amp;kr)&lt;&gt;"none",INDIRECT("N"&amp;kr)&lt;&gt;"error",NOT(ISBLANK(INDIRECT("N"&amp;kr)))),"All","")))</f>
        <v/>
      </c>
      <c r="FH35" s="125">
        <f>LET(kr,MATCH("■コマ設計",B:B,0)+7,IF(INDIRECT("D"&amp;kr)="","",IF(AND(INDIRECT("N"&amp;kr)&lt;&gt;"",INDIRECT("N"&amp;kr)&lt;&gt;"none",INDIRECT("N"&amp;kr)&lt;&gt;"error",NOT(ISBLANK(INDIRECT("N"&amp;kr)))),"All","")))</f>
        <v/>
      </c>
      <c r="FI35" s="125">
        <f>LET(kr,MATCH("■コマ設計",B:B,0)+7,IF(INDIRECT("D"&amp;kr)="","",IF(AND(INDIRECT("P"&amp;kr)&lt;&gt;"",INDIRECT("P"&amp;kr)&lt;&gt;"none",INDIRECT("P"&amp;kr)&lt;&gt;"error",NOT(ISBLANK(INDIRECT("P"&amp;kr)))),IFERROR(INDIRECT("R"&amp;kr),""),"")))</f>
        <v/>
      </c>
      <c r="FJ35" s="125">
        <f>LET(kr,MATCH("■コマ設計",B:B,0)+7,IF(INDIRECT("D"&amp;kr)="","",IF(AND(INDIRECT("P"&amp;kr)&lt;&gt;"",INDIRECT("P"&amp;kr)&lt;&gt;"none",INDIRECT("P"&amp;kr)&lt;&gt;"error",NOT(ISBLANK(INDIRECT("P"&amp;kr)))),INDIRECT("P"&amp;kr),"")))</f>
        <v/>
      </c>
      <c r="FK35" s="125">
        <f>LET(kr,MATCH("■コマ設計",B:B,0)+7,IF(INDIRECT("D"&amp;kr)="","",IF(AND(INDIRECT("P"&amp;kr)&lt;&gt;"",INDIRECT("P"&amp;kr)&lt;&gt;"none",INDIRECT("P"&amp;kr)&lt;&gt;"error",NOT(ISBLANK(INDIRECT("P"&amp;kr)))),IF(INDIRECT("P"&amp;kr)=1,0,-1),"__NULL__")))</f>
        <v/>
      </c>
      <c r="FL35">
        <f>LET(kr,MATCH("■コマ設計",B:B,0)+7,IF(INDIRECT("D"&amp;kr)="","",IF(AND(INDIRECT("P"&amp;kr)&lt;&gt;"",INDIRECT("P"&amp;kr)&lt;&gt;"none",INDIRECT("P"&amp;kr)&lt;&gt;"error",NOT(ISBLANK(INDIRECT("P"&amp;kr)))),IF(OR(INDIRECT("AV"&amp;kr)="",ISBLANK(INDIRECT("AV"&amp;kr))),"None",INDIRECT("AV"&amp;kr)),"None")))</f>
        <v/>
      </c>
      <c r="FM35">
        <f>LET(kr,MATCH("■コマ設計",B:B,0)+7,IF(INDIRECT("D"&amp;kr)="","",IF(AND(INDIRECT("P"&amp;kr)&lt;&gt;"",INDIRECT("P"&amp;kr)&lt;&gt;"none",INDIRECT("P"&amp;kr)&lt;&gt;"error",NOT(ISBLANK(INDIRECT("P"&amp;kr)))),IF(OR(INDIRECT("AV"&amp;kr)="",ISBLANK(INDIRECT("AV"&amp;kr))),0,INDIRECT("BA"&amp;kr)),"")))</f>
        <v/>
      </c>
      <c r="FN35">
        <f>LET(kr,MATCH("■コマ設計",B:B,0)+7,IF(INDIRECT("D"&amp;kr)="","",IF(AND(INDIRECT("P"&amp;kr)&lt;&gt;"",INDIRECT("P"&amp;kr)&lt;&gt;"none",INDIRECT("P"&amp;kr)&lt;&gt;"error",NOT(ISBLANK(INDIRECT("P"&amp;kr)))),IF(OR(INDIRECT("AV"&amp;kr)="",ISBLANK(INDIRECT("AV"&amp;kr))),0,INDIRECT("BC"&amp;kr)),"")))</f>
        <v/>
      </c>
      <c r="FO35">
        <f>LET(kr,MATCH("■コマ設計",B:B,0)+7,IF(INDIRECT("D"&amp;kr)="","",IF(AND(INDIRECT("P"&amp;kr)&lt;&gt;"",INDIRECT("P"&amp;kr)&lt;&gt;"none",INDIRECT("P"&amp;kr)&lt;&gt;"error",NOT(ISBLANK(INDIRECT("P"&amp;kr)))),"All","__NULL__")))</f>
        <v/>
      </c>
      <c r="FP35">
        <f>LET(kr,MATCH("■コマ設計",B:B,0)+7,IF(INDIRECT("D"&amp;kr)="","",IF(AND(INDIRECT("P"&amp;kr)&lt;&gt;"",INDIRECT("P"&amp;kr)&lt;&gt;"none",INDIRECT("P"&amp;kr)&lt;&gt;"error",NOT(ISBLANK(INDIRECT("P"&amp;kr)))),"All","")))</f>
        <v/>
      </c>
      <c r="FQ35">
        <f>LET(kr,MATCH("■コマ設計",B:B,0)+7,IF(INDIRECT("D"&amp;kr)="","",IF(AND(INDIRECT("P"&amp;kr)&lt;&gt;"",INDIRECT("P"&amp;kr)&lt;&gt;"none",INDIRECT("P"&amp;kr)&lt;&gt;"error",NOT(ISBLANK(INDIRECT("P"&amp;kr)))),"All","")))</f>
        <v/>
      </c>
      <c r="FR35">
        <f>LET(er,MATCH("敵ゲートID",E:E,0)+1,rr,MATCH("リリースキー",N:N,0)+1,kr,MATCH("■コマ設計",B:B,0)+7,IF(INDIRECT("D"&amp;kr)="","",TEXT(INDIRECT("N"&amp;rr),"0")))</f>
        <v/>
      </c>
    </row>
    <row r="36">
      <c r="A36" s="250" t="n"/>
      <c r="B36" s="250" t="n"/>
      <c r="C36" s="250" t="n"/>
      <c r="D36" s="250" t="n"/>
      <c r="E36" s="250" t="n"/>
      <c r="F36" s="250" t="n"/>
      <c r="G36" s="250" t="n"/>
      <c r="H36" s="250" t="n"/>
      <c r="I36" s="250" t="n"/>
      <c r="J36" s="250" t="n"/>
      <c r="K36" s="250" t="n"/>
      <c r="L36" s="250" t="n"/>
      <c r="M36" s="250" t="n"/>
      <c r="N36" s="250" t="n"/>
      <c r="O36" s="250" t="n"/>
      <c r="P36" s="250" t="n"/>
      <c r="Q36" s="250" t="n"/>
      <c r="R36" s="250" t="n"/>
      <c r="S36" s="250" t="n"/>
      <c r="T36" s="250" t="n"/>
      <c r="U36" s="250" t="n"/>
      <c r="V36" s="250" t="n"/>
      <c r="W36" s="250" t="n"/>
      <c r="X36" s="250" t="n"/>
      <c r="Y36" s="250" t="n"/>
      <c r="Z36" s="250" t="n"/>
      <c r="AA36" s="250" t="n"/>
      <c r="AB36" s="250" t="n"/>
      <c r="AC36" s="250" t="n"/>
      <c r="AD36" s="250" t="n"/>
      <c r="AE36" s="250" t="n"/>
      <c r="AF36" s="250" t="n"/>
      <c r="AG36" s="250" t="n"/>
      <c r="AH36" s="250" t="n"/>
      <c r="AI36" s="250" t="n"/>
      <c r="AJ36" s="250" t="n"/>
      <c r="AK36" s="250" t="n"/>
      <c r="AL36" s="250" t="n"/>
      <c r="AM36" s="250" t="n"/>
      <c r="AN36" s="250" t="n"/>
      <c r="AO36" s="250" t="n"/>
      <c r="AP36" s="250" t="n"/>
      <c r="AQ36" s="250" t="n"/>
      <c r="AR36" s="250" t="n"/>
      <c r="AS36" s="250" t="n"/>
      <c r="AT36" s="250" t="n"/>
      <c r="AU36" s="250" t="n"/>
      <c r="AV36" s="250" t="n"/>
      <c r="AW36" s="250" t="n"/>
      <c r="AX36" s="250" t="n"/>
      <c r="AY36" s="250" t="n"/>
      <c r="AZ36" s="250" t="n"/>
      <c r="BA36" s="250" t="n"/>
      <c r="BB36" s="250" t="n"/>
      <c r="BC36" s="250" t="n"/>
      <c r="BD36" s="250" t="n"/>
      <c r="BE36" s="250" t="n"/>
      <c r="BF36" s="250" t="n"/>
      <c r="BG36" s="250" t="n"/>
      <c r="BH36" s="250" t="n"/>
      <c r="BI36" s="250" t="n"/>
      <c r="BJ36" s="250" t="n"/>
      <c r="BK36" s="250" t="n"/>
      <c r="BL36" s="250" t="n"/>
      <c r="BM36" s="250" t="n"/>
      <c r="BN36" s="250" t="n"/>
      <c r="BO36" s="250" t="n"/>
      <c r="BP36" s="250" t="n"/>
      <c r="BQ36" s="250" t="n"/>
      <c r="BR36" s="250" t="n"/>
      <c r="BS36" s="250" t="n"/>
      <c r="BT36" s="250" t="n"/>
      <c r="BU36" s="250" t="n"/>
      <c r="BV36" s="250" t="n"/>
      <c r="BW36" s="250" t="n"/>
      <c r="BX36" s="250" t="n"/>
      <c r="BY36" s="250" t="n"/>
      <c r="BZ36" s="250" t="n"/>
      <c r="CA36" s="250" t="n"/>
      <c r="CB36" s="250" t="n"/>
      <c r="CC36" s="250" t="n"/>
      <c r="CD36" s="250" t="n"/>
      <c r="CE36" s="250" t="n"/>
      <c r="CF36" s="250" t="n"/>
      <c r="CG36" s="250" t="n"/>
      <c r="CH36" s="250" t="n"/>
      <c r="CI36" s="250" t="n"/>
      <c r="CJ36" s="250" t="n"/>
      <c r="CK36" s="250" t="n"/>
      <c r="CL36" s="250" t="n"/>
      <c r="CM36" s="250" t="n"/>
      <c r="CN36" s="250" t="n"/>
      <c r="CO36" s="250" t="n"/>
      <c r="CP36" s="250" t="n"/>
      <c r="CQ36" s="250" t="n"/>
      <c r="CR36" s="250" t="n"/>
      <c r="CS36" s="250" t="n"/>
      <c r="CT36" s="250" t="n"/>
      <c r="CU36" s="250" t="n"/>
      <c r="CV36" s="250" t="n"/>
      <c r="CW36" s="250" t="n"/>
      <c r="CX36" s="250" t="n"/>
      <c r="CY36" s="250" t="n"/>
      <c r="CZ36" s="250" t="n"/>
      <c r="DA36" s="250" t="n"/>
      <c r="DB36" s="250" t="n"/>
      <c r="DC36" s="250" t="n"/>
      <c r="DD36" s="250" t="n"/>
      <c r="DE36" s="250" t="n"/>
      <c r="DF36" s="250" t="n"/>
      <c r="DG36" s="250" t="n"/>
      <c r="DH36" s="250" t="n"/>
      <c r="DI36" s="250" t="n"/>
      <c r="DJ36" s="250" t="n"/>
      <c r="DK36" s="250" t="n"/>
      <c r="DL36" s="250" t="n"/>
      <c r="DM36" s="250" t="n"/>
      <c r="DN36" s="250" t="n"/>
      <c r="DO36" s="250" t="n"/>
      <c r="DP36" s="250" t="n"/>
      <c r="DQ36" s="250" t="n"/>
      <c r="DR36" s="250" t="n"/>
      <c r="DS36" s="250" t="n"/>
      <c r="DT36" s="250" t="n"/>
      <c r="DU36" s="250" t="n"/>
      <c r="DV36" s="250" t="n"/>
      <c r="DW36" s="250" t="n"/>
      <c r="DX36" s="250" t="n"/>
      <c r="DY36" s="250" t="n"/>
      <c r="DZ36" s="250" t="n"/>
      <c r="EA36" s="160" t="n"/>
      <c r="EB36" s="125" t="n"/>
      <c r="EC36" s="126" t="n"/>
      <c r="ED36" s="126" t="n"/>
      <c r="EE36" s="126" t="n"/>
      <c r="EF36" s="126" t="n"/>
      <c r="EG36" s="126" t="n"/>
      <c r="EH36" s="126" t="n"/>
      <c r="EI36" s="126" t="n"/>
      <c r="EJ36" s="126" t="n"/>
      <c r="EK36" s="126" t="n"/>
      <c r="EL36" s="126" t="n"/>
      <c r="EM36" s="126" t="n"/>
      <c r="EN36" s="126" t="n"/>
      <c r="EO36" s="126" t="n"/>
      <c r="EP36" s="126" t="n"/>
      <c r="EQ36" s="126" t="n"/>
      <c r="ER36" s="126" t="n"/>
      <c r="ES36" s="126" t="n"/>
      <c r="ET36" s="126" t="n"/>
      <c r="EU36" s="126" t="n"/>
      <c r="EV36" s="126" t="n"/>
      <c r="EW36" s="126" t="n"/>
      <c r="EX36" s="126" t="n"/>
      <c r="EY36" s="126" t="n"/>
      <c r="EZ36" s="126" t="n"/>
      <c r="FA36" s="126" t="n"/>
      <c r="FB36" s="126" t="n"/>
      <c r="FC36" s="126" t="n"/>
      <c r="FD36" s="126" t="n"/>
      <c r="FE36" s="126" t="n"/>
      <c r="FF36" s="126" t="n"/>
      <c r="FG36" s="126" t="n"/>
      <c r="FH36" s="125" t="n"/>
      <c r="FI36" s="125" t="n"/>
      <c r="FJ36" s="125" t="n"/>
      <c r="FK36" s="125" t="n"/>
    </row>
    <row r="37">
      <c r="A37" s="334" t="n"/>
      <c r="B37" s="522" t="inlineStr">
        <is>
          <t>行数</t>
        </is>
      </c>
      <c r="C37" s="485" t="n"/>
      <c r="D37" s="185" t="inlineStr">
        <is>
          <t>行パターンID</t>
        </is>
      </c>
      <c r="E37" s="484" t="n"/>
      <c r="F37" s="522" t="inlineStr">
        <is>
          <t>コマ数</t>
        </is>
      </c>
      <c r="G37" s="485" t="n"/>
      <c r="H37" s="185" t="inlineStr">
        <is>
          <t>コマ高さ</t>
        </is>
      </c>
      <c r="I37" s="484" t="n"/>
      <c r="J37" s="185" t="inlineStr">
        <is>
          <t>コマ幅1</t>
        </is>
      </c>
      <c r="K37" s="484" t="n"/>
      <c r="L37" s="185" t="inlineStr">
        <is>
          <t>コマ幅2</t>
        </is>
      </c>
      <c r="M37" s="484" t="n"/>
      <c r="N37" s="185" t="inlineStr">
        <is>
          <t>コマ幅3</t>
        </is>
      </c>
      <c r="O37" s="484" t="n"/>
      <c r="P37" s="185" t="inlineStr">
        <is>
          <t>コマ幅4</t>
        </is>
      </c>
      <c r="Q37" s="484" t="n"/>
      <c r="R37" s="185" t="inlineStr">
        <is>
          <t>コマ背景</t>
        </is>
      </c>
      <c r="S37" s="484" t="n"/>
      <c r="T37" s="334" t="n"/>
      <c r="U37" s="148" t="inlineStr">
        <is>
          <t>コマ効果1</t>
        </is>
      </c>
      <c r="V37" s="484" t="n"/>
      <c r="W37" s="484" t="n"/>
      <c r="X37" s="484" t="n"/>
      <c r="Y37" s="484" t="n"/>
      <c r="Z37" s="148" t="inlineStr">
        <is>
          <t>効果時間</t>
        </is>
      </c>
      <c r="AA37" s="484" t="n"/>
      <c r="AB37" s="148" t="inlineStr">
        <is>
          <t>効果数値</t>
        </is>
      </c>
      <c r="AC37" s="484" t="n"/>
      <c r="AD37" s="186" t="inlineStr">
        <is>
          <t>コマ効果2</t>
        </is>
      </c>
      <c r="AE37" s="484" t="n"/>
      <c r="AF37" s="484" t="n"/>
      <c r="AG37" s="484" t="n"/>
      <c r="AH37" s="484" t="n"/>
      <c r="AI37" s="186" t="inlineStr">
        <is>
          <t>効果時間</t>
        </is>
      </c>
      <c r="AJ37" s="484" t="n"/>
      <c r="AK37" s="186" t="inlineStr">
        <is>
          <t>効果数値</t>
        </is>
      </c>
      <c r="AL37" s="484" t="n"/>
      <c r="AM37" s="187" t="inlineStr">
        <is>
          <t>コマ効果3</t>
        </is>
      </c>
      <c r="AN37" s="484" t="n"/>
      <c r="AO37" s="484" t="n"/>
      <c r="AP37" s="484" t="n"/>
      <c r="AQ37" s="484" t="n"/>
      <c r="AR37" s="187" t="inlineStr">
        <is>
          <t>効果時間</t>
        </is>
      </c>
      <c r="AS37" s="484" t="n"/>
      <c r="AT37" s="187" t="inlineStr">
        <is>
          <t>効果数値</t>
        </is>
      </c>
      <c r="AU37" s="484" t="n"/>
      <c r="AV37" s="189" t="inlineStr">
        <is>
          <t>コマ効果4</t>
        </is>
      </c>
      <c r="AW37" s="484" t="n"/>
      <c r="AX37" s="484" t="n"/>
      <c r="AY37" s="484" t="n"/>
      <c r="AZ37" s="484" t="n"/>
      <c r="BA37" s="189" t="inlineStr">
        <is>
          <t>効果時間</t>
        </is>
      </c>
      <c r="BB37" s="484" t="n"/>
      <c r="BC37" s="189" t="inlineStr">
        <is>
          <t>効果数値</t>
        </is>
      </c>
      <c r="BD37" s="484" t="n"/>
      <c r="BE37" s="334" t="n"/>
      <c r="BF37" s="334" t="n"/>
      <c r="BG37" s="334" t="n"/>
      <c r="BH37" s="334" t="n"/>
      <c r="BI37" s="334" t="n"/>
      <c r="BJ37" s="334" t="n"/>
      <c r="BK37" s="334" t="n"/>
      <c r="BL37" s="334" t="n"/>
      <c r="BM37" s="334" t="n"/>
      <c r="BN37" s="334" t="n"/>
      <c r="BO37" s="334" t="n"/>
      <c r="BP37" s="334" t="n"/>
      <c r="BQ37" s="334" t="n"/>
      <c r="BR37" s="334" t="n"/>
      <c r="BS37" s="334" t="n"/>
      <c r="BT37" s="334" t="n"/>
      <c r="BU37" s="334" t="n"/>
      <c r="BV37" s="334" t="n"/>
      <c r="BW37" s="334" t="n"/>
      <c r="BX37" s="334" t="n"/>
      <c r="BY37" s="334" t="n"/>
      <c r="BZ37" s="334" t="n"/>
      <c r="CA37" s="334" t="n"/>
      <c r="CB37" s="334" t="n"/>
      <c r="CC37" s="334" t="n"/>
      <c r="CD37" s="334" t="n"/>
      <c r="CE37" s="334" t="n"/>
      <c r="CF37" s="334" t="n"/>
      <c r="CG37" s="334" t="n"/>
      <c r="CH37" s="334" t="n"/>
      <c r="CI37" s="334" t="n"/>
      <c r="CJ37" s="334" t="n"/>
      <c r="CK37" s="334" t="n"/>
      <c r="CL37" s="334" t="n"/>
      <c r="CM37" s="334" t="n"/>
      <c r="CN37" s="334" t="n"/>
      <c r="CO37" s="334" t="n"/>
      <c r="CP37" s="334" t="n"/>
      <c r="CQ37" s="334" t="n"/>
      <c r="CR37" s="334" t="n"/>
      <c r="CS37" s="334" t="n"/>
      <c r="CT37" s="334" t="n"/>
      <c r="CU37" s="334" t="n"/>
      <c r="CV37" s="334" t="n"/>
      <c r="CW37" s="334" t="n"/>
      <c r="CX37" s="334" t="n"/>
      <c r="CY37" s="334" t="n"/>
      <c r="CZ37" s="334" t="n"/>
      <c r="DA37" s="334" t="n"/>
      <c r="DB37" s="334" t="n"/>
      <c r="DC37" s="334" t="n"/>
      <c r="DD37" s="334" t="n"/>
      <c r="DE37" s="334" t="n"/>
      <c r="DF37" s="334" t="n"/>
      <c r="DG37" s="334" t="n"/>
      <c r="DH37" s="334" t="n"/>
      <c r="DI37" s="334" t="n"/>
      <c r="DJ37" s="334" t="n"/>
      <c r="DK37" s="334" t="n"/>
      <c r="DL37" s="334" t="n"/>
      <c r="DM37" s="334" t="n"/>
      <c r="DN37" s="334" t="n"/>
      <c r="DO37" s="334" t="n"/>
      <c r="DP37" s="334" t="n"/>
      <c r="DQ37" s="334" t="n"/>
      <c r="DR37" s="334" t="n"/>
      <c r="DS37" s="334" t="n"/>
      <c r="DT37" s="334" t="n"/>
      <c r="DU37" s="334" t="n"/>
      <c r="DV37" s="334" t="n"/>
      <c r="DW37" s="334" t="n"/>
      <c r="DX37" s="334" t="n"/>
      <c r="DY37" s="334" t="n"/>
      <c r="DZ37" s="334" t="n"/>
      <c r="EA37" s="190" t="n"/>
      <c r="EB37" s="199" t="n"/>
      <c r="EC37" s="200" t="n"/>
      <c r="ED37" s="200" t="n"/>
      <c r="EE37" s="200" t="n"/>
      <c r="EF37" s="200" t="n"/>
      <c r="EG37" s="200" t="n"/>
      <c r="EH37" s="200" t="n"/>
      <c r="EI37" s="200" t="n"/>
      <c r="EJ37" s="200" t="n"/>
      <c r="EK37" s="200" t="n"/>
      <c r="EL37" s="200" t="n"/>
      <c r="EM37" s="200" t="n"/>
      <c r="EN37" s="200" t="n"/>
      <c r="EO37" s="200" t="n"/>
      <c r="EP37" s="200" t="n"/>
      <c r="EQ37" s="200" t="n"/>
      <c r="ER37" s="200" t="n"/>
      <c r="ES37" s="200" t="n"/>
      <c r="ET37" s="200" t="n"/>
      <c r="EU37" s="200" t="n"/>
      <c r="EV37" s="200" t="n"/>
      <c r="EW37" s="200" t="n"/>
      <c r="EX37" s="200" t="n"/>
      <c r="EY37" s="200" t="n"/>
      <c r="EZ37" s="200" t="n"/>
      <c r="FA37" s="200" t="n"/>
      <c r="FB37" s="200" t="n"/>
      <c r="FC37" s="200" t="n"/>
      <c r="FD37" s="200" t="n"/>
      <c r="FE37" s="200" t="n"/>
      <c r="FF37" s="200" t="n"/>
      <c r="FG37" s="200" t="n"/>
      <c r="FH37" s="199" t="n"/>
      <c r="FI37" s="199" t="n"/>
      <c r="FJ37" s="199" t="n"/>
      <c r="FK37" s="199" t="n"/>
    </row>
    <row r="38">
      <c r="A38" s="334" t="n"/>
      <c r="B38" s="297" t="inlineStr">
        <is>
          <t>1行目</t>
        </is>
      </c>
      <c r="C38" s="485" t="n"/>
      <c r="D38" s="196" t="n">
        <v>3</v>
      </c>
      <c r="E38" s="484" t="n"/>
      <c r="F38" s="297">
        <f>iferror(vlookup(D38,'行パターン'!$A$2:$C82,2,false),"error")</f>
        <v/>
      </c>
      <c r="G38" s="485" t="n"/>
      <c r="H38" s="297" t="n">
        <v>0.55</v>
      </c>
      <c r="I38" s="485" t="n"/>
      <c r="J38" s="297">
        <f t="array" ref="J38">iferror(INDEX('行パターン'!D:D,MATCH(D38,'行パターン'!A:A,0),0),"error")</f>
        <v/>
      </c>
      <c r="K38" s="485" t="n"/>
      <c r="L38" s="297">
        <f t="array" ref="L38">iferror(if(sum(J38)=1,"none",INDEX('行パターン'!E:E,MATCH($D38,'行パターン'!$A:$A,0),0)),"")</f>
        <v/>
      </c>
      <c r="M38" s="485" t="n"/>
      <c r="N38" s="523">
        <f t="array" ref="N38">iferror(if(sum(J38:M38)=1,"none",INDEX('行パターン'!F:F,MATCH($D38,'行パターン'!$A:$A,0),0)),"")</f>
        <v/>
      </c>
      <c r="O38" s="485" t="n"/>
      <c r="P38" s="523">
        <f t="array" ref="P38">iferror(if(sum(J38:O38)=1,"none",INDEX('行パターン'!G:G,MATCH($D38,'行パターン'!$A:$A,0),0)),"")</f>
        <v/>
      </c>
      <c r="Q38" s="485" t="n"/>
      <c r="R38" s="297" t="inlineStr">
        <is>
          <t>jig_00001</t>
        </is>
      </c>
      <c r="S38" s="485" t="n"/>
      <c r="T38" s="334" t="n"/>
      <c r="U38" s="17" t="n"/>
      <c r="V38" s="484" t="n"/>
      <c r="W38" s="484" t="n"/>
      <c r="X38" s="484" t="n"/>
      <c r="Y38" s="485" t="n"/>
      <c r="Z38" s="17" t="n"/>
      <c r="AA38" s="485" t="n"/>
      <c r="AB38" s="17" t="n"/>
      <c r="AC38" s="485" t="n"/>
      <c r="AD38" s="17" t="n"/>
      <c r="AE38" s="484" t="n"/>
      <c r="AF38" s="484" t="n"/>
      <c r="AG38" s="484" t="n"/>
      <c r="AH38" s="485" t="n"/>
      <c r="AI38" s="17" t="n"/>
      <c r="AJ38" s="485" t="n"/>
      <c r="AK38" s="17" t="n"/>
      <c r="AL38" s="485" t="n"/>
      <c r="AM38" s="17" t="n"/>
      <c r="AN38" s="484" t="n"/>
      <c r="AO38" s="484" t="n"/>
      <c r="AP38" s="484" t="n"/>
      <c r="AQ38" s="485" t="n"/>
      <c r="AR38" s="17" t="n"/>
      <c r="AS38" s="485" t="n"/>
      <c r="AT38" s="17" t="n"/>
      <c r="AU38" s="485" t="n"/>
      <c r="AV38" s="17" t="n"/>
      <c r="AW38" s="484" t="n"/>
      <c r="AX38" s="484" t="n"/>
      <c r="AY38" s="484" t="n"/>
      <c r="AZ38" s="485" t="n"/>
      <c r="BA38" s="17" t="n"/>
      <c r="BB38" s="485" t="n"/>
      <c r="BC38" s="17" t="n"/>
      <c r="BD38" s="485" t="n"/>
      <c r="BE38" s="334" t="n"/>
      <c r="BF38" s="334" t="n"/>
      <c r="BG38" s="334" t="n"/>
      <c r="BH38" s="334" t="n"/>
      <c r="BI38" s="334" t="n"/>
      <c r="BJ38" s="334" t="n"/>
      <c r="BK38" s="334" t="n"/>
      <c r="BL38" s="334" t="n"/>
      <c r="BM38" s="334" t="n"/>
      <c r="BN38" s="334" t="n"/>
      <c r="BO38" s="334" t="n"/>
      <c r="BP38" s="334" t="n"/>
      <c r="BQ38" s="334" t="n"/>
      <c r="BR38" s="334" t="n"/>
      <c r="BS38" s="334" t="n"/>
      <c r="BT38" s="334" t="n"/>
      <c r="BU38" s="334" t="n"/>
      <c r="BV38" s="334" t="n"/>
      <c r="BW38" s="334" t="n"/>
      <c r="BX38" s="334" t="n"/>
      <c r="BY38" s="334" t="n"/>
      <c r="BZ38" s="334" t="n"/>
      <c r="CA38" s="334" t="n"/>
      <c r="CB38" s="334" t="n"/>
      <c r="CC38" s="334" t="n"/>
      <c r="CD38" s="334" t="n"/>
      <c r="CE38" s="334" t="n"/>
      <c r="CF38" s="334" t="n"/>
      <c r="CG38" s="334" t="n"/>
      <c r="CH38" s="334" t="n"/>
      <c r="CI38" s="334" t="n"/>
      <c r="CJ38" s="334" t="n"/>
      <c r="CK38" s="334" t="n"/>
      <c r="CL38" s="334" t="n"/>
      <c r="CM38" s="334" t="n"/>
      <c r="CN38" s="334" t="n"/>
      <c r="CO38" s="334" t="n"/>
      <c r="CP38" s="334" t="n"/>
      <c r="CQ38" s="334" t="n"/>
      <c r="CR38" s="334" t="n"/>
      <c r="CS38" s="334" t="n"/>
      <c r="CT38" s="334" t="n"/>
      <c r="CU38" s="334" t="n"/>
      <c r="CV38" s="334" t="n"/>
      <c r="CW38" s="334" t="n"/>
      <c r="CX38" s="334" t="n"/>
      <c r="CY38" s="334" t="n"/>
      <c r="CZ38" s="334" t="n"/>
      <c r="DA38" s="334" t="n"/>
      <c r="DB38" s="334" t="n"/>
      <c r="DC38" s="334" t="n"/>
      <c r="DD38" s="334" t="n"/>
      <c r="DE38" s="334" t="n"/>
      <c r="DF38" s="334" t="n"/>
      <c r="DG38" s="334" t="n"/>
      <c r="DH38" s="334" t="n"/>
      <c r="DI38" s="334" t="n"/>
      <c r="DJ38" s="334" t="n"/>
      <c r="DK38" s="334" t="n"/>
      <c r="DL38" s="334" t="n"/>
      <c r="DM38" s="334" t="n"/>
      <c r="DN38" s="334" t="n"/>
      <c r="DO38" s="334" t="n"/>
      <c r="DP38" s="334" t="n"/>
      <c r="DQ38" s="334" t="n"/>
      <c r="DR38" s="334" t="n"/>
      <c r="DS38" s="334" t="n"/>
      <c r="DT38" s="334" t="n"/>
      <c r="DU38" s="334" t="n"/>
      <c r="DV38" s="334" t="n"/>
      <c r="DW38" s="334" t="n"/>
      <c r="DX38" s="334" t="n"/>
      <c r="DY38" s="334" t="n"/>
      <c r="DZ38" s="334" t="n"/>
      <c r="EA38" s="190" t="n"/>
      <c r="EB38" s="199" t="n"/>
      <c r="EC38" s="200" t="n"/>
      <c r="ED38" s="200" t="n"/>
      <c r="EE38" s="200" t="n"/>
      <c r="EF38" s="200" t="n"/>
      <c r="EG38" s="200" t="n"/>
      <c r="EH38" s="200" t="n"/>
      <c r="EI38" s="200" t="n"/>
      <c r="EJ38" s="200" t="n"/>
      <c r="EK38" s="200" t="n"/>
      <c r="EL38" s="200" t="n"/>
      <c r="EM38" s="200" t="n"/>
      <c r="EN38" s="200" t="n"/>
      <c r="EO38" s="200" t="n"/>
      <c r="EP38" s="200" t="n"/>
      <c r="EQ38" s="200" t="n"/>
      <c r="ER38" s="200" t="n"/>
      <c r="ES38" s="200" t="n"/>
      <c r="ET38" s="200" t="n"/>
      <c r="EU38" s="200" t="n"/>
      <c r="EV38" s="200" t="n"/>
      <c r="EW38" s="200" t="n"/>
      <c r="EX38" s="200" t="n"/>
      <c r="EY38" s="200" t="n"/>
      <c r="EZ38" s="200" t="n"/>
      <c r="FA38" s="200" t="n"/>
      <c r="FB38" s="200" t="n"/>
      <c r="FC38" s="200" t="n"/>
      <c r="FD38" s="200" t="n"/>
      <c r="FE38" s="200" t="n"/>
      <c r="FF38" s="200" t="n"/>
      <c r="FG38" s="200" t="n"/>
      <c r="FH38" s="199" t="n"/>
      <c r="FI38" s="199" t="n"/>
      <c r="FJ38" s="199" t="n"/>
      <c r="FK38" s="199" t="n"/>
    </row>
    <row r="39">
      <c r="A39" s="334" t="n"/>
      <c r="B39" s="297" t="inlineStr">
        <is>
          <t>2行目</t>
        </is>
      </c>
      <c r="C39" s="485" t="n"/>
      <c r="D39" s="196" t="n">
        <v>1</v>
      </c>
      <c r="E39" s="484" t="n"/>
      <c r="F39" s="297">
        <f>iferror(vlookup(D39,'行パターン'!$A$2:$C82,2,false),"error")</f>
        <v/>
      </c>
      <c r="G39" s="485" t="n"/>
      <c r="H39" s="297" t="n">
        <v>0.55</v>
      </c>
      <c r="I39" s="485" t="n"/>
      <c r="J39" s="297">
        <f t="array" ref="J39">iferror(INDEX('行パターン'!D:D,MATCH(D39,'行パターン'!A:A,0),0),"error")</f>
        <v/>
      </c>
      <c r="K39" s="485" t="n"/>
      <c r="L39" s="523">
        <f t="array" ref="L39">iferror(if(sum(J39)=1,"none",INDEX('行パターン'!E:E,MATCH($D39,'行パターン'!$A:$A,0),0)),"")</f>
        <v/>
      </c>
      <c r="M39" s="485" t="n"/>
      <c r="N39" s="523">
        <f t="array" ref="N39">iferror(if(sum(J39:M39)=1,"none",INDEX('行パターン'!F:F,MATCH($D39,'行パターン'!$A:$A,0),0)),"")</f>
        <v/>
      </c>
      <c r="O39" s="485" t="n"/>
      <c r="P39" s="523">
        <f t="array" ref="P39">iferror(if(sum(J39:O39)=1,"none",INDEX('行パターン'!G:G,MATCH($D39,'行パターン'!$A:$A,0),0)),"")</f>
        <v/>
      </c>
      <c r="Q39" s="485" t="n"/>
      <c r="R39" s="297" t="inlineStr">
        <is>
          <t>jig_00001</t>
        </is>
      </c>
      <c r="S39" s="485" t="n"/>
      <c r="T39" s="334" t="n"/>
      <c r="U39" s="17" t="n"/>
      <c r="V39" s="484" t="n"/>
      <c r="W39" s="484" t="n"/>
      <c r="X39" s="484" t="n"/>
      <c r="Y39" s="485" t="n"/>
      <c r="Z39" s="17" t="n"/>
      <c r="AA39" s="485" t="n"/>
      <c r="AB39" s="17" t="n"/>
      <c r="AC39" s="485" t="n"/>
      <c r="AD39" s="17" t="n"/>
      <c r="AE39" s="484" t="n"/>
      <c r="AF39" s="484" t="n"/>
      <c r="AG39" s="484" t="n"/>
      <c r="AH39" s="485" t="n"/>
      <c r="AI39" s="17" t="n"/>
      <c r="AJ39" s="485" t="n"/>
      <c r="AK39" s="17" t="n"/>
      <c r="AL39" s="485" t="n"/>
      <c r="AM39" s="17" t="n"/>
      <c r="AN39" s="484" t="n"/>
      <c r="AO39" s="484" t="n"/>
      <c r="AP39" s="484" t="n"/>
      <c r="AQ39" s="485" t="n"/>
      <c r="AR39" s="17" t="n"/>
      <c r="AS39" s="485" t="n"/>
      <c r="AT39" s="17" t="n"/>
      <c r="AU39" s="485" t="n"/>
      <c r="AV39" s="17" t="n"/>
      <c r="AW39" s="484" t="n"/>
      <c r="AX39" s="484" t="n"/>
      <c r="AY39" s="484" t="n"/>
      <c r="AZ39" s="485" t="n"/>
      <c r="BA39" s="17" t="n"/>
      <c r="BB39" s="485" t="n"/>
      <c r="BC39" s="17" t="n"/>
      <c r="BD39" s="485" t="n"/>
      <c r="BE39" s="334" t="n"/>
      <c r="BF39" s="334" t="n"/>
      <c r="BG39" s="334" t="n"/>
      <c r="BH39" s="334" t="n"/>
      <c r="BI39" s="334" t="n"/>
      <c r="BJ39" s="334" t="n"/>
      <c r="BK39" s="334" t="n"/>
      <c r="BL39" s="334" t="n"/>
      <c r="BM39" s="334" t="n"/>
      <c r="BN39" s="334" t="n"/>
      <c r="BO39" s="334" t="n"/>
      <c r="BP39" s="334" t="n"/>
      <c r="BQ39" s="334" t="n"/>
      <c r="BR39" s="334" t="n"/>
      <c r="BS39" s="334" t="n"/>
      <c r="BT39" s="334" t="n"/>
      <c r="BU39" s="334" t="n"/>
      <c r="BV39" s="334" t="n"/>
      <c r="BW39" s="334" t="n"/>
      <c r="BX39" s="334" t="n"/>
      <c r="BY39" s="334" t="n"/>
      <c r="BZ39" s="334" t="n"/>
      <c r="CA39" s="334" t="n"/>
      <c r="CB39" s="334" t="n"/>
      <c r="CC39" s="334" t="n"/>
      <c r="CD39" s="334" t="n"/>
      <c r="CE39" s="334" t="n"/>
      <c r="CF39" s="334" t="n"/>
      <c r="CG39" s="334" t="n"/>
      <c r="CH39" s="334" t="n"/>
      <c r="CI39" s="334" t="n"/>
      <c r="CJ39" s="334" t="n"/>
      <c r="CK39" s="334" t="n"/>
      <c r="CL39" s="334" t="n"/>
      <c r="CM39" s="334" t="n"/>
      <c r="CN39" s="334" t="n"/>
      <c r="CO39" s="334" t="n"/>
      <c r="CP39" s="334" t="n"/>
      <c r="CQ39" s="334" t="n"/>
      <c r="CR39" s="334" t="n"/>
      <c r="CS39" s="334" t="n"/>
      <c r="CT39" s="334" t="n"/>
      <c r="CU39" s="334" t="n"/>
      <c r="CV39" s="334" t="n"/>
      <c r="CW39" s="334" t="n"/>
      <c r="CX39" s="334" t="n"/>
      <c r="CY39" s="334" t="n"/>
      <c r="CZ39" s="334" t="n"/>
      <c r="DA39" s="334" t="n"/>
      <c r="DB39" s="334" t="n"/>
      <c r="DC39" s="334" t="n"/>
      <c r="DD39" s="334" t="n"/>
      <c r="DE39" s="334" t="n"/>
      <c r="DF39" s="334" t="n"/>
      <c r="DG39" s="334" t="n"/>
      <c r="DH39" s="334" t="n"/>
      <c r="DI39" s="334" t="n"/>
      <c r="DJ39" s="334" t="n"/>
      <c r="DK39" s="334" t="n"/>
      <c r="DL39" s="334" t="n"/>
      <c r="DM39" s="334" t="n"/>
      <c r="DN39" s="334" t="n"/>
      <c r="DO39" s="334" t="n"/>
      <c r="DP39" s="334" t="n"/>
      <c r="DQ39" s="334" t="n"/>
      <c r="DR39" s="334" t="n"/>
      <c r="DS39" s="334" t="n"/>
      <c r="DT39" s="334" t="n"/>
      <c r="DU39" s="334" t="n"/>
      <c r="DV39" s="334" t="n"/>
      <c r="DW39" s="334" t="n"/>
      <c r="DX39" s="334" t="n"/>
      <c r="DY39" s="334" t="n"/>
      <c r="DZ39" s="334" t="n"/>
      <c r="EA39" s="190" t="n"/>
      <c r="EB39" s="199" t="n"/>
      <c r="EC39" s="200" t="n"/>
      <c r="ED39" s="200" t="n"/>
      <c r="EE39" s="200" t="n"/>
      <c r="EF39" s="200" t="n"/>
      <c r="EG39" s="200" t="n"/>
      <c r="EH39" s="200" t="n"/>
      <c r="EI39" s="200" t="n"/>
      <c r="EJ39" s="200" t="n"/>
      <c r="EK39" s="200" t="n"/>
      <c r="EL39" s="200" t="n"/>
      <c r="EM39" s="200" t="n"/>
      <c r="EN39" s="200" t="n"/>
      <c r="EO39" s="200" t="n"/>
      <c r="EP39" s="200" t="n"/>
      <c r="EQ39" s="200" t="n"/>
      <c r="ER39" s="200" t="n"/>
      <c r="ES39" s="200" t="n"/>
      <c r="ET39" s="200" t="n"/>
      <c r="EU39" s="200" t="n"/>
      <c r="EV39" s="200" t="n"/>
      <c r="EW39" s="200" t="n"/>
      <c r="EX39" s="200" t="n"/>
      <c r="EY39" s="200" t="n"/>
      <c r="EZ39" s="200" t="n"/>
      <c r="FA39" s="200" t="n"/>
      <c r="FB39" s="200" t="n"/>
      <c r="FC39" s="200" t="n"/>
      <c r="FD39" s="200" t="n"/>
      <c r="FE39" s="200" t="n"/>
      <c r="FF39" s="200" t="n"/>
      <c r="FG39" s="200" t="n"/>
      <c r="FH39" s="199" t="n"/>
      <c r="FI39" s="199" t="n"/>
      <c r="FJ39" s="199" t="n"/>
      <c r="FK39" s="199" t="n"/>
    </row>
    <row r="40">
      <c r="A40" s="334" t="n"/>
      <c r="B40" s="297" t="inlineStr">
        <is>
          <t>3行目</t>
        </is>
      </c>
      <c r="C40" s="485" t="n"/>
      <c r="D40" s="196" t="n">
        <v>3</v>
      </c>
      <c r="E40" s="484" t="n"/>
      <c r="F40" s="297">
        <f>iferror(vlookup(D40,'行パターン'!$A$2:$C82,2,false)," ")</f>
        <v/>
      </c>
      <c r="G40" s="485" t="n"/>
      <c r="H40" s="297" t="n">
        <v>0.55</v>
      </c>
      <c r="I40" s="485" t="n"/>
      <c r="J40" s="297">
        <f t="array" ref="J40">iferror(INDEX('行パターン'!D:D,MATCH(D40,'行パターン'!A:A,0),0)," ")</f>
        <v/>
      </c>
      <c r="K40" s="485" t="n"/>
      <c r="L40" s="297">
        <f t="array" ref="L40">iferror(if(sum(J40)=1,"none",INDEX('行パターン'!E:E,MATCH($D40,'行パターン'!$A:$A,0),0)),"")</f>
        <v/>
      </c>
      <c r="M40" s="485" t="n"/>
      <c r="N40" s="523">
        <f t="array" ref="N40">iferror(if(sum(J40:M40)=1,"none",INDEX('行パターン'!F:F,MATCH($D40,'行パターン'!$A:$A,0),0)),"")</f>
        <v/>
      </c>
      <c r="O40" s="485" t="n"/>
      <c r="P40" s="523">
        <f t="array" ref="P40">iferror(if(sum(J40:O40)=1,"none",INDEX('行パターン'!G:G,MATCH($D40,'行パターン'!$A:$A,0),0)),"")</f>
        <v/>
      </c>
      <c r="Q40" s="485" t="n"/>
      <c r="R40" s="297" t="inlineStr">
        <is>
          <t>jig_00001</t>
        </is>
      </c>
      <c r="S40" s="485" t="n"/>
      <c r="T40" s="334" t="n"/>
      <c r="U40" s="17" t="n"/>
      <c r="V40" s="484" t="n"/>
      <c r="W40" s="484" t="n"/>
      <c r="X40" s="484" t="n"/>
      <c r="Y40" s="485" t="n"/>
      <c r="Z40" s="17" t="n"/>
      <c r="AA40" s="485" t="n"/>
      <c r="AB40" s="17" t="n"/>
      <c r="AC40" s="485" t="n"/>
      <c r="AD40" s="17" t="n"/>
      <c r="AE40" s="484" t="n"/>
      <c r="AF40" s="484" t="n"/>
      <c r="AG40" s="484" t="n"/>
      <c r="AH40" s="485" t="n"/>
      <c r="AI40" s="17" t="n"/>
      <c r="AJ40" s="485" t="n"/>
      <c r="AK40" s="17" t="n"/>
      <c r="AL40" s="485" t="n"/>
      <c r="AM40" s="17" t="n"/>
      <c r="AN40" s="484" t="n"/>
      <c r="AO40" s="484" t="n"/>
      <c r="AP40" s="484" t="n"/>
      <c r="AQ40" s="485" t="n"/>
      <c r="AR40" s="17" t="n"/>
      <c r="AS40" s="485" t="n"/>
      <c r="AT40" s="17" t="n"/>
      <c r="AU40" s="485" t="n"/>
      <c r="AV40" s="17" t="n"/>
      <c r="AW40" s="484" t="n"/>
      <c r="AX40" s="484" t="n"/>
      <c r="AY40" s="484" t="n"/>
      <c r="AZ40" s="485" t="n"/>
      <c r="BA40" s="17" t="n"/>
      <c r="BB40" s="485" t="n"/>
      <c r="BC40" s="17" t="n"/>
      <c r="BD40" s="485" t="n"/>
      <c r="BE40" s="334" t="n"/>
      <c r="BF40" s="334" t="n"/>
      <c r="BG40" s="334" t="n"/>
      <c r="BH40" s="334" t="n"/>
      <c r="BI40" s="334" t="n"/>
      <c r="BJ40" s="334" t="n"/>
      <c r="BK40" s="334" t="n"/>
      <c r="BL40" s="334" t="n"/>
      <c r="BM40" s="334" t="n"/>
      <c r="BN40" s="334" t="n"/>
      <c r="BO40" s="334" t="n"/>
      <c r="BP40" s="334" t="n"/>
      <c r="BQ40" s="334" t="n"/>
      <c r="BR40" s="334" t="n"/>
      <c r="BS40" s="334" t="n"/>
      <c r="BT40" s="334" t="n"/>
      <c r="BU40" s="334" t="n"/>
      <c r="BV40" s="334" t="n"/>
      <c r="BW40" s="334" t="n"/>
      <c r="BX40" s="334" t="n"/>
      <c r="BY40" s="334" t="n"/>
      <c r="BZ40" s="334" t="n"/>
      <c r="CA40" s="334" t="n"/>
      <c r="CB40" s="334" t="n"/>
      <c r="CC40" s="334" t="n"/>
      <c r="CD40" s="334" t="n"/>
      <c r="CE40" s="334" t="n"/>
      <c r="CF40" s="334" t="n"/>
      <c r="CG40" s="334" t="n"/>
      <c r="CH40" s="334" t="n"/>
      <c r="CI40" s="334" t="n"/>
      <c r="CJ40" s="334" t="n"/>
      <c r="CK40" s="334" t="n"/>
      <c r="CL40" s="334" t="n"/>
      <c r="CM40" s="334" t="n"/>
      <c r="CN40" s="334" t="n"/>
      <c r="CO40" s="334" t="n"/>
      <c r="CP40" s="334" t="n"/>
      <c r="CQ40" s="334" t="n"/>
      <c r="CR40" s="334" t="n"/>
      <c r="CS40" s="334" t="n"/>
      <c r="CT40" s="334" t="n"/>
      <c r="CU40" s="334" t="n"/>
      <c r="CV40" s="334" t="n"/>
      <c r="CW40" s="334" t="n"/>
      <c r="CX40" s="334" t="n"/>
      <c r="CY40" s="334" t="n"/>
      <c r="CZ40" s="334" t="n"/>
      <c r="DA40" s="334" t="n"/>
      <c r="DB40" s="334" t="n"/>
      <c r="DC40" s="334" t="n"/>
      <c r="DD40" s="334" t="n"/>
      <c r="DE40" s="334" t="n"/>
      <c r="DF40" s="334" t="n"/>
      <c r="DG40" s="334" t="n"/>
      <c r="DH40" s="334" t="n"/>
      <c r="DI40" s="334" t="n"/>
      <c r="DJ40" s="334" t="n"/>
      <c r="DK40" s="334" t="n"/>
      <c r="DL40" s="334" t="n"/>
      <c r="DM40" s="334" t="n"/>
      <c r="DN40" s="334" t="n"/>
      <c r="DO40" s="334" t="n"/>
      <c r="DP40" s="334" t="n"/>
      <c r="DQ40" s="334" t="n"/>
      <c r="DR40" s="334" t="n"/>
      <c r="DS40" s="334" t="n"/>
      <c r="DT40" s="334" t="n"/>
      <c r="DU40" s="334" t="n"/>
      <c r="DV40" s="334" t="n"/>
      <c r="DW40" s="334" t="n"/>
      <c r="DX40" s="334" t="n"/>
      <c r="DY40" s="334" t="n"/>
      <c r="DZ40" s="334" t="n"/>
      <c r="EA40" s="190" t="n"/>
      <c r="EB40" s="199" t="n"/>
      <c r="EC40" s="200" t="n"/>
      <c r="ED40" s="200" t="n"/>
      <c r="EE40" s="200" t="n"/>
      <c r="EF40" s="200" t="n"/>
      <c r="EG40" s="200" t="n"/>
      <c r="EH40" s="200" t="n"/>
      <c r="EI40" s="200" t="n"/>
      <c r="EJ40" s="200" t="n"/>
      <c r="EK40" s="200" t="n"/>
      <c r="EL40" s="200" t="n"/>
      <c r="EM40" s="200" t="n"/>
      <c r="EN40" s="200" t="n"/>
      <c r="EO40" s="200" t="n"/>
      <c r="EP40" s="200" t="n"/>
      <c r="EQ40" s="200" t="n"/>
      <c r="ER40" s="200" t="n"/>
      <c r="ES40" s="200" t="n"/>
      <c r="ET40" s="200" t="n"/>
      <c r="EU40" s="200" t="n"/>
      <c r="EV40" s="200" t="n"/>
      <c r="EW40" s="200" t="n"/>
      <c r="EX40" s="200" t="n"/>
      <c r="EY40" s="200" t="n"/>
      <c r="EZ40" s="200" t="n"/>
      <c r="FA40" s="200" t="n"/>
      <c r="FB40" s="200" t="n"/>
      <c r="FC40" s="200" t="n"/>
      <c r="FD40" s="200" t="n"/>
      <c r="FE40" s="200" t="n"/>
      <c r="FF40" s="200" t="n"/>
      <c r="FG40" s="200" t="n"/>
      <c r="FH40" s="199" t="n"/>
      <c r="FI40" s="199" t="n"/>
      <c r="FJ40" s="199" t="n"/>
      <c r="FK40" s="199" t="n"/>
    </row>
    <row r="41">
      <c r="A41" s="334" t="n"/>
      <c r="B41" s="297" t="inlineStr">
        <is>
          <t>4行目</t>
        </is>
      </c>
      <c r="C41" s="485" t="n"/>
      <c r="D41" s="196" t="n"/>
      <c r="E41" s="484" t="n"/>
      <c r="F41" s="297" t="n"/>
      <c r="G41" s="485" t="n"/>
      <c r="H41" s="297" t="n"/>
      <c r="I41" s="485" t="n"/>
      <c r="J41" s="297">
        <f t="array" ref="J41">iferror(INDEX('行パターン'!D:D,MATCH(D41,'行パターン'!A:A,0),0)," ")</f>
        <v/>
      </c>
      <c r="K41" s="485" t="n"/>
      <c r="L41" s="297">
        <f t="array" ref="L41">iferror(if(sum(J41)=1,"none",INDEX('行パターン'!E:E,MATCH($D41,'行パターン'!$A:$A,0),0)),"")</f>
        <v/>
      </c>
      <c r="M41" s="485" t="n"/>
      <c r="N41" s="523">
        <f t="array" ref="N41">iferror(if(sum(J41:M41)=1,"none",INDEX('行パターン'!F:F,MATCH($D41,'行パターン'!$A:$A,0),0)),"")</f>
        <v/>
      </c>
      <c r="O41" s="485" t="n"/>
      <c r="P41" s="523">
        <f t="array" ref="P41">iferror(if(sum(J41:O41)=1,"none",INDEX('行パターン'!G:G,MATCH($D41,'行パターン'!$A:$A,0),0)),"")</f>
        <v/>
      </c>
      <c r="Q41" s="485" t="n"/>
      <c r="R41" s="297" t="n"/>
      <c r="S41" s="485" t="n"/>
      <c r="T41" s="334" t="n"/>
      <c r="U41" s="17" t="n"/>
      <c r="V41" s="484" t="n"/>
      <c r="W41" s="484" t="n"/>
      <c r="X41" s="484" t="n"/>
      <c r="Y41" s="485" t="n"/>
      <c r="Z41" s="17" t="n"/>
      <c r="AA41" s="485" t="n"/>
      <c r="AB41" s="17" t="n"/>
      <c r="AC41" s="485" t="n"/>
      <c r="AD41" s="17" t="n"/>
      <c r="AE41" s="484" t="n"/>
      <c r="AF41" s="484" t="n"/>
      <c r="AG41" s="484" t="n"/>
      <c r="AH41" s="485" t="n"/>
      <c r="AI41" s="17" t="n"/>
      <c r="AJ41" s="485" t="n"/>
      <c r="AK41" s="17" t="n"/>
      <c r="AL41" s="485" t="n"/>
      <c r="AM41" s="17" t="n"/>
      <c r="AN41" s="484" t="n"/>
      <c r="AO41" s="484" t="n"/>
      <c r="AP41" s="484" t="n"/>
      <c r="AQ41" s="485" t="n"/>
      <c r="AR41" s="17" t="n"/>
      <c r="AS41" s="485" t="n"/>
      <c r="AT41" s="17" t="n"/>
      <c r="AU41" s="485" t="n"/>
      <c r="AV41" s="17" t="n"/>
      <c r="AW41" s="484" t="n"/>
      <c r="AX41" s="484" t="n"/>
      <c r="AY41" s="484" t="n"/>
      <c r="AZ41" s="485" t="n"/>
      <c r="BA41" s="17" t="n"/>
      <c r="BB41" s="485" t="n"/>
      <c r="BC41" s="17" t="n"/>
      <c r="BD41" s="485" t="n"/>
      <c r="BE41" s="334" t="n"/>
      <c r="BF41" s="334" t="n"/>
      <c r="BG41" s="334" t="n"/>
      <c r="BH41" s="334" t="n"/>
      <c r="BI41" s="334" t="n"/>
      <c r="BJ41" s="334" t="n"/>
      <c r="BK41" s="334" t="n"/>
      <c r="BL41" s="334" t="n"/>
      <c r="BM41" s="334" t="n"/>
      <c r="BN41" s="334" t="n"/>
      <c r="BO41" s="334" t="n"/>
      <c r="BP41" s="334" t="n"/>
      <c r="BQ41" s="334" t="n"/>
      <c r="BR41" s="334" t="n"/>
      <c r="BS41" s="334" t="n"/>
      <c r="BT41" s="334" t="n"/>
      <c r="BU41" s="334" t="n"/>
      <c r="BV41" s="334" t="n"/>
      <c r="BW41" s="334" t="n"/>
      <c r="BX41" s="334" t="n"/>
      <c r="BY41" s="334" t="n"/>
      <c r="BZ41" s="334" t="n"/>
      <c r="CA41" s="334" t="n"/>
      <c r="CB41" s="334" t="n"/>
      <c r="CC41" s="334" t="n"/>
      <c r="CD41" s="334" t="n"/>
      <c r="CE41" s="334" t="n"/>
      <c r="CF41" s="334" t="n"/>
      <c r="CG41" s="334" t="n"/>
      <c r="CH41" s="334" t="n"/>
      <c r="CI41" s="334" t="n"/>
      <c r="CJ41" s="334" t="n"/>
      <c r="CK41" s="334" t="n"/>
      <c r="CL41" s="334" t="n"/>
      <c r="CM41" s="334" t="n"/>
      <c r="CN41" s="334" t="n"/>
      <c r="CO41" s="334" t="n"/>
      <c r="CP41" s="334" t="n"/>
      <c r="CQ41" s="334" t="n"/>
      <c r="CR41" s="334" t="n"/>
      <c r="CS41" s="334" t="n"/>
      <c r="CT41" s="334" t="n"/>
      <c r="CU41" s="334" t="n"/>
      <c r="CV41" s="334" t="n"/>
      <c r="CW41" s="334" t="n"/>
      <c r="CX41" s="334" t="n"/>
      <c r="CY41" s="334" t="n"/>
      <c r="CZ41" s="334" t="n"/>
      <c r="DA41" s="334" t="n"/>
      <c r="DB41" s="334" t="n"/>
      <c r="DC41" s="334" t="n"/>
      <c r="DD41" s="334" t="n"/>
      <c r="DE41" s="334" t="n"/>
      <c r="DF41" s="334" t="n"/>
      <c r="DG41" s="334" t="n"/>
      <c r="DH41" s="334" t="n"/>
      <c r="DI41" s="334" t="n"/>
      <c r="DJ41" s="334" t="n"/>
      <c r="DK41" s="334" t="n"/>
      <c r="DL41" s="334" t="n"/>
      <c r="DM41" s="334" t="n"/>
      <c r="DN41" s="334" t="n"/>
      <c r="DO41" s="334" t="n"/>
      <c r="DP41" s="334" t="n"/>
      <c r="DQ41" s="334" t="n"/>
      <c r="DR41" s="334" t="n"/>
      <c r="DS41" s="334" t="n"/>
      <c r="DT41" s="334" t="n"/>
      <c r="DU41" s="334" t="n"/>
      <c r="DV41" s="334" t="n"/>
      <c r="DW41" s="334" t="n"/>
      <c r="DX41" s="334" t="n"/>
      <c r="DY41" s="334" t="n"/>
      <c r="DZ41" s="334" t="n"/>
      <c r="EA41" s="190" t="n"/>
      <c r="EB41" s="199" t="n"/>
      <c r="EC41" s="200" t="n"/>
      <c r="ED41" s="200" t="n"/>
      <c r="EE41" s="200" t="n"/>
      <c r="EF41" s="200" t="n"/>
      <c r="EG41" s="200" t="n"/>
      <c r="EH41" s="200" t="n"/>
      <c r="EI41" s="200" t="n"/>
      <c r="EJ41" s="200" t="n"/>
      <c r="EK41" s="200" t="n"/>
      <c r="EL41" s="200" t="n"/>
      <c r="EM41" s="200" t="n"/>
      <c r="EN41" s="200" t="n"/>
      <c r="EO41" s="200" t="n"/>
      <c r="EP41" s="200" t="n"/>
      <c r="EQ41" s="200" t="n"/>
      <c r="ER41" s="200" t="n"/>
      <c r="ES41" s="200" t="n"/>
      <c r="ET41" s="200" t="n"/>
      <c r="EU41" s="200" t="n"/>
      <c r="EV41" s="200" t="n"/>
      <c r="EW41" s="200" t="n"/>
      <c r="EX41" s="200" t="n"/>
      <c r="EY41" s="200" t="n"/>
      <c r="EZ41" s="200" t="n"/>
      <c r="FA41" s="200" t="n"/>
      <c r="FB41" s="200" t="n"/>
      <c r="FC41" s="200" t="n"/>
      <c r="FD41" s="200" t="n"/>
      <c r="FE41" s="200" t="n"/>
      <c r="FF41" s="200" t="n"/>
      <c r="FG41" s="200" t="n"/>
      <c r="FH41" s="199" t="n"/>
      <c r="FI41" s="199" t="n"/>
      <c r="FJ41" s="199" t="n"/>
      <c r="FK41" s="199" t="n"/>
    </row>
    <row r="42">
      <c r="A42" s="334" t="n"/>
      <c r="B42" s="297" t="inlineStr">
        <is>
          <t>5行目</t>
        </is>
      </c>
      <c r="C42" s="485" t="n"/>
      <c r="D42" s="196" t="n"/>
      <c r="E42" s="484" t="n"/>
      <c r="F42" s="297">
        <f>iferror(vlookup(D42,'行パターン'!$A$2:$C82,2,false)," ")</f>
        <v/>
      </c>
      <c r="G42" s="485" t="n"/>
      <c r="H42" s="297" t="n"/>
      <c r="I42" s="485" t="n"/>
      <c r="J42" s="297">
        <f t="array" ref="J42">iferror(INDEX('行パターン'!D:D,MATCH(D42,'行パターン'!A:A,0),0)," ")</f>
        <v/>
      </c>
      <c r="K42" s="485" t="n"/>
      <c r="L42" s="297">
        <f t="array" ref="L42">iferror(if(sum(J42)=1,"none",INDEX('行パターン'!E:E,MATCH($D42,'行パターン'!$A:$A,0),0)),"")</f>
        <v/>
      </c>
      <c r="M42" s="485" t="n"/>
      <c r="N42" s="523">
        <f t="array" ref="N42">iferror(if(sum(J42:M42)=1,"none",INDEX('行パターン'!F:F,MATCH($D42,'行パターン'!$A:$A,0),0)),"")</f>
        <v/>
      </c>
      <c r="O42" s="485" t="n"/>
      <c r="P42" s="523">
        <f t="array" ref="P42">iferror(if(sum(J42:O42)=1,"none",INDEX('行パターン'!G:G,MATCH($D42,'行パターン'!$A:$A,0),0)),"")</f>
        <v/>
      </c>
      <c r="Q42" s="485" t="n"/>
      <c r="R42" s="297" t="n"/>
      <c r="S42" s="485" t="n"/>
      <c r="T42" s="334" t="n"/>
      <c r="U42" s="17" t="n"/>
      <c r="V42" s="484" t="n"/>
      <c r="W42" s="484" t="n"/>
      <c r="X42" s="484" t="n"/>
      <c r="Y42" s="485" t="n"/>
      <c r="Z42" s="17" t="n"/>
      <c r="AA42" s="485" t="n"/>
      <c r="AB42" s="17" t="n"/>
      <c r="AC42" s="485" t="n"/>
      <c r="AD42" s="17" t="n"/>
      <c r="AE42" s="484" t="n"/>
      <c r="AF42" s="484" t="n"/>
      <c r="AG42" s="484" t="n"/>
      <c r="AH42" s="485" t="n"/>
      <c r="AI42" s="17" t="n"/>
      <c r="AJ42" s="485" t="n"/>
      <c r="AK42" s="17" t="n"/>
      <c r="AL42" s="485" t="n"/>
      <c r="AM42" s="17" t="n"/>
      <c r="AN42" s="484" t="n"/>
      <c r="AO42" s="484" t="n"/>
      <c r="AP42" s="484" t="n"/>
      <c r="AQ42" s="485" t="n"/>
      <c r="AR42" s="17" t="n"/>
      <c r="AS42" s="485" t="n"/>
      <c r="AT42" s="17" t="n"/>
      <c r="AU42" s="485" t="n"/>
      <c r="AV42" s="17" t="n"/>
      <c r="AW42" s="484" t="n"/>
      <c r="AX42" s="484" t="n"/>
      <c r="AY42" s="484" t="n"/>
      <c r="AZ42" s="485" t="n"/>
      <c r="BA42" s="17" t="n"/>
      <c r="BB42" s="485" t="n"/>
      <c r="BC42" s="17" t="n"/>
      <c r="BD42" s="485" t="n"/>
      <c r="BE42" s="334" t="n"/>
      <c r="BF42" s="334" t="n"/>
      <c r="BG42" s="334" t="n"/>
      <c r="BH42" s="334" t="n"/>
      <c r="BI42" s="334" t="n"/>
      <c r="BJ42" s="334" t="n"/>
      <c r="BK42" s="334" t="n"/>
      <c r="BL42" s="334" t="n"/>
      <c r="BM42" s="334" t="n"/>
      <c r="BN42" s="334" t="n"/>
      <c r="BO42" s="334" t="n"/>
      <c r="BP42" s="334" t="n"/>
      <c r="BQ42" s="334" t="n"/>
      <c r="BR42" s="334" t="n"/>
      <c r="BS42" s="334" t="n"/>
      <c r="BT42" s="334" t="n"/>
      <c r="BU42" s="334" t="n"/>
      <c r="BV42" s="334" t="n"/>
      <c r="BW42" s="334" t="n"/>
      <c r="BX42" s="334" t="n"/>
      <c r="BY42" s="334" t="n"/>
      <c r="BZ42" s="334" t="n"/>
      <c r="CA42" s="334" t="n"/>
      <c r="CB42" s="334" t="n"/>
      <c r="CC42" s="334" t="n"/>
      <c r="CD42" s="334" t="n"/>
      <c r="CE42" s="334" t="n"/>
      <c r="CF42" s="334" t="n"/>
      <c r="CG42" s="334" t="n"/>
      <c r="CH42" s="334" t="n"/>
      <c r="CI42" s="334" t="n"/>
      <c r="CJ42" s="334" t="n"/>
      <c r="CK42" s="334" t="n"/>
      <c r="CL42" s="334" t="n"/>
      <c r="CM42" s="334" t="n"/>
      <c r="CN42" s="334" t="n"/>
      <c r="CO42" s="334" t="n"/>
      <c r="CP42" s="334" t="n"/>
      <c r="CQ42" s="334" t="n"/>
      <c r="CR42" s="334" t="n"/>
      <c r="CS42" s="334" t="n"/>
      <c r="CT42" s="334" t="n"/>
      <c r="CU42" s="334" t="n"/>
      <c r="CV42" s="334" t="n"/>
      <c r="CW42" s="334" t="n"/>
      <c r="CX42" s="334" t="n"/>
      <c r="CY42" s="334" t="n"/>
      <c r="CZ42" s="334" t="n"/>
      <c r="DA42" s="334" t="n"/>
      <c r="DB42" s="334" t="n"/>
      <c r="DC42" s="334" t="n"/>
      <c r="DD42" s="334" t="n"/>
      <c r="DE42" s="334" t="n"/>
      <c r="DF42" s="334" t="n"/>
      <c r="DG42" s="334" t="n"/>
      <c r="DH42" s="334" t="n"/>
      <c r="DI42" s="334" t="n"/>
      <c r="DJ42" s="334" t="n"/>
      <c r="DK42" s="334" t="n"/>
      <c r="DL42" s="334" t="n"/>
      <c r="DM42" s="334" t="n"/>
      <c r="DN42" s="334" t="n"/>
      <c r="DO42" s="334" t="n"/>
      <c r="DP42" s="334" t="n"/>
      <c r="DQ42" s="334" t="n"/>
      <c r="DR42" s="334" t="n"/>
      <c r="DS42" s="334" t="n"/>
      <c r="DT42" s="334" t="n"/>
      <c r="DU42" s="334" t="n"/>
      <c r="DV42" s="334" t="n"/>
      <c r="DW42" s="334" t="n"/>
      <c r="DX42" s="334" t="n"/>
      <c r="DY42" s="334" t="n"/>
      <c r="DZ42" s="334" t="n"/>
      <c r="EA42" s="190" t="n"/>
      <c r="EB42" s="199" t="n"/>
      <c r="EC42" s="200" t="n"/>
      <c r="ED42" s="200" t="n"/>
      <c r="EE42" s="200" t="n"/>
      <c r="EF42" s="200" t="n"/>
      <c r="EG42" s="200" t="n"/>
      <c r="EH42" s="200" t="n"/>
      <c r="EI42" s="200" t="n"/>
      <c r="EJ42" s="200" t="n"/>
      <c r="EK42" s="200" t="n"/>
      <c r="EL42" s="200" t="n"/>
      <c r="EM42" s="200" t="n"/>
      <c r="EN42" s="200" t="n"/>
      <c r="EO42" s="200" t="n"/>
      <c r="EP42" s="200" t="n"/>
      <c r="EQ42" s="200" t="n"/>
      <c r="ER42" s="200" t="n"/>
      <c r="ES42" s="200" t="n"/>
      <c r="ET42" s="200" t="n"/>
      <c r="EU42" s="200" t="n"/>
      <c r="EV42" s="200" t="n"/>
      <c r="EW42" s="200" t="n"/>
      <c r="EX42" s="200" t="n"/>
      <c r="EY42" s="200" t="n"/>
      <c r="EZ42" s="200" t="n"/>
      <c r="FA42" s="200" t="n"/>
      <c r="FB42" s="200" t="n"/>
      <c r="FC42" s="200" t="n"/>
      <c r="FD42" s="200" t="n"/>
      <c r="FE42" s="200" t="n"/>
      <c r="FF42" s="200" t="n"/>
      <c r="FG42" s="200" t="n"/>
      <c r="FH42" s="199" t="n"/>
      <c r="FI42" s="199" t="n"/>
      <c r="FJ42" s="199" t="n"/>
      <c r="FK42" s="199" t="n"/>
    </row>
    <row r="43">
      <c r="A43" s="250" t="n"/>
      <c r="B43" s="250" t="n"/>
      <c r="C43" s="250" t="n"/>
      <c r="D43" s="250" t="n"/>
      <c r="E43" s="250" t="n"/>
      <c r="F43" s="250" t="n"/>
      <c r="G43" s="250" t="n"/>
      <c r="H43" s="250" t="n"/>
      <c r="I43" s="250" t="n"/>
      <c r="J43" s="250" t="n"/>
      <c r="K43" s="250" t="n"/>
      <c r="L43" s="250" t="n"/>
      <c r="M43" s="250" t="n"/>
      <c r="N43" s="250" t="n"/>
      <c r="O43" s="250" t="n"/>
      <c r="P43" s="250" t="n"/>
      <c r="Q43" s="250" t="n"/>
      <c r="R43" s="250" t="n"/>
      <c r="S43" s="250" t="n"/>
      <c r="T43" s="250" t="n"/>
      <c r="U43" s="250" t="n"/>
      <c r="V43" s="250" t="n"/>
      <c r="W43" s="250" t="n"/>
      <c r="X43" s="250" t="n"/>
      <c r="Y43" s="250" t="n"/>
      <c r="Z43" s="250" t="n"/>
      <c r="AA43" s="250" t="n"/>
      <c r="AB43" s="250" t="n"/>
      <c r="AC43" s="250" t="n"/>
      <c r="AD43" s="250" t="n"/>
      <c r="AE43" s="250" t="n"/>
      <c r="AF43" s="250" t="n"/>
      <c r="AG43" s="250" t="n"/>
      <c r="AH43" s="250" t="n"/>
      <c r="AI43" s="250" t="n"/>
      <c r="AJ43" s="250" t="n"/>
      <c r="AK43" s="250" t="n"/>
      <c r="AL43" s="250" t="n"/>
      <c r="AM43" s="250" t="n"/>
      <c r="AN43" s="250" t="n"/>
      <c r="AO43" s="250" t="n"/>
      <c r="AP43" s="250" t="n"/>
      <c r="AQ43" s="250" t="n"/>
      <c r="AR43" s="250" t="n"/>
      <c r="AS43" s="250" t="n"/>
      <c r="AT43" s="250" t="n"/>
      <c r="AU43" s="250" t="n"/>
      <c r="AV43" s="250" t="n"/>
      <c r="AW43" s="250" t="n"/>
      <c r="AX43" s="250" t="n"/>
      <c r="AY43" s="250" t="n"/>
      <c r="AZ43" s="250" t="n"/>
      <c r="BA43" s="250" t="n"/>
      <c r="BB43" s="250" t="n"/>
      <c r="BC43" s="250" t="n"/>
      <c r="BD43" s="250" t="n"/>
      <c r="BE43" s="250" t="n"/>
      <c r="BF43" s="250" t="n"/>
      <c r="BG43" s="250" t="n"/>
      <c r="BH43" s="250" t="n"/>
      <c r="BI43" s="250" t="n"/>
      <c r="BJ43" s="250" t="n"/>
      <c r="BK43" s="250" t="n"/>
      <c r="BL43" s="250" t="n"/>
      <c r="BM43" s="250" t="n"/>
      <c r="BN43" s="250" t="n"/>
      <c r="BO43" s="250" t="n"/>
      <c r="BP43" s="250" t="n"/>
      <c r="BQ43" s="250" t="n"/>
      <c r="BR43" s="250" t="n"/>
      <c r="BS43" s="250" t="n"/>
      <c r="BT43" s="250" t="n"/>
      <c r="BU43" s="250" t="n"/>
      <c r="BV43" s="250" t="n"/>
      <c r="BW43" s="250" t="n"/>
      <c r="BX43" s="250" t="n"/>
      <c r="BY43" s="250" t="n"/>
      <c r="BZ43" s="250" t="n"/>
      <c r="CA43" s="250" t="n"/>
      <c r="CB43" s="250" t="n"/>
      <c r="CC43" s="250" t="n"/>
      <c r="CD43" s="250" t="n"/>
      <c r="CE43" s="250" t="n"/>
      <c r="CF43" s="250" t="n"/>
      <c r="CG43" s="250" t="n"/>
      <c r="CH43" s="250" t="n"/>
      <c r="CI43" s="250" t="n"/>
      <c r="CJ43" s="250" t="n"/>
      <c r="CK43" s="250" t="n"/>
      <c r="CL43" s="250" t="n"/>
      <c r="CM43" s="250" t="n"/>
      <c r="CN43" s="250" t="n"/>
      <c r="CO43" s="250" t="n"/>
      <c r="CP43" s="250" t="n"/>
      <c r="CQ43" s="250" t="n"/>
      <c r="CR43" s="250" t="n"/>
      <c r="CS43" s="250" t="n"/>
      <c r="CT43" s="250" t="n"/>
      <c r="CU43" s="250" t="n"/>
      <c r="CV43" s="250" t="n"/>
      <c r="CW43" s="250" t="n"/>
      <c r="CX43" s="250" t="n"/>
      <c r="CY43" s="250" t="n"/>
      <c r="CZ43" s="250" t="n"/>
      <c r="DA43" s="250" t="n"/>
      <c r="DB43" s="250" t="n"/>
      <c r="DC43" s="250" t="n"/>
      <c r="DD43" s="250" t="n"/>
      <c r="DE43" s="250" t="n"/>
      <c r="DF43" s="250" t="n"/>
      <c r="DG43" s="250" t="n"/>
      <c r="DH43" s="250" t="n"/>
      <c r="DI43" s="250" t="n"/>
      <c r="DJ43" s="250" t="n"/>
      <c r="DK43" s="250" t="n"/>
      <c r="DL43" s="250" t="n"/>
      <c r="DM43" s="250" t="n"/>
      <c r="DN43" s="250" t="n"/>
      <c r="DO43" s="250" t="n"/>
      <c r="DP43" s="250" t="n"/>
      <c r="DQ43" s="250" t="n"/>
      <c r="DR43" s="250" t="n"/>
      <c r="DS43" s="250" t="n"/>
      <c r="DT43" s="250" t="n"/>
      <c r="DU43" s="250" t="n"/>
      <c r="DV43" s="250" t="n"/>
      <c r="DW43" s="250" t="n"/>
      <c r="DX43" s="250" t="n"/>
      <c r="DY43" s="250" t="n"/>
      <c r="DZ43" s="250" t="n"/>
      <c r="EA43" s="160" t="n"/>
      <c r="EB43" s="125" t="n"/>
      <c r="EC43" s="126" t="n"/>
      <c r="ED43" s="126" t="n"/>
      <c r="EE43" s="126" t="n"/>
      <c r="EF43" s="126" t="n"/>
      <c r="EG43" s="126" t="n"/>
      <c r="EH43" s="126" t="n"/>
      <c r="EI43" s="126" t="n"/>
      <c r="EJ43" s="126" t="n"/>
      <c r="EK43" s="126" t="n"/>
      <c r="EL43" s="126" t="n"/>
      <c r="EM43" s="126" t="n"/>
      <c r="EN43" s="126" t="n"/>
      <c r="EO43" s="126" t="n"/>
      <c r="EP43" s="126" t="n"/>
      <c r="EQ43" s="126" t="n"/>
      <c r="ER43" s="126" t="n"/>
      <c r="ES43" s="126" t="n"/>
      <c r="ET43" s="126" t="n"/>
      <c r="EU43" s="126" t="n"/>
      <c r="EV43" s="126" t="n"/>
      <c r="EW43" s="126" t="n"/>
      <c r="EX43" s="126" t="n"/>
      <c r="EY43" s="126" t="n"/>
      <c r="EZ43" s="126" t="n"/>
      <c r="FA43" s="126" t="n"/>
      <c r="FB43" s="126" t="n"/>
      <c r="FC43" s="126" t="n"/>
      <c r="FD43" s="126" t="n"/>
      <c r="FE43" s="126" t="n"/>
      <c r="FF43" s="126" t="n"/>
      <c r="FG43" s="126" t="n"/>
      <c r="FH43" s="125" t="n"/>
      <c r="FI43" s="125" t="n"/>
      <c r="FJ43" s="125" t="n"/>
      <c r="FK43" s="125" t="n"/>
    </row>
    <row r="44">
      <c r="A44" s="203" t="n"/>
      <c r="B44" s="202" t="inlineStr">
        <is>
          <t xml:space="preserve">■Enemyシーケンス </t>
        </is>
      </c>
      <c r="C44" s="203" t="n"/>
      <c r="D44" s="203" t="n"/>
      <c r="E44" s="203" t="n"/>
      <c r="F44" s="203" t="inlineStr">
        <is>
          <t>※コピペして使用</t>
        </is>
      </c>
      <c r="G44" s="203" t="n"/>
      <c r="H44" s="203" t="n"/>
      <c r="I44" s="203" t="n"/>
      <c r="J44" s="203" t="n"/>
      <c r="K44" s="203" t="n"/>
      <c r="L44" s="203" t="n"/>
      <c r="M44" s="203" t="n"/>
      <c r="N44" s="203" t="n"/>
      <c r="O44" s="203" t="n"/>
      <c r="P44" s="203" t="n"/>
      <c r="Q44" s="203" t="n"/>
      <c r="R44" s="203" t="n"/>
      <c r="S44" s="203" t="n"/>
      <c r="T44" s="203" t="n"/>
      <c r="U44" s="203" t="n"/>
      <c r="V44" s="203" t="n"/>
      <c r="W44" s="203" t="n"/>
      <c r="X44" s="203" t="n"/>
      <c r="Y44" s="203" t="n"/>
      <c r="Z44" s="203" t="n"/>
      <c r="AA44" s="203" t="n"/>
      <c r="AB44" s="203" t="n"/>
      <c r="AC44" s="203" t="n"/>
      <c r="AD44" s="203" t="n"/>
      <c r="AE44" s="203" t="n"/>
      <c r="AF44" s="203" t="n"/>
      <c r="AG44" s="203" t="n"/>
      <c r="AH44" s="203" t="n"/>
      <c r="AI44" s="203" t="n"/>
      <c r="AJ44" s="203" t="n"/>
      <c r="AK44" s="203" t="n"/>
      <c r="AL44" s="203" t="n"/>
      <c r="AM44" s="203" t="n"/>
      <c r="AN44" s="203" t="n"/>
      <c r="AO44" s="203" t="n"/>
      <c r="AP44" s="203" t="n"/>
      <c r="AQ44" s="203" t="n"/>
      <c r="AR44" s="203" t="n"/>
      <c r="AS44" s="203" t="n"/>
      <c r="AT44" s="203" t="n"/>
      <c r="AU44" s="203" t="n"/>
      <c r="AV44" s="203" t="n"/>
      <c r="AW44" s="203" t="n"/>
      <c r="AX44" s="203" t="n"/>
      <c r="AY44" s="203" t="n"/>
      <c r="AZ44" s="203" t="n"/>
      <c r="BA44" s="203" t="n"/>
      <c r="BB44" s="203" t="n"/>
      <c r="BC44" s="203" t="n"/>
      <c r="BD44" s="203" t="n"/>
      <c r="BE44" s="203" t="n"/>
      <c r="BF44" s="203" t="n"/>
      <c r="BG44" s="203" t="n"/>
      <c r="BH44" s="203" t="n"/>
      <c r="BI44" s="203" t="n"/>
      <c r="BJ44" s="203" t="n"/>
      <c r="BK44" s="203" t="n"/>
      <c r="BL44" s="203" t="n"/>
      <c r="BM44" s="203" t="n"/>
      <c r="BN44" s="203" t="n"/>
      <c r="BO44" s="203" t="n"/>
      <c r="BP44" s="203" t="n"/>
      <c r="BQ44" s="203" t="n"/>
      <c r="BR44" s="203" t="n"/>
      <c r="BS44" s="203" t="n"/>
      <c r="BT44" s="203" t="n"/>
      <c r="BU44" s="203" t="n"/>
      <c r="BV44" s="203" t="n"/>
      <c r="BW44" s="203" t="n"/>
      <c r="BX44" s="203" t="n"/>
      <c r="BY44" s="203" t="n"/>
      <c r="BZ44" s="203" t="n"/>
      <c r="CA44" s="203" t="n"/>
      <c r="CB44" s="203" t="n"/>
      <c r="CC44" s="203" t="n"/>
      <c r="CD44" s="203" t="n"/>
      <c r="CE44" s="203" t="n"/>
      <c r="CF44" s="203" t="n"/>
      <c r="CG44" s="203" t="n"/>
      <c r="CH44" s="203" t="n"/>
      <c r="CI44" s="203" t="n"/>
      <c r="CJ44" s="203" t="n"/>
      <c r="CK44" s="203" t="n"/>
      <c r="CL44" s="203" t="n"/>
      <c r="CM44" s="203" t="n"/>
      <c r="CN44" s="203" t="n"/>
      <c r="CO44" s="203" t="n"/>
      <c r="CP44" s="203" t="n"/>
      <c r="CQ44" s="203" t="n"/>
      <c r="CR44" s="203" t="n"/>
      <c r="CS44" s="203" t="n"/>
      <c r="CT44" s="203" t="n"/>
      <c r="CU44" s="203" t="n"/>
      <c r="CV44" s="203" t="n"/>
      <c r="CW44" s="203" t="n"/>
      <c r="CX44" s="203" t="n"/>
      <c r="CY44" s="203" t="n"/>
      <c r="CZ44" s="203" t="n"/>
      <c r="DA44" s="203" t="n"/>
      <c r="DB44" s="203" t="n"/>
      <c r="DC44" s="203" t="n"/>
      <c r="DD44" s="203" t="n"/>
      <c r="DE44" s="203" t="n"/>
      <c r="DF44" s="203" t="n"/>
      <c r="DG44" s="203" t="n"/>
      <c r="DH44" s="203" t="n"/>
      <c r="DI44" s="203" t="n"/>
      <c r="DJ44" s="203" t="n"/>
      <c r="DK44" s="203" t="n"/>
      <c r="DL44" s="203" t="n"/>
      <c r="DM44" s="203" t="n"/>
      <c r="DN44" s="203" t="n"/>
      <c r="DO44" s="203" t="n"/>
      <c r="DP44" s="203" t="n"/>
      <c r="DQ44" s="203" t="n"/>
      <c r="DR44" s="203" t="n"/>
      <c r="DS44" s="203" t="n"/>
      <c r="DT44" s="203" t="n"/>
      <c r="DU44" s="203" t="n"/>
      <c r="DV44" s="203" t="n"/>
      <c r="DW44" s="203" t="n"/>
      <c r="DX44" s="203" t="n"/>
      <c r="DY44" s="203" t="n"/>
      <c r="DZ44" s="203" t="n"/>
      <c r="EA44" s="204" t="n"/>
      <c r="EB44" s="205" t="n"/>
      <c r="EC44" s="205" t="n"/>
      <c r="ED44" s="205" t="n"/>
      <c r="EE44" s="205" t="n"/>
      <c r="EF44" s="205" t="n"/>
      <c r="EG44" s="205" t="n"/>
      <c r="EH44" s="205" t="n"/>
      <c r="EI44" s="205" t="n"/>
      <c r="EJ44" s="205" t="n"/>
      <c r="EK44" s="205" t="n"/>
      <c r="EL44" s="205" t="n"/>
      <c r="EM44" s="205" t="n"/>
      <c r="EN44" s="205" t="n"/>
      <c r="EO44" s="205" t="n"/>
      <c r="EP44" s="205" t="n"/>
      <c r="EQ44" s="205" t="n"/>
      <c r="ER44" s="205" t="n"/>
      <c r="ES44" s="205" t="n"/>
      <c r="ET44" s="205" t="n"/>
      <c r="EU44" s="205" t="n"/>
      <c r="EV44" s="205" t="n"/>
      <c r="EW44" s="205" t="n"/>
      <c r="EX44" s="205" t="n"/>
      <c r="EY44" s="205" t="n"/>
      <c r="EZ44" s="205" t="n"/>
      <c r="FA44" s="205" t="n"/>
      <c r="FB44" s="205" t="n"/>
      <c r="FC44" s="205" t="n"/>
      <c r="FD44" s="205" t="n"/>
      <c r="FE44" s="205" t="n"/>
      <c r="FF44" s="205" t="n"/>
      <c r="FG44" s="205" t="n"/>
      <c r="FH44" s="205" t="n"/>
      <c r="FI44" s="205" t="n"/>
      <c r="FJ44" s="205" t="n"/>
      <c r="FK44" s="205" t="n"/>
    </row>
    <row r="45">
      <c r="A45" s="250" t="n"/>
      <c r="B45" s="250" t="n"/>
      <c r="C45" s="250" t="n"/>
      <c r="D45" s="250" t="n"/>
      <c r="E45" s="250" t="n"/>
      <c r="G45" s="250" t="n"/>
      <c r="H45" s="250" t="n"/>
      <c r="I45" s="250" t="n"/>
      <c r="J45" s="250" t="n"/>
      <c r="AL45" s="250" t="n"/>
      <c r="AM45" s="250" t="n"/>
      <c r="AN45" s="250" t="n"/>
      <c r="AO45" s="250" t="n"/>
      <c r="AP45" s="250" t="n"/>
      <c r="AQ45" s="250" t="n"/>
      <c r="AR45" s="250" t="n"/>
      <c r="AS45" s="250" t="n"/>
      <c r="AT45" s="250" t="n"/>
      <c r="AU45" s="250" t="n"/>
      <c r="AV45" s="250" t="n"/>
      <c r="AW45" s="250" t="n"/>
      <c r="AX45" s="250" t="n"/>
      <c r="AY45" s="250" t="n"/>
      <c r="AZ45" s="250" t="n"/>
      <c r="BA45" s="250" t="n"/>
      <c r="BB45" s="250" t="n"/>
      <c r="BC45" s="250" t="n"/>
      <c r="BD45" s="250" t="n"/>
      <c r="BE45" s="250" t="n"/>
      <c r="BF45" s="250" t="n"/>
      <c r="BG45" s="250" t="n"/>
      <c r="BH45" s="250" t="n"/>
      <c r="BI45" s="250" t="n"/>
      <c r="BJ45" s="250" t="n"/>
      <c r="BK45" s="250" t="n"/>
      <c r="BL45" s="250" t="n"/>
      <c r="BM45" s="250" t="n"/>
      <c r="BN45" s="250" t="n"/>
      <c r="BO45" s="250" t="n"/>
      <c r="BP45" s="250" t="n"/>
      <c r="BQ45" s="250" t="n"/>
      <c r="BR45" s="250" t="n"/>
      <c r="BS45" s="250" t="n"/>
      <c r="BT45" s="250" t="n"/>
      <c r="BU45" s="250" t="n"/>
      <c r="BV45" s="250" t="n"/>
      <c r="BW45" s="250" t="n"/>
      <c r="BX45" s="250" t="n"/>
      <c r="BY45" s="250" t="n"/>
      <c r="BZ45" s="250" t="n"/>
      <c r="CA45" s="250" t="n"/>
      <c r="CB45" s="250" t="n"/>
      <c r="CC45" s="250" t="n"/>
      <c r="CD45" s="250" t="n"/>
      <c r="CE45" s="250" t="n"/>
      <c r="CF45" s="250" t="n"/>
      <c r="CG45" s="250" t="n"/>
      <c r="CH45" s="250" t="n"/>
      <c r="CI45" s="250" t="n"/>
      <c r="CJ45" s="250" t="n"/>
      <c r="CK45" s="250" t="n"/>
      <c r="CL45" s="250" t="n"/>
      <c r="CM45" s="250" t="n"/>
      <c r="CN45" s="250" t="n"/>
      <c r="CO45" s="250" t="n"/>
      <c r="CP45" s="250" t="n"/>
      <c r="CQ45" s="250" t="n"/>
      <c r="CR45" s="250" t="n"/>
      <c r="CS45" s="250" t="n"/>
      <c r="CT45" s="250" t="n"/>
      <c r="CU45" s="250" t="n"/>
      <c r="CV45" s="250" t="n"/>
      <c r="CW45" s="250" t="n"/>
      <c r="CX45" s="250" t="n"/>
      <c r="CY45" s="250" t="n"/>
      <c r="CZ45" s="250" t="n"/>
      <c r="DA45" s="250" t="n"/>
      <c r="DB45" s="250" t="n"/>
      <c r="DC45" s="250" t="n"/>
      <c r="DD45" s="250" t="n"/>
      <c r="DE45" s="250" t="n"/>
      <c r="DF45" s="250" t="n"/>
      <c r="DG45" s="250" t="n"/>
      <c r="DH45" s="250" t="n"/>
      <c r="DI45" s="250" t="n"/>
      <c r="DJ45" s="250" t="n"/>
      <c r="DK45" s="250" t="n"/>
      <c r="DL45" s="250" t="n"/>
      <c r="DM45" s="250" t="n"/>
      <c r="DN45" s="250" t="n"/>
      <c r="DO45" s="250" t="n"/>
      <c r="DP45" s="250" t="n"/>
      <c r="DQ45" s="250" t="n"/>
      <c r="DR45" s="250" t="n"/>
      <c r="DS45" s="250" t="n"/>
      <c r="DT45" s="250" t="n"/>
      <c r="DU45" s="250" t="n"/>
      <c r="DV45" s="250" t="n"/>
      <c r="DW45" s="250" t="n"/>
      <c r="DX45" s="250" t="n"/>
      <c r="DY45" s="250" t="n"/>
      <c r="DZ45" s="250" t="n"/>
      <c r="EA45" s="160" t="n"/>
      <c r="EB45" s="206" t="n"/>
      <c r="EC45" s="207" t="n"/>
      <c r="ED45" s="207" t="n"/>
      <c r="EE45" s="207" t="n"/>
      <c r="EF45" s="207" t="n"/>
      <c r="EG45" s="207" t="n"/>
      <c r="EH45" s="207" t="n"/>
      <c r="EI45" s="207" t="n"/>
      <c r="EJ45" s="207" t="n"/>
      <c r="EK45" s="207" t="n"/>
      <c r="EL45" s="207" t="n"/>
      <c r="EM45" s="207" t="n"/>
      <c r="EN45" s="207" t="n"/>
      <c r="EO45" s="207" t="n"/>
      <c r="EP45" s="207" t="n"/>
      <c r="EQ45" s="207" t="n"/>
      <c r="ER45" s="207" t="n"/>
      <c r="ES45" s="207" t="n"/>
      <c r="ET45" s="207" t="n"/>
      <c r="EU45" s="207" t="n"/>
      <c r="EV45" s="207" t="n"/>
      <c r="EW45" s="207" t="n"/>
      <c r="EX45" s="207" t="n"/>
      <c r="EY45" s="207" t="n"/>
      <c r="EZ45" s="207" t="n"/>
      <c r="FA45" s="207" t="n"/>
      <c r="FB45" s="207" t="n"/>
      <c r="FC45" s="207" t="n"/>
      <c r="FD45" s="207" t="n"/>
      <c r="FE45" s="207" t="n"/>
      <c r="FF45" s="207" t="n"/>
      <c r="FG45" s="207" t="n"/>
      <c r="FH45" s="206" t="n"/>
      <c r="FI45" s="206" t="n"/>
      <c r="FJ45" s="206" t="n"/>
      <c r="FK45" s="206" t="n"/>
    </row>
    <row r="46">
      <c r="A46" s="229" t="n"/>
      <c r="B46" s="524" t="inlineStr">
        <is>
          <t>sequence
_group_id</t>
        </is>
      </c>
      <c r="C46" s="485" t="n"/>
      <c r="D46" s="524" t="inlineStr">
        <is>
          <t>sequence_
element_id</t>
        </is>
      </c>
      <c r="E46" s="485" t="n"/>
      <c r="F46" s="525" t="inlineStr">
        <is>
          <t>priority_sequence_element_id</t>
        </is>
      </c>
      <c r="G46" s="485" t="n"/>
      <c r="H46" s="526" t="inlineStr">
        <is>
          <t>Enemy_ID</t>
        </is>
      </c>
      <c r="I46" s="484" t="n"/>
      <c r="J46" s="484" t="n"/>
      <c r="K46" s="485" t="n"/>
      <c r="L46" s="213" t="inlineStr">
        <is>
          <t>ファントム名</t>
        </is>
      </c>
      <c r="M46" s="484" t="n"/>
      <c r="N46" s="484" t="n"/>
      <c r="O46" s="484" t="n"/>
      <c r="P46" s="526" t="inlineStr">
        <is>
          <t>unit_kind</t>
        </is>
      </c>
      <c r="Q46" s="485" t="n"/>
      <c r="R46" s="526" t="inlineStr">
        <is>
          <t>属性</t>
        </is>
      </c>
      <c r="S46" s="485" t="n"/>
      <c r="T46" s="526" t="inlineStr">
        <is>
          <t>ロール</t>
        </is>
      </c>
      <c r="U46" s="485" t="n"/>
      <c r="V46" s="526" t="inlineStr">
        <is>
          <t>オーラタイプ</t>
        </is>
      </c>
      <c r="W46" s="485" t="n"/>
      <c r="X46" s="526" t="inlineStr">
        <is>
          <t>死亡タイプ</t>
        </is>
      </c>
      <c r="Y46" s="485" t="n"/>
      <c r="Z46" s="526" t="inlineStr">
        <is>
          <t>必殺ワザ有無</t>
        </is>
      </c>
      <c r="AA46" s="485" t="n"/>
      <c r="AB46" s="527" t="inlineStr">
        <is>
          <t>体力</t>
        </is>
      </c>
      <c r="AC46" s="485" t="n"/>
      <c r="AD46" s="527" t="inlineStr">
        <is>
          <t>体力係数</t>
        </is>
      </c>
      <c r="AE46" s="485" t="n"/>
      <c r="AF46" s="527" t="inlineStr">
        <is>
          <t>攻撃力</t>
        </is>
      </c>
      <c r="AG46" s="485" t="n"/>
      <c r="AH46" s="527" t="inlineStr">
        <is>
          <t>攻撃係数</t>
        </is>
      </c>
      <c r="AI46" s="485" t="n"/>
      <c r="AJ46" s="215" t="inlineStr">
        <is>
          <t>通常攻撃F</t>
        </is>
      </c>
      <c r="AK46" s="484" t="n"/>
      <c r="AL46" s="215" t="inlineStr">
        <is>
          <t>通常攻撃CDF</t>
        </is>
      </c>
      <c r="AM46" s="484" t="n"/>
      <c r="AN46" s="213" t="inlineStr">
        <is>
          <t>通常攻撃DPS</t>
        </is>
      </c>
      <c r="AO46" s="484" t="n"/>
      <c r="AP46" s="216" t="inlineStr">
        <is>
          <t>通常攻撃備考</t>
        </is>
      </c>
      <c r="AQ46" s="484" t="n"/>
      <c r="AR46" s="484" t="n"/>
      <c r="AS46" s="484" t="n"/>
      <c r="AT46" s="217" t="inlineStr">
        <is>
          <t>必殺技内容</t>
        </is>
      </c>
      <c r="AU46" s="484" t="n"/>
      <c r="AV46" s="484" t="n"/>
      <c r="AW46" s="484" t="n"/>
      <c r="AX46" s="484" t="n"/>
      <c r="AY46" s="528" t="inlineStr">
        <is>
          <t>必殺発動回数</t>
        </is>
      </c>
      <c r="AZ46" s="485" t="n"/>
      <c r="BA46" s="218" t="inlineStr">
        <is>
          <t>必殺技F(秒)</t>
        </is>
      </c>
      <c r="BB46" s="484" t="n"/>
      <c r="BC46" s="219" t="inlineStr">
        <is>
          <t>特性</t>
        </is>
      </c>
      <c r="BD46" s="484" t="n"/>
      <c r="BE46" s="527" t="inlineStr">
        <is>
          <t>移動速度</t>
        </is>
      </c>
      <c r="BF46" s="485" t="n"/>
      <c r="BG46" s="527" t="inlineStr">
        <is>
          <t>well_distance</t>
        </is>
      </c>
      <c r="BH46" s="485" t="n"/>
      <c r="BI46" s="527" t="inlineStr">
        <is>
          <t>start_range</t>
        </is>
      </c>
      <c r="BJ46" s="485" t="n"/>
      <c r="BK46" s="527" t="inlineStr">
        <is>
          <t>end_range</t>
        </is>
      </c>
      <c r="BL46" s="485" t="n"/>
      <c r="BM46" s="529" t="inlineStr">
        <is>
          <t>攻撃範囲</t>
        </is>
      </c>
      <c r="BN46" s="485" t="n"/>
      <c r="BO46" s="527" t="inlineStr">
        <is>
          <t>KB回数</t>
        </is>
      </c>
      <c r="BP46" s="485" t="n"/>
      <c r="BQ46" s="527" t="inlineStr">
        <is>
          <t>撃破p</t>
        </is>
      </c>
      <c r="BR46" s="485" t="n"/>
      <c r="BS46" s="529" t="inlineStr">
        <is>
          <t>上書き撃破p</t>
        </is>
      </c>
      <c r="BT46" s="485" t="n"/>
      <c r="BU46" s="529" t="inlineStr">
        <is>
          <t>撃破スコア</t>
        </is>
      </c>
      <c r="BV46" s="485" t="n"/>
      <c r="BW46" s="527" t="inlineStr">
        <is>
          <t>変身先ID</t>
        </is>
      </c>
      <c r="BX46" s="485" t="n"/>
      <c r="BY46" s="527" t="inlineStr">
        <is>
          <t>変身条件1</t>
        </is>
      </c>
      <c r="BZ46" s="485" t="n"/>
      <c r="CA46" s="527" t="inlineStr">
        <is>
          <t>変身条件2</t>
        </is>
      </c>
      <c r="CB46" s="485" t="n"/>
      <c r="CC46" s="530" t="inlineStr">
        <is>
          <t>出撃条件
condition_type</t>
        </is>
      </c>
      <c r="CD46" s="484" t="n"/>
      <c r="CE46" s="484" t="n"/>
      <c r="CF46" s="485" t="n"/>
      <c r="CG46" s="531" t="inlineStr">
        <is>
          <t>出撃開始値
condition_value</t>
        </is>
      </c>
      <c r="CH46" s="485" t="n"/>
      <c r="CI46" s="531" t="inlineStr">
        <is>
          <t>出撃間隔値
summon_interval</t>
        </is>
      </c>
      <c r="CJ46" s="485" t="n"/>
      <c r="CK46" s="530" t="inlineStr">
        <is>
          <t>召喚回数
summon_count</t>
        </is>
      </c>
      <c r="CL46" s="485" t="n"/>
      <c r="CM46" s="530" t="inlineStr">
        <is>
          <t>アクション遅延
action_delay</t>
        </is>
      </c>
      <c r="CN46" s="485" t="n"/>
      <c r="CO46" s="530" t="inlineStr">
        <is>
          <t>出撃
アニメーション</t>
        </is>
      </c>
      <c r="CP46" s="485" t="n"/>
      <c r="CQ46" s="530" t="inlineStr">
        <is>
          <t>召喚pos
summon_position</t>
        </is>
      </c>
      <c r="CR46" s="485" t="n"/>
      <c r="CS46" s="530" t="inlineStr">
        <is>
          <t>移動開始条件
move_start_condition_type</t>
        </is>
      </c>
      <c r="CT46" s="484" t="n"/>
      <c r="CU46" s="484" t="n"/>
      <c r="CV46" s="485" t="n"/>
      <c r="CW46" s="530" t="inlineStr">
        <is>
          <t>移動開始値
condition_value</t>
        </is>
      </c>
      <c r="CX46" s="485" t="n"/>
      <c r="CY46" s="530" t="inlineStr">
        <is>
          <t>移動停止条件
move_stop_condition_type</t>
        </is>
      </c>
      <c r="CZ46" s="484" t="n"/>
      <c r="DA46" s="484" t="n"/>
      <c r="DB46" s="485" t="n"/>
      <c r="DC46" s="530" t="inlineStr">
        <is>
          <t>移動停止値</t>
        </is>
      </c>
      <c r="DD46" s="485" t="n"/>
      <c r="DE46" s="530" t="inlineStr">
        <is>
          <t>移動再スタート条件
move_restart_condition_type</t>
        </is>
      </c>
      <c r="DF46" s="484" t="n"/>
      <c r="DG46" s="484" t="n"/>
      <c r="DH46" s="485" t="n"/>
      <c r="DI46" s="530" t="inlineStr">
        <is>
          <t>移動再スタート値</t>
        </is>
      </c>
      <c r="DJ46" s="485" t="n"/>
      <c r="DK46" s="530" t="inlineStr">
        <is>
          <t>再スタート回数
move_loop_count</t>
        </is>
      </c>
      <c r="DL46" s="485" t="n"/>
      <c r="DM46" s="530" t="inlineStr">
        <is>
          <t>ゲート無敵化</t>
        </is>
      </c>
      <c r="DN46" s="485" t="n"/>
      <c r="DO46" s="530" t="inlineStr">
        <is>
          <t>出現停止条件</t>
        </is>
      </c>
      <c r="DP46" s="484" t="n"/>
      <c r="DQ46" s="484" t="n"/>
      <c r="DR46" s="485" t="n"/>
      <c r="DS46" s="530" t="inlineStr">
        <is>
          <t>停止条件値</t>
        </is>
      </c>
      <c r="DT46" s="485" t="n"/>
      <c r="DU46" s="532" t="inlineStr">
        <is>
          <t>備考</t>
        </is>
      </c>
      <c r="DV46" s="484" t="n"/>
      <c r="DW46" s="484" t="n"/>
      <c r="DX46" s="484" t="n"/>
      <c r="DY46" s="485" t="n"/>
      <c r="DZ46" s="229" t="n"/>
      <c r="EA46" s="226" t="n"/>
      <c r="EB46" s="229" t="n"/>
      <c r="EC46" s="227" t="inlineStr">
        <is>
          <t>sequence_group_id</t>
        </is>
      </c>
      <c r="ED46" s="227" t="inlineStr">
        <is>
          <t>sequence_element_id</t>
        </is>
      </c>
      <c r="EE46" s="227" t="inlineStr">
        <is>
          <t>priority_sequence_element_id</t>
        </is>
      </c>
      <c r="EF46" s="227" t="inlineStr">
        <is>
          <t>condition_type</t>
        </is>
      </c>
      <c r="EG46" s="227" t="inlineStr">
        <is>
          <t>condition_value</t>
        </is>
      </c>
      <c r="EH46" s="227" t="inlineStr">
        <is>
          <t>action_type</t>
        </is>
      </c>
      <c r="EI46" s="227" t="inlineStr">
        <is>
          <t>action_value</t>
        </is>
      </c>
      <c r="EJ46" s="228" t="inlineStr">
        <is>
          <t>action_value2</t>
        </is>
      </c>
      <c r="EK46" s="227" t="inlineStr">
        <is>
          <t>summon_count</t>
        </is>
      </c>
      <c r="EL46" s="227" t="inlineStr">
        <is>
          <t>summon_interval</t>
        </is>
      </c>
      <c r="EM46" s="227" t="inlineStr">
        <is>
          <t>summon_animation_type</t>
        </is>
      </c>
      <c r="EN46" s="227" t="inlineStr">
        <is>
          <t>summon_position</t>
        </is>
      </c>
      <c r="EO46" s="227" t="inlineStr">
        <is>
          <t>move_start_condition_type</t>
        </is>
      </c>
      <c r="EP46" s="227" t="inlineStr">
        <is>
          <t>move_start_condition_value</t>
        </is>
      </c>
      <c r="EQ46" s="227" t="inlineStr">
        <is>
          <t>move_stop_condition_type</t>
        </is>
      </c>
      <c r="ER46" s="227" t="inlineStr">
        <is>
          <t>move_stop_condition_value</t>
        </is>
      </c>
      <c r="ES46" s="227" t="inlineStr">
        <is>
          <t>move_restart_condition_type</t>
        </is>
      </c>
      <c r="ET46" s="227" t="inlineStr">
        <is>
          <t>move_restart_condition_value</t>
        </is>
      </c>
      <c r="EU46" s="227" t="inlineStr">
        <is>
          <t>move_loop_count</t>
        </is>
      </c>
      <c r="EV46" s="227" t="inlineStr">
        <is>
          <t>is_summon_unit_outpost_damage_invalidation</t>
        </is>
      </c>
      <c r="EW46" s="227" t="n"/>
      <c r="EX46" s="227" t="inlineStr">
        <is>
          <t>aura_type</t>
        </is>
      </c>
      <c r="EY46" s="227" t="inlineStr">
        <is>
          <t>death_type</t>
        </is>
      </c>
      <c r="EZ46" s="227" t="inlineStr">
        <is>
          <t>enemy_hp_coef</t>
        </is>
      </c>
      <c r="FA46" s="227" t="inlineStr">
        <is>
          <t>enemy_attack_coef</t>
        </is>
      </c>
      <c r="FB46" s="227" t="inlineStr">
        <is>
          <t>enemy_speed_coef</t>
        </is>
      </c>
      <c r="FC46" s="227" t="inlineStr">
        <is>
          <t>override_drop_battle_point</t>
        </is>
      </c>
      <c r="FD46" s="227" t="inlineStr">
        <is>
          <t>defeated_score</t>
        </is>
      </c>
      <c r="FE46" s="227" t="inlineStr">
        <is>
          <t>action_delay</t>
        </is>
      </c>
      <c r="FF46" s="227" t="inlineStr">
        <is>
          <t>deactivation_condition_type</t>
        </is>
      </c>
      <c r="FG46" s="227" t="inlineStr">
        <is>
          <t>deactivation_condition_value</t>
        </is>
      </c>
      <c r="FH46" s="229" t="n"/>
      <c r="FI46" s="229" t="n"/>
      <c r="FJ46" s="229" t="n"/>
      <c r="FK46" s="229" t="n"/>
    </row>
    <row r="47">
      <c r="A47" s="230" t="n"/>
      <c r="B47" s="17" t="n"/>
      <c r="C47" s="485" t="n"/>
      <c r="D47" s="533" t="n">
        <v>1</v>
      </c>
      <c r="E47" s="485" t="n"/>
      <c r="F47" s="534" t="n"/>
      <c r="G47" s="485" t="n"/>
      <c r="H47" s="535" t="inlineStr">
        <is>
          <t>e_jig_00401_jig1_advent_Normal_Colorless</t>
        </is>
      </c>
      <c r="I47" s="484" t="n"/>
      <c r="J47" s="484" t="n"/>
      <c r="K47" s="485" t="n"/>
      <c r="L47" s="536">
        <f t="array" ref="L47">iferror(INDEX('ファントムマスター'!F:F,MATCH(H47,'ファントムマスター'!D:D,0),0),"none")</f>
        <v/>
      </c>
      <c r="M47" s="484" t="n"/>
      <c r="N47" s="484" t="n"/>
      <c r="O47" s="485" t="n"/>
      <c r="P47" s="536">
        <f t="array" ref="P47">iferror(INDEX('ファントムマスター'!H:H,MATCH(H47,'ファントムマスター'!D:D,0),0),"none")</f>
        <v/>
      </c>
      <c r="Q47" s="485" t="n"/>
      <c r="R47" s="536">
        <f t="array" ref="R47">iferror(INDEX('ファントムマスター'!J:J,MATCH(H47,'ファントムマスター'!D:D,0),0),"none")</f>
        <v/>
      </c>
      <c r="S47" s="485" t="n"/>
      <c r="T47" s="536">
        <f t="array" ref="T47">iferror(INDEX('ファントムマスター'!I:I,MATCH(H47,'ファントムマスター'!D:D,0),0),"none")</f>
        <v/>
      </c>
      <c r="U47" s="485" t="n"/>
      <c r="V47" s="535" t="inlineStr">
        <is>
          <t>Default</t>
        </is>
      </c>
      <c r="W47" s="485" t="n"/>
      <c r="X47" s="535" t="inlineStr">
        <is>
          <t>Normal</t>
        </is>
      </c>
      <c r="Y47" s="485" t="n"/>
      <c r="Z47" s="535" t="inlineStr">
        <is>
          <t>なし</t>
        </is>
      </c>
      <c r="AA47" s="485" t="n"/>
      <c r="AB47" s="537">
        <f t="array" ref="AB47">iferror(INDEX('ファントムマスター'!K:K,MATCH(H47,'ファントムマスター'!D:D,0),0)*AD47,"none")</f>
        <v/>
      </c>
      <c r="AC47" s="485" t="n"/>
      <c r="AD47" s="533" t="n">
        <v>3</v>
      </c>
      <c r="AE47" s="485" t="n"/>
      <c r="AF47" s="537">
        <f t="array" ref="AF47">iferror(INDEX('ファントムマスター'!O:O,MATCH(H47,'ファントムマスター'!D:D,0),0)*AH47,"none")</f>
        <v/>
      </c>
      <c r="AG47" s="485" t="n"/>
      <c r="AH47" s="533" t="n">
        <v>0.3</v>
      </c>
      <c r="AI47" s="485" t="n"/>
      <c r="AJ47" s="538">
        <f t="array" ref="AJ47">iferror(right(INDEX('ファントムマスター'!T:T,MATCH(H47,'ファントムマスター'!D:D,0),0),4)*50,"none")</f>
        <v/>
      </c>
      <c r="AK47" s="485" t="n"/>
      <c r="AL47" s="539">
        <f t="array" ref="AL47">iferror(right(INDEX('ファントムマスター'!V:V,MATCH(H47,'ファントムマスター'!D:D,0),0),4),"none")</f>
        <v/>
      </c>
      <c r="AM47" s="485" t="n"/>
      <c r="AN47" s="540">
        <f>iferror(AF47*(50/(AJ47+AL47)),"攻撃力に数値を入力")</f>
        <v/>
      </c>
      <c r="AO47" s="485" t="n"/>
      <c r="AP47" s="523">
        <f t="array" ref="AP47">XLOOKUP(H47,'ファントムマスター'!D:D,'ファントムマスター'!AC:AC,"none")</f>
        <v/>
      </c>
      <c r="AQ47" s="484" t="n"/>
      <c r="AR47" s="484" t="n"/>
      <c r="AS47" s="485" t="n"/>
      <c r="AT47" s="541">
        <f t="array" ref="AT47">iferror(INDEX('ファントムマスター'!Y:Y,MATCH(H47,'ファントムマスター'!D:D,0),0),"none")</f>
        <v/>
      </c>
      <c r="AU47" s="484" t="n"/>
      <c r="AV47" s="484" t="n"/>
      <c r="AW47" s="484" t="n"/>
      <c r="AX47" s="485" t="n"/>
      <c r="AY47" s="537">
        <f t="array" ref="AY47">iferror(INDEX('ファントムマスター'!Z:Z,MATCH(H47,'ファントムマスター'!D:D,0),0),"none")</f>
        <v/>
      </c>
      <c r="AZ47" s="485" t="n"/>
      <c r="BA47" s="537">
        <f t="array" ref="BA47">iferror(INDEX('ファントムマスター'!W:W,MATCH(H47,'ファントムマスター'!D:D,0),0)*50,"none")</f>
        <v/>
      </c>
      <c r="BB47" s="485" t="n"/>
      <c r="BC47" s="349">
        <f t="array" ref="BC47">iferror(INDEX('ファントムマスター'!AA:AA,MATCH(H47,'ファントムマスター'!D:D,0),0),"none")</f>
        <v/>
      </c>
      <c r="BD47" s="485" t="n"/>
      <c r="BE47" s="537">
        <f t="array" ref="BE47">iferror(INDEX('ファントムマスター'!M:M,MATCH(H47,'ファントムマスター'!D:D,0),0),"none")</f>
        <v/>
      </c>
      <c r="BF47" s="485" t="n"/>
      <c r="BG47" s="537">
        <f t="array" ref="BG47">iferror(INDEX('ファントムマスター'!N:N,MATCH(H47,'ファントムマスター'!D:D,0),0),"none")</f>
        <v/>
      </c>
      <c r="BH47" s="485" t="n"/>
      <c r="BI47" s="537">
        <f t="array" ref="BI47">iferror(INDEX('ファントムマスター'!P:P,MATCH(H47,'ファントムマスター'!D:D,0),0),"none")</f>
        <v/>
      </c>
      <c r="BJ47" s="485" t="n"/>
      <c r="BK47" s="537">
        <f t="array" ref="BK47">iferror(INDEX('ファントムマスター'!Q:Q,MATCH(H47,'ファントムマスター'!D:D,0),0),"none")</f>
        <v/>
      </c>
      <c r="BL47" s="485" t="n"/>
      <c r="BM47" s="542">
        <f t="array" ref="BM47">iferror(INDEX('ファントムマスター'!R:R,MATCH(H47,'ファントムマスター'!D:D,0),0),"none")</f>
        <v/>
      </c>
      <c r="BN47" s="485" t="n"/>
      <c r="BO47" s="537">
        <f t="array" ref="BO47">iferror(INDEX('ファントムマスター'!L:L,MATCH(H47,'ファントムマスター'!D:D,0),0),"none")</f>
        <v/>
      </c>
      <c r="BP47" s="485" t="n"/>
      <c r="BQ47" s="537">
        <f t="array" ref="BQ47">iferror(INDEX('ファントムマスター'!S:S,MATCH(H47,'ファントムマスター'!D:D,0),0),"none")</f>
        <v/>
      </c>
      <c r="BR47" s="485" t="n"/>
      <c r="BS47" s="533" t="n">
        <v>50</v>
      </c>
      <c r="BT47" s="485" t="n"/>
      <c r="BU47" s="533" t="n">
        <v>20</v>
      </c>
      <c r="BV47" s="485" t="n"/>
      <c r="BW47" s="535" t="n"/>
      <c r="BX47" s="485" t="n"/>
      <c r="BY47" s="17" t="n"/>
      <c r="BZ47" s="485" t="n"/>
      <c r="CA47" s="17" t="n"/>
      <c r="CB47" s="485" t="n"/>
      <c r="CC47" s="535" t="inlineStr">
        <is>
          <t>ElapsedTime</t>
        </is>
      </c>
      <c r="CD47" s="484" t="n"/>
      <c r="CE47" s="484" t="n"/>
      <c r="CF47" s="485" t="n"/>
      <c r="CG47" s="543" t="n">
        <v>0</v>
      </c>
      <c r="CH47" s="485" t="n"/>
      <c r="CI47" s="543" t="n">
        <v>100</v>
      </c>
      <c r="CJ47" s="485" t="n"/>
      <c r="CK47" s="543" t="n">
        <v>5</v>
      </c>
      <c r="CL47" s="485" t="n"/>
      <c r="CM47" s="544" t="n"/>
      <c r="CN47" s="485" t="n"/>
      <c r="CO47" s="545" t="inlineStr">
        <is>
          <t>None</t>
        </is>
      </c>
      <c r="CP47" s="485" t="n"/>
      <c r="CQ47" s="17" t="n"/>
      <c r="CR47" s="485" t="n"/>
      <c r="CS47" s="535" t="inlineStr">
        <is>
          <t>None</t>
        </is>
      </c>
      <c r="CT47" s="484" t="n"/>
      <c r="CU47" s="484" t="n"/>
      <c r="CV47" s="485" t="n"/>
      <c r="CW47" s="544" t="n"/>
      <c r="CX47" s="485" t="n"/>
      <c r="CY47" s="535" t="inlineStr">
        <is>
          <t>None</t>
        </is>
      </c>
      <c r="CZ47" s="484" t="n"/>
      <c r="DA47" s="484" t="n"/>
      <c r="DB47" s="485" t="n"/>
      <c r="DC47" s="544" t="n"/>
      <c r="DD47" s="485" t="n"/>
      <c r="DE47" s="535" t="inlineStr">
        <is>
          <t>None</t>
        </is>
      </c>
      <c r="DF47" s="484" t="n"/>
      <c r="DG47" s="484" t="n"/>
      <c r="DH47" s="485" t="n"/>
      <c r="DI47" s="544" t="n"/>
      <c r="DJ47" s="485" t="n"/>
      <c r="DK47" s="544" t="n"/>
      <c r="DL47" s="485" t="n"/>
      <c r="DM47" s="546" t="b">
        <v>0</v>
      </c>
      <c r="DN47" s="485" t="n"/>
      <c r="DO47" s="535" t="inlineStr">
        <is>
          <t>None</t>
        </is>
      </c>
      <c r="DP47" s="484" t="n"/>
      <c r="DQ47" s="484" t="n"/>
      <c r="DR47" s="485" t="n"/>
      <c r="DS47" s="544" t="n"/>
      <c r="DT47" s="485" t="n"/>
      <c r="DU47" s="17" t="n"/>
      <c r="DV47" s="484" t="n"/>
      <c r="DW47" s="484" t="n"/>
      <c r="DX47" s="484" t="n"/>
      <c r="DY47" s="485" t="n"/>
      <c r="DZ47" s="230" t="n"/>
      <c r="EA47" s="124" t="n"/>
      <c r="EB47" s="230" t="n"/>
      <c r="EC47" s="249">
        <f>B47</f>
        <v/>
      </c>
      <c r="ED47" s="249">
        <f>D47</f>
        <v/>
      </c>
      <c r="EE47" s="249">
        <f>F47</f>
        <v/>
      </c>
      <c r="EF47" s="249">
        <f>CC47</f>
        <v/>
      </c>
      <c r="EG47" s="249">
        <f>CG47</f>
        <v/>
      </c>
      <c r="EH47" s="249">
        <f>if(iferror(LEFT(ED47,LEN("groupchange")),"SummonEnemy")="groupchange","SwitchSequenceGroup","SummonEnemy")</f>
        <v/>
      </c>
      <c r="EI47" s="249">
        <f>H47</f>
        <v/>
      </c>
      <c r="EJ47" s="249" t="n"/>
      <c r="EK47" s="249">
        <f>CK47</f>
        <v/>
      </c>
      <c r="EL47" s="249">
        <f>CI47</f>
        <v/>
      </c>
      <c r="EM47" s="249">
        <f>CO47</f>
        <v/>
      </c>
      <c r="EN47" s="249">
        <f>CQ47</f>
        <v/>
      </c>
      <c r="EO47" s="249">
        <f>CS47</f>
        <v/>
      </c>
      <c r="EP47" s="249">
        <f>CW47</f>
        <v/>
      </c>
      <c r="EQ47" s="249">
        <f>CY47</f>
        <v/>
      </c>
      <c r="ER47" s="249">
        <f>DC47</f>
        <v/>
      </c>
      <c r="ES47" s="249">
        <f>DE47</f>
        <v/>
      </c>
      <c r="ET47" s="249">
        <f>DI47</f>
        <v/>
      </c>
      <c r="EU47" s="249">
        <f>DK47</f>
        <v/>
      </c>
      <c r="EV47" s="249">
        <f>DM47</f>
        <v/>
      </c>
      <c r="EW47" s="249" t="n"/>
      <c r="EX47" s="249">
        <f>V47</f>
        <v/>
      </c>
      <c r="EY47" s="249">
        <f>X47</f>
        <v/>
      </c>
      <c r="EZ47" s="249">
        <f>AD47</f>
        <v/>
      </c>
      <c r="FA47" s="249">
        <f>AH47</f>
        <v/>
      </c>
      <c r="FB47" s="249">
        <f>"1"</f>
        <v/>
      </c>
      <c r="FC47" s="249">
        <f>BS47</f>
        <v/>
      </c>
      <c r="FD47" s="249">
        <f>BU47</f>
        <v/>
      </c>
      <c r="FE47" s="249">
        <f>CM47</f>
        <v/>
      </c>
      <c r="FF47" s="249">
        <f>DO47</f>
        <v/>
      </c>
      <c r="FG47" s="249">
        <f>DS47</f>
        <v/>
      </c>
      <c r="FH47" s="230" t="n"/>
      <c r="FI47" s="230" t="n"/>
      <c r="FJ47" s="230" t="n"/>
      <c r="FK47" s="230" t="n"/>
    </row>
    <row r="48">
      <c r="A48" s="250" t="n"/>
      <c r="B48" s="17" t="n"/>
      <c r="C48" s="485" t="n"/>
      <c r="D48" s="533" t="n">
        <v>2</v>
      </c>
      <c r="E48" s="485" t="n"/>
      <c r="F48" s="534" t="n"/>
      <c r="G48" s="485" t="n"/>
      <c r="H48" s="535" t="inlineStr">
        <is>
          <t>e_jig_00001_jig1_advent_Normal_Colorless</t>
        </is>
      </c>
      <c r="I48" s="484" t="n"/>
      <c r="J48" s="484" t="n"/>
      <c r="K48" s="485" t="n"/>
      <c r="L48" s="536">
        <f t="array" ref="L48">iferror(INDEX('ファントムマスター'!F:F,MATCH(H48,'ファントムマスター'!D:D,0),0),"none")</f>
        <v/>
      </c>
      <c r="M48" s="484" t="n"/>
      <c r="N48" s="484" t="n"/>
      <c r="O48" s="485" t="n"/>
      <c r="P48" s="536">
        <f t="array" ref="P48">iferror(INDEX('ファントムマスター'!H:H,MATCH(H48,'ファントムマスター'!D:D,0),0),"none")</f>
        <v/>
      </c>
      <c r="Q48" s="485" t="n"/>
      <c r="R48" s="536">
        <f t="array" ref="R48">iferror(INDEX('ファントムマスター'!J:J,MATCH(H48,'ファントムマスター'!D:D,0),0),"none")</f>
        <v/>
      </c>
      <c r="S48" s="485" t="n"/>
      <c r="T48" s="536">
        <f t="array" ref="T48">iferror(INDEX('ファントムマスター'!I:I,MATCH(H48,'ファントムマスター'!D:D,0),0),"none")</f>
        <v/>
      </c>
      <c r="U48" s="485" t="n"/>
      <c r="V48" s="535" t="inlineStr">
        <is>
          <t>Default</t>
        </is>
      </c>
      <c r="W48" s="485" t="n"/>
      <c r="X48" s="535" t="inlineStr">
        <is>
          <t>Normal</t>
        </is>
      </c>
      <c r="Y48" s="485" t="n"/>
      <c r="Z48" s="535" t="inlineStr">
        <is>
          <t>なし</t>
        </is>
      </c>
      <c r="AA48" s="485" t="n"/>
      <c r="AB48" s="537">
        <f t="array" ref="AB48">iferror(INDEX('ファントムマスター'!K:K,MATCH(H48,'ファントムマスター'!D:D,0),0)*AD48,"none")</f>
        <v/>
      </c>
      <c r="AC48" s="485" t="n"/>
      <c r="AD48" s="533" t="n">
        <v>0.7</v>
      </c>
      <c r="AE48" s="485" t="n"/>
      <c r="AF48" s="537">
        <f t="array" ref="AF48">iferror(INDEX('ファントムマスター'!O:O,MATCH(H48,'ファントムマスター'!D:D,0),0)*AH48,"none")</f>
        <v/>
      </c>
      <c r="AG48" s="485" t="n"/>
      <c r="AH48" s="533" t="n">
        <v>0.6</v>
      </c>
      <c r="AI48" s="485" t="n"/>
      <c r="AJ48" s="538">
        <f t="array" ref="AJ48">iferror(right(INDEX('ファントムマスター'!T:T,MATCH(H48,'ファントムマスター'!D:D,0),0),4)*50,"none")</f>
        <v/>
      </c>
      <c r="AK48" s="485" t="n"/>
      <c r="AL48" s="539">
        <f t="array" ref="AL48">iferror(right(INDEX('ファントムマスター'!V:V,MATCH(H48,'ファントムマスター'!D:D,0),0),4),"none")</f>
        <v/>
      </c>
      <c r="AM48" s="485" t="n"/>
      <c r="AN48" s="540">
        <f>iferror(AF48*(50/(AJ48+AL48)),"攻撃力に数値を入力")</f>
        <v/>
      </c>
      <c r="AO48" s="485" t="n"/>
      <c r="AP48" s="541">
        <f t="array" ref="AP48">XLOOKUP(H48,'ファントムマスター'!D:D,'ファントムマスター'!AC:AC,"none")</f>
        <v/>
      </c>
      <c r="AQ48" s="484" t="n"/>
      <c r="AR48" s="484" t="n"/>
      <c r="AS48" s="485" t="n"/>
      <c r="AT48" s="541">
        <f t="array" ref="AT48">iferror(INDEX('ファントムマスター'!Y:Y,MATCH(H48,'ファントムマスター'!D:D,0),0),"none")</f>
        <v/>
      </c>
      <c r="AU48" s="484" t="n"/>
      <c r="AV48" s="484" t="n"/>
      <c r="AW48" s="484" t="n"/>
      <c r="AX48" s="485" t="n"/>
      <c r="AY48" s="537">
        <f t="array" ref="AY48">iferror(INDEX('ファントムマスター'!Z:Z,MATCH(H48,'ファントムマスター'!D:D,0),0),"none")</f>
        <v/>
      </c>
      <c r="AZ48" s="485" t="n"/>
      <c r="BA48" s="537">
        <f t="array" ref="BA48">iferror(INDEX('ファントムマスター'!W:W,MATCH(H48,'ファントムマスター'!D:D,0),0)*50,"none")</f>
        <v/>
      </c>
      <c r="BB48" s="485" t="n"/>
      <c r="BC48" s="349">
        <f t="array" ref="BC48">iferror(INDEX('ファントムマスター'!AA:AA,MATCH(H48,'ファントムマスター'!D:D,0),0),"none")</f>
        <v/>
      </c>
      <c r="BD48" s="485" t="n"/>
      <c r="BE48" s="537">
        <f t="array" ref="BE48">iferror(INDEX('ファントムマスター'!M:M,MATCH(H48,'ファントムマスター'!D:D,0),0),"none")</f>
        <v/>
      </c>
      <c r="BF48" s="485" t="n"/>
      <c r="BG48" s="537">
        <f t="array" ref="BG48">iferror(INDEX('ファントムマスター'!N:N,MATCH(H48,'ファントムマスター'!D:D,0),0),"none")</f>
        <v/>
      </c>
      <c r="BH48" s="485" t="n"/>
      <c r="BI48" s="537">
        <f t="array" ref="BI48">iferror(INDEX('ファントムマスター'!P:P,MATCH(H48,'ファントムマスター'!D:D,0),0),"none")</f>
        <v/>
      </c>
      <c r="BJ48" s="485" t="n"/>
      <c r="BK48" s="537">
        <f t="array" ref="BK48">iferror(INDEX('ファントムマスター'!Q:Q,MATCH(H48,'ファントムマスター'!D:D,0),0),"none")</f>
        <v/>
      </c>
      <c r="BL48" s="485" t="n"/>
      <c r="BM48" s="542">
        <f t="array" ref="BM48">iferror(INDEX('ファントムマスター'!R:R,MATCH(H48,'ファントムマスター'!D:D,0),0),"none")</f>
        <v/>
      </c>
      <c r="BN48" s="485" t="n"/>
      <c r="BO48" s="537">
        <f t="array" ref="BO48">iferror(INDEX('ファントムマスター'!L:L,MATCH(H48,'ファントムマスター'!D:D,0),0),"none")</f>
        <v/>
      </c>
      <c r="BP48" s="485" t="n"/>
      <c r="BQ48" s="537">
        <f t="array" ref="BQ48">iferror(INDEX('ファントムマスター'!S:S,MATCH(H48,'ファントムマスター'!D:D,0),0),"none")</f>
        <v/>
      </c>
      <c r="BR48" s="485" t="n"/>
      <c r="BS48" s="533" t="n"/>
      <c r="BT48" s="485" t="n"/>
      <c r="BU48" s="533" t="n">
        <v>20</v>
      </c>
      <c r="BV48" s="485" t="n"/>
      <c r="BW48" s="535" t="n"/>
      <c r="BX48" s="485" t="n"/>
      <c r="BY48" s="17" t="n"/>
      <c r="BZ48" s="485" t="n"/>
      <c r="CA48" s="17" t="n"/>
      <c r="CB48" s="485" t="n"/>
      <c r="CC48" s="535" t="inlineStr">
        <is>
          <t>ElapsedTime</t>
        </is>
      </c>
      <c r="CD48" s="484" t="n"/>
      <c r="CE48" s="484" t="n"/>
      <c r="CF48" s="485" t="n"/>
      <c r="CG48" s="543" t="n">
        <v>0</v>
      </c>
      <c r="CH48" s="485" t="n"/>
      <c r="CI48" s="543" t="n">
        <v>180</v>
      </c>
      <c r="CJ48" s="485" t="n"/>
      <c r="CK48" s="543" t="n">
        <v>5</v>
      </c>
      <c r="CL48" s="485" t="n"/>
      <c r="CM48" s="544" t="n"/>
      <c r="CN48" s="485" t="n"/>
      <c r="CO48" s="545" t="inlineStr">
        <is>
          <t>None</t>
        </is>
      </c>
      <c r="CP48" s="485" t="n"/>
      <c r="CQ48" s="17" t="n"/>
      <c r="CR48" s="485" t="n"/>
      <c r="CS48" s="535" t="inlineStr">
        <is>
          <t>None</t>
        </is>
      </c>
      <c r="CT48" s="484" t="n"/>
      <c r="CU48" s="484" t="n"/>
      <c r="CV48" s="485" t="n"/>
      <c r="CW48" s="544" t="n"/>
      <c r="CX48" s="485" t="n"/>
      <c r="CY48" s="535" t="inlineStr">
        <is>
          <t>None</t>
        </is>
      </c>
      <c r="CZ48" s="484" t="n"/>
      <c r="DA48" s="484" t="n"/>
      <c r="DB48" s="485" t="n"/>
      <c r="DC48" s="544" t="n"/>
      <c r="DD48" s="485" t="n"/>
      <c r="DE48" s="535" t="inlineStr">
        <is>
          <t>None</t>
        </is>
      </c>
      <c r="DF48" s="484" t="n"/>
      <c r="DG48" s="484" t="n"/>
      <c r="DH48" s="485" t="n"/>
      <c r="DI48" s="544" t="n"/>
      <c r="DJ48" s="485" t="n"/>
      <c r="DK48" s="544" t="n"/>
      <c r="DL48" s="485" t="n"/>
      <c r="DM48" s="546" t="b">
        <v>0</v>
      </c>
      <c r="DN48" s="485" t="n"/>
      <c r="DO48" s="535" t="inlineStr">
        <is>
          <t>None</t>
        </is>
      </c>
      <c r="DP48" s="484" t="n"/>
      <c r="DQ48" s="484" t="n"/>
      <c r="DR48" s="485" t="n"/>
      <c r="DS48" s="544" t="n"/>
      <c r="DT48" s="485" t="n"/>
      <c r="DU48" s="17" t="n"/>
      <c r="DV48" s="484" t="n"/>
      <c r="DW48" s="484" t="n"/>
      <c r="DX48" s="484" t="n"/>
      <c r="DY48" s="485" t="n"/>
      <c r="DZ48" s="250" t="n"/>
      <c r="EA48" s="160" t="n"/>
      <c r="EB48" s="250" t="n"/>
      <c r="EC48" s="253">
        <f>B48</f>
        <v/>
      </c>
      <c r="ED48" s="253">
        <f>D48</f>
        <v/>
      </c>
      <c r="EE48" s="253">
        <f>F48</f>
        <v/>
      </c>
      <c r="EF48" s="253">
        <f>CC48</f>
        <v/>
      </c>
      <c r="EG48" s="253">
        <f>CG48</f>
        <v/>
      </c>
      <c r="EH48" s="253">
        <f>if(iferror(LEFT(ED48,LEN(ED48)-2),"SummonEnemy")="groupchange","SwitchSequenceGroup","SummonEnemy")</f>
        <v/>
      </c>
      <c r="EI48" s="253">
        <f>H48</f>
        <v/>
      </c>
      <c r="EJ48" s="253" t="n"/>
      <c r="EK48" s="253">
        <f>CK48</f>
        <v/>
      </c>
      <c r="EL48" s="253">
        <f>CI48</f>
        <v/>
      </c>
      <c r="EM48" s="253">
        <f>CO48</f>
        <v/>
      </c>
      <c r="EN48" s="253">
        <f>CQ48</f>
        <v/>
      </c>
      <c r="EO48" s="253">
        <f>CS48</f>
        <v/>
      </c>
      <c r="EP48" s="253">
        <f>CW48</f>
        <v/>
      </c>
      <c r="EQ48" s="253">
        <f>CY48</f>
        <v/>
      </c>
      <c r="ER48" s="253">
        <f>DC48</f>
        <v/>
      </c>
      <c r="ES48" s="253">
        <f>DE48</f>
        <v/>
      </c>
      <c r="ET48" s="253">
        <f>DI48</f>
        <v/>
      </c>
      <c r="EU48" s="253">
        <f>DK48</f>
        <v/>
      </c>
      <c r="EV48" s="253">
        <f>DM48</f>
        <v/>
      </c>
      <c r="EW48" s="253" t="n"/>
      <c r="EX48" s="253">
        <f>V48</f>
        <v/>
      </c>
      <c r="EY48" s="253">
        <f>X48</f>
        <v/>
      </c>
      <c r="EZ48" s="253">
        <f>AD48</f>
        <v/>
      </c>
      <c r="FA48" s="253">
        <f>AH48</f>
        <v/>
      </c>
      <c r="FB48" s="253">
        <f>"1"</f>
        <v/>
      </c>
      <c r="FC48" s="253">
        <f>BS48</f>
        <v/>
      </c>
      <c r="FD48" s="253">
        <f>BU48</f>
        <v/>
      </c>
      <c r="FE48" s="253">
        <f>CM48</f>
        <v/>
      </c>
      <c r="FF48" s="253">
        <f>DO48</f>
        <v/>
      </c>
      <c r="FG48" s="253">
        <f>DS48</f>
        <v/>
      </c>
      <c r="FH48" s="250" t="n"/>
      <c r="FI48" s="250" t="n"/>
      <c r="FJ48" s="250" t="n"/>
      <c r="FK48" s="250" t="n"/>
    </row>
    <row r="49">
      <c r="A49" s="250" t="n"/>
      <c r="B49" s="17" t="n"/>
      <c r="C49" s="485" t="n"/>
      <c r="D49" s="533" t="n">
        <v>3</v>
      </c>
      <c r="E49" s="485" t="n"/>
      <c r="F49" s="534" t="n"/>
      <c r="G49" s="485" t="n"/>
      <c r="H49" s="535" t="inlineStr">
        <is>
          <t>e_jig_00301_jig1_advent_Boss_Colorless</t>
        </is>
      </c>
      <c r="I49" s="484" t="n"/>
      <c r="J49" s="484" t="n"/>
      <c r="K49" s="485" t="n"/>
      <c r="L49" s="536">
        <f t="array" ref="L49">iferror(INDEX('ファントムマスター'!F:F,MATCH(H49,'ファントムマスター'!D:D,0),0),"none")</f>
        <v/>
      </c>
      <c r="M49" s="484" t="n"/>
      <c r="N49" s="484" t="n"/>
      <c r="O49" s="485" t="n"/>
      <c r="P49" s="536">
        <f t="array" ref="P49">iferror(INDEX('ファントムマスター'!H:H,MATCH(H49,'ファントムマスター'!D:D,0),0),"none")</f>
        <v/>
      </c>
      <c r="Q49" s="485" t="n"/>
      <c r="R49" s="536">
        <f t="array" ref="R49">iferror(INDEX('ファントムマスター'!J:J,MATCH(H49,'ファントムマスター'!D:D,0),0),"none")</f>
        <v/>
      </c>
      <c r="S49" s="485" t="n"/>
      <c r="T49" s="536">
        <f t="array" ref="T49">iferror(INDEX('ファントムマスター'!I:I,MATCH(H49,'ファントムマスター'!D:D,0),0),"none")</f>
        <v/>
      </c>
      <c r="U49" s="485" t="n"/>
      <c r="V49" s="535" t="inlineStr">
        <is>
          <t>AdventBoss2</t>
        </is>
      </c>
      <c r="W49" s="485" t="n"/>
      <c r="X49" s="535" t="inlineStr">
        <is>
          <t>Normal</t>
        </is>
      </c>
      <c r="Y49" s="485" t="n"/>
      <c r="Z49" s="535" t="inlineStr">
        <is>
          <t>なし</t>
        </is>
      </c>
      <c r="AA49" s="485" t="n"/>
      <c r="AB49" s="537">
        <f t="array" ref="AB49">iferror(INDEX('ファントムマスター'!K:K,MATCH(H49,'ファントムマスター'!D:D,0),0)*AD49,"none")</f>
        <v/>
      </c>
      <c r="AC49" s="485" t="n"/>
      <c r="AD49" s="533" t="n">
        <v>8</v>
      </c>
      <c r="AE49" s="485" t="n"/>
      <c r="AF49" s="537">
        <f t="array" ref="AF49">iferror(INDEX('ファントムマスター'!O:O,MATCH(H49,'ファントムマスター'!D:D,0),0)*AH49,"none")</f>
        <v/>
      </c>
      <c r="AG49" s="485" t="n"/>
      <c r="AH49" s="533" t="n">
        <v>0.6</v>
      </c>
      <c r="AI49" s="485" t="n"/>
      <c r="AJ49" s="538">
        <f t="array" ref="AJ49">iferror(right(INDEX('ファントムマスター'!T:T,MATCH(H49,'ファントムマスター'!D:D,0),0),4)*50,"none")</f>
        <v/>
      </c>
      <c r="AK49" s="485" t="n"/>
      <c r="AL49" s="539">
        <f t="array" ref="AL49">iferror(right(INDEX('ファントムマスター'!V:V,MATCH(H49,'ファントムマスター'!D:D,0),0),4),"none")</f>
        <v/>
      </c>
      <c r="AM49" s="485" t="n"/>
      <c r="AN49" s="540">
        <f>iferror(AF49*(50/(AJ49+AL49)),"攻撃力に数値を入力")</f>
        <v/>
      </c>
      <c r="AO49" s="485" t="n"/>
      <c r="AP49" s="541">
        <f t="array" ref="AP49">XLOOKUP(H49,'ファントムマスター'!D:D,'ファントムマスター'!AC:AC,"none")</f>
        <v/>
      </c>
      <c r="AQ49" s="484" t="n"/>
      <c r="AR49" s="484" t="n"/>
      <c r="AS49" s="485" t="n"/>
      <c r="AT49" s="541">
        <f t="array" ref="AT49">iferror(INDEX('ファントムマスター'!Y:Y,MATCH(H49,'ファントムマスター'!D:D,0),0),"none")</f>
        <v/>
      </c>
      <c r="AU49" s="484" t="n"/>
      <c r="AV49" s="484" t="n"/>
      <c r="AW49" s="484" t="n"/>
      <c r="AX49" s="485" t="n"/>
      <c r="AY49" s="537">
        <f t="array" ref="AY49">iferror(INDEX('ファントムマスター'!Z:Z,MATCH(H49,'ファントムマスター'!D:D,0),0),"none")</f>
        <v/>
      </c>
      <c r="AZ49" s="485" t="n"/>
      <c r="BA49" s="537">
        <f t="array" ref="BA49">iferror(INDEX('ファントムマスター'!W:W,MATCH(H49,'ファントムマスター'!D:D,0),0)*50,"none")</f>
        <v/>
      </c>
      <c r="BB49" s="485" t="n"/>
      <c r="BC49" s="349">
        <f t="array" ref="BC49">iferror(INDEX('ファントムマスター'!AA:AA,MATCH(H49,'ファントムマスター'!D:D,0),0),"none")</f>
        <v/>
      </c>
      <c r="BD49" s="485" t="n"/>
      <c r="BE49" s="537">
        <f t="array" ref="BE49">iferror(INDEX('ファントムマスター'!M:M,MATCH(H49,'ファントムマスター'!D:D,0),0),"none")</f>
        <v/>
      </c>
      <c r="BF49" s="485" t="n"/>
      <c r="BG49" s="537">
        <f t="array" ref="BG49">iferror(INDEX('ファントムマスター'!N:N,MATCH(H49,'ファントムマスター'!D:D,0),0),"none")</f>
        <v/>
      </c>
      <c r="BH49" s="485" t="n"/>
      <c r="BI49" s="537">
        <f t="array" ref="BI49">iferror(INDEX('ファントムマスター'!P:P,MATCH(H49,'ファントムマスター'!D:D,0),0),"none")</f>
        <v/>
      </c>
      <c r="BJ49" s="485" t="n"/>
      <c r="BK49" s="537">
        <f t="array" ref="BK49">iferror(INDEX('ファントムマスター'!Q:Q,MATCH(H49,'ファントムマスター'!D:D,0),0),"none")</f>
        <v/>
      </c>
      <c r="BL49" s="485" t="n"/>
      <c r="BM49" s="542">
        <f t="array" ref="BM49">iferror(INDEX('ファントムマスター'!R:R,MATCH(H49,'ファントムマスター'!D:D,0),0),"none")</f>
        <v/>
      </c>
      <c r="BN49" s="485" t="n"/>
      <c r="BO49" s="537">
        <f t="array" ref="BO49">iferror(INDEX('ファントムマスター'!L:L,MATCH(H49,'ファントムマスター'!D:D,0),0),"none")</f>
        <v/>
      </c>
      <c r="BP49" s="485" t="n"/>
      <c r="BQ49" s="537">
        <f t="array" ref="BQ49">iferror(INDEX('ファントムマスター'!S:S,MATCH(H49,'ファントムマスター'!D:D,0),0),"none")</f>
        <v/>
      </c>
      <c r="BR49" s="485" t="n"/>
      <c r="BS49" s="533" t="n">
        <v>800</v>
      </c>
      <c r="BT49" s="485" t="n"/>
      <c r="BU49" s="533" t="n">
        <v>700</v>
      </c>
      <c r="BV49" s="485" t="n"/>
      <c r="BW49" s="535" t="n"/>
      <c r="BX49" s="485" t="n"/>
      <c r="BY49" s="17" t="n"/>
      <c r="BZ49" s="485" t="n"/>
      <c r="CA49" s="17" t="n"/>
      <c r="CB49" s="485" t="n"/>
      <c r="CC49" s="535" t="inlineStr">
        <is>
          <t>InitialSummon</t>
        </is>
      </c>
      <c r="CD49" s="484" t="n"/>
      <c r="CE49" s="484" t="n"/>
      <c r="CF49" s="485" t="n"/>
      <c r="CG49" s="543" t="n">
        <v>1</v>
      </c>
      <c r="CH49" s="485" t="n"/>
      <c r="CI49" s="543" t="n">
        <v>0</v>
      </c>
      <c r="CJ49" s="485" t="n"/>
      <c r="CK49" s="543" t="n">
        <v>1</v>
      </c>
      <c r="CL49" s="485" t="n"/>
      <c r="CM49" s="544" t="n"/>
      <c r="CN49" s="485" t="n"/>
      <c r="CO49" s="545" t="inlineStr">
        <is>
          <t>None</t>
        </is>
      </c>
      <c r="CP49" s="485" t="n"/>
      <c r="CQ49" s="533" t="n">
        <v>1.7</v>
      </c>
      <c r="CR49" s="485" t="n"/>
      <c r="CS49" s="535" t="inlineStr">
        <is>
          <t>EnterTargetKoma</t>
        </is>
      </c>
      <c r="CT49" s="484" t="n"/>
      <c r="CU49" s="484" t="n"/>
      <c r="CV49" s="485" t="n"/>
      <c r="CW49" s="543" t="n">
        <v>1</v>
      </c>
      <c r="CX49" s="485" t="n"/>
      <c r="CY49" s="535" t="inlineStr">
        <is>
          <t>None</t>
        </is>
      </c>
      <c r="CZ49" s="484" t="n"/>
      <c r="DA49" s="484" t="n"/>
      <c r="DB49" s="485" t="n"/>
      <c r="DC49" s="544" t="n"/>
      <c r="DD49" s="485" t="n"/>
      <c r="DE49" s="535" t="inlineStr">
        <is>
          <t>None</t>
        </is>
      </c>
      <c r="DF49" s="484" t="n"/>
      <c r="DG49" s="484" t="n"/>
      <c r="DH49" s="485" t="n"/>
      <c r="DI49" s="544" t="n"/>
      <c r="DJ49" s="485" t="n"/>
      <c r="DK49" s="544" t="n"/>
      <c r="DL49" s="485" t="n"/>
      <c r="DM49" s="546" t="b">
        <v>0</v>
      </c>
      <c r="DN49" s="485" t="n"/>
      <c r="DO49" s="535" t="inlineStr">
        <is>
          <t>None</t>
        </is>
      </c>
      <c r="DP49" s="484" t="n"/>
      <c r="DQ49" s="484" t="n"/>
      <c r="DR49" s="485" t="n"/>
      <c r="DS49" s="544" t="n"/>
      <c r="DT49" s="485" t="n"/>
      <c r="DU49" s="17" t="n"/>
      <c r="DV49" s="484" t="n"/>
      <c r="DW49" s="484" t="n"/>
      <c r="DX49" s="484" t="n"/>
      <c r="DY49" s="485" t="n"/>
      <c r="DZ49" s="250" t="n"/>
      <c r="EA49" s="160" t="n"/>
      <c r="EB49" s="250" t="n"/>
      <c r="EC49" s="249">
        <f>B49</f>
        <v/>
      </c>
      <c r="ED49" s="249">
        <f>D49</f>
        <v/>
      </c>
      <c r="EE49" s="249">
        <f>F49</f>
        <v/>
      </c>
      <c r="EF49" s="249">
        <f>CC49</f>
        <v/>
      </c>
      <c r="EG49" s="249">
        <f>CG49</f>
        <v/>
      </c>
      <c r="EH49" s="249">
        <f>if(iferror(LEFT(ED49,LEN(ED49)-2),"SummonEnemy")="groupchange","SwitchSequenceGroup","SummonEnemy")</f>
        <v/>
      </c>
      <c r="EI49" s="249">
        <f>H49</f>
        <v/>
      </c>
      <c r="EJ49" s="249" t="n"/>
      <c r="EK49" s="249">
        <f>CK49</f>
        <v/>
      </c>
      <c r="EL49" s="249">
        <f>CI49</f>
        <v/>
      </c>
      <c r="EM49" s="249">
        <f>CO49</f>
        <v/>
      </c>
      <c r="EN49" s="249">
        <f>CQ49</f>
        <v/>
      </c>
      <c r="EO49" s="249">
        <f>CS49</f>
        <v/>
      </c>
      <c r="EP49" s="249">
        <f>CW49</f>
        <v/>
      </c>
      <c r="EQ49" s="249">
        <f>CY49</f>
        <v/>
      </c>
      <c r="ER49" s="249">
        <f>DC49</f>
        <v/>
      </c>
      <c r="ES49" s="249">
        <f>DE49</f>
        <v/>
      </c>
      <c r="ET49" s="249">
        <f>DI49</f>
        <v/>
      </c>
      <c r="EU49" s="249">
        <f>DK49</f>
        <v/>
      </c>
      <c r="EV49" s="249">
        <f>DM49</f>
        <v/>
      </c>
      <c r="EW49" s="249" t="n"/>
      <c r="EX49" s="249">
        <f>V49</f>
        <v/>
      </c>
      <c r="EY49" s="249">
        <f>X49</f>
        <v/>
      </c>
      <c r="EZ49" s="249">
        <f>AD49</f>
        <v/>
      </c>
      <c r="FA49" s="249">
        <f>AH49</f>
        <v/>
      </c>
      <c r="FB49" s="249">
        <f>"1"</f>
        <v/>
      </c>
      <c r="FC49" s="249">
        <f>BS49</f>
        <v/>
      </c>
      <c r="FD49" s="249">
        <f>BU49</f>
        <v/>
      </c>
      <c r="FE49" s="249">
        <f>CM49</f>
        <v/>
      </c>
      <c r="FF49" s="249">
        <f>DO49</f>
        <v/>
      </c>
      <c r="FG49" s="249">
        <f>DS49</f>
        <v/>
      </c>
      <c r="FH49" s="250" t="n"/>
      <c r="FI49" s="250" t="n"/>
      <c r="FJ49" s="250" t="n"/>
      <c r="FK49" s="250" t="n"/>
    </row>
    <row r="50">
      <c r="A50" s="250" t="n"/>
      <c r="B50" s="17" t="n"/>
      <c r="C50" s="485" t="n"/>
      <c r="D50" s="535" t="inlineStr">
        <is>
          <t>groupchange_1</t>
        </is>
      </c>
      <c r="E50" s="485" t="n"/>
      <c r="F50" s="535" t="n"/>
      <c r="G50" s="485" t="n"/>
      <c r="H50" s="535" t="inlineStr">
        <is>
          <t>w1</t>
        </is>
      </c>
      <c r="I50" s="484" t="n"/>
      <c r="J50" s="484" t="n"/>
      <c r="K50" s="485" t="n"/>
      <c r="L50" s="536">
        <f t="array" ref="L50">iferror(INDEX('ファントムマスター'!F:F,MATCH(H50,'ファントムマスター'!D:D,0),0),"none")</f>
        <v/>
      </c>
      <c r="M50" s="484" t="n"/>
      <c r="N50" s="484" t="n"/>
      <c r="O50" s="485" t="n"/>
      <c r="P50" s="536">
        <f t="array" ref="P50">iferror(INDEX('ファントムマスター'!H:H,MATCH(H50,'ファントムマスター'!D:D,0),0),"none")</f>
        <v/>
      </c>
      <c r="Q50" s="485" t="n"/>
      <c r="R50" s="547">
        <f t="array" ref="R50">iferror(INDEX('ファントムマスター'!J:J,MATCH(H50,'ファントムマスター'!D:D,0),0),"none")</f>
        <v/>
      </c>
      <c r="S50" s="485" t="n"/>
      <c r="T50" s="536">
        <f t="array" ref="T50">iferror(INDEX('ファントムマスター'!I:I,MATCH(H50,'ファントムマスター'!D:D,0),0),"none")</f>
        <v/>
      </c>
      <c r="U50" s="485" t="n"/>
      <c r="V50" s="535" t="inlineStr">
        <is>
          <t>Default</t>
        </is>
      </c>
      <c r="W50" s="485" t="n"/>
      <c r="X50" s="535" t="inlineStr">
        <is>
          <t>Normal</t>
        </is>
      </c>
      <c r="Y50" s="485" t="n"/>
      <c r="Z50" s="535" t="inlineStr">
        <is>
          <t>なし</t>
        </is>
      </c>
      <c r="AA50" s="485" t="n"/>
      <c r="AB50" s="548">
        <f t="array" ref="AB50">iferror(INDEX('ファントムマスター'!K:K,MATCH(H50,'ファントムマスター'!D:D,0),0)*AD50,"none")</f>
        <v/>
      </c>
      <c r="AC50" s="485" t="n"/>
      <c r="AD50" s="533" t="n">
        <v>1</v>
      </c>
      <c r="AE50" s="485" t="n"/>
      <c r="AF50" s="548">
        <f t="array" ref="AF50">iferror(INDEX('ファントムマスター'!O:O,MATCH(H50,'ファントムマスター'!D:D,0),0)*AH50,"none")</f>
        <v/>
      </c>
      <c r="AG50" s="485" t="n"/>
      <c r="AH50" s="533" t="n">
        <v>1</v>
      </c>
      <c r="AI50" s="485" t="n"/>
      <c r="AJ50" s="539">
        <f t="array" ref="AJ50">iferror(right(INDEX('ファントムマスター'!T:T,MATCH(H50,'ファントムマスター'!D:D,0),0),4)*50,"none")</f>
        <v/>
      </c>
      <c r="AK50" s="485" t="n"/>
      <c r="AL50" s="539">
        <f t="array" ref="AL50">iferror(right(INDEX('ファントムマスター'!V:V,MATCH(H50,'ファントムマスター'!D:D,0),0),4),"none")</f>
        <v/>
      </c>
      <c r="AM50" s="485" t="n"/>
      <c r="AN50" s="549">
        <f>iferror(AF50*(50/(AJ50+AL50)),"攻撃力に数値を入力")</f>
        <v/>
      </c>
      <c r="AO50" s="485" t="n"/>
      <c r="AP50" s="538">
        <f t="array" ref="AP50">XLOOKUP(H50,'ファントムマスター'!D:D,'ファントムマスター'!AC:AC,"none")</f>
        <v/>
      </c>
      <c r="AQ50" s="484" t="n"/>
      <c r="AR50" s="484" t="n"/>
      <c r="AS50" s="485" t="n"/>
      <c r="AT50" s="538">
        <f t="array" ref="AT50">iferror(INDEX('ファントムマスター'!Y:Y,MATCH(H50,'ファントムマスター'!D:D,0),0),"none")</f>
        <v/>
      </c>
      <c r="AU50" s="484" t="n"/>
      <c r="AV50" s="484" t="n"/>
      <c r="AW50" s="484" t="n"/>
      <c r="AX50" s="485" t="n"/>
      <c r="AY50" s="537">
        <f t="array" ref="AY50">iferror(INDEX('ファントムマスター'!Z:Z,MATCH(H50,'ファントムマスター'!D:D,0),0),"none")</f>
        <v/>
      </c>
      <c r="AZ50" s="485" t="n"/>
      <c r="BA50" s="537">
        <f t="array" ref="BA50">iferror(INDEX('ファントムマスター'!W:W,MATCH(H50,'ファントムマスター'!D:D,0),0)*50,"none")</f>
        <v/>
      </c>
      <c r="BB50" s="485" t="n"/>
      <c r="BC50" s="536">
        <f t="array" ref="BC50">iferror(INDEX('ファントムマスター'!AA:AA,MATCH(H50,'ファントムマスター'!D:D,0),0),"none")</f>
        <v/>
      </c>
      <c r="BD50" s="485" t="n"/>
      <c r="BE50" s="548">
        <f t="array" ref="BE50">iferror(INDEX('ファントムマスター'!M:M,MATCH(H50,'ファントムマスター'!D:D,0),0),"none")</f>
        <v/>
      </c>
      <c r="BF50" s="485" t="n"/>
      <c r="BG50" s="548">
        <f t="array" ref="BG50">iferror(INDEX('ファントムマスター'!N:N,MATCH(H50,'ファントムマスター'!D:D,0),0),"none")</f>
        <v/>
      </c>
      <c r="BH50" s="485" t="n"/>
      <c r="BI50" s="548">
        <f t="array" ref="BI50">iferror(INDEX('ファントムマスター'!P:P,MATCH(H50,'ファントムマスター'!D:D,0),0),"none")</f>
        <v/>
      </c>
      <c r="BJ50" s="485" t="n"/>
      <c r="BK50" s="548">
        <f t="array" ref="BK50">iferror(INDEX('ファントムマスター'!Q:Q,MATCH(H50,'ファントムマスター'!D:D,0),0),"none")</f>
        <v/>
      </c>
      <c r="BL50" s="485" t="n"/>
      <c r="BM50" s="542">
        <f t="array" ref="BM50">iferror(INDEX('ファントムマスター'!R:R,MATCH(H50,'ファントムマスター'!D:D,0),0),"none")</f>
        <v/>
      </c>
      <c r="BN50" s="485" t="n"/>
      <c r="BO50" s="548">
        <f t="array" ref="BO50">iferror(INDEX('ファントムマスター'!L:L,MATCH(H50,'ファントムマスター'!D:D,0),0),"none")</f>
        <v/>
      </c>
      <c r="BP50" s="485" t="n"/>
      <c r="BQ50" s="548">
        <f t="array" ref="BQ50">iferror(INDEX('ファントムマスター'!S:S,MATCH(H50,'ファントムマスター'!D:D,0),0),"none")</f>
        <v/>
      </c>
      <c r="BR50" s="485" t="n"/>
      <c r="BS50" s="17" t="n"/>
      <c r="BT50" s="485" t="n"/>
      <c r="BU50" s="17" t="n"/>
      <c r="BV50" s="485" t="n"/>
      <c r="BW50" s="535" t="n"/>
      <c r="BX50" s="485" t="n"/>
      <c r="BY50" s="17" t="n"/>
      <c r="BZ50" s="485" t="n"/>
      <c r="CA50" s="17" t="n"/>
      <c r="CB50" s="485" t="n"/>
      <c r="CC50" s="535" t="inlineStr">
        <is>
          <t>ElapsedTime</t>
        </is>
      </c>
      <c r="CD50" s="484" t="n"/>
      <c r="CE50" s="484" t="n"/>
      <c r="CF50" s="485" t="n"/>
      <c r="CG50" s="533" t="n">
        <v>200</v>
      </c>
      <c r="CH50" s="485" t="n"/>
      <c r="CI50" s="17" t="n"/>
      <c r="CJ50" s="485" t="n"/>
      <c r="CK50" s="17" t="n"/>
      <c r="CL50" s="485" t="n"/>
      <c r="CM50" s="17" t="n"/>
      <c r="CN50" s="485" t="n"/>
      <c r="CO50" s="535" t="inlineStr">
        <is>
          <t>None</t>
        </is>
      </c>
      <c r="CP50" s="485" t="n"/>
      <c r="CQ50" s="17" t="n"/>
      <c r="CR50" s="485" t="n"/>
      <c r="CS50" s="535" t="inlineStr">
        <is>
          <t>None</t>
        </is>
      </c>
      <c r="CT50" s="484" t="n"/>
      <c r="CU50" s="484" t="n"/>
      <c r="CV50" s="485" t="n"/>
      <c r="CW50" s="17" t="n"/>
      <c r="CX50" s="485" t="n"/>
      <c r="CY50" s="535" t="inlineStr">
        <is>
          <t>None</t>
        </is>
      </c>
      <c r="CZ50" s="484" t="n"/>
      <c r="DA50" s="484" t="n"/>
      <c r="DB50" s="485" t="n"/>
      <c r="DC50" s="17" t="n"/>
      <c r="DD50" s="485" t="n"/>
      <c r="DE50" s="535" t="inlineStr">
        <is>
          <t>None</t>
        </is>
      </c>
      <c r="DF50" s="484" t="n"/>
      <c r="DG50" s="484" t="n"/>
      <c r="DH50" s="485" t="n"/>
      <c r="DI50" s="17" t="n"/>
      <c r="DJ50" s="485" t="n"/>
      <c r="DK50" s="17" t="n"/>
      <c r="DL50" s="485" t="n"/>
      <c r="DM50" s="547" t="b">
        <v>0</v>
      </c>
      <c r="DN50" s="485" t="n"/>
      <c r="DO50" s="535" t="inlineStr">
        <is>
          <t>None</t>
        </is>
      </c>
      <c r="DP50" s="484" t="n"/>
      <c r="DQ50" s="484" t="n"/>
      <c r="DR50" s="485" t="n"/>
      <c r="DS50" s="17" t="n"/>
      <c r="DT50" s="485" t="n"/>
      <c r="DU50" s="17" t="n"/>
      <c r="DV50" s="484" t="n"/>
      <c r="DW50" s="484" t="n"/>
      <c r="DX50" s="484" t="n"/>
      <c r="DY50" s="485" t="n"/>
      <c r="DZ50" s="250" t="n"/>
      <c r="EA50" s="160" t="n"/>
      <c r="EB50" s="250" t="n"/>
      <c r="EC50" s="253">
        <f>B50</f>
        <v/>
      </c>
      <c r="ED50" s="253">
        <f>D50</f>
        <v/>
      </c>
      <c r="EE50" s="253">
        <f>F50</f>
        <v/>
      </c>
      <c r="EF50" s="253">
        <f>CC50</f>
        <v/>
      </c>
      <c r="EG50" s="253">
        <f>CG50</f>
        <v/>
      </c>
      <c r="EH50" s="253">
        <f>if(iferror(LEFT(ED50,LEN(ED50)-2),"SummonEnemy")="groupchange","SwitchSequenceGroup","SummonEnemy")</f>
        <v/>
      </c>
      <c r="EI50" s="253">
        <f>H50</f>
        <v/>
      </c>
      <c r="EJ50" s="253" t="n"/>
      <c r="EK50" s="253">
        <f>CK50</f>
        <v/>
      </c>
      <c r="EL50" s="253">
        <f>CI50</f>
        <v/>
      </c>
      <c r="EM50" s="253">
        <f>CO50</f>
        <v/>
      </c>
      <c r="EN50" s="253">
        <f>CQ50</f>
        <v/>
      </c>
      <c r="EO50" s="253">
        <f>CS50</f>
        <v/>
      </c>
      <c r="EP50" s="253">
        <f>CW50</f>
        <v/>
      </c>
      <c r="EQ50" s="253">
        <f>CY50</f>
        <v/>
      </c>
      <c r="ER50" s="253">
        <f>DC50</f>
        <v/>
      </c>
      <c r="ES50" s="253">
        <f>DE50</f>
        <v/>
      </c>
      <c r="ET50" s="253">
        <f>DI50</f>
        <v/>
      </c>
      <c r="EU50" s="253">
        <f>DK50</f>
        <v/>
      </c>
      <c r="EV50" s="253">
        <f>DM50</f>
        <v/>
      </c>
      <c r="EW50" s="253" t="n"/>
      <c r="EX50" s="253">
        <f>V50</f>
        <v/>
      </c>
      <c r="EY50" s="253">
        <f>X50</f>
        <v/>
      </c>
      <c r="EZ50" s="253">
        <f>AD50</f>
        <v/>
      </c>
      <c r="FA50" s="253">
        <f>AH50</f>
        <v/>
      </c>
      <c r="FB50" s="253">
        <f>"1"</f>
        <v/>
      </c>
      <c r="FC50" s="253">
        <f>BS50</f>
        <v/>
      </c>
      <c r="FD50" s="253">
        <f>BU50</f>
        <v/>
      </c>
      <c r="FE50" s="253">
        <f>CM50</f>
        <v/>
      </c>
      <c r="FF50" s="253">
        <f>DO50</f>
        <v/>
      </c>
      <c r="FG50" s="253">
        <f>DS50</f>
        <v/>
      </c>
      <c r="FH50" s="250" t="n"/>
      <c r="FI50" s="250" t="n"/>
      <c r="FJ50" s="250" t="n"/>
      <c r="FK50" s="250" t="n"/>
    </row>
    <row r="51">
      <c r="A51" s="250" t="n"/>
      <c r="B51" s="535" t="inlineStr">
        <is>
          <t>w1</t>
        </is>
      </c>
      <c r="C51" s="485" t="n"/>
      <c r="D51" s="533" t="n">
        <v>101</v>
      </c>
      <c r="E51" s="485" t="n"/>
      <c r="F51" s="534" t="n"/>
      <c r="G51" s="485" t="n"/>
      <c r="H51" s="535" t="inlineStr">
        <is>
          <t>e_jig_00401_jig1_advent_Normal_Yellow</t>
        </is>
      </c>
      <c r="I51" s="484" t="n"/>
      <c r="J51" s="484" t="n"/>
      <c r="K51" s="485" t="n"/>
      <c r="L51" s="536">
        <f t="array" ref="L51">iferror(INDEX('ファントムマスター'!F:F,MATCH(H51,'ファントムマスター'!D:D,0),0),"none")</f>
        <v/>
      </c>
      <c r="M51" s="484" t="n"/>
      <c r="N51" s="484" t="n"/>
      <c r="O51" s="485" t="n"/>
      <c r="P51" s="536">
        <f t="array" ref="P51">iferror(INDEX('ファントムマスター'!H:H,MATCH(H51,'ファントムマスター'!D:D,0),0),"none")</f>
        <v/>
      </c>
      <c r="Q51" s="485" t="n"/>
      <c r="R51" s="550">
        <f t="array" ref="R51">iferror(INDEX('ファントムマスター'!J:J,MATCH(H51,'ファントムマスター'!D:D,0),0),"none")</f>
        <v/>
      </c>
      <c r="S51" s="485" t="n"/>
      <c r="T51" s="536">
        <f t="array" ref="T51">iferror(INDEX('ファントムマスター'!I:I,MATCH(H51,'ファントムマスター'!D:D,0),0),"none")</f>
        <v/>
      </c>
      <c r="U51" s="485" t="n"/>
      <c r="V51" s="535" t="inlineStr">
        <is>
          <t>Default</t>
        </is>
      </c>
      <c r="W51" s="485" t="n"/>
      <c r="X51" s="535" t="inlineStr">
        <is>
          <t>Normal</t>
        </is>
      </c>
      <c r="Y51" s="485" t="n"/>
      <c r="Z51" s="535" t="inlineStr">
        <is>
          <t>なし</t>
        </is>
      </c>
      <c r="AA51" s="485" t="n"/>
      <c r="AB51" s="537">
        <f t="array" ref="AB51">iferror(INDEX('ファントムマスター'!K:K,MATCH(H51,'ファントムマスター'!D:D,0),0)*AD51,"none")</f>
        <v/>
      </c>
      <c r="AC51" s="485" t="n"/>
      <c r="AD51" s="533" t="n">
        <v>5</v>
      </c>
      <c r="AE51" s="485" t="n"/>
      <c r="AF51" s="537">
        <f t="array" ref="AF51">iferror(INDEX('ファントムマスター'!O:O,MATCH(H51,'ファントムマスター'!D:D,0),0)*AH51,"none")</f>
        <v/>
      </c>
      <c r="AG51" s="485" t="n"/>
      <c r="AH51" s="533" t="n">
        <v>0.4</v>
      </c>
      <c r="AI51" s="485" t="n"/>
      <c r="AJ51" s="538">
        <f t="array" ref="AJ51">iferror(right(INDEX('ファントムマスター'!T:T,MATCH(H51,'ファントムマスター'!D:D,0),0),4)*50,"none")</f>
        <v/>
      </c>
      <c r="AK51" s="485" t="n"/>
      <c r="AL51" s="539">
        <f t="array" ref="AL51">iferror(right(INDEX('ファントムマスター'!V:V,MATCH(H51,'ファントムマスター'!D:D,0),0),4),"none")</f>
        <v/>
      </c>
      <c r="AM51" s="485" t="n"/>
      <c r="AN51" s="540">
        <f>iferror(AF51*(50/(AJ51+AL51)),"攻撃力に数値を入力")</f>
        <v/>
      </c>
      <c r="AO51" s="485" t="n"/>
      <c r="AP51" s="523">
        <f t="array" ref="AP51">XLOOKUP(H51,'ファントムマスター'!D:D,'ファントムマスター'!AC:AC,"none")</f>
        <v/>
      </c>
      <c r="AQ51" s="484" t="n"/>
      <c r="AR51" s="484" t="n"/>
      <c r="AS51" s="485" t="n"/>
      <c r="AT51" s="541">
        <f t="array" ref="AT51">iferror(INDEX('ファントムマスター'!Y:Y,MATCH(H51,'ファントムマスター'!D:D,0),0),"none")</f>
        <v/>
      </c>
      <c r="AU51" s="484" t="n"/>
      <c r="AV51" s="484" t="n"/>
      <c r="AW51" s="484" t="n"/>
      <c r="AX51" s="485" t="n"/>
      <c r="AY51" s="537">
        <f t="array" ref="AY51">iferror(INDEX('ファントムマスター'!Z:Z,MATCH(H51,'ファントムマスター'!D:D,0),0),"none")</f>
        <v/>
      </c>
      <c r="AZ51" s="485" t="n"/>
      <c r="BA51" s="537">
        <f t="array" ref="BA51">iferror(INDEX('ファントムマスター'!W:W,MATCH(H51,'ファントムマスター'!D:D,0),0)*50,"none")</f>
        <v/>
      </c>
      <c r="BB51" s="485" t="n"/>
      <c r="BC51" s="349">
        <f t="array" ref="BC51">iferror(INDEX('ファントムマスター'!AA:AA,MATCH(H51,'ファントムマスター'!D:D,0),0),"none")</f>
        <v/>
      </c>
      <c r="BD51" s="485" t="n"/>
      <c r="BE51" s="537">
        <f t="array" ref="BE51">iferror(INDEX('ファントムマスター'!M:M,MATCH(H51,'ファントムマスター'!D:D,0),0),"none")</f>
        <v/>
      </c>
      <c r="BF51" s="485" t="n"/>
      <c r="BG51" s="537">
        <f t="array" ref="BG51">iferror(INDEX('ファントムマスター'!N:N,MATCH(H51,'ファントムマスター'!D:D,0),0),"none")</f>
        <v/>
      </c>
      <c r="BH51" s="485" t="n"/>
      <c r="BI51" s="537">
        <f t="array" ref="BI51">iferror(INDEX('ファントムマスター'!P:P,MATCH(H51,'ファントムマスター'!D:D,0),0),"none")</f>
        <v/>
      </c>
      <c r="BJ51" s="485" t="n"/>
      <c r="BK51" s="537">
        <f t="array" ref="BK51">iferror(INDEX('ファントムマスター'!Q:Q,MATCH(H51,'ファントムマスター'!D:D,0),0),"none")</f>
        <v/>
      </c>
      <c r="BL51" s="485" t="n"/>
      <c r="BM51" s="542">
        <f t="array" ref="BM51">iferror(INDEX('ファントムマスター'!R:R,MATCH(H51,'ファントムマスター'!D:D,0),0),"none")</f>
        <v/>
      </c>
      <c r="BN51" s="485" t="n"/>
      <c r="BO51" s="537">
        <f t="array" ref="BO51">iferror(INDEX('ファントムマスター'!L:L,MATCH(H51,'ファントムマスター'!D:D,0),0),"none")</f>
        <v/>
      </c>
      <c r="BP51" s="485" t="n"/>
      <c r="BQ51" s="537">
        <f t="array" ref="BQ51">iferror(INDEX('ファントムマスター'!S:S,MATCH(H51,'ファントムマスター'!D:D,0),0),"none")</f>
        <v/>
      </c>
      <c r="BR51" s="485" t="n"/>
      <c r="BS51" s="533" t="n">
        <v>50</v>
      </c>
      <c r="BT51" s="485" t="n"/>
      <c r="BU51" s="533" t="n">
        <v>30</v>
      </c>
      <c r="BV51" s="485" t="n"/>
      <c r="BW51" s="535" t="n"/>
      <c r="BX51" s="485" t="n"/>
      <c r="BY51" s="17" t="n"/>
      <c r="BZ51" s="485" t="n"/>
      <c r="CA51" s="17" t="n"/>
      <c r="CB51" s="485" t="n"/>
      <c r="CC51" s="535" t="inlineStr">
        <is>
          <t>ElapsedTimeSinceSequenceGroupActivated</t>
        </is>
      </c>
      <c r="CD51" s="484" t="n"/>
      <c r="CE51" s="484" t="n"/>
      <c r="CF51" s="485" t="n"/>
      <c r="CG51" s="543" t="n">
        <v>0</v>
      </c>
      <c r="CH51" s="485" t="n"/>
      <c r="CI51" s="543" t="n">
        <v>450</v>
      </c>
      <c r="CJ51" s="485" t="n"/>
      <c r="CK51" s="543" t="n">
        <v>10</v>
      </c>
      <c r="CL51" s="485" t="n"/>
      <c r="CM51" s="544" t="n"/>
      <c r="CN51" s="485" t="n"/>
      <c r="CO51" s="545" t="inlineStr">
        <is>
          <t>None</t>
        </is>
      </c>
      <c r="CP51" s="485" t="n"/>
      <c r="CQ51" s="17" t="n"/>
      <c r="CR51" s="485" t="n"/>
      <c r="CS51" s="535" t="inlineStr">
        <is>
          <t>None</t>
        </is>
      </c>
      <c r="CT51" s="484" t="n"/>
      <c r="CU51" s="484" t="n"/>
      <c r="CV51" s="485" t="n"/>
      <c r="CW51" s="544" t="n"/>
      <c r="CX51" s="485" t="n"/>
      <c r="CY51" s="535" t="inlineStr">
        <is>
          <t>None</t>
        </is>
      </c>
      <c r="CZ51" s="484" t="n"/>
      <c r="DA51" s="484" t="n"/>
      <c r="DB51" s="485" t="n"/>
      <c r="DC51" s="544" t="n"/>
      <c r="DD51" s="485" t="n"/>
      <c r="DE51" s="535" t="inlineStr">
        <is>
          <t>None</t>
        </is>
      </c>
      <c r="DF51" s="484" t="n"/>
      <c r="DG51" s="484" t="n"/>
      <c r="DH51" s="485" t="n"/>
      <c r="DI51" s="544" t="n"/>
      <c r="DJ51" s="485" t="n"/>
      <c r="DK51" s="544" t="n"/>
      <c r="DL51" s="485" t="n"/>
      <c r="DM51" s="546" t="b">
        <v>0</v>
      </c>
      <c r="DN51" s="485" t="n"/>
      <c r="DO51" s="535" t="inlineStr">
        <is>
          <t>None</t>
        </is>
      </c>
      <c r="DP51" s="484" t="n"/>
      <c r="DQ51" s="484" t="n"/>
      <c r="DR51" s="485" t="n"/>
      <c r="DS51" s="544" t="n"/>
      <c r="DT51" s="485" t="n"/>
      <c r="DU51" s="17" t="n"/>
      <c r="DV51" s="484" t="n"/>
      <c r="DW51" s="484" t="n"/>
      <c r="DX51" s="484" t="n"/>
      <c r="DY51" s="485" t="n"/>
      <c r="DZ51" s="250" t="n"/>
      <c r="EA51" s="160" t="n"/>
      <c r="EB51" s="250" t="n"/>
      <c r="EC51" s="249">
        <f>B51</f>
        <v/>
      </c>
      <c r="ED51" s="249">
        <f>D51</f>
        <v/>
      </c>
      <c r="EE51" s="249">
        <f>F51</f>
        <v/>
      </c>
      <c r="EF51" s="249">
        <f>CC51</f>
        <v/>
      </c>
      <c r="EG51" s="249">
        <f>CG51</f>
        <v/>
      </c>
      <c r="EH51" s="249">
        <f>if(iferror(LEFT(ED51,LEN(ED51)-2),"SummonEnemy")="groupchange","SwitchSequenceGroup","SummonEnemy")</f>
        <v/>
      </c>
      <c r="EI51" s="249">
        <f>H51</f>
        <v/>
      </c>
      <c r="EJ51" s="249" t="n"/>
      <c r="EK51" s="249">
        <f>CK51</f>
        <v/>
      </c>
      <c r="EL51" s="249">
        <f>CI51</f>
        <v/>
      </c>
      <c r="EM51" s="249">
        <f>CO51</f>
        <v/>
      </c>
      <c r="EN51" s="249">
        <f>CQ51</f>
        <v/>
      </c>
      <c r="EO51" s="249">
        <f>CS51</f>
        <v/>
      </c>
      <c r="EP51" s="249">
        <f>CW51</f>
        <v/>
      </c>
      <c r="EQ51" s="249">
        <f>CY51</f>
        <v/>
      </c>
      <c r="ER51" s="249">
        <f>DC51</f>
        <v/>
      </c>
      <c r="ES51" s="249">
        <f>DE51</f>
        <v/>
      </c>
      <c r="ET51" s="249">
        <f>DI51</f>
        <v/>
      </c>
      <c r="EU51" s="249">
        <f>DK51</f>
        <v/>
      </c>
      <c r="EV51" s="249">
        <f>DM51</f>
        <v/>
      </c>
      <c r="EW51" s="249" t="n"/>
      <c r="EX51" s="249">
        <f>V51</f>
        <v/>
      </c>
      <c r="EY51" s="249">
        <f>X51</f>
        <v/>
      </c>
      <c r="EZ51" s="249">
        <f>AD51</f>
        <v/>
      </c>
      <c r="FA51" s="249">
        <f>AH51</f>
        <v/>
      </c>
      <c r="FB51" s="249">
        <f>"1"</f>
        <v/>
      </c>
      <c r="FC51" s="249">
        <f>BS51</f>
        <v/>
      </c>
      <c r="FD51" s="249">
        <f>BU51</f>
        <v/>
      </c>
      <c r="FE51" s="249">
        <f>CM51</f>
        <v/>
      </c>
      <c r="FF51" s="249">
        <f>DO51</f>
        <v/>
      </c>
      <c r="FG51" s="249">
        <f>DS51</f>
        <v/>
      </c>
      <c r="FH51" s="250" t="n"/>
      <c r="FI51" s="250" t="n"/>
      <c r="FJ51" s="250" t="n"/>
      <c r="FK51" s="250" t="n"/>
    </row>
    <row r="52">
      <c r="A52" s="250" t="n"/>
      <c r="B52" s="535" t="inlineStr">
        <is>
          <t>w1</t>
        </is>
      </c>
      <c r="C52" s="485" t="n"/>
      <c r="D52" s="533" t="n">
        <v>103</v>
      </c>
      <c r="E52" s="485" t="n"/>
      <c r="F52" s="534" t="n"/>
      <c r="G52" s="485" t="n"/>
      <c r="H52" s="535" t="inlineStr">
        <is>
          <t>e_jig_00201_jig1_advent_Boss_Yellow</t>
        </is>
      </c>
      <c r="I52" s="484" t="n"/>
      <c r="J52" s="484" t="n"/>
      <c r="K52" s="485" t="n"/>
      <c r="L52" s="536">
        <f t="array" ref="L52">iferror(INDEX('ファントムマスター'!F:F,MATCH(H52,'ファントムマスター'!D:D,0),0),"none")</f>
        <v/>
      </c>
      <c r="M52" s="484" t="n"/>
      <c r="N52" s="484" t="n"/>
      <c r="O52" s="485" t="n"/>
      <c r="P52" s="536">
        <f t="array" ref="P52">iferror(INDEX('ファントムマスター'!H:H,MATCH(H52,'ファントムマスター'!D:D,0),0),"none")</f>
        <v/>
      </c>
      <c r="Q52" s="485" t="n"/>
      <c r="R52" s="550">
        <f t="array" ref="R52">iferror(INDEX('ファントムマスター'!J:J,MATCH(H52,'ファントムマスター'!D:D,0),0),"none")</f>
        <v/>
      </c>
      <c r="S52" s="485" t="n"/>
      <c r="T52" s="536">
        <f t="array" ref="T52">iferror(INDEX('ファントムマスター'!I:I,MATCH(H52,'ファントムマスター'!D:D,0),0),"none")</f>
        <v/>
      </c>
      <c r="U52" s="485" t="n"/>
      <c r="V52" s="535" t="inlineStr">
        <is>
          <t>AdventBoss1</t>
        </is>
      </c>
      <c r="W52" s="485" t="n"/>
      <c r="X52" s="535" t="inlineStr">
        <is>
          <t>Normal</t>
        </is>
      </c>
      <c r="Y52" s="485" t="n"/>
      <c r="Z52" s="535" t="inlineStr">
        <is>
          <t>なし</t>
        </is>
      </c>
      <c r="AA52" s="485" t="n"/>
      <c r="AB52" s="537">
        <f t="array" ref="AB52">iferror(INDEX('ファントムマスター'!K:K,MATCH(H52,'ファントムマスター'!D:D,0),0)*AD52,"none")</f>
        <v/>
      </c>
      <c r="AC52" s="485" t="n"/>
      <c r="AD52" s="533" t="n">
        <v>0.13</v>
      </c>
      <c r="AE52" s="485" t="n"/>
      <c r="AF52" s="537">
        <f t="array" ref="AF52">iferror(INDEX('ファントムマスター'!O:O,MATCH(H52,'ファントムマスター'!D:D,0),0)*AH52,"none")</f>
        <v/>
      </c>
      <c r="AG52" s="485" t="n"/>
      <c r="AH52" s="533" t="n">
        <v>0.4</v>
      </c>
      <c r="AI52" s="485" t="n"/>
      <c r="AJ52" s="538">
        <f t="array" ref="AJ52">iferror(right(INDEX('ファントムマスター'!T:T,MATCH(H52,'ファントムマスター'!D:D,0),0),4)*50,"none")</f>
        <v/>
      </c>
      <c r="AK52" s="485" t="n"/>
      <c r="AL52" s="539">
        <f t="array" ref="AL52">iferror(right(INDEX('ファントムマスター'!V:V,MATCH(H52,'ファントムマスター'!D:D,0),0),4),"none")</f>
        <v/>
      </c>
      <c r="AM52" s="485" t="n"/>
      <c r="AN52" s="540">
        <f>iferror(AF52*(50/(AJ52+AL52)),"攻撃力に数値を入力")</f>
        <v/>
      </c>
      <c r="AO52" s="485" t="n"/>
      <c r="AP52" s="541">
        <f t="array" ref="AP52">XLOOKUP(H52,'ファントムマスター'!D:D,'ファントムマスター'!AC:AC,"none")</f>
        <v/>
      </c>
      <c r="AQ52" s="484" t="n"/>
      <c r="AR52" s="484" t="n"/>
      <c r="AS52" s="485" t="n"/>
      <c r="AT52" s="541">
        <f t="array" ref="AT52">iferror(INDEX('ファントムマスター'!Y:Y,MATCH(H52,'ファントムマスター'!D:D,0),0),"none")</f>
        <v/>
      </c>
      <c r="AU52" s="484" t="n"/>
      <c r="AV52" s="484" t="n"/>
      <c r="AW52" s="484" t="n"/>
      <c r="AX52" s="485" t="n"/>
      <c r="AY52" s="537">
        <f t="array" ref="AY52">iferror(INDEX('ファントムマスター'!Z:Z,MATCH(H52,'ファントムマスター'!D:D,0),0),"none")</f>
        <v/>
      </c>
      <c r="AZ52" s="485" t="n"/>
      <c r="BA52" s="537">
        <f t="array" ref="BA52">iferror(INDEX('ファントムマスター'!W:W,MATCH(H52,'ファントムマスター'!D:D,0),0)*50,"none")</f>
        <v/>
      </c>
      <c r="BB52" s="485" t="n"/>
      <c r="BC52" s="349">
        <f t="array" ref="BC52">iferror(INDEX('ファントムマスター'!AA:AA,MATCH(H52,'ファントムマスター'!D:D,0),0),"none")</f>
        <v/>
      </c>
      <c r="BD52" s="485" t="n"/>
      <c r="BE52" s="537">
        <f t="array" ref="BE52">iferror(INDEX('ファントムマスター'!M:M,MATCH(H52,'ファントムマスター'!D:D,0),0),"none")</f>
        <v/>
      </c>
      <c r="BF52" s="485" t="n"/>
      <c r="BG52" s="537">
        <f t="array" ref="BG52">iferror(INDEX('ファントムマスター'!N:N,MATCH(H52,'ファントムマスター'!D:D,0),0),"none")</f>
        <v/>
      </c>
      <c r="BH52" s="485" t="n"/>
      <c r="BI52" s="537">
        <f t="array" ref="BI52">iferror(INDEX('ファントムマスター'!P:P,MATCH(H52,'ファントムマスター'!D:D,0),0),"none")</f>
        <v/>
      </c>
      <c r="BJ52" s="485" t="n"/>
      <c r="BK52" s="537">
        <f t="array" ref="BK52">iferror(INDEX('ファントムマスター'!Q:Q,MATCH(H52,'ファントムマスター'!D:D,0),0),"none")</f>
        <v/>
      </c>
      <c r="BL52" s="485" t="n"/>
      <c r="BM52" s="542">
        <f t="array" ref="BM52">iferror(INDEX('ファントムマスター'!R:R,MATCH(H52,'ファントムマスター'!D:D,0),0),"none")</f>
        <v/>
      </c>
      <c r="BN52" s="485" t="n"/>
      <c r="BO52" s="537">
        <f t="array" ref="BO52">iferror(INDEX('ファントムマスター'!L:L,MATCH(H52,'ファントムマスター'!D:D,0),0),"none")</f>
        <v/>
      </c>
      <c r="BP52" s="485" t="n"/>
      <c r="BQ52" s="537">
        <f t="array" ref="BQ52">iferror(INDEX('ファントムマスター'!S:S,MATCH(H52,'ファントムマスター'!D:D,0),0),"none")</f>
        <v/>
      </c>
      <c r="BR52" s="485" t="n"/>
      <c r="BS52" s="533" t="n">
        <v>250</v>
      </c>
      <c r="BT52" s="485" t="n"/>
      <c r="BU52" s="533" t="n">
        <v>400</v>
      </c>
      <c r="BV52" s="485" t="n"/>
      <c r="BW52" s="535" t="n"/>
      <c r="BX52" s="485" t="n"/>
      <c r="BY52" s="17" t="n"/>
      <c r="BZ52" s="485" t="n"/>
      <c r="CA52" s="17" t="n"/>
      <c r="CB52" s="485" t="n"/>
      <c r="CC52" s="535" t="inlineStr">
        <is>
          <t>ElapsedTimeSinceSequenceGroupActivated</t>
        </is>
      </c>
      <c r="CD52" s="484" t="n"/>
      <c r="CE52" s="484" t="n"/>
      <c r="CF52" s="485" t="n"/>
      <c r="CG52" s="543" t="n">
        <v>200</v>
      </c>
      <c r="CH52" s="485" t="n"/>
      <c r="CI52" s="543" t="n">
        <v>0</v>
      </c>
      <c r="CJ52" s="485" t="n"/>
      <c r="CK52" s="543" t="n">
        <v>1</v>
      </c>
      <c r="CL52" s="485" t="n"/>
      <c r="CM52" s="544" t="n"/>
      <c r="CN52" s="485" t="n"/>
      <c r="CO52" s="545" t="inlineStr">
        <is>
          <t>None</t>
        </is>
      </c>
      <c r="CP52" s="485" t="n"/>
      <c r="CQ52" s="17" t="n"/>
      <c r="CR52" s="485" t="n"/>
      <c r="CS52" s="535" t="inlineStr">
        <is>
          <t>None</t>
        </is>
      </c>
      <c r="CT52" s="484" t="n"/>
      <c r="CU52" s="484" t="n"/>
      <c r="CV52" s="485" t="n"/>
      <c r="CW52" s="544" t="n"/>
      <c r="CX52" s="485" t="n"/>
      <c r="CY52" s="535" t="inlineStr">
        <is>
          <t>None</t>
        </is>
      </c>
      <c r="CZ52" s="484" t="n"/>
      <c r="DA52" s="484" t="n"/>
      <c r="DB52" s="485" t="n"/>
      <c r="DC52" s="544" t="n"/>
      <c r="DD52" s="485" t="n"/>
      <c r="DE52" s="535" t="inlineStr">
        <is>
          <t>None</t>
        </is>
      </c>
      <c r="DF52" s="484" t="n"/>
      <c r="DG52" s="484" t="n"/>
      <c r="DH52" s="485" t="n"/>
      <c r="DI52" s="544" t="n"/>
      <c r="DJ52" s="485" t="n"/>
      <c r="DK52" s="544" t="n"/>
      <c r="DL52" s="485" t="n"/>
      <c r="DM52" s="546" t="b">
        <v>0</v>
      </c>
      <c r="DN52" s="485" t="n"/>
      <c r="DO52" s="535" t="inlineStr">
        <is>
          <t>None</t>
        </is>
      </c>
      <c r="DP52" s="484" t="n"/>
      <c r="DQ52" s="484" t="n"/>
      <c r="DR52" s="485" t="n"/>
      <c r="DS52" s="544" t="n"/>
      <c r="DT52" s="485" t="n"/>
      <c r="DU52" s="17" t="n"/>
      <c r="DV52" s="484" t="n"/>
      <c r="DW52" s="484" t="n"/>
      <c r="DX52" s="484" t="n"/>
      <c r="DY52" s="485" t="n"/>
      <c r="DZ52" s="250" t="n"/>
      <c r="EA52" s="160" t="n"/>
      <c r="EB52" s="250" t="n"/>
      <c r="EC52" s="249">
        <f>B52</f>
        <v/>
      </c>
      <c r="ED52" s="249">
        <f>D52</f>
        <v/>
      </c>
      <c r="EE52" s="249">
        <f>F52</f>
        <v/>
      </c>
      <c r="EF52" s="249">
        <f>CC52</f>
        <v/>
      </c>
      <c r="EG52" s="249">
        <f>CG52</f>
        <v/>
      </c>
      <c r="EH52" s="249">
        <f>if(iferror(LEFT(ED52,LEN(ED52)-2),"SummonEnemy")="groupchange","SwitchSequenceGroup","SummonEnemy")</f>
        <v/>
      </c>
      <c r="EI52" s="249">
        <f>H52</f>
        <v/>
      </c>
      <c r="EJ52" s="249" t="n"/>
      <c r="EK52" s="249">
        <f>CK52</f>
        <v/>
      </c>
      <c r="EL52" s="249">
        <f>CI52</f>
        <v/>
      </c>
      <c r="EM52" s="249">
        <f>CO52</f>
        <v/>
      </c>
      <c r="EN52" s="249">
        <f>CQ52</f>
        <v/>
      </c>
      <c r="EO52" s="249">
        <f>CS52</f>
        <v/>
      </c>
      <c r="EP52" s="249">
        <f>CW52</f>
        <v/>
      </c>
      <c r="EQ52" s="249">
        <f>CY52</f>
        <v/>
      </c>
      <c r="ER52" s="249">
        <f>DC52</f>
        <v/>
      </c>
      <c r="ES52" s="249">
        <f>DE52</f>
        <v/>
      </c>
      <c r="ET52" s="249">
        <f>DI52</f>
        <v/>
      </c>
      <c r="EU52" s="249">
        <f>DK52</f>
        <v/>
      </c>
      <c r="EV52" s="249">
        <f>DM52</f>
        <v/>
      </c>
      <c r="EW52" s="249" t="n"/>
      <c r="EX52" s="249">
        <f>V52</f>
        <v/>
      </c>
      <c r="EY52" s="249">
        <f>X52</f>
        <v/>
      </c>
      <c r="EZ52" s="249">
        <f>AD52</f>
        <v/>
      </c>
      <c r="FA52" s="249">
        <f>AH52</f>
        <v/>
      </c>
      <c r="FB52" s="249">
        <f>"1"</f>
        <v/>
      </c>
      <c r="FC52" s="249">
        <f>BS52</f>
        <v/>
      </c>
      <c r="FD52" s="249">
        <f>BU52</f>
        <v/>
      </c>
      <c r="FE52" s="249">
        <f>CM52</f>
        <v/>
      </c>
      <c r="FF52" s="249">
        <f>DO52</f>
        <v/>
      </c>
      <c r="FG52" s="249">
        <f>DS52</f>
        <v/>
      </c>
      <c r="FH52" s="250" t="n"/>
      <c r="FI52" s="250" t="n"/>
      <c r="FJ52" s="250" t="n"/>
      <c r="FK52" s="250" t="n"/>
    </row>
    <row r="53">
      <c r="A53" s="250" t="n"/>
      <c r="B53" s="535" t="inlineStr">
        <is>
          <t>w1</t>
        </is>
      </c>
      <c r="C53" s="485" t="n"/>
      <c r="D53" s="243" t="inlineStr">
        <is>
          <t>groupchange_2</t>
        </is>
      </c>
      <c r="E53" s="484" t="n"/>
      <c r="F53" s="535" t="n"/>
      <c r="G53" s="485" t="n"/>
      <c r="H53" s="535" t="inlineStr">
        <is>
          <t>w2</t>
        </is>
      </c>
      <c r="I53" s="484" t="n"/>
      <c r="J53" s="484" t="n"/>
      <c r="K53" s="485" t="n"/>
      <c r="L53" s="536">
        <f t="array" ref="L53">iferror(INDEX('ファントムマスター'!F:F,MATCH(H53,'ファントムマスター'!D:D,0),0),"none")</f>
        <v/>
      </c>
      <c r="M53" s="484" t="n"/>
      <c r="N53" s="484" t="n"/>
      <c r="O53" s="485" t="n"/>
      <c r="P53" s="536">
        <f t="array" ref="P53">iferror(INDEX('ファントムマスター'!H:H,MATCH(H53,'ファントムマスター'!D:D,0),0),"none")</f>
        <v/>
      </c>
      <c r="Q53" s="485" t="n"/>
      <c r="R53" s="547">
        <f t="array" ref="R53">iferror(INDEX('ファントムマスター'!J:J,MATCH(H53,'ファントムマスター'!D:D,0),0),"none")</f>
        <v/>
      </c>
      <c r="S53" s="485" t="n"/>
      <c r="T53" s="536">
        <f t="array" ref="T53">iferror(INDEX('ファントムマスター'!I:I,MATCH(H53,'ファントムマスター'!D:D,0),0),"none")</f>
        <v/>
      </c>
      <c r="U53" s="485" t="n"/>
      <c r="V53" s="535" t="inlineStr">
        <is>
          <t>Default</t>
        </is>
      </c>
      <c r="W53" s="485" t="n"/>
      <c r="X53" s="535" t="inlineStr">
        <is>
          <t>Normal</t>
        </is>
      </c>
      <c r="Y53" s="485" t="n"/>
      <c r="Z53" s="535" t="inlineStr">
        <is>
          <t>なし</t>
        </is>
      </c>
      <c r="AA53" s="485" t="n"/>
      <c r="AB53" s="548">
        <f t="array" ref="AB53">iferror(INDEX('ファントムマスター'!K:K,MATCH(H53,'ファントムマスター'!D:D,0),0)*AD53,"none")</f>
        <v/>
      </c>
      <c r="AC53" s="485" t="n"/>
      <c r="AD53" s="533" t="n">
        <v>1</v>
      </c>
      <c r="AE53" s="485" t="n"/>
      <c r="AF53" s="548">
        <f t="array" ref="AF53">iferror(INDEX('ファントムマスター'!O:O,MATCH(H53,'ファントムマスター'!D:D,0),0)*AH53,"none")</f>
        <v/>
      </c>
      <c r="AG53" s="485" t="n"/>
      <c r="AH53" s="533" t="n">
        <v>1</v>
      </c>
      <c r="AI53" s="485" t="n"/>
      <c r="AJ53" s="539">
        <f t="array" ref="AJ53">iferror(right(INDEX('ファントムマスター'!T:T,MATCH(H53,'ファントムマスター'!D:D,0),0),4)*50,"none")</f>
        <v/>
      </c>
      <c r="AK53" s="485" t="n"/>
      <c r="AL53" s="539">
        <f t="array" ref="AL53">iferror(right(INDEX('ファントムマスター'!V:V,MATCH(H53,'ファントムマスター'!D:D,0),0),4),"none")</f>
        <v/>
      </c>
      <c r="AM53" s="485" t="n"/>
      <c r="AN53" s="549">
        <f>iferror(AF53*(50/(AJ53+AL53)),"攻撃力に数値を入力")</f>
        <v/>
      </c>
      <c r="AO53" s="485" t="n"/>
      <c r="AP53" s="538">
        <f t="array" ref="AP53">XLOOKUP(H53,'ファントムマスター'!D:D,'ファントムマスター'!AC:AC,"none")</f>
        <v/>
      </c>
      <c r="AQ53" s="484" t="n"/>
      <c r="AR53" s="484" t="n"/>
      <c r="AS53" s="485" t="n"/>
      <c r="AT53" s="538">
        <f t="array" ref="AT53">iferror(INDEX('ファントムマスター'!Y:Y,MATCH(H53,'ファントムマスター'!D:D,0),0),"none")</f>
        <v/>
      </c>
      <c r="AU53" s="484" t="n"/>
      <c r="AV53" s="484" t="n"/>
      <c r="AW53" s="484" t="n"/>
      <c r="AX53" s="485" t="n"/>
      <c r="AY53" s="537">
        <f t="array" ref="AY53">iferror(INDEX('ファントムマスター'!Z:Z,MATCH(H53,'ファントムマスター'!D:D,0),0),"none")</f>
        <v/>
      </c>
      <c r="AZ53" s="485" t="n"/>
      <c r="BA53" s="537">
        <f t="array" ref="BA53">iferror(INDEX('ファントムマスター'!W:W,MATCH(H53,'ファントムマスター'!D:D,0),0)*50,"none")</f>
        <v/>
      </c>
      <c r="BB53" s="485" t="n"/>
      <c r="BC53" s="536">
        <f t="array" ref="BC53">iferror(INDEX('ファントムマスター'!AA:AA,MATCH(H53,'ファントムマスター'!D:D,0),0),"none")</f>
        <v/>
      </c>
      <c r="BD53" s="485" t="n"/>
      <c r="BE53" s="548">
        <f t="array" ref="BE53">iferror(INDEX('ファントムマスター'!M:M,MATCH(H53,'ファントムマスター'!D:D,0),0),"none")</f>
        <v/>
      </c>
      <c r="BF53" s="485" t="n"/>
      <c r="BG53" s="548">
        <f t="array" ref="BG53">iferror(INDEX('ファントムマスター'!N:N,MATCH(H53,'ファントムマスター'!D:D,0),0),"none")</f>
        <v/>
      </c>
      <c r="BH53" s="485" t="n"/>
      <c r="BI53" s="548">
        <f t="array" ref="BI53">iferror(INDEX('ファントムマスター'!P:P,MATCH(H53,'ファントムマスター'!D:D,0),0),"none")</f>
        <v/>
      </c>
      <c r="BJ53" s="485" t="n"/>
      <c r="BK53" s="548">
        <f t="array" ref="BK53">iferror(INDEX('ファントムマスター'!Q:Q,MATCH(H53,'ファントムマスター'!D:D,0),0),"none")</f>
        <v/>
      </c>
      <c r="BL53" s="485" t="n"/>
      <c r="BM53" s="542">
        <f t="array" ref="BM53">iferror(INDEX('ファントムマスター'!R:R,MATCH(H53,'ファントムマスター'!D:D,0),0),"none")</f>
        <v/>
      </c>
      <c r="BN53" s="485" t="n"/>
      <c r="BO53" s="548">
        <f t="array" ref="BO53">iferror(INDEX('ファントムマスター'!L:L,MATCH(H53,'ファントムマスター'!D:D,0),0),"none")</f>
        <v/>
      </c>
      <c r="BP53" s="485" t="n"/>
      <c r="BQ53" s="548">
        <f t="array" ref="BQ53">iferror(INDEX('ファントムマスター'!S:S,MATCH(H53,'ファントムマスター'!D:D,0),0),"none")</f>
        <v/>
      </c>
      <c r="BR53" s="485" t="n"/>
      <c r="BS53" s="17" t="n"/>
      <c r="BT53" s="485" t="n"/>
      <c r="BU53" s="17" t="n"/>
      <c r="BV53" s="485" t="n"/>
      <c r="BW53" s="535" t="n"/>
      <c r="BX53" s="485" t="n"/>
      <c r="BY53" s="17" t="n"/>
      <c r="BZ53" s="485" t="n"/>
      <c r="CA53" s="17" t="n"/>
      <c r="CB53" s="485" t="n"/>
      <c r="CC53" s="535" t="inlineStr">
        <is>
          <t>FriendUnitDead</t>
        </is>
      </c>
      <c r="CD53" s="484" t="n"/>
      <c r="CE53" s="484" t="n"/>
      <c r="CF53" s="485" t="n"/>
      <c r="CG53" s="533" t="n">
        <v>103</v>
      </c>
      <c r="CH53" s="485" t="n"/>
      <c r="CI53" s="17" t="n"/>
      <c r="CJ53" s="485" t="n"/>
      <c r="CK53" s="17" t="n"/>
      <c r="CL53" s="485" t="n"/>
      <c r="CM53" s="17" t="n"/>
      <c r="CN53" s="485" t="n"/>
      <c r="CO53" s="535" t="inlineStr">
        <is>
          <t>None</t>
        </is>
      </c>
      <c r="CP53" s="485" t="n"/>
      <c r="CQ53" s="17" t="n"/>
      <c r="CR53" s="485" t="n"/>
      <c r="CS53" s="535" t="inlineStr">
        <is>
          <t>None</t>
        </is>
      </c>
      <c r="CT53" s="484" t="n"/>
      <c r="CU53" s="484" t="n"/>
      <c r="CV53" s="485" t="n"/>
      <c r="CW53" s="17" t="n"/>
      <c r="CX53" s="485" t="n"/>
      <c r="CY53" s="535" t="inlineStr">
        <is>
          <t>None</t>
        </is>
      </c>
      <c r="CZ53" s="484" t="n"/>
      <c r="DA53" s="484" t="n"/>
      <c r="DB53" s="485" t="n"/>
      <c r="DC53" s="17" t="n"/>
      <c r="DD53" s="485" t="n"/>
      <c r="DE53" s="535" t="inlineStr">
        <is>
          <t>None</t>
        </is>
      </c>
      <c r="DF53" s="484" t="n"/>
      <c r="DG53" s="484" t="n"/>
      <c r="DH53" s="485" t="n"/>
      <c r="DI53" s="17" t="n"/>
      <c r="DJ53" s="485" t="n"/>
      <c r="DK53" s="17" t="n"/>
      <c r="DL53" s="485" t="n"/>
      <c r="DM53" s="547" t="b">
        <v>0</v>
      </c>
      <c r="DN53" s="485" t="n"/>
      <c r="DO53" s="535" t="inlineStr">
        <is>
          <t>None</t>
        </is>
      </c>
      <c r="DP53" s="484" t="n"/>
      <c r="DQ53" s="484" t="n"/>
      <c r="DR53" s="485" t="n"/>
      <c r="DS53" s="17" t="n"/>
      <c r="DT53" s="485" t="n"/>
      <c r="DU53" s="17" t="n"/>
      <c r="DV53" s="484" t="n"/>
      <c r="DW53" s="484" t="n"/>
      <c r="DX53" s="484" t="n"/>
      <c r="DY53" s="485" t="n"/>
      <c r="DZ53" s="250" t="n"/>
      <c r="EA53" s="160" t="n"/>
      <c r="EB53" s="250" t="n"/>
      <c r="EC53" s="253">
        <f>B53</f>
        <v/>
      </c>
      <c r="ED53" s="253">
        <f>D53</f>
        <v/>
      </c>
      <c r="EE53" s="253">
        <f>F53</f>
        <v/>
      </c>
      <c r="EF53" s="253">
        <f>CC53</f>
        <v/>
      </c>
      <c r="EG53" s="253">
        <f>CG53</f>
        <v/>
      </c>
      <c r="EH53" s="253">
        <f>if(iferror(LEFT(ED53,LEN(ED53)-2),"SummonEnemy")="groupchange","SwitchSequenceGroup","SummonEnemy")</f>
        <v/>
      </c>
      <c r="EI53" s="253">
        <f>H53</f>
        <v/>
      </c>
      <c r="EJ53" s="253" t="n"/>
      <c r="EK53" s="253">
        <f>CK53</f>
        <v/>
      </c>
      <c r="EL53" s="253">
        <f>CI53</f>
        <v/>
      </c>
      <c r="EM53" s="253">
        <f>CO53</f>
        <v/>
      </c>
      <c r="EN53" s="253">
        <f>CQ53</f>
        <v/>
      </c>
      <c r="EO53" s="253">
        <f>CS53</f>
        <v/>
      </c>
      <c r="EP53" s="253">
        <f>CW53</f>
        <v/>
      </c>
      <c r="EQ53" s="253">
        <f>CY53</f>
        <v/>
      </c>
      <c r="ER53" s="253">
        <f>DC53</f>
        <v/>
      </c>
      <c r="ES53" s="253">
        <f>DE53</f>
        <v/>
      </c>
      <c r="ET53" s="253">
        <f>DI53</f>
        <v/>
      </c>
      <c r="EU53" s="253">
        <f>DK53</f>
        <v/>
      </c>
      <c r="EV53" s="253">
        <f>DM53</f>
        <v/>
      </c>
      <c r="EW53" s="253" t="n"/>
      <c r="EX53" s="253">
        <f>V53</f>
        <v/>
      </c>
      <c r="EY53" s="253">
        <f>X53</f>
        <v/>
      </c>
      <c r="EZ53" s="253">
        <f>AD53</f>
        <v/>
      </c>
      <c r="FA53" s="253">
        <f>AH53</f>
        <v/>
      </c>
      <c r="FB53" s="253">
        <f>"1"</f>
        <v/>
      </c>
      <c r="FC53" s="253">
        <f>BS53</f>
        <v/>
      </c>
      <c r="FD53" s="253">
        <f>BU53</f>
        <v/>
      </c>
      <c r="FE53" s="253">
        <f>CM53</f>
        <v/>
      </c>
      <c r="FF53" s="253">
        <f>DO53</f>
        <v/>
      </c>
      <c r="FG53" s="253">
        <f>DS53</f>
        <v/>
      </c>
      <c r="FH53" s="250" t="n"/>
      <c r="FI53" s="250" t="n"/>
      <c r="FJ53" s="250" t="n"/>
      <c r="FK53" s="250" t="n"/>
    </row>
    <row r="54">
      <c r="A54" s="250" t="n"/>
      <c r="B54" s="535" t="inlineStr">
        <is>
          <t>w2</t>
        </is>
      </c>
      <c r="C54" s="485" t="n"/>
      <c r="D54" s="533" t="n">
        <v>201</v>
      </c>
      <c r="E54" s="485" t="n"/>
      <c r="F54" s="534" t="n"/>
      <c r="G54" s="485" t="n"/>
      <c r="H54" s="535" t="inlineStr">
        <is>
          <t>e_jig_00401_jig1_advent_Normal_Yellow</t>
        </is>
      </c>
      <c r="I54" s="484" t="n"/>
      <c r="J54" s="484" t="n"/>
      <c r="K54" s="485" t="n"/>
      <c r="L54" s="536">
        <f t="array" ref="L54">iferror(INDEX('ファントムマスター'!F:F,MATCH(H54,'ファントムマスター'!D:D,0),0),"none")</f>
        <v/>
      </c>
      <c r="M54" s="484" t="n"/>
      <c r="N54" s="484" t="n"/>
      <c r="O54" s="485" t="n"/>
      <c r="P54" s="536">
        <f t="array" ref="P54">iferror(INDEX('ファントムマスター'!H:H,MATCH(H54,'ファントムマスター'!D:D,0),0),"none")</f>
        <v/>
      </c>
      <c r="Q54" s="485" t="n"/>
      <c r="R54" s="550">
        <f t="array" ref="R54">iferror(INDEX('ファントムマスター'!J:J,MATCH(H54,'ファントムマスター'!D:D,0),0),"none")</f>
        <v/>
      </c>
      <c r="S54" s="485" t="n"/>
      <c r="T54" s="536">
        <f t="array" ref="T54">iferror(INDEX('ファントムマスター'!I:I,MATCH(H54,'ファントムマスター'!D:D,0),0),"none")</f>
        <v/>
      </c>
      <c r="U54" s="485" t="n"/>
      <c r="V54" s="535" t="inlineStr">
        <is>
          <t>Default</t>
        </is>
      </c>
      <c r="W54" s="485" t="n"/>
      <c r="X54" s="535" t="inlineStr">
        <is>
          <t>Normal</t>
        </is>
      </c>
      <c r="Y54" s="485" t="n"/>
      <c r="Z54" s="535" t="inlineStr">
        <is>
          <t>なし</t>
        </is>
      </c>
      <c r="AA54" s="485" t="n"/>
      <c r="AB54" s="537">
        <f t="array" ref="AB54">iferror(INDEX('ファントムマスター'!K:K,MATCH(H54,'ファントムマスター'!D:D,0),0)*AD54,"none")</f>
        <v/>
      </c>
      <c r="AC54" s="485" t="n"/>
      <c r="AD54" s="533" t="n">
        <v>7</v>
      </c>
      <c r="AE54" s="485" t="n"/>
      <c r="AF54" s="537">
        <f t="array" ref="AF54">iferror(INDEX('ファントムマスター'!O:O,MATCH(H54,'ファントムマスター'!D:D,0),0)*AH54,"none")</f>
        <v/>
      </c>
      <c r="AG54" s="485" t="n"/>
      <c r="AH54" s="533" t="n">
        <v>0.7</v>
      </c>
      <c r="AI54" s="485" t="n"/>
      <c r="AJ54" s="538">
        <f t="array" ref="AJ54">iferror(right(INDEX('ファントムマスター'!T:T,MATCH(H54,'ファントムマスター'!D:D,0),0),4)*50,"none")</f>
        <v/>
      </c>
      <c r="AK54" s="485" t="n"/>
      <c r="AL54" s="539">
        <f t="array" ref="AL54">iferror(right(INDEX('ファントムマスター'!V:V,MATCH(H54,'ファントムマスター'!D:D,0),0),4),"none")</f>
        <v/>
      </c>
      <c r="AM54" s="485" t="n"/>
      <c r="AN54" s="540">
        <f>iferror(AF54*(50/(AJ54+AL54)),"攻撃力に数値を入力")</f>
        <v/>
      </c>
      <c r="AO54" s="485" t="n"/>
      <c r="AP54" s="523">
        <f t="array" ref="AP54">XLOOKUP(H54,'ファントムマスター'!D:D,'ファントムマスター'!AC:AC,"none")</f>
        <v/>
      </c>
      <c r="AQ54" s="484" t="n"/>
      <c r="AR54" s="484" t="n"/>
      <c r="AS54" s="485" t="n"/>
      <c r="AT54" s="541">
        <f t="array" ref="AT54">iferror(INDEX('ファントムマスター'!Y:Y,MATCH(H54,'ファントムマスター'!D:D,0),0),"none")</f>
        <v/>
      </c>
      <c r="AU54" s="484" t="n"/>
      <c r="AV54" s="484" t="n"/>
      <c r="AW54" s="484" t="n"/>
      <c r="AX54" s="485" t="n"/>
      <c r="AY54" s="537">
        <f t="array" ref="AY54">iferror(INDEX('ファントムマスター'!Z:Z,MATCH(H54,'ファントムマスター'!D:D,0),0),"none")</f>
        <v/>
      </c>
      <c r="AZ54" s="485" t="n"/>
      <c r="BA54" s="537">
        <f t="array" ref="BA54">iferror(INDEX('ファントムマスター'!W:W,MATCH(H54,'ファントムマスター'!D:D,0),0)*50,"none")</f>
        <v/>
      </c>
      <c r="BB54" s="485" t="n"/>
      <c r="BC54" s="349">
        <f t="array" ref="BC54">iferror(INDEX('ファントムマスター'!AA:AA,MATCH(H54,'ファントムマスター'!D:D,0),0),"none")</f>
        <v/>
      </c>
      <c r="BD54" s="485" t="n"/>
      <c r="BE54" s="537">
        <f t="array" ref="BE54">iferror(INDEX('ファントムマスター'!M:M,MATCH(H54,'ファントムマスター'!D:D,0),0),"none")</f>
        <v/>
      </c>
      <c r="BF54" s="485" t="n"/>
      <c r="BG54" s="537">
        <f t="array" ref="BG54">iferror(INDEX('ファントムマスター'!N:N,MATCH(H54,'ファントムマスター'!D:D,0),0),"none")</f>
        <v/>
      </c>
      <c r="BH54" s="485" t="n"/>
      <c r="BI54" s="537">
        <f t="array" ref="BI54">iferror(INDEX('ファントムマスター'!P:P,MATCH(H54,'ファントムマスター'!D:D,0),0),"none")</f>
        <v/>
      </c>
      <c r="BJ54" s="485" t="n"/>
      <c r="BK54" s="537">
        <f t="array" ref="BK54">iferror(INDEX('ファントムマスター'!Q:Q,MATCH(H54,'ファントムマスター'!D:D,0),0),"none")</f>
        <v/>
      </c>
      <c r="BL54" s="485" t="n"/>
      <c r="BM54" s="542">
        <f t="array" ref="BM54">iferror(INDEX('ファントムマスター'!R:R,MATCH(H54,'ファントムマスター'!D:D,0),0),"none")</f>
        <v/>
      </c>
      <c r="BN54" s="485" t="n"/>
      <c r="BO54" s="537">
        <f t="array" ref="BO54">iferror(INDEX('ファントムマスター'!L:L,MATCH(H54,'ファントムマスター'!D:D,0),0),"none")</f>
        <v/>
      </c>
      <c r="BP54" s="485" t="n"/>
      <c r="BQ54" s="537">
        <f t="array" ref="BQ54">iferror(INDEX('ファントムマスター'!S:S,MATCH(H54,'ファントムマスター'!D:D,0),0),"none")</f>
        <v/>
      </c>
      <c r="BR54" s="485" t="n"/>
      <c r="BS54" s="533" t="n">
        <v>50</v>
      </c>
      <c r="BT54" s="485" t="n"/>
      <c r="BU54" s="533" t="n">
        <v>50</v>
      </c>
      <c r="BV54" s="485" t="n"/>
      <c r="BW54" s="535" t="n"/>
      <c r="BX54" s="485" t="n"/>
      <c r="BY54" s="17" t="n"/>
      <c r="BZ54" s="485" t="n"/>
      <c r="CA54" s="17" t="n"/>
      <c r="CB54" s="485" t="n"/>
      <c r="CC54" s="535" t="inlineStr">
        <is>
          <t>ElapsedTimeSinceSequenceGroupActivated</t>
        </is>
      </c>
      <c r="CD54" s="484" t="n"/>
      <c r="CE54" s="484" t="n"/>
      <c r="CF54" s="485" t="n"/>
      <c r="CG54" s="543" t="n">
        <v>5</v>
      </c>
      <c r="CH54" s="485" t="n"/>
      <c r="CI54" s="543" t="n">
        <v>360</v>
      </c>
      <c r="CJ54" s="485" t="n"/>
      <c r="CK54" s="543" t="n">
        <v>40</v>
      </c>
      <c r="CL54" s="485" t="n"/>
      <c r="CM54" s="544" t="n"/>
      <c r="CN54" s="485" t="n"/>
      <c r="CO54" s="545" t="inlineStr">
        <is>
          <t>None</t>
        </is>
      </c>
      <c r="CP54" s="485" t="n"/>
      <c r="CQ54" s="17" t="n"/>
      <c r="CR54" s="485" t="n"/>
      <c r="CS54" s="535" t="inlineStr">
        <is>
          <t>None</t>
        </is>
      </c>
      <c r="CT54" s="484" t="n"/>
      <c r="CU54" s="484" t="n"/>
      <c r="CV54" s="485" t="n"/>
      <c r="CW54" s="544" t="n"/>
      <c r="CX54" s="485" t="n"/>
      <c r="CY54" s="535" t="inlineStr">
        <is>
          <t>None</t>
        </is>
      </c>
      <c r="CZ54" s="484" t="n"/>
      <c r="DA54" s="484" t="n"/>
      <c r="DB54" s="485" t="n"/>
      <c r="DC54" s="544" t="n"/>
      <c r="DD54" s="485" t="n"/>
      <c r="DE54" s="535" t="inlineStr">
        <is>
          <t>None</t>
        </is>
      </c>
      <c r="DF54" s="484" t="n"/>
      <c r="DG54" s="484" t="n"/>
      <c r="DH54" s="485" t="n"/>
      <c r="DI54" s="544" t="n"/>
      <c r="DJ54" s="485" t="n"/>
      <c r="DK54" s="544" t="n"/>
      <c r="DL54" s="485" t="n"/>
      <c r="DM54" s="546" t="b">
        <v>0</v>
      </c>
      <c r="DN54" s="485" t="n"/>
      <c r="DO54" s="535" t="inlineStr">
        <is>
          <t>None</t>
        </is>
      </c>
      <c r="DP54" s="484" t="n"/>
      <c r="DQ54" s="484" t="n"/>
      <c r="DR54" s="485" t="n"/>
      <c r="DS54" s="544" t="n"/>
      <c r="DT54" s="485" t="n"/>
      <c r="DU54" s="17" t="n"/>
      <c r="DV54" s="484" t="n"/>
      <c r="DW54" s="484" t="n"/>
      <c r="DX54" s="484" t="n"/>
      <c r="DY54" s="485" t="n"/>
      <c r="DZ54" s="250" t="n"/>
      <c r="EA54" s="160" t="n"/>
      <c r="EB54" s="250" t="n"/>
      <c r="EC54" s="249">
        <f>B54</f>
        <v/>
      </c>
      <c r="ED54" s="249">
        <f>D54</f>
        <v/>
      </c>
      <c r="EE54" s="249">
        <f>F54</f>
        <v/>
      </c>
      <c r="EF54" s="249">
        <f>CC54</f>
        <v/>
      </c>
      <c r="EG54" s="249">
        <f>CG54</f>
        <v/>
      </c>
      <c r="EH54" s="249">
        <f>if(iferror(LEFT(ED54,LEN(ED54)-2),"SummonEnemy")="groupchange","SwitchSequenceGroup","SummonEnemy")</f>
        <v/>
      </c>
      <c r="EI54" s="249">
        <f>H54</f>
        <v/>
      </c>
      <c r="EJ54" s="249" t="n"/>
      <c r="EK54" s="249">
        <f>CK54</f>
        <v/>
      </c>
      <c r="EL54" s="249">
        <f>CI54</f>
        <v/>
      </c>
      <c r="EM54" s="249">
        <f>CO54</f>
        <v/>
      </c>
      <c r="EN54" s="249">
        <f>CQ54</f>
        <v/>
      </c>
      <c r="EO54" s="249">
        <f>CS54</f>
        <v/>
      </c>
      <c r="EP54" s="249">
        <f>CW54</f>
        <v/>
      </c>
      <c r="EQ54" s="249">
        <f>CY54</f>
        <v/>
      </c>
      <c r="ER54" s="249">
        <f>DC54</f>
        <v/>
      </c>
      <c r="ES54" s="249">
        <f>DE54</f>
        <v/>
      </c>
      <c r="ET54" s="249">
        <f>DI54</f>
        <v/>
      </c>
      <c r="EU54" s="249">
        <f>DK54</f>
        <v/>
      </c>
      <c r="EV54" s="249">
        <f>DM54</f>
        <v/>
      </c>
      <c r="EW54" s="249" t="n"/>
      <c r="EX54" s="249">
        <f>V54</f>
        <v/>
      </c>
      <c r="EY54" s="249">
        <f>X54</f>
        <v/>
      </c>
      <c r="EZ54" s="249">
        <f>AD54</f>
        <v/>
      </c>
      <c r="FA54" s="249">
        <f>AH54</f>
        <v/>
      </c>
      <c r="FB54" s="249">
        <f>"1"</f>
        <v/>
      </c>
      <c r="FC54" s="249">
        <f>BS54</f>
        <v/>
      </c>
      <c r="FD54" s="249">
        <f>BU54</f>
        <v/>
      </c>
      <c r="FE54" s="249">
        <f>CM54</f>
        <v/>
      </c>
      <c r="FF54" s="249">
        <f>DO54</f>
        <v/>
      </c>
      <c r="FG54" s="249">
        <f>DS54</f>
        <v/>
      </c>
      <c r="FH54" s="250" t="n"/>
      <c r="FI54" s="250" t="n"/>
      <c r="FJ54" s="250" t="n"/>
      <c r="FK54" s="250" t="n"/>
    </row>
    <row r="55">
      <c r="A55" s="250" t="n"/>
      <c r="B55" s="535" t="inlineStr">
        <is>
          <t>w2</t>
        </is>
      </c>
      <c r="C55" s="485" t="n"/>
      <c r="D55" s="533" t="n">
        <v>202</v>
      </c>
      <c r="E55" s="485" t="n"/>
      <c r="F55" s="534" t="n"/>
      <c r="G55" s="485" t="n"/>
      <c r="H55" s="535" t="inlineStr">
        <is>
          <t>e_jig_00601_jig1_advent_Boss_Yellow</t>
        </is>
      </c>
      <c r="I55" s="484" t="n"/>
      <c r="J55" s="484" t="n"/>
      <c r="K55" s="485" t="n"/>
      <c r="L55" s="536">
        <f t="array" ref="L55">iferror(INDEX('ファントムマスター'!F:F,MATCH(H55,'ファントムマスター'!D:D,0),0),"none")</f>
        <v/>
      </c>
      <c r="M55" s="484" t="n"/>
      <c r="N55" s="484" t="n"/>
      <c r="O55" s="485" t="n"/>
      <c r="P55" s="536">
        <f t="array" ref="P55">iferror(INDEX('ファントムマスター'!H:H,MATCH(H55,'ファントムマスター'!D:D,0),0),"none")</f>
        <v/>
      </c>
      <c r="Q55" s="485" t="n"/>
      <c r="R55" s="551">
        <f t="array" ref="R55">iferror(INDEX('ファントムマスター'!J:J,MATCH(H55,'ファントムマスター'!D:D,0),0),"none")</f>
        <v/>
      </c>
      <c r="S55" s="485" t="n"/>
      <c r="T55" s="536">
        <f t="array" ref="T55">iferror(INDEX('ファントムマスター'!I:I,MATCH(H55,'ファントムマスター'!D:D,0),0),"none")</f>
        <v/>
      </c>
      <c r="U55" s="485" t="n"/>
      <c r="V55" s="535" t="inlineStr">
        <is>
          <t>AdventBoss2</t>
        </is>
      </c>
      <c r="W55" s="485" t="n"/>
      <c r="X55" s="535" t="inlineStr">
        <is>
          <t>Normal</t>
        </is>
      </c>
      <c r="Y55" s="485" t="n"/>
      <c r="Z55" s="535" t="inlineStr">
        <is>
          <t>なし</t>
        </is>
      </c>
      <c r="AA55" s="485" t="n"/>
      <c r="AB55" s="537">
        <f t="array" ref="AB55">iferror(INDEX('ファントムマスター'!K:K,MATCH(H55,'ファントムマスター'!D:D,0),0)*AD55,"none")</f>
        <v/>
      </c>
      <c r="AC55" s="485" t="n"/>
      <c r="AD55" s="533" t="n">
        <v>0.7</v>
      </c>
      <c r="AE55" s="485" t="n"/>
      <c r="AF55" s="537">
        <f t="array" ref="AF55">iferror(INDEX('ファントムマスター'!O:O,MATCH(H55,'ファントムマスター'!D:D,0),0)*AH55,"none")</f>
        <v/>
      </c>
      <c r="AG55" s="485" t="n"/>
      <c r="AH55" s="533" t="n">
        <v>1.3</v>
      </c>
      <c r="AI55" s="485" t="n"/>
      <c r="AJ55" s="538">
        <f t="array" ref="AJ55">iferror(right(INDEX('ファントムマスター'!T:T,MATCH(H55,'ファントムマスター'!D:D,0),0),4)*50,"none")</f>
        <v/>
      </c>
      <c r="AK55" s="485" t="n"/>
      <c r="AL55" s="539">
        <f t="array" ref="AL55">iferror(right(INDEX('ファントムマスター'!V:V,MATCH(H55,'ファントムマスター'!D:D,0),0),4),"none")</f>
        <v/>
      </c>
      <c r="AM55" s="485" t="n"/>
      <c r="AN55" s="540">
        <f>iferror(AF55*(50/(AJ55+AL55)),"攻撃力に数値を入力")</f>
        <v/>
      </c>
      <c r="AO55" s="485" t="n"/>
      <c r="AP55" s="541">
        <f t="array" ref="AP55">XLOOKUP(H55,'ファントムマスター'!D:D,'ファントムマスター'!AC:AC,"none")</f>
        <v/>
      </c>
      <c r="AQ55" s="484" t="n"/>
      <c r="AR55" s="484" t="n"/>
      <c r="AS55" s="485" t="n"/>
      <c r="AT55" s="541">
        <f t="array" ref="AT55">iferror(INDEX('ファントムマスター'!Y:Y,MATCH(H55,'ファントムマスター'!D:D,0),0),"none")</f>
        <v/>
      </c>
      <c r="AU55" s="484" t="n"/>
      <c r="AV55" s="484" t="n"/>
      <c r="AW55" s="484" t="n"/>
      <c r="AX55" s="485" t="n"/>
      <c r="AY55" s="537">
        <f t="array" ref="AY55">iferror(INDEX('ファントムマスター'!Z:Z,MATCH(H55,'ファントムマスター'!D:D,0),0),"none")</f>
        <v/>
      </c>
      <c r="AZ55" s="485" t="n"/>
      <c r="BA55" s="537">
        <f t="array" ref="BA55">iferror(INDEX('ファントムマスター'!W:W,MATCH(H55,'ファントムマスター'!D:D,0),0)*50,"none")</f>
        <v/>
      </c>
      <c r="BB55" s="485" t="n"/>
      <c r="BC55" s="349">
        <f t="array" ref="BC55">iferror(INDEX('ファントムマスター'!AA:AA,MATCH(H55,'ファントムマスター'!D:D,0),0),"none")</f>
        <v/>
      </c>
      <c r="BD55" s="485" t="n"/>
      <c r="BE55" s="537">
        <f t="array" ref="BE55">iferror(INDEX('ファントムマスター'!M:M,MATCH(H55,'ファントムマスター'!D:D,0),0),"none")</f>
        <v/>
      </c>
      <c r="BF55" s="485" t="n"/>
      <c r="BG55" s="537">
        <f t="array" ref="BG55">iferror(INDEX('ファントムマスター'!N:N,MATCH(H55,'ファントムマスター'!D:D,0),0),"none")</f>
        <v/>
      </c>
      <c r="BH55" s="485" t="n"/>
      <c r="BI55" s="537">
        <f t="array" ref="BI55">iferror(INDEX('ファントムマスター'!P:P,MATCH(H55,'ファントムマスター'!D:D,0),0),"none")</f>
        <v/>
      </c>
      <c r="BJ55" s="485" t="n"/>
      <c r="BK55" s="537">
        <f t="array" ref="BK55">iferror(INDEX('ファントムマスター'!Q:Q,MATCH(H55,'ファントムマスター'!D:D,0),0),"none")</f>
        <v/>
      </c>
      <c r="BL55" s="485" t="n"/>
      <c r="BM55" s="542">
        <f t="array" ref="BM55">iferror(INDEX('ファントムマスター'!R:R,MATCH(H55,'ファントムマスター'!D:D,0),0),"none")</f>
        <v/>
      </c>
      <c r="BN55" s="485" t="n"/>
      <c r="BO55" s="537">
        <f t="array" ref="BO55">iferror(INDEX('ファントムマスター'!L:L,MATCH(H55,'ファントムマスター'!D:D,0),0),"none")</f>
        <v/>
      </c>
      <c r="BP55" s="485" t="n"/>
      <c r="BQ55" s="537">
        <f t="array" ref="BQ55">iferror(INDEX('ファントムマスター'!S:S,MATCH(H55,'ファントムマスター'!D:D,0),0),"none")</f>
        <v/>
      </c>
      <c r="BR55" s="485" t="n"/>
      <c r="BS55" s="533" t="n">
        <v>250</v>
      </c>
      <c r="BT55" s="485" t="n"/>
      <c r="BU55" s="533" t="n">
        <v>500</v>
      </c>
      <c r="BV55" s="485" t="n"/>
      <c r="BW55" s="535" t="n"/>
      <c r="BX55" s="485" t="n"/>
      <c r="BY55" s="17" t="n"/>
      <c r="BZ55" s="485" t="n"/>
      <c r="CA55" s="17" t="n"/>
      <c r="CB55" s="485" t="n"/>
      <c r="CC55" s="535" t="inlineStr">
        <is>
          <t>ElapsedTimeSinceSequenceGroupActivated</t>
        </is>
      </c>
      <c r="CD55" s="484" t="n"/>
      <c r="CE55" s="484" t="n"/>
      <c r="CF55" s="485" t="n"/>
      <c r="CG55" s="543" t="n">
        <v>50</v>
      </c>
      <c r="CH55" s="485" t="n"/>
      <c r="CI55" s="543" t="n">
        <v>0</v>
      </c>
      <c r="CJ55" s="485" t="n"/>
      <c r="CK55" s="543" t="n">
        <v>1</v>
      </c>
      <c r="CL55" s="485" t="n"/>
      <c r="CM55" s="544" t="n"/>
      <c r="CN55" s="485" t="n"/>
      <c r="CO55" s="545" t="inlineStr">
        <is>
          <t>None</t>
        </is>
      </c>
      <c r="CP55" s="485" t="n"/>
      <c r="CQ55" s="17" t="n"/>
      <c r="CR55" s="485" t="n"/>
      <c r="CS55" s="535" t="inlineStr">
        <is>
          <t>None</t>
        </is>
      </c>
      <c r="CT55" s="484" t="n"/>
      <c r="CU55" s="484" t="n"/>
      <c r="CV55" s="485" t="n"/>
      <c r="CW55" s="544" t="n"/>
      <c r="CX55" s="485" t="n"/>
      <c r="CY55" s="535" t="inlineStr">
        <is>
          <t>None</t>
        </is>
      </c>
      <c r="CZ55" s="484" t="n"/>
      <c r="DA55" s="484" t="n"/>
      <c r="DB55" s="485" t="n"/>
      <c r="DC55" s="544" t="n"/>
      <c r="DD55" s="485" t="n"/>
      <c r="DE55" s="535" t="inlineStr">
        <is>
          <t>None</t>
        </is>
      </c>
      <c r="DF55" s="484" t="n"/>
      <c r="DG55" s="484" t="n"/>
      <c r="DH55" s="485" t="n"/>
      <c r="DI55" s="544" t="n"/>
      <c r="DJ55" s="485" t="n"/>
      <c r="DK55" s="544" t="n"/>
      <c r="DL55" s="485" t="n"/>
      <c r="DM55" s="546" t="b">
        <v>0</v>
      </c>
      <c r="DN55" s="485" t="n"/>
      <c r="DO55" s="535" t="inlineStr">
        <is>
          <t>None</t>
        </is>
      </c>
      <c r="DP55" s="484" t="n"/>
      <c r="DQ55" s="484" t="n"/>
      <c r="DR55" s="485" t="n"/>
      <c r="DS55" s="544" t="n"/>
      <c r="DT55" s="485" t="n"/>
      <c r="DU55" s="17" t="n"/>
      <c r="DV55" s="484" t="n"/>
      <c r="DW55" s="484" t="n"/>
      <c r="DX55" s="484" t="n"/>
      <c r="DY55" s="485" t="n"/>
      <c r="DZ55" s="250" t="n"/>
      <c r="EA55" s="160" t="n"/>
      <c r="EB55" s="250" t="n"/>
      <c r="EC55" s="253">
        <f>B55</f>
        <v/>
      </c>
      <c r="ED55" s="253">
        <f>D55</f>
        <v/>
      </c>
      <c r="EE55" s="253">
        <f>F55</f>
        <v/>
      </c>
      <c r="EF55" s="253">
        <f>CC55</f>
        <v/>
      </c>
      <c r="EG55" s="253">
        <f>CG55</f>
        <v/>
      </c>
      <c r="EH55" s="253">
        <f>if(iferror(LEFT(ED55,LEN(ED55)-2),"SummonEnemy")="groupchange","SwitchSequenceGroup","SummonEnemy")</f>
        <v/>
      </c>
      <c r="EI55" s="253">
        <f>H55</f>
        <v/>
      </c>
      <c r="EJ55" s="253" t="n"/>
      <c r="EK55" s="253">
        <f>CK55</f>
        <v/>
      </c>
      <c r="EL55" s="253">
        <f>CI55</f>
        <v/>
      </c>
      <c r="EM55" s="253">
        <f>CO55</f>
        <v/>
      </c>
      <c r="EN55" s="253">
        <f>CQ55</f>
        <v/>
      </c>
      <c r="EO55" s="253">
        <f>CS55</f>
        <v/>
      </c>
      <c r="EP55" s="253">
        <f>CW55</f>
        <v/>
      </c>
      <c r="EQ55" s="253">
        <f>CY55</f>
        <v/>
      </c>
      <c r="ER55" s="253">
        <f>DC55</f>
        <v/>
      </c>
      <c r="ES55" s="253">
        <f>DE55</f>
        <v/>
      </c>
      <c r="ET55" s="253">
        <f>DI55</f>
        <v/>
      </c>
      <c r="EU55" s="253">
        <f>DK55</f>
        <v/>
      </c>
      <c r="EV55" s="253">
        <f>DM55</f>
        <v/>
      </c>
      <c r="EW55" s="253" t="n"/>
      <c r="EX55" s="253">
        <f>V55</f>
        <v/>
      </c>
      <c r="EY55" s="253">
        <f>X55</f>
        <v/>
      </c>
      <c r="EZ55" s="253">
        <f>AD55</f>
        <v/>
      </c>
      <c r="FA55" s="253">
        <f>AH55</f>
        <v/>
      </c>
      <c r="FB55" s="253">
        <f>"1"</f>
        <v/>
      </c>
      <c r="FC55" s="253">
        <f>BS55</f>
        <v/>
      </c>
      <c r="FD55" s="253">
        <f>BU55</f>
        <v/>
      </c>
      <c r="FE55" s="253">
        <f>CM55</f>
        <v/>
      </c>
      <c r="FF55" s="253">
        <f>DO55</f>
        <v/>
      </c>
      <c r="FG55" s="253">
        <f>DS55</f>
        <v/>
      </c>
      <c r="FH55" s="250" t="n"/>
      <c r="FI55" s="250" t="n"/>
      <c r="FJ55" s="250" t="n"/>
      <c r="FK55" s="250" t="n"/>
    </row>
    <row r="56">
      <c r="A56" s="250" t="n"/>
      <c r="B56" s="535" t="inlineStr">
        <is>
          <t>w2</t>
        </is>
      </c>
      <c r="C56" s="485" t="n"/>
      <c r="D56" s="243" t="inlineStr">
        <is>
          <t>groupchange_3</t>
        </is>
      </c>
      <c r="E56" s="484" t="n"/>
      <c r="F56" s="535" t="n"/>
      <c r="G56" s="485" t="n"/>
      <c r="H56" s="535" t="inlineStr">
        <is>
          <t>w3</t>
        </is>
      </c>
      <c r="I56" s="484" t="n"/>
      <c r="J56" s="484" t="n"/>
      <c r="K56" s="485" t="n"/>
      <c r="L56" s="536">
        <f t="array" ref="L56">iferror(INDEX('ファントムマスター'!F:F,MATCH(H56,'ファントムマスター'!D:D,0),0),"none")</f>
        <v/>
      </c>
      <c r="M56" s="484" t="n"/>
      <c r="N56" s="484" t="n"/>
      <c r="O56" s="485" t="n"/>
      <c r="P56" s="536">
        <f t="array" ref="P56">iferror(INDEX('ファントムマスター'!H:H,MATCH(H56,'ファントムマスター'!D:D,0),0),"none")</f>
        <v/>
      </c>
      <c r="Q56" s="485" t="n"/>
      <c r="R56" s="547">
        <f t="array" ref="R56">iferror(INDEX('ファントムマスター'!J:J,MATCH(H56,'ファントムマスター'!D:D,0),0),"none")</f>
        <v/>
      </c>
      <c r="S56" s="485" t="n"/>
      <c r="T56" s="536">
        <f t="array" ref="T56">iferror(INDEX('ファントムマスター'!I:I,MATCH(H56,'ファントムマスター'!D:D,0),0),"none")</f>
        <v/>
      </c>
      <c r="U56" s="485" t="n"/>
      <c r="V56" s="535" t="inlineStr">
        <is>
          <t>Default</t>
        </is>
      </c>
      <c r="W56" s="485" t="n"/>
      <c r="X56" s="535" t="inlineStr">
        <is>
          <t>Normal</t>
        </is>
      </c>
      <c r="Y56" s="485" t="n"/>
      <c r="Z56" s="535" t="inlineStr">
        <is>
          <t>なし</t>
        </is>
      </c>
      <c r="AA56" s="485" t="n"/>
      <c r="AB56" s="548">
        <f t="array" ref="AB56">iferror(INDEX('ファントムマスター'!K:K,MATCH(H56,'ファントムマスター'!D:D,0),0)*AD56,"none")</f>
        <v/>
      </c>
      <c r="AC56" s="485" t="n"/>
      <c r="AD56" s="533" t="n">
        <v>1</v>
      </c>
      <c r="AE56" s="485" t="n"/>
      <c r="AF56" s="548">
        <f t="array" ref="AF56">iferror(INDEX('ファントムマスター'!O:O,MATCH(H56,'ファントムマスター'!D:D,0),0)*AH56,"none")</f>
        <v/>
      </c>
      <c r="AG56" s="485" t="n"/>
      <c r="AH56" s="533" t="n">
        <v>1</v>
      </c>
      <c r="AI56" s="485" t="n"/>
      <c r="AJ56" s="539">
        <f t="array" ref="AJ56">iferror(right(INDEX('ファントムマスター'!T:T,MATCH(H56,'ファントムマスター'!D:D,0),0),4)*50,"none")</f>
        <v/>
      </c>
      <c r="AK56" s="485" t="n"/>
      <c r="AL56" s="539">
        <f t="array" ref="AL56">iferror(right(INDEX('ファントムマスター'!V:V,MATCH(H56,'ファントムマスター'!D:D,0),0),4),"none")</f>
        <v/>
      </c>
      <c r="AM56" s="485" t="n"/>
      <c r="AN56" s="549">
        <f>iferror(AF56*(50/(AJ56+AL56)),"攻撃力に数値を入力")</f>
        <v/>
      </c>
      <c r="AO56" s="485" t="n"/>
      <c r="AP56" s="538">
        <f t="array" ref="AP56">XLOOKUP(H56,'ファントムマスター'!D:D,'ファントムマスター'!AC:AC,"none")</f>
        <v/>
      </c>
      <c r="AQ56" s="484" t="n"/>
      <c r="AR56" s="484" t="n"/>
      <c r="AS56" s="485" t="n"/>
      <c r="AT56" s="538">
        <f t="array" ref="AT56">iferror(INDEX('ファントムマスター'!Y:Y,MATCH(H56,'ファントムマスター'!D:D,0),0),"none")</f>
        <v/>
      </c>
      <c r="AU56" s="484" t="n"/>
      <c r="AV56" s="484" t="n"/>
      <c r="AW56" s="484" t="n"/>
      <c r="AX56" s="485" t="n"/>
      <c r="AY56" s="537">
        <f t="array" ref="AY56">iferror(INDEX('ファントムマスター'!Z:Z,MATCH(H56,'ファントムマスター'!D:D,0),0),"none")</f>
        <v/>
      </c>
      <c r="AZ56" s="485" t="n"/>
      <c r="BA56" s="537">
        <f t="array" ref="BA56">iferror(INDEX('ファントムマスター'!W:W,MATCH(H56,'ファントムマスター'!D:D,0),0)*50,"none")</f>
        <v/>
      </c>
      <c r="BB56" s="485" t="n"/>
      <c r="BC56" s="536">
        <f t="array" ref="BC56">iferror(INDEX('ファントムマスター'!AA:AA,MATCH(H56,'ファントムマスター'!D:D,0),0),"none")</f>
        <v/>
      </c>
      <c r="BD56" s="485" t="n"/>
      <c r="BE56" s="548">
        <f t="array" ref="BE56">iferror(INDEX('ファントムマスター'!M:M,MATCH(H56,'ファントムマスター'!D:D,0),0),"none")</f>
        <v/>
      </c>
      <c r="BF56" s="485" t="n"/>
      <c r="BG56" s="548">
        <f t="array" ref="BG56">iferror(INDEX('ファントムマスター'!N:N,MATCH(H56,'ファントムマスター'!D:D,0),0),"none")</f>
        <v/>
      </c>
      <c r="BH56" s="485" t="n"/>
      <c r="BI56" s="548">
        <f t="array" ref="BI56">iferror(INDEX('ファントムマスター'!P:P,MATCH(H56,'ファントムマスター'!D:D,0),0),"none")</f>
        <v/>
      </c>
      <c r="BJ56" s="485" t="n"/>
      <c r="BK56" s="548">
        <f t="array" ref="BK56">iferror(INDEX('ファントムマスター'!Q:Q,MATCH(H56,'ファントムマスター'!D:D,0),0),"none")</f>
        <v/>
      </c>
      <c r="BL56" s="485" t="n"/>
      <c r="BM56" s="542">
        <f t="array" ref="BM56">iferror(INDEX('ファントムマスター'!R:R,MATCH(H56,'ファントムマスター'!D:D,0),0),"none")</f>
        <v/>
      </c>
      <c r="BN56" s="485" t="n"/>
      <c r="BO56" s="548">
        <f t="array" ref="BO56">iferror(INDEX('ファントムマスター'!L:L,MATCH(H56,'ファントムマスター'!D:D,0),0),"none")</f>
        <v/>
      </c>
      <c r="BP56" s="485" t="n"/>
      <c r="BQ56" s="548">
        <f t="array" ref="BQ56">iferror(INDEX('ファントムマスター'!S:S,MATCH(H56,'ファントムマスター'!D:D,0),0),"none")</f>
        <v/>
      </c>
      <c r="BR56" s="485" t="n"/>
      <c r="BS56" s="17" t="n"/>
      <c r="BT56" s="485" t="n"/>
      <c r="BU56" s="17" t="n"/>
      <c r="BV56" s="485" t="n"/>
      <c r="BW56" s="535" t="n"/>
      <c r="BX56" s="485" t="n"/>
      <c r="BY56" s="17" t="n"/>
      <c r="BZ56" s="485" t="n"/>
      <c r="CA56" s="17" t="n"/>
      <c r="CB56" s="485" t="n"/>
      <c r="CC56" s="535" t="inlineStr">
        <is>
          <t>FriendUnitDead</t>
        </is>
      </c>
      <c r="CD56" s="484" t="n"/>
      <c r="CE56" s="484" t="n"/>
      <c r="CF56" s="485" t="n"/>
      <c r="CG56" s="533" t="n">
        <v>202</v>
      </c>
      <c r="CH56" s="485" t="n"/>
      <c r="CI56" s="17" t="n"/>
      <c r="CJ56" s="485" t="n"/>
      <c r="CK56" s="17" t="n"/>
      <c r="CL56" s="485" t="n"/>
      <c r="CM56" s="17" t="n"/>
      <c r="CN56" s="485" t="n"/>
      <c r="CO56" s="535" t="inlineStr">
        <is>
          <t>None</t>
        </is>
      </c>
      <c r="CP56" s="485" t="n"/>
      <c r="CQ56" s="17" t="n"/>
      <c r="CR56" s="485" t="n"/>
      <c r="CS56" s="535" t="inlineStr">
        <is>
          <t>None</t>
        </is>
      </c>
      <c r="CT56" s="484" t="n"/>
      <c r="CU56" s="484" t="n"/>
      <c r="CV56" s="485" t="n"/>
      <c r="CW56" s="17" t="n"/>
      <c r="CX56" s="485" t="n"/>
      <c r="CY56" s="535" t="inlineStr">
        <is>
          <t>None</t>
        </is>
      </c>
      <c r="CZ56" s="484" t="n"/>
      <c r="DA56" s="484" t="n"/>
      <c r="DB56" s="485" t="n"/>
      <c r="DC56" s="17" t="n"/>
      <c r="DD56" s="485" t="n"/>
      <c r="DE56" s="535" t="inlineStr">
        <is>
          <t>None</t>
        </is>
      </c>
      <c r="DF56" s="484" t="n"/>
      <c r="DG56" s="484" t="n"/>
      <c r="DH56" s="485" t="n"/>
      <c r="DI56" s="17" t="n"/>
      <c r="DJ56" s="485" t="n"/>
      <c r="DK56" s="17" t="n"/>
      <c r="DL56" s="485" t="n"/>
      <c r="DM56" s="547" t="b">
        <v>0</v>
      </c>
      <c r="DN56" s="485" t="n"/>
      <c r="DO56" s="535" t="inlineStr">
        <is>
          <t>None</t>
        </is>
      </c>
      <c r="DP56" s="484" t="n"/>
      <c r="DQ56" s="484" t="n"/>
      <c r="DR56" s="485" t="n"/>
      <c r="DS56" s="17" t="n"/>
      <c r="DT56" s="485" t="n"/>
      <c r="DU56" s="17" t="n"/>
      <c r="DV56" s="484" t="n"/>
      <c r="DW56" s="484" t="n"/>
      <c r="DX56" s="484" t="n"/>
      <c r="DY56" s="485" t="n"/>
      <c r="DZ56" s="250" t="n"/>
      <c r="EA56" s="160" t="n"/>
      <c r="EB56" s="250" t="n"/>
      <c r="EC56" s="249">
        <f>B56</f>
        <v/>
      </c>
      <c r="ED56" s="249">
        <f>D56</f>
        <v/>
      </c>
      <c r="EE56" s="249">
        <f>F56</f>
        <v/>
      </c>
      <c r="EF56" s="249">
        <f>CC56</f>
        <v/>
      </c>
      <c r="EG56" s="249">
        <f>CG56</f>
        <v/>
      </c>
      <c r="EH56" s="249">
        <f>if(iferror(LEFT(ED56,LEN(ED56)-2),"SummonEnemy")="groupchange","SwitchSequenceGroup","SummonEnemy")</f>
        <v/>
      </c>
      <c r="EI56" s="249">
        <f>H56</f>
        <v/>
      </c>
      <c r="EJ56" s="249" t="n"/>
      <c r="EK56" s="249">
        <f>CK56</f>
        <v/>
      </c>
      <c r="EL56" s="249">
        <f>CI56</f>
        <v/>
      </c>
      <c r="EM56" s="249">
        <f>CO56</f>
        <v/>
      </c>
      <c r="EN56" s="249">
        <f>CQ56</f>
        <v/>
      </c>
      <c r="EO56" s="249">
        <f>CS56</f>
        <v/>
      </c>
      <c r="EP56" s="249">
        <f>CW56</f>
        <v/>
      </c>
      <c r="EQ56" s="249">
        <f>CY56</f>
        <v/>
      </c>
      <c r="ER56" s="249">
        <f>DC56</f>
        <v/>
      </c>
      <c r="ES56" s="249">
        <f>DE56</f>
        <v/>
      </c>
      <c r="ET56" s="249">
        <f>DI56</f>
        <v/>
      </c>
      <c r="EU56" s="249">
        <f>DK56</f>
        <v/>
      </c>
      <c r="EV56" s="249">
        <f>DM56</f>
        <v/>
      </c>
      <c r="EW56" s="249" t="n"/>
      <c r="EX56" s="249">
        <f>V56</f>
        <v/>
      </c>
      <c r="EY56" s="249">
        <f>X56</f>
        <v/>
      </c>
      <c r="EZ56" s="249">
        <f>AD56</f>
        <v/>
      </c>
      <c r="FA56" s="249">
        <f>AH56</f>
        <v/>
      </c>
      <c r="FB56" s="249">
        <f>"1"</f>
        <v/>
      </c>
      <c r="FC56" s="249">
        <f>BS56</f>
        <v/>
      </c>
      <c r="FD56" s="249">
        <f>BU56</f>
        <v/>
      </c>
      <c r="FE56" s="249">
        <f>CM56</f>
        <v/>
      </c>
      <c r="FF56" s="249">
        <f>DO56</f>
        <v/>
      </c>
      <c r="FG56" s="249">
        <f>DS56</f>
        <v/>
      </c>
      <c r="FH56" s="250" t="n"/>
      <c r="FI56" s="250" t="n"/>
      <c r="FJ56" s="250" t="n"/>
      <c r="FK56" s="250" t="n"/>
    </row>
    <row r="57">
      <c r="A57" s="250" t="n"/>
      <c r="B57" s="535" t="inlineStr">
        <is>
          <t>w3</t>
        </is>
      </c>
      <c r="C57" s="485" t="n"/>
      <c r="D57" s="533" t="n">
        <v>302</v>
      </c>
      <c r="E57" s="485" t="n"/>
      <c r="F57" s="534" t="n"/>
      <c r="G57" s="485" t="n"/>
      <c r="H57" s="535" t="inlineStr">
        <is>
          <t>e_jig_00001_jig1_advent_Normal_Green</t>
        </is>
      </c>
      <c r="I57" s="484" t="n"/>
      <c r="J57" s="484" t="n"/>
      <c r="K57" s="485" t="n"/>
      <c r="L57" s="536">
        <f t="array" ref="L57">iferror(INDEX('ファントムマスター'!F:F,MATCH(H57,'ファントムマスター'!D:D,0),0),"none")</f>
        <v/>
      </c>
      <c r="M57" s="484" t="n"/>
      <c r="N57" s="484" t="n"/>
      <c r="O57" s="485" t="n"/>
      <c r="P57" s="536">
        <f t="array" ref="P57">iferror(INDEX('ファントムマスター'!H:H,MATCH(H57,'ファントムマスター'!D:D,0),0),"none")</f>
        <v/>
      </c>
      <c r="Q57" s="485" t="n"/>
      <c r="R57" s="551">
        <f t="array" ref="R57">iferror(INDEX('ファントムマスター'!J:J,MATCH(H57,'ファントムマスター'!D:D,0),0),"none")</f>
        <v/>
      </c>
      <c r="S57" s="485" t="n"/>
      <c r="T57" s="536">
        <f t="array" ref="T57">iferror(INDEX('ファントムマスター'!I:I,MATCH(H57,'ファントムマスター'!D:D,0),0),"none")</f>
        <v/>
      </c>
      <c r="U57" s="485" t="n"/>
      <c r="V57" s="535" t="inlineStr">
        <is>
          <t>Default</t>
        </is>
      </c>
      <c r="W57" s="485" t="n"/>
      <c r="X57" s="535" t="inlineStr">
        <is>
          <t>Normal</t>
        </is>
      </c>
      <c r="Y57" s="485" t="n"/>
      <c r="Z57" s="535" t="inlineStr">
        <is>
          <t>なし</t>
        </is>
      </c>
      <c r="AA57" s="485" t="n"/>
      <c r="AB57" s="537">
        <f t="array" ref="AB57">iferror(INDEX('ファントムマスター'!K:K,MATCH(H57,'ファントムマスター'!D:D,0),0)*AD57,"none")</f>
        <v/>
      </c>
      <c r="AC57" s="485" t="n"/>
      <c r="AD57" s="533" t="n">
        <v>1.7</v>
      </c>
      <c r="AE57" s="485" t="n"/>
      <c r="AF57" s="537">
        <f t="array" ref="AF57">iferror(INDEX('ファントムマスター'!O:O,MATCH(H57,'ファントムマスター'!D:D,0),0)*AH57,"none")</f>
        <v/>
      </c>
      <c r="AG57" s="485" t="n"/>
      <c r="AH57" s="533" t="n">
        <v>1.5</v>
      </c>
      <c r="AI57" s="485" t="n"/>
      <c r="AJ57" s="538">
        <f t="array" ref="AJ57">iferror(right(INDEX('ファントムマスター'!T:T,MATCH(H57,'ファントムマスター'!D:D,0),0),4)*50,"none")</f>
        <v/>
      </c>
      <c r="AK57" s="485" t="n"/>
      <c r="AL57" s="539">
        <f t="array" ref="AL57">iferror(right(INDEX('ファントムマスター'!V:V,MATCH(H57,'ファントムマスター'!D:D,0),0),4),"none")</f>
        <v/>
      </c>
      <c r="AM57" s="485" t="n"/>
      <c r="AN57" s="540">
        <f>iferror(AF57*(50/(AJ57+AL57)),"攻撃力に数値を入力")</f>
        <v/>
      </c>
      <c r="AO57" s="485" t="n"/>
      <c r="AP57" s="541">
        <f t="array" ref="AP57">XLOOKUP(H57,'ファントムマスター'!D:D,'ファントムマスター'!AC:AC,"none")</f>
        <v/>
      </c>
      <c r="AQ57" s="484" t="n"/>
      <c r="AR57" s="484" t="n"/>
      <c r="AS57" s="485" t="n"/>
      <c r="AT57" s="541">
        <f t="array" ref="AT57">iferror(INDEX('ファントムマスター'!Y:Y,MATCH(H57,'ファントムマスター'!D:D,0),0),"none")</f>
        <v/>
      </c>
      <c r="AU57" s="484" t="n"/>
      <c r="AV57" s="484" t="n"/>
      <c r="AW57" s="484" t="n"/>
      <c r="AX57" s="485" t="n"/>
      <c r="AY57" s="537">
        <f t="array" ref="AY57">iferror(INDEX('ファントムマスター'!Z:Z,MATCH(H57,'ファントムマスター'!D:D,0),0),"none")</f>
        <v/>
      </c>
      <c r="AZ57" s="485" t="n"/>
      <c r="BA57" s="537">
        <f t="array" ref="BA57">iferror(INDEX('ファントムマスター'!W:W,MATCH(H57,'ファントムマスター'!D:D,0),0)*50,"none")</f>
        <v/>
      </c>
      <c r="BB57" s="485" t="n"/>
      <c r="BC57" s="349">
        <f t="array" ref="BC57">iferror(INDEX('ファントムマスター'!AA:AA,MATCH(H57,'ファントムマスター'!D:D,0),0),"none")</f>
        <v/>
      </c>
      <c r="BD57" s="485" t="n"/>
      <c r="BE57" s="537">
        <f t="array" ref="BE57">iferror(INDEX('ファントムマスター'!M:M,MATCH(H57,'ファントムマスター'!D:D,0),0),"none")</f>
        <v/>
      </c>
      <c r="BF57" s="485" t="n"/>
      <c r="BG57" s="537">
        <f t="array" ref="BG57">iferror(INDEX('ファントムマスター'!N:N,MATCH(H57,'ファントムマスター'!D:D,0),0),"none")</f>
        <v/>
      </c>
      <c r="BH57" s="485" t="n"/>
      <c r="BI57" s="537">
        <f t="array" ref="BI57">iferror(INDEX('ファントムマスター'!P:P,MATCH(H57,'ファントムマスター'!D:D,0),0),"none")</f>
        <v/>
      </c>
      <c r="BJ57" s="485" t="n"/>
      <c r="BK57" s="537">
        <f t="array" ref="BK57">iferror(INDEX('ファントムマスター'!Q:Q,MATCH(H57,'ファントムマスター'!D:D,0),0),"none")</f>
        <v/>
      </c>
      <c r="BL57" s="485" t="n"/>
      <c r="BM57" s="542">
        <f t="array" ref="BM57">iferror(INDEX('ファントムマスター'!R:R,MATCH(H57,'ファントムマスター'!D:D,0),0),"none")</f>
        <v/>
      </c>
      <c r="BN57" s="485" t="n"/>
      <c r="BO57" s="537">
        <f t="array" ref="BO57">iferror(INDEX('ファントムマスター'!L:L,MATCH(H57,'ファントムマスター'!D:D,0),0),"none")</f>
        <v/>
      </c>
      <c r="BP57" s="485" t="n"/>
      <c r="BQ57" s="537">
        <f t="array" ref="BQ57">iferror(INDEX('ファントムマスター'!S:S,MATCH(H57,'ファントムマスター'!D:D,0),0),"none")</f>
        <v/>
      </c>
      <c r="BR57" s="485" t="n"/>
      <c r="BS57" s="533" t="n">
        <v>50</v>
      </c>
      <c r="BT57" s="485" t="n"/>
      <c r="BU57" s="533" t="n">
        <v>60</v>
      </c>
      <c r="BV57" s="485" t="n"/>
      <c r="BW57" s="535" t="n"/>
      <c r="BX57" s="485" t="n"/>
      <c r="BY57" s="17" t="n"/>
      <c r="BZ57" s="485" t="n"/>
      <c r="CA57" s="17" t="n"/>
      <c r="CB57" s="485" t="n"/>
      <c r="CC57" s="535" t="inlineStr">
        <is>
          <t>ElapsedTimeSinceSequenceGroupActivated</t>
        </is>
      </c>
      <c r="CD57" s="484" t="n"/>
      <c r="CE57" s="484" t="n"/>
      <c r="CF57" s="485" t="n"/>
      <c r="CG57" s="543" t="n">
        <v>10</v>
      </c>
      <c r="CH57" s="485" t="n"/>
      <c r="CI57" s="543" t="n">
        <v>360</v>
      </c>
      <c r="CJ57" s="485" t="n"/>
      <c r="CK57" s="543" t="n">
        <v>30</v>
      </c>
      <c r="CL57" s="485" t="n"/>
      <c r="CM57" s="544" t="n"/>
      <c r="CN57" s="485" t="n"/>
      <c r="CO57" s="545" t="inlineStr">
        <is>
          <t>None</t>
        </is>
      </c>
      <c r="CP57" s="485" t="n"/>
      <c r="CQ57" s="17" t="n"/>
      <c r="CR57" s="485" t="n"/>
      <c r="CS57" s="535" t="inlineStr">
        <is>
          <t>None</t>
        </is>
      </c>
      <c r="CT57" s="484" t="n"/>
      <c r="CU57" s="484" t="n"/>
      <c r="CV57" s="485" t="n"/>
      <c r="CW57" s="544" t="n"/>
      <c r="CX57" s="485" t="n"/>
      <c r="CY57" s="535" t="inlineStr">
        <is>
          <t>None</t>
        </is>
      </c>
      <c r="CZ57" s="484" t="n"/>
      <c r="DA57" s="484" t="n"/>
      <c r="DB57" s="485" t="n"/>
      <c r="DC57" s="544" t="n"/>
      <c r="DD57" s="485" t="n"/>
      <c r="DE57" s="535" t="inlineStr">
        <is>
          <t>None</t>
        </is>
      </c>
      <c r="DF57" s="484" t="n"/>
      <c r="DG57" s="484" t="n"/>
      <c r="DH57" s="485" t="n"/>
      <c r="DI57" s="544" t="n"/>
      <c r="DJ57" s="485" t="n"/>
      <c r="DK57" s="544" t="n"/>
      <c r="DL57" s="485" t="n"/>
      <c r="DM57" s="546" t="b">
        <v>0</v>
      </c>
      <c r="DN57" s="485" t="n"/>
      <c r="DO57" s="535" t="inlineStr">
        <is>
          <t>None</t>
        </is>
      </c>
      <c r="DP57" s="484" t="n"/>
      <c r="DQ57" s="484" t="n"/>
      <c r="DR57" s="485" t="n"/>
      <c r="DS57" s="544" t="n"/>
      <c r="DT57" s="485" t="n"/>
      <c r="DU57" s="17" t="n"/>
      <c r="DV57" s="484" t="n"/>
      <c r="DW57" s="484" t="n"/>
      <c r="DX57" s="484" t="n"/>
      <c r="DY57" s="485" t="n"/>
      <c r="DZ57" s="250" t="n"/>
      <c r="EA57" s="160" t="n"/>
      <c r="EB57" s="250" t="n"/>
      <c r="EC57" s="249">
        <f>B57</f>
        <v/>
      </c>
      <c r="ED57" s="249">
        <f>D57</f>
        <v/>
      </c>
      <c r="EE57" s="249">
        <f>F57</f>
        <v/>
      </c>
      <c r="EF57" s="249">
        <f>CC57</f>
        <v/>
      </c>
      <c r="EG57" s="249">
        <f>CG57</f>
        <v/>
      </c>
      <c r="EH57" s="249">
        <f>if(iferror(LEFT(ED57,LEN(ED57)-2),"SummonEnemy")="groupchange","SwitchSequenceGroup","SummonEnemy")</f>
        <v/>
      </c>
      <c r="EI57" s="249">
        <f>H57</f>
        <v/>
      </c>
      <c r="EJ57" s="249" t="n"/>
      <c r="EK57" s="249">
        <f>CK57</f>
        <v/>
      </c>
      <c r="EL57" s="249">
        <f>CI57</f>
        <v/>
      </c>
      <c r="EM57" s="249">
        <f>CO57</f>
        <v/>
      </c>
      <c r="EN57" s="249">
        <f>CQ57</f>
        <v/>
      </c>
      <c r="EO57" s="249">
        <f>CS57</f>
        <v/>
      </c>
      <c r="EP57" s="249">
        <f>CW57</f>
        <v/>
      </c>
      <c r="EQ57" s="249">
        <f>CY57</f>
        <v/>
      </c>
      <c r="ER57" s="249">
        <f>DC57</f>
        <v/>
      </c>
      <c r="ES57" s="249">
        <f>DE57</f>
        <v/>
      </c>
      <c r="ET57" s="249">
        <f>DI57</f>
        <v/>
      </c>
      <c r="EU57" s="249">
        <f>DK57</f>
        <v/>
      </c>
      <c r="EV57" s="249">
        <f>DM57</f>
        <v/>
      </c>
      <c r="EW57" s="249" t="n"/>
      <c r="EX57" s="249">
        <f>V57</f>
        <v/>
      </c>
      <c r="EY57" s="249">
        <f>X57</f>
        <v/>
      </c>
      <c r="EZ57" s="249">
        <f>AD57</f>
        <v/>
      </c>
      <c r="FA57" s="249">
        <f>AH57</f>
        <v/>
      </c>
      <c r="FB57" s="249">
        <f>"1"</f>
        <v/>
      </c>
      <c r="FC57" s="249">
        <f>BS57</f>
        <v/>
      </c>
      <c r="FD57" s="249">
        <f>BU57</f>
        <v/>
      </c>
      <c r="FE57" s="249">
        <f>CM57</f>
        <v/>
      </c>
      <c r="FF57" s="249">
        <f>DO57</f>
        <v/>
      </c>
      <c r="FG57" s="249">
        <f>DS57</f>
        <v/>
      </c>
      <c r="FH57" s="250" t="n"/>
      <c r="FI57" s="250" t="n"/>
      <c r="FJ57" s="250" t="n"/>
      <c r="FK57" s="250" t="n"/>
    </row>
    <row r="58">
      <c r="A58" s="250" t="n"/>
      <c r="B58" s="535" t="inlineStr">
        <is>
          <t>w3</t>
        </is>
      </c>
      <c r="C58" s="485" t="n"/>
      <c r="D58" s="533" t="n">
        <v>304</v>
      </c>
      <c r="E58" s="485" t="n"/>
      <c r="F58" s="534" t="n"/>
      <c r="G58" s="485" t="n"/>
      <c r="H58" s="535" t="inlineStr">
        <is>
          <t>e_jig_00301_jig1_advent_Boss_Green</t>
        </is>
      </c>
      <c r="I58" s="484" t="n"/>
      <c r="J58" s="484" t="n"/>
      <c r="K58" s="485" t="n"/>
      <c r="L58" s="536">
        <f t="array" ref="L58">iferror(INDEX('ファントムマスター'!F:F,MATCH(H58,'ファントムマスター'!D:D,0),0),"none")</f>
        <v/>
      </c>
      <c r="M58" s="484" t="n"/>
      <c r="N58" s="484" t="n"/>
      <c r="O58" s="485" t="n"/>
      <c r="P58" s="536">
        <f t="array" ref="P58">iferror(INDEX('ファントムマスター'!H:H,MATCH(H58,'ファントムマスター'!D:D,0),0),"none")</f>
        <v/>
      </c>
      <c r="Q58" s="485" t="n"/>
      <c r="R58" s="551">
        <f t="array" ref="R58">iferror(INDEX('ファントムマスター'!J:J,MATCH(H58,'ファントムマスター'!D:D,0),0),"none")</f>
        <v/>
      </c>
      <c r="S58" s="485" t="n"/>
      <c r="T58" s="536">
        <f t="array" ref="T58">iferror(INDEX('ファントムマスター'!I:I,MATCH(H58,'ファントムマスター'!D:D,0),0),"none")</f>
        <v/>
      </c>
      <c r="U58" s="485" t="n"/>
      <c r="V58" s="535" t="inlineStr">
        <is>
          <t>AdventBoss1</t>
        </is>
      </c>
      <c r="W58" s="485" t="n"/>
      <c r="X58" s="535" t="inlineStr">
        <is>
          <t>Normal</t>
        </is>
      </c>
      <c r="Y58" s="485" t="n"/>
      <c r="Z58" s="535" t="inlineStr">
        <is>
          <t>なし</t>
        </is>
      </c>
      <c r="AA58" s="485" t="n"/>
      <c r="AB58" s="537">
        <f t="array" ref="AB58">iferror(INDEX('ファントムマスター'!K:K,MATCH(H58,'ファントムマスター'!D:D,0),0)*AD58,"none")</f>
        <v/>
      </c>
      <c r="AC58" s="485" t="n"/>
      <c r="AD58" s="533" t="n">
        <v>1.5</v>
      </c>
      <c r="AE58" s="485" t="n"/>
      <c r="AF58" s="537">
        <f t="array" ref="AF58">iferror(INDEX('ファントムマスター'!O:O,MATCH(H58,'ファントムマスター'!D:D,0),0)*AH58,"none")</f>
        <v/>
      </c>
      <c r="AG58" s="485" t="n"/>
      <c r="AH58" s="533" t="n">
        <v>0.8</v>
      </c>
      <c r="AI58" s="485" t="n"/>
      <c r="AJ58" s="538">
        <f t="array" ref="AJ58">iferror(right(INDEX('ファントムマスター'!T:T,MATCH(H58,'ファントムマスター'!D:D,0),0),4)*50,"none")</f>
        <v/>
      </c>
      <c r="AK58" s="485" t="n"/>
      <c r="AL58" s="539">
        <f t="array" ref="AL58">iferror(right(INDEX('ファントムマスター'!V:V,MATCH(H58,'ファントムマスター'!D:D,0),0),4),"none")</f>
        <v/>
      </c>
      <c r="AM58" s="485" t="n"/>
      <c r="AN58" s="540">
        <f>iferror(AF58*(50/(AJ58+AL58)),"攻撃力に数値を入力")</f>
        <v/>
      </c>
      <c r="AO58" s="485" t="n"/>
      <c r="AP58" s="541">
        <f t="array" ref="AP58">XLOOKUP(H58,'ファントムマスター'!D:D,'ファントムマスター'!AC:AC,"none")</f>
        <v/>
      </c>
      <c r="AQ58" s="484" t="n"/>
      <c r="AR58" s="484" t="n"/>
      <c r="AS58" s="485" t="n"/>
      <c r="AT58" s="541">
        <f t="array" ref="AT58">iferror(INDEX('ファントムマスター'!Y:Y,MATCH(H58,'ファントムマスター'!D:D,0),0),"none")</f>
        <v/>
      </c>
      <c r="AU58" s="484" t="n"/>
      <c r="AV58" s="484" t="n"/>
      <c r="AW58" s="484" t="n"/>
      <c r="AX58" s="485" t="n"/>
      <c r="AY58" s="537">
        <f t="array" ref="AY58">iferror(INDEX('ファントムマスター'!Z:Z,MATCH(H58,'ファントムマスター'!D:D,0),0),"none")</f>
        <v/>
      </c>
      <c r="AZ58" s="485" t="n"/>
      <c r="BA58" s="537">
        <f t="array" ref="BA58">iferror(INDEX('ファントムマスター'!W:W,MATCH(H58,'ファントムマスター'!D:D,0),0)*50,"none")</f>
        <v/>
      </c>
      <c r="BB58" s="485" t="n"/>
      <c r="BC58" s="349">
        <f t="array" ref="BC58">iferror(INDEX('ファントムマスター'!AA:AA,MATCH(H58,'ファントムマスター'!D:D,0),0),"none")</f>
        <v/>
      </c>
      <c r="BD58" s="485" t="n"/>
      <c r="BE58" s="537">
        <f t="array" ref="BE58">iferror(INDEX('ファントムマスター'!M:M,MATCH(H58,'ファントムマスター'!D:D,0),0),"none")</f>
        <v/>
      </c>
      <c r="BF58" s="485" t="n"/>
      <c r="BG58" s="537">
        <f t="array" ref="BG58">iferror(INDEX('ファントムマスター'!N:N,MATCH(H58,'ファントムマスター'!D:D,0),0),"none")</f>
        <v/>
      </c>
      <c r="BH58" s="485" t="n"/>
      <c r="BI58" s="537">
        <f t="array" ref="BI58">iferror(INDEX('ファントムマスター'!P:P,MATCH(H58,'ファントムマスター'!D:D,0),0),"none")</f>
        <v/>
      </c>
      <c r="BJ58" s="485" t="n"/>
      <c r="BK58" s="537">
        <f t="array" ref="BK58">iferror(INDEX('ファントムマスター'!Q:Q,MATCH(H58,'ファントムマスター'!D:D,0),0),"none")</f>
        <v/>
      </c>
      <c r="BL58" s="485" t="n"/>
      <c r="BM58" s="542">
        <f t="array" ref="BM58">iferror(INDEX('ファントムマスター'!R:R,MATCH(H58,'ファントムマスター'!D:D,0),0),"none")</f>
        <v/>
      </c>
      <c r="BN58" s="485" t="n"/>
      <c r="BO58" s="537">
        <f t="array" ref="BO58">iferror(INDEX('ファントムマスター'!L:L,MATCH(H58,'ファントムマスター'!D:D,0),0),"none")</f>
        <v/>
      </c>
      <c r="BP58" s="485" t="n"/>
      <c r="BQ58" s="537">
        <f t="array" ref="BQ58">iferror(INDEX('ファントムマスター'!S:S,MATCH(H58,'ファントムマスター'!D:D,0),0),"none")</f>
        <v/>
      </c>
      <c r="BR58" s="485" t="n"/>
      <c r="BS58" s="533" t="n"/>
      <c r="BT58" s="485" t="n"/>
      <c r="BU58" s="533" t="n">
        <v>500</v>
      </c>
      <c r="BV58" s="485" t="n"/>
      <c r="BW58" s="535" t="n"/>
      <c r="BX58" s="485" t="n"/>
      <c r="BY58" s="17" t="n"/>
      <c r="BZ58" s="485" t="n"/>
      <c r="CA58" s="17" t="n"/>
      <c r="CB58" s="485" t="n"/>
      <c r="CC58" s="535" t="inlineStr">
        <is>
          <t>ElapsedTimeSinceSequenceGroupActivated</t>
        </is>
      </c>
      <c r="CD58" s="484" t="n"/>
      <c r="CE58" s="484" t="n"/>
      <c r="CF58" s="485" t="n"/>
      <c r="CG58" s="543" t="n">
        <v>100</v>
      </c>
      <c r="CH58" s="485" t="n"/>
      <c r="CI58" s="543" t="n">
        <v>0</v>
      </c>
      <c r="CJ58" s="485" t="n"/>
      <c r="CK58" s="543" t="n">
        <v>1</v>
      </c>
      <c r="CL58" s="485" t="n"/>
      <c r="CM58" s="544" t="n"/>
      <c r="CN58" s="485" t="n"/>
      <c r="CO58" s="545" t="inlineStr">
        <is>
          <t>None</t>
        </is>
      </c>
      <c r="CP58" s="485" t="n"/>
      <c r="CQ58" s="17" t="n"/>
      <c r="CR58" s="485" t="n"/>
      <c r="CS58" s="535" t="inlineStr">
        <is>
          <t>None</t>
        </is>
      </c>
      <c r="CT58" s="484" t="n"/>
      <c r="CU58" s="484" t="n"/>
      <c r="CV58" s="485" t="n"/>
      <c r="CW58" s="544" t="n"/>
      <c r="CX58" s="485" t="n"/>
      <c r="CY58" s="535" t="inlineStr">
        <is>
          <t>None</t>
        </is>
      </c>
      <c r="CZ58" s="484" t="n"/>
      <c r="DA58" s="484" t="n"/>
      <c r="DB58" s="485" t="n"/>
      <c r="DC58" s="544" t="n"/>
      <c r="DD58" s="485" t="n"/>
      <c r="DE58" s="535" t="inlineStr">
        <is>
          <t>None</t>
        </is>
      </c>
      <c r="DF58" s="484" t="n"/>
      <c r="DG58" s="484" t="n"/>
      <c r="DH58" s="485" t="n"/>
      <c r="DI58" s="544" t="n"/>
      <c r="DJ58" s="485" t="n"/>
      <c r="DK58" s="544" t="n"/>
      <c r="DL58" s="485" t="n"/>
      <c r="DM58" s="546" t="b">
        <v>0</v>
      </c>
      <c r="DN58" s="485" t="n"/>
      <c r="DO58" s="535" t="inlineStr">
        <is>
          <t>None</t>
        </is>
      </c>
      <c r="DP58" s="484" t="n"/>
      <c r="DQ58" s="484" t="n"/>
      <c r="DR58" s="485" t="n"/>
      <c r="DS58" s="544" t="n"/>
      <c r="DT58" s="485" t="n"/>
      <c r="DU58" s="17" t="n"/>
      <c r="DV58" s="484" t="n"/>
      <c r="DW58" s="484" t="n"/>
      <c r="DX58" s="484" t="n"/>
      <c r="DY58" s="485" t="n"/>
      <c r="DZ58" s="250" t="n"/>
      <c r="EA58" s="160" t="n"/>
      <c r="EB58" s="250" t="n"/>
      <c r="EC58" s="253">
        <f>B58</f>
        <v/>
      </c>
      <c r="ED58" s="253">
        <f>D58</f>
        <v/>
      </c>
      <c r="EE58" s="253">
        <f>F58</f>
        <v/>
      </c>
      <c r="EF58" s="253">
        <f>CC58</f>
        <v/>
      </c>
      <c r="EG58" s="253">
        <f>CG58</f>
        <v/>
      </c>
      <c r="EH58" s="253">
        <f>if(iferror(LEFT(ED58,LEN(ED58)-2),"SummonEnemy")="groupchange","SwitchSequenceGroup","SummonEnemy")</f>
        <v/>
      </c>
      <c r="EI58" s="253">
        <f>H58</f>
        <v/>
      </c>
      <c r="EJ58" s="253" t="n"/>
      <c r="EK58" s="253">
        <f>CK58</f>
        <v/>
      </c>
      <c r="EL58" s="253">
        <f>CI58</f>
        <v/>
      </c>
      <c r="EM58" s="253">
        <f>CO58</f>
        <v/>
      </c>
      <c r="EN58" s="253">
        <f>CQ58</f>
        <v/>
      </c>
      <c r="EO58" s="253">
        <f>CS58</f>
        <v/>
      </c>
      <c r="EP58" s="253">
        <f>CW58</f>
        <v/>
      </c>
      <c r="EQ58" s="253">
        <f>CY58</f>
        <v/>
      </c>
      <c r="ER58" s="253">
        <f>DC58</f>
        <v/>
      </c>
      <c r="ES58" s="253">
        <f>DE58</f>
        <v/>
      </c>
      <c r="ET58" s="253">
        <f>DI58</f>
        <v/>
      </c>
      <c r="EU58" s="253">
        <f>DK58</f>
        <v/>
      </c>
      <c r="EV58" s="253">
        <f>DM58</f>
        <v/>
      </c>
      <c r="EW58" s="253" t="n"/>
      <c r="EX58" s="253">
        <f>V58</f>
        <v/>
      </c>
      <c r="EY58" s="253">
        <f>X58</f>
        <v/>
      </c>
      <c r="EZ58" s="253">
        <f>AD58</f>
        <v/>
      </c>
      <c r="FA58" s="253">
        <f>AH58</f>
        <v/>
      </c>
      <c r="FB58" s="253">
        <f>"1"</f>
        <v/>
      </c>
      <c r="FC58" s="253">
        <f>BS58</f>
        <v/>
      </c>
      <c r="FD58" s="253">
        <f>BU58</f>
        <v/>
      </c>
      <c r="FE58" s="253">
        <f>CM58</f>
        <v/>
      </c>
      <c r="FF58" s="253">
        <f>DO58</f>
        <v/>
      </c>
      <c r="FG58" s="253">
        <f>DS58</f>
        <v/>
      </c>
      <c r="FH58" s="250" t="n"/>
      <c r="FI58" s="250" t="n"/>
      <c r="FJ58" s="250" t="n"/>
      <c r="FK58" s="250" t="n"/>
    </row>
    <row r="59">
      <c r="A59" s="250" t="n"/>
      <c r="B59" s="535" t="inlineStr">
        <is>
          <t>w3</t>
        </is>
      </c>
      <c r="C59" s="485" t="n"/>
      <c r="D59" s="243" t="inlineStr">
        <is>
          <t>groupchange_4</t>
        </is>
      </c>
      <c r="E59" s="484" t="n"/>
      <c r="F59" s="535" t="n"/>
      <c r="G59" s="485" t="n"/>
      <c r="H59" s="535" t="inlineStr">
        <is>
          <t>w4</t>
        </is>
      </c>
      <c r="I59" s="484" t="n"/>
      <c r="J59" s="484" t="n"/>
      <c r="K59" s="485" t="n"/>
      <c r="L59" s="536">
        <f t="array" ref="L59">iferror(INDEX('ファントムマスター'!F:F,MATCH(H59,'ファントムマスター'!D:D,0),0),"none")</f>
        <v/>
      </c>
      <c r="M59" s="484" t="n"/>
      <c r="N59" s="484" t="n"/>
      <c r="O59" s="485" t="n"/>
      <c r="P59" s="536">
        <f t="array" ref="P59">iferror(INDEX('ファントムマスター'!H:H,MATCH(H59,'ファントムマスター'!D:D,0),0),"none")</f>
        <v/>
      </c>
      <c r="Q59" s="485" t="n"/>
      <c r="R59" s="547">
        <f t="array" ref="R59">iferror(INDEX('ファントムマスター'!J:J,MATCH(H59,'ファントムマスター'!D:D,0),0),"none")</f>
        <v/>
      </c>
      <c r="S59" s="485" t="n"/>
      <c r="T59" s="536">
        <f t="array" ref="T59">iferror(INDEX('ファントムマスター'!I:I,MATCH(H59,'ファントムマスター'!D:D,0),0),"none")</f>
        <v/>
      </c>
      <c r="U59" s="485" t="n"/>
      <c r="V59" s="535" t="inlineStr">
        <is>
          <t>Default</t>
        </is>
      </c>
      <c r="W59" s="485" t="n"/>
      <c r="X59" s="535" t="inlineStr">
        <is>
          <t>Normal</t>
        </is>
      </c>
      <c r="Y59" s="485" t="n"/>
      <c r="Z59" s="535" t="inlineStr">
        <is>
          <t>なし</t>
        </is>
      </c>
      <c r="AA59" s="485" t="n"/>
      <c r="AB59" s="548">
        <f t="array" ref="AB59">iferror(INDEX('ファントムマスター'!K:K,MATCH(H59,'ファントムマスター'!D:D,0),0)*AD59,"none")</f>
        <v/>
      </c>
      <c r="AC59" s="485" t="n"/>
      <c r="AD59" s="533" t="n">
        <v>1</v>
      </c>
      <c r="AE59" s="485" t="n"/>
      <c r="AF59" s="548">
        <f t="array" ref="AF59">iferror(INDEX('ファントムマスター'!O:O,MATCH(H59,'ファントムマスター'!D:D,0),0)*AH59,"none")</f>
        <v/>
      </c>
      <c r="AG59" s="485" t="n"/>
      <c r="AH59" s="533" t="n">
        <v>1</v>
      </c>
      <c r="AI59" s="485" t="n"/>
      <c r="AJ59" s="539">
        <f t="array" ref="AJ59">iferror(right(INDEX('ファントムマスター'!T:T,MATCH(H59,'ファントムマスター'!D:D,0),0),4)*50,"none")</f>
        <v/>
      </c>
      <c r="AK59" s="485" t="n"/>
      <c r="AL59" s="539">
        <f t="array" ref="AL59">iferror(right(INDEX('ファントムマスター'!V:V,MATCH(H59,'ファントムマスター'!D:D,0),0),4),"none")</f>
        <v/>
      </c>
      <c r="AM59" s="485" t="n"/>
      <c r="AN59" s="549">
        <f>iferror(AF59*(50/(AJ59+AL59)),"攻撃力に数値を入力")</f>
        <v/>
      </c>
      <c r="AO59" s="485" t="n"/>
      <c r="AP59" s="538">
        <f t="array" ref="AP59">XLOOKUP(H59,'ファントムマスター'!D:D,'ファントムマスター'!AC:AC,"none")</f>
        <v/>
      </c>
      <c r="AQ59" s="484" t="n"/>
      <c r="AR59" s="484" t="n"/>
      <c r="AS59" s="485" t="n"/>
      <c r="AT59" s="538">
        <f t="array" ref="AT59">iferror(INDEX('ファントムマスター'!Y:Y,MATCH(H59,'ファントムマスター'!D:D,0),0),"none")</f>
        <v/>
      </c>
      <c r="AU59" s="484" t="n"/>
      <c r="AV59" s="484" t="n"/>
      <c r="AW59" s="484" t="n"/>
      <c r="AX59" s="485" t="n"/>
      <c r="AY59" s="537">
        <f t="array" ref="AY59">iferror(INDEX('ファントムマスター'!Z:Z,MATCH(H59,'ファントムマスター'!D:D,0),0),"none")</f>
        <v/>
      </c>
      <c r="AZ59" s="485" t="n"/>
      <c r="BA59" s="537">
        <f t="array" ref="BA59">iferror(INDEX('ファントムマスター'!W:W,MATCH(H59,'ファントムマスター'!D:D,0),0)*50,"none")</f>
        <v/>
      </c>
      <c r="BB59" s="485" t="n"/>
      <c r="BC59" s="536">
        <f t="array" ref="BC59">iferror(INDEX('ファントムマスター'!AA:AA,MATCH(H59,'ファントムマスター'!D:D,0),0),"none")</f>
        <v/>
      </c>
      <c r="BD59" s="485" t="n"/>
      <c r="BE59" s="548">
        <f t="array" ref="BE59">iferror(INDEX('ファントムマスター'!M:M,MATCH(H59,'ファントムマスター'!D:D,0),0),"none")</f>
        <v/>
      </c>
      <c r="BF59" s="485" t="n"/>
      <c r="BG59" s="548">
        <f t="array" ref="BG59">iferror(INDEX('ファントムマスター'!N:N,MATCH(H59,'ファントムマスター'!D:D,0),0),"none")</f>
        <v/>
      </c>
      <c r="BH59" s="485" t="n"/>
      <c r="BI59" s="548">
        <f t="array" ref="BI59">iferror(INDEX('ファントムマスター'!P:P,MATCH(H59,'ファントムマスター'!D:D,0),0),"none")</f>
        <v/>
      </c>
      <c r="BJ59" s="485" t="n"/>
      <c r="BK59" s="548">
        <f t="array" ref="BK59">iferror(INDEX('ファントムマスター'!Q:Q,MATCH(H59,'ファントムマスター'!D:D,0),0),"none")</f>
        <v/>
      </c>
      <c r="BL59" s="485" t="n"/>
      <c r="BM59" s="542">
        <f t="array" ref="BM59">iferror(INDEX('ファントムマスター'!R:R,MATCH(H59,'ファントムマスター'!D:D,0),0),"none")</f>
        <v/>
      </c>
      <c r="BN59" s="485" t="n"/>
      <c r="BO59" s="548">
        <f t="array" ref="BO59">iferror(INDEX('ファントムマスター'!L:L,MATCH(H59,'ファントムマスター'!D:D,0),0),"none")</f>
        <v/>
      </c>
      <c r="BP59" s="485" t="n"/>
      <c r="BQ59" s="548">
        <f t="array" ref="BQ59">iferror(INDEX('ファントムマスター'!S:S,MATCH(H59,'ファントムマスター'!D:D,0),0),"none")</f>
        <v/>
      </c>
      <c r="BR59" s="485" t="n"/>
      <c r="BS59" s="17" t="n"/>
      <c r="BT59" s="485" t="n"/>
      <c r="BU59" s="17" t="n"/>
      <c r="BV59" s="485" t="n"/>
      <c r="BW59" s="535" t="n"/>
      <c r="BX59" s="485" t="n"/>
      <c r="BY59" s="17" t="n"/>
      <c r="BZ59" s="485" t="n"/>
      <c r="CA59" s="17" t="n"/>
      <c r="CB59" s="485" t="n"/>
      <c r="CC59" s="535" t="inlineStr">
        <is>
          <t>FriendUnitDead</t>
        </is>
      </c>
      <c r="CD59" s="484" t="n"/>
      <c r="CE59" s="484" t="n"/>
      <c r="CF59" s="485" t="n"/>
      <c r="CG59" s="533" t="n">
        <v>304</v>
      </c>
      <c r="CH59" s="485" t="n"/>
      <c r="CI59" s="17" t="n"/>
      <c r="CJ59" s="485" t="n"/>
      <c r="CK59" s="17" t="n"/>
      <c r="CL59" s="485" t="n"/>
      <c r="CM59" s="17" t="n"/>
      <c r="CN59" s="485" t="n"/>
      <c r="CO59" s="535" t="inlineStr">
        <is>
          <t>None</t>
        </is>
      </c>
      <c r="CP59" s="485" t="n"/>
      <c r="CQ59" s="17" t="n"/>
      <c r="CR59" s="485" t="n"/>
      <c r="CS59" s="535" t="inlineStr">
        <is>
          <t>None</t>
        </is>
      </c>
      <c r="CT59" s="484" t="n"/>
      <c r="CU59" s="484" t="n"/>
      <c r="CV59" s="485" t="n"/>
      <c r="CW59" s="17" t="n"/>
      <c r="CX59" s="485" t="n"/>
      <c r="CY59" s="535" t="inlineStr">
        <is>
          <t>None</t>
        </is>
      </c>
      <c r="CZ59" s="484" t="n"/>
      <c r="DA59" s="484" t="n"/>
      <c r="DB59" s="485" t="n"/>
      <c r="DC59" s="17" t="n"/>
      <c r="DD59" s="485" t="n"/>
      <c r="DE59" s="535" t="inlineStr">
        <is>
          <t>None</t>
        </is>
      </c>
      <c r="DF59" s="484" t="n"/>
      <c r="DG59" s="484" t="n"/>
      <c r="DH59" s="485" t="n"/>
      <c r="DI59" s="17" t="n"/>
      <c r="DJ59" s="485" t="n"/>
      <c r="DK59" s="17" t="n"/>
      <c r="DL59" s="485" t="n"/>
      <c r="DM59" s="547" t="b">
        <v>0</v>
      </c>
      <c r="DN59" s="485" t="n"/>
      <c r="DO59" s="535" t="inlineStr">
        <is>
          <t>None</t>
        </is>
      </c>
      <c r="DP59" s="484" t="n"/>
      <c r="DQ59" s="484" t="n"/>
      <c r="DR59" s="485" t="n"/>
      <c r="DS59" s="17" t="n"/>
      <c r="DT59" s="485" t="n"/>
      <c r="DU59" s="17" t="n"/>
      <c r="DV59" s="484" t="n"/>
      <c r="DW59" s="484" t="n"/>
      <c r="DX59" s="484" t="n"/>
      <c r="DY59" s="485" t="n"/>
      <c r="DZ59" s="250" t="n"/>
      <c r="EA59" s="160" t="n"/>
      <c r="EB59" s="250" t="n"/>
      <c r="EC59" s="253">
        <f>B59</f>
        <v/>
      </c>
      <c r="ED59" s="253">
        <f>D59</f>
        <v/>
      </c>
      <c r="EE59" s="253">
        <f>F59</f>
        <v/>
      </c>
      <c r="EF59" s="253">
        <f>CC59</f>
        <v/>
      </c>
      <c r="EG59" s="253">
        <f>CG59</f>
        <v/>
      </c>
      <c r="EH59" s="253">
        <f>if(iferror(LEFT(ED59,LEN(ED59)-2),"SummonEnemy")="groupchange","SwitchSequenceGroup","SummonEnemy")</f>
        <v/>
      </c>
      <c r="EI59" s="253">
        <f>H59</f>
        <v/>
      </c>
      <c r="EJ59" s="253" t="n"/>
      <c r="EK59" s="253">
        <f>CK59</f>
        <v/>
      </c>
      <c r="EL59" s="253">
        <f>CI59</f>
        <v/>
      </c>
      <c r="EM59" s="253">
        <f>CO59</f>
        <v/>
      </c>
      <c r="EN59" s="253">
        <f>CQ59</f>
        <v/>
      </c>
      <c r="EO59" s="253">
        <f>CS59</f>
        <v/>
      </c>
      <c r="EP59" s="253">
        <f>CW59</f>
        <v/>
      </c>
      <c r="EQ59" s="253">
        <f>CY59</f>
        <v/>
      </c>
      <c r="ER59" s="253">
        <f>DC59</f>
        <v/>
      </c>
      <c r="ES59" s="253">
        <f>DE59</f>
        <v/>
      </c>
      <c r="ET59" s="253">
        <f>DI59</f>
        <v/>
      </c>
      <c r="EU59" s="253">
        <f>DK59</f>
        <v/>
      </c>
      <c r="EV59" s="253">
        <f>DM59</f>
        <v/>
      </c>
      <c r="EW59" s="253" t="n"/>
      <c r="EX59" s="253">
        <f>V59</f>
        <v/>
      </c>
      <c r="EY59" s="253">
        <f>X59</f>
        <v/>
      </c>
      <c r="EZ59" s="253">
        <f>AD59</f>
        <v/>
      </c>
      <c r="FA59" s="253">
        <f>AH59</f>
        <v/>
      </c>
      <c r="FB59" s="253">
        <f>"1"</f>
        <v/>
      </c>
      <c r="FC59" s="253">
        <f>BS59</f>
        <v/>
      </c>
      <c r="FD59" s="253">
        <f>BU59</f>
        <v/>
      </c>
      <c r="FE59" s="253">
        <f>CM59</f>
        <v/>
      </c>
      <c r="FF59" s="253">
        <f>DO59</f>
        <v/>
      </c>
      <c r="FG59" s="253">
        <f>DS59</f>
        <v/>
      </c>
      <c r="FH59" s="250" t="n"/>
      <c r="FI59" s="250" t="n"/>
      <c r="FJ59" s="250" t="n"/>
      <c r="FK59" s="250" t="n"/>
    </row>
    <row r="60">
      <c r="A60" s="250" t="n"/>
      <c r="B60" s="535" t="inlineStr">
        <is>
          <t>w4</t>
        </is>
      </c>
      <c r="C60" s="485" t="n"/>
      <c r="D60" s="533" t="n">
        <v>402</v>
      </c>
      <c r="E60" s="485" t="n"/>
      <c r="F60" s="534" t="n"/>
      <c r="G60" s="485" t="n"/>
      <c r="H60" s="535" t="inlineStr">
        <is>
          <t>e_jig_00001_jig1_advent_Normal_Red</t>
        </is>
      </c>
      <c r="I60" s="484" t="n"/>
      <c r="J60" s="484" t="n"/>
      <c r="K60" s="485" t="n"/>
      <c r="L60" s="536">
        <f t="array" ref="L60">iferror(INDEX('ファントムマスター'!F:F,MATCH(H60,'ファントムマスター'!D:D,0),0),"none")</f>
        <v/>
      </c>
      <c r="M60" s="484" t="n"/>
      <c r="N60" s="484" t="n"/>
      <c r="O60" s="485" t="n"/>
      <c r="P60" s="536">
        <f t="array" ref="P60">iferror(INDEX('ファントムマスター'!H:H,MATCH(H60,'ファントムマスター'!D:D,0),0),"none")</f>
        <v/>
      </c>
      <c r="Q60" s="485" t="n"/>
      <c r="R60" s="552">
        <f t="array" ref="R60">iferror(INDEX('ファントムマスター'!J:J,MATCH(H60,'ファントムマスター'!D:D,0),0),"none")</f>
        <v/>
      </c>
      <c r="S60" s="485" t="n"/>
      <c r="T60" s="536">
        <f t="array" ref="T60">iferror(INDEX('ファントムマスター'!I:I,MATCH(H60,'ファントムマスター'!D:D,0),0),"none")</f>
        <v/>
      </c>
      <c r="U60" s="485" t="n"/>
      <c r="V60" s="535" t="inlineStr">
        <is>
          <t>Default</t>
        </is>
      </c>
      <c r="W60" s="485" t="n"/>
      <c r="X60" s="535" t="inlineStr">
        <is>
          <t>Normal</t>
        </is>
      </c>
      <c r="Y60" s="485" t="n"/>
      <c r="Z60" s="535" t="inlineStr">
        <is>
          <t>なし</t>
        </is>
      </c>
      <c r="AA60" s="485" t="n"/>
      <c r="AB60" s="537">
        <f t="array" ref="AB60">iferror(INDEX('ファントムマスター'!K:K,MATCH(H60,'ファントムマスター'!D:D,0),0)*AD60,"none")</f>
        <v/>
      </c>
      <c r="AC60" s="485" t="n"/>
      <c r="AD60" s="533" t="n">
        <v>2</v>
      </c>
      <c r="AE60" s="485" t="n"/>
      <c r="AF60" s="537">
        <f t="array" ref="AF60">iferror(INDEX('ファントムマスター'!O:O,MATCH(H60,'ファントムマスター'!D:D,0),0)*AH60,"none")</f>
        <v/>
      </c>
      <c r="AG60" s="485" t="n"/>
      <c r="AH60" s="533" t="n">
        <v>1.5</v>
      </c>
      <c r="AI60" s="485" t="n"/>
      <c r="AJ60" s="538">
        <f t="array" ref="AJ60">iferror(right(INDEX('ファントムマスター'!T:T,MATCH(H60,'ファントムマスター'!D:D,0),0),4)*50,"none")</f>
        <v/>
      </c>
      <c r="AK60" s="485" t="n"/>
      <c r="AL60" s="539">
        <f t="array" ref="AL60">iferror(right(INDEX('ファントムマスター'!V:V,MATCH(H60,'ファントムマスター'!D:D,0),0),4),"none")</f>
        <v/>
      </c>
      <c r="AM60" s="485" t="n"/>
      <c r="AN60" s="540">
        <f>iferror(AF60*(50/(AJ60+AL60)),"攻撃力に数値を入力")</f>
        <v/>
      </c>
      <c r="AO60" s="485" t="n"/>
      <c r="AP60" s="541">
        <f t="array" ref="AP60">XLOOKUP(H60,'ファントムマスター'!D:D,'ファントムマスター'!AC:AC,"none")</f>
        <v/>
      </c>
      <c r="AQ60" s="484" t="n"/>
      <c r="AR60" s="484" t="n"/>
      <c r="AS60" s="485" t="n"/>
      <c r="AT60" s="541">
        <f t="array" ref="AT60">iferror(INDEX('ファントムマスター'!Y:Y,MATCH(H60,'ファントムマスター'!D:D,0),0),"none")</f>
        <v/>
      </c>
      <c r="AU60" s="484" t="n"/>
      <c r="AV60" s="484" t="n"/>
      <c r="AW60" s="484" t="n"/>
      <c r="AX60" s="485" t="n"/>
      <c r="AY60" s="537">
        <f t="array" ref="AY60">iferror(INDEX('ファントムマスター'!Z:Z,MATCH(H60,'ファントムマスター'!D:D,0),0),"none")</f>
        <v/>
      </c>
      <c r="AZ60" s="485" t="n"/>
      <c r="BA60" s="537">
        <f t="array" ref="BA60">iferror(INDEX('ファントムマスター'!W:W,MATCH(H60,'ファントムマスター'!D:D,0),0)*50,"none")</f>
        <v/>
      </c>
      <c r="BB60" s="485" t="n"/>
      <c r="BC60" s="349">
        <f t="array" ref="BC60">iferror(INDEX('ファントムマスター'!AA:AA,MATCH(H60,'ファントムマスター'!D:D,0),0),"none")</f>
        <v/>
      </c>
      <c r="BD60" s="485" t="n"/>
      <c r="BE60" s="537">
        <f t="array" ref="BE60">iferror(INDEX('ファントムマスター'!M:M,MATCH(H60,'ファントムマスター'!D:D,0),0),"none")</f>
        <v/>
      </c>
      <c r="BF60" s="485" t="n"/>
      <c r="BG60" s="537">
        <f t="array" ref="BG60">iferror(INDEX('ファントムマスター'!N:N,MATCH(H60,'ファントムマスター'!D:D,0),0),"none")</f>
        <v/>
      </c>
      <c r="BH60" s="485" t="n"/>
      <c r="BI60" s="537">
        <f t="array" ref="BI60">iferror(INDEX('ファントムマスター'!P:P,MATCH(H60,'ファントムマスター'!D:D,0),0),"none")</f>
        <v/>
      </c>
      <c r="BJ60" s="485" t="n"/>
      <c r="BK60" s="537">
        <f t="array" ref="BK60">iferror(INDEX('ファントムマスター'!Q:Q,MATCH(H60,'ファントムマスター'!D:D,0),0),"none")</f>
        <v/>
      </c>
      <c r="BL60" s="485" t="n"/>
      <c r="BM60" s="542">
        <f t="array" ref="BM60">iferror(INDEX('ファントムマスター'!R:R,MATCH(H60,'ファントムマスター'!D:D,0),0),"none")</f>
        <v/>
      </c>
      <c r="BN60" s="485" t="n"/>
      <c r="BO60" s="537">
        <f t="array" ref="BO60">iferror(INDEX('ファントムマスター'!L:L,MATCH(H60,'ファントムマスター'!D:D,0),0),"none")</f>
        <v/>
      </c>
      <c r="BP60" s="485" t="n"/>
      <c r="BQ60" s="537">
        <f t="array" ref="BQ60">iferror(INDEX('ファントムマスター'!S:S,MATCH(H60,'ファントムマスター'!D:D,0),0),"none")</f>
        <v/>
      </c>
      <c r="BR60" s="485" t="n"/>
      <c r="BS60" s="533" t="n">
        <v>50</v>
      </c>
      <c r="BT60" s="485" t="n"/>
      <c r="BU60" s="533" t="n">
        <v>70</v>
      </c>
      <c r="BV60" s="485" t="n"/>
      <c r="BW60" s="535" t="n"/>
      <c r="BX60" s="485" t="n"/>
      <c r="BY60" s="17" t="n"/>
      <c r="BZ60" s="485" t="n"/>
      <c r="CA60" s="17" t="n"/>
      <c r="CB60" s="485" t="n"/>
      <c r="CC60" s="535" t="inlineStr">
        <is>
          <t>ElapsedTimeSinceSequenceGroupActivated</t>
        </is>
      </c>
      <c r="CD60" s="484" t="n"/>
      <c r="CE60" s="484" t="n"/>
      <c r="CF60" s="485" t="n"/>
      <c r="CG60" s="543" t="n">
        <v>10</v>
      </c>
      <c r="CH60" s="485" t="n"/>
      <c r="CI60" s="543" t="n">
        <v>360</v>
      </c>
      <c r="CJ60" s="485" t="n"/>
      <c r="CK60" s="543" t="n">
        <v>40</v>
      </c>
      <c r="CL60" s="485" t="n"/>
      <c r="CM60" s="544" t="n"/>
      <c r="CN60" s="485" t="n"/>
      <c r="CO60" s="545" t="inlineStr">
        <is>
          <t>None</t>
        </is>
      </c>
      <c r="CP60" s="485" t="n"/>
      <c r="CQ60" s="17" t="n"/>
      <c r="CR60" s="485" t="n"/>
      <c r="CS60" s="535" t="inlineStr">
        <is>
          <t>None</t>
        </is>
      </c>
      <c r="CT60" s="484" t="n"/>
      <c r="CU60" s="484" t="n"/>
      <c r="CV60" s="485" t="n"/>
      <c r="CW60" s="544" t="n"/>
      <c r="CX60" s="485" t="n"/>
      <c r="CY60" s="535" t="inlineStr">
        <is>
          <t>None</t>
        </is>
      </c>
      <c r="CZ60" s="484" t="n"/>
      <c r="DA60" s="484" t="n"/>
      <c r="DB60" s="485" t="n"/>
      <c r="DC60" s="544" t="n"/>
      <c r="DD60" s="485" t="n"/>
      <c r="DE60" s="535" t="inlineStr">
        <is>
          <t>None</t>
        </is>
      </c>
      <c r="DF60" s="484" t="n"/>
      <c r="DG60" s="484" t="n"/>
      <c r="DH60" s="485" t="n"/>
      <c r="DI60" s="544" t="n"/>
      <c r="DJ60" s="485" t="n"/>
      <c r="DK60" s="544" t="n"/>
      <c r="DL60" s="485" t="n"/>
      <c r="DM60" s="546" t="b">
        <v>0</v>
      </c>
      <c r="DN60" s="485" t="n"/>
      <c r="DO60" s="535" t="inlineStr">
        <is>
          <t>None</t>
        </is>
      </c>
      <c r="DP60" s="484" t="n"/>
      <c r="DQ60" s="484" t="n"/>
      <c r="DR60" s="485" t="n"/>
      <c r="DS60" s="544" t="n"/>
      <c r="DT60" s="485" t="n"/>
      <c r="DU60" s="17" t="n"/>
      <c r="DV60" s="484" t="n"/>
      <c r="DW60" s="484" t="n"/>
      <c r="DX60" s="484" t="n"/>
      <c r="DY60" s="485" t="n"/>
      <c r="DZ60" s="250" t="n"/>
      <c r="EA60" s="160" t="n"/>
      <c r="EB60" s="250" t="n"/>
      <c r="EC60" s="253">
        <f>B60</f>
        <v/>
      </c>
      <c r="ED60" s="253">
        <f>D60</f>
        <v/>
      </c>
      <c r="EE60" s="253">
        <f>F60</f>
        <v/>
      </c>
      <c r="EF60" s="253">
        <f>CC60</f>
        <v/>
      </c>
      <c r="EG60" s="253">
        <f>CG60</f>
        <v/>
      </c>
      <c r="EH60" s="253">
        <f>if(iferror(LEFT(ED60,LEN(ED60)-2),"SummonEnemy")="groupchange","SwitchSequenceGroup","SummonEnemy")</f>
        <v/>
      </c>
      <c r="EI60" s="253">
        <f>H60</f>
        <v/>
      </c>
      <c r="EJ60" s="253" t="n"/>
      <c r="EK60" s="253">
        <f>CK60</f>
        <v/>
      </c>
      <c r="EL60" s="253">
        <f>CI60</f>
        <v/>
      </c>
      <c r="EM60" s="253">
        <f>CO60</f>
        <v/>
      </c>
      <c r="EN60" s="253">
        <f>CQ60</f>
        <v/>
      </c>
      <c r="EO60" s="253">
        <f>CS60</f>
        <v/>
      </c>
      <c r="EP60" s="253">
        <f>CW60</f>
        <v/>
      </c>
      <c r="EQ60" s="253">
        <f>CY60</f>
        <v/>
      </c>
      <c r="ER60" s="253">
        <f>DC60</f>
        <v/>
      </c>
      <c r="ES60" s="253">
        <f>DE60</f>
        <v/>
      </c>
      <c r="ET60" s="253">
        <f>DI60</f>
        <v/>
      </c>
      <c r="EU60" s="253">
        <f>DK60</f>
        <v/>
      </c>
      <c r="EV60" s="253">
        <f>DM60</f>
        <v/>
      </c>
      <c r="EW60" s="253" t="n"/>
      <c r="EX60" s="253">
        <f>V60</f>
        <v/>
      </c>
      <c r="EY60" s="253">
        <f>X60</f>
        <v/>
      </c>
      <c r="EZ60" s="253">
        <f>AD60</f>
        <v/>
      </c>
      <c r="FA60" s="253">
        <f>AH60</f>
        <v/>
      </c>
      <c r="FB60" s="253">
        <f>"1"</f>
        <v/>
      </c>
      <c r="FC60" s="253">
        <f>BS60</f>
        <v/>
      </c>
      <c r="FD60" s="253">
        <f>BU60</f>
        <v/>
      </c>
      <c r="FE60" s="253">
        <f>CM60</f>
        <v/>
      </c>
      <c r="FF60" s="253">
        <f>DO60</f>
        <v/>
      </c>
      <c r="FG60" s="253">
        <f>DS60</f>
        <v/>
      </c>
      <c r="FH60" s="250" t="n"/>
      <c r="FI60" s="250" t="n"/>
      <c r="FJ60" s="250" t="n"/>
      <c r="FK60" s="250" t="n"/>
    </row>
    <row r="61">
      <c r="A61" s="250" t="n"/>
      <c r="B61" s="535" t="inlineStr">
        <is>
          <t>w4</t>
        </is>
      </c>
      <c r="C61" s="485" t="n"/>
      <c r="D61" s="533" t="n">
        <v>405</v>
      </c>
      <c r="E61" s="485" t="n"/>
      <c r="F61" s="534" t="n"/>
      <c r="G61" s="485" t="n"/>
      <c r="H61" s="535" t="inlineStr">
        <is>
          <t>e_jig_00201_jig1_advent_Boss_Red</t>
        </is>
      </c>
      <c r="I61" s="484" t="n"/>
      <c r="J61" s="484" t="n"/>
      <c r="K61" s="485" t="n"/>
      <c r="L61" s="536">
        <f t="array" ref="L61">iferror(INDEX('ファントムマスター'!F:F,MATCH(H61,'ファントムマスター'!D:D,0),0),"none")</f>
        <v/>
      </c>
      <c r="M61" s="484" t="n"/>
      <c r="N61" s="484" t="n"/>
      <c r="O61" s="485" t="n"/>
      <c r="P61" s="536">
        <f t="array" ref="P61">iferror(INDEX('ファントムマスター'!H:H,MATCH(H61,'ファントムマスター'!D:D,0),0),"none")</f>
        <v/>
      </c>
      <c r="Q61" s="485" t="n"/>
      <c r="R61" s="552">
        <f t="array" ref="R61">iferror(INDEX('ファントムマスター'!J:J,MATCH(H61,'ファントムマスター'!D:D,0),0),"none")</f>
        <v/>
      </c>
      <c r="S61" s="485" t="n"/>
      <c r="T61" s="536">
        <f t="array" ref="T61">iferror(INDEX('ファントムマスター'!I:I,MATCH(H61,'ファントムマスター'!D:D,0),0),"none")</f>
        <v/>
      </c>
      <c r="U61" s="485" t="n"/>
      <c r="V61" s="535" t="inlineStr">
        <is>
          <t>AdventBoss2</t>
        </is>
      </c>
      <c r="W61" s="485" t="n"/>
      <c r="X61" s="535" t="inlineStr">
        <is>
          <t>Normal</t>
        </is>
      </c>
      <c r="Y61" s="485" t="n"/>
      <c r="Z61" s="535" t="inlineStr">
        <is>
          <t>なし</t>
        </is>
      </c>
      <c r="AA61" s="485" t="n"/>
      <c r="AB61" s="537">
        <f t="array" ref="AB61">iferror(INDEX('ファントムマスター'!K:K,MATCH(H61,'ファントムマスター'!D:D,0),0)*AD61,"none")</f>
        <v/>
      </c>
      <c r="AC61" s="485" t="n"/>
      <c r="AD61" s="533" t="n">
        <v>0.3</v>
      </c>
      <c r="AE61" s="485" t="n"/>
      <c r="AF61" s="537">
        <f t="array" ref="AF61">iferror(INDEX('ファントムマスター'!O:O,MATCH(H61,'ファントムマスター'!D:D,0),0)*AH61,"none")</f>
        <v/>
      </c>
      <c r="AG61" s="485" t="n"/>
      <c r="AH61" s="533" t="n">
        <v>1.3</v>
      </c>
      <c r="AI61" s="485" t="n"/>
      <c r="AJ61" s="538">
        <f t="array" ref="AJ61">iferror(right(INDEX('ファントムマスター'!T:T,MATCH(H61,'ファントムマスター'!D:D,0),0),4)*50,"none")</f>
        <v/>
      </c>
      <c r="AK61" s="485" t="n"/>
      <c r="AL61" s="539">
        <f t="array" ref="AL61">iferror(right(INDEX('ファントムマスター'!V:V,MATCH(H61,'ファントムマスター'!D:D,0),0),4),"none")</f>
        <v/>
      </c>
      <c r="AM61" s="485" t="n"/>
      <c r="AN61" s="540">
        <f>iferror(AF61*(50/(AJ61+AL61)),"攻撃力に数値を入力")</f>
        <v/>
      </c>
      <c r="AO61" s="485" t="n"/>
      <c r="AP61" s="541">
        <f t="array" ref="AP61">XLOOKUP(H61,'ファントムマスター'!D:D,'ファントムマスター'!AC:AC,"none")</f>
        <v/>
      </c>
      <c r="AQ61" s="484" t="n"/>
      <c r="AR61" s="484" t="n"/>
      <c r="AS61" s="485" t="n"/>
      <c r="AT61" s="541">
        <f t="array" ref="AT61">iferror(INDEX('ファントムマスター'!Y:Y,MATCH(H61,'ファントムマスター'!D:D,0),0),"none")</f>
        <v/>
      </c>
      <c r="AU61" s="484" t="n"/>
      <c r="AV61" s="484" t="n"/>
      <c r="AW61" s="484" t="n"/>
      <c r="AX61" s="485" t="n"/>
      <c r="AY61" s="537">
        <f t="array" ref="AY61">iferror(INDEX('ファントムマスター'!Z:Z,MATCH(H61,'ファントムマスター'!D:D,0),0),"none")</f>
        <v/>
      </c>
      <c r="AZ61" s="485" t="n"/>
      <c r="BA61" s="537">
        <f t="array" ref="BA61">iferror(INDEX('ファントムマスター'!W:W,MATCH(H61,'ファントムマスター'!D:D,0),0)*50,"none")</f>
        <v/>
      </c>
      <c r="BB61" s="485" t="n"/>
      <c r="BC61" s="349">
        <f t="array" ref="BC61">iferror(INDEX('ファントムマスター'!AA:AA,MATCH(H61,'ファントムマスター'!D:D,0),0),"none")</f>
        <v/>
      </c>
      <c r="BD61" s="485" t="n"/>
      <c r="BE61" s="537">
        <f t="array" ref="BE61">iferror(INDEX('ファントムマスター'!M:M,MATCH(H61,'ファントムマスター'!D:D,0),0),"none")</f>
        <v/>
      </c>
      <c r="BF61" s="485" t="n"/>
      <c r="BG61" s="537">
        <f t="array" ref="BG61">iferror(INDEX('ファントムマスター'!N:N,MATCH(H61,'ファントムマスター'!D:D,0),0),"none")</f>
        <v/>
      </c>
      <c r="BH61" s="485" t="n"/>
      <c r="BI61" s="537">
        <f t="array" ref="BI61">iferror(INDEX('ファントムマスター'!P:P,MATCH(H61,'ファントムマスター'!D:D,0),0),"none")</f>
        <v/>
      </c>
      <c r="BJ61" s="485" t="n"/>
      <c r="BK61" s="537">
        <f t="array" ref="BK61">iferror(INDEX('ファントムマスター'!Q:Q,MATCH(H61,'ファントムマスター'!D:D,0),0),"none")</f>
        <v/>
      </c>
      <c r="BL61" s="485" t="n"/>
      <c r="BM61" s="542">
        <f t="array" ref="BM61">iferror(INDEX('ファントムマスター'!R:R,MATCH(H61,'ファントムマスター'!D:D,0),0),"none")</f>
        <v/>
      </c>
      <c r="BN61" s="485" t="n"/>
      <c r="BO61" s="537">
        <f t="array" ref="BO61">iferror(INDEX('ファントムマスター'!L:L,MATCH(H61,'ファントムマスター'!D:D,0),0),"none")</f>
        <v/>
      </c>
      <c r="BP61" s="485" t="n"/>
      <c r="BQ61" s="537">
        <f t="array" ref="BQ61">iferror(INDEX('ファントムマスター'!S:S,MATCH(H61,'ファントムマスター'!D:D,0),0),"none")</f>
        <v/>
      </c>
      <c r="BR61" s="485" t="n"/>
      <c r="BS61" s="533" t="n">
        <v>200</v>
      </c>
      <c r="BT61" s="485" t="n"/>
      <c r="BU61" s="533" t="n">
        <v>500</v>
      </c>
      <c r="BV61" s="485" t="n"/>
      <c r="BW61" s="535" t="n"/>
      <c r="BX61" s="485" t="n"/>
      <c r="BY61" s="17" t="n"/>
      <c r="BZ61" s="485" t="n"/>
      <c r="CA61" s="17" t="n"/>
      <c r="CB61" s="485" t="n"/>
      <c r="CC61" s="535" t="inlineStr">
        <is>
          <t>ElapsedTimeSinceSequenceGroupActivated</t>
        </is>
      </c>
      <c r="CD61" s="484" t="n"/>
      <c r="CE61" s="484" t="n"/>
      <c r="CF61" s="485" t="n"/>
      <c r="CG61" s="543" t="n">
        <v>100</v>
      </c>
      <c r="CH61" s="485" t="n"/>
      <c r="CI61" s="543" t="n">
        <v>0</v>
      </c>
      <c r="CJ61" s="485" t="n"/>
      <c r="CK61" s="543" t="n">
        <v>1</v>
      </c>
      <c r="CL61" s="485" t="n"/>
      <c r="CM61" s="544" t="n"/>
      <c r="CN61" s="485" t="n"/>
      <c r="CO61" s="545" t="inlineStr">
        <is>
          <t>None</t>
        </is>
      </c>
      <c r="CP61" s="485" t="n"/>
      <c r="CQ61" s="17" t="n"/>
      <c r="CR61" s="485" t="n"/>
      <c r="CS61" s="535" t="inlineStr">
        <is>
          <t>None</t>
        </is>
      </c>
      <c r="CT61" s="484" t="n"/>
      <c r="CU61" s="484" t="n"/>
      <c r="CV61" s="485" t="n"/>
      <c r="CW61" s="544" t="n"/>
      <c r="CX61" s="485" t="n"/>
      <c r="CY61" s="535" t="inlineStr">
        <is>
          <t>None</t>
        </is>
      </c>
      <c r="CZ61" s="484" t="n"/>
      <c r="DA61" s="484" t="n"/>
      <c r="DB61" s="485" t="n"/>
      <c r="DC61" s="544" t="n"/>
      <c r="DD61" s="485" t="n"/>
      <c r="DE61" s="535" t="inlineStr">
        <is>
          <t>None</t>
        </is>
      </c>
      <c r="DF61" s="484" t="n"/>
      <c r="DG61" s="484" t="n"/>
      <c r="DH61" s="485" t="n"/>
      <c r="DI61" s="544" t="n"/>
      <c r="DJ61" s="485" t="n"/>
      <c r="DK61" s="544" t="n"/>
      <c r="DL61" s="485" t="n"/>
      <c r="DM61" s="546" t="b">
        <v>0</v>
      </c>
      <c r="DN61" s="485" t="n"/>
      <c r="DO61" s="535" t="inlineStr">
        <is>
          <t>None</t>
        </is>
      </c>
      <c r="DP61" s="484" t="n"/>
      <c r="DQ61" s="484" t="n"/>
      <c r="DR61" s="485" t="n"/>
      <c r="DS61" s="544" t="n"/>
      <c r="DT61" s="485" t="n"/>
      <c r="DU61" s="17" t="n"/>
      <c r="DV61" s="484" t="n"/>
      <c r="DW61" s="484" t="n"/>
      <c r="DX61" s="484" t="n"/>
      <c r="DY61" s="485" t="n"/>
      <c r="DZ61" s="250" t="n"/>
      <c r="EA61" s="160" t="n"/>
      <c r="EB61" s="250" t="n"/>
      <c r="EC61" s="253">
        <f>B61</f>
        <v/>
      </c>
      <c r="ED61" s="253">
        <f>D61</f>
        <v/>
      </c>
      <c r="EE61" s="253">
        <f>F61</f>
        <v/>
      </c>
      <c r="EF61" s="253">
        <f>CC61</f>
        <v/>
      </c>
      <c r="EG61" s="253">
        <f>CG61</f>
        <v/>
      </c>
      <c r="EH61" s="253">
        <f>if(iferror(LEFT(ED61,LEN(ED61)-2),"SummonEnemy")="groupchange","SwitchSequenceGroup","SummonEnemy")</f>
        <v/>
      </c>
      <c r="EI61" s="253">
        <f>H61</f>
        <v/>
      </c>
      <c r="EJ61" s="253" t="n"/>
      <c r="EK61" s="253">
        <f>CK61</f>
        <v/>
      </c>
      <c r="EL61" s="253">
        <f>CI61</f>
        <v/>
      </c>
      <c r="EM61" s="253">
        <f>CO61</f>
        <v/>
      </c>
      <c r="EN61" s="253">
        <f>CQ61</f>
        <v/>
      </c>
      <c r="EO61" s="253">
        <f>CS61</f>
        <v/>
      </c>
      <c r="EP61" s="253">
        <f>CW61</f>
        <v/>
      </c>
      <c r="EQ61" s="253">
        <f>CY61</f>
        <v/>
      </c>
      <c r="ER61" s="253">
        <f>DC61</f>
        <v/>
      </c>
      <c r="ES61" s="253">
        <f>DE61</f>
        <v/>
      </c>
      <c r="ET61" s="253">
        <f>DI61</f>
        <v/>
      </c>
      <c r="EU61" s="253">
        <f>DK61</f>
        <v/>
      </c>
      <c r="EV61" s="253">
        <f>DM61</f>
        <v/>
      </c>
      <c r="EW61" s="253" t="n"/>
      <c r="EX61" s="253">
        <f>V61</f>
        <v/>
      </c>
      <c r="EY61" s="253">
        <f>X61</f>
        <v/>
      </c>
      <c r="EZ61" s="253">
        <f>AD61</f>
        <v/>
      </c>
      <c r="FA61" s="253">
        <f>AH61</f>
        <v/>
      </c>
      <c r="FB61" s="253">
        <f>"1"</f>
        <v/>
      </c>
      <c r="FC61" s="253">
        <f>BS61</f>
        <v/>
      </c>
      <c r="FD61" s="253">
        <f>BU61</f>
        <v/>
      </c>
      <c r="FE61" s="253">
        <f>CM61</f>
        <v/>
      </c>
      <c r="FF61" s="253">
        <f>DO61</f>
        <v/>
      </c>
      <c r="FG61" s="253">
        <f>DS61</f>
        <v/>
      </c>
      <c r="FH61" s="250" t="n"/>
      <c r="FI61" s="250" t="n"/>
      <c r="FJ61" s="250" t="n"/>
      <c r="FK61" s="250" t="n"/>
    </row>
    <row r="62">
      <c r="A62" s="250" t="n"/>
      <c r="B62" s="535" t="inlineStr">
        <is>
          <t>w4</t>
        </is>
      </c>
      <c r="C62" s="485" t="n"/>
      <c r="D62" s="243" t="inlineStr">
        <is>
          <t>groupchange_5</t>
        </is>
      </c>
      <c r="E62" s="484" t="n"/>
      <c r="F62" s="535" t="n"/>
      <c r="G62" s="485" t="n"/>
      <c r="H62" s="535" t="inlineStr">
        <is>
          <t>w5</t>
        </is>
      </c>
      <c r="I62" s="484" t="n"/>
      <c r="J62" s="484" t="n"/>
      <c r="K62" s="485" t="n"/>
      <c r="L62" s="536">
        <f t="array" ref="L62">iferror(INDEX('ファントムマスター'!F:F,MATCH(H62,'ファントムマスター'!D:D,0),0),"none")</f>
        <v/>
      </c>
      <c r="M62" s="484" t="n"/>
      <c r="N62" s="484" t="n"/>
      <c r="O62" s="485" t="n"/>
      <c r="P62" s="536">
        <f t="array" ref="P62">iferror(INDEX('ファントムマスター'!H:H,MATCH(H62,'ファントムマスター'!D:D,0),0),"none")</f>
        <v/>
      </c>
      <c r="Q62" s="485" t="n"/>
      <c r="R62" s="547">
        <f t="array" ref="R62">iferror(INDEX('ファントムマスター'!J:J,MATCH(H62,'ファントムマスター'!D:D,0),0),"none")</f>
        <v/>
      </c>
      <c r="S62" s="485" t="n"/>
      <c r="T62" s="536">
        <f t="array" ref="T62">iferror(INDEX('ファントムマスター'!I:I,MATCH(H62,'ファントムマスター'!D:D,0),0),"none")</f>
        <v/>
      </c>
      <c r="U62" s="485" t="n"/>
      <c r="V62" s="535" t="inlineStr">
        <is>
          <t>Default</t>
        </is>
      </c>
      <c r="W62" s="485" t="n"/>
      <c r="X62" s="535" t="inlineStr">
        <is>
          <t>Normal</t>
        </is>
      </c>
      <c r="Y62" s="485" t="n"/>
      <c r="Z62" s="535" t="inlineStr">
        <is>
          <t>なし</t>
        </is>
      </c>
      <c r="AA62" s="485" t="n"/>
      <c r="AB62" s="548">
        <f t="array" ref="AB62">iferror(INDEX('ファントムマスター'!K:K,MATCH(H62,'ファントムマスター'!D:D,0),0)*AD62,"none")</f>
        <v/>
      </c>
      <c r="AC62" s="485" t="n"/>
      <c r="AD62" s="533" t="n">
        <v>1</v>
      </c>
      <c r="AE62" s="485" t="n"/>
      <c r="AF62" s="548">
        <f t="array" ref="AF62">iferror(INDEX('ファントムマスター'!O:O,MATCH(H62,'ファントムマスター'!D:D,0),0)*AH62,"none")</f>
        <v/>
      </c>
      <c r="AG62" s="485" t="n"/>
      <c r="AH62" s="533" t="n">
        <v>1</v>
      </c>
      <c r="AI62" s="485" t="n"/>
      <c r="AJ62" s="539">
        <f t="array" ref="AJ62">iferror(right(INDEX('ファントムマスター'!T:T,MATCH(H62,'ファントムマスター'!D:D,0),0),4)*50,"none")</f>
        <v/>
      </c>
      <c r="AK62" s="485" t="n"/>
      <c r="AL62" s="539">
        <f t="array" ref="AL62">iferror(right(INDEX('ファントムマスター'!V:V,MATCH(H62,'ファントムマスター'!D:D,0),0),4),"none")</f>
        <v/>
      </c>
      <c r="AM62" s="485" t="n"/>
      <c r="AN62" s="549">
        <f>iferror(AF62*(50/(AJ62+AL62)),"攻撃力に数値を入力")</f>
        <v/>
      </c>
      <c r="AO62" s="485" t="n"/>
      <c r="AP62" s="538">
        <f t="array" ref="AP62">XLOOKUP(H62,'ファントムマスター'!D:D,'ファントムマスター'!AC:AC,"none")</f>
        <v/>
      </c>
      <c r="AQ62" s="484" t="n"/>
      <c r="AR62" s="484" t="n"/>
      <c r="AS62" s="485" t="n"/>
      <c r="AT62" s="538">
        <f t="array" ref="AT62">iferror(INDEX('ファントムマスター'!Y:Y,MATCH(H62,'ファントムマスター'!D:D,0),0),"none")</f>
        <v/>
      </c>
      <c r="AU62" s="484" t="n"/>
      <c r="AV62" s="484" t="n"/>
      <c r="AW62" s="484" t="n"/>
      <c r="AX62" s="485" t="n"/>
      <c r="AY62" s="537">
        <f t="array" ref="AY62">iferror(INDEX('ファントムマスター'!Z:Z,MATCH(H62,'ファントムマスター'!D:D,0),0),"none")</f>
        <v/>
      </c>
      <c r="AZ62" s="485" t="n"/>
      <c r="BA62" s="537">
        <f t="array" ref="BA62">iferror(INDEX('ファントムマスター'!W:W,MATCH(H62,'ファントムマスター'!D:D,0),0)*50,"none")</f>
        <v/>
      </c>
      <c r="BB62" s="485" t="n"/>
      <c r="BC62" s="536">
        <f t="array" ref="BC62">iferror(INDEX('ファントムマスター'!AA:AA,MATCH(H62,'ファントムマスター'!D:D,0),0),"none")</f>
        <v/>
      </c>
      <c r="BD62" s="485" t="n"/>
      <c r="BE62" s="548">
        <f t="array" ref="BE62">iferror(INDEX('ファントムマスター'!M:M,MATCH(H62,'ファントムマスター'!D:D,0),0),"none")</f>
        <v/>
      </c>
      <c r="BF62" s="485" t="n"/>
      <c r="BG62" s="548">
        <f t="array" ref="BG62">iferror(INDEX('ファントムマスター'!N:N,MATCH(H62,'ファントムマスター'!D:D,0),0),"none")</f>
        <v/>
      </c>
      <c r="BH62" s="485" t="n"/>
      <c r="BI62" s="548">
        <f t="array" ref="BI62">iferror(INDEX('ファントムマスター'!P:P,MATCH(H62,'ファントムマスター'!D:D,0),0),"none")</f>
        <v/>
      </c>
      <c r="BJ62" s="485" t="n"/>
      <c r="BK62" s="548">
        <f t="array" ref="BK62">iferror(INDEX('ファントムマスター'!Q:Q,MATCH(H62,'ファントムマスター'!D:D,0),0),"none")</f>
        <v/>
      </c>
      <c r="BL62" s="485" t="n"/>
      <c r="BM62" s="542">
        <f t="array" ref="BM62">iferror(INDEX('ファントムマスター'!R:R,MATCH(H62,'ファントムマスター'!D:D,0),0),"none")</f>
        <v/>
      </c>
      <c r="BN62" s="485" t="n"/>
      <c r="BO62" s="548">
        <f t="array" ref="BO62">iferror(INDEX('ファントムマスター'!L:L,MATCH(H62,'ファントムマスター'!D:D,0),0),"none")</f>
        <v/>
      </c>
      <c r="BP62" s="485" t="n"/>
      <c r="BQ62" s="548">
        <f t="array" ref="BQ62">iferror(INDEX('ファントムマスター'!S:S,MATCH(H62,'ファントムマスター'!D:D,0),0),"none")</f>
        <v/>
      </c>
      <c r="BR62" s="485" t="n"/>
      <c r="BS62" s="17" t="n"/>
      <c r="BT62" s="485" t="n"/>
      <c r="BU62" s="17" t="n"/>
      <c r="BV62" s="485" t="n"/>
      <c r="BW62" s="535" t="n"/>
      <c r="BX62" s="485" t="n"/>
      <c r="BY62" s="17" t="n"/>
      <c r="BZ62" s="485" t="n"/>
      <c r="CA62" s="17" t="n"/>
      <c r="CB62" s="485" t="n"/>
      <c r="CC62" s="535" t="inlineStr">
        <is>
          <t>FriendUnitDead</t>
        </is>
      </c>
      <c r="CD62" s="484" t="n"/>
      <c r="CE62" s="484" t="n"/>
      <c r="CF62" s="485" t="n"/>
      <c r="CG62" s="533" t="n">
        <v>405</v>
      </c>
      <c r="CH62" s="485" t="n"/>
      <c r="CI62" s="17" t="n"/>
      <c r="CJ62" s="485" t="n"/>
      <c r="CK62" s="17" t="n"/>
      <c r="CL62" s="485" t="n"/>
      <c r="CM62" s="17" t="n"/>
      <c r="CN62" s="485" t="n"/>
      <c r="CO62" s="535" t="inlineStr">
        <is>
          <t>None</t>
        </is>
      </c>
      <c r="CP62" s="485" t="n"/>
      <c r="CQ62" s="17" t="n"/>
      <c r="CR62" s="485" t="n"/>
      <c r="CS62" s="535" t="inlineStr">
        <is>
          <t>None</t>
        </is>
      </c>
      <c r="CT62" s="484" t="n"/>
      <c r="CU62" s="484" t="n"/>
      <c r="CV62" s="485" t="n"/>
      <c r="CW62" s="17" t="n"/>
      <c r="CX62" s="485" t="n"/>
      <c r="CY62" s="535" t="inlineStr">
        <is>
          <t>None</t>
        </is>
      </c>
      <c r="CZ62" s="484" t="n"/>
      <c r="DA62" s="484" t="n"/>
      <c r="DB62" s="485" t="n"/>
      <c r="DC62" s="17" t="n"/>
      <c r="DD62" s="485" t="n"/>
      <c r="DE62" s="535" t="inlineStr">
        <is>
          <t>None</t>
        </is>
      </c>
      <c r="DF62" s="484" t="n"/>
      <c r="DG62" s="484" t="n"/>
      <c r="DH62" s="485" t="n"/>
      <c r="DI62" s="17" t="n"/>
      <c r="DJ62" s="485" t="n"/>
      <c r="DK62" s="17" t="n"/>
      <c r="DL62" s="485" t="n"/>
      <c r="DM62" s="547" t="b">
        <v>0</v>
      </c>
      <c r="DN62" s="485" t="n"/>
      <c r="DO62" s="535" t="inlineStr">
        <is>
          <t>None</t>
        </is>
      </c>
      <c r="DP62" s="484" t="n"/>
      <c r="DQ62" s="484" t="n"/>
      <c r="DR62" s="485" t="n"/>
      <c r="DS62" s="17" t="n"/>
      <c r="DT62" s="485" t="n"/>
      <c r="DU62" s="17" t="n"/>
      <c r="DV62" s="484" t="n"/>
      <c r="DW62" s="484" t="n"/>
      <c r="DX62" s="484" t="n"/>
      <c r="DY62" s="485" t="n"/>
      <c r="DZ62" s="250" t="n"/>
      <c r="EA62" s="160" t="n"/>
      <c r="EB62" s="250" t="n"/>
      <c r="EC62" s="253">
        <f>B62</f>
        <v/>
      </c>
      <c r="ED62" s="253">
        <f>D62</f>
        <v/>
      </c>
      <c r="EE62" s="253">
        <f>F62</f>
        <v/>
      </c>
      <c r="EF62" s="253">
        <f>CC62</f>
        <v/>
      </c>
      <c r="EG62" s="253">
        <f>CG62</f>
        <v/>
      </c>
      <c r="EH62" s="253">
        <f>if(iferror(LEFT(ED62,LEN(ED62)-2),"SummonEnemy")="groupchange","SwitchSequenceGroup","SummonEnemy")</f>
        <v/>
      </c>
      <c r="EI62" s="253">
        <f>H62</f>
        <v/>
      </c>
      <c r="EJ62" s="253" t="n"/>
      <c r="EK62" s="253">
        <f>CK62</f>
        <v/>
      </c>
      <c r="EL62" s="253">
        <f>CI62</f>
        <v/>
      </c>
      <c r="EM62" s="253">
        <f>CO62</f>
        <v/>
      </c>
      <c r="EN62" s="253">
        <f>CQ62</f>
        <v/>
      </c>
      <c r="EO62" s="253">
        <f>CS62</f>
        <v/>
      </c>
      <c r="EP62" s="253">
        <f>CW62</f>
        <v/>
      </c>
      <c r="EQ62" s="253">
        <f>CY62</f>
        <v/>
      </c>
      <c r="ER62" s="253">
        <f>DC62</f>
        <v/>
      </c>
      <c r="ES62" s="253">
        <f>DE62</f>
        <v/>
      </c>
      <c r="ET62" s="253">
        <f>DI62</f>
        <v/>
      </c>
      <c r="EU62" s="253">
        <f>DK62</f>
        <v/>
      </c>
      <c r="EV62" s="253">
        <f>DM62</f>
        <v/>
      </c>
      <c r="EW62" s="253" t="n"/>
      <c r="EX62" s="253">
        <f>V62</f>
        <v/>
      </c>
      <c r="EY62" s="253">
        <f>X62</f>
        <v/>
      </c>
      <c r="EZ62" s="253">
        <f>AD62</f>
        <v/>
      </c>
      <c r="FA62" s="253">
        <f>AH62</f>
        <v/>
      </c>
      <c r="FB62" s="253">
        <f>"1"</f>
        <v/>
      </c>
      <c r="FC62" s="253">
        <f>BS62</f>
        <v/>
      </c>
      <c r="FD62" s="253">
        <f>BU62</f>
        <v/>
      </c>
      <c r="FE62" s="253">
        <f>CM62</f>
        <v/>
      </c>
      <c r="FF62" s="253">
        <f>DO62</f>
        <v/>
      </c>
      <c r="FG62" s="253">
        <f>DS62</f>
        <v/>
      </c>
      <c r="FH62" s="250" t="n"/>
      <c r="FI62" s="250" t="n"/>
      <c r="FJ62" s="250" t="n"/>
      <c r="FK62" s="250" t="n"/>
    </row>
    <row r="63">
      <c r="A63" s="250" t="n"/>
      <c r="B63" s="535" t="inlineStr">
        <is>
          <t>w5</t>
        </is>
      </c>
      <c r="C63" s="485" t="n"/>
      <c r="D63" s="533" t="n">
        <v>501</v>
      </c>
      <c r="E63" s="485" t="n"/>
      <c r="F63" s="534" t="n"/>
      <c r="G63" s="485" t="n"/>
      <c r="H63" s="535" t="inlineStr">
        <is>
          <t>e_jig_00401_jig1_advent_Normal_Colorless</t>
        </is>
      </c>
      <c r="I63" s="484" t="n"/>
      <c r="J63" s="484" t="n"/>
      <c r="K63" s="485" t="n"/>
      <c r="L63" s="536">
        <f t="array" ref="L63">iferror(INDEX('ファントムマスター'!F:F,MATCH(H63,'ファントムマスター'!D:D,0),0),"none")</f>
        <v/>
      </c>
      <c r="M63" s="484" t="n"/>
      <c r="N63" s="484" t="n"/>
      <c r="O63" s="485" t="n"/>
      <c r="P63" s="536">
        <f t="array" ref="P63">iferror(INDEX('ファントムマスター'!H:H,MATCH(H63,'ファントムマスター'!D:D,0),0),"none")</f>
        <v/>
      </c>
      <c r="Q63" s="485" t="n"/>
      <c r="R63" s="536">
        <f t="array" ref="R63">iferror(INDEX('ファントムマスター'!J:J,MATCH(H63,'ファントムマスター'!D:D,0),0),"none")</f>
        <v/>
      </c>
      <c r="S63" s="485" t="n"/>
      <c r="T63" s="536">
        <f t="array" ref="T63">iferror(INDEX('ファントムマスター'!I:I,MATCH(H63,'ファントムマスター'!D:D,0),0),"none")</f>
        <v/>
      </c>
      <c r="U63" s="485" t="n"/>
      <c r="V63" s="535" t="inlineStr">
        <is>
          <t>Default</t>
        </is>
      </c>
      <c r="W63" s="485" t="n"/>
      <c r="X63" s="535" t="inlineStr">
        <is>
          <t>Normal</t>
        </is>
      </c>
      <c r="Y63" s="485" t="n"/>
      <c r="Z63" s="535" t="inlineStr">
        <is>
          <t>なし</t>
        </is>
      </c>
      <c r="AA63" s="485" t="n"/>
      <c r="AB63" s="537">
        <f t="array" ref="AB63">iferror(INDEX('ファントムマスター'!K:K,MATCH(H63,'ファントムマスター'!D:D,0),0)*AD63,"none")</f>
        <v/>
      </c>
      <c r="AC63" s="485" t="n"/>
      <c r="AD63" s="533" t="n">
        <v>15</v>
      </c>
      <c r="AE63" s="485" t="n"/>
      <c r="AF63" s="537">
        <f t="array" ref="AF63">iferror(INDEX('ファントムマスター'!O:O,MATCH(H63,'ファントムマスター'!D:D,0),0)*AH63,"none")</f>
        <v/>
      </c>
      <c r="AG63" s="485" t="n"/>
      <c r="AH63" s="533" t="n">
        <v>1.7</v>
      </c>
      <c r="AI63" s="485" t="n"/>
      <c r="AJ63" s="538">
        <f t="array" ref="AJ63">iferror(right(INDEX('ファントムマスター'!T:T,MATCH(H63,'ファントムマスター'!D:D,0),0),4)*50,"none")</f>
        <v/>
      </c>
      <c r="AK63" s="485" t="n"/>
      <c r="AL63" s="539">
        <f t="array" ref="AL63">iferror(right(INDEX('ファントムマスター'!V:V,MATCH(H63,'ファントムマスター'!D:D,0),0),4),"none")</f>
        <v/>
      </c>
      <c r="AM63" s="485" t="n"/>
      <c r="AN63" s="540">
        <f>iferror(AF63*(50/(AJ63+AL63)),"攻撃力に数値を入力")</f>
        <v/>
      </c>
      <c r="AO63" s="485" t="n"/>
      <c r="AP63" s="493">
        <f t="array" ref="AP63">XLOOKUP(H63,'ファントムマスター'!D:D,'ファントムマスター'!AC:AC,"none")</f>
        <v/>
      </c>
      <c r="AQ63" s="484" t="n"/>
      <c r="AR63" s="484" t="n"/>
      <c r="AS63" s="485" t="n"/>
      <c r="AT63" s="541">
        <f t="array" ref="AT63">iferror(INDEX('ファントムマスター'!Y:Y,MATCH(H63,'ファントムマスター'!D:D,0),0),"none")</f>
        <v/>
      </c>
      <c r="AU63" s="484" t="n"/>
      <c r="AV63" s="484" t="n"/>
      <c r="AW63" s="484" t="n"/>
      <c r="AX63" s="485" t="n"/>
      <c r="AY63" s="537">
        <f t="array" ref="AY63">iferror(INDEX('ファントムマスター'!Z:Z,MATCH(H63,'ファントムマスター'!D:D,0),0),"none")</f>
        <v/>
      </c>
      <c r="AZ63" s="485" t="n"/>
      <c r="BA63" s="537">
        <f t="array" ref="BA63">iferror(INDEX('ファントムマスター'!W:W,MATCH(H63,'ファントムマスター'!D:D,0),0)*50,"none")</f>
        <v/>
      </c>
      <c r="BB63" s="485" t="n"/>
      <c r="BC63" s="349">
        <f t="array" ref="BC63">iferror(INDEX('ファントムマスター'!AA:AA,MATCH(H63,'ファントムマスター'!D:D,0),0),"none")</f>
        <v/>
      </c>
      <c r="BD63" s="485" t="n"/>
      <c r="BE63" s="537">
        <f t="array" ref="BE63">iferror(INDEX('ファントムマスター'!M:M,MATCH(H63,'ファントムマスター'!D:D,0),0),"none")</f>
        <v/>
      </c>
      <c r="BF63" s="485" t="n"/>
      <c r="BG63" s="537">
        <f t="array" ref="BG63">iferror(INDEX('ファントムマスター'!N:N,MATCH(H63,'ファントムマスター'!D:D,0),0),"none")</f>
        <v/>
      </c>
      <c r="BH63" s="485" t="n"/>
      <c r="BI63" s="537">
        <f t="array" ref="BI63">iferror(INDEX('ファントムマスター'!P:P,MATCH(H63,'ファントムマスター'!D:D,0),0),"none")</f>
        <v/>
      </c>
      <c r="BJ63" s="485" t="n"/>
      <c r="BK63" s="537">
        <f t="array" ref="BK63">iferror(INDEX('ファントムマスター'!Q:Q,MATCH(H63,'ファントムマスター'!D:D,0),0),"none")</f>
        <v/>
      </c>
      <c r="BL63" s="485" t="n"/>
      <c r="BM63" s="542">
        <f t="array" ref="BM63">iferror(INDEX('ファントムマスター'!R:R,MATCH(H63,'ファントムマスター'!D:D,0),0),"none")</f>
        <v/>
      </c>
      <c r="BN63" s="485" t="n"/>
      <c r="BO63" s="537">
        <f t="array" ref="BO63">iferror(INDEX('ファントムマスター'!L:L,MATCH(H63,'ファントムマスター'!D:D,0),0),"none")</f>
        <v/>
      </c>
      <c r="BP63" s="485" t="n"/>
      <c r="BQ63" s="537">
        <f t="array" ref="BQ63">iferror(INDEX('ファントムマスター'!S:S,MATCH(H63,'ファントムマスター'!D:D,0),0),"none")</f>
        <v/>
      </c>
      <c r="BR63" s="485" t="n"/>
      <c r="BS63" s="533" t="n">
        <v>50</v>
      </c>
      <c r="BT63" s="485" t="n"/>
      <c r="BU63" s="533" t="n">
        <v>60</v>
      </c>
      <c r="BV63" s="485" t="n"/>
      <c r="BW63" s="535" t="n"/>
      <c r="BX63" s="485" t="n"/>
      <c r="BY63" s="17" t="n"/>
      <c r="BZ63" s="485" t="n"/>
      <c r="CA63" s="17" t="n"/>
      <c r="CB63" s="485" t="n"/>
      <c r="CC63" s="535" t="inlineStr">
        <is>
          <t>FriendUnitDead</t>
        </is>
      </c>
      <c r="CD63" s="484" t="n"/>
      <c r="CE63" s="484" t="n"/>
      <c r="CF63" s="485" t="n"/>
      <c r="CG63" s="543" t="n">
        <v>503</v>
      </c>
      <c r="CH63" s="485" t="n"/>
      <c r="CI63" s="543" t="n">
        <v>300</v>
      </c>
      <c r="CJ63" s="485" t="n"/>
      <c r="CK63" s="543" t="n">
        <v>20</v>
      </c>
      <c r="CL63" s="485" t="n"/>
      <c r="CM63" s="544" t="n"/>
      <c r="CN63" s="485" t="n"/>
      <c r="CO63" s="545" t="inlineStr">
        <is>
          <t>None</t>
        </is>
      </c>
      <c r="CP63" s="485" t="n"/>
      <c r="CQ63" s="17" t="n"/>
      <c r="CR63" s="485" t="n"/>
      <c r="CS63" s="535" t="inlineStr">
        <is>
          <t>None</t>
        </is>
      </c>
      <c r="CT63" s="484" t="n"/>
      <c r="CU63" s="484" t="n"/>
      <c r="CV63" s="485" t="n"/>
      <c r="CW63" s="544" t="n"/>
      <c r="CX63" s="485" t="n"/>
      <c r="CY63" s="535" t="inlineStr">
        <is>
          <t>None</t>
        </is>
      </c>
      <c r="CZ63" s="484" t="n"/>
      <c r="DA63" s="484" t="n"/>
      <c r="DB63" s="485" t="n"/>
      <c r="DC63" s="544" t="n"/>
      <c r="DD63" s="485" t="n"/>
      <c r="DE63" s="535" t="inlineStr">
        <is>
          <t>None</t>
        </is>
      </c>
      <c r="DF63" s="484" t="n"/>
      <c r="DG63" s="484" t="n"/>
      <c r="DH63" s="485" t="n"/>
      <c r="DI63" s="544" t="n"/>
      <c r="DJ63" s="485" t="n"/>
      <c r="DK63" s="544" t="n"/>
      <c r="DL63" s="485" t="n"/>
      <c r="DM63" s="546" t="b">
        <v>0</v>
      </c>
      <c r="DN63" s="485" t="n"/>
      <c r="DO63" s="535" t="inlineStr">
        <is>
          <t>None</t>
        </is>
      </c>
      <c r="DP63" s="484" t="n"/>
      <c r="DQ63" s="484" t="n"/>
      <c r="DR63" s="485" t="n"/>
      <c r="DS63" s="544" t="n"/>
      <c r="DT63" s="485" t="n"/>
      <c r="DU63" s="17" t="n"/>
      <c r="DV63" s="484" t="n"/>
      <c r="DW63" s="484" t="n"/>
      <c r="DX63" s="484" t="n"/>
      <c r="DY63" s="485" t="n"/>
      <c r="DZ63" s="250" t="n"/>
      <c r="EA63" s="160" t="n"/>
      <c r="EB63" s="250" t="n"/>
      <c r="EC63" s="253">
        <f>B63</f>
        <v/>
      </c>
      <c r="ED63" s="253">
        <f>D63</f>
        <v/>
      </c>
      <c r="EE63" s="253">
        <f>F63</f>
        <v/>
      </c>
      <c r="EF63" s="253">
        <f>CC63</f>
        <v/>
      </c>
      <c r="EG63" s="253">
        <f>CG63</f>
        <v/>
      </c>
      <c r="EH63" s="253">
        <f>if(iferror(LEFT(ED63,LEN(ED63)-2),"SummonEnemy")="groupchange","SwitchSequenceGroup","SummonEnemy")</f>
        <v/>
      </c>
      <c r="EI63" s="253">
        <f>H63</f>
        <v/>
      </c>
      <c r="EJ63" s="253" t="n"/>
      <c r="EK63" s="253">
        <f>CK63</f>
        <v/>
      </c>
      <c r="EL63" s="253">
        <f>CI63</f>
        <v/>
      </c>
      <c r="EM63" s="253">
        <f>CO63</f>
        <v/>
      </c>
      <c r="EN63" s="253">
        <f>CQ63</f>
        <v/>
      </c>
      <c r="EO63" s="253">
        <f>CS63</f>
        <v/>
      </c>
      <c r="EP63" s="253">
        <f>CW63</f>
        <v/>
      </c>
      <c r="EQ63" s="253">
        <f>CY63</f>
        <v/>
      </c>
      <c r="ER63" s="253">
        <f>DC63</f>
        <v/>
      </c>
      <c r="ES63" s="253">
        <f>DE63</f>
        <v/>
      </c>
      <c r="ET63" s="253">
        <f>DI63</f>
        <v/>
      </c>
      <c r="EU63" s="253">
        <f>DK63</f>
        <v/>
      </c>
      <c r="EV63" s="253">
        <f>DM63</f>
        <v/>
      </c>
      <c r="EW63" s="253" t="n"/>
      <c r="EX63" s="253">
        <f>V63</f>
        <v/>
      </c>
      <c r="EY63" s="253">
        <f>X63</f>
        <v/>
      </c>
      <c r="EZ63" s="253">
        <f>AD63</f>
        <v/>
      </c>
      <c r="FA63" s="253">
        <f>AH63</f>
        <v/>
      </c>
      <c r="FB63" s="253">
        <f>"1"</f>
        <v/>
      </c>
      <c r="FC63" s="253">
        <f>BS63</f>
        <v/>
      </c>
      <c r="FD63" s="253">
        <f>BU63</f>
        <v/>
      </c>
      <c r="FE63" s="253">
        <f>CM63</f>
        <v/>
      </c>
      <c r="FF63" s="253">
        <f>DO63</f>
        <v/>
      </c>
      <c r="FG63" s="253">
        <f>DS63</f>
        <v/>
      </c>
      <c r="FH63" s="250" t="n"/>
      <c r="FI63" s="250" t="n"/>
      <c r="FJ63" s="250" t="n"/>
      <c r="FK63" s="250" t="n"/>
    </row>
    <row r="64">
      <c r="A64" s="250" t="n"/>
      <c r="B64" s="535" t="inlineStr">
        <is>
          <t>w5</t>
        </is>
      </c>
      <c r="C64" s="485" t="n"/>
      <c r="D64" s="533" t="n">
        <v>502</v>
      </c>
      <c r="E64" s="485" t="n"/>
      <c r="F64" s="534" t="n"/>
      <c r="G64" s="485" t="n"/>
      <c r="H64" s="535" t="inlineStr">
        <is>
          <t>e_jig_00001_jig1_advent_Normal_Colorless</t>
        </is>
      </c>
      <c r="I64" s="484" t="n"/>
      <c r="J64" s="484" t="n"/>
      <c r="K64" s="485" t="n"/>
      <c r="L64" s="536">
        <f t="array" ref="L64">iferror(INDEX('ファントムマスター'!F:F,MATCH(H64,'ファントムマスター'!D:D,0),0),"none")</f>
        <v/>
      </c>
      <c r="M64" s="484" t="n"/>
      <c r="N64" s="484" t="n"/>
      <c r="O64" s="485" t="n"/>
      <c r="P64" s="536">
        <f t="array" ref="P64">iferror(INDEX('ファントムマスター'!H:H,MATCH(H64,'ファントムマスター'!D:D,0),0),"none")</f>
        <v/>
      </c>
      <c r="Q64" s="485" t="n"/>
      <c r="R64" s="536">
        <f t="array" ref="R64">iferror(INDEX('ファントムマスター'!J:J,MATCH(H64,'ファントムマスター'!D:D,0),0),"none")</f>
        <v/>
      </c>
      <c r="S64" s="485" t="n"/>
      <c r="T64" s="536">
        <f t="array" ref="T64">iferror(INDEX('ファントムマスター'!I:I,MATCH(H64,'ファントムマスター'!D:D,0),0),"none")</f>
        <v/>
      </c>
      <c r="U64" s="485" t="n"/>
      <c r="V64" s="535" t="inlineStr">
        <is>
          <t>Default</t>
        </is>
      </c>
      <c r="W64" s="485" t="n"/>
      <c r="X64" s="535" t="inlineStr">
        <is>
          <t>Normal</t>
        </is>
      </c>
      <c r="Y64" s="485" t="n"/>
      <c r="Z64" s="535" t="inlineStr">
        <is>
          <t>なし</t>
        </is>
      </c>
      <c r="AA64" s="485" t="n"/>
      <c r="AB64" s="537">
        <f t="array" ref="AB64">iferror(INDEX('ファントムマスター'!K:K,MATCH(H64,'ファントムマスター'!D:D,0),0)*AD64,"none")</f>
        <v/>
      </c>
      <c r="AC64" s="485" t="n"/>
      <c r="AD64" s="533" t="n">
        <v>5</v>
      </c>
      <c r="AE64" s="485" t="n"/>
      <c r="AF64" s="537">
        <f t="array" ref="AF64">iferror(INDEX('ファントムマスター'!O:O,MATCH(H64,'ファントムマスター'!D:D,0),0)*AH64,"none")</f>
        <v/>
      </c>
      <c r="AG64" s="485" t="n"/>
      <c r="AH64" s="533" t="n">
        <v>2.6</v>
      </c>
      <c r="AI64" s="485" t="n"/>
      <c r="AJ64" s="538">
        <f t="array" ref="AJ64">iferror(right(INDEX('ファントムマスター'!T:T,MATCH(H64,'ファントムマスター'!D:D,0),0),4)*50,"none")</f>
        <v/>
      </c>
      <c r="AK64" s="485" t="n"/>
      <c r="AL64" s="539">
        <f t="array" ref="AL64">iferror(right(INDEX('ファントムマスター'!V:V,MATCH(H64,'ファントムマスター'!D:D,0),0),4),"none")</f>
        <v/>
      </c>
      <c r="AM64" s="485" t="n"/>
      <c r="AN64" s="540">
        <f>iferror(AF64*(50/(AJ64+AL64)),"攻撃力に数値を入力")</f>
        <v/>
      </c>
      <c r="AO64" s="485" t="n"/>
      <c r="AP64" s="541">
        <f t="array" ref="AP64">XLOOKUP(H64,'ファントムマスター'!D:D,'ファントムマスター'!AC:AC,"none")</f>
        <v/>
      </c>
      <c r="AQ64" s="484" t="n"/>
      <c r="AR64" s="484" t="n"/>
      <c r="AS64" s="485" t="n"/>
      <c r="AT64" s="541">
        <f t="array" ref="AT64">iferror(INDEX('ファントムマスター'!Y:Y,MATCH(H64,'ファントムマスター'!D:D,0),0),"none")</f>
        <v/>
      </c>
      <c r="AU64" s="484" t="n"/>
      <c r="AV64" s="484" t="n"/>
      <c r="AW64" s="484" t="n"/>
      <c r="AX64" s="485" t="n"/>
      <c r="AY64" s="537">
        <f t="array" ref="AY64">iferror(INDEX('ファントムマスター'!Z:Z,MATCH(H64,'ファントムマスター'!D:D,0),0),"none")</f>
        <v/>
      </c>
      <c r="AZ64" s="485" t="n"/>
      <c r="BA64" s="537">
        <f t="array" ref="BA64">iferror(INDEX('ファントムマスター'!W:W,MATCH(H64,'ファントムマスター'!D:D,0),0)*50,"none")</f>
        <v/>
      </c>
      <c r="BB64" s="485" t="n"/>
      <c r="BC64" s="349">
        <f t="array" ref="BC64">iferror(INDEX('ファントムマスター'!AA:AA,MATCH(H64,'ファントムマスター'!D:D,0),0),"none")</f>
        <v/>
      </c>
      <c r="BD64" s="485" t="n"/>
      <c r="BE64" s="537">
        <f t="array" ref="BE64">iferror(INDEX('ファントムマスター'!M:M,MATCH(H64,'ファントムマスター'!D:D,0),0),"none")</f>
        <v/>
      </c>
      <c r="BF64" s="485" t="n"/>
      <c r="BG64" s="537">
        <f t="array" ref="BG64">iferror(INDEX('ファントムマスター'!N:N,MATCH(H64,'ファントムマスター'!D:D,0),0),"none")</f>
        <v/>
      </c>
      <c r="BH64" s="485" t="n"/>
      <c r="BI64" s="537">
        <f t="array" ref="BI64">iferror(INDEX('ファントムマスター'!P:P,MATCH(H64,'ファントムマスター'!D:D,0),0),"none")</f>
        <v/>
      </c>
      <c r="BJ64" s="485" t="n"/>
      <c r="BK64" s="537">
        <f t="array" ref="BK64">iferror(INDEX('ファントムマスター'!Q:Q,MATCH(H64,'ファントムマスター'!D:D,0),0),"none")</f>
        <v/>
      </c>
      <c r="BL64" s="485" t="n"/>
      <c r="BM64" s="542">
        <f t="array" ref="BM64">iferror(INDEX('ファントムマスター'!R:R,MATCH(H64,'ファントムマスター'!D:D,0),0),"none")</f>
        <v/>
      </c>
      <c r="BN64" s="485" t="n"/>
      <c r="BO64" s="537">
        <f t="array" ref="BO64">iferror(INDEX('ファントムマスター'!L:L,MATCH(H64,'ファントムマスター'!D:D,0),0),"none")</f>
        <v/>
      </c>
      <c r="BP64" s="485" t="n"/>
      <c r="BQ64" s="537">
        <f t="array" ref="BQ64">iferror(INDEX('ファントムマスター'!S:S,MATCH(H64,'ファントムマスター'!D:D,0),0),"none")</f>
        <v/>
      </c>
      <c r="BR64" s="485" t="n"/>
      <c r="BS64" s="533" t="n">
        <v>50</v>
      </c>
      <c r="BT64" s="485" t="n"/>
      <c r="BU64" s="533" t="n">
        <v>60</v>
      </c>
      <c r="BV64" s="485" t="n"/>
      <c r="BW64" s="535" t="n"/>
      <c r="BX64" s="485" t="n"/>
      <c r="BY64" s="17" t="n"/>
      <c r="BZ64" s="485" t="n"/>
      <c r="CA64" s="17" t="n"/>
      <c r="CB64" s="485" t="n"/>
      <c r="CC64" s="535" t="inlineStr">
        <is>
          <t>FriendUnitDead</t>
        </is>
      </c>
      <c r="CD64" s="484" t="n"/>
      <c r="CE64" s="484" t="n"/>
      <c r="CF64" s="485" t="n"/>
      <c r="CG64" s="533" t="n">
        <v>504</v>
      </c>
      <c r="CH64" s="485" t="n"/>
      <c r="CI64" s="543" t="n">
        <v>270</v>
      </c>
      <c r="CJ64" s="485" t="n"/>
      <c r="CK64" s="543" t="n">
        <v>40</v>
      </c>
      <c r="CL64" s="485" t="n"/>
      <c r="CM64" s="544" t="n"/>
      <c r="CN64" s="485" t="n"/>
      <c r="CO64" s="545" t="inlineStr">
        <is>
          <t>None</t>
        </is>
      </c>
      <c r="CP64" s="485" t="n"/>
      <c r="CQ64" s="17" t="n"/>
      <c r="CR64" s="485" t="n"/>
      <c r="CS64" s="535" t="inlineStr">
        <is>
          <t>None</t>
        </is>
      </c>
      <c r="CT64" s="484" t="n"/>
      <c r="CU64" s="484" t="n"/>
      <c r="CV64" s="485" t="n"/>
      <c r="CW64" s="544" t="n"/>
      <c r="CX64" s="485" t="n"/>
      <c r="CY64" s="535" t="inlineStr">
        <is>
          <t>None</t>
        </is>
      </c>
      <c r="CZ64" s="484" t="n"/>
      <c r="DA64" s="484" t="n"/>
      <c r="DB64" s="485" t="n"/>
      <c r="DC64" s="544" t="n"/>
      <c r="DD64" s="485" t="n"/>
      <c r="DE64" s="535" t="inlineStr">
        <is>
          <t>None</t>
        </is>
      </c>
      <c r="DF64" s="484" t="n"/>
      <c r="DG64" s="484" t="n"/>
      <c r="DH64" s="485" t="n"/>
      <c r="DI64" s="544" t="n"/>
      <c r="DJ64" s="485" t="n"/>
      <c r="DK64" s="544" t="n"/>
      <c r="DL64" s="485" t="n"/>
      <c r="DM64" s="546" t="b">
        <v>0</v>
      </c>
      <c r="DN64" s="485" t="n"/>
      <c r="DO64" s="535" t="inlineStr">
        <is>
          <t>None</t>
        </is>
      </c>
      <c r="DP64" s="484" t="n"/>
      <c r="DQ64" s="484" t="n"/>
      <c r="DR64" s="485" t="n"/>
      <c r="DS64" s="544" t="n"/>
      <c r="DT64" s="485" t="n"/>
      <c r="DU64" s="17" t="n"/>
      <c r="DV64" s="484" t="n"/>
      <c r="DW64" s="484" t="n"/>
      <c r="DX64" s="484" t="n"/>
      <c r="DY64" s="485" t="n"/>
      <c r="DZ64" s="250" t="n"/>
      <c r="EA64" s="160" t="n"/>
      <c r="EB64" s="250" t="n"/>
      <c r="EC64" s="253">
        <f>B64</f>
        <v/>
      </c>
      <c r="ED64" s="253">
        <f>D64</f>
        <v/>
      </c>
      <c r="EE64" s="253">
        <f>F64</f>
        <v/>
      </c>
      <c r="EF64" s="253">
        <f>CC64</f>
        <v/>
      </c>
      <c r="EG64" s="253">
        <f>CG64</f>
        <v/>
      </c>
      <c r="EH64" s="253">
        <f>if(iferror(LEFT(ED64,LEN(ED64)-2),"SummonEnemy")="groupchange","SwitchSequenceGroup","SummonEnemy")</f>
        <v/>
      </c>
      <c r="EI64" s="253">
        <f>H64</f>
        <v/>
      </c>
      <c r="EJ64" s="253" t="n"/>
      <c r="EK64" s="253">
        <f>CK64</f>
        <v/>
      </c>
      <c r="EL64" s="253">
        <f>CI64</f>
        <v/>
      </c>
      <c r="EM64" s="253">
        <f>CO64</f>
        <v/>
      </c>
      <c r="EN64" s="253">
        <f>CQ64</f>
        <v/>
      </c>
      <c r="EO64" s="253">
        <f>CS64</f>
        <v/>
      </c>
      <c r="EP64" s="253">
        <f>CW64</f>
        <v/>
      </c>
      <c r="EQ64" s="253">
        <f>CY64</f>
        <v/>
      </c>
      <c r="ER64" s="253">
        <f>DC64</f>
        <v/>
      </c>
      <c r="ES64" s="253">
        <f>DE64</f>
        <v/>
      </c>
      <c r="ET64" s="253">
        <f>DI64</f>
        <v/>
      </c>
      <c r="EU64" s="253">
        <f>DK64</f>
        <v/>
      </c>
      <c r="EV64" s="253">
        <f>DM64</f>
        <v/>
      </c>
      <c r="EW64" s="253" t="n"/>
      <c r="EX64" s="253">
        <f>V64</f>
        <v/>
      </c>
      <c r="EY64" s="253">
        <f>X64</f>
        <v/>
      </c>
      <c r="EZ64" s="253">
        <f>AD64</f>
        <v/>
      </c>
      <c r="FA64" s="253">
        <f>AH64</f>
        <v/>
      </c>
      <c r="FB64" s="253">
        <f>"1"</f>
        <v/>
      </c>
      <c r="FC64" s="253">
        <f>BS64</f>
        <v/>
      </c>
      <c r="FD64" s="253">
        <f>BU64</f>
        <v/>
      </c>
      <c r="FE64" s="253">
        <f>CM64</f>
        <v/>
      </c>
      <c r="FF64" s="253">
        <f>DO64</f>
        <v/>
      </c>
      <c r="FG64" s="253">
        <f>DS64</f>
        <v/>
      </c>
      <c r="FH64" s="250" t="n"/>
      <c r="FI64" s="250" t="n"/>
      <c r="FJ64" s="250" t="n"/>
      <c r="FK64" s="250" t="n"/>
    </row>
    <row r="65">
      <c r="A65" s="250" t="n"/>
      <c r="B65" s="535" t="inlineStr">
        <is>
          <t>w5</t>
        </is>
      </c>
      <c r="C65" s="485" t="n"/>
      <c r="D65" s="533" t="n">
        <v>503</v>
      </c>
      <c r="E65" s="485" t="n"/>
      <c r="F65" s="534" t="n"/>
      <c r="G65" s="485" t="n"/>
      <c r="H65" s="535" t="inlineStr">
        <is>
          <t>e_jig_00301_jig1_advent_Boss_Green</t>
        </is>
      </c>
      <c r="I65" s="484" t="n"/>
      <c r="J65" s="484" t="n"/>
      <c r="K65" s="485" t="n"/>
      <c r="L65" s="536">
        <f t="array" ref="L65">iferror(INDEX('ファントムマスター'!F:F,MATCH(H65,'ファントムマスター'!D:D,0),0),"none")</f>
        <v/>
      </c>
      <c r="M65" s="484" t="n"/>
      <c r="N65" s="484" t="n"/>
      <c r="O65" s="485" t="n"/>
      <c r="P65" s="536">
        <f t="array" ref="P65">iferror(INDEX('ファントムマスター'!H:H,MATCH(H65,'ファントムマスター'!D:D,0),0),"none")</f>
        <v/>
      </c>
      <c r="Q65" s="485" t="n"/>
      <c r="R65" s="553">
        <f t="array" ref="R65">iferror(INDEX('ファントムマスター'!J:J,MATCH(H65,'ファントムマスター'!D:D,0),0),"none")</f>
        <v/>
      </c>
      <c r="S65" s="485" t="n"/>
      <c r="T65" s="536">
        <f t="array" ref="T65">iferror(INDEX('ファントムマスター'!I:I,MATCH(H65,'ファントムマスター'!D:D,0),0),"none")</f>
        <v/>
      </c>
      <c r="U65" s="485" t="n"/>
      <c r="V65" s="535" t="inlineStr">
        <is>
          <t>AdventBoss2</t>
        </is>
      </c>
      <c r="W65" s="485" t="n"/>
      <c r="X65" s="535" t="inlineStr">
        <is>
          <t>Normal</t>
        </is>
      </c>
      <c r="Y65" s="485" t="n"/>
      <c r="Z65" s="535" t="inlineStr">
        <is>
          <t>なし</t>
        </is>
      </c>
      <c r="AA65" s="485" t="n"/>
      <c r="AB65" s="537">
        <f t="array" ref="AB65">iferror(INDEX('ファントムマスター'!K:K,MATCH(H65,'ファントムマスター'!D:D,0),0)*AD65,"none")</f>
        <v/>
      </c>
      <c r="AC65" s="485" t="n"/>
      <c r="AD65" s="533" t="n">
        <v>15</v>
      </c>
      <c r="AE65" s="485" t="n"/>
      <c r="AF65" s="537">
        <f t="array" ref="AF65">iferror(INDEX('ファントムマスター'!O:O,MATCH(H65,'ファントムマスター'!D:D,0),0)*AH65,"none")</f>
        <v/>
      </c>
      <c r="AG65" s="485" t="n"/>
      <c r="AH65" s="533" t="n">
        <v>3.3</v>
      </c>
      <c r="AI65" s="485" t="n"/>
      <c r="AJ65" s="538">
        <f t="array" ref="AJ65">iferror(right(INDEX('ファントムマスター'!T:T,MATCH(H65,'ファントムマスター'!D:D,0),0),4)*50,"none")</f>
        <v/>
      </c>
      <c r="AK65" s="485" t="n"/>
      <c r="AL65" s="539">
        <f t="array" ref="AL65">iferror(right(INDEX('ファントムマスター'!V:V,MATCH(H65,'ファントムマスター'!D:D,0),0),4),"none")</f>
        <v/>
      </c>
      <c r="AM65" s="485" t="n"/>
      <c r="AN65" s="540">
        <f>iferror(AF65*(50/(AJ65+AL65)),"攻撃力に数値を入力")</f>
        <v/>
      </c>
      <c r="AO65" s="485" t="n"/>
      <c r="AP65" s="541">
        <f t="array" ref="AP65">XLOOKUP(H65,'ファントムマスター'!D:D,'ファントムマスター'!AC:AC,"none")</f>
        <v/>
      </c>
      <c r="AQ65" s="484" t="n"/>
      <c r="AR65" s="484" t="n"/>
      <c r="AS65" s="485" t="n"/>
      <c r="AT65" s="541">
        <f t="array" ref="AT65">iferror(INDEX('ファントムマスター'!Y:Y,MATCH(H65,'ファントムマスター'!D:D,0),0),"none")</f>
        <v/>
      </c>
      <c r="AU65" s="484" t="n"/>
      <c r="AV65" s="484" t="n"/>
      <c r="AW65" s="484" t="n"/>
      <c r="AX65" s="485" t="n"/>
      <c r="AY65" s="537">
        <f t="array" ref="AY65">iferror(INDEX('ファントムマスター'!Z:Z,MATCH(H65,'ファントムマスター'!D:D,0),0),"none")</f>
        <v/>
      </c>
      <c r="AZ65" s="485" t="n"/>
      <c r="BA65" s="537">
        <f t="array" ref="BA65">iferror(INDEX('ファントムマスター'!W:W,MATCH(H65,'ファントムマスター'!D:D,0),0)*50,"none")</f>
        <v/>
      </c>
      <c r="BB65" s="485" t="n"/>
      <c r="BC65" s="349">
        <f t="array" ref="BC65">iferror(INDEX('ファントムマスター'!AA:AA,MATCH(H65,'ファントムマスター'!D:D,0),0),"none")</f>
        <v/>
      </c>
      <c r="BD65" s="485" t="n"/>
      <c r="BE65" s="537">
        <f t="array" ref="BE65">iferror(INDEX('ファントムマスター'!M:M,MATCH(H65,'ファントムマスター'!D:D,0),0),"none")</f>
        <v/>
      </c>
      <c r="BF65" s="485" t="n"/>
      <c r="BG65" s="537">
        <f t="array" ref="BG65">iferror(INDEX('ファントムマスター'!N:N,MATCH(H65,'ファントムマスター'!D:D,0),0),"none")</f>
        <v/>
      </c>
      <c r="BH65" s="485" t="n"/>
      <c r="BI65" s="537">
        <f t="array" ref="BI65">iferror(INDEX('ファントムマスター'!P:P,MATCH(H65,'ファントムマスター'!D:D,0),0),"none")</f>
        <v/>
      </c>
      <c r="BJ65" s="485" t="n"/>
      <c r="BK65" s="537">
        <f t="array" ref="BK65">iferror(INDEX('ファントムマスター'!Q:Q,MATCH(H65,'ファントムマスター'!D:D,0),0),"none")</f>
        <v/>
      </c>
      <c r="BL65" s="485" t="n"/>
      <c r="BM65" s="542">
        <f t="array" ref="BM65">iferror(INDEX('ファントムマスター'!R:R,MATCH(H65,'ファントムマスター'!D:D,0),0),"none")</f>
        <v/>
      </c>
      <c r="BN65" s="485" t="n"/>
      <c r="BO65" s="537">
        <f t="array" ref="BO65">iferror(INDEX('ファントムマスター'!L:L,MATCH(H65,'ファントムマスター'!D:D,0),0),"none")</f>
        <v/>
      </c>
      <c r="BP65" s="485" t="n"/>
      <c r="BQ65" s="537">
        <f t="array" ref="BQ65">iferror(INDEX('ファントムマスター'!S:S,MATCH(H65,'ファントムマスター'!D:D,0),0),"none")</f>
        <v/>
      </c>
      <c r="BR65" s="485" t="n"/>
      <c r="BS65" s="533" t="n">
        <v>200</v>
      </c>
      <c r="BT65" s="485" t="n"/>
      <c r="BU65" s="533" t="n">
        <v>600</v>
      </c>
      <c r="BV65" s="485" t="n"/>
      <c r="BW65" s="535" t="n"/>
      <c r="BX65" s="485" t="n"/>
      <c r="BY65" s="17" t="n"/>
      <c r="BZ65" s="485" t="n"/>
      <c r="CA65" s="17" t="n"/>
      <c r="CB65" s="485" t="n"/>
      <c r="CC65" s="535" t="inlineStr">
        <is>
          <t>ElapsedTimeSinceSequenceGroupActivated</t>
        </is>
      </c>
      <c r="CD65" s="484" t="n"/>
      <c r="CE65" s="484" t="n"/>
      <c r="CF65" s="485" t="n"/>
      <c r="CG65" s="543" t="n">
        <v>5</v>
      </c>
      <c r="CH65" s="485" t="n"/>
      <c r="CI65" s="543" t="n">
        <v>0</v>
      </c>
      <c r="CJ65" s="485" t="n"/>
      <c r="CK65" s="543" t="n">
        <v>1</v>
      </c>
      <c r="CL65" s="485" t="n"/>
      <c r="CM65" s="544" t="n"/>
      <c r="CN65" s="485" t="n"/>
      <c r="CO65" s="545" t="inlineStr">
        <is>
          <t>None</t>
        </is>
      </c>
      <c r="CP65" s="485" t="n"/>
      <c r="CQ65" s="17" t="n"/>
      <c r="CR65" s="485" t="n"/>
      <c r="CS65" s="535" t="inlineStr">
        <is>
          <t>None</t>
        </is>
      </c>
      <c r="CT65" s="484" t="n"/>
      <c r="CU65" s="484" t="n"/>
      <c r="CV65" s="485" t="n"/>
      <c r="CW65" s="544" t="n"/>
      <c r="CX65" s="485" t="n"/>
      <c r="CY65" s="535" t="inlineStr">
        <is>
          <t>None</t>
        </is>
      </c>
      <c r="CZ65" s="484" t="n"/>
      <c r="DA65" s="484" t="n"/>
      <c r="DB65" s="485" t="n"/>
      <c r="DC65" s="544" t="n"/>
      <c r="DD65" s="485" t="n"/>
      <c r="DE65" s="535" t="inlineStr">
        <is>
          <t>None</t>
        </is>
      </c>
      <c r="DF65" s="484" t="n"/>
      <c r="DG65" s="484" t="n"/>
      <c r="DH65" s="485" t="n"/>
      <c r="DI65" s="544" t="n"/>
      <c r="DJ65" s="485" t="n"/>
      <c r="DK65" s="544" t="n"/>
      <c r="DL65" s="485" t="n"/>
      <c r="DM65" s="546" t="b">
        <v>0</v>
      </c>
      <c r="DN65" s="485" t="n"/>
      <c r="DO65" s="535" t="inlineStr">
        <is>
          <t>None</t>
        </is>
      </c>
      <c r="DP65" s="484" t="n"/>
      <c r="DQ65" s="484" t="n"/>
      <c r="DR65" s="485" t="n"/>
      <c r="DS65" s="544" t="n"/>
      <c r="DT65" s="485" t="n"/>
      <c r="DU65" s="17" t="n"/>
      <c r="DV65" s="484" t="n"/>
      <c r="DW65" s="484" t="n"/>
      <c r="DX65" s="484" t="n"/>
      <c r="DY65" s="485" t="n"/>
      <c r="DZ65" s="250" t="n"/>
      <c r="EA65" s="160" t="n"/>
      <c r="EB65" s="250" t="n"/>
      <c r="EC65" s="253">
        <f>B65</f>
        <v/>
      </c>
      <c r="ED65" s="253">
        <f>D65</f>
        <v/>
      </c>
      <c r="EE65" s="253">
        <f>F65</f>
        <v/>
      </c>
      <c r="EF65" s="253">
        <f>CC65</f>
        <v/>
      </c>
      <c r="EG65" s="253">
        <f>CG65</f>
        <v/>
      </c>
      <c r="EH65" s="253">
        <f>if(iferror(LEFT(ED65,LEN(ED65)-2),"SummonEnemy")="groupchange","SwitchSequenceGroup","SummonEnemy")</f>
        <v/>
      </c>
      <c r="EI65" s="253">
        <f>H65</f>
        <v/>
      </c>
      <c r="EJ65" s="253" t="n"/>
      <c r="EK65" s="253">
        <f>CK65</f>
        <v/>
      </c>
      <c r="EL65" s="253">
        <f>CI65</f>
        <v/>
      </c>
      <c r="EM65" s="253">
        <f>CO65</f>
        <v/>
      </c>
      <c r="EN65" s="253">
        <f>CQ65</f>
        <v/>
      </c>
      <c r="EO65" s="253">
        <f>CS65</f>
        <v/>
      </c>
      <c r="EP65" s="253">
        <f>CW65</f>
        <v/>
      </c>
      <c r="EQ65" s="253">
        <f>CY65</f>
        <v/>
      </c>
      <c r="ER65" s="253">
        <f>DC65</f>
        <v/>
      </c>
      <c r="ES65" s="253">
        <f>DE65</f>
        <v/>
      </c>
      <c r="ET65" s="253">
        <f>DI65</f>
        <v/>
      </c>
      <c r="EU65" s="253">
        <f>DK65</f>
        <v/>
      </c>
      <c r="EV65" s="253">
        <f>DM65</f>
        <v/>
      </c>
      <c r="EW65" s="253" t="n"/>
      <c r="EX65" s="253">
        <f>V65</f>
        <v/>
      </c>
      <c r="EY65" s="253">
        <f>X65</f>
        <v/>
      </c>
      <c r="EZ65" s="253">
        <f>AD65</f>
        <v/>
      </c>
      <c r="FA65" s="253">
        <f>AH65</f>
        <v/>
      </c>
      <c r="FB65" s="253">
        <f>"1"</f>
        <v/>
      </c>
      <c r="FC65" s="253">
        <f>BS65</f>
        <v/>
      </c>
      <c r="FD65" s="253">
        <f>BU65</f>
        <v/>
      </c>
      <c r="FE65" s="253">
        <f>CM65</f>
        <v/>
      </c>
      <c r="FF65" s="253">
        <f>DO65</f>
        <v/>
      </c>
      <c r="FG65" s="253">
        <f>DS65</f>
        <v/>
      </c>
      <c r="FH65" s="250" t="n"/>
      <c r="FI65" s="250" t="n"/>
      <c r="FJ65" s="250" t="n"/>
      <c r="FK65" s="250" t="n"/>
    </row>
    <row r="66">
      <c r="A66" s="250" t="n"/>
      <c r="B66" s="535" t="inlineStr">
        <is>
          <t>w5</t>
        </is>
      </c>
      <c r="C66" s="485" t="n"/>
      <c r="D66" s="533" t="n">
        <v>504</v>
      </c>
      <c r="E66" s="485" t="n"/>
      <c r="F66" s="534" t="n"/>
      <c r="G66" s="485" t="n"/>
      <c r="H66" s="535" t="inlineStr">
        <is>
          <t>e_jig_00201_jig1_advent_Boss_Yellow</t>
        </is>
      </c>
      <c r="I66" s="484" t="n"/>
      <c r="J66" s="484" t="n"/>
      <c r="K66" s="485" t="n"/>
      <c r="L66" s="536">
        <f t="array" ref="L66">iferror(INDEX('ファントムマスター'!F:F,MATCH(H66,'ファントムマスター'!D:D,0),0),"none")</f>
        <v/>
      </c>
      <c r="M66" s="484" t="n"/>
      <c r="N66" s="484" t="n"/>
      <c r="O66" s="485" t="n"/>
      <c r="P66" s="536">
        <f t="array" ref="P66">iferror(INDEX('ファントムマスター'!H:H,MATCH(H66,'ファントムマスター'!D:D,0),0),"none")</f>
        <v/>
      </c>
      <c r="Q66" s="485" t="n"/>
      <c r="R66" s="550">
        <f t="array" ref="R66">iferror(INDEX('ファントムマスター'!J:J,MATCH(H66,'ファントムマスター'!D:D,0),0),"none")</f>
        <v/>
      </c>
      <c r="S66" s="485" t="n"/>
      <c r="T66" s="536">
        <f t="array" ref="T66">iferror(INDEX('ファントムマスター'!I:I,MATCH(H66,'ファントムマスター'!D:D,0),0),"none")</f>
        <v/>
      </c>
      <c r="U66" s="485" t="n"/>
      <c r="V66" s="535" t="inlineStr">
        <is>
          <t>AdventBoss2</t>
        </is>
      </c>
      <c r="W66" s="485" t="n"/>
      <c r="X66" s="535" t="inlineStr">
        <is>
          <t>Normal</t>
        </is>
      </c>
      <c r="Y66" s="485" t="n"/>
      <c r="Z66" s="535" t="inlineStr">
        <is>
          <t>なし</t>
        </is>
      </c>
      <c r="AA66" s="485" t="n"/>
      <c r="AB66" s="537">
        <f t="array" ref="AB66">iferror(INDEX('ファントムマスター'!K:K,MATCH(H66,'ファントムマスター'!D:D,0),0)*AD66,"none")</f>
        <v/>
      </c>
      <c r="AC66" s="485" t="n"/>
      <c r="AD66" s="533" t="n">
        <v>1</v>
      </c>
      <c r="AE66" s="485" t="n"/>
      <c r="AF66" s="537">
        <f t="array" ref="AF66">iferror(INDEX('ファントムマスター'!O:O,MATCH(H66,'ファントムマスター'!D:D,0),0)*AH66,"none")</f>
        <v/>
      </c>
      <c r="AG66" s="485" t="n"/>
      <c r="AH66" s="533" t="n">
        <v>2.1</v>
      </c>
      <c r="AI66" s="485" t="n"/>
      <c r="AJ66" s="538">
        <f t="array" ref="AJ66">iferror(right(INDEX('ファントムマスター'!T:T,MATCH(H66,'ファントムマスター'!D:D,0),0),4)*50,"none")</f>
        <v/>
      </c>
      <c r="AK66" s="485" t="n"/>
      <c r="AL66" s="539">
        <f t="array" ref="AL66">iferror(right(INDEX('ファントムマスター'!V:V,MATCH(H66,'ファントムマスター'!D:D,0),0),4),"none")</f>
        <v/>
      </c>
      <c r="AM66" s="485" t="n"/>
      <c r="AN66" s="540">
        <f>iferror(AF66*(50/(AJ66+AL66)),"攻撃力に数値を入力")</f>
        <v/>
      </c>
      <c r="AO66" s="485" t="n"/>
      <c r="AP66" s="541">
        <f t="array" ref="AP66">XLOOKUP(H66,'ファントムマスター'!D:D,'ファントムマスター'!AC:AC,"none")</f>
        <v/>
      </c>
      <c r="AQ66" s="484" t="n"/>
      <c r="AR66" s="484" t="n"/>
      <c r="AS66" s="485" t="n"/>
      <c r="AT66" s="541">
        <f t="array" ref="AT66">iferror(INDEX('ファントムマスター'!Y:Y,MATCH(H66,'ファントムマスター'!D:D,0),0),"none")</f>
        <v/>
      </c>
      <c r="AU66" s="484" t="n"/>
      <c r="AV66" s="484" t="n"/>
      <c r="AW66" s="484" t="n"/>
      <c r="AX66" s="485" t="n"/>
      <c r="AY66" s="537">
        <f t="array" ref="AY66">iferror(INDEX('ファントムマスター'!Z:Z,MATCH(H66,'ファントムマスター'!D:D,0),0),"none")</f>
        <v/>
      </c>
      <c r="AZ66" s="485" t="n"/>
      <c r="BA66" s="537">
        <f t="array" ref="BA66">iferror(INDEX('ファントムマスター'!W:W,MATCH(H66,'ファントムマスター'!D:D,0),0)*50,"none")</f>
        <v/>
      </c>
      <c r="BB66" s="485" t="n"/>
      <c r="BC66" s="349">
        <f t="array" ref="BC66">iferror(INDEX('ファントムマスター'!AA:AA,MATCH(H66,'ファントムマスター'!D:D,0),0),"none")</f>
        <v/>
      </c>
      <c r="BD66" s="485" t="n"/>
      <c r="BE66" s="537">
        <f t="array" ref="BE66">iferror(INDEX('ファントムマスター'!M:M,MATCH(H66,'ファントムマスター'!D:D,0),0),"none")</f>
        <v/>
      </c>
      <c r="BF66" s="485" t="n"/>
      <c r="BG66" s="537">
        <f t="array" ref="BG66">iferror(INDEX('ファントムマスター'!N:N,MATCH(H66,'ファントムマスター'!D:D,0),0),"none")</f>
        <v/>
      </c>
      <c r="BH66" s="485" t="n"/>
      <c r="BI66" s="537">
        <f t="array" ref="BI66">iferror(INDEX('ファントムマスター'!P:P,MATCH(H66,'ファントムマスター'!D:D,0),0),"none")</f>
        <v/>
      </c>
      <c r="BJ66" s="485" t="n"/>
      <c r="BK66" s="537">
        <f t="array" ref="BK66">iferror(INDEX('ファントムマスター'!Q:Q,MATCH(H66,'ファントムマスター'!D:D,0),0),"none")</f>
        <v/>
      </c>
      <c r="BL66" s="485" t="n"/>
      <c r="BM66" s="542">
        <f t="array" ref="BM66">iferror(INDEX('ファントムマスター'!R:R,MATCH(H66,'ファントムマスター'!D:D,0),0),"none")</f>
        <v/>
      </c>
      <c r="BN66" s="485" t="n"/>
      <c r="BO66" s="537">
        <f t="array" ref="BO66">iferror(INDEX('ファントムマスター'!L:L,MATCH(H66,'ファントムマスター'!D:D,0),0),"none")</f>
        <v/>
      </c>
      <c r="BP66" s="485" t="n"/>
      <c r="BQ66" s="537">
        <f t="array" ref="BQ66">iferror(INDEX('ファントムマスター'!S:S,MATCH(H66,'ファントムマスター'!D:D,0),0),"none")</f>
        <v/>
      </c>
      <c r="BR66" s="485" t="n"/>
      <c r="BS66" s="533" t="n"/>
      <c r="BT66" s="485" t="n"/>
      <c r="BU66" s="533" t="n">
        <v>700</v>
      </c>
      <c r="BV66" s="485" t="n"/>
      <c r="BW66" s="535" t="n"/>
      <c r="BX66" s="485" t="n"/>
      <c r="BY66" s="17" t="n"/>
      <c r="BZ66" s="485" t="n"/>
      <c r="CA66" s="17" t="n"/>
      <c r="CB66" s="485" t="n"/>
      <c r="CC66" s="535" t="inlineStr">
        <is>
          <t>FriendUnitDead</t>
        </is>
      </c>
      <c r="CD66" s="484" t="n"/>
      <c r="CE66" s="484" t="n"/>
      <c r="CF66" s="485" t="n"/>
      <c r="CG66" s="543" t="n">
        <v>503</v>
      </c>
      <c r="CH66" s="485" t="n"/>
      <c r="CI66" s="543" t="n">
        <v>0</v>
      </c>
      <c r="CJ66" s="485" t="n"/>
      <c r="CK66" s="543" t="n">
        <v>1</v>
      </c>
      <c r="CL66" s="485" t="n"/>
      <c r="CM66" s="544" t="n"/>
      <c r="CN66" s="485" t="n"/>
      <c r="CO66" s="545" t="inlineStr">
        <is>
          <t>None</t>
        </is>
      </c>
      <c r="CP66" s="485" t="n"/>
      <c r="CQ66" s="17" t="n"/>
      <c r="CR66" s="485" t="n"/>
      <c r="CS66" s="535" t="inlineStr">
        <is>
          <t>None</t>
        </is>
      </c>
      <c r="CT66" s="484" t="n"/>
      <c r="CU66" s="484" t="n"/>
      <c r="CV66" s="485" t="n"/>
      <c r="CW66" s="544" t="n"/>
      <c r="CX66" s="485" t="n"/>
      <c r="CY66" s="535" t="inlineStr">
        <is>
          <t>None</t>
        </is>
      </c>
      <c r="CZ66" s="484" t="n"/>
      <c r="DA66" s="484" t="n"/>
      <c r="DB66" s="485" t="n"/>
      <c r="DC66" s="544" t="n"/>
      <c r="DD66" s="485" t="n"/>
      <c r="DE66" s="535" t="inlineStr">
        <is>
          <t>None</t>
        </is>
      </c>
      <c r="DF66" s="484" t="n"/>
      <c r="DG66" s="484" t="n"/>
      <c r="DH66" s="485" t="n"/>
      <c r="DI66" s="544" t="n"/>
      <c r="DJ66" s="485" t="n"/>
      <c r="DK66" s="544" t="n"/>
      <c r="DL66" s="485" t="n"/>
      <c r="DM66" s="546" t="b">
        <v>0</v>
      </c>
      <c r="DN66" s="485" t="n"/>
      <c r="DO66" s="535" t="inlineStr">
        <is>
          <t>None</t>
        </is>
      </c>
      <c r="DP66" s="484" t="n"/>
      <c r="DQ66" s="484" t="n"/>
      <c r="DR66" s="485" t="n"/>
      <c r="DS66" s="544" t="n"/>
      <c r="DT66" s="485" t="n"/>
      <c r="DU66" s="17" t="n"/>
      <c r="DV66" s="484" t="n"/>
      <c r="DW66" s="484" t="n"/>
      <c r="DX66" s="484" t="n"/>
      <c r="DY66" s="485" t="n"/>
      <c r="DZ66" s="250" t="n"/>
      <c r="EA66" s="160" t="n"/>
      <c r="EB66" s="250" t="n"/>
      <c r="EC66" s="253">
        <f>B66</f>
        <v/>
      </c>
      <c r="ED66" s="253">
        <f>D66</f>
        <v/>
      </c>
      <c r="EE66" s="253">
        <f>F66</f>
        <v/>
      </c>
      <c r="EF66" s="253">
        <f>CC66</f>
        <v/>
      </c>
      <c r="EG66" s="253">
        <f>CG66</f>
        <v/>
      </c>
      <c r="EH66" s="253">
        <f>if(iferror(LEFT(ED66,LEN(ED66)-2),"SummonEnemy")="groupchange","SwitchSequenceGroup","SummonEnemy")</f>
        <v/>
      </c>
      <c r="EI66" s="253">
        <f>H66</f>
        <v/>
      </c>
      <c r="EJ66" s="253" t="n"/>
      <c r="EK66" s="253">
        <f>CK66</f>
        <v/>
      </c>
      <c r="EL66" s="253">
        <f>CI66</f>
        <v/>
      </c>
      <c r="EM66" s="253">
        <f>CO66</f>
        <v/>
      </c>
      <c r="EN66" s="253">
        <f>CQ66</f>
        <v/>
      </c>
      <c r="EO66" s="253">
        <f>CS66</f>
        <v/>
      </c>
      <c r="EP66" s="253">
        <f>CW66</f>
        <v/>
      </c>
      <c r="EQ66" s="253">
        <f>CY66</f>
        <v/>
      </c>
      <c r="ER66" s="253">
        <f>DC66</f>
        <v/>
      </c>
      <c r="ES66" s="253">
        <f>DE66</f>
        <v/>
      </c>
      <c r="ET66" s="253">
        <f>DI66</f>
        <v/>
      </c>
      <c r="EU66" s="253">
        <f>DK66</f>
        <v/>
      </c>
      <c r="EV66" s="253">
        <f>DM66</f>
        <v/>
      </c>
      <c r="EW66" s="253" t="n"/>
      <c r="EX66" s="253">
        <f>V66</f>
        <v/>
      </c>
      <c r="EY66" s="253">
        <f>X66</f>
        <v/>
      </c>
      <c r="EZ66" s="253">
        <f>AD66</f>
        <v/>
      </c>
      <c r="FA66" s="253">
        <f>AH66</f>
        <v/>
      </c>
      <c r="FB66" s="253">
        <f>"1"</f>
        <v/>
      </c>
      <c r="FC66" s="253">
        <f>BS66</f>
        <v/>
      </c>
      <c r="FD66" s="253">
        <f>BU66</f>
        <v/>
      </c>
      <c r="FE66" s="253">
        <f>CM66</f>
        <v/>
      </c>
      <c r="FF66" s="253">
        <f>DO66</f>
        <v/>
      </c>
      <c r="FG66" s="253">
        <f>DS66</f>
        <v/>
      </c>
      <c r="FH66" s="250" t="n"/>
      <c r="FI66" s="250" t="n"/>
      <c r="FJ66" s="250" t="n"/>
      <c r="FK66" s="250" t="n"/>
    </row>
    <row r="67">
      <c r="A67" s="250" t="n"/>
      <c r="B67" s="535" t="inlineStr">
        <is>
          <t>w5</t>
        </is>
      </c>
      <c r="C67" s="485" t="n"/>
      <c r="D67" s="533" t="n">
        <v>505</v>
      </c>
      <c r="E67" s="485" t="n"/>
      <c r="F67" s="534" t="n"/>
      <c r="G67" s="485" t="n"/>
      <c r="H67" s="535" t="inlineStr">
        <is>
          <t>e_jig_00601_jig1_advent_Boss_Yellow</t>
        </is>
      </c>
      <c r="I67" s="484" t="n"/>
      <c r="J67" s="484" t="n"/>
      <c r="K67" s="485" t="n"/>
      <c r="L67" s="536">
        <f t="array" ref="L67">iferror(INDEX('ファントムマスター'!F:F,MATCH(H67,'ファントムマスター'!D:D,0),0),"none")</f>
        <v/>
      </c>
      <c r="M67" s="484" t="n"/>
      <c r="N67" s="484" t="n"/>
      <c r="O67" s="485" t="n"/>
      <c r="P67" s="536">
        <f t="array" ref="P67">iferror(INDEX('ファントムマスター'!H:H,MATCH(H67,'ファントムマスター'!D:D,0),0),"none")</f>
        <v/>
      </c>
      <c r="Q67" s="485" t="n"/>
      <c r="R67" s="551">
        <f t="array" ref="R67">iferror(INDEX('ファントムマスター'!J:J,MATCH(H67,'ファントムマスター'!D:D,0),0),"none")</f>
        <v/>
      </c>
      <c r="S67" s="485" t="n"/>
      <c r="T67" s="536">
        <f t="array" ref="T67">iferror(INDEX('ファントムマスター'!I:I,MATCH(H67,'ファントムマスター'!D:D,0),0),"none")</f>
        <v/>
      </c>
      <c r="U67" s="485" t="n"/>
      <c r="V67" s="535" t="inlineStr">
        <is>
          <t>AdventBoss3</t>
        </is>
      </c>
      <c r="W67" s="485" t="n"/>
      <c r="X67" s="535" t="inlineStr">
        <is>
          <t>Normal</t>
        </is>
      </c>
      <c r="Y67" s="485" t="n"/>
      <c r="Z67" s="535" t="inlineStr">
        <is>
          <t>なし</t>
        </is>
      </c>
      <c r="AA67" s="485" t="n"/>
      <c r="AB67" s="537">
        <f t="array" ref="AB67">iferror(INDEX('ファントムマスター'!K:K,MATCH(H67,'ファントムマスター'!D:D,0),0)*AD67,"none")</f>
        <v/>
      </c>
      <c r="AC67" s="485" t="n"/>
      <c r="AD67" s="533" t="n">
        <v>6</v>
      </c>
      <c r="AE67" s="485" t="n"/>
      <c r="AF67" s="537">
        <f t="array" ref="AF67">iferror(INDEX('ファントムマスター'!O:O,MATCH(H67,'ファントムマスター'!D:D,0),0)*AH67,"none")</f>
        <v/>
      </c>
      <c r="AG67" s="485" t="n"/>
      <c r="AH67" s="533" t="n">
        <v>5</v>
      </c>
      <c r="AI67" s="485" t="n"/>
      <c r="AJ67" s="538">
        <f t="array" ref="AJ67">iferror(right(INDEX('ファントムマスター'!T:T,MATCH(H67,'ファントムマスター'!D:D,0),0),4)*50,"none")</f>
        <v/>
      </c>
      <c r="AK67" s="485" t="n"/>
      <c r="AL67" s="539">
        <f t="array" ref="AL67">iferror(right(INDEX('ファントムマスター'!V:V,MATCH(H67,'ファントムマスター'!D:D,0),0),4),"none")</f>
        <v/>
      </c>
      <c r="AM67" s="485" t="n"/>
      <c r="AN67" s="540">
        <f>iferror(AF67*(50/(AJ67+AL67)),"攻撃力に数値を入力")</f>
        <v/>
      </c>
      <c r="AO67" s="485" t="n"/>
      <c r="AP67" s="541">
        <f t="array" ref="AP67">XLOOKUP(H67,'ファントムマスター'!D:D,'ファントムマスター'!AC:AC,"none")</f>
        <v/>
      </c>
      <c r="AQ67" s="484" t="n"/>
      <c r="AR67" s="484" t="n"/>
      <c r="AS67" s="485" t="n"/>
      <c r="AT67" s="541">
        <f t="array" ref="AT67">iferror(INDEX('ファントムマスター'!Y:Y,MATCH(H67,'ファントムマスター'!D:D,0),0),"none")</f>
        <v/>
      </c>
      <c r="AU67" s="484" t="n"/>
      <c r="AV67" s="484" t="n"/>
      <c r="AW67" s="484" t="n"/>
      <c r="AX67" s="485" t="n"/>
      <c r="AY67" s="537">
        <f t="array" ref="AY67">iferror(INDEX('ファントムマスター'!Z:Z,MATCH(H67,'ファントムマスター'!D:D,0),0),"none")</f>
        <v/>
      </c>
      <c r="AZ67" s="485" t="n"/>
      <c r="BA67" s="537">
        <f t="array" ref="BA67">iferror(INDEX('ファントムマスター'!W:W,MATCH(H67,'ファントムマスター'!D:D,0),0)*50,"none")</f>
        <v/>
      </c>
      <c r="BB67" s="485" t="n"/>
      <c r="BC67" s="349">
        <f t="array" ref="BC67">iferror(INDEX('ファントムマスター'!AA:AA,MATCH(H67,'ファントムマスター'!D:D,0),0),"none")</f>
        <v/>
      </c>
      <c r="BD67" s="485" t="n"/>
      <c r="BE67" s="537">
        <f t="array" ref="BE67">iferror(INDEX('ファントムマスター'!M:M,MATCH(H67,'ファントムマスター'!D:D,0),0),"none")</f>
        <v/>
      </c>
      <c r="BF67" s="485" t="n"/>
      <c r="BG67" s="537">
        <f t="array" ref="BG67">iferror(INDEX('ファントムマスター'!N:N,MATCH(H67,'ファントムマスター'!D:D,0),0),"none")</f>
        <v/>
      </c>
      <c r="BH67" s="485" t="n"/>
      <c r="BI67" s="537">
        <f t="array" ref="BI67">iferror(INDEX('ファントムマスター'!P:P,MATCH(H67,'ファントムマスター'!D:D,0),0),"none")</f>
        <v/>
      </c>
      <c r="BJ67" s="485" t="n"/>
      <c r="BK67" s="537">
        <f t="array" ref="BK67">iferror(INDEX('ファントムマスター'!Q:Q,MATCH(H67,'ファントムマスター'!D:D,0),0),"none")</f>
        <v/>
      </c>
      <c r="BL67" s="485" t="n"/>
      <c r="BM67" s="542">
        <f t="array" ref="BM67">iferror(INDEX('ファントムマスター'!R:R,MATCH(H67,'ファントムマスター'!D:D,0),0),"none")</f>
        <v/>
      </c>
      <c r="BN67" s="485" t="n"/>
      <c r="BO67" s="537">
        <f t="array" ref="BO67">iferror(INDEX('ファントムマスター'!L:L,MATCH(H67,'ファントムマスター'!D:D,0),0),"none")</f>
        <v/>
      </c>
      <c r="BP67" s="485" t="n"/>
      <c r="BQ67" s="537">
        <f t="array" ref="BQ67">iferror(INDEX('ファントムマスター'!S:S,MATCH(H67,'ファントムマスター'!D:D,0),0),"none")</f>
        <v/>
      </c>
      <c r="BR67" s="485" t="n"/>
      <c r="BS67" s="533" t="n"/>
      <c r="BT67" s="485" t="n"/>
      <c r="BU67" s="533" t="n">
        <v>1200</v>
      </c>
      <c r="BV67" s="485" t="n"/>
      <c r="BW67" s="535" t="n"/>
      <c r="BX67" s="485" t="n"/>
      <c r="BY67" s="17" t="n"/>
      <c r="BZ67" s="485" t="n"/>
      <c r="CA67" s="17" t="n"/>
      <c r="CB67" s="485" t="n"/>
      <c r="CC67" s="535" t="inlineStr">
        <is>
          <t>FriendUnitDead</t>
        </is>
      </c>
      <c r="CD67" s="484" t="n"/>
      <c r="CE67" s="484" t="n"/>
      <c r="CF67" s="485" t="n"/>
      <c r="CG67" s="533" t="n">
        <v>504</v>
      </c>
      <c r="CH67" s="485" t="n"/>
      <c r="CI67" s="543" t="n">
        <v>0</v>
      </c>
      <c r="CJ67" s="485" t="n"/>
      <c r="CK67" s="543" t="n">
        <v>1</v>
      </c>
      <c r="CL67" s="485" t="n"/>
      <c r="CM67" s="544" t="n"/>
      <c r="CN67" s="485" t="n"/>
      <c r="CO67" s="545" t="inlineStr">
        <is>
          <t>None</t>
        </is>
      </c>
      <c r="CP67" s="485" t="n"/>
      <c r="CQ67" s="17" t="n"/>
      <c r="CR67" s="485" t="n"/>
      <c r="CS67" s="535" t="inlineStr">
        <is>
          <t>None</t>
        </is>
      </c>
      <c r="CT67" s="484" t="n"/>
      <c r="CU67" s="484" t="n"/>
      <c r="CV67" s="485" t="n"/>
      <c r="CW67" s="544" t="n"/>
      <c r="CX67" s="485" t="n"/>
      <c r="CY67" s="535" t="inlineStr">
        <is>
          <t>None</t>
        </is>
      </c>
      <c r="CZ67" s="484" t="n"/>
      <c r="DA67" s="484" t="n"/>
      <c r="DB67" s="485" t="n"/>
      <c r="DC67" s="544" t="n"/>
      <c r="DD67" s="485" t="n"/>
      <c r="DE67" s="535" t="inlineStr">
        <is>
          <t>None</t>
        </is>
      </c>
      <c r="DF67" s="484" t="n"/>
      <c r="DG67" s="484" t="n"/>
      <c r="DH67" s="485" t="n"/>
      <c r="DI67" s="544" t="n"/>
      <c r="DJ67" s="485" t="n"/>
      <c r="DK67" s="544" t="n"/>
      <c r="DL67" s="485" t="n"/>
      <c r="DM67" s="546" t="b">
        <v>0</v>
      </c>
      <c r="DN67" s="485" t="n"/>
      <c r="DO67" s="535" t="inlineStr">
        <is>
          <t>None</t>
        </is>
      </c>
      <c r="DP67" s="484" t="n"/>
      <c r="DQ67" s="484" t="n"/>
      <c r="DR67" s="485" t="n"/>
      <c r="DS67" s="544" t="n"/>
      <c r="DT67" s="485" t="n"/>
      <c r="DU67" s="17" t="n"/>
      <c r="DV67" s="484" t="n"/>
      <c r="DW67" s="484" t="n"/>
      <c r="DX67" s="484" t="n"/>
      <c r="DY67" s="485" t="n"/>
      <c r="DZ67" s="250" t="n"/>
      <c r="EA67" s="160" t="n"/>
      <c r="EB67" s="250" t="n"/>
      <c r="EC67" s="253">
        <f>B67</f>
        <v/>
      </c>
      <c r="ED67" s="253">
        <f>D67</f>
        <v/>
      </c>
      <c r="EE67" s="253">
        <f>F67</f>
        <v/>
      </c>
      <c r="EF67" s="253">
        <f>CC67</f>
        <v/>
      </c>
      <c r="EG67" s="253">
        <f>CG67</f>
        <v/>
      </c>
      <c r="EH67" s="253">
        <f>if(iferror(LEFT(ED67,LEN(ED67)-2),"SummonEnemy")="groupchange","SwitchSequenceGroup","SummonEnemy")</f>
        <v/>
      </c>
      <c r="EI67" s="253">
        <f>H67</f>
        <v/>
      </c>
      <c r="EJ67" s="253" t="n"/>
      <c r="EK67" s="253">
        <f>CK67</f>
        <v/>
      </c>
      <c r="EL67" s="253">
        <f>CI67</f>
        <v/>
      </c>
      <c r="EM67" s="253">
        <f>CO67</f>
        <v/>
      </c>
      <c r="EN67" s="253">
        <f>CQ67</f>
        <v/>
      </c>
      <c r="EO67" s="253">
        <f>CS67</f>
        <v/>
      </c>
      <c r="EP67" s="253">
        <f>CW67</f>
        <v/>
      </c>
      <c r="EQ67" s="253">
        <f>CY67</f>
        <v/>
      </c>
      <c r="ER67" s="253">
        <f>DC67</f>
        <v/>
      </c>
      <c r="ES67" s="253">
        <f>DE67</f>
        <v/>
      </c>
      <c r="ET67" s="253">
        <f>DI67</f>
        <v/>
      </c>
      <c r="EU67" s="253">
        <f>DK67</f>
        <v/>
      </c>
      <c r="EV67" s="253">
        <f>DM67</f>
        <v/>
      </c>
      <c r="EW67" s="253" t="n"/>
      <c r="EX67" s="253">
        <f>V67</f>
        <v/>
      </c>
      <c r="EY67" s="253">
        <f>X67</f>
        <v/>
      </c>
      <c r="EZ67" s="253">
        <f>AD67</f>
        <v/>
      </c>
      <c r="FA67" s="253">
        <f>AH67</f>
        <v/>
      </c>
      <c r="FB67" s="253">
        <f>"1"</f>
        <v/>
      </c>
      <c r="FC67" s="253">
        <f>BS67</f>
        <v/>
      </c>
      <c r="FD67" s="253">
        <f>BU67</f>
        <v/>
      </c>
      <c r="FE67" s="253">
        <f>CM67</f>
        <v/>
      </c>
      <c r="FF67" s="253">
        <f>DO67</f>
        <v/>
      </c>
      <c r="FG67" s="253">
        <f>DS67</f>
        <v/>
      </c>
      <c r="FH67" s="250" t="n"/>
      <c r="FI67" s="250" t="n"/>
      <c r="FJ67" s="250" t="n"/>
      <c r="FK67" s="250" t="n"/>
    </row>
    <row r="68">
      <c r="A68" s="250" t="n"/>
      <c r="B68" s="535" t="inlineStr">
        <is>
          <t>w5</t>
        </is>
      </c>
      <c r="C68" s="485" t="n"/>
      <c r="D68" s="533" t="n">
        <v>506</v>
      </c>
      <c r="E68" s="485" t="n"/>
      <c r="F68" s="534" t="n"/>
      <c r="G68" s="485" t="n"/>
      <c r="H68" s="535" t="inlineStr">
        <is>
          <t>e_jig_00201_jig1_advent_Boss_Red</t>
        </is>
      </c>
      <c r="I68" s="484" t="n"/>
      <c r="J68" s="484" t="n"/>
      <c r="K68" s="485" t="n"/>
      <c r="L68" s="536">
        <f t="array" ref="L68">iferror(INDEX('ファントムマスター'!F:F,MATCH(H68,'ファントムマスター'!D:D,0),0),"none")</f>
        <v/>
      </c>
      <c r="M68" s="484" t="n"/>
      <c r="N68" s="484" t="n"/>
      <c r="O68" s="485" t="n"/>
      <c r="P68" s="536">
        <f t="array" ref="P68">iferror(INDEX('ファントムマスター'!H:H,MATCH(H68,'ファントムマスター'!D:D,0),0),"none")</f>
        <v/>
      </c>
      <c r="Q68" s="485" t="n"/>
      <c r="R68" s="552">
        <f t="array" ref="R68">iferror(INDEX('ファントムマスター'!J:J,MATCH(H68,'ファントムマスター'!D:D,0),0),"none")</f>
        <v/>
      </c>
      <c r="S68" s="485" t="n"/>
      <c r="T68" s="536">
        <f t="array" ref="T68">iferror(INDEX('ファントムマスター'!I:I,MATCH(H68,'ファントムマスター'!D:D,0),0),"none")</f>
        <v/>
      </c>
      <c r="U68" s="485" t="n"/>
      <c r="V68" s="535" t="inlineStr">
        <is>
          <t>AdventBoss2</t>
        </is>
      </c>
      <c r="W68" s="485" t="n"/>
      <c r="X68" s="535" t="inlineStr">
        <is>
          <t>Normal</t>
        </is>
      </c>
      <c r="Y68" s="485" t="n"/>
      <c r="Z68" s="535" t="inlineStr">
        <is>
          <t>なし</t>
        </is>
      </c>
      <c r="AA68" s="485" t="n"/>
      <c r="AB68" s="537">
        <f t="array" ref="AB68">iferror(INDEX('ファントムマスター'!K:K,MATCH(H68,'ファントムマスター'!D:D,0),0)*AD68,"none")</f>
        <v/>
      </c>
      <c r="AC68" s="485" t="n"/>
      <c r="AD68" s="533" t="n">
        <v>1</v>
      </c>
      <c r="AE68" s="485" t="n"/>
      <c r="AF68" s="537">
        <f t="array" ref="AF68">iferror(INDEX('ファントムマスター'!O:O,MATCH(H68,'ファントムマスター'!D:D,0),0)*AH68,"none")</f>
        <v/>
      </c>
      <c r="AG68" s="485" t="n"/>
      <c r="AH68" s="533" t="n">
        <v>2.1</v>
      </c>
      <c r="AI68" s="485" t="n"/>
      <c r="AJ68" s="538">
        <f t="array" ref="AJ68">iferror(right(INDEX('ファントムマスター'!T:T,MATCH(H68,'ファントムマスター'!D:D,0),0),4)*50,"none")</f>
        <v/>
      </c>
      <c r="AK68" s="485" t="n"/>
      <c r="AL68" s="539">
        <f t="array" ref="AL68">iferror(right(INDEX('ファントムマスター'!V:V,MATCH(H68,'ファントムマスター'!D:D,0),0),4),"none")</f>
        <v/>
      </c>
      <c r="AM68" s="485" t="n"/>
      <c r="AN68" s="540">
        <f>iferror(AF68*(50/(AJ68+AL68)),"攻撃力に数値を入力")</f>
        <v/>
      </c>
      <c r="AO68" s="485" t="n"/>
      <c r="AP68" s="541">
        <f t="array" ref="AP68">XLOOKUP(H68,'ファントムマスター'!D:D,'ファントムマスター'!AC:AC,"none")</f>
        <v/>
      </c>
      <c r="AQ68" s="484" t="n"/>
      <c r="AR68" s="484" t="n"/>
      <c r="AS68" s="485" t="n"/>
      <c r="AT68" s="541">
        <f t="array" ref="AT68">iferror(INDEX('ファントムマスター'!Y:Y,MATCH(H68,'ファントムマスター'!D:D,0),0),"none")</f>
        <v/>
      </c>
      <c r="AU68" s="484" t="n"/>
      <c r="AV68" s="484" t="n"/>
      <c r="AW68" s="484" t="n"/>
      <c r="AX68" s="485" t="n"/>
      <c r="AY68" s="537">
        <f t="array" ref="AY68">iferror(INDEX('ファントムマスター'!Z:Z,MATCH(H68,'ファントムマスター'!D:D,0),0),"none")</f>
        <v/>
      </c>
      <c r="AZ68" s="485" t="n"/>
      <c r="BA68" s="537">
        <f t="array" ref="BA68">iferror(INDEX('ファントムマスター'!W:W,MATCH(H68,'ファントムマスター'!D:D,0),0)*50,"none")</f>
        <v/>
      </c>
      <c r="BB68" s="485" t="n"/>
      <c r="BC68" s="349">
        <f t="array" ref="BC68">iferror(INDEX('ファントムマスター'!AA:AA,MATCH(H68,'ファントムマスター'!D:D,0),0),"none")</f>
        <v/>
      </c>
      <c r="BD68" s="485" t="n"/>
      <c r="BE68" s="537">
        <f t="array" ref="BE68">iferror(INDEX('ファントムマスター'!M:M,MATCH(H68,'ファントムマスター'!D:D,0),0),"none")</f>
        <v/>
      </c>
      <c r="BF68" s="485" t="n"/>
      <c r="BG68" s="537">
        <f t="array" ref="BG68">iferror(INDEX('ファントムマスター'!N:N,MATCH(H68,'ファントムマスター'!D:D,0),0),"none")</f>
        <v/>
      </c>
      <c r="BH68" s="485" t="n"/>
      <c r="BI68" s="537">
        <f t="array" ref="BI68">iferror(INDEX('ファントムマスター'!P:P,MATCH(H68,'ファントムマスター'!D:D,0),0),"none")</f>
        <v/>
      </c>
      <c r="BJ68" s="485" t="n"/>
      <c r="BK68" s="537">
        <f t="array" ref="BK68">iferror(INDEX('ファントムマスター'!Q:Q,MATCH(H68,'ファントムマスター'!D:D,0),0),"none")</f>
        <v/>
      </c>
      <c r="BL68" s="485" t="n"/>
      <c r="BM68" s="542">
        <f t="array" ref="BM68">iferror(INDEX('ファントムマスター'!R:R,MATCH(H68,'ファントムマスター'!D:D,0),0),"none")</f>
        <v/>
      </c>
      <c r="BN68" s="485" t="n"/>
      <c r="BO68" s="537">
        <f t="array" ref="BO68">iferror(INDEX('ファントムマスター'!L:L,MATCH(H68,'ファントムマスター'!D:D,0),0),"none")</f>
        <v/>
      </c>
      <c r="BP68" s="485" t="n"/>
      <c r="BQ68" s="537">
        <f t="array" ref="BQ68">iferror(INDEX('ファントムマスター'!S:S,MATCH(H68,'ファントムマスター'!D:D,0),0),"none")</f>
        <v/>
      </c>
      <c r="BR68" s="485" t="n"/>
      <c r="BS68" s="533" t="n"/>
      <c r="BT68" s="485" t="n"/>
      <c r="BU68" s="533" t="n">
        <v>700</v>
      </c>
      <c r="BV68" s="485" t="n"/>
      <c r="BW68" s="535" t="n"/>
      <c r="BX68" s="485" t="n"/>
      <c r="BY68" s="17" t="n"/>
      <c r="BZ68" s="485" t="n"/>
      <c r="CA68" s="17" t="n"/>
      <c r="CB68" s="485" t="n"/>
      <c r="CC68" s="535" t="inlineStr">
        <is>
          <t>FriendUnitDead</t>
        </is>
      </c>
      <c r="CD68" s="484" t="n"/>
      <c r="CE68" s="484" t="n"/>
      <c r="CF68" s="485" t="n"/>
      <c r="CG68" s="533" t="n">
        <v>504</v>
      </c>
      <c r="CH68" s="485" t="n"/>
      <c r="CI68" s="543" t="n">
        <v>0</v>
      </c>
      <c r="CJ68" s="485" t="n"/>
      <c r="CK68" s="543" t="n">
        <v>1</v>
      </c>
      <c r="CL68" s="485" t="n"/>
      <c r="CM68" s="544" t="n"/>
      <c r="CN68" s="485" t="n"/>
      <c r="CO68" s="545" t="inlineStr">
        <is>
          <t>None</t>
        </is>
      </c>
      <c r="CP68" s="485" t="n"/>
      <c r="CQ68" s="17" t="n"/>
      <c r="CR68" s="485" t="n"/>
      <c r="CS68" s="535" t="inlineStr">
        <is>
          <t>None</t>
        </is>
      </c>
      <c r="CT68" s="484" t="n"/>
      <c r="CU68" s="484" t="n"/>
      <c r="CV68" s="485" t="n"/>
      <c r="CW68" s="544" t="n"/>
      <c r="CX68" s="485" t="n"/>
      <c r="CY68" s="535" t="inlineStr">
        <is>
          <t>None</t>
        </is>
      </c>
      <c r="CZ68" s="484" t="n"/>
      <c r="DA68" s="484" t="n"/>
      <c r="DB68" s="485" t="n"/>
      <c r="DC68" s="544" t="n"/>
      <c r="DD68" s="485" t="n"/>
      <c r="DE68" s="535" t="inlineStr">
        <is>
          <t>None</t>
        </is>
      </c>
      <c r="DF68" s="484" t="n"/>
      <c r="DG68" s="484" t="n"/>
      <c r="DH68" s="485" t="n"/>
      <c r="DI68" s="544" t="n"/>
      <c r="DJ68" s="485" t="n"/>
      <c r="DK68" s="544" t="n"/>
      <c r="DL68" s="485" t="n"/>
      <c r="DM68" s="546" t="b">
        <v>0</v>
      </c>
      <c r="DN68" s="485" t="n"/>
      <c r="DO68" s="535" t="inlineStr">
        <is>
          <t>None</t>
        </is>
      </c>
      <c r="DP68" s="484" t="n"/>
      <c r="DQ68" s="484" t="n"/>
      <c r="DR68" s="485" t="n"/>
      <c r="DS68" s="544" t="n"/>
      <c r="DT68" s="485" t="n"/>
      <c r="DU68" s="17" t="n"/>
      <c r="DV68" s="484" t="n"/>
      <c r="DW68" s="484" t="n"/>
      <c r="DX68" s="484" t="n"/>
      <c r="DY68" s="485" t="n"/>
      <c r="DZ68" s="250" t="n"/>
      <c r="EA68" s="160" t="n"/>
      <c r="EB68" s="250" t="n"/>
      <c r="EC68" s="253">
        <f>B68</f>
        <v/>
      </c>
      <c r="ED68" s="253">
        <f>D68</f>
        <v/>
      </c>
      <c r="EE68" s="253">
        <f>F68</f>
        <v/>
      </c>
      <c r="EF68" s="253">
        <f>CC68</f>
        <v/>
      </c>
      <c r="EG68" s="253">
        <f>CG68</f>
        <v/>
      </c>
      <c r="EH68" s="253">
        <f>if(iferror(LEFT(ED68,LEN(ED68)-2),"SummonEnemy")="groupchange","SwitchSequenceGroup","SummonEnemy")</f>
        <v/>
      </c>
      <c r="EI68" s="253">
        <f>H68</f>
        <v/>
      </c>
      <c r="EJ68" s="253" t="n"/>
      <c r="EK68" s="253">
        <f>CK68</f>
        <v/>
      </c>
      <c r="EL68" s="253">
        <f>CI68</f>
        <v/>
      </c>
      <c r="EM68" s="253">
        <f>CO68</f>
        <v/>
      </c>
      <c r="EN68" s="253">
        <f>CQ68</f>
        <v/>
      </c>
      <c r="EO68" s="253">
        <f>CS68</f>
        <v/>
      </c>
      <c r="EP68" s="253">
        <f>CW68</f>
        <v/>
      </c>
      <c r="EQ68" s="253">
        <f>CY68</f>
        <v/>
      </c>
      <c r="ER68" s="253">
        <f>DC68</f>
        <v/>
      </c>
      <c r="ES68" s="253">
        <f>DE68</f>
        <v/>
      </c>
      <c r="ET68" s="253">
        <f>DI68</f>
        <v/>
      </c>
      <c r="EU68" s="253">
        <f>DK68</f>
        <v/>
      </c>
      <c r="EV68" s="253">
        <f>DM68</f>
        <v/>
      </c>
      <c r="EW68" s="253" t="n"/>
      <c r="EX68" s="253">
        <f>V68</f>
        <v/>
      </c>
      <c r="EY68" s="253">
        <f>X68</f>
        <v/>
      </c>
      <c r="EZ68" s="253">
        <f>AD68</f>
        <v/>
      </c>
      <c r="FA68" s="253">
        <f>AH68</f>
        <v/>
      </c>
      <c r="FB68" s="253">
        <f>"1"</f>
        <v/>
      </c>
      <c r="FC68" s="253">
        <f>BS68</f>
        <v/>
      </c>
      <c r="FD68" s="253">
        <f>BU68</f>
        <v/>
      </c>
      <c r="FE68" s="253">
        <f>CM68</f>
        <v/>
      </c>
      <c r="FF68" s="253">
        <f>DO68</f>
        <v/>
      </c>
      <c r="FG68" s="253">
        <f>DS68</f>
        <v/>
      </c>
      <c r="FH68" s="250" t="n"/>
      <c r="FI68" s="250" t="n"/>
      <c r="FJ68" s="250" t="n"/>
      <c r="FK68" s="250" t="n"/>
    </row>
    <row r="69">
      <c r="A69" s="250" t="n"/>
      <c r="B69" s="535" t="inlineStr">
        <is>
          <t>w5</t>
        </is>
      </c>
      <c r="C69" s="485" t="n"/>
      <c r="D69" s="243" t="inlineStr">
        <is>
          <t>groupchange_6</t>
        </is>
      </c>
      <c r="E69" s="484" t="n"/>
      <c r="F69" s="535" t="n"/>
      <c r="G69" s="485" t="n"/>
      <c r="H69" s="535" t="inlineStr">
        <is>
          <t>w1</t>
        </is>
      </c>
      <c r="I69" s="484" t="n"/>
      <c r="J69" s="484" t="n"/>
      <c r="K69" s="485" t="n"/>
      <c r="L69" s="536">
        <f t="array" ref="L69">iferror(INDEX('ファントムマスター'!F:F,MATCH(H69,'ファントムマスター'!D:D,0),0),"none")</f>
        <v/>
      </c>
      <c r="M69" s="484" t="n"/>
      <c r="N69" s="484" t="n"/>
      <c r="O69" s="485" t="n"/>
      <c r="P69" s="536">
        <f t="array" ref="P69">iferror(INDEX('ファントムマスター'!H:H,MATCH(H69,'ファントムマスター'!D:D,0),0),"none")</f>
        <v/>
      </c>
      <c r="Q69" s="485" t="n"/>
      <c r="R69" s="547">
        <f t="array" ref="R69">iferror(INDEX('ファントムマスター'!J:J,MATCH(H69,'ファントムマスター'!D:D,0),0),"none")</f>
        <v/>
      </c>
      <c r="S69" s="485" t="n"/>
      <c r="T69" s="536">
        <f t="array" ref="T69">iferror(INDEX('ファントムマスター'!I:I,MATCH(H69,'ファントムマスター'!D:D,0),0),"none")</f>
        <v/>
      </c>
      <c r="U69" s="485" t="n"/>
      <c r="V69" s="535" t="inlineStr">
        <is>
          <t>Default</t>
        </is>
      </c>
      <c r="W69" s="485" t="n"/>
      <c r="X69" s="535" t="inlineStr">
        <is>
          <t>Normal</t>
        </is>
      </c>
      <c r="Y69" s="485" t="n"/>
      <c r="Z69" s="535" t="inlineStr">
        <is>
          <t>なし</t>
        </is>
      </c>
      <c r="AA69" s="485" t="n"/>
      <c r="AB69" s="548">
        <f t="array" ref="AB69">iferror(INDEX('ファントムマスター'!K:K,MATCH(H69,'ファントムマスター'!D:D,0),0)*AD69,"none")</f>
        <v/>
      </c>
      <c r="AC69" s="485" t="n"/>
      <c r="AD69" s="533" t="n">
        <v>1</v>
      </c>
      <c r="AE69" s="485" t="n"/>
      <c r="AF69" s="548">
        <f t="array" ref="AF69">iferror(INDEX('ファントムマスター'!O:O,MATCH(H69,'ファントムマスター'!D:D,0),0)*AH69,"none")</f>
        <v/>
      </c>
      <c r="AG69" s="485" t="n"/>
      <c r="AH69" s="533" t="n">
        <v>1</v>
      </c>
      <c r="AI69" s="485" t="n"/>
      <c r="AJ69" s="539">
        <f t="array" ref="AJ69">iferror(right(INDEX('ファントムマスター'!T:T,MATCH(H69,'ファントムマスター'!D:D,0),0),4)*50,"none")</f>
        <v/>
      </c>
      <c r="AK69" s="485" t="n"/>
      <c r="AL69" s="539">
        <f t="array" ref="AL69">iferror(right(INDEX('ファントムマスター'!V:V,MATCH(H69,'ファントムマスター'!D:D,0),0),4),"none")</f>
        <v/>
      </c>
      <c r="AM69" s="485" t="n"/>
      <c r="AN69" s="549">
        <f>iferror(AF69*(50/(AJ69+AL69)),"攻撃力に数値を入力")</f>
        <v/>
      </c>
      <c r="AO69" s="485" t="n"/>
      <c r="AP69" s="538">
        <f t="array" ref="AP69">XLOOKUP(H69,'ファントムマスター'!D:D,'ファントムマスター'!AC:AC,"none")</f>
        <v/>
      </c>
      <c r="AQ69" s="484" t="n"/>
      <c r="AR69" s="484" t="n"/>
      <c r="AS69" s="485" t="n"/>
      <c r="AT69" s="538">
        <f t="array" ref="AT69">iferror(INDEX('ファントムマスター'!Y:Y,MATCH(H69,'ファントムマスター'!D:D,0),0),"none")</f>
        <v/>
      </c>
      <c r="AU69" s="484" t="n"/>
      <c r="AV69" s="484" t="n"/>
      <c r="AW69" s="484" t="n"/>
      <c r="AX69" s="485" t="n"/>
      <c r="AY69" s="537">
        <f t="array" ref="AY69">iferror(INDEX('ファントムマスター'!Z:Z,MATCH(H69,'ファントムマスター'!D:D,0),0),"none")</f>
        <v/>
      </c>
      <c r="AZ69" s="485" t="n"/>
      <c r="BA69" s="537">
        <f t="array" ref="BA69">iferror(INDEX('ファントムマスター'!W:W,MATCH(H69,'ファントムマスター'!D:D,0),0)*50,"none")</f>
        <v/>
      </c>
      <c r="BB69" s="485" t="n"/>
      <c r="BC69" s="536">
        <f t="array" ref="BC69">iferror(INDEX('ファントムマスター'!AA:AA,MATCH(H69,'ファントムマスター'!D:D,0),0),"none")</f>
        <v/>
      </c>
      <c r="BD69" s="485" t="n"/>
      <c r="BE69" s="548">
        <f t="array" ref="BE69">iferror(INDEX('ファントムマスター'!M:M,MATCH(H69,'ファントムマスター'!D:D,0),0),"none")</f>
        <v/>
      </c>
      <c r="BF69" s="485" t="n"/>
      <c r="BG69" s="548">
        <f t="array" ref="BG69">iferror(INDEX('ファントムマスター'!N:N,MATCH(H69,'ファントムマスター'!D:D,0),0),"none")</f>
        <v/>
      </c>
      <c r="BH69" s="485" t="n"/>
      <c r="BI69" s="548">
        <f t="array" ref="BI69">iferror(INDEX('ファントムマスター'!P:P,MATCH(H69,'ファントムマスター'!D:D,0),0),"none")</f>
        <v/>
      </c>
      <c r="BJ69" s="485" t="n"/>
      <c r="BK69" s="548">
        <f t="array" ref="BK69">iferror(INDEX('ファントムマスター'!Q:Q,MATCH(H69,'ファントムマスター'!D:D,0),0),"none")</f>
        <v/>
      </c>
      <c r="BL69" s="485" t="n"/>
      <c r="BM69" s="542">
        <f t="array" ref="BM69">iferror(INDEX('ファントムマスター'!R:R,MATCH(H69,'ファントムマスター'!D:D,0),0),"none")</f>
        <v/>
      </c>
      <c r="BN69" s="485" t="n"/>
      <c r="BO69" s="548">
        <f t="array" ref="BO69">iferror(INDEX('ファントムマスター'!L:L,MATCH(H69,'ファントムマスター'!D:D,0),0),"none")</f>
        <v/>
      </c>
      <c r="BP69" s="485" t="n"/>
      <c r="BQ69" s="548">
        <f t="array" ref="BQ69">iferror(INDEX('ファントムマスター'!S:S,MATCH(H69,'ファントムマスター'!D:D,0),0),"none")</f>
        <v/>
      </c>
      <c r="BR69" s="485" t="n"/>
      <c r="BS69" s="17" t="n"/>
      <c r="BT69" s="485" t="n"/>
      <c r="BU69" s="17" t="n"/>
      <c r="BV69" s="485" t="n"/>
      <c r="BW69" s="17" t="n"/>
      <c r="BX69" s="485" t="n"/>
      <c r="BY69" s="17" t="n"/>
      <c r="BZ69" s="485" t="n"/>
      <c r="CA69" s="17" t="n"/>
      <c r="CB69" s="485" t="n"/>
      <c r="CC69" s="535" t="inlineStr">
        <is>
          <t>FriendUnitDead</t>
        </is>
      </c>
      <c r="CD69" s="484" t="n"/>
      <c r="CE69" s="484" t="n"/>
      <c r="CF69" s="485" t="n"/>
      <c r="CG69" s="533" t="n">
        <v>505</v>
      </c>
      <c r="CH69" s="485" t="n"/>
      <c r="CI69" s="17" t="n"/>
      <c r="CJ69" s="485" t="n"/>
      <c r="CK69" s="17" t="n"/>
      <c r="CL69" s="485" t="n"/>
      <c r="CM69" s="17" t="n"/>
      <c r="CN69" s="485" t="n"/>
      <c r="CO69" s="535" t="inlineStr">
        <is>
          <t>None</t>
        </is>
      </c>
      <c r="CP69" s="485" t="n"/>
      <c r="CQ69" s="17" t="n"/>
      <c r="CR69" s="485" t="n"/>
      <c r="CS69" s="535" t="inlineStr">
        <is>
          <t>None</t>
        </is>
      </c>
      <c r="CT69" s="484" t="n"/>
      <c r="CU69" s="484" t="n"/>
      <c r="CV69" s="485" t="n"/>
      <c r="CW69" s="17" t="n"/>
      <c r="CX69" s="485" t="n"/>
      <c r="CY69" s="535" t="inlineStr">
        <is>
          <t>None</t>
        </is>
      </c>
      <c r="CZ69" s="484" t="n"/>
      <c r="DA69" s="484" t="n"/>
      <c r="DB69" s="485" t="n"/>
      <c r="DC69" s="17" t="n"/>
      <c r="DD69" s="485" t="n"/>
      <c r="DE69" s="535" t="inlineStr">
        <is>
          <t>None</t>
        </is>
      </c>
      <c r="DF69" s="484" t="n"/>
      <c r="DG69" s="484" t="n"/>
      <c r="DH69" s="485" t="n"/>
      <c r="DI69" s="17" t="n"/>
      <c r="DJ69" s="485" t="n"/>
      <c r="DK69" s="17" t="n"/>
      <c r="DL69" s="485" t="n"/>
      <c r="DM69" s="547" t="b">
        <v>0</v>
      </c>
      <c r="DN69" s="485" t="n"/>
      <c r="DO69" s="535" t="inlineStr">
        <is>
          <t>None</t>
        </is>
      </c>
      <c r="DP69" s="484" t="n"/>
      <c r="DQ69" s="484" t="n"/>
      <c r="DR69" s="485" t="n"/>
      <c r="DS69" s="17" t="n"/>
      <c r="DT69" s="485" t="n"/>
      <c r="DU69" s="17" t="n"/>
      <c r="DV69" s="484" t="n"/>
      <c r="DW69" s="484" t="n"/>
      <c r="DX69" s="484" t="n"/>
      <c r="DY69" s="485" t="n"/>
      <c r="DZ69" s="250" t="n"/>
      <c r="EA69" s="160" t="n"/>
      <c r="EB69" s="250" t="n"/>
      <c r="EC69" s="253">
        <f>B69</f>
        <v/>
      </c>
      <c r="ED69" s="253">
        <f>D69</f>
        <v/>
      </c>
      <c r="EE69" s="253">
        <f>F69</f>
        <v/>
      </c>
      <c r="EF69" s="253">
        <f>CC69</f>
        <v/>
      </c>
      <c r="EG69" s="253">
        <f>CG69</f>
        <v/>
      </c>
      <c r="EH69" s="253">
        <f>if(iferror(LEFT(ED69,LEN(ED69)-2),"SummonEnemy")="groupchange","SwitchSequenceGroup","SummonEnemy")</f>
        <v/>
      </c>
      <c r="EI69" s="253">
        <f>H69</f>
        <v/>
      </c>
      <c r="EJ69" s="253" t="n"/>
      <c r="EK69" s="253">
        <f>CK69</f>
        <v/>
      </c>
      <c r="EL69" s="253">
        <f>CI69</f>
        <v/>
      </c>
      <c r="EM69" s="253">
        <f>CO69</f>
        <v/>
      </c>
      <c r="EN69" s="253">
        <f>CQ69</f>
        <v/>
      </c>
      <c r="EO69" s="253">
        <f>CS69</f>
        <v/>
      </c>
      <c r="EP69" s="253">
        <f>CW69</f>
        <v/>
      </c>
      <c r="EQ69" s="253">
        <f>CY69</f>
        <v/>
      </c>
      <c r="ER69" s="253">
        <f>DC69</f>
        <v/>
      </c>
      <c r="ES69" s="253">
        <f>DE69</f>
        <v/>
      </c>
      <c r="ET69" s="253">
        <f>DI69</f>
        <v/>
      </c>
      <c r="EU69" s="253">
        <f>DK69</f>
        <v/>
      </c>
      <c r="EV69" s="253">
        <f>DM69</f>
        <v/>
      </c>
      <c r="EW69" s="253" t="n"/>
      <c r="EX69" s="253">
        <f>V69</f>
        <v/>
      </c>
      <c r="EY69" s="253">
        <f>X69</f>
        <v/>
      </c>
      <c r="EZ69" s="253">
        <f>AD69</f>
        <v/>
      </c>
      <c r="FA69" s="253">
        <f>AH69</f>
        <v/>
      </c>
      <c r="FB69" s="253">
        <f>"1"</f>
        <v/>
      </c>
      <c r="FC69" s="253">
        <f>BS69</f>
        <v/>
      </c>
      <c r="FD69" s="253">
        <f>BU69</f>
        <v/>
      </c>
      <c r="FE69" s="253">
        <f>CM69</f>
        <v/>
      </c>
      <c r="FF69" s="253">
        <f>DO69</f>
        <v/>
      </c>
      <c r="FG69" s="253">
        <f>DS69</f>
        <v/>
      </c>
      <c r="FH69" s="250" t="n"/>
      <c r="FI69" s="250" t="n"/>
      <c r="FJ69" s="250" t="n"/>
      <c r="FK69" s="250" t="n"/>
    </row>
    <row r="70">
      <c r="A70" s="250" t="n"/>
      <c r="B70" s="503" t="n"/>
      <c r="C70" s="485" t="n"/>
      <c r="D70" s="503" t="n"/>
      <c r="E70" s="485" t="n"/>
      <c r="F70" s="503" t="n"/>
      <c r="G70" s="485" t="n"/>
      <c r="H70" s="554" t="n"/>
      <c r="I70" s="484" t="n"/>
      <c r="J70" s="484" t="n"/>
      <c r="K70" s="485" t="n"/>
      <c r="L70" s="555">
        <f t="array" ref="L70">iferror(INDEX('ファントムマスター'!F:F,MATCH(H70,'ファントムマスター'!D:D,0),0),"none")</f>
        <v/>
      </c>
      <c r="M70" s="484" t="n"/>
      <c r="N70" s="484" t="n"/>
      <c r="O70" s="485" t="n"/>
      <c r="P70" s="555">
        <f t="array" ref="P70">iferror(INDEX('ファントムマスター'!H:H,MATCH(H70,'ファントムマスター'!D:D,0),0),"none")</f>
        <v/>
      </c>
      <c r="Q70" s="485" t="n"/>
      <c r="R70" s="556">
        <f>iferror(INDEX('ファントムマスター'!J:J,MATCH(H70,'ファントムマスター'!D:D,0),0),"none")</f>
        <v/>
      </c>
      <c r="S70" s="485" t="n"/>
      <c r="T70" s="555">
        <f t="array" ref="T70">iferror(INDEX('ファントムマスター'!I:I,MATCH(H70,'ファントムマスター'!D:D,0),0),"none")</f>
        <v/>
      </c>
      <c r="U70" s="485" t="n"/>
      <c r="V70" s="503" t="inlineStr">
        <is>
          <t>Default</t>
        </is>
      </c>
      <c r="W70" s="485" t="n"/>
      <c r="X70" s="503" t="inlineStr">
        <is>
          <t>Normal</t>
        </is>
      </c>
      <c r="Y70" s="485" t="n"/>
      <c r="Z70" s="503" t="n"/>
      <c r="AA70" s="485" t="n"/>
      <c r="AB70" s="557">
        <f t="array" ref="AB70">iferror(INDEX('ファントムマスター'!K:K,MATCH(H70,'ファントムマスター'!D:D,0),0)*AD70,"none")</f>
        <v/>
      </c>
      <c r="AC70" s="485" t="n"/>
      <c r="AD70" s="503" t="n">
        <v>1</v>
      </c>
      <c r="AE70" s="485" t="n"/>
      <c r="AF70" s="557">
        <f t="array" ref="AF70">iferror(INDEX('ファントムマスター'!O:O,MATCH(H70,'ファントムマスター'!D:D,0),0)*AH70,"none")</f>
        <v/>
      </c>
      <c r="AG70" s="485" t="n"/>
      <c r="AH70" s="503" t="n">
        <v>1</v>
      </c>
      <c r="AI70" s="485" t="n"/>
      <c r="AJ70" s="558">
        <f t="array" ref="AJ70">iferror(right(INDEX('ファントムマスター'!T:T,MATCH(H70,'ファントムマスター'!D:D,0),0),4)*50,"none")</f>
        <v/>
      </c>
      <c r="AK70" s="485" t="n"/>
      <c r="AL70" s="558">
        <f t="array" ref="AL70">iferror(right(INDEX('ファントムマスター'!V:V,MATCH(H70,'ファントムマスター'!D:D,0),0),4),"none")</f>
        <v/>
      </c>
      <c r="AM70" s="485" t="n"/>
      <c r="AN70" s="559">
        <f>iferror(AF70*(50/(AJ70+AL70)),"攻撃力に数値を入力")</f>
        <v/>
      </c>
      <c r="AO70" s="485" t="n"/>
      <c r="AP70" s="523">
        <f t="array" ref="AP70">XLOOKUP(H70,'ファントムマスター'!D:D,'ファントムマスター'!AC:AC,"none")</f>
        <v/>
      </c>
      <c r="AQ70" s="484" t="n"/>
      <c r="AR70" s="484" t="n"/>
      <c r="AS70" s="485" t="n"/>
      <c r="AT70" s="560">
        <f t="array" ref="AT70">iferror(INDEX('ファントムマスター'!Y:Y,MATCH(H70,'ファントムマスター'!D:D,0),0),"none")</f>
        <v/>
      </c>
      <c r="AU70" s="484" t="n"/>
      <c r="AV70" s="484" t="n"/>
      <c r="AW70" s="484" t="n"/>
      <c r="AX70" s="485" t="n"/>
      <c r="AY70" s="561">
        <f t="array" ref="AY70">iferror(INDEX('ファントムマスター'!Z:Z,MATCH(H70,'ファントムマスター'!D:D,0),0),"none")</f>
        <v/>
      </c>
      <c r="AZ70" s="485" t="n"/>
      <c r="BA70" s="561">
        <f t="array" ref="BA70">iferror(INDEX('ファントムマスター'!W:W,MATCH(H70,'ファントムマスター'!D:D,0),0)*50,"none")</f>
        <v/>
      </c>
      <c r="BB70" s="485" t="n"/>
      <c r="BC70" s="555">
        <f t="array" ref="BC70">iferror(INDEX('ファントムマスター'!AA:AA,MATCH(H70,'ファントムマスター'!D:D,0),0),"none")</f>
        <v/>
      </c>
      <c r="BD70" s="485" t="n"/>
      <c r="BE70" s="557">
        <f t="array" ref="BE70">iferror(INDEX('ファントムマスター'!M:M,MATCH(H70,'ファントムマスター'!D:D,0),0),"none")</f>
        <v/>
      </c>
      <c r="BF70" s="485" t="n"/>
      <c r="BG70" s="557">
        <f t="array" ref="BG70">iferror(INDEX('ファントムマスター'!N:N,MATCH(H70,'ファントムマスター'!D:D,0),0),"none")</f>
        <v/>
      </c>
      <c r="BH70" s="485" t="n"/>
      <c r="BI70" s="557">
        <f t="array" ref="BI70">iferror(INDEX('ファントムマスター'!P:P,MATCH(H70,'ファントムマスター'!D:D,0),0),"none")</f>
        <v/>
      </c>
      <c r="BJ70" s="485" t="n"/>
      <c r="BK70" s="557">
        <f t="array" ref="BK70">iferror(INDEX('ファントムマスター'!Q:Q,MATCH(H70,'ファントムマスター'!D:D,0),0),"none")</f>
        <v/>
      </c>
      <c r="BL70" s="485" t="n"/>
      <c r="BM70" s="542">
        <f t="array" ref="BM70">iferror(INDEX('ファントムマスター'!R:R,MATCH(H70,'ファントムマスター'!D:D,0),0),"none")</f>
        <v/>
      </c>
      <c r="BN70" s="485" t="n"/>
      <c r="BO70" s="557">
        <f t="array" ref="BO70">iferror(INDEX('ファントムマスター'!L:L,MATCH(H70,'ファントムマスター'!D:D,0),0),"none")</f>
        <v/>
      </c>
      <c r="BP70" s="485" t="n"/>
      <c r="BQ70" s="557">
        <f t="array" ref="BQ70">iferror(INDEX('ファントムマスター'!S:S,MATCH(H70,'ファントムマスター'!D:D,0),0),"none")</f>
        <v/>
      </c>
      <c r="BR70" s="485" t="n"/>
      <c r="BS70" s="503" t="n"/>
      <c r="BT70" s="485" t="n"/>
      <c r="BU70" s="503" t="n"/>
      <c r="BV70" s="485" t="n"/>
      <c r="BW70" s="503" t="n"/>
      <c r="BX70" s="485" t="n"/>
      <c r="BY70" s="17" t="n"/>
      <c r="BZ70" s="485" t="n"/>
      <c r="CA70" s="503" t="n"/>
      <c r="CB70" s="485" t="n"/>
      <c r="CC70" s="503" t="inlineStr">
        <is>
          <t>未入力</t>
        </is>
      </c>
      <c r="CD70" s="484" t="n"/>
      <c r="CE70" s="484" t="n"/>
      <c r="CF70" s="485" t="n"/>
      <c r="CG70" s="562" t="n"/>
      <c r="CH70" s="485" t="n"/>
      <c r="CI70" s="562" t="n"/>
      <c r="CJ70" s="485" t="n"/>
      <c r="CK70" s="562" t="n"/>
      <c r="CL70" s="485" t="n"/>
      <c r="CM70" s="562" t="n"/>
      <c r="CN70" s="485" t="n"/>
      <c r="CO70" s="562" t="inlineStr">
        <is>
          <t>None</t>
        </is>
      </c>
      <c r="CP70" s="485" t="n"/>
      <c r="CQ70" s="503" t="n"/>
      <c r="CR70" s="485" t="n"/>
      <c r="CS70" s="503" t="inlineStr">
        <is>
          <t>None</t>
        </is>
      </c>
      <c r="CT70" s="484" t="n"/>
      <c r="CU70" s="484" t="n"/>
      <c r="CV70" s="485" t="n"/>
      <c r="CW70" s="562" t="n"/>
      <c r="CX70" s="485" t="n"/>
      <c r="CY70" s="503" t="inlineStr">
        <is>
          <t>None</t>
        </is>
      </c>
      <c r="CZ70" s="484" t="n"/>
      <c r="DA70" s="484" t="n"/>
      <c r="DB70" s="485" t="n"/>
      <c r="DC70" s="562" t="n"/>
      <c r="DD70" s="485" t="n"/>
      <c r="DE70" s="503" t="inlineStr">
        <is>
          <t>None</t>
        </is>
      </c>
      <c r="DF70" s="484" t="n"/>
      <c r="DG70" s="484" t="n"/>
      <c r="DH70" s="485" t="n"/>
      <c r="DI70" s="562" t="n"/>
      <c r="DJ70" s="485" t="n"/>
      <c r="DK70" s="562" t="n"/>
      <c r="DL70" s="485" t="n"/>
      <c r="DM70" s="562" t="b">
        <v>0</v>
      </c>
      <c r="DN70" s="485" t="n"/>
      <c r="DO70" s="535" t="inlineStr">
        <is>
          <t>None</t>
        </is>
      </c>
      <c r="DP70" s="484" t="n"/>
      <c r="DQ70" s="484" t="n"/>
      <c r="DR70" s="485" t="n"/>
      <c r="DS70" s="562" t="n"/>
      <c r="DT70" s="485" t="n"/>
      <c r="DU70" s="503" t="n"/>
      <c r="DV70" s="484" t="n"/>
      <c r="DW70" s="484" t="n"/>
      <c r="DX70" s="484" t="n"/>
      <c r="DY70" s="485" t="n"/>
      <c r="DZ70" s="250" t="n"/>
      <c r="EA70" s="160" t="n"/>
      <c r="EB70" s="250" t="n"/>
      <c r="EC70" s="249">
        <f>B70</f>
        <v/>
      </c>
      <c r="ED70" s="249">
        <f>D70</f>
        <v/>
      </c>
      <c r="EE70" s="249">
        <f>F70</f>
        <v/>
      </c>
      <c r="EF70" s="274">
        <f>CC70</f>
        <v/>
      </c>
      <c r="EG70" s="274">
        <f>CG70</f>
        <v/>
      </c>
      <c r="EH70" s="274">
        <f>if(iferror(LEFT(ED70,LEN(ED70)-2),"SummonEnemy")="groupchange","SwitchSequenceGroup","SummonEnemy")</f>
        <v/>
      </c>
      <c r="EI70" s="274">
        <f>H70</f>
        <v/>
      </c>
      <c r="EJ70" s="274" t="n"/>
      <c r="EK70" s="274">
        <f>CK70</f>
        <v/>
      </c>
      <c r="EL70" s="274">
        <f>CI70</f>
        <v/>
      </c>
      <c r="EM70" s="274">
        <f>CO70</f>
        <v/>
      </c>
      <c r="EN70" s="274">
        <f>CQ70</f>
        <v/>
      </c>
      <c r="EO70" s="274">
        <f>CS70</f>
        <v/>
      </c>
      <c r="EP70" s="274">
        <f>CW70</f>
        <v/>
      </c>
      <c r="EQ70" s="274">
        <f>CY70</f>
        <v/>
      </c>
      <c r="ER70" s="274">
        <f>DC70</f>
        <v/>
      </c>
      <c r="ES70" s="274">
        <f>DE70</f>
        <v/>
      </c>
      <c r="ET70" s="274">
        <f>DI70</f>
        <v/>
      </c>
      <c r="EU70" s="274">
        <f>DK70</f>
        <v/>
      </c>
      <c r="EV70" s="274">
        <f>DM70</f>
        <v/>
      </c>
      <c r="EW70" s="274" t="n"/>
      <c r="EX70" s="274">
        <f>V70</f>
        <v/>
      </c>
      <c r="EY70" s="274">
        <f>X70</f>
        <v/>
      </c>
      <c r="EZ70" s="274">
        <f>AD70</f>
        <v/>
      </c>
      <c r="FA70" s="274">
        <f>AH70</f>
        <v/>
      </c>
      <c r="FB70" s="274">
        <f>"1"</f>
        <v/>
      </c>
      <c r="FC70" s="274">
        <f>BS70</f>
        <v/>
      </c>
      <c r="FD70" s="274">
        <f>BU70</f>
        <v/>
      </c>
      <c r="FE70" s="274">
        <f>CM70</f>
        <v/>
      </c>
      <c r="FF70" s="274">
        <f>DO70</f>
        <v/>
      </c>
      <c r="FG70" s="274">
        <f>DS70</f>
        <v/>
      </c>
      <c r="FH70" s="250" t="n"/>
      <c r="FI70" s="250" t="n"/>
      <c r="FJ70" s="250" t="n"/>
      <c r="FK70" s="250" t="n"/>
    </row>
    <row r="71">
      <c r="A71" s="250" t="n"/>
      <c r="B71" s="503" t="n"/>
      <c r="C71" s="485" t="n"/>
      <c r="D71" s="503" t="n"/>
      <c r="E71" s="485" t="n"/>
      <c r="F71" s="503" t="n"/>
      <c r="G71" s="485" t="n"/>
      <c r="H71" s="554" t="n"/>
      <c r="I71" s="484" t="n"/>
      <c r="J71" s="484" t="n"/>
      <c r="K71" s="485" t="n"/>
      <c r="L71" s="555">
        <f t="array" ref="L71">iferror(INDEX('ファントムマスター'!F:F,MATCH(H71,'ファントムマスター'!D:D,0),0),"none")</f>
        <v/>
      </c>
      <c r="M71" s="484" t="n"/>
      <c r="N71" s="484" t="n"/>
      <c r="O71" s="485" t="n"/>
      <c r="P71" s="555">
        <f t="array" ref="P71">iferror(INDEX('ファントムマスター'!H:H,MATCH(H71,'ファントムマスター'!D:D,0),0),"none")</f>
        <v/>
      </c>
      <c r="Q71" s="485" t="n"/>
      <c r="R71" s="556">
        <f>iferror(INDEX('ファントムマスター'!J:J,MATCH(H71,'ファントムマスター'!D:D,0),0),"none")</f>
        <v/>
      </c>
      <c r="S71" s="485" t="n"/>
      <c r="T71" s="555">
        <f t="array" ref="T71">iferror(INDEX('ファントムマスター'!I:I,MATCH(H71,'ファントムマスター'!D:D,0),0),"none")</f>
        <v/>
      </c>
      <c r="U71" s="485" t="n"/>
      <c r="V71" s="503" t="inlineStr">
        <is>
          <t>Default</t>
        </is>
      </c>
      <c r="W71" s="485" t="n"/>
      <c r="X71" s="503" t="inlineStr">
        <is>
          <t>Normal</t>
        </is>
      </c>
      <c r="Y71" s="485" t="n"/>
      <c r="Z71" s="503" t="n"/>
      <c r="AA71" s="485" t="n"/>
      <c r="AB71" s="557">
        <f t="array" ref="AB71">iferror(INDEX('ファントムマスター'!K:K,MATCH(H71,'ファントムマスター'!D:D,0),0)*AD71,"none")</f>
        <v/>
      </c>
      <c r="AC71" s="485" t="n"/>
      <c r="AD71" s="503" t="n">
        <v>1</v>
      </c>
      <c r="AE71" s="485" t="n"/>
      <c r="AF71" s="557">
        <f t="array" ref="AF71">iferror(INDEX('ファントムマスター'!O:O,MATCH(H71,'ファントムマスター'!D:D,0),0)*AH71,"none")</f>
        <v/>
      </c>
      <c r="AG71" s="485" t="n"/>
      <c r="AH71" s="503" t="n">
        <v>1</v>
      </c>
      <c r="AI71" s="485" t="n"/>
      <c r="AJ71" s="558">
        <f t="array" ref="AJ71">iferror(right(INDEX('ファントムマスター'!T:T,MATCH(H71,'ファントムマスター'!D:D,0),0),4)*50,"none")</f>
        <v/>
      </c>
      <c r="AK71" s="485" t="n"/>
      <c r="AL71" s="558">
        <f t="array" ref="AL71">iferror(right(INDEX('ファントムマスター'!V:V,MATCH(H71,'ファントムマスター'!D:D,0),0),4),"none")</f>
        <v/>
      </c>
      <c r="AM71" s="485" t="n"/>
      <c r="AN71" s="559">
        <f>iferror(AF71*(50/(AJ71+AL71)),"攻撃力に数値を入力")</f>
        <v/>
      </c>
      <c r="AO71" s="485" t="n"/>
      <c r="AP71" s="523">
        <f t="array" ref="AP71">XLOOKUP(H71,'ファントムマスター'!D:D,'ファントムマスター'!AC:AC,"none")</f>
        <v/>
      </c>
      <c r="AQ71" s="484" t="n"/>
      <c r="AR71" s="484" t="n"/>
      <c r="AS71" s="485" t="n"/>
      <c r="AT71" s="560">
        <f t="array" ref="AT71">iferror(INDEX('ファントムマスター'!Y:Y,MATCH(H71,'ファントムマスター'!D:D,0),0),"none")</f>
        <v/>
      </c>
      <c r="AU71" s="484" t="n"/>
      <c r="AV71" s="484" t="n"/>
      <c r="AW71" s="484" t="n"/>
      <c r="AX71" s="485" t="n"/>
      <c r="AY71" s="561">
        <f t="array" ref="AY71">iferror(INDEX('ファントムマスター'!Z:Z,MATCH(H71,'ファントムマスター'!D:D,0),0),"none")</f>
        <v/>
      </c>
      <c r="AZ71" s="485" t="n"/>
      <c r="BA71" s="561">
        <f t="array" ref="BA71">iferror(INDEX('ファントムマスター'!W:W,MATCH(H71,'ファントムマスター'!D:D,0),0)*50,"none")</f>
        <v/>
      </c>
      <c r="BB71" s="485" t="n"/>
      <c r="BC71" s="555">
        <f t="array" ref="BC71">iferror(INDEX('ファントムマスター'!AA:AA,MATCH(H71,'ファントムマスター'!D:D,0),0),"none")</f>
        <v/>
      </c>
      <c r="BD71" s="485" t="n"/>
      <c r="BE71" s="557">
        <f t="array" ref="BE71">iferror(INDEX('ファントムマスター'!M:M,MATCH(H71,'ファントムマスター'!D:D,0),0),"none")</f>
        <v/>
      </c>
      <c r="BF71" s="485" t="n"/>
      <c r="BG71" s="557">
        <f t="array" ref="BG71">iferror(INDEX('ファントムマスター'!N:N,MATCH(H71,'ファントムマスター'!D:D,0),0),"none")</f>
        <v/>
      </c>
      <c r="BH71" s="485" t="n"/>
      <c r="BI71" s="557">
        <f t="array" ref="BI71">iferror(INDEX('ファントムマスター'!P:P,MATCH(H71,'ファントムマスター'!D:D,0),0),"none")</f>
        <v/>
      </c>
      <c r="BJ71" s="485" t="n"/>
      <c r="BK71" s="557">
        <f t="array" ref="BK71">iferror(INDEX('ファントムマスター'!Q:Q,MATCH(H71,'ファントムマスター'!D:D,0),0),"none")</f>
        <v/>
      </c>
      <c r="BL71" s="485" t="n"/>
      <c r="BM71" s="542">
        <f t="array" ref="BM71">iferror(INDEX('ファントムマスター'!R:R,MATCH(H71,'ファントムマスター'!D:D,0),0),"none")</f>
        <v/>
      </c>
      <c r="BN71" s="485" t="n"/>
      <c r="BO71" s="557">
        <f t="array" ref="BO71">iferror(INDEX('ファントムマスター'!L:L,MATCH(H71,'ファントムマスター'!D:D,0),0),"none")</f>
        <v/>
      </c>
      <c r="BP71" s="485" t="n"/>
      <c r="BQ71" s="557">
        <f t="array" ref="BQ71">iferror(INDEX('ファントムマスター'!S:S,MATCH(H71,'ファントムマスター'!D:D,0),0),"none")</f>
        <v/>
      </c>
      <c r="BR71" s="485" t="n"/>
      <c r="BS71" s="503" t="n"/>
      <c r="BT71" s="485" t="n"/>
      <c r="BU71" s="503" t="n"/>
      <c r="BV71" s="485" t="n"/>
      <c r="BW71" s="503" t="n"/>
      <c r="BX71" s="485" t="n"/>
      <c r="BY71" s="17" t="n"/>
      <c r="BZ71" s="485" t="n"/>
      <c r="CA71" s="503" t="n"/>
      <c r="CB71" s="485" t="n"/>
      <c r="CC71" s="503" t="inlineStr">
        <is>
          <t>未入力</t>
        </is>
      </c>
      <c r="CD71" s="484" t="n"/>
      <c r="CE71" s="484" t="n"/>
      <c r="CF71" s="485" t="n"/>
      <c r="CG71" s="562" t="n"/>
      <c r="CH71" s="485" t="n"/>
      <c r="CI71" s="562" t="n"/>
      <c r="CJ71" s="485" t="n"/>
      <c r="CK71" s="562" t="n"/>
      <c r="CL71" s="485" t="n"/>
      <c r="CM71" s="562" t="n"/>
      <c r="CN71" s="485" t="n"/>
      <c r="CO71" s="562" t="inlineStr">
        <is>
          <t>None</t>
        </is>
      </c>
      <c r="CP71" s="485" t="n"/>
      <c r="CQ71" s="503" t="n"/>
      <c r="CR71" s="485" t="n"/>
      <c r="CS71" s="503" t="inlineStr">
        <is>
          <t>None</t>
        </is>
      </c>
      <c r="CT71" s="484" t="n"/>
      <c r="CU71" s="484" t="n"/>
      <c r="CV71" s="485" t="n"/>
      <c r="CW71" s="562" t="n"/>
      <c r="CX71" s="485" t="n"/>
      <c r="CY71" s="503" t="inlineStr">
        <is>
          <t>None</t>
        </is>
      </c>
      <c r="CZ71" s="484" t="n"/>
      <c r="DA71" s="484" t="n"/>
      <c r="DB71" s="485" t="n"/>
      <c r="DC71" s="562" t="n"/>
      <c r="DD71" s="485" t="n"/>
      <c r="DE71" s="503" t="inlineStr">
        <is>
          <t>None</t>
        </is>
      </c>
      <c r="DF71" s="484" t="n"/>
      <c r="DG71" s="484" t="n"/>
      <c r="DH71" s="485" t="n"/>
      <c r="DI71" s="562" t="n"/>
      <c r="DJ71" s="485" t="n"/>
      <c r="DK71" s="562" t="n"/>
      <c r="DL71" s="485" t="n"/>
      <c r="DM71" s="562" t="b">
        <v>0</v>
      </c>
      <c r="DN71" s="485" t="n"/>
      <c r="DO71" s="535" t="inlineStr">
        <is>
          <t>None</t>
        </is>
      </c>
      <c r="DP71" s="484" t="n"/>
      <c r="DQ71" s="484" t="n"/>
      <c r="DR71" s="485" t="n"/>
      <c r="DS71" s="562" t="n"/>
      <c r="DT71" s="485" t="n"/>
      <c r="DU71" s="503" t="n"/>
      <c r="DV71" s="484" t="n"/>
      <c r="DW71" s="484" t="n"/>
      <c r="DX71" s="484" t="n"/>
      <c r="DY71" s="485" t="n"/>
      <c r="DZ71" s="250" t="n"/>
      <c r="EA71" s="160" t="n"/>
      <c r="EB71" s="250" t="n"/>
      <c r="EC71" s="249">
        <f>B71</f>
        <v/>
      </c>
      <c r="ED71" s="249">
        <f>D71</f>
        <v/>
      </c>
      <c r="EE71" s="249">
        <f>F71</f>
        <v/>
      </c>
      <c r="EF71" s="274">
        <f>CC71</f>
        <v/>
      </c>
      <c r="EG71" s="274">
        <f>CG71</f>
        <v/>
      </c>
      <c r="EH71" s="274">
        <f>if(iferror(LEFT(ED71,LEN(ED71)-2),"SummonEnemy")="groupchange","SwitchSequenceGroup","SummonEnemy")</f>
        <v/>
      </c>
      <c r="EI71" s="274">
        <f>H71</f>
        <v/>
      </c>
      <c r="EJ71" s="274" t="n"/>
      <c r="EK71" s="274">
        <f>CK71</f>
        <v/>
      </c>
      <c r="EL71" s="274">
        <f>CI71</f>
        <v/>
      </c>
      <c r="EM71" s="274">
        <f>CO71</f>
        <v/>
      </c>
      <c r="EN71" s="274">
        <f>CQ71</f>
        <v/>
      </c>
      <c r="EO71" s="274">
        <f>CS71</f>
        <v/>
      </c>
      <c r="EP71" s="274">
        <f>CW71</f>
        <v/>
      </c>
      <c r="EQ71" s="274">
        <f>CY71</f>
        <v/>
      </c>
      <c r="ER71" s="274">
        <f>DC71</f>
        <v/>
      </c>
      <c r="ES71" s="274">
        <f>DE71</f>
        <v/>
      </c>
      <c r="ET71" s="274">
        <f>DI71</f>
        <v/>
      </c>
      <c r="EU71" s="274">
        <f>DK71</f>
        <v/>
      </c>
      <c r="EV71" s="274">
        <f>DM71</f>
        <v/>
      </c>
      <c r="EW71" s="274" t="n"/>
      <c r="EX71" s="274">
        <f>V71</f>
        <v/>
      </c>
      <c r="EY71" s="274">
        <f>X71</f>
        <v/>
      </c>
      <c r="EZ71" s="274">
        <f>AD71</f>
        <v/>
      </c>
      <c r="FA71" s="274">
        <f>AH71</f>
        <v/>
      </c>
      <c r="FB71" s="274">
        <f>"1"</f>
        <v/>
      </c>
      <c r="FC71" s="274">
        <f>BS71</f>
        <v/>
      </c>
      <c r="FD71" s="274">
        <f>BU71</f>
        <v/>
      </c>
      <c r="FE71" s="274">
        <f>CM71</f>
        <v/>
      </c>
      <c r="FF71" s="274">
        <f>DO71</f>
        <v/>
      </c>
      <c r="FG71" s="274">
        <f>DS71</f>
        <v/>
      </c>
      <c r="FH71" s="250" t="n"/>
      <c r="FI71" s="250" t="n"/>
      <c r="FJ71" s="250" t="n"/>
      <c r="FK71" s="250" t="n"/>
    </row>
    <row r="72">
      <c r="A72" s="250" t="n"/>
      <c r="B72" s="503" t="n"/>
      <c r="C72" s="485" t="n"/>
      <c r="D72" s="503" t="n"/>
      <c r="E72" s="485" t="n"/>
      <c r="F72" s="503" t="n"/>
      <c r="G72" s="485" t="n"/>
      <c r="H72" s="554" t="n"/>
      <c r="I72" s="484" t="n"/>
      <c r="J72" s="484" t="n"/>
      <c r="K72" s="485" t="n"/>
      <c r="L72" s="555">
        <f t="array" ref="L72">iferror(INDEX('ファントムマスター'!F:F,MATCH(H72,'ファントムマスター'!D:D,0),0),"none")</f>
        <v/>
      </c>
      <c r="M72" s="484" t="n"/>
      <c r="N72" s="484" t="n"/>
      <c r="O72" s="485" t="n"/>
      <c r="P72" s="555">
        <f t="array" ref="P72">iferror(INDEX('ファントムマスター'!H:H,MATCH(H72,'ファントムマスター'!D:D,0),0),"none")</f>
        <v/>
      </c>
      <c r="Q72" s="485" t="n"/>
      <c r="R72" s="556">
        <f>iferror(INDEX('ファントムマスター'!J:J,MATCH(H72,'ファントムマスター'!D:D,0),0),"none")</f>
        <v/>
      </c>
      <c r="S72" s="485" t="n"/>
      <c r="T72" s="555">
        <f t="array" ref="T72">iferror(INDEX('ファントムマスター'!I:I,MATCH(H72,'ファントムマスター'!D:D,0),0),"none")</f>
        <v/>
      </c>
      <c r="U72" s="485" t="n"/>
      <c r="V72" s="503" t="inlineStr">
        <is>
          <t>Default</t>
        </is>
      </c>
      <c r="W72" s="485" t="n"/>
      <c r="X72" s="503" t="inlineStr">
        <is>
          <t>Normal</t>
        </is>
      </c>
      <c r="Y72" s="485" t="n"/>
      <c r="Z72" s="503" t="n"/>
      <c r="AA72" s="485" t="n"/>
      <c r="AB72" s="557">
        <f t="array" ref="AB72">iferror(INDEX('ファントムマスター'!K:K,MATCH(H72,'ファントムマスター'!D:D,0),0)*AD72,"none")</f>
        <v/>
      </c>
      <c r="AC72" s="485" t="n"/>
      <c r="AD72" s="503" t="n">
        <v>1</v>
      </c>
      <c r="AE72" s="485" t="n"/>
      <c r="AF72" s="557">
        <f t="array" ref="AF72">iferror(INDEX('ファントムマスター'!O:O,MATCH(H72,'ファントムマスター'!D:D,0),0)*AH72,"none")</f>
        <v/>
      </c>
      <c r="AG72" s="485" t="n"/>
      <c r="AH72" s="503" t="n">
        <v>1</v>
      </c>
      <c r="AI72" s="485" t="n"/>
      <c r="AJ72" s="558">
        <f t="array" ref="AJ72">iferror(right(INDEX('ファントムマスター'!T:T,MATCH(H72,'ファントムマスター'!D:D,0),0),4)*50,"none")</f>
        <v/>
      </c>
      <c r="AK72" s="485" t="n"/>
      <c r="AL72" s="558">
        <f t="array" ref="AL72">iferror(right(INDEX('ファントムマスター'!V:V,MATCH(H72,'ファントムマスター'!D:D,0),0),4),"none")</f>
        <v/>
      </c>
      <c r="AM72" s="485" t="n"/>
      <c r="AN72" s="559">
        <f>iferror(AF72*(50/(AJ72+AL72)),"攻撃力に数値を入力")</f>
        <v/>
      </c>
      <c r="AO72" s="485" t="n"/>
      <c r="AP72" s="523">
        <f t="array" ref="AP72">XLOOKUP(H72,'ファントムマスター'!D:D,'ファントムマスター'!AC:AC,"none")</f>
        <v/>
      </c>
      <c r="AQ72" s="484" t="n"/>
      <c r="AR72" s="484" t="n"/>
      <c r="AS72" s="485" t="n"/>
      <c r="AT72" s="560">
        <f t="array" ref="AT72">iferror(INDEX('ファントムマスター'!Y:Y,MATCH(H72,'ファントムマスター'!D:D,0),0),"none")</f>
        <v/>
      </c>
      <c r="AU72" s="484" t="n"/>
      <c r="AV72" s="484" t="n"/>
      <c r="AW72" s="484" t="n"/>
      <c r="AX72" s="485" t="n"/>
      <c r="AY72" s="561">
        <f t="array" ref="AY72">iferror(INDEX('ファントムマスター'!Z:Z,MATCH(H72,'ファントムマスター'!D:D,0),0),"none")</f>
        <v/>
      </c>
      <c r="AZ72" s="485" t="n"/>
      <c r="BA72" s="561">
        <f t="array" ref="BA72">iferror(INDEX('ファントムマスター'!W:W,MATCH(H72,'ファントムマスター'!D:D,0),0)*50,"none")</f>
        <v/>
      </c>
      <c r="BB72" s="485" t="n"/>
      <c r="BC72" s="555">
        <f t="array" ref="BC72">iferror(INDEX('ファントムマスター'!AA:AA,MATCH(H72,'ファントムマスター'!D:D,0),0),"none")</f>
        <v/>
      </c>
      <c r="BD72" s="485" t="n"/>
      <c r="BE72" s="557">
        <f t="array" ref="BE72">iferror(INDEX('ファントムマスター'!M:M,MATCH(H72,'ファントムマスター'!D:D,0),0),"none")</f>
        <v/>
      </c>
      <c r="BF72" s="485" t="n"/>
      <c r="BG72" s="557">
        <f t="array" ref="BG72">iferror(INDEX('ファントムマスター'!N:N,MATCH(H72,'ファントムマスター'!D:D,0),0),"none")</f>
        <v/>
      </c>
      <c r="BH72" s="485" t="n"/>
      <c r="BI72" s="557">
        <f t="array" ref="BI72">iferror(INDEX('ファントムマスター'!P:P,MATCH(H72,'ファントムマスター'!D:D,0),0),"none")</f>
        <v/>
      </c>
      <c r="BJ72" s="485" t="n"/>
      <c r="BK72" s="557">
        <f t="array" ref="BK72">iferror(INDEX('ファントムマスター'!Q:Q,MATCH(H72,'ファントムマスター'!D:D,0),0),"none")</f>
        <v/>
      </c>
      <c r="BL72" s="485" t="n"/>
      <c r="BM72" s="542">
        <f t="array" ref="BM72">iferror(INDEX('ファントムマスター'!R:R,MATCH(H72,'ファントムマスター'!D:D,0),0),"none")</f>
        <v/>
      </c>
      <c r="BN72" s="485" t="n"/>
      <c r="BO72" s="557">
        <f t="array" ref="BO72">iferror(INDEX('ファントムマスター'!L:L,MATCH(H72,'ファントムマスター'!D:D,0),0),"none")</f>
        <v/>
      </c>
      <c r="BP72" s="485" t="n"/>
      <c r="BQ72" s="557">
        <f t="array" ref="BQ72">iferror(INDEX('ファントムマスター'!S:S,MATCH(H72,'ファントムマスター'!D:D,0),0),"none")</f>
        <v/>
      </c>
      <c r="BR72" s="485" t="n"/>
      <c r="BS72" s="503" t="n"/>
      <c r="BT72" s="485" t="n"/>
      <c r="BU72" s="503" t="n"/>
      <c r="BV72" s="485" t="n"/>
      <c r="BW72" s="503" t="n"/>
      <c r="BX72" s="485" t="n"/>
      <c r="BY72" s="17" t="n"/>
      <c r="BZ72" s="485" t="n"/>
      <c r="CA72" s="503" t="n"/>
      <c r="CB72" s="485" t="n"/>
      <c r="CC72" s="503" t="inlineStr">
        <is>
          <t>未入力</t>
        </is>
      </c>
      <c r="CD72" s="484" t="n"/>
      <c r="CE72" s="484" t="n"/>
      <c r="CF72" s="485" t="n"/>
      <c r="CG72" s="562" t="n"/>
      <c r="CH72" s="485" t="n"/>
      <c r="CI72" s="562" t="n"/>
      <c r="CJ72" s="485" t="n"/>
      <c r="CK72" s="562" t="n"/>
      <c r="CL72" s="485" t="n"/>
      <c r="CM72" s="562" t="n"/>
      <c r="CN72" s="485" t="n"/>
      <c r="CO72" s="562" t="inlineStr">
        <is>
          <t>None</t>
        </is>
      </c>
      <c r="CP72" s="485" t="n"/>
      <c r="CQ72" s="503" t="n"/>
      <c r="CR72" s="485" t="n"/>
      <c r="CS72" s="503" t="inlineStr">
        <is>
          <t>None</t>
        </is>
      </c>
      <c r="CT72" s="484" t="n"/>
      <c r="CU72" s="484" t="n"/>
      <c r="CV72" s="485" t="n"/>
      <c r="CW72" s="562" t="n"/>
      <c r="CX72" s="485" t="n"/>
      <c r="CY72" s="503" t="inlineStr">
        <is>
          <t>None</t>
        </is>
      </c>
      <c r="CZ72" s="484" t="n"/>
      <c r="DA72" s="484" t="n"/>
      <c r="DB72" s="485" t="n"/>
      <c r="DC72" s="562" t="n"/>
      <c r="DD72" s="485" t="n"/>
      <c r="DE72" s="503" t="inlineStr">
        <is>
          <t>None</t>
        </is>
      </c>
      <c r="DF72" s="484" t="n"/>
      <c r="DG72" s="484" t="n"/>
      <c r="DH72" s="485" t="n"/>
      <c r="DI72" s="562" t="n"/>
      <c r="DJ72" s="485" t="n"/>
      <c r="DK72" s="562" t="n"/>
      <c r="DL72" s="485" t="n"/>
      <c r="DM72" s="562" t="b">
        <v>0</v>
      </c>
      <c r="DN72" s="485" t="n"/>
      <c r="DO72" s="535" t="inlineStr">
        <is>
          <t>None</t>
        </is>
      </c>
      <c r="DP72" s="484" t="n"/>
      <c r="DQ72" s="484" t="n"/>
      <c r="DR72" s="485" t="n"/>
      <c r="DS72" s="562" t="n"/>
      <c r="DT72" s="485" t="n"/>
      <c r="DU72" s="503" t="n"/>
      <c r="DV72" s="484" t="n"/>
      <c r="DW72" s="484" t="n"/>
      <c r="DX72" s="484" t="n"/>
      <c r="DY72" s="485" t="n"/>
      <c r="DZ72" s="250" t="n"/>
      <c r="EA72" s="160" t="n"/>
      <c r="EB72" s="250" t="n"/>
      <c r="EC72" s="249">
        <f>B72</f>
        <v/>
      </c>
      <c r="ED72" s="249">
        <f>D72</f>
        <v/>
      </c>
      <c r="EE72" s="249">
        <f>F72</f>
        <v/>
      </c>
      <c r="EF72" s="274">
        <f>CC72</f>
        <v/>
      </c>
      <c r="EG72" s="274">
        <f>CG72</f>
        <v/>
      </c>
      <c r="EH72" s="274">
        <f>if(iferror(LEFT(ED72,LEN(ED72)-2),"SummonEnemy")="groupchange","SwitchSequenceGroup","SummonEnemy")</f>
        <v/>
      </c>
      <c r="EI72" s="274">
        <f>H72</f>
        <v/>
      </c>
      <c r="EJ72" s="274" t="n"/>
      <c r="EK72" s="274">
        <f>CK72</f>
        <v/>
      </c>
      <c r="EL72" s="274">
        <f>CI72</f>
        <v/>
      </c>
      <c r="EM72" s="274">
        <f>CO72</f>
        <v/>
      </c>
      <c r="EN72" s="274">
        <f>CQ72</f>
        <v/>
      </c>
      <c r="EO72" s="274">
        <f>CS72</f>
        <v/>
      </c>
      <c r="EP72" s="274">
        <f>CW72</f>
        <v/>
      </c>
      <c r="EQ72" s="274">
        <f>CY72</f>
        <v/>
      </c>
      <c r="ER72" s="274">
        <f>DC72</f>
        <v/>
      </c>
      <c r="ES72" s="274">
        <f>DE72</f>
        <v/>
      </c>
      <c r="ET72" s="274">
        <f>DI72</f>
        <v/>
      </c>
      <c r="EU72" s="274">
        <f>DK72</f>
        <v/>
      </c>
      <c r="EV72" s="274">
        <f>DM72</f>
        <v/>
      </c>
      <c r="EW72" s="274" t="n"/>
      <c r="EX72" s="274">
        <f>V72</f>
        <v/>
      </c>
      <c r="EY72" s="274">
        <f>X72</f>
        <v/>
      </c>
      <c r="EZ72" s="274">
        <f>AD72</f>
        <v/>
      </c>
      <c r="FA72" s="274">
        <f>AH72</f>
        <v/>
      </c>
      <c r="FB72" s="274">
        <f>"1"</f>
        <v/>
      </c>
      <c r="FC72" s="274">
        <f>BS72</f>
        <v/>
      </c>
      <c r="FD72" s="274">
        <f>BU72</f>
        <v/>
      </c>
      <c r="FE72" s="274">
        <f>CM72</f>
        <v/>
      </c>
      <c r="FF72" s="274">
        <f>DO72</f>
        <v/>
      </c>
      <c r="FG72" s="274">
        <f>DS72</f>
        <v/>
      </c>
      <c r="FH72" s="250" t="n"/>
      <c r="FI72" s="250" t="n"/>
      <c r="FJ72" s="250" t="n"/>
      <c r="FK72" s="250" t="n"/>
    </row>
    <row r="73">
      <c r="A73" s="250" t="n"/>
      <c r="B73" s="503" t="n"/>
      <c r="C73" s="485" t="n"/>
      <c r="D73" s="503" t="n"/>
      <c r="E73" s="485" t="n"/>
      <c r="F73" s="503" t="n"/>
      <c r="G73" s="485" t="n"/>
      <c r="H73" s="554" t="n"/>
      <c r="I73" s="484" t="n"/>
      <c r="J73" s="484" t="n"/>
      <c r="K73" s="485" t="n"/>
      <c r="L73" s="555">
        <f t="array" ref="L73">iferror(INDEX('ファントムマスター'!F:F,MATCH(H73,'ファントムマスター'!D:D,0),0),"none")</f>
        <v/>
      </c>
      <c r="M73" s="484" t="n"/>
      <c r="N73" s="484" t="n"/>
      <c r="O73" s="485" t="n"/>
      <c r="P73" s="555">
        <f t="array" ref="P73">iferror(INDEX('ファントムマスター'!H:H,MATCH(H73,'ファントムマスター'!D:D,0),0),"none")</f>
        <v/>
      </c>
      <c r="Q73" s="485" t="n"/>
      <c r="R73" s="556">
        <f>iferror(INDEX('ファントムマスター'!J:J,MATCH(H73,'ファントムマスター'!D:D,0),0),"none")</f>
        <v/>
      </c>
      <c r="S73" s="485" t="n"/>
      <c r="T73" s="555">
        <f t="array" ref="T73">iferror(INDEX('ファントムマスター'!I:I,MATCH(H73,'ファントムマスター'!D:D,0),0),"none")</f>
        <v/>
      </c>
      <c r="U73" s="485" t="n"/>
      <c r="V73" s="503" t="inlineStr">
        <is>
          <t>Default</t>
        </is>
      </c>
      <c r="W73" s="485" t="n"/>
      <c r="X73" s="503" t="inlineStr">
        <is>
          <t>Normal</t>
        </is>
      </c>
      <c r="Y73" s="485" t="n"/>
      <c r="Z73" s="503" t="n"/>
      <c r="AA73" s="485" t="n"/>
      <c r="AB73" s="557">
        <f t="array" ref="AB73">iferror(INDEX('ファントムマスター'!K:K,MATCH(H73,'ファントムマスター'!D:D,0),0)*AD73,"none")</f>
        <v/>
      </c>
      <c r="AC73" s="485" t="n"/>
      <c r="AD73" s="503" t="n">
        <v>1</v>
      </c>
      <c r="AE73" s="485" t="n"/>
      <c r="AF73" s="557">
        <f t="array" ref="AF73">iferror(INDEX('ファントムマスター'!O:O,MATCH(H73,'ファントムマスター'!D:D,0),0)*AH73,"none")</f>
        <v/>
      </c>
      <c r="AG73" s="485" t="n"/>
      <c r="AH73" s="503" t="n">
        <v>1</v>
      </c>
      <c r="AI73" s="485" t="n"/>
      <c r="AJ73" s="558">
        <f t="array" ref="AJ73">iferror(right(INDEX('ファントムマスター'!T:T,MATCH(H73,'ファントムマスター'!D:D,0),0),4)*50,"none")</f>
        <v/>
      </c>
      <c r="AK73" s="485" t="n"/>
      <c r="AL73" s="558">
        <f t="array" ref="AL73">iferror(right(INDEX('ファントムマスター'!V:V,MATCH(H73,'ファントムマスター'!D:D,0),0),4),"none")</f>
        <v/>
      </c>
      <c r="AM73" s="485" t="n"/>
      <c r="AN73" s="559">
        <f>iferror(AF73*(50/(AJ73+AL73)),"攻撃力に数値を入力")</f>
        <v/>
      </c>
      <c r="AO73" s="485" t="n"/>
      <c r="AP73" s="523">
        <f t="array" ref="AP73">XLOOKUP(H73,'ファントムマスター'!D:D,'ファントムマスター'!AC:AC,"none")</f>
        <v/>
      </c>
      <c r="AQ73" s="484" t="n"/>
      <c r="AR73" s="484" t="n"/>
      <c r="AS73" s="485" t="n"/>
      <c r="AT73" s="560">
        <f t="array" ref="AT73">iferror(INDEX('ファントムマスター'!Y:Y,MATCH(H73,'ファントムマスター'!D:D,0),0),"none")</f>
        <v/>
      </c>
      <c r="AU73" s="484" t="n"/>
      <c r="AV73" s="484" t="n"/>
      <c r="AW73" s="484" t="n"/>
      <c r="AX73" s="485" t="n"/>
      <c r="AY73" s="561">
        <f t="array" ref="AY73">iferror(INDEX('ファントムマスター'!Z:Z,MATCH(H73,'ファントムマスター'!D:D,0),0),"none")</f>
        <v/>
      </c>
      <c r="AZ73" s="485" t="n"/>
      <c r="BA73" s="561">
        <f t="array" ref="BA73">iferror(INDEX('ファントムマスター'!W:W,MATCH(H73,'ファントムマスター'!D:D,0),0)*50,"none")</f>
        <v/>
      </c>
      <c r="BB73" s="485" t="n"/>
      <c r="BC73" s="555">
        <f t="array" ref="BC73">iferror(INDEX('ファントムマスター'!AA:AA,MATCH(H73,'ファントムマスター'!D:D,0),0),"none")</f>
        <v/>
      </c>
      <c r="BD73" s="485" t="n"/>
      <c r="BE73" s="557">
        <f t="array" ref="BE73">iferror(INDEX('ファントムマスター'!M:M,MATCH(H73,'ファントムマスター'!D:D,0),0),"none")</f>
        <v/>
      </c>
      <c r="BF73" s="485" t="n"/>
      <c r="BG73" s="557">
        <f t="array" ref="BG73">iferror(INDEX('ファントムマスター'!N:N,MATCH(H73,'ファントムマスター'!D:D,0),0),"none")</f>
        <v/>
      </c>
      <c r="BH73" s="485" t="n"/>
      <c r="BI73" s="557">
        <f t="array" ref="BI73">iferror(INDEX('ファントムマスター'!P:P,MATCH(H73,'ファントムマスター'!D:D,0),0),"none")</f>
        <v/>
      </c>
      <c r="BJ73" s="485" t="n"/>
      <c r="BK73" s="557">
        <f t="array" ref="BK73">iferror(INDEX('ファントムマスター'!Q:Q,MATCH(H73,'ファントムマスター'!D:D,0),0),"none")</f>
        <v/>
      </c>
      <c r="BL73" s="485" t="n"/>
      <c r="BM73" s="542">
        <f t="array" ref="BM73">iferror(INDEX('ファントムマスター'!R:R,MATCH(H73,'ファントムマスター'!D:D,0),0),"none")</f>
        <v/>
      </c>
      <c r="BN73" s="485" t="n"/>
      <c r="BO73" s="557">
        <f t="array" ref="BO73">iferror(INDEX('ファントムマスター'!L:L,MATCH(H73,'ファントムマスター'!D:D,0),0),"none")</f>
        <v/>
      </c>
      <c r="BP73" s="485" t="n"/>
      <c r="BQ73" s="557">
        <f t="array" ref="BQ73">iferror(INDEX('ファントムマスター'!S:S,MATCH(H73,'ファントムマスター'!D:D,0),0),"none")</f>
        <v/>
      </c>
      <c r="BR73" s="485" t="n"/>
      <c r="BS73" s="503" t="n"/>
      <c r="BT73" s="485" t="n"/>
      <c r="BU73" s="503" t="n"/>
      <c r="BV73" s="485" t="n"/>
      <c r="BW73" s="503" t="n"/>
      <c r="BX73" s="485" t="n"/>
      <c r="BY73" s="17" t="n"/>
      <c r="BZ73" s="485" t="n"/>
      <c r="CA73" s="503" t="n"/>
      <c r="CB73" s="485" t="n"/>
      <c r="CC73" s="503" t="inlineStr">
        <is>
          <t>未入力</t>
        </is>
      </c>
      <c r="CD73" s="484" t="n"/>
      <c r="CE73" s="484" t="n"/>
      <c r="CF73" s="485" t="n"/>
      <c r="CG73" s="562" t="n"/>
      <c r="CH73" s="485" t="n"/>
      <c r="CI73" s="562" t="n"/>
      <c r="CJ73" s="485" t="n"/>
      <c r="CK73" s="562" t="n"/>
      <c r="CL73" s="485" t="n"/>
      <c r="CM73" s="562" t="n"/>
      <c r="CN73" s="485" t="n"/>
      <c r="CO73" s="562" t="inlineStr">
        <is>
          <t>None</t>
        </is>
      </c>
      <c r="CP73" s="485" t="n"/>
      <c r="CQ73" s="503" t="n"/>
      <c r="CR73" s="485" t="n"/>
      <c r="CS73" s="503" t="inlineStr">
        <is>
          <t>None</t>
        </is>
      </c>
      <c r="CT73" s="484" t="n"/>
      <c r="CU73" s="484" t="n"/>
      <c r="CV73" s="485" t="n"/>
      <c r="CW73" s="562" t="n"/>
      <c r="CX73" s="485" t="n"/>
      <c r="CY73" s="503" t="inlineStr">
        <is>
          <t>None</t>
        </is>
      </c>
      <c r="CZ73" s="484" t="n"/>
      <c r="DA73" s="484" t="n"/>
      <c r="DB73" s="485" t="n"/>
      <c r="DC73" s="562" t="n"/>
      <c r="DD73" s="485" t="n"/>
      <c r="DE73" s="503" t="inlineStr">
        <is>
          <t>None</t>
        </is>
      </c>
      <c r="DF73" s="484" t="n"/>
      <c r="DG73" s="484" t="n"/>
      <c r="DH73" s="485" t="n"/>
      <c r="DI73" s="562" t="n"/>
      <c r="DJ73" s="485" t="n"/>
      <c r="DK73" s="562" t="n"/>
      <c r="DL73" s="485" t="n"/>
      <c r="DM73" s="562" t="b">
        <v>0</v>
      </c>
      <c r="DN73" s="485" t="n"/>
      <c r="DO73" s="535" t="inlineStr">
        <is>
          <t>None</t>
        </is>
      </c>
      <c r="DP73" s="484" t="n"/>
      <c r="DQ73" s="484" t="n"/>
      <c r="DR73" s="485" t="n"/>
      <c r="DS73" s="562" t="n"/>
      <c r="DT73" s="485" t="n"/>
      <c r="DU73" s="503" t="n"/>
      <c r="DV73" s="484" t="n"/>
      <c r="DW73" s="484" t="n"/>
      <c r="DX73" s="484" t="n"/>
      <c r="DY73" s="485" t="n"/>
      <c r="DZ73" s="250" t="n"/>
      <c r="EA73" s="160" t="n"/>
      <c r="EB73" s="250" t="n"/>
      <c r="EC73" s="249">
        <f>B73</f>
        <v/>
      </c>
      <c r="ED73" s="249">
        <f>D73</f>
        <v/>
      </c>
      <c r="EE73" s="249">
        <f>F73</f>
        <v/>
      </c>
      <c r="EF73" s="274">
        <f>CC73</f>
        <v/>
      </c>
      <c r="EG73" s="274">
        <f>CG73</f>
        <v/>
      </c>
      <c r="EH73" s="274">
        <f>if(iferror(LEFT(ED73,LEN(ED73)-2),"SummonEnemy")="groupchange","SwitchSequenceGroup","SummonEnemy")</f>
        <v/>
      </c>
      <c r="EI73" s="274">
        <f>H73</f>
        <v/>
      </c>
      <c r="EJ73" s="274" t="n"/>
      <c r="EK73" s="274">
        <f>CK73</f>
        <v/>
      </c>
      <c r="EL73" s="274">
        <f>CI73</f>
        <v/>
      </c>
      <c r="EM73" s="274">
        <f>CO73</f>
        <v/>
      </c>
      <c r="EN73" s="274">
        <f>CQ73</f>
        <v/>
      </c>
      <c r="EO73" s="274">
        <f>CS73</f>
        <v/>
      </c>
      <c r="EP73" s="274">
        <f>CW73</f>
        <v/>
      </c>
      <c r="EQ73" s="274">
        <f>CY73</f>
        <v/>
      </c>
      <c r="ER73" s="274">
        <f>DC73</f>
        <v/>
      </c>
      <c r="ES73" s="274">
        <f>DE73</f>
        <v/>
      </c>
      <c r="ET73" s="274">
        <f>DI73</f>
        <v/>
      </c>
      <c r="EU73" s="274">
        <f>DK73</f>
        <v/>
      </c>
      <c r="EV73" s="274">
        <f>DM73</f>
        <v/>
      </c>
      <c r="EW73" s="274" t="n"/>
      <c r="EX73" s="274">
        <f>V73</f>
        <v/>
      </c>
      <c r="EY73" s="274">
        <f>X73</f>
        <v/>
      </c>
      <c r="EZ73" s="274">
        <f>AD73</f>
        <v/>
      </c>
      <c r="FA73" s="274">
        <f>AH73</f>
        <v/>
      </c>
      <c r="FB73" s="274">
        <f>"1"</f>
        <v/>
      </c>
      <c r="FC73" s="274">
        <f>BS73</f>
        <v/>
      </c>
      <c r="FD73" s="274">
        <f>BU73</f>
        <v/>
      </c>
      <c r="FE73" s="274">
        <f>CM73</f>
        <v/>
      </c>
      <c r="FF73" s="274">
        <f>DO73</f>
        <v/>
      </c>
      <c r="FG73" s="274">
        <f>DS73</f>
        <v/>
      </c>
      <c r="FH73" s="250" t="n"/>
      <c r="FI73" s="250" t="n"/>
      <c r="FJ73" s="250" t="n"/>
      <c r="FK73" s="250" t="n"/>
    </row>
    <row r="74">
      <c r="A74" s="250" t="n"/>
      <c r="B74" s="503" t="n"/>
      <c r="C74" s="485" t="n"/>
      <c r="D74" s="503" t="n"/>
      <c r="E74" s="485" t="n"/>
      <c r="F74" s="503" t="n"/>
      <c r="G74" s="485" t="n"/>
      <c r="H74" s="554" t="n"/>
      <c r="I74" s="484" t="n"/>
      <c r="J74" s="484" t="n"/>
      <c r="K74" s="485" t="n"/>
      <c r="L74" s="555">
        <f t="array" ref="L74">iferror(INDEX('ファントムマスター'!F:F,MATCH(H74,'ファントムマスター'!D:D,0),0),"none")</f>
        <v/>
      </c>
      <c r="M74" s="484" t="n"/>
      <c r="N74" s="484" t="n"/>
      <c r="O74" s="485" t="n"/>
      <c r="P74" s="555">
        <f t="array" ref="P74">iferror(INDEX('ファントムマスター'!H:H,MATCH(H74,'ファントムマスター'!D:D,0),0),"none")</f>
        <v/>
      </c>
      <c r="Q74" s="485" t="n"/>
      <c r="R74" s="556">
        <f>iferror(INDEX('ファントムマスター'!J:J,MATCH(H74,'ファントムマスター'!D:D,0),0),"none")</f>
        <v/>
      </c>
      <c r="S74" s="485" t="n"/>
      <c r="T74" s="555">
        <f t="array" ref="T74">iferror(INDEX('ファントムマスター'!I:I,MATCH(H74,'ファントムマスター'!D:D,0),0),"none")</f>
        <v/>
      </c>
      <c r="U74" s="485" t="n"/>
      <c r="V74" s="503" t="inlineStr">
        <is>
          <t>Default</t>
        </is>
      </c>
      <c r="W74" s="485" t="n"/>
      <c r="X74" s="503" t="inlineStr">
        <is>
          <t>Normal</t>
        </is>
      </c>
      <c r="Y74" s="485" t="n"/>
      <c r="Z74" s="503" t="n"/>
      <c r="AA74" s="485" t="n"/>
      <c r="AB74" s="557">
        <f t="array" ref="AB74">iferror(INDEX('ファントムマスター'!K:K,MATCH(H74,'ファントムマスター'!D:D,0),0)*AD74,"none")</f>
        <v/>
      </c>
      <c r="AC74" s="485" t="n"/>
      <c r="AD74" s="503" t="n">
        <v>1</v>
      </c>
      <c r="AE74" s="485" t="n"/>
      <c r="AF74" s="557">
        <f t="array" ref="AF74">iferror(INDEX('ファントムマスター'!O:O,MATCH(H74,'ファントムマスター'!D:D,0),0)*AH74,"none")</f>
        <v/>
      </c>
      <c r="AG74" s="485" t="n"/>
      <c r="AH74" s="503" t="n">
        <v>1</v>
      </c>
      <c r="AI74" s="485" t="n"/>
      <c r="AJ74" s="558">
        <f t="array" ref="AJ74">iferror(right(INDEX('ファントムマスター'!T:T,MATCH(H74,'ファントムマスター'!D:D,0),0),4)*50,"none")</f>
        <v/>
      </c>
      <c r="AK74" s="485" t="n"/>
      <c r="AL74" s="558">
        <f t="array" ref="AL74">iferror(right(INDEX('ファントムマスター'!V:V,MATCH(H74,'ファントムマスター'!D:D,0),0),4),"none")</f>
        <v/>
      </c>
      <c r="AM74" s="485" t="n"/>
      <c r="AN74" s="559">
        <f>iferror(AF74*(50/(AJ74+AL74)),"攻撃力に数値を入力")</f>
        <v/>
      </c>
      <c r="AO74" s="485" t="n"/>
      <c r="AP74" s="523">
        <f t="array" ref="AP74">XLOOKUP(H74,'ファントムマスター'!D:D,'ファントムマスター'!AC:AC,"none")</f>
        <v/>
      </c>
      <c r="AQ74" s="484" t="n"/>
      <c r="AR74" s="484" t="n"/>
      <c r="AS74" s="485" t="n"/>
      <c r="AT74" s="560">
        <f t="array" ref="AT74">iferror(INDEX('ファントムマスター'!Y:Y,MATCH(H74,'ファントムマスター'!D:D,0),0),"none")</f>
        <v/>
      </c>
      <c r="AU74" s="484" t="n"/>
      <c r="AV74" s="484" t="n"/>
      <c r="AW74" s="484" t="n"/>
      <c r="AX74" s="485" t="n"/>
      <c r="AY74" s="561">
        <f t="array" ref="AY74">iferror(INDEX('ファントムマスター'!Z:Z,MATCH(H74,'ファントムマスター'!D:D,0),0),"none")</f>
        <v/>
      </c>
      <c r="AZ74" s="485" t="n"/>
      <c r="BA74" s="561">
        <f t="array" ref="BA74">iferror(INDEX('ファントムマスター'!W:W,MATCH(H74,'ファントムマスター'!D:D,0),0)*50,"none")</f>
        <v/>
      </c>
      <c r="BB74" s="485" t="n"/>
      <c r="BC74" s="555">
        <f t="array" ref="BC74">iferror(INDEX('ファントムマスター'!AA:AA,MATCH(H74,'ファントムマスター'!D:D,0),0),"none")</f>
        <v/>
      </c>
      <c r="BD74" s="485" t="n"/>
      <c r="BE74" s="557">
        <f t="array" ref="BE74">iferror(INDEX('ファントムマスター'!M:M,MATCH(H74,'ファントムマスター'!D:D,0),0),"none")</f>
        <v/>
      </c>
      <c r="BF74" s="485" t="n"/>
      <c r="BG74" s="557">
        <f t="array" ref="BG74">iferror(INDEX('ファントムマスター'!N:N,MATCH(H74,'ファントムマスター'!D:D,0),0),"none")</f>
        <v/>
      </c>
      <c r="BH74" s="485" t="n"/>
      <c r="BI74" s="557">
        <f t="array" ref="BI74">iferror(INDEX('ファントムマスター'!P:P,MATCH(H74,'ファントムマスター'!D:D,0),0),"none")</f>
        <v/>
      </c>
      <c r="BJ74" s="485" t="n"/>
      <c r="BK74" s="557">
        <f t="array" ref="BK74">iferror(INDEX('ファントムマスター'!Q:Q,MATCH(H74,'ファントムマスター'!D:D,0),0),"none")</f>
        <v/>
      </c>
      <c r="BL74" s="485" t="n"/>
      <c r="BM74" s="542">
        <f t="array" ref="BM74">iferror(INDEX('ファントムマスター'!R:R,MATCH(H74,'ファントムマスター'!D:D,0),0),"none")</f>
        <v/>
      </c>
      <c r="BN74" s="485" t="n"/>
      <c r="BO74" s="557">
        <f t="array" ref="BO74">iferror(INDEX('ファントムマスター'!L:L,MATCH(H74,'ファントムマスター'!D:D,0),0),"none")</f>
        <v/>
      </c>
      <c r="BP74" s="485" t="n"/>
      <c r="BQ74" s="557">
        <f t="array" ref="BQ74">iferror(INDEX('ファントムマスター'!S:S,MATCH(H74,'ファントムマスター'!D:D,0),0),"none")</f>
        <v/>
      </c>
      <c r="BR74" s="485" t="n"/>
      <c r="BS74" s="503" t="n"/>
      <c r="BT74" s="485" t="n"/>
      <c r="BU74" s="503" t="n"/>
      <c r="BV74" s="485" t="n"/>
      <c r="BW74" s="503" t="n"/>
      <c r="BX74" s="485" t="n"/>
      <c r="BY74" s="17" t="n"/>
      <c r="BZ74" s="485" t="n"/>
      <c r="CA74" s="503" t="n"/>
      <c r="CB74" s="485" t="n"/>
      <c r="CC74" s="503" t="inlineStr">
        <is>
          <t>未入力</t>
        </is>
      </c>
      <c r="CD74" s="484" t="n"/>
      <c r="CE74" s="484" t="n"/>
      <c r="CF74" s="485" t="n"/>
      <c r="CG74" s="562" t="n"/>
      <c r="CH74" s="485" t="n"/>
      <c r="CI74" s="562" t="n"/>
      <c r="CJ74" s="485" t="n"/>
      <c r="CK74" s="562" t="n"/>
      <c r="CL74" s="485" t="n"/>
      <c r="CM74" s="562" t="n"/>
      <c r="CN74" s="485" t="n"/>
      <c r="CO74" s="562" t="inlineStr">
        <is>
          <t>None</t>
        </is>
      </c>
      <c r="CP74" s="485" t="n"/>
      <c r="CQ74" s="503" t="n"/>
      <c r="CR74" s="485" t="n"/>
      <c r="CS74" s="503" t="inlineStr">
        <is>
          <t>None</t>
        </is>
      </c>
      <c r="CT74" s="484" t="n"/>
      <c r="CU74" s="484" t="n"/>
      <c r="CV74" s="485" t="n"/>
      <c r="CW74" s="562" t="n"/>
      <c r="CX74" s="485" t="n"/>
      <c r="CY74" s="503" t="inlineStr">
        <is>
          <t>None</t>
        </is>
      </c>
      <c r="CZ74" s="484" t="n"/>
      <c r="DA74" s="484" t="n"/>
      <c r="DB74" s="485" t="n"/>
      <c r="DC74" s="562" t="n"/>
      <c r="DD74" s="485" t="n"/>
      <c r="DE74" s="503" t="inlineStr">
        <is>
          <t>None</t>
        </is>
      </c>
      <c r="DF74" s="484" t="n"/>
      <c r="DG74" s="484" t="n"/>
      <c r="DH74" s="485" t="n"/>
      <c r="DI74" s="562" t="n"/>
      <c r="DJ74" s="485" t="n"/>
      <c r="DK74" s="562" t="n"/>
      <c r="DL74" s="485" t="n"/>
      <c r="DM74" s="562" t="b">
        <v>0</v>
      </c>
      <c r="DN74" s="485" t="n"/>
      <c r="DO74" s="535" t="inlineStr">
        <is>
          <t>None</t>
        </is>
      </c>
      <c r="DP74" s="484" t="n"/>
      <c r="DQ74" s="484" t="n"/>
      <c r="DR74" s="485" t="n"/>
      <c r="DS74" s="562" t="n"/>
      <c r="DT74" s="485" t="n"/>
      <c r="DU74" s="503" t="n"/>
      <c r="DV74" s="484" t="n"/>
      <c r="DW74" s="484" t="n"/>
      <c r="DX74" s="484" t="n"/>
      <c r="DY74" s="485" t="n"/>
      <c r="DZ74" s="250" t="n"/>
      <c r="EA74" s="160" t="n"/>
      <c r="EB74" s="250" t="n"/>
      <c r="EC74" s="249">
        <f>B74</f>
        <v/>
      </c>
      <c r="ED74" s="249">
        <f>D74</f>
        <v/>
      </c>
      <c r="EE74" s="249">
        <f>F74</f>
        <v/>
      </c>
      <c r="EF74" s="274">
        <f>CC74</f>
        <v/>
      </c>
      <c r="EG74" s="274">
        <f>CG74</f>
        <v/>
      </c>
      <c r="EH74" s="274">
        <f>if(iferror(LEFT(ED74,LEN(ED74)-2),"SummonEnemy")="groupchange","SwitchSequenceGroup","SummonEnemy")</f>
        <v/>
      </c>
      <c r="EI74" s="274">
        <f>H74</f>
        <v/>
      </c>
      <c r="EJ74" s="274" t="n"/>
      <c r="EK74" s="274">
        <f>CK74</f>
        <v/>
      </c>
      <c r="EL74" s="274">
        <f>CI74</f>
        <v/>
      </c>
      <c r="EM74" s="274">
        <f>CO74</f>
        <v/>
      </c>
      <c r="EN74" s="274">
        <f>CQ74</f>
        <v/>
      </c>
      <c r="EO74" s="274">
        <f>CS74</f>
        <v/>
      </c>
      <c r="EP74" s="274">
        <f>CW74</f>
        <v/>
      </c>
      <c r="EQ74" s="274">
        <f>CY74</f>
        <v/>
      </c>
      <c r="ER74" s="274">
        <f>DC74</f>
        <v/>
      </c>
      <c r="ES74" s="274">
        <f>DE74</f>
        <v/>
      </c>
      <c r="ET74" s="274">
        <f>DI74</f>
        <v/>
      </c>
      <c r="EU74" s="274">
        <f>DK74</f>
        <v/>
      </c>
      <c r="EV74" s="274">
        <f>DM74</f>
        <v/>
      </c>
      <c r="EW74" s="274" t="n"/>
      <c r="EX74" s="274">
        <f>V74</f>
        <v/>
      </c>
      <c r="EY74" s="274">
        <f>X74</f>
        <v/>
      </c>
      <c r="EZ74" s="274">
        <f>AD74</f>
        <v/>
      </c>
      <c r="FA74" s="274">
        <f>AH74</f>
        <v/>
      </c>
      <c r="FB74" s="274">
        <f>"1"</f>
        <v/>
      </c>
      <c r="FC74" s="274">
        <f>BS74</f>
        <v/>
      </c>
      <c r="FD74" s="274">
        <f>BU74</f>
        <v/>
      </c>
      <c r="FE74" s="274">
        <f>CM74</f>
        <v/>
      </c>
      <c r="FF74" s="274">
        <f>DO74</f>
        <v/>
      </c>
      <c r="FG74" s="274">
        <f>DS74</f>
        <v/>
      </c>
      <c r="FH74" s="250" t="n"/>
      <c r="FI74" s="250" t="n"/>
      <c r="FJ74" s="250" t="n"/>
      <c r="FK74" s="250" t="n"/>
    </row>
    <row r="75">
      <c r="A75" s="250" t="n"/>
      <c r="B75" s="503" t="n"/>
      <c r="C75" s="485" t="n"/>
      <c r="D75" s="503" t="n"/>
      <c r="E75" s="485" t="n"/>
      <c r="F75" s="503" t="n"/>
      <c r="G75" s="485" t="n"/>
      <c r="H75" s="554" t="n"/>
      <c r="I75" s="484" t="n"/>
      <c r="J75" s="484" t="n"/>
      <c r="K75" s="485" t="n"/>
      <c r="L75" s="555">
        <f t="array" ref="L75">iferror(INDEX('ファントムマスター'!F:F,MATCH(H75,'ファントムマスター'!D:D,0),0),"none")</f>
        <v/>
      </c>
      <c r="M75" s="484" t="n"/>
      <c r="N75" s="484" t="n"/>
      <c r="O75" s="485" t="n"/>
      <c r="P75" s="555">
        <f t="array" ref="P75">iferror(INDEX('ファントムマスター'!H:H,MATCH(H75,'ファントムマスター'!D:D,0),0),"none")</f>
        <v/>
      </c>
      <c r="Q75" s="485" t="n"/>
      <c r="R75" s="556">
        <f>iferror(INDEX('ファントムマスター'!J:J,MATCH(H75,'ファントムマスター'!D:D,0),0),"none")</f>
        <v/>
      </c>
      <c r="S75" s="485" t="n"/>
      <c r="T75" s="555">
        <f t="array" ref="T75">iferror(INDEX('ファントムマスター'!I:I,MATCH(H75,'ファントムマスター'!D:D,0),0),"none")</f>
        <v/>
      </c>
      <c r="U75" s="485" t="n"/>
      <c r="V75" s="503" t="inlineStr">
        <is>
          <t>Default</t>
        </is>
      </c>
      <c r="W75" s="485" t="n"/>
      <c r="X75" s="503" t="inlineStr">
        <is>
          <t>Normal</t>
        </is>
      </c>
      <c r="Y75" s="485" t="n"/>
      <c r="Z75" s="503" t="n"/>
      <c r="AA75" s="485" t="n"/>
      <c r="AB75" s="557">
        <f t="array" ref="AB75">iferror(INDEX('ファントムマスター'!K:K,MATCH(H75,'ファントムマスター'!D:D,0),0)*AD75,"none")</f>
        <v/>
      </c>
      <c r="AC75" s="485" t="n"/>
      <c r="AD75" s="503" t="n">
        <v>1</v>
      </c>
      <c r="AE75" s="485" t="n"/>
      <c r="AF75" s="557">
        <f t="array" ref="AF75">iferror(INDEX('ファントムマスター'!O:O,MATCH(H75,'ファントムマスター'!D:D,0),0)*AH75,"none")</f>
        <v/>
      </c>
      <c r="AG75" s="485" t="n"/>
      <c r="AH75" s="503" t="n">
        <v>1</v>
      </c>
      <c r="AI75" s="485" t="n"/>
      <c r="AJ75" s="558">
        <f t="array" ref="AJ75">iferror(right(INDEX('ファントムマスター'!T:T,MATCH(H75,'ファントムマスター'!D:D,0),0),4)*50,"none")</f>
        <v/>
      </c>
      <c r="AK75" s="485" t="n"/>
      <c r="AL75" s="558">
        <f t="array" ref="AL75">iferror(right(INDEX('ファントムマスター'!V:V,MATCH(H75,'ファントムマスター'!D:D,0),0),4),"none")</f>
        <v/>
      </c>
      <c r="AM75" s="485" t="n"/>
      <c r="AN75" s="559">
        <f>iferror(AF75*(50/(AJ75+AL75)),"攻撃力に数値を入力")</f>
        <v/>
      </c>
      <c r="AO75" s="485" t="n"/>
      <c r="AP75" s="523">
        <f t="array" ref="AP75">XLOOKUP(H75,'ファントムマスター'!D:D,'ファントムマスター'!AC:AC,"none")</f>
        <v/>
      </c>
      <c r="AQ75" s="484" t="n"/>
      <c r="AR75" s="484" t="n"/>
      <c r="AS75" s="485" t="n"/>
      <c r="AT75" s="560">
        <f t="array" ref="AT75">iferror(INDEX('ファントムマスター'!Y:Y,MATCH(H75,'ファントムマスター'!D:D,0),0),"none")</f>
        <v/>
      </c>
      <c r="AU75" s="484" t="n"/>
      <c r="AV75" s="484" t="n"/>
      <c r="AW75" s="484" t="n"/>
      <c r="AX75" s="485" t="n"/>
      <c r="AY75" s="561">
        <f t="array" ref="AY75">iferror(INDEX('ファントムマスター'!Z:Z,MATCH(H75,'ファントムマスター'!D:D,0),0),"none")</f>
        <v/>
      </c>
      <c r="AZ75" s="485" t="n"/>
      <c r="BA75" s="561">
        <f t="array" ref="BA75">iferror(INDEX('ファントムマスター'!W:W,MATCH(H75,'ファントムマスター'!D:D,0),0)*50,"none")</f>
        <v/>
      </c>
      <c r="BB75" s="485" t="n"/>
      <c r="BC75" s="555">
        <f t="array" ref="BC75">iferror(INDEX('ファントムマスター'!AA:AA,MATCH(H75,'ファントムマスター'!D:D,0),0),"none")</f>
        <v/>
      </c>
      <c r="BD75" s="485" t="n"/>
      <c r="BE75" s="557">
        <f t="array" ref="BE75">iferror(INDEX('ファントムマスター'!M:M,MATCH(H75,'ファントムマスター'!D:D,0),0),"none")</f>
        <v/>
      </c>
      <c r="BF75" s="485" t="n"/>
      <c r="BG75" s="557">
        <f t="array" ref="BG75">iferror(INDEX('ファントムマスター'!N:N,MATCH(H75,'ファントムマスター'!D:D,0),0),"none")</f>
        <v/>
      </c>
      <c r="BH75" s="485" t="n"/>
      <c r="BI75" s="557">
        <f t="array" ref="BI75">iferror(INDEX('ファントムマスター'!P:P,MATCH(H75,'ファントムマスター'!D:D,0),0),"none")</f>
        <v/>
      </c>
      <c r="BJ75" s="485" t="n"/>
      <c r="BK75" s="557">
        <f t="array" ref="BK75">iferror(INDEX('ファントムマスター'!Q:Q,MATCH(H75,'ファントムマスター'!D:D,0),0),"none")</f>
        <v/>
      </c>
      <c r="BL75" s="485" t="n"/>
      <c r="BM75" s="542">
        <f t="array" ref="BM75">iferror(INDEX('ファントムマスター'!R:R,MATCH(H75,'ファントムマスター'!D:D,0),0),"none")</f>
        <v/>
      </c>
      <c r="BN75" s="485" t="n"/>
      <c r="BO75" s="557">
        <f t="array" ref="BO75">iferror(INDEX('ファントムマスター'!L:L,MATCH(H75,'ファントムマスター'!D:D,0),0),"none")</f>
        <v/>
      </c>
      <c r="BP75" s="485" t="n"/>
      <c r="BQ75" s="557">
        <f t="array" ref="BQ75">iferror(INDEX('ファントムマスター'!S:S,MATCH(H75,'ファントムマスター'!D:D,0),0),"none")</f>
        <v/>
      </c>
      <c r="BR75" s="485" t="n"/>
      <c r="BS75" s="503" t="n"/>
      <c r="BT75" s="485" t="n"/>
      <c r="BU75" s="503" t="n"/>
      <c r="BV75" s="485" t="n"/>
      <c r="BW75" s="503" t="n"/>
      <c r="BX75" s="485" t="n"/>
      <c r="BY75" s="17" t="n"/>
      <c r="BZ75" s="485" t="n"/>
      <c r="CA75" s="503" t="n"/>
      <c r="CB75" s="485" t="n"/>
      <c r="CC75" s="503" t="inlineStr">
        <is>
          <t>未入力</t>
        </is>
      </c>
      <c r="CD75" s="484" t="n"/>
      <c r="CE75" s="484" t="n"/>
      <c r="CF75" s="485" t="n"/>
      <c r="CG75" s="562" t="n"/>
      <c r="CH75" s="485" t="n"/>
      <c r="CI75" s="562" t="n"/>
      <c r="CJ75" s="485" t="n"/>
      <c r="CK75" s="562" t="n"/>
      <c r="CL75" s="485" t="n"/>
      <c r="CM75" s="562" t="n"/>
      <c r="CN75" s="485" t="n"/>
      <c r="CO75" s="562" t="inlineStr">
        <is>
          <t>None</t>
        </is>
      </c>
      <c r="CP75" s="485" t="n"/>
      <c r="CQ75" s="503" t="n"/>
      <c r="CR75" s="485" t="n"/>
      <c r="CS75" s="503" t="inlineStr">
        <is>
          <t>None</t>
        </is>
      </c>
      <c r="CT75" s="484" t="n"/>
      <c r="CU75" s="484" t="n"/>
      <c r="CV75" s="485" t="n"/>
      <c r="CW75" s="562" t="n"/>
      <c r="CX75" s="485" t="n"/>
      <c r="CY75" s="503" t="inlineStr">
        <is>
          <t>None</t>
        </is>
      </c>
      <c r="CZ75" s="484" t="n"/>
      <c r="DA75" s="484" t="n"/>
      <c r="DB75" s="485" t="n"/>
      <c r="DC75" s="562" t="n"/>
      <c r="DD75" s="485" t="n"/>
      <c r="DE75" s="503" t="inlineStr">
        <is>
          <t>None</t>
        </is>
      </c>
      <c r="DF75" s="484" t="n"/>
      <c r="DG75" s="484" t="n"/>
      <c r="DH75" s="485" t="n"/>
      <c r="DI75" s="562" t="n"/>
      <c r="DJ75" s="485" t="n"/>
      <c r="DK75" s="562" t="n"/>
      <c r="DL75" s="485" t="n"/>
      <c r="DM75" s="562" t="b">
        <v>0</v>
      </c>
      <c r="DN75" s="485" t="n"/>
      <c r="DO75" s="535" t="inlineStr">
        <is>
          <t>None</t>
        </is>
      </c>
      <c r="DP75" s="484" t="n"/>
      <c r="DQ75" s="484" t="n"/>
      <c r="DR75" s="485" t="n"/>
      <c r="DS75" s="562" t="n"/>
      <c r="DT75" s="485" t="n"/>
      <c r="DU75" s="503" t="n"/>
      <c r="DV75" s="484" t="n"/>
      <c r="DW75" s="484" t="n"/>
      <c r="DX75" s="484" t="n"/>
      <c r="DY75" s="485" t="n"/>
      <c r="DZ75" s="250" t="n"/>
      <c r="EA75" s="160" t="n"/>
      <c r="EB75" s="250" t="n"/>
      <c r="EC75" s="249">
        <f>B75</f>
        <v/>
      </c>
      <c r="ED75" s="249">
        <f>D75</f>
        <v/>
      </c>
      <c r="EE75" s="249">
        <f>F75</f>
        <v/>
      </c>
      <c r="EF75" s="274">
        <f>CC75</f>
        <v/>
      </c>
      <c r="EG75" s="274">
        <f>CG75</f>
        <v/>
      </c>
      <c r="EH75" s="274">
        <f>if(iferror(LEFT(ED75,LEN(ED75)-2),"SummonEnemy")="groupchange","SwitchSequenceGroup","SummonEnemy")</f>
        <v/>
      </c>
      <c r="EI75" s="274">
        <f>H75</f>
        <v/>
      </c>
      <c r="EJ75" s="274" t="n"/>
      <c r="EK75" s="274">
        <f>CK75</f>
        <v/>
      </c>
      <c r="EL75" s="274">
        <f>CI75</f>
        <v/>
      </c>
      <c r="EM75" s="274">
        <f>CO75</f>
        <v/>
      </c>
      <c r="EN75" s="274">
        <f>CQ75</f>
        <v/>
      </c>
      <c r="EO75" s="274">
        <f>CS75</f>
        <v/>
      </c>
      <c r="EP75" s="274">
        <f>CW75</f>
        <v/>
      </c>
      <c r="EQ75" s="274">
        <f>CY75</f>
        <v/>
      </c>
      <c r="ER75" s="274">
        <f>DC75</f>
        <v/>
      </c>
      <c r="ES75" s="274">
        <f>DE75</f>
        <v/>
      </c>
      <c r="ET75" s="274">
        <f>DI75</f>
        <v/>
      </c>
      <c r="EU75" s="274">
        <f>DK75</f>
        <v/>
      </c>
      <c r="EV75" s="274">
        <f>DM75</f>
        <v/>
      </c>
      <c r="EW75" s="274" t="n"/>
      <c r="EX75" s="274">
        <f>V75</f>
        <v/>
      </c>
      <c r="EY75" s="274">
        <f>X75</f>
        <v/>
      </c>
      <c r="EZ75" s="274">
        <f>AD75</f>
        <v/>
      </c>
      <c r="FA75" s="274">
        <f>AH75</f>
        <v/>
      </c>
      <c r="FB75" s="274">
        <f>"1"</f>
        <v/>
      </c>
      <c r="FC75" s="274">
        <f>BS75</f>
        <v/>
      </c>
      <c r="FD75" s="274">
        <f>BU75</f>
        <v/>
      </c>
      <c r="FE75" s="274">
        <f>CM75</f>
        <v/>
      </c>
      <c r="FF75" s="274">
        <f>DO75</f>
        <v/>
      </c>
      <c r="FG75" s="274">
        <f>DS75</f>
        <v/>
      </c>
      <c r="FH75" s="250" t="n"/>
      <c r="FI75" s="250" t="n"/>
      <c r="FJ75" s="250" t="n"/>
      <c r="FK75" s="250" t="n"/>
    </row>
    <row r="76">
      <c r="A76" s="250" t="n"/>
      <c r="B76" s="503" t="n"/>
      <c r="C76" s="485" t="n"/>
      <c r="D76" s="503" t="n"/>
      <c r="E76" s="485" t="n"/>
      <c r="F76" s="503" t="n"/>
      <c r="G76" s="485" t="n"/>
      <c r="H76" s="554" t="n"/>
      <c r="I76" s="484" t="n"/>
      <c r="J76" s="484" t="n"/>
      <c r="K76" s="485" t="n"/>
      <c r="L76" s="555">
        <f t="array" ref="L76">iferror(INDEX('ファントムマスター'!F:F,MATCH(H76,'ファントムマスター'!D:D,0),0),"none")</f>
        <v/>
      </c>
      <c r="M76" s="484" t="n"/>
      <c r="N76" s="484" t="n"/>
      <c r="O76" s="485" t="n"/>
      <c r="P76" s="555">
        <f t="array" ref="P76">iferror(INDEX('ファントムマスター'!H:H,MATCH(H76,'ファントムマスター'!D:D,0),0),"none")</f>
        <v/>
      </c>
      <c r="Q76" s="485" t="n"/>
      <c r="R76" s="556">
        <f>iferror(INDEX('ファントムマスター'!J:J,MATCH(H76,'ファントムマスター'!D:D,0),0),"none")</f>
        <v/>
      </c>
      <c r="S76" s="485" t="n"/>
      <c r="T76" s="555">
        <f t="array" ref="T76">iferror(INDEX('ファントムマスター'!I:I,MATCH(H76,'ファントムマスター'!D:D,0),0),"none")</f>
        <v/>
      </c>
      <c r="U76" s="485" t="n"/>
      <c r="V76" s="503" t="inlineStr">
        <is>
          <t>Default</t>
        </is>
      </c>
      <c r="W76" s="485" t="n"/>
      <c r="X76" s="503" t="inlineStr">
        <is>
          <t>Normal</t>
        </is>
      </c>
      <c r="Y76" s="485" t="n"/>
      <c r="Z76" s="503" t="n"/>
      <c r="AA76" s="485" t="n"/>
      <c r="AB76" s="557">
        <f t="array" ref="AB76">iferror(INDEX('ファントムマスター'!K:K,MATCH(H76,'ファントムマスター'!D:D,0),0)*AD76,"none")</f>
        <v/>
      </c>
      <c r="AC76" s="485" t="n"/>
      <c r="AD76" s="503" t="n">
        <v>1</v>
      </c>
      <c r="AE76" s="485" t="n"/>
      <c r="AF76" s="557">
        <f t="array" ref="AF76">iferror(INDEX('ファントムマスター'!O:O,MATCH(H76,'ファントムマスター'!D:D,0),0)*AH76,"none")</f>
        <v/>
      </c>
      <c r="AG76" s="485" t="n"/>
      <c r="AH76" s="503" t="n">
        <v>1</v>
      </c>
      <c r="AI76" s="485" t="n"/>
      <c r="AJ76" s="558">
        <f t="array" ref="AJ76">iferror(right(INDEX('ファントムマスター'!T:T,MATCH(H76,'ファントムマスター'!D:D,0),0),4)*50,"none")</f>
        <v/>
      </c>
      <c r="AK76" s="485" t="n"/>
      <c r="AL76" s="558">
        <f t="array" ref="AL76">iferror(right(INDEX('ファントムマスター'!V:V,MATCH(H76,'ファントムマスター'!D:D,0),0),4),"none")</f>
        <v/>
      </c>
      <c r="AM76" s="485" t="n"/>
      <c r="AN76" s="559">
        <f>iferror(AF76*(50/(AJ76+AL76)),"攻撃力に数値を入力")</f>
        <v/>
      </c>
      <c r="AO76" s="485" t="n"/>
      <c r="AP76" s="523">
        <f t="array" ref="AP76">XLOOKUP(H76,'ファントムマスター'!D:D,'ファントムマスター'!AC:AC,"none")</f>
        <v/>
      </c>
      <c r="AQ76" s="484" t="n"/>
      <c r="AR76" s="484" t="n"/>
      <c r="AS76" s="485" t="n"/>
      <c r="AT76" s="560">
        <f t="array" ref="AT76">iferror(INDEX('ファントムマスター'!Y:Y,MATCH(H76,'ファントムマスター'!D:D,0),0),"none")</f>
        <v/>
      </c>
      <c r="AU76" s="484" t="n"/>
      <c r="AV76" s="484" t="n"/>
      <c r="AW76" s="484" t="n"/>
      <c r="AX76" s="485" t="n"/>
      <c r="AY76" s="561">
        <f t="array" ref="AY76">iferror(INDEX('ファントムマスター'!Z:Z,MATCH(H76,'ファントムマスター'!D:D,0),0),"none")</f>
        <v/>
      </c>
      <c r="AZ76" s="485" t="n"/>
      <c r="BA76" s="561">
        <f t="array" ref="BA76">iferror(INDEX('ファントムマスター'!W:W,MATCH(H76,'ファントムマスター'!D:D,0),0)*50,"none")</f>
        <v/>
      </c>
      <c r="BB76" s="485" t="n"/>
      <c r="BC76" s="555">
        <f t="array" ref="BC76">iferror(INDEX('ファントムマスター'!AA:AA,MATCH(H76,'ファントムマスター'!D:D,0),0),"none")</f>
        <v/>
      </c>
      <c r="BD76" s="485" t="n"/>
      <c r="BE76" s="557">
        <f t="array" ref="BE76">iferror(INDEX('ファントムマスター'!M:M,MATCH(H76,'ファントムマスター'!D:D,0),0),"none")</f>
        <v/>
      </c>
      <c r="BF76" s="485" t="n"/>
      <c r="BG76" s="557">
        <f t="array" ref="BG76">iferror(INDEX('ファントムマスター'!N:N,MATCH(H76,'ファントムマスター'!D:D,0),0),"none")</f>
        <v/>
      </c>
      <c r="BH76" s="485" t="n"/>
      <c r="BI76" s="557">
        <f t="array" ref="BI76">iferror(INDEX('ファントムマスター'!P:P,MATCH(H76,'ファントムマスター'!D:D,0),0),"none")</f>
        <v/>
      </c>
      <c r="BJ76" s="485" t="n"/>
      <c r="BK76" s="557">
        <f t="array" ref="BK76">iferror(INDEX('ファントムマスター'!Q:Q,MATCH(H76,'ファントムマスター'!D:D,0),0),"none")</f>
        <v/>
      </c>
      <c r="BL76" s="485" t="n"/>
      <c r="BM76" s="542">
        <f t="array" ref="BM76">iferror(INDEX('ファントムマスター'!R:R,MATCH(H76,'ファントムマスター'!D:D,0),0),"none")</f>
        <v/>
      </c>
      <c r="BN76" s="485" t="n"/>
      <c r="BO76" s="557">
        <f t="array" ref="BO76">iferror(INDEX('ファントムマスター'!L:L,MATCH(H76,'ファントムマスター'!D:D,0),0),"none")</f>
        <v/>
      </c>
      <c r="BP76" s="485" t="n"/>
      <c r="BQ76" s="557">
        <f t="array" ref="BQ76">iferror(INDEX('ファントムマスター'!S:S,MATCH(H76,'ファントムマスター'!D:D,0),0),"none")</f>
        <v/>
      </c>
      <c r="BR76" s="485" t="n"/>
      <c r="BS76" s="503" t="n"/>
      <c r="BT76" s="485" t="n"/>
      <c r="BU76" s="503" t="n"/>
      <c r="BV76" s="485" t="n"/>
      <c r="BW76" s="503" t="n"/>
      <c r="BX76" s="485" t="n"/>
      <c r="BY76" s="17" t="n"/>
      <c r="BZ76" s="485" t="n"/>
      <c r="CA76" s="503" t="n"/>
      <c r="CB76" s="485" t="n"/>
      <c r="CC76" s="503" t="inlineStr">
        <is>
          <t>未入力</t>
        </is>
      </c>
      <c r="CD76" s="484" t="n"/>
      <c r="CE76" s="484" t="n"/>
      <c r="CF76" s="485" t="n"/>
      <c r="CG76" s="562" t="n"/>
      <c r="CH76" s="485" t="n"/>
      <c r="CI76" s="562" t="n"/>
      <c r="CJ76" s="485" t="n"/>
      <c r="CK76" s="562" t="n"/>
      <c r="CL76" s="485" t="n"/>
      <c r="CM76" s="562" t="n"/>
      <c r="CN76" s="485" t="n"/>
      <c r="CO76" s="562" t="inlineStr">
        <is>
          <t>None</t>
        </is>
      </c>
      <c r="CP76" s="485" t="n"/>
      <c r="CQ76" s="503" t="n"/>
      <c r="CR76" s="485" t="n"/>
      <c r="CS76" s="503" t="inlineStr">
        <is>
          <t>None</t>
        </is>
      </c>
      <c r="CT76" s="484" t="n"/>
      <c r="CU76" s="484" t="n"/>
      <c r="CV76" s="485" t="n"/>
      <c r="CW76" s="562" t="n"/>
      <c r="CX76" s="485" t="n"/>
      <c r="CY76" s="503" t="inlineStr">
        <is>
          <t>None</t>
        </is>
      </c>
      <c r="CZ76" s="484" t="n"/>
      <c r="DA76" s="484" t="n"/>
      <c r="DB76" s="485" t="n"/>
      <c r="DC76" s="562" t="n"/>
      <c r="DD76" s="485" t="n"/>
      <c r="DE76" s="503" t="inlineStr">
        <is>
          <t>None</t>
        </is>
      </c>
      <c r="DF76" s="484" t="n"/>
      <c r="DG76" s="484" t="n"/>
      <c r="DH76" s="485" t="n"/>
      <c r="DI76" s="562" t="n"/>
      <c r="DJ76" s="485" t="n"/>
      <c r="DK76" s="562" t="n"/>
      <c r="DL76" s="485" t="n"/>
      <c r="DM76" s="562" t="b">
        <v>0</v>
      </c>
      <c r="DN76" s="485" t="n"/>
      <c r="DO76" s="535" t="inlineStr">
        <is>
          <t>None</t>
        </is>
      </c>
      <c r="DP76" s="484" t="n"/>
      <c r="DQ76" s="484" t="n"/>
      <c r="DR76" s="485" t="n"/>
      <c r="DS76" s="562" t="n"/>
      <c r="DT76" s="485" t="n"/>
      <c r="DU76" s="503" t="n"/>
      <c r="DV76" s="484" t="n"/>
      <c r="DW76" s="484" t="n"/>
      <c r="DX76" s="484" t="n"/>
      <c r="DY76" s="485" t="n"/>
      <c r="DZ76" s="250" t="n"/>
      <c r="EA76" s="160" t="n"/>
      <c r="EB76" s="250" t="n"/>
      <c r="EC76" s="249">
        <f>B76</f>
        <v/>
      </c>
      <c r="ED76" s="249">
        <f>D76</f>
        <v/>
      </c>
      <c r="EE76" s="249">
        <f>F76</f>
        <v/>
      </c>
      <c r="EF76" s="274">
        <f>CC76</f>
        <v/>
      </c>
      <c r="EG76" s="274">
        <f>CG76</f>
        <v/>
      </c>
      <c r="EH76" s="274">
        <f>if(iferror(LEFT(ED76,LEN(ED76)-2),"SummonEnemy")="groupchange","SwitchSequenceGroup","SummonEnemy")</f>
        <v/>
      </c>
      <c r="EI76" s="274">
        <f>H76</f>
        <v/>
      </c>
      <c r="EJ76" s="274" t="n"/>
      <c r="EK76" s="274">
        <f>CK76</f>
        <v/>
      </c>
      <c r="EL76" s="274">
        <f>CI76</f>
        <v/>
      </c>
      <c r="EM76" s="274">
        <f>CO76</f>
        <v/>
      </c>
      <c r="EN76" s="274">
        <f>CQ76</f>
        <v/>
      </c>
      <c r="EO76" s="274">
        <f>CS76</f>
        <v/>
      </c>
      <c r="EP76" s="274">
        <f>CW76</f>
        <v/>
      </c>
      <c r="EQ76" s="274">
        <f>CY76</f>
        <v/>
      </c>
      <c r="ER76" s="274">
        <f>DC76</f>
        <v/>
      </c>
      <c r="ES76" s="274">
        <f>DE76</f>
        <v/>
      </c>
      <c r="ET76" s="274">
        <f>DI76</f>
        <v/>
      </c>
      <c r="EU76" s="274">
        <f>DK76</f>
        <v/>
      </c>
      <c r="EV76" s="274">
        <f>DM76</f>
        <v/>
      </c>
      <c r="EW76" s="274" t="n"/>
      <c r="EX76" s="274">
        <f>V76</f>
        <v/>
      </c>
      <c r="EY76" s="274">
        <f>X76</f>
        <v/>
      </c>
      <c r="EZ76" s="274">
        <f>AD76</f>
        <v/>
      </c>
      <c r="FA76" s="274">
        <f>AH76</f>
        <v/>
      </c>
      <c r="FB76" s="274">
        <f>"1"</f>
        <v/>
      </c>
      <c r="FC76" s="274">
        <f>BS76</f>
        <v/>
      </c>
      <c r="FD76" s="274">
        <f>BU76</f>
        <v/>
      </c>
      <c r="FE76" s="274">
        <f>CM76</f>
        <v/>
      </c>
      <c r="FF76" s="274">
        <f>DO76</f>
        <v/>
      </c>
      <c r="FG76" s="274">
        <f>DS76</f>
        <v/>
      </c>
      <c r="FH76" s="250" t="n"/>
      <c r="FI76" s="250" t="n"/>
      <c r="FJ76" s="250" t="n"/>
      <c r="FK76" s="250" t="n"/>
    </row>
    <row r="77">
      <c r="A77" s="250" t="n"/>
      <c r="B77" s="503" t="n"/>
      <c r="C77" s="485" t="n"/>
      <c r="D77" s="503" t="n"/>
      <c r="E77" s="485" t="n"/>
      <c r="F77" s="503" t="n"/>
      <c r="G77" s="485" t="n"/>
      <c r="H77" s="554" t="n"/>
      <c r="I77" s="484" t="n"/>
      <c r="J77" s="484" t="n"/>
      <c r="K77" s="485" t="n"/>
      <c r="L77" s="555">
        <f t="array" ref="L77">iferror(INDEX('ファントムマスター'!F:F,MATCH(H77,'ファントムマスター'!D:D,0),0),"none")</f>
        <v/>
      </c>
      <c r="M77" s="484" t="n"/>
      <c r="N77" s="484" t="n"/>
      <c r="O77" s="485" t="n"/>
      <c r="P77" s="555">
        <f t="array" ref="P77">iferror(INDEX('ファントムマスター'!H:H,MATCH(H77,'ファントムマスター'!D:D,0),0),"none")</f>
        <v/>
      </c>
      <c r="Q77" s="485" t="n"/>
      <c r="R77" s="556">
        <f>iferror(INDEX('ファントムマスター'!J:J,MATCH(H77,'ファントムマスター'!D:D,0),0),"none")</f>
        <v/>
      </c>
      <c r="S77" s="485" t="n"/>
      <c r="T77" s="555">
        <f t="array" ref="T77">iferror(INDEX('ファントムマスター'!I:I,MATCH(H77,'ファントムマスター'!D:D,0),0),"none")</f>
        <v/>
      </c>
      <c r="U77" s="485" t="n"/>
      <c r="V77" s="503" t="inlineStr">
        <is>
          <t>Default</t>
        </is>
      </c>
      <c r="W77" s="485" t="n"/>
      <c r="X77" s="503" t="inlineStr">
        <is>
          <t>Normal</t>
        </is>
      </c>
      <c r="Y77" s="485" t="n"/>
      <c r="Z77" s="503" t="n"/>
      <c r="AA77" s="485" t="n"/>
      <c r="AB77" s="557">
        <f t="array" ref="AB77">iferror(INDEX('ファントムマスター'!K:K,MATCH(H77,'ファントムマスター'!D:D,0),0)*AD77,"none")</f>
        <v/>
      </c>
      <c r="AC77" s="485" t="n"/>
      <c r="AD77" s="503" t="n">
        <v>1</v>
      </c>
      <c r="AE77" s="485" t="n"/>
      <c r="AF77" s="557">
        <f t="array" ref="AF77">iferror(INDEX('ファントムマスター'!O:O,MATCH(H77,'ファントムマスター'!D:D,0),0)*AH77,"none")</f>
        <v/>
      </c>
      <c r="AG77" s="485" t="n"/>
      <c r="AH77" s="503" t="n">
        <v>1</v>
      </c>
      <c r="AI77" s="485" t="n"/>
      <c r="AJ77" s="558">
        <f t="array" ref="AJ77">iferror(right(INDEX('ファントムマスター'!T:T,MATCH(H77,'ファントムマスター'!D:D,0),0),4)*50,"none")</f>
        <v/>
      </c>
      <c r="AK77" s="485" t="n"/>
      <c r="AL77" s="558">
        <f t="array" ref="AL77">iferror(right(INDEX('ファントムマスター'!V:V,MATCH(H77,'ファントムマスター'!D:D,0),0),4),"none")</f>
        <v/>
      </c>
      <c r="AM77" s="485" t="n"/>
      <c r="AN77" s="559">
        <f>iferror(AF77*(50/(AJ77+AL77)),"攻撃力に数値を入力")</f>
        <v/>
      </c>
      <c r="AO77" s="485" t="n"/>
      <c r="AP77" s="523">
        <f t="array" ref="AP77">XLOOKUP(H77,'ファントムマスター'!D:D,'ファントムマスター'!AC:AC,"none")</f>
        <v/>
      </c>
      <c r="AQ77" s="484" t="n"/>
      <c r="AR77" s="484" t="n"/>
      <c r="AS77" s="485" t="n"/>
      <c r="AT77" s="560">
        <f t="array" ref="AT77">iferror(INDEX('ファントムマスター'!Y:Y,MATCH(H77,'ファントムマスター'!D:D,0),0),"none")</f>
        <v/>
      </c>
      <c r="AU77" s="484" t="n"/>
      <c r="AV77" s="484" t="n"/>
      <c r="AW77" s="484" t="n"/>
      <c r="AX77" s="485" t="n"/>
      <c r="AY77" s="561">
        <f t="array" ref="AY77">iferror(INDEX('ファントムマスター'!Z:Z,MATCH(H77,'ファントムマスター'!D:D,0),0),"none")</f>
        <v/>
      </c>
      <c r="AZ77" s="485" t="n"/>
      <c r="BA77" s="561">
        <f t="array" ref="BA77">iferror(INDEX('ファントムマスター'!W:W,MATCH(H77,'ファントムマスター'!D:D,0),0)*50,"none")</f>
        <v/>
      </c>
      <c r="BB77" s="485" t="n"/>
      <c r="BC77" s="555">
        <f t="array" ref="BC77">iferror(INDEX('ファントムマスター'!AA:AA,MATCH(H77,'ファントムマスター'!D:D,0),0),"none")</f>
        <v/>
      </c>
      <c r="BD77" s="485" t="n"/>
      <c r="BE77" s="557">
        <f t="array" ref="BE77">iferror(INDEX('ファントムマスター'!M:M,MATCH(H77,'ファントムマスター'!D:D,0),0),"none")</f>
        <v/>
      </c>
      <c r="BF77" s="485" t="n"/>
      <c r="BG77" s="557">
        <f t="array" ref="BG77">iferror(INDEX('ファントムマスター'!N:N,MATCH(H77,'ファントムマスター'!D:D,0),0),"none")</f>
        <v/>
      </c>
      <c r="BH77" s="485" t="n"/>
      <c r="BI77" s="557">
        <f t="array" ref="BI77">iferror(INDEX('ファントムマスター'!P:P,MATCH(H77,'ファントムマスター'!D:D,0),0),"none")</f>
        <v/>
      </c>
      <c r="BJ77" s="485" t="n"/>
      <c r="BK77" s="557">
        <f t="array" ref="BK77">iferror(INDEX('ファントムマスター'!Q:Q,MATCH(H77,'ファントムマスター'!D:D,0),0),"none")</f>
        <v/>
      </c>
      <c r="BL77" s="485" t="n"/>
      <c r="BM77" s="542">
        <f t="array" ref="BM77">iferror(INDEX('ファントムマスター'!R:R,MATCH(H77,'ファントムマスター'!D:D,0),0),"none")</f>
        <v/>
      </c>
      <c r="BN77" s="485" t="n"/>
      <c r="BO77" s="557">
        <f t="array" ref="BO77">iferror(INDEX('ファントムマスター'!L:L,MATCH(H77,'ファントムマスター'!D:D,0),0),"none")</f>
        <v/>
      </c>
      <c r="BP77" s="485" t="n"/>
      <c r="BQ77" s="557">
        <f t="array" ref="BQ77">iferror(INDEX('ファントムマスター'!S:S,MATCH(H77,'ファントムマスター'!D:D,0),0),"none")</f>
        <v/>
      </c>
      <c r="BR77" s="485" t="n"/>
      <c r="BS77" s="503" t="n"/>
      <c r="BT77" s="485" t="n"/>
      <c r="BU77" s="503" t="n"/>
      <c r="BV77" s="485" t="n"/>
      <c r="BW77" s="503" t="n"/>
      <c r="BX77" s="485" t="n"/>
      <c r="BY77" s="17" t="n"/>
      <c r="BZ77" s="485" t="n"/>
      <c r="CA77" s="503" t="n"/>
      <c r="CB77" s="485" t="n"/>
      <c r="CC77" s="503" t="inlineStr">
        <is>
          <t>未入力</t>
        </is>
      </c>
      <c r="CD77" s="484" t="n"/>
      <c r="CE77" s="484" t="n"/>
      <c r="CF77" s="485" t="n"/>
      <c r="CG77" s="562" t="n"/>
      <c r="CH77" s="485" t="n"/>
      <c r="CI77" s="562" t="n"/>
      <c r="CJ77" s="485" t="n"/>
      <c r="CK77" s="562" t="n"/>
      <c r="CL77" s="485" t="n"/>
      <c r="CM77" s="562" t="n"/>
      <c r="CN77" s="485" t="n"/>
      <c r="CO77" s="562" t="inlineStr">
        <is>
          <t>None</t>
        </is>
      </c>
      <c r="CP77" s="485" t="n"/>
      <c r="CQ77" s="503" t="n"/>
      <c r="CR77" s="485" t="n"/>
      <c r="CS77" s="503" t="inlineStr">
        <is>
          <t>None</t>
        </is>
      </c>
      <c r="CT77" s="484" t="n"/>
      <c r="CU77" s="484" t="n"/>
      <c r="CV77" s="485" t="n"/>
      <c r="CW77" s="562" t="n"/>
      <c r="CX77" s="485" t="n"/>
      <c r="CY77" s="503" t="inlineStr">
        <is>
          <t>None</t>
        </is>
      </c>
      <c r="CZ77" s="484" t="n"/>
      <c r="DA77" s="484" t="n"/>
      <c r="DB77" s="485" t="n"/>
      <c r="DC77" s="562" t="n"/>
      <c r="DD77" s="485" t="n"/>
      <c r="DE77" s="503" t="inlineStr">
        <is>
          <t>None</t>
        </is>
      </c>
      <c r="DF77" s="484" t="n"/>
      <c r="DG77" s="484" t="n"/>
      <c r="DH77" s="485" t="n"/>
      <c r="DI77" s="562" t="n"/>
      <c r="DJ77" s="485" t="n"/>
      <c r="DK77" s="562" t="n"/>
      <c r="DL77" s="485" t="n"/>
      <c r="DM77" s="562" t="b">
        <v>0</v>
      </c>
      <c r="DN77" s="485" t="n"/>
      <c r="DO77" s="535" t="inlineStr">
        <is>
          <t>None</t>
        </is>
      </c>
      <c r="DP77" s="484" t="n"/>
      <c r="DQ77" s="484" t="n"/>
      <c r="DR77" s="485" t="n"/>
      <c r="DS77" s="562" t="n"/>
      <c r="DT77" s="485" t="n"/>
      <c r="DU77" s="503" t="n"/>
      <c r="DV77" s="484" t="n"/>
      <c r="DW77" s="484" t="n"/>
      <c r="DX77" s="484" t="n"/>
      <c r="DY77" s="485" t="n"/>
      <c r="DZ77" s="250" t="n"/>
      <c r="EA77" s="160" t="n"/>
      <c r="EB77" s="250" t="n"/>
      <c r="EC77" s="249">
        <f>B77</f>
        <v/>
      </c>
      <c r="ED77" s="249">
        <f>D77</f>
        <v/>
      </c>
      <c r="EE77" s="249">
        <f>F77</f>
        <v/>
      </c>
      <c r="EF77" s="274">
        <f>CC77</f>
        <v/>
      </c>
      <c r="EG77" s="274">
        <f>CG77</f>
        <v/>
      </c>
      <c r="EH77" s="274">
        <f>if(iferror(LEFT(ED77,LEN(ED77)-2),"SummonEnemy")="groupchange","SwitchSequenceGroup","SummonEnemy")</f>
        <v/>
      </c>
      <c r="EI77" s="274">
        <f>H77</f>
        <v/>
      </c>
      <c r="EJ77" s="274" t="n"/>
      <c r="EK77" s="274">
        <f>CK77</f>
        <v/>
      </c>
      <c r="EL77" s="274">
        <f>CI77</f>
        <v/>
      </c>
      <c r="EM77" s="274">
        <f>CO77</f>
        <v/>
      </c>
      <c r="EN77" s="274">
        <f>CQ77</f>
        <v/>
      </c>
      <c r="EO77" s="274">
        <f>CS77</f>
        <v/>
      </c>
      <c r="EP77" s="274">
        <f>CW77</f>
        <v/>
      </c>
      <c r="EQ77" s="274">
        <f>CY77</f>
        <v/>
      </c>
      <c r="ER77" s="274">
        <f>DC77</f>
        <v/>
      </c>
      <c r="ES77" s="274">
        <f>DE77</f>
        <v/>
      </c>
      <c r="ET77" s="274">
        <f>DI77</f>
        <v/>
      </c>
      <c r="EU77" s="274">
        <f>DK77</f>
        <v/>
      </c>
      <c r="EV77" s="274">
        <f>DM77</f>
        <v/>
      </c>
      <c r="EW77" s="274" t="n"/>
      <c r="EX77" s="274">
        <f>V77</f>
        <v/>
      </c>
      <c r="EY77" s="274">
        <f>X77</f>
        <v/>
      </c>
      <c r="EZ77" s="274">
        <f>AD77</f>
        <v/>
      </c>
      <c r="FA77" s="274">
        <f>AH77</f>
        <v/>
      </c>
      <c r="FB77" s="274">
        <f>"1"</f>
        <v/>
      </c>
      <c r="FC77" s="274">
        <f>BS77</f>
        <v/>
      </c>
      <c r="FD77" s="274">
        <f>BU77</f>
        <v/>
      </c>
      <c r="FE77" s="274">
        <f>CM77</f>
        <v/>
      </c>
      <c r="FF77" s="274">
        <f>DO77</f>
        <v/>
      </c>
      <c r="FG77" s="274">
        <f>DS77</f>
        <v/>
      </c>
      <c r="FH77" s="250" t="n"/>
      <c r="FI77" s="250" t="n"/>
      <c r="FJ77" s="250" t="n"/>
      <c r="FK77" s="250" t="n"/>
    </row>
    <row r="78">
      <c r="A78" s="250" t="n"/>
      <c r="B78" s="503" t="n"/>
      <c r="C78" s="485" t="n"/>
      <c r="D78" s="503" t="n"/>
      <c r="E78" s="485" t="n"/>
      <c r="F78" s="503" t="n"/>
      <c r="G78" s="485" t="n"/>
      <c r="H78" s="554" t="n"/>
      <c r="I78" s="484" t="n"/>
      <c r="J78" s="484" t="n"/>
      <c r="K78" s="485" t="n"/>
      <c r="L78" s="555">
        <f t="array" ref="L78">iferror(INDEX('ファントムマスター'!F:F,MATCH(H78,'ファントムマスター'!D:D,0),0),"none")</f>
        <v/>
      </c>
      <c r="M78" s="484" t="n"/>
      <c r="N78" s="484" t="n"/>
      <c r="O78" s="485" t="n"/>
      <c r="P78" s="555">
        <f t="array" ref="P78">iferror(INDEX('ファントムマスター'!H:H,MATCH(H78,'ファントムマスター'!D:D,0),0),"none")</f>
        <v/>
      </c>
      <c r="Q78" s="485" t="n"/>
      <c r="R78" s="556">
        <f>iferror(INDEX('ファントムマスター'!J:J,MATCH(H78,'ファントムマスター'!D:D,0),0),"none")</f>
        <v/>
      </c>
      <c r="S78" s="485" t="n"/>
      <c r="T78" s="555">
        <f t="array" ref="T78">iferror(INDEX('ファントムマスター'!I:I,MATCH(H78,'ファントムマスター'!D:D,0),0),"none")</f>
        <v/>
      </c>
      <c r="U78" s="485" t="n"/>
      <c r="V78" s="503" t="inlineStr">
        <is>
          <t>Default</t>
        </is>
      </c>
      <c r="W78" s="485" t="n"/>
      <c r="X78" s="503" t="inlineStr">
        <is>
          <t>Normal</t>
        </is>
      </c>
      <c r="Y78" s="485" t="n"/>
      <c r="Z78" s="503" t="n"/>
      <c r="AA78" s="485" t="n"/>
      <c r="AB78" s="557">
        <f t="array" ref="AB78">iferror(INDEX('ファントムマスター'!K:K,MATCH(H78,'ファントムマスター'!D:D,0),0)*AD78,"none")</f>
        <v/>
      </c>
      <c r="AC78" s="485" t="n"/>
      <c r="AD78" s="503" t="n">
        <v>1</v>
      </c>
      <c r="AE78" s="485" t="n"/>
      <c r="AF78" s="557">
        <f t="array" ref="AF78">iferror(INDEX('ファントムマスター'!O:O,MATCH(H78,'ファントムマスター'!D:D,0),0)*AH78,"none")</f>
        <v/>
      </c>
      <c r="AG78" s="485" t="n"/>
      <c r="AH78" s="503" t="n">
        <v>1</v>
      </c>
      <c r="AI78" s="485" t="n"/>
      <c r="AJ78" s="558">
        <f t="array" ref="AJ78">iferror(right(INDEX('ファントムマスター'!T:T,MATCH(H78,'ファントムマスター'!D:D,0),0),4)*50,"none")</f>
        <v/>
      </c>
      <c r="AK78" s="485" t="n"/>
      <c r="AL78" s="558">
        <f t="array" ref="AL78">iferror(right(INDEX('ファントムマスター'!V:V,MATCH(H78,'ファントムマスター'!D:D,0),0),4),"none")</f>
        <v/>
      </c>
      <c r="AM78" s="485" t="n"/>
      <c r="AN78" s="559">
        <f>iferror(AF78*(50/(AJ78+AL78)),"攻撃力に数値を入力")</f>
        <v/>
      </c>
      <c r="AO78" s="485" t="n"/>
      <c r="AP78" s="523">
        <f t="array" ref="AP78">XLOOKUP(H78,'ファントムマスター'!D:D,'ファントムマスター'!AC:AC,"none")</f>
        <v/>
      </c>
      <c r="AQ78" s="484" t="n"/>
      <c r="AR78" s="484" t="n"/>
      <c r="AS78" s="485" t="n"/>
      <c r="AT78" s="560">
        <f t="array" ref="AT78">iferror(INDEX('ファントムマスター'!Y:Y,MATCH(H78,'ファントムマスター'!D:D,0),0),"none")</f>
        <v/>
      </c>
      <c r="AU78" s="484" t="n"/>
      <c r="AV78" s="484" t="n"/>
      <c r="AW78" s="484" t="n"/>
      <c r="AX78" s="485" t="n"/>
      <c r="AY78" s="561">
        <f t="array" ref="AY78">iferror(INDEX('ファントムマスター'!Z:Z,MATCH(H78,'ファントムマスター'!D:D,0),0),"none")</f>
        <v/>
      </c>
      <c r="AZ78" s="485" t="n"/>
      <c r="BA78" s="561">
        <f t="array" ref="BA78">iferror(INDEX('ファントムマスター'!W:W,MATCH(H78,'ファントムマスター'!D:D,0),0)*50,"none")</f>
        <v/>
      </c>
      <c r="BB78" s="485" t="n"/>
      <c r="BC78" s="555">
        <f t="array" ref="BC78">iferror(INDEX('ファントムマスター'!AA:AA,MATCH(H78,'ファントムマスター'!D:D,0),0),"none")</f>
        <v/>
      </c>
      <c r="BD78" s="485" t="n"/>
      <c r="BE78" s="557">
        <f t="array" ref="BE78">iferror(INDEX('ファントムマスター'!M:M,MATCH(H78,'ファントムマスター'!D:D,0),0),"none")</f>
        <v/>
      </c>
      <c r="BF78" s="485" t="n"/>
      <c r="BG78" s="557">
        <f t="array" ref="BG78">iferror(INDEX('ファントムマスター'!N:N,MATCH(H78,'ファントムマスター'!D:D,0),0),"none")</f>
        <v/>
      </c>
      <c r="BH78" s="485" t="n"/>
      <c r="BI78" s="557">
        <f t="array" ref="BI78">iferror(INDEX('ファントムマスター'!P:P,MATCH(H78,'ファントムマスター'!D:D,0),0),"none")</f>
        <v/>
      </c>
      <c r="BJ78" s="485" t="n"/>
      <c r="BK78" s="557">
        <f t="array" ref="BK78">iferror(INDEX('ファントムマスター'!Q:Q,MATCH(H78,'ファントムマスター'!D:D,0),0),"none")</f>
        <v/>
      </c>
      <c r="BL78" s="485" t="n"/>
      <c r="BM78" s="542">
        <f t="array" ref="BM78">iferror(INDEX('ファントムマスター'!R:R,MATCH(H78,'ファントムマスター'!D:D,0),0),"none")</f>
        <v/>
      </c>
      <c r="BN78" s="485" t="n"/>
      <c r="BO78" s="557">
        <f t="array" ref="BO78">iferror(INDEX('ファントムマスター'!L:L,MATCH(H78,'ファントムマスター'!D:D,0),0),"none")</f>
        <v/>
      </c>
      <c r="BP78" s="485" t="n"/>
      <c r="BQ78" s="557">
        <f t="array" ref="BQ78">iferror(INDEX('ファントムマスター'!S:S,MATCH(H78,'ファントムマスター'!D:D,0),0),"none")</f>
        <v/>
      </c>
      <c r="BR78" s="485" t="n"/>
      <c r="BS78" s="503" t="n"/>
      <c r="BT78" s="485" t="n"/>
      <c r="BU78" s="503" t="n"/>
      <c r="BV78" s="485" t="n"/>
      <c r="BW78" s="503" t="n"/>
      <c r="BX78" s="485" t="n"/>
      <c r="BY78" s="17" t="n"/>
      <c r="BZ78" s="485" t="n"/>
      <c r="CA78" s="503" t="n"/>
      <c r="CB78" s="485" t="n"/>
      <c r="CC78" s="503" t="inlineStr">
        <is>
          <t>未入力</t>
        </is>
      </c>
      <c r="CD78" s="484" t="n"/>
      <c r="CE78" s="484" t="n"/>
      <c r="CF78" s="485" t="n"/>
      <c r="CG78" s="562" t="n"/>
      <c r="CH78" s="485" t="n"/>
      <c r="CI78" s="562" t="n"/>
      <c r="CJ78" s="485" t="n"/>
      <c r="CK78" s="562" t="n"/>
      <c r="CL78" s="485" t="n"/>
      <c r="CM78" s="562" t="n"/>
      <c r="CN78" s="485" t="n"/>
      <c r="CO78" s="562" t="inlineStr">
        <is>
          <t>None</t>
        </is>
      </c>
      <c r="CP78" s="485" t="n"/>
      <c r="CQ78" s="503" t="n"/>
      <c r="CR78" s="485" t="n"/>
      <c r="CS78" s="503" t="inlineStr">
        <is>
          <t>None</t>
        </is>
      </c>
      <c r="CT78" s="484" t="n"/>
      <c r="CU78" s="484" t="n"/>
      <c r="CV78" s="485" t="n"/>
      <c r="CW78" s="562" t="n"/>
      <c r="CX78" s="485" t="n"/>
      <c r="CY78" s="503" t="inlineStr">
        <is>
          <t>None</t>
        </is>
      </c>
      <c r="CZ78" s="484" t="n"/>
      <c r="DA78" s="484" t="n"/>
      <c r="DB78" s="485" t="n"/>
      <c r="DC78" s="562" t="n"/>
      <c r="DD78" s="485" t="n"/>
      <c r="DE78" s="503" t="inlineStr">
        <is>
          <t>None</t>
        </is>
      </c>
      <c r="DF78" s="484" t="n"/>
      <c r="DG78" s="484" t="n"/>
      <c r="DH78" s="485" t="n"/>
      <c r="DI78" s="562" t="n"/>
      <c r="DJ78" s="485" t="n"/>
      <c r="DK78" s="562" t="n"/>
      <c r="DL78" s="485" t="n"/>
      <c r="DM78" s="562" t="b">
        <v>0</v>
      </c>
      <c r="DN78" s="485" t="n"/>
      <c r="DO78" s="535" t="inlineStr">
        <is>
          <t>None</t>
        </is>
      </c>
      <c r="DP78" s="484" t="n"/>
      <c r="DQ78" s="484" t="n"/>
      <c r="DR78" s="485" t="n"/>
      <c r="DS78" s="562" t="n"/>
      <c r="DT78" s="485" t="n"/>
      <c r="DU78" s="503" t="n"/>
      <c r="DV78" s="484" t="n"/>
      <c r="DW78" s="484" t="n"/>
      <c r="DX78" s="484" t="n"/>
      <c r="DY78" s="485" t="n"/>
      <c r="DZ78" s="250" t="n"/>
      <c r="EA78" s="160" t="n"/>
      <c r="EB78" s="250" t="n"/>
      <c r="EC78" s="249">
        <f>B78</f>
        <v/>
      </c>
      <c r="ED78" s="249">
        <f>D78</f>
        <v/>
      </c>
      <c r="EE78" s="249">
        <f>F78</f>
        <v/>
      </c>
      <c r="EF78" s="274">
        <f>CC78</f>
        <v/>
      </c>
      <c r="EG78" s="274">
        <f>CG78</f>
        <v/>
      </c>
      <c r="EH78" s="274">
        <f>if(iferror(LEFT(ED78,LEN(ED78)-2),"SummonEnemy")="groupchange","SwitchSequenceGroup","SummonEnemy")</f>
        <v/>
      </c>
      <c r="EI78" s="274">
        <f>H78</f>
        <v/>
      </c>
      <c r="EJ78" s="274" t="n"/>
      <c r="EK78" s="274">
        <f>CK78</f>
        <v/>
      </c>
      <c r="EL78" s="274">
        <f>CI78</f>
        <v/>
      </c>
      <c r="EM78" s="274">
        <f>CO78</f>
        <v/>
      </c>
      <c r="EN78" s="274">
        <f>CQ78</f>
        <v/>
      </c>
      <c r="EO78" s="274">
        <f>CS78</f>
        <v/>
      </c>
      <c r="EP78" s="274">
        <f>CW78</f>
        <v/>
      </c>
      <c r="EQ78" s="274">
        <f>CY78</f>
        <v/>
      </c>
      <c r="ER78" s="274">
        <f>DC78</f>
        <v/>
      </c>
      <c r="ES78" s="274">
        <f>DE78</f>
        <v/>
      </c>
      <c r="ET78" s="274">
        <f>DI78</f>
        <v/>
      </c>
      <c r="EU78" s="274">
        <f>DK78</f>
        <v/>
      </c>
      <c r="EV78" s="274">
        <f>DM78</f>
        <v/>
      </c>
      <c r="EW78" s="274" t="n"/>
      <c r="EX78" s="274">
        <f>V78</f>
        <v/>
      </c>
      <c r="EY78" s="274">
        <f>X78</f>
        <v/>
      </c>
      <c r="EZ78" s="274">
        <f>AD78</f>
        <v/>
      </c>
      <c r="FA78" s="274">
        <f>AH78</f>
        <v/>
      </c>
      <c r="FB78" s="274">
        <f>"1"</f>
        <v/>
      </c>
      <c r="FC78" s="274">
        <f>BS78</f>
        <v/>
      </c>
      <c r="FD78" s="274">
        <f>BU78</f>
        <v/>
      </c>
      <c r="FE78" s="274">
        <f>CM78</f>
        <v/>
      </c>
      <c r="FF78" s="274">
        <f>DO78</f>
        <v/>
      </c>
      <c r="FG78" s="274">
        <f>DS78</f>
        <v/>
      </c>
      <c r="FH78" s="250" t="n"/>
      <c r="FI78" s="250" t="n"/>
      <c r="FJ78" s="250" t="n"/>
      <c r="FK78" s="250" t="n"/>
    </row>
    <row r="79">
      <c r="A79" s="250" t="n"/>
      <c r="B79" s="503" t="n"/>
      <c r="C79" s="485" t="n"/>
      <c r="D79" s="503" t="n"/>
      <c r="E79" s="485" t="n"/>
      <c r="F79" s="503" t="n"/>
      <c r="G79" s="485" t="n"/>
      <c r="H79" s="554" t="n"/>
      <c r="I79" s="484" t="n"/>
      <c r="J79" s="484" t="n"/>
      <c r="K79" s="485" t="n"/>
      <c r="L79" s="555">
        <f t="array" ref="L79">iferror(INDEX('ファントムマスター'!F:F,MATCH(H79,'ファントムマスター'!D:D,0),0),"none")</f>
        <v/>
      </c>
      <c r="M79" s="484" t="n"/>
      <c r="N79" s="484" t="n"/>
      <c r="O79" s="485" t="n"/>
      <c r="P79" s="555">
        <f t="array" ref="P79">iferror(INDEX('ファントムマスター'!H:H,MATCH(H79,'ファントムマスター'!D:D,0),0),"none")</f>
        <v/>
      </c>
      <c r="Q79" s="485" t="n"/>
      <c r="R79" s="556">
        <f>iferror(INDEX('ファントムマスター'!J:J,MATCH(H79,'ファントムマスター'!D:D,0),0),"none")</f>
        <v/>
      </c>
      <c r="S79" s="485" t="n"/>
      <c r="T79" s="555">
        <f t="array" ref="T79">iferror(INDEX('ファントムマスター'!I:I,MATCH(H79,'ファントムマスター'!D:D,0),0),"none")</f>
        <v/>
      </c>
      <c r="U79" s="485" t="n"/>
      <c r="V79" s="503" t="inlineStr">
        <is>
          <t>Default</t>
        </is>
      </c>
      <c r="W79" s="485" t="n"/>
      <c r="X79" s="503" t="inlineStr">
        <is>
          <t>Normal</t>
        </is>
      </c>
      <c r="Y79" s="485" t="n"/>
      <c r="Z79" s="503" t="n"/>
      <c r="AA79" s="485" t="n"/>
      <c r="AB79" s="557">
        <f t="array" ref="AB79">iferror(INDEX('ファントムマスター'!K:K,MATCH(H79,'ファントムマスター'!D:D,0),0)*AD79,"none")</f>
        <v/>
      </c>
      <c r="AC79" s="485" t="n"/>
      <c r="AD79" s="503" t="n">
        <v>1</v>
      </c>
      <c r="AE79" s="485" t="n"/>
      <c r="AF79" s="557">
        <f t="array" ref="AF79">iferror(INDEX('ファントムマスター'!O:O,MATCH(H79,'ファントムマスター'!D:D,0),0)*AH79,"none")</f>
        <v/>
      </c>
      <c r="AG79" s="485" t="n"/>
      <c r="AH79" s="503" t="n">
        <v>1</v>
      </c>
      <c r="AI79" s="485" t="n"/>
      <c r="AJ79" s="558">
        <f t="array" ref="AJ79">iferror(right(INDEX('ファントムマスター'!T:T,MATCH(H79,'ファントムマスター'!D:D,0),0),4)*50,"none")</f>
        <v/>
      </c>
      <c r="AK79" s="485" t="n"/>
      <c r="AL79" s="558">
        <f t="array" ref="AL79">iferror(right(INDEX('ファントムマスター'!V:V,MATCH(H79,'ファントムマスター'!D:D,0),0),4),"none")</f>
        <v/>
      </c>
      <c r="AM79" s="485" t="n"/>
      <c r="AN79" s="559">
        <f>iferror(AF79*(50/(AJ79+AL79)),"攻撃力に数値を入力")</f>
        <v/>
      </c>
      <c r="AO79" s="485" t="n"/>
      <c r="AP79" s="523">
        <f t="array" ref="AP79">XLOOKUP(H79,'ファントムマスター'!D:D,'ファントムマスター'!AC:AC,"none")</f>
        <v/>
      </c>
      <c r="AQ79" s="484" t="n"/>
      <c r="AR79" s="484" t="n"/>
      <c r="AS79" s="485" t="n"/>
      <c r="AT79" s="560">
        <f t="array" ref="AT79">iferror(INDEX('ファントムマスター'!Y:Y,MATCH(H79,'ファントムマスター'!D:D,0),0),"none")</f>
        <v/>
      </c>
      <c r="AU79" s="484" t="n"/>
      <c r="AV79" s="484" t="n"/>
      <c r="AW79" s="484" t="n"/>
      <c r="AX79" s="485" t="n"/>
      <c r="AY79" s="561">
        <f t="array" ref="AY79">iferror(INDEX('ファントムマスター'!Z:Z,MATCH(H79,'ファントムマスター'!D:D,0),0),"none")</f>
        <v/>
      </c>
      <c r="AZ79" s="485" t="n"/>
      <c r="BA79" s="561">
        <f t="array" ref="BA79">iferror(INDEX('ファントムマスター'!W:W,MATCH(H79,'ファントムマスター'!D:D,0),0)*50,"none")</f>
        <v/>
      </c>
      <c r="BB79" s="485" t="n"/>
      <c r="BC79" s="555">
        <f t="array" ref="BC79">iferror(INDEX('ファントムマスター'!AA:AA,MATCH(H79,'ファントムマスター'!D:D,0),0),"none")</f>
        <v/>
      </c>
      <c r="BD79" s="485" t="n"/>
      <c r="BE79" s="557">
        <f t="array" ref="BE79">iferror(INDEX('ファントムマスター'!M:M,MATCH(H79,'ファントムマスター'!D:D,0),0),"none")</f>
        <v/>
      </c>
      <c r="BF79" s="485" t="n"/>
      <c r="BG79" s="557">
        <f t="array" ref="BG79">iferror(INDEX('ファントムマスター'!N:N,MATCH(H79,'ファントムマスター'!D:D,0),0),"none")</f>
        <v/>
      </c>
      <c r="BH79" s="485" t="n"/>
      <c r="BI79" s="557">
        <f t="array" ref="BI79">iferror(INDEX('ファントムマスター'!P:P,MATCH(H79,'ファントムマスター'!D:D,0),0),"none")</f>
        <v/>
      </c>
      <c r="BJ79" s="485" t="n"/>
      <c r="BK79" s="557">
        <f t="array" ref="BK79">iferror(INDEX('ファントムマスター'!Q:Q,MATCH(H79,'ファントムマスター'!D:D,0),0),"none")</f>
        <v/>
      </c>
      <c r="BL79" s="485" t="n"/>
      <c r="BM79" s="542">
        <f t="array" ref="BM79">iferror(INDEX('ファントムマスター'!R:R,MATCH(H79,'ファントムマスター'!D:D,0),0),"none")</f>
        <v/>
      </c>
      <c r="BN79" s="485" t="n"/>
      <c r="BO79" s="557">
        <f t="array" ref="BO79">iferror(INDEX('ファントムマスター'!L:L,MATCH(H79,'ファントムマスター'!D:D,0),0),"none")</f>
        <v/>
      </c>
      <c r="BP79" s="485" t="n"/>
      <c r="BQ79" s="557">
        <f t="array" ref="BQ79">iferror(INDEX('ファントムマスター'!S:S,MATCH(H79,'ファントムマスター'!D:D,0),0),"none")</f>
        <v/>
      </c>
      <c r="BR79" s="485" t="n"/>
      <c r="BS79" s="503" t="n"/>
      <c r="BT79" s="485" t="n"/>
      <c r="BU79" s="503" t="n"/>
      <c r="BV79" s="485" t="n"/>
      <c r="BW79" s="503" t="n"/>
      <c r="BX79" s="485" t="n"/>
      <c r="BY79" s="17" t="n"/>
      <c r="BZ79" s="485" t="n"/>
      <c r="CA79" s="503" t="n"/>
      <c r="CB79" s="485" t="n"/>
      <c r="CC79" s="503" t="inlineStr">
        <is>
          <t>未入力</t>
        </is>
      </c>
      <c r="CD79" s="484" t="n"/>
      <c r="CE79" s="484" t="n"/>
      <c r="CF79" s="485" t="n"/>
      <c r="CG79" s="562" t="n"/>
      <c r="CH79" s="485" t="n"/>
      <c r="CI79" s="562" t="n"/>
      <c r="CJ79" s="485" t="n"/>
      <c r="CK79" s="562" t="n"/>
      <c r="CL79" s="485" t="n"/>
      <c r="CM79" s="562" t="n"/>
      <c r="CN79" s="485" t="n"/>
      <c r="CO79" s="562" t="inlineStr">
        <is>
          <t>None</t>
        </is>
      </c>
      <c r="CP79" s="485" t="n"/>
      <c r="CQ79" s="503" t="n"/>
      <c r="CR79" s="485" t="n"/>
      <c r="CS79" s="503" t="inlineStr">
        <is>
          <t>None</t>
        </is>
      </c>
      <c r="CT79" s="484" t="n"/>
      <c r="CU79" s="484" t="n"/>
      <c r="CV79" s="485" t="n"/>
      <c r="CW79" s="562" t="n"/>
      <c r="CX79" s="485" t="n"/>
      <c r="CY79" s="503" t="inlineStr">
        <is>
          <t>None</t>
        </is>
      </c>
      <c r="CZ79" s="484" t="n"/>
      <c r="DA79" s="484" t="n"/>
      <c r="DB79" s="485" t="n"/>
      <c r="DC79" s="562" t="n"/>
      <c r="DD79" s="485" t="n"/>
      <c r="DE79" s="503" t="inlineStr">
        <is>
          <t>None</t>
        </is>
      </c>
      <c r="DF79" s="484" t="n"/>
      <c r="DG79" s="484" t="n"/>
      <c r="DH79" s="485" t="n"/>
      <c r="DI79" s="562" t="n"/>
      <c r="DJ79" s="485" t="n"/>
      <c r="DK79" s="562" t="n"/>
      <c r="DL79" s="485" t="n"/>
      <c r="DM79" s="562" t="b">
        <v>0</v>
      </c>
      <c r="DN79" s="485" t="n"/>
      <c r="DO79" s="535" t="inlineStr">
        <is>
          <t>None</t>
        </is>
      </c>
      <c r="DP79" s="484" t="n"/>
      <c r="DQ79" s="484" t="n"/>
      <c r="DR79" s="485" t="n"/>
      <c r="DS79" s="562" t="n"/>
      <c r="DT79" s="485" t="n"/>
      <c r="DU79" s="503" t="n"/>
      <c r="DV79" s="484" t="n"/>
      <c r="DW79" s="484" t="n"/>
      <c r="DX79" s="484" t="n"/>
      <c r="DY79" s="485" t="n"/>
      <c r="DZ79" s="250" t="n"/>
      <c r="EA79" s="160" t="n"/>
      <c r="EB79" s="250" t="n"/>
      <c r="EC79" s="249">
        <f>B79</f>
        <v/>
      </c>
      <c r="ED79" s="249">
        <f>D79</f>
        <v/>
      </c>
      <c r="EE79" s="249">
        <f>F79</f>
        <v/>
      </c>
      <c r="EF79" s="274">
        <f>CC79</f>
        <v/>
      </c>
      <c r="EG79" s="274">
        <f>CG79</f>
        <v/>
      </c>
      <c r="EH79" s="274">
        <f>if(iferror(LEFT(ED79,LEN(ED79)-2),"SummonEnemy")="groupchange","SwitchSequenceGroup","SummonEnemy")</f>
        <v/>
      </c>
      <c r="EI79" s="274">
        <f>H79</f>
        <v/>
      </c>
      <c r="EJ79" s="274" t="n"/>
      <c r="EK79" s="274">
        <f>CK79</f>
        <v/>
      </c>
      <c r="EL79" s="274">
        <f>CI79</f>
        <v/>
      </c>
      <c r="EM79" s="274">
        <f>CO79</f>
        <v/>
      </c>
      <c r="EN79" s="274">
        <f>CQ79</f>
        <v/>
      </c>
      <c r="EO79" s="274">
        <f>CS79</f>
        <v/>
      </c>
      <c r="EP79" s="274">
        <f>CW79</f>
        <v/>
      </c>
      <c r="EQ79" s="274">
        <f>CY79</f>
        <v/>
      </c>
      <c r="ER79" s="274">
        <f>DC79</f>
        <v/>
      </c>
      <c r="ES79" s="274">
        <f>DE79</f>
        <v/>
      </c>
      <c r="ET79" s="274">
        <f>DI79</f>
        <v/>
      </c>
      <c r="EU79" s="274">
        <f>DK79</f>
        <v/>
      </c>
      <c r="EV79" s="274">
        <f>DM79</f>
        <v/>
      </c>
      <c r="EW79" s="274" t="n"/>
      <c r="EX79" s="274">
        <f>V79</f>
        <v/>
      </c>
      <c r="EY79" s="274">
        <f>X79</f>
        <v/>
      </c>
      <c r="EZ79" s="274">
        <f>AD79</f>
        <v/>
      </c>
      <c r="FA79" s="274">
        <f>AH79</f>
        <v/>
      </c>
      <c r="FB79" s="274">
        <f>"1"</f>
        <v/>
      </c>
      <c r="FC79" s="274">
        <f>BS79</f>
        <v/>
      </c>
      <c r="FD79" s="274">
        <f>BU79</f>
        <v/>
      </c>
      <c r="FE79" s="274">
        <f>CM79</f>
        <v/>
      </c>
      <c r="FF79" s="274">
        <f>DO79</f>
        <v/>
      </c>
      <c r="FG79" s="274">
        <f>DS79</f>
        <v/>
      </c>
      <c r="FH79" s="250" t="n"/>
      <c r="FI79" s="250" t="n"/>
      <c r="FJ79" s="250" t="n"/>
      <c r="FK79" s="250" t="n"/>
    </row>
    <row r="80">
      <c r="A80" s="250" t="n"/>
      <c r="B80" s="503" t="n"/>
      <c r="C80" s="485" t="n"/>
      <c r="D80" s="503" t="n"/>
      <c r="E80" s="485" t="n"/>
      <c r="F80" s="503" t="n"/>
      <c r="G80" s="485" t="n"/>
      <c r="H80" s="554" t="n"/>
      <c r="I80" s="484" t="n"/>
      <c r="J80" s="484" t="n"/>
      <c r="K80" s="485" t="n"/>
      <c r="L80" s="555">
        <f t="array" ref="L80">iferror(INDEX('ファントムマスター'!F:F,MATCH(H80,'ファントムマスター'!D:D,0),0),"none")</f>
        <v/>
      </c>
      <c r="M80" s="484" t="n"/>
      <c r="N80" s="484" t="n"/>
      <c r="O80" s="485" t="n"/>
      <c r="P80" s="555">
        <f t="array" ref="P80">iferror(INDEX('ファントムマスター'!H:H,MATCH(H80,'ファントムマスター'!D:D,0),0),"none")</f>
        <v/>
      </c>
      <c r="Q80" s="485" t="n"/>
      <c r="R80" s="556">
        <f>iferror(INDEX('ファントムマスター'!J:J,MATCH(H80,'ファントムマスター'!D:D,0),0),"none")</f>
        <v/>
      </c>
      <c r="S80" s="485" t="n"/>
      <c r="T80" s="555">
        <f t="array" ref="T80">iferror(INDEX('ファントムマスター'!I:I,MATCH(H80,'ファントムマスター'!D:D,0),0),"none")</f>
        <v/>
      </c>
      <c r="U80" s="485" t="n"/>
      <c r="V80" s="503" t="inlineStr">
        <is>
          <t>Default</t>
        </is>
      </c>
      <c r="W80" s="485" t="n"/>
      <c r="X80" s="503" t="inlineStr">
        <is>
          <t>Normal</t>
        </is>
      </c>
      <c r="Y80" s="485" t="n"/>
      <c r="Z80" s="503" t="n"/>
      <c r="AA80" s="485" t="n"/>
      <c r="AB80" s="557">
        <f t="array" ref="AB80">iferror(INDEX('ファントムマスター'!K:K,MATCH(H80,'ファントムマスター'!D:D,0),0)*AD80,"none")</f>
        <v/>
      </c>
      <c r="AC80" s="485" t="n"/>
      <c r="AD80" s="503" t="n">
        <v>1</v>
      </c>
      <c r="AE80" s="485" t="n"/>
      <c r="AF80" s="557">
        <f t="array" ref="AF80">iferror(INDEX('ファントムマスター'!O:O,MATCH(H80,'ファントムマスター'!D:D,0),0)*AH80,"none")</f>
        <v/>
      </c>
      <c r="AG80" s="485" t="n"/>
      <c r="AH80" s="503" t="n">
        <v>1</v>
      </c>
      <c r="AI80" s="485" t="n"/>
      <c r="AJ80" s="558">
        <f t="array" ref="AJ80">iferror(right(INDEX('ファントムマスター'!T:T,MATCH(H80,'ファントムマスター'!D:D,0),0),4)*50,"none")</f>
        <v/>
      </c>
      <c r="AK80" s="485" t="n"/>
      <c r="AL80" s="558">
        <f t="array" ref="AL80">iferror(right(INDEX('ファントムマスター'!V:V,MATCH(H80,'ファントムマスター'!D:D,0),0),4),"none")</f>
        <v/>
      </c>
      <c r="AM80" s="485" t="n"/>
      <c r="AN80" s="559">
        <f>iferror(AF80*(50/(AJ80+AL80)),"攻撃力に数値を入力")</f>
        <v/>
      </c>
      <c r="AO80" s="485" t="n"/>
      <c r="AP80" s="523">
        <f t="array" ref="AP80">XLOOKUP(H80,'ファントムマスター'!D:D,'ファントムマスター'!AC:AC,"none")</f>
        <v/>
      </c>
      <c r="AQ80" s="484" t="n"/>
      <c r="AR80" s="484" t="n"/>
      <c r="AS80" s="485" t="n"/>
      <c r="AT80" s="560">
        <f t="array" ref="AT80">iferror(INDEX('ファントムマスター'!Y:Y,MATCH(H80,'ファントムマスター'!D:D,0),0),"none")</f>
        <v/>
      </c>
      <c r="AU80" s="484" t="n"/>
      <c r="AV80" s="484" t="n"/>
      <c r="AW80" s="484" t="n"/>
      <c r="AX80" s="485" t="n"/>
      <c r="AY80" s="561">
        <f t="array" ref="AY80">iferror(INDEX('ファントムマスター'!Z:Z,MATCH(H80,'ファントムマスター'!D:D,0),0),"none")</f>
        <v/>
      </c>
      <c r="AZ80" s="485" t="n"/>
      <c r="BA80" s="561">
        <f t="array" ref="BA80">iferror(INDEX('ファントムマスター'!W:W,MATCH(H80,'ファントムマスター'!D:D,0),0)*50,"none")</f>
        <v/>
      </c>
      <c r="BB80" s="485" t="n"/>
      <c r="BC80" s="555">
        <f t="array" ref="BC80">iferror(INDEX('ファントムマスター'!AA:AA,MATCH(H80,'ファントムマスター'!D:D,0),0),"none")</f>
        <v/>
      </c>
      <c r="BD80" s="485" t="n"/>
      <c r="BE80" s="557">
        <f t="array" ref="BE80">iferror(INDEX('ファントムマスター'!M:M,MATCH(H80,'ファントムマスター'!D:D,0),0),"none")</f>
        <v/>
      </c>
      <c r="BF80" s="485" t="n"/>
      <c r="BG80" s="557">
        <f t="array" ref="BG80">iferror(INDEX('ファントムマスター'!N:N,MATCH(H80,'ファントムマスター'!D:D,0),0),"none")</f>
        <v/>
      </c>
      <c r="BH80" s="485" t="n"/>
      <c r="BI80" s="557">
        <f t="array" ref="BI80">iferror(INDEX('ファントムマスター'!P:P,MATCH(H80,'ファントムマスター'!D:D,0),0),"none")</f>
        <v/>
      </c>
      <c r="BJ80" s="485" t="n"/>
      <c r="BK80" s="557">
        <f t="array" ref="BK80">iferror(INDEX('ファントムマスター'!Q:Q,MATCH(H80,'ファントムマスター'!D:D,0),0),"none")</f>
        <v/>
      </c>
      <c r="BL80" s="485" t="n"/>
      <c r="BM80" s="542">
        <f t="array" ref="BM80">iferror(INDEX('ファントムマスター'!R:R,MATCH(H80,'ファントムマスター'!D:D,0),0),"none")</f>
        <v/>
      </c>
      <c r="BN80" s="485" t="n"/>
      <c r="BO80" s="557">
        <f t="array" ref="BO80">iferror(INDEX('ファントムマスター'!L:L,MATCH(H80,'ファントムマスター'!D:D,0),0),"none")</f>
        <v/>
      </c>
      <c r="BP80" s="485" t="n"/>
      <c r="BQ80" s="557">
        <f t="array" ref="BQ80">iferror(INDEX('ファントムマスター'!S:S,MATCH(H80,'ファントムマスター'!D:D,0),0),"none")</f>
        <v/>
      </c>
      <c r="BR80" s="485" t="n"/>
      <c r="BS80" s="503" t="n"/>
      <c r="BT80" s="485" t="n"/>
      <c r="BU80" s="503" t="n"/>
      <c r="BV80" s="485" t="n"/>
      <c r="BW80" s="503" t="n"/>
      <c r="BX80" s="485" t="n"/>
      <c r="BY80" s="17" t="n"/>
      <c r="BZ80" s="485" t="n"/>
      <c r="CA80" s="503" t="n"/>
      <c r="CB80" s="485" t="n"/>
      <c r="CC80" s="503" t="inlineStr">
        <is>
          <t>未入力</t>
        </is>
      </c>
      <c r="CD80" s="484" t="n"/>
      <c r="CE80" s="484" t="n"/>
      <c r="CF80" s="485" t="n"/>
      <c r="CG80" s="562" t="n"/>
      <c r="CH80" s="485" t="n"/>
      <c r="CI80" s="562" t="n"/>
      <c r="CJ80" s="485" t="n"/>
      <c r="CK80" s="562" t="n"/>
      <c r="CL80" s="485" t="n"/>
      <c r="CM80" s="562" t="n"/>
      <c r="CN80" s="485" t="n"/>
      <c r="CO80" s="562" t="inlineStr">
        <is>
          <t>None</t>
        </is>
      </c>
      <c r="CP80" s="485" t="n"/>
      <c r="CQ80" s="503" t="n"/>
      <c r="CR80" s="485" t="n"/>
      <c r="CS80" s="503" t="inlineStr">
        <is>
          <t>None</t>
        </is>
      </c>
      <c r="CT80" s="484" t="n"/>
      <c r="CU80" s="484" t="n"/>
      <c r="CV80" s="485" t="n"/>
      <c r="CW80" s="562" t="n"/>
      <c r="CX80" s="485" t="n"/>
      <c r="CY80" s="503" t="inlineStr">
        <is>
          <t>None</t>
        </is>
      </c>
      <c r="CZ80" s="484" t="n"/>
      <c r="DA80" s="484" t="n"/>
      <c r="DB80" s="485" t="n"/>
      <c r="DC80" s="562" t="n"/>
      <c r="DD80" s="485" t="n"/>
      <c r="DE80" s="503" t="inlineStr">
        <is>
          <t>None</t>
        </is>
      </c>
      <c r="DF80" s="484" t="n"/>
      <c r="DG80" s="484" t="n"/>
      <c r="DH80" s="485" t="n"/>
      <c r="DI80" s="562" t="n"/>
      <c r="DJ80" s="485" t="n"/>
      <c r="DK80" s="562" t="n"/>
      <c r="DL80" s="485" t="n"/>
      <c r="DM80" s="562" t="b">
        <v>0</v>
      </c>
      <c r="DN80" s="485" t="n"/>
      <c r="DO80" s="535" t="inlineStr">
        <is>
          <t>None</t>
        </is>
      </c>
      <c r="DP80" s="484" t="n"/>
      <c r="DQ80" s="484" t="n"/>
      <c r="DR80" s="485" t="n"/>
      <c r="DS80" s="562" t="n"/>
      <c r="DT80" s="485" t="n"/>
      <c r="DU80" s="503" t="n"/>
      <c r="DV80" s="484" t="n"/>
      <c r="DW80" s="484" t="n"/>
      <c r="DX80" s="484" t="n"/>
      <c r="DY80" s="485" t="n"/>
      <c r="DZ80" s="250" t="n"/>
      <c r="EA80" s="160" t="n"/>
      <c r="EB80" s="250" t="n"/>
      <c r="EC80" s="249">
        <f>B80</f>
        <v/>
      </c>
      <c r="ED80" s="249">
        <f>D80</f>
        <v/>
      </c>
      <c r="EE80" s="249">
        <f>F80</f>
        <v/>
      </c>
      <c r="EF80" s="274">
        <f>CC80</f>
        <v/>
      </c>
      <c r="EG80" s="274">
        <f>CG80</f>
        <v/>
      </c>
      <c r="EH80" s="274">
        <f>if(iferror(LEFT(ED80,LEN(ED80)-2),"SummonEnemy")="groupchange","SwitchSequenceGroup","SummonEnemy")</f>
        <v/>
      </c>
      <c r="EI80" s="274">
        <f>H80</f>
        <v/>
      </c>
      <c r="EJ80" s="274" t="n"/>
      <c r="EK80" s="274">
        <f>CK80</f>
        <v/>
      </c>
      <c r="EL80" s="274">
        <f>CI80</f>
        <v/>
      </c>
      <c r="EM80" s="274">
        <f>CO80</f>
        <v/>
      </c>
      <c r="EN80" s="274">
        <f>CQ80</f>
        <v/>
      </c>
      <c r="EO80" s="274">
        <f>CS80</f>
        <v/>
      </c>
      <c r="EP80" s="274">
        <f>CW80</f>
        <v/>
      </c>
      <c r="EQ80" s="274">
        <f>CY80</f>
        <v/>
      </c>
      <c r="ER80" s="274">
        <f>DC80</f>
        <v/>
      </c>
      <c r="ES80" s="274">
        <f>DE80</f>
        <v/>
      </c>
      <c r="ET80" s="274">
        <f>DI80</f>
        <v/>
      </c>
      <c r="EU80" s="274">
        <f>DK80</f>
        <v/>
      </c>
      <c r="EV80" s="274">
        <f>DM80</f>
        <v/>
      </c>
      <c r="EW80" s="274" t="n"/>
      <c r="EX80" s="274">
        <f>V80</f>
        <v/>
      </c>
      <c r="EY80" s="274">
        <f>X80</f>
        <v/>
      </c>
      <c r="EZ80" s="274">
        <f>AD80</f>
        <v/>
      </c>
      <c r="FA80" s="274">
        <f>AH80</f>
        <v/>
      </c>
      <c r="FB80" s="274">
        <f>"1"</f>
        <v/>
      </c>
      <c r="FC80" s="274">
        <f>BS80</f>
        <v/>
      </c>
      <c r="FD80" s="274">
        <f>BU80</f>
        <v/>
      </c>
      <c r="FE80" s="274">
        <f>CM80</f>
        <v/>
      </c>
      <c r="FF80" s="274">
        <f>DO80</f>
        <v/>
      </c>
      <c r="FG80" s="274">
        <f>DS80</f>
        <v/>
      </c>
      <c r="FH80" s="250" t="n"/>
      <c r="FI80" s="250" t="n"/>
      <c r="FJ80" s="250" t="n"/>
      <c r="FK80" s="250" t="n"/>
    </row>
    <row r="81">
      <c r="A81" s="250" t="n"/>
      <c r="B81" s="250" t="n"/>
      <c r="C81" s="250" t="n"/>
      <c r="D81" s="250" t="n"/>
      <c r="E81" s="250" t="n"/>
      <c r="F81" s="250" t="n"/>
      <c r="G81" s="250" t="n"/>
      <c r="H81" s="250" t="n"/>
      <c r="I81" s="250" t="n"/>
      <c r="J81" s="250" t="n"/>
      <c r="K81" s="250" t="n"/>
      <c r="L81" s="250" t="n"/>
      <c r="M81" s="250" t="n"/>
      <c r="N81" s="250" t="n"/>
      <c r="O81" s="250" t="n"/>
      <c r="P81" s="250" t="n"/>
      <c r="Q81" s="250" t="n"/>
      <c r="R81" s="250" t="n"/>
      <c r="S81" s="250" t="n"/>
      <c r="T81" s="250" t="n"/>
      <c r="V81" s="250" t="n"/>
      <c r="W81" s="250" t="n"/>
      <c r="X81" s="250" t="n"/>
      <c r="Y81" s="250" t="n"/>
      <c r="Z81" s="250" t="n"/>
      <c r="AA81" s="250" t="n"/>
      <c r="AB81" s="250" t="n"/>
      <c r="AC81" s="250" t="n"/>
      <c r="AD81" s="250" t="n"/>
      <c r="AE81" s="250" t="n"/>
      <c r="AF81" s="250" t="n"/>
      <c r="AG81" s="250" t="n"/>
      <c r="AH81" s="250" t="n"/>
      <c r="AI81" s="250" t="n"/>
      <c r="AJ81" s="250" t="n"/>
      <c r="AK81" s="250" t="n"/>
      <c r="AL81" s="250" t="n"/>
      <c r="AM81" s="250" t="n"/>
      <c r="AN81" s="250" t="n"/>
      <c r="AO81" s="250" t="n"/>
      <c r="AP81" s="250" t="n"/>
      <c r="AQ81" s="250" t="n"/>
      <c r="AR81" s="250" t="n"/>
      <c r="AS81" s="250" t="n"/>
      <c r="AT81" s="250" t="n"/>
      <c r="AU81" s="250" t="n"/>
      <c r="AV81" s="250" t="n"/>
      <c r="AW81" s="250" t="n"/>
      <c r="AX81" s="250" t="n"/>
      <c r="AY81" s="250" t="n"/>
      <c r="AZ81" s="250" t="n"/>
      <c r="BA81" s="250" t="n"/>
      <c r="BB81" s="250" t="n"/>
      <c r="BC81" s="250" t="n"/>
      <c r="BD81" s="250" t="n"/>
      <c r="BE81" s="250" t="n"/>
      <c r="BF81" s="250" t="n"/>
      <c r="BG81" s="250" t="n"/>
      <c r="BH81" s="250" t="n"/>
      <c r="BI81" s="250" t="n"/>
      <c r="BJ81" s="250" t="n"/>
      <c r="BK81" s="250" t="n"/>
      <c r="BL81" s="250" t="n"/>
      <c r="BM81" s="250" t="n"/>
      <c r="BN81" s="250" t="n"/>
      <c r="BO81" s="250" t="n"/>
      <c r="BP81" s="250" t="n"/>
      <c r="BQ81" s="250" t="n"/>
      <c r="BR81" s="250" t="n"/>
      <c r="BS81" s="250" t="n"/>
      <c r="BT81" s="250" t="n"/>
      <c r="BU81" s="250" t="n"/>
      <c r="BV81" s="250" t="n"/>
      <c r="BW81" s="250" t="n"/>
      <c r="BX81" s="250" t="n"/>
      <c r="BY81" s="250" t="n"/>
      <c r="BZ81" s="250" t="n"/>
      <c r="CA81" s="250" t="n"/>
      <c r="CB81" s="250" t="n"/>
      <c r="CC81" s="250" t="n"/>
      <c r="CD81" s="250" t="n"/>
      <c r="CE81" s="250" t="n"/>
      <c r="CF81" s="250" t="n"/>
      <c r="CG81" s="250" t="n"/>
      <c r="CH81" s="250" t="n"/>
      <c r="CI81" s="250" t="n"/>
      <c r="CJ81" s="250" t="n"/>
      <c r="CK81" s="250" t="n"/>
      <c r="CL81" s="250" t="n"/>
      <c r="CM81" s="250" t="n"/>
      <c r="CN81" s="250" t="n"/>
      <c r="CO81" s="250" t="n"/>
      <c r="CP81" s="250" t="n"/>
      <c r="CQ81" s="250" t="n"/>
      <c r="CR81" s="250" t="n"/>
      <c r="CS81" s="250" t="n"/>
      <c r="CT81" s="250" t="n"/>
      <c r="CU81" s="250" t="n"/>
      <c r="CV81" s="250" t="n"/>
      <c r="CW81" s="250" t="n"/>
      <c r="CX81" s="250" t="n"/>
      <c r="CY81" s="250" t="n"/>
      <c r="CZ81" s="250" t="n"/>
      <c r="DA81" s="250" t="n"/>
      <c r="DB81" s="250" t="n"/>
      <c r="DC81" s="250" t="n"/>
      <c r="DD81" s="250" t="n"/>
      <c r="DE81" s="250" t="n"/>
      <c r="DF81" s="250" t="n"/>
      <c r="DG81" s="250" t="n"/>
      <c r="DH81" s="250" t="n"/>
      <c r="DI81" s="250" t="n"/>
      <c r="DJ81" s="250" t="n"/>
      <c r="DK81" s="250" t="n"/>
      <c r="DL81" s="250" t="n"/>
      <c r="DM81" s="250" t="n"/>
      <c r="DN81" s="250" t="n"/>
      <c r="DO81" s="250" t="n"/>
      <c r="DP81" s="250" t="n"/>
      <c r="DQ81" s="250" t="n"/>
      <c r="DR81" s="250" t="n"/>
      <c r="DS81" s="250" t="n"/>
      <c r="DT81" s="250" t="n"/>
      <c r="DU81" s="250" t="n"/>
      <c r="DZ81" s="250" t="n"/>
      <c r="EA81" s="160" t="n"/>
    </row>
    <row r="82">
      <c r="A82" s="250" t="n"/>
      <c r="B82" s="250" t="n"/>
      <c r="C82" s="250" t="n"/>
      <c r="D82" s="250" t="n"/>
      <c r="E82" s="250" t="n"/>
      <c r="F82" s="250" t="n"/>
      <c r="G82" s="250" t="n"/>
      <c r="H82" s="250" t="n"/>
      <c r="I82" s="250" t="n"/>
      <c r="J82" s="250" t="n"/>
      <c r="K82" s="250" t="n"/>
      <c r="L82" s="250" t="n"/>
      <c r="M82" s="250" t="n"/>
      <c r="N82" s="250" t="n"/>
      <c r="O82" s="250" t="n"/>
      <c r="P82" s="250" t="n"/>
      <c r="Q82" s="250" t="n"/>
      <c r="R82" s="250" t="n"/>
      <c r="S82" s="250" t="n"/>
      <c r="T82" s="250" t="n"/>
      <c r="U82" s="250" t="n"/>
      <c r="V82" s="250" t="n"/>
      <c r="W82" s="250" t="n"/>
      <c r="X82" s="250" t="n"/>
      <c r="Y82" s="250" t="n"/>
      <c r="Z82" s="250" t="n"/>
      <c r="AA82" s="250" t="n"/>
      <c r="AB82" s="250" t="n"/>
      <c r="AC82" s="250" t="n"/>
      <c r="AD82" s="250" t="n"/>
      <c r="AE82" s="250" t="n"/>
      <c r="AF82" s="250" t="n"/>
      <c r="AG82" s="250" t="n"/>
      <c r="AH82" s="250" t="n"/>
      <c r="AI82" s="250" t="n"/>
      <c r="AJ82" s="250" t="n"/>
      <c r="AK82" s="250" t="n"/>
      <c r="AL82" s="250" t="n"/>
      <c r="AM82" s="250" t="n"/>
      <c r="AN82" s="250" t="n"/>
      <c r="AO82" s="250" t="n"/>
      <c r="AP82" s="250" t="n"/>
      <c r="AQ82" s="250" t="n"/>
      <c r="AR82" s="250" t="n"/>
      <c r="AS82" s="250" t="n"/>
      <c r="AT82" s="250" t="n"/>
      <c r="AU82" s="250" t="n"/>
      <c r="AV82" s="250" t="n"/>
      <c r="AW82" s="250" t="n"/>
      <c r="AX82" s="250" t="n"/>
      <c r="AY82" s="250" t="n"/>
      <c r="AZ82" s="250" t="n"/>
      <c r="BA82" s="250" t="n"/>
      <c r="BB82" s="250" t="n"/>
      <c r="BC82" s="250" t="n"/>
      <c r="BD82" s="250" t="n"/>
      <c r="BE82" s="250" t="n"/>
      <c r="BF82" s="250" t="n"/>
      <c r="BG82" s="250" t="n"/>
      <c r="BH82" s="250" t="n"/>
      <c r="BI82" s="250" t="n"/>
      <c r="BJ82" s="250" t="n"/>
      <c r="BK82" s="250" t="n"/>
      <c r="BL82" s="250" t="n"/>
      <c r="BM82" s="250" t="n"/>
      <c r="BN82" s="250" t="n"/>
      <c r="BO82" s="250" t="n"/>
      <c r="BP82" s="250" t="n"/>
      <c r="BQ82" s="250" t="n"/>
      <c r="BR82" s="250" t="n"/>
      <c r="BS82" s="250" t="n"/>
      <c r="BT82" s="250" t="n"/>
      <c r="BU82" s="250" t="n"/>
      <c r="BV82" s="250" t="n"/>
      <c r="BW82" s="250" t="n"/>
      <c r="BX82" s="250" t="n"/>
      <c r="BY82" s="250" t="n"/>
      <c r="BZ82" s="250" t="n"/>
      <c r="CA82" s="250" t="n"/>
      <c r="CB82" s="250" t="n"/>
      <c r="CC82" s="250" t="n"/>
      <c r="CD82" s="250" t="n"/>
      <c r="CE82" s="250" t="n"/>
      <c r="CF82" s="250" t="n"/>
      <c r="CG82" s="250" t="n"/>
      <c r="CH82" s="250" t="n"/>
      <c r="CI82" s="250" t="n"/>
      <c r="CJ82" s="250" t="n"/>
      <c r="CK82" s="250" t="n"/>
      <c r="CL82" s="250" t="n"/>
      <c r="CM82" s="250" t="n"/>
      <c r="CN82" s="250" t="n"/>
      <c r="CO82" s="250" t="n"/>
      <c r="CP82" s="250" t="n"/>
      <c r="CQ82" s="250" t="n"/>
      <c r="CR82" s="250" t="n"/>
      <c r="CS82" s="250" t="n"/>
      <c r="CT82" s="250" t="n"/>
      <c r="CU82" s="250" t="n"/>
      <c r="CV82" s="250" t="n"/>
      <c r="CW82" s="250" t="n"/>
      <c r="CX82" s="250" t="n"/>
      <c r="CY82" s="250" t="n"/>
      <c r="CZ82" s="250" t="n"/>
      <c r="DA82" s="250" t="n"/>
      <c r="DB82" s="250" t="n"/>
      <c r="DC82" s="250" t="n"/>
      <c r="DD82" s="250" t="n"/>
      <c r="DE82" s="250" t="n"/>
      <c r="DF82" s="250" t="n"/>
      <c r="DG82" s="250" t="n"/>
      <c r="DH82" s="250" t="n"/>
      <c r="DI82" s="250" t="n"/>
      <c r="DJ82" s="250" t="n"/>
      <c r="DK82" s="250" t="n"/>
      <c r="DL82" s="250" t="n"/>
      <c r="DM82" s="250" t="n"/>
      <c r="DN82" s="250" t="n"/>
      <c r="DO82" s="250" t="n"/>
      <c r="DP82" s="250" t="n"/>
      <c r="DQ82" s="250" t="n"/>
      <c r="DR82" s="250" t="n"/>
      <c r="DS82" s="250" t="n"/>
      <c r="DT82" s="250" t="n"/>
      <c r="DU82" s="250" t="n"/>
      <c r="DZ82" s="250" t="n"/>
      <c r="EA82" s="160" t="n"/>
      <c r="EB82" s="250" t="n"/>
      <c r="EC82" s="250" t="n"/>
      <c r="ED82" s="250" t="n"/>
      <c r="EE82" s="250" t="n"/>
      <c r="EF82" s="250" t="n"/>
      <c r="EG82" s="250" t="n"/>
      <c r="EH82" s="250" t="n"/>
      <c r="EI82" s="250" t="n"/>
      <c r="EJ82" s="250" t="n"/>
      <c r="EK82" s="250" t="n"/>
      <c r="EL82" s="250" t="n"/>
      <c r="EM82" s="250" t="n"/>
      <c r="EN82" s="250" t="n"/>
      <c r="EO82" s="250" t="n"/>
      <c r="EP82" s="250" t="n"/>
      <c r="EQ82" s="250" t="n"/>
      <c r="ER82" s="250" t="n"/>
      <c r="ES82" s="250" t="n"/>
      <c r="ET82" s="250" t="n"/>
      <c r="EU82" s="250" t="n"/>
      <c r="EV82" s="250" t="n"/>
      <c r="EW82" s="250" t="n"/>
      <c r="EX82" s="250" t="n"/>
      <c r="EY82" s="250" t="n"/>
      <c r="EZ82" s="250" t="n"/>
      <c r="FA82" s="250" t="n"/>
      <c r="FB82" s="250" t="n"/>
      <c r="FC82" s="250" t="n"/>
      <c r="FD82" s="250" t="n"/>
      <c r="FE82" s="250" t="n"/>
      <c r="FF82" s="250" t="n"/>
      <c r="FG82" s="250" t="n"/>
      <c r="FH82" s="250" t="n"/>
      <c r="FI82" s="250" t="n"/>
      <c r="FJ82" s="250" t="n"/>
      <c r="FK82" s="250" t="n"/>
    </row>
  </sheetData>
  <mergeCells count="2022">
    <mergeCell ref="DM75:DN75"/>
    <mergeCell ref="P76:Q76"/>
    <mergeCell ref="BA73:BB73"/>
    <mergeCell ref="DC61:DD61"/>
    <mergeCell ref="CM78:CN78"/>
    <mergeCell ref="BO46:BP46"/>
    <mergeCell ref="P69:Q69"/>
    <mergeCell ref="Z66:AA66"/>
    <mergeCell ref="CM80:CN80"/>
    <mergeCell ref="CM73:CN73"/>
    <mergeCell ref="BS54:BT54"/>
    <mergeCell ref="F70:G70"/>
    <mergeCell ref="AD46:AE46"/>
    <mergeCell ref="AH48:AI48"/>
    <mergeCell ref="BI65:BJ65"/>
    <mergeCell ref="AN72:AO72"/>
    <mergeCell ref="T51:U51"/>
    <mergeCell ref="CY48:DB48"/>
    <mergeCell ref="DK74:DL74"/>
    <mergeCell ref="F71:G71"/>
    <mergeCell ref="BS49:BT49"/>
    <mergeCell ref="AH79:AI79"/>
    <mergeCell ref="DK76:DL76"/>
    <mergeCell ref="BI60:BJ60"/>
    <mergeCell ref="DM51:DN51"/>
    <mergeCell ref="BS76:BT76"/>
    <mergeCell ref="BI75:BJ75"/>
    <mergeCell ref="T67:U67"/>
    <mergeCell ref="AH47:AI47"/>
    <mergeCell ref="AH74:AI74"/>
    <mergeCell ref="CQ77:CR77"/>
    <mergeCell ref="DS60:DT60"/>
    <mergeCell ref="DO74:DR74"/>
    <mergeCell ref="K9:O9"/>
    <mergeCell ref="AH76:AI76"/>
    <mergeCell ref="CK59:CL59"/>
    <mergeCell ref="AD59:AE59"/>
    <mergeCell ref="BI78:BJ78"/>
    <mergeCell ref="N42:O42"/>
    <mergeCell ref="DS55:DT55"/>
    <mergeCell ref="DC72:DD72"/>
    <mergeCell ref="CA64:CB64"/>
    <mergeCell ref="AH63:AI63"/>
    <mergeCell ref="CY61:DB61"/>
    <mergeCell ref="BK47:BL47"/>
    <mergeCell ref="D53:E53"/>
    <mergeCell ref="X74:Y74"/>
    <mergeCell ref="U37:Y37"/>
    <mergeCell ref="D47:E47"/>
    <mergeCell ref="X68:Y68"/>
    <mergeCell ref="X76:Y76"/>
    <mergeCell ref="DU50:DY50"/>
    <mergeCell ref="BQ62:BR62"/>
    <mergeCell ref="DM64:DN64"/>
    <mergeCell ref="BK48:BL48"/>
    <mergeCell ref="E24:G24"/>
    <mergeCell ref="X69:Y69"/>
    <mergeCell ref="DS71:DT71"/>
    <mergeCell ref="DU52:DY52"/>
    <mergeCell ref="DS73:DT73"/>
    <mergeCell ref="D79:E79"/>
    <mergeCell ref="V65:W65"/>
    <mergeCell ref="BQ57:BR57"/>
    <mergeCell ref="AF56:AG56"/>
    <mergeCell ref="CI51:CJ51"/>
    <mergeCell ref="DU47:DY47"/>
    <mergeCell ref="AM38:AQ38"/>
    <mergeCell ref="L59:O59"/>
    <mergeCell ref="AM40:AQ40"/>
    <mergeCell ref="L61:O61"/>
    <mergeCell ref="DC57:DD57"/>
    <mergeCell ref="BK66:BL66"/>
    <mergeCell ref="AD40:AH40"/>
    <mergeCell ref="CI67:CJ67"/>
    <mergeCell ref="DU63:DY63"/>
    <mergeCell ref="BQ75:BR75"/>
    <mergeCell ref="V49:W49"/>
    <mergeCell ref="BY72:BZ72"/>
    <mergeCell ref="BG80:BH80"/>
    <mergeCell ref="AD41:AH41"/>
    <mergeCell ref="CI62:CJ62"/>
    <mergeCell ref="BQ70:BR70"/>
    <mergeCell ref="AF75:AG75"/>
    <mergeCell ref="DC75:DD75"/>
    <mergeCell ref="BA59:BB59"/>
    <mergeCell ref="BE48:BF48"/>
    <mergeCell ref="V80:W80"/>
    <mergeCell ref="DK72:DL72"/>
    <mergeCell ref="CI64:CJ64"/>
    <mergeCell ref="F69:G69"/>
    <mergeCell ref="BS47:BT47"/>
    <mergeCell ref="CQ46:CR46"/>
    <mergeCell ref="BY54:BZ54"/>
    <mergeCell ref="AJ46:AK46"/>
    <mergeCell ref="DC70:DD70"/>
    <mergeCell ref="CC47:CF47"/>
    <mergeCell ref="AY57:AZ57"/>
    <mergeCell ref="CQ48:CR48"/>
    <mergeCell ref="S5:AH7"/>
    <mergeCell ref="T65:U65"/>
    <mergeCell ref="AH72:AI72"/>
    <mergeCell ref="AY50:AZ50"/>
    <mergeCell ref="AN54:AO54"/>
    <mergeCell ref="CK49:CL49"/>
    <mergeCell ref="DO47:DR47"/>
    <mergeCell ref="AY52:AZ52"/>
    <mergeCell ref="CA60:CB60"/>
    <mergeCell ref="DS51:DT51"/>
    <mergeCell ref="AD57:AE57"/>
    <mergeCell ref="CY57:DB57"/>
    <mergeCell ref="CI75:CJ75"/>
    <mergeCell ref="DO76:DR76"/>
    <mergeCell ref="CK50:CL50"/>
    <mergeCell ref="BI76:BJ76"/>
    <mergeCell ref="BE61:BF61"/>
    <mergeCell ref="AV37:AZ37"/>
    <mergeCell ref="CK52:CL52"/>
    <mergeCell ref="CY58:DB58"/>
    <mergeCell ref="CQ59:CR59"/>
    <mergeCell ref="DE68:DH68"/>
    <mergeCell ref="BO78:BP78"/>
    <mergeCell ref="AY70:AZ70"/>
    <mergeCell ref="DI53:DJ53"/>
    <mergeCell ref="CQ61:CR61"/>
    <mergeCell ref="DS69:DT69"/>
    <mergeCell ref="DE67:DH67"/>
    <mergeCell ref="CA50:CB50"/>
    <mergeCell ref="CG72:CH72"/>
    <mergeCell ref="DI55:DJ55"/>
    <mergeCell ref="DE69:DH69"/>
    <mergeCell ref="D77:E77"/>
    <mergeCell ref="BQ55:BR55"/>
    <mergeCell ref="CA79:CB79"/>
    <mergeCell ref="H53:K53"/>
    <mergeCell ref="DS64:DT64"/>
    <mergeCell ref="AT53:AX53"/>
    <mergeCell ref="H55:K55"/>
    <mergeCell ref="D72:E72"/>
    <mergeCell ref="AF55:AG55"/>
    <mergeCell ref="AT55:AX55"/>
    <mergeCell ref="R41:S41"/>
    <mergeCell ref="BG49:BH49"/>
    <mergeCell ref="T70:U70"/>
    <mergeCell ref="AB38:AC38"/>
    <mergeCell ref="AL62:AM62"/>
    <mergeCell ref="H52:K52"/>
    <mergeCell ref="H79:K79"/>
    <mergeCell ref="AL64:AM64"/>
    <mergeCell ref="DI66:DJ66"/>
    <mergeCell ref="V47:W47"/>
    <mergeCell ref="CI58:CJ58"/>
    <mergeCell ref="AF71:AG71"/>
    <mergeCell ref="DI68:DJ68"/>
    <mergeCell ref="H47:K47"/>
    <mergeCell ref="CI60:CJ60"/>
    <mergeCell ref="V76:W76"/>
    <mergeCell ref="BQ68:BR68"/>
    <mergeCell ref="AF73:AG73"/>
    <mergeCell ref="H41:I41"/>
    <mergeCell ref="CO67:CP67"/>
    <mergeCell ref="BU46:BV46"/>
    <mergeCell ref="V48:W48"/>
    <mergeCell ref="R59:S59"/>
    <mergeCell ref="AF66:AG66"/>
    <mergeCell ref="CO69:CP69"/>
    <mergeCell ref="V77:W77"/>
    <mergeCell ref="AF68:AG68"/>
    <mergeCell ref="AT76:AX76"/>
    <mergeCell ref="H63:K63"/>
    <mergeCell ref="CC72:CF72"/>
    <mergeCell ref="AL75:AM75"/>
    <mergeCell ref="DU82:DY82"/>
    <mergeCell ref="BO65:BP65"/>
    <mergeCell ref="B37:C37"/>
    <mergeCell ref="BY56:BZ56"/>
    <mergeCell ref="CI78:CJ78"/>
    <mergeCell ref="AK41:AL41"/>
    <mergeCell ref="AY48:AZ48"/>
    <mergeCell ref="AN52:AO52"/>
    <mergeCell ref="V66:W66"/>
    <mergeCell ref="CI71:CJ71"/>
    <mergeCell ref="DK54:DL54"/>
    <mergeCell ref="DO72:DR72"/>
    <mergeCell ref="CI73:CJ73"/>
    <mergeCell ref="BO54:BP54"/>
    <mergeCell ref="Z46:AA46"/>
    <mergeCell ref="DK56:DL56"/>
    <mergeCell ref="N12:P12"/>
    <mergeCell ref="Z40:AA40"/>
    <mergeCell ref="V61:W61"/>
    <mergeCell ref="AD48:AE48"/>
    <mergeCell ref="AT66:AX66"/>
    <mergeCell ref="BW51:BX51"/>
    <mergeCell ref="BE65:BF65"/>
    <mergeCell ref="P51:Q51"/>
    <mergeCell ref="CC62:CF62"/>
    <mergeCell ref="CC56:CF56"/>
    <mergeCell ref="B71:C71"/>
    <mergeCell ref="BO49:BP49"/>
    <mergeCell ref="AD79:AE79"/>
    <mergeCell ref="CQ57:CR57"/>
    <mergeCell ref="DO54:DR54"/>
    <mergeCell ref="BE60:BF60"/>
    <mergeCell ref="AK39:AL39"/>
    <mergeCell ref="DI51:DJ51"/>
    <mergeCell ref="CC57:CF57"/>
    <mergeCell ref="AN63:AO63"/>
    <mergeCell ref="DE65:DH65"/>
    <mergeCell ref="DO56:DR56"/>
    <mergeCell ref="BE75:BF75"/>
    <mergeCell ref="P67:Q67"/>
    <mergeCell ref="CQ58:CR58"/>
    <mergeCell ref="AD74:AE74"/>
    <mergeCell ref="BO80:BP80"/>
    <mergeCell ref="AD76:AE76"/>
    <mergeCell ref="BW62:BX62"/>
    <mergeCell ref="BE70:BF70"/>
    <mergeCell ref="CG59:CH59"/>
    <mergeCell ref="K24:M24"/>
    <mergeCell ref="AL58:AM58"/>
    <mergeCell ref="BE78:BF78"/>
    <mergeCell ref="J42:K42"/>
    <mergeCell ref="BW64:BX64"/>
    <mergeCell ref="CC75:CF75"/>
    <mergeCell ref="AL60:AM60"/>
    <mergeCell ref="R39:S39"/>
    <mergeCell ref="CG79:CH79"/>
    <mergeCell ref="CG54:CH54"/>
    <mergeCell ref="DI62:DJ62"/>
    <mergeCell ref="CQ70:CR70"/>
    <mergeCell ref="BI58:BJ58"/>
    <mergeCell ref="H77:K77"/>
    <mergeCell ref="J37:K37"/>
    <mergeCell ref="BC40:BD40"/>
    <mergeCell ref="DI64:DJ64"/>
    <mergeCell ref="DE78:DH78"/>
    <mergeCell ref="BG48:BH48"/>
    <mergeCell ref="R65:S65"/>
    <mergeCell ref="AB56:AC56"/>
    <mergeCell ref="AP62:AS62"/>
    <mergeCell ref="BW75:BX75"/>
    <mergeCell ref="AF64:AG64"/>
    <mergeCell ref="AP54:AS54"/>
    <mergeCell ref="BY50:BZ50"/>
    <mergeCell ref="AL71:AM71"/>
    <mergeCell ref="R50:S50"/>
    <mergeCell ref="AP64:AS64"/>
    <mergeCell ref="AI37:AJ37"/>
    <mergeCell ref="BY52:BZ52"/>
    <mergeCell ref="BG66:BH66"/>
    <mergeCell ref="AL73:AM73"/>
    <mergeCell ref="BK55:BL55"/>
    <mergeCell ref="DI75:DJ75"/>
    <mergeCell ref="AB42:AC42"/>
    <mergeCell ref="CW53:CX53"/>
    <mergeCell ref="BK46:BL46"/>
    <mergeCell ref="BM75:BN75"/>
    <mergeCell ref="AL74:AM74"/>
    <mergeCell ref="BU72:BV72"/>
    <mergeCell ref="BA51:BB51"/>
    <mergeCell ref="CW55:CX55"/>
    <mergeCell ref="BC80:BD80"/>
    <mergeCell ref="CS69:CV69"/>
    <mergeCell ref="AT56:AX56"/>
    <mergeCell ref="CW48:CX48"/>
    <mergeCell ref="R78:S78"/>
    <mergeCell ref="BM70:BN70"/>
    <mergeCell ref="AB75:AC75"/>
    <mergeCell ref="AP75:AS75"/>
    <mergeCell ref="B67:C67"/>
    <mergeCell ref="B61:C61"/>
    <mergeCell ref="R80:S80"/>
    <mergeCell ref="L67:O67"/>
    <mergeCell ref="B69:C69"/>
    <mergeCell ref="BO47:BP47"/>
    <mergeCell ref="Z39:AA39"/>
    <mergeCell ref="CC53:CF53"/>
    <mergeCell ref="CM46:CN46"/>
    <mergeCell ref="BA77:BB77"/>
    <mergeCell ref="BK68:BL68"/>
    <mergeCell ref="CC55:CF55"/>
    <mergeCell ref="BO76:BP76"/>
    <mergeCell ref="B64:C64"/>
    <mergeCell ref="CW66:CX66"/>
    <mergeCell ref="AJ54:AK54"/>
    <mergeCell ref="P58:Q58"/>
    <mergeCell ref="CM77:CN77"/>
    <mergeCell ref="AR41:AS41"/>
    <mergeCell ref="CW68:CX68"/>
    <mergeCell ref="Z65:AA65"/>
    <mergeCell ref="AT75:AX75"/>
    <mergeCell ref="AJ56:AK56"/>
    <mergeCell ref="CW67:CX67"/>
    <mergeCell ref="DE54:DH54"/>
    <mergeCell ref="CG50:CH50"/>
    <mergeCell ref="AD63:AE63"/>
    <mergeCell ref="BS53:BT53"/>
    <mergeCell ref="BA67:BB67"/>
    <mergeCell ref="BA61:BB61"/>
    <mergeCell ref="CG52:CH52"/>
    <mergeCell ref="T68:U68"/>
    <mergeCell ref="DE49:DH49"/>
    <mergeCell ref="CM59:CN59"/>
    <mergeCell ref="BM62:BN62"/>
    <mergeCell ref="CC68:CF68"/>
    <mergeCell ref="BM56:BN56"/>
    <mergeCell ref="F62:G62"/>
    <mergeCell ref="CM61:CN61"/>
    <mergeCell ref="AB52:AC52"/>
    <mergeCell ref="BM57:BN57"/>
    <mergeCell ref="CO65:CP65"/>
    <mergeCell ref="Z78:AA78"/>
    <mergeCell ref="AP60:AS60"/>
    <mergeCell ref="BW73:BX73"/>
    <mergeCell ref="BA80:BB80"/>
    <mergeCell ref="CY65:DB65"/>
    <mergeCell ref="CG63:CH63"/>
    <mergeCell ref="CA53:CB53"/>
    <mergeCell ref="AB55:AC55"/>
    <mergeCell ref="BC49:BD49"/>
    <mergeCell ref="N41:O41"/>
    <mergeCell ref="AH62:AI62"/>
    <mergeCell ref="AB40:AC40"/>
    <mergeCell ref="BC50:BD50"/>
    <mergeCell ref="R74:S74"/>
    <mergeCell ref="AB71:AC71"/>
    <mergeCell ref="CO49:CP49"/>
    <mergeCell ref="AP71:AS71"/>
    <mergeCell ref="CA52:CB52"/>
    <mergeCell ref="H24:J24"/>
    <mergeCell ref="CY49:DB49"/>
    <mergeCell ref="CK70:CL70"/>
    <mergeCell ref="R76:S76"/>
    <mergeCell ref="DU51:DY51"/>
    <mergeCell ref="AP79:AS79"/>
    <mergeCell ref="AP73:AS73"/>
    <mergeCell ref="DM50:DN50"/>
    <mergeCell ref="AB66:AC66"/>
    <mergeCell ref="CO80:CP80"/>
    <mergeCell ref="R77:S77"/>
    <mergeCell ref="AF47:AG47"/>
    <mergeCell ref="DM79:DN79"/>
    <mergeCell ref="AB68:AC68"/>
    <mergeCell ref="L58:O58"/>
    <mergeCell ref="AP74:AS74"/>
    <mergeCell ref="BU54:BV54"/>
    <mergeCell ref="AF46:AG46"/>
    <mergeCell ref="AH75:AI75"/>
    <mergeCell ref="AJ50:AK50"/>
    <mergeCell ref="L60:O60"/>
    <mergeCell ref="BK65:BL65"/>
    <mergeCell ref="BU56:BV56"/>
    <mergeCell ref="CW64:CX64"/>
    <mergeCell ref="CA63:CB63"/>
    <mergeCell ref="AJ52:AK52"/>
    <mergeCell ref="BQ74:BR74"/>
    <mergeCell ref="G10:H10"/>
    <mergeCell ref="AT42:AU42"/>
    <mergeCell ref="CW65:CX65"/>
    <mergeCell ref="BA57:BB57"/>
    <mergeCell ref="DU64:DY64"/>
    <mergeCell ref="BQ76:BR76"/>
    <mergeCell ref="J27:Q27"/>
    <mergeCell ref="DM63:DN63"/>
    <mergeCell ref="BS51:BT51"/>
    <mergeCell ref="L78:O78"/>
    <mergeCell ref="DC74:DD74"/>
    <mergeCell ref="AD54:AE54"/>
    <mergeCell ref="P57:Q57"/>
    <mergeCell ref="Z79:AA79"/>
    <mergeCell ref="F58:G58"/>
    <mergeCell ref="L71:O71"/>
    <mergeCell ref="F52:G52"/>
    <mergeCell ref="DC76:DD76"/>
    <mergeCell ref="CW75:CX75"/>
    <mergeCell ref="F60:G60"/>
    <mergeCell ref="BK78:BL78"/>
    <mergeCell ref="P42:Q42"/>
    <mergeCell ref="L73:O73"/>
    <mergeCell ref="AJ63:AK63"/>
    <mergeCell ref="AY46:AZ46"/>
    <mergeCell ref="BM53:BN53"/>
    <mergeCell ref="Z74:AA74"/>
    <mergeCell ref="F53:G53"/>
    <mergeCell ref="BK80:BL80"/>
    <mergeCell ref="BI47:BJ47"/>
    <mergeCell ref="DU75:DY75"/>
    <mergeCell ref="BM55:BN55"/>
    <mergeCell ref="Z76:AA76"/>
    <mergeCell ref="BS62:BT62"/>
    <mergeCell ref="BA70:BB70"/>
    <mergeCell ref="BS64:BT64"/>
    <mergeCell ref="F80:G80"/>
    <mergeCell ref="G26:I26"/>
    <mergeCell ref="F79:G79"/>
    <mergeCell ref="N39:O39"/>
    <mergeCell ref="P70:Q70"/>
    <mergeCell ref="CQ65:CR65"/>
    <mergeCell ref="CK51:CL51"/>
    <mergeCell ref="DO62:DR62"/>
    <mergeCell ref="AY67:AZ67"/>
    <mergeCell ref="BC48:BD48"/>
    <mergeCell ref="X54:Y54"/>
    <mergeCell ref="CA77:CB77"/>
    <mergeCell ref="CK68:CL68"/>
    <mergeCell ref="CY74:DB74"/>
    <mergeCell ref="X56:Y56"/>
    <mergeCell ref="CK67:CL67"/>
    <mergeCell ref="BS75:BT75"/>
    <mergeCell ref="CY76:DB76"/>
    <mergeCell ref="F63:G63"/>
    <mergeCell ref="AH71:AI71"/>
    <mergeCell ref="R63:S63"/>
    <mergeCell ref="CK69:CL69"/>
    <mergeCell ref="DM77:DN77"/>
    <mergeCell ref="DM52:DN52"/>
    <mergeCell ref="AP72:AS72"/>
    <mergeCell ref="X57:Y57"/>
    <mergeCell ref="AH73:AI73"/>
    <mergeCell ref="BG55:BH55"/>
    <mergeCell ref="CY77:DB77"/>
    <mergeCell ref="CS49:CV49"/>
    <mergeCell ref="CQ78:CR78"/>
    <mergeCell ref="DM72:DN72"/>
    <mergeCell ref="BG46:BH46"/>
    <mergeCell ref="CA61:CB61"/>
    <mergeCell ref="AL53:AM53"/>
    <mergeCell ref="CQ80:CR80"/>
    <mergeCell ref="BQ72:BR72"/>
    <mergeCell ref="CA62:CB62"/>
    <mergeCell ref="X75:Y75"/>
    <mergeCell ref="CY59:DB59"/>
    <mergeCell ref="AF72:AG72"/>
    <mergeCell ref="BU63:BV63"/>
    <mergeCell ref="P55:Q55"/>
    <mergeCell ref="BK74:BL74"/>
    <mergeCell ref="L69:O69"/>
    <mergeCell ref="CM57:CN57"/>
    <mergeCell ref="DM56:DN56"/>
    <mergeCell ref="BY60:BZ60"/>
    <mergeCell ref="BG68:BH68"/>
    <mergeCell ref="BK76:BL76"/>
    <mergeCell ref="V64:W64"/>
    <mergeCell ref="DK58:DL58"/>
    <mergeCell ref="AF54:AG54"/>
    <mergeCell ref="DU79:DY79"/>
    <mergeCell ref="CI77:CJ77"/>
    <mergeCell ref="DU73:DY73"/>
    <mergeCell ref="AN51:AO51"/>
    <mergeCell ref="CW46:CX46"/>
    <mergeCell ref="DK53:DL53"/>
    <mergeCell ref="CA75:CB75"/>
    <mergeCell ref="P66:Q66"/>
    <mergeCell ref="BO53:BP53"/>
    <mergeCell ref="J31:Q31"/>
    <mergeCell ref="F77:G77"/>
    <mergeCell ref="DO58:DR58"/>
    <mergeCell ref="P68:Q68"/>
    <mergeCell ref="BI54:BJ54"/>
    <mergeCell ref="T46:U46"/>
    <mergeCell ref="AN67:AO67"/>
    <mergeCell ref="DO60:DR60"/>
    <mergeCell ref="AY65:AZ65"/>
    <mergeCell ref="AD42:AH42"/>
    <mergeCell ref="BI56:BJ56"/>
    <mergeCell ref="T48:U48"/>
    <mergeCell ref="AN69:AO69"/>
    <mergeCell ref="B62:C62"/>
    <mergeCell ref="DO53:DR53"/>
    <mergeCell ref="DK71:DL71"/>
    <mergeCell ref="DO55:DR55"/>
    <mergeCell ref="CY47:DB47"/>
    <mergeCell ref="DK73:DL73"/>
    <mergeCell ref="F59:G59"/>
    <mergeCell ref="BI57:BJ57"/>
    <mergeCell ref="CK65:CL65"/>
    <mergeCell ref="V78:W78"/>
    <mergeCell ref="AN64:AO64"/>
    <mergeCell ref="DM48:DN48"/>
    <mergeCell ref="BE76:BF76"/>
    <mergeCell ref="X53:Y53"/>
    <mergeCell ref="U41:Y41"/>
    <mergeCell ref="X47:Y47"/>
    <mergeCell ref="CC73:CF73"/>
    <mergeCell ref="BO66:BP66"/>
    <mergeCell ref="CQ74:CR74"/>
    <mergeCell ref="X55:Y55"/>
    <mergeCell ref="DO71:DR71"/>
    <mergeCell ref="AY49:AZ49"/>
    <mergeCell ref="J41:K41"/>
    <mergeCell ref="BO68:BP68"/>
    <mergeCell ref="DS50:DT50"/>
    <mergeCell ref="CQ76:CR76"/>
    <mergeCell ref="DO73:DR73"/>
    <mergeCell ref="AY78:AZ78"/>
    <mergeCell ref="D42:E42"/>
    <mergeCell ref="AL51:AM51"/>
    <mergeCell ref="DS58:DT58"/>
    <mergeCell ref="CQ69:CR69"/>
    <mergeCell ref="DS52:DT52"/>
    <mergeCell ref="X71:Y71"/>
    <mergeCell ref="D50:E50"/>
    <mergeCell ref="AY80:AZ80"/>
    <mergeCell ref="BW79:BX79"/>
    <mergeCell ref="D60:E60"/>
    <mergeCell ref="DO68:DR68"/>
    <mergeCell ref="CG70:CH70"/>
    <mergeCell ref="BI70:BJ70"/>
    <mergeCell ref="CK78:CL78"/>
    <mergeCell ref="X66:Y66"/>
    <mergeCell ref="AL77:AM77"/>
    <mergeCell ref="CK80:CL80"/>
    <mergeCell ref="BG64:BH64"/>
    <mergeCell ref="AB47:AC47"/>
    <mergeCell ref="DI79:DJ79"/>
    <mergeCell ref="AP53:AS53"/>
    <mergeCell ref="DS70:DT70"/>
    <mergeCell ref="BQ54:BR54"/>
    <mergeCell ref="AB46:AC46"/>
    <mergeCell ref="D70:E70"/>
    <mergeCell ref="DS63:DT63"/>
    <mergeCell ref="BY51:BZ51"/>
    <mergeCell ref="BG65:BH65"/>
    <mergeCell ref="CI48:CJ48"/>
    <mergeCell ref="R51:S51"/>
    <mergeCell ref="AL72:AM72"/>
    <mergeCell ref="BQ56:BR56"/>
    <mergeCell ref="AB48:AC48"/>
    <mergeCell ref="D78:E78"/>
    <mergeCell ref="DI74:DJ74"/>
    <mergeCell ref="D71:E71"/>
    <mergeCell ref="AF79:AG79"/>
    <mergeCell ref="CA71:CB71"/>
    <mergeCell ref="DC54:DD54"/>
    <mergeCell ref="DI76:DJ76"/>
    <mergeCell ref="CO57:CP57"/>
    <mergeCell ref="D73:E73"/>
    <mergeCell ref="DK51:DL51"/>
    <mergeCell ref="CA73:CB73"/>
    <mergeCell ref="BY67:BZ67"/>
    <mergeCell ref="CY70:DB70"/>
    <mergeCell ref="BY69:BZ69"/>
    <mergeCell ref="AD38:AH38"/>
    <mergeCell ref="AN65:AO65"/>
    <mergeCell ref="H71:K71"/>
    <mergeCell ref="CI59:CJ59"/>
    <mergeCell ref="DK67:DL67"/>
    <mergeCell ref="BG78:BH78"/>
    <mergeCell ref="L42:M42"/>
    <mergeCell ref="AF63:AG63"/>
    <mergeCell ref="CI61:CJ61"/>
    <mergeCell ref="DK69:DL69"/>
    <mergeCell ref="BI53:BJ53"/>
    <mergeCell ref="V74:W74"/>
    <mergeCell ref="B53:C53"/>
    <mergeCell ref="AN60:AO60"/>
    <mergeCell ref="F66:G66"/>
    <mergeCell ref="BE47:BF47"/>
    <mergeCell ref="BI55:BJ55"/>
    <mergeCell ref="CO70:CP70"/>
    <mergeCell ref="BO62:BP62"/>
    <mergeCell ref="DK64:DL64"/>
    <mergeCell ref="AD61:AE61"/>
    <mergeCell ref="F61:G61"/>
    <mergeCell ref="T72:U72"/>
    <mergeCell ref="BO64:BP64"/>
    <mergeCell ref="B80:C80"/>
    <mergeCell ref="DE53:DH53"/>
    <mergeCell ref="DE47:DH47"/>
    <mergeCell ref="B79:C79"/>
    <mergeCell ref="AD62:AE62"/>
    <mergeCell ref="AD56:AE56"/>
    <mergeCell ref="DS48:DT48"/>
    <mergeCell ref="AN78:AO78"/>
    <mergeCell ref="T57:U57"/>
    <mergeCell ref="DE55:DH55"/>
    <mergeCell ref="CG51:CH51"/>
    <mergeCell ref="AD64:AE64"/>
    <mergeCell ref="DE48:DH48"/>
    <mergeCell ref="AN80:AO80"/>
    <mergeCell ref="DO64:DR64"/>
    <mergeCell ref="CY56:DB56"/>
    <mergeCell ref="CA58:CB58"/>
    <mergeCell ref="AN79:AO79"/>
    <mergeCell ref="T58:U58"/>
    <mergeCell ref="BI66:BJ66"/>
    <mergeCell ref="T54:U54"/>
    <mergeCell ref="BW77:BX77"/>
    <mergeCell ref="CG68:CH68"/>
    <mergeCell ref="BM47:BN47"/>
    <mergeCell ref="CG67:CH67"/>
    <mergeCell ref="BM46:BN46"/>
    <mergeCell ref="BO75:BP75"/>
    <mergeCell ref="DI50:DJ50"/>
    <mergeCell ref="BW72:BX72"/>
    <mergeCell ref="CG69:CH69"/>
    <mergeCell ref="BM48:BN48"/>
    <mergeCell ref="E12:G12"/>
    <mergeCell ref="DS59:DT59"/>
    <mergeCell ref="DE66:DH66"/>
    <mergeCell ref="BC55:BD55"/>
    <mergeCell ref="AD75:AE75"/>
    <mergeCell ref="DS67:DT67"/>
    <mergeCell ref="DS61:DT61"/>
    <mergeCell ref="BC38:BD38"/>
    <mergeCell ref="BM73:BN73"/>
    <mergeCell ref="D67:E67"/>
    <mergeCell ref="DI72:DJ72"/>
    <mergeCell ref="CO53:CP53"/>
    <mergeCell ref="BC46:BD46"/>
    <mergeCell ref="V55:W55"/>
    <mergeCell ref="D69:E69"/>
    <mergeCell ref="AT60:AX60"/>
    <mergeCell ref="CO46:CP46"/>
    <mergeCell ref="AT52:AX52"/>
    <mergeCell ref="R38:S38"/>
    <mergeCell ref="AL59:AM59"/>
    <mergeCell ref="AP77:AS77"/>
    <mergeCell ref="B29:D29"/>
    <mergeCell ref="CO48:CP48"/>
    <mergeCell ref="BC41:BD41"/>
    <mergeCell ref="AL61:AM61"/>
    <mergeCell ref="R40:S40"/>
    <mergeCell ref="DI63:DJ63"/>
    <mergeCell ref="AB72:AC72"/>
    <mergeCell ref="CC51:CF51"/>
    <mergeCell ref="CO77:CP77"/>
    <mergeCell ref="H78:K78"/>
    <mergeCell ref="BU58:BV58"/>
    <mergeCell ref="BC66:BD66"/>
    <mergeCell ref="B24:D24"/>
    <mergeCell ref="X49:Y49"/>
    <mergeCell ref="CI57:CJ57"/>
    <mergeCell ref="AL56:AM56"/>
    <mergeCell ref="BU60:BV60"/>
    <mergeCell ref="BA39:BB39"/>
    <mergeCell ref="B32:D32"/>
    <mergeCell ref="BC68:BD68"/>
    <mergeCell ref="B26:D26"/>
    <mergeCell ref="CS57:CV57"/>
    <mergeCell ref="AT50:AX50"/>
    <mergeCell ref="H73:K73"/>
    <mergeCell ref="DO51:DR51"/>
    <mergeCell ref="CO66:CP66"/>
    <mergeCell ref="AT79:AX79"/>
    <mergeCell ref="AT73:AX73"/>
    <mergeCell ref="AT40:AU40"/>
    <mergeCell ref="B27:D27"/>
    <mergeCell ref="L51:O51"/>
    <mergeCell ref="CO68:CP68"/>
    <mergeCell ref="CO61:CP61"/>
    <mergeCell ref="AN49:AO49"/>
    <mergeCell ref="BU71:BV71"/>
    <mergeCell ref="B77:C77"/>
    <mergeCell ref="AD60:AE60"/>
    <mergeCell ref="BY79:BZ79"/>
    <mergeCell ref="BE54:BF54"/>
    <mergeCell ref="P46:Q46"/>
    <mergeCell ref="CI70:CJ70"/>
    <mergeCell ref="L77:O77"/>
    <mergeCell ref="AJ67:AK67"/>
    <mergeCell ref="BU73:BV73"/>
    <mergeCell ref="Z37:AA37"/>
    <mergeCell ref="CS70:CV70"/>
    <mergeCell ref="AT63:AX63"/>
    <mergeCell ref="BE56:BF56"/>
    <mergeCell ref="P48:Q48"/>
    <mergeCell ref="AJ69:AK69"/>
    <mergeCell ref="AJ62:AK62"/>
    <mergeCell ref="Z38:AA38"/>
    <mergeCell ref="CW76:CX76"/>
    <mergeCell ref="DU81:DY81"/>
    <mergeCell ref="BE57:BF57"/>
    <mergeCell ref="T81:U81"/>
    <mergeCell ref="T56:U56"/>
    <mergeCell ref="DI48:DJ48"/>
    <mergeCell ref="AJ64:AK64"/>
    <mergeCell ref="CC54:CF54"/>
    <mergeCell ref="Z63:AA63"/>
    <mergeCell ref="B63:C63"/>
    <mergeCell ref="AD71:AE71"/>
    <mergeCell ref="BY63:BZ63"/>
    <mergeCell ref="DE64:DH64"/>
    <mergeCell ref="CM49:CN49"/>
    <mergeCell ref="AD73:AE73"/>
    <mergeCell ref="BW59:BX59"/>
    <mergeCell ref="BW61:BX61"/>
    <mergeCell ref="AH53:AI53"/>
    <mergeCell ref="K23:M23"/>
    <mergeCell ref="AL57:AM57"/>
    <mergeCell ref="BM72:BN72"/>
    <mergeCell ref="AH55:AI55"/>
    <mergeCell ref="DI59:DJ59"/>
    <mergeCell ref="BS79:BT79"/>
    <mergeCell ref="AY58:AZ58"/>
    <mergeCell ref="BW56:BX56"/>
    <mergeCell ref="CG78:CH78"/>
    <mergeCell ref="DI61:DJ61"/>
    <mergeCell ref="DE75:DH75"/>
    <mergeCell ref="AL52:AM52"/>
    <mergeCell ref="T66:U66"/>
    <mergeCell ref="CG80:CH80"/>
    <mergeCell ref="BC64:BD64"/>
    <mergeCell ref="CS53:CV53"/>
    <mergeCell ref="I10:J10"/>
    <mergeCell ref="H69:K69"/>
    <mergeCell ref="BM54:BN54"/>
    <mergeCell ref="X46:Y46"/>
    <mergeCell ref="DI56:DJ56"/>
    <mergeCell ref="AP59:AS59"/>
    <mergeCell ref="AT69:AX69"/>
    <mergeCell ref="BU51:BV51"/>
    <mergeCell ref="BC65:BD65"/>
    <mergeCell ref="R64:S64"/>
    <mergeCell ref="X48:Y48"/>
    <mergeCell ref="CS48:CV48"/>
    <mergeCell ref="AP61:AS61"/>
    <mergeCell ref="AT77:AX77"/>
    <mergeCell ref="R57:S57"/>
    <mergeCell ref="AB79:AC79"/>
    <mergeCell ref="AB54:AC54"/>
    <mergeCell ref="AL70:AM70"/>
    <mergeCell ref="R49:S49"/>
    <mergeCell ref="D52:E52"/>
    <mergeCell ref="BO60:BP60"/>
    <mergeCell ref="AP56:AS56"/>
    <mergeCell ref="BU67:BV67"/>
    <mergeCell ref="AT72:AX72"/>
    <mergeCell ref="BU69:BV69"/>
    <mergeCell ref="BA48:BB48"/>
    <mergeCell ref="CS66:CV66"/>
    <mergeCell ref="AT59:AX59"/>
    <mergeCell ref="R75:S75"/>
    <mergeCell ref="CS68:CV68"/>
    <mergeCell ref="BC78:BD78"/>
    <mergeCell ref="H42:I42"/>
    <mergeCell ref="BU64:BV64"/>
    <mergeCell ref="CW47:CX47"/>
    <mergeCell ref="CS67:CV67"/>
    <mergeCell ref="CM48:CN48"/>
    <mergeCell ref="AM37:AQ37"/>
    <mergeCell ref="BK63:BL63"/>
    <mergeCell ref="AJ60:AK60"/>
    <mergeCell ref="BA47:BB47"/>
    <mergeCell ref="BA74:BB74"/>
    <mergeCell ref="B59:C59"/>
    <mergeCell ref="DC56:DD56"/>
    <mergeCell ref="BA40:BB40"/>
    <mergeCell ref="BA76:BB76"/>
    <mergeCell ref="F40:G40"/>
    <mergeCell ref="Z61:AA61"/>
    <mergeCell ref="T47:U47"/>
    <mergeCell ref="DM71:DN71"/>
    <mergeCell ref="CW63:CX63"/>
    <mergeCell ref="P72:Q72"/>
    <mergeCell ref="CM74:CN74"/>
    <mergeCell ref="P65:Q65"/>
    <mergeCell ref="Z62:AA62"/>
    <mergeCell ref="F41:G41"/>
    <mergeCell ref="Z56:AA56"/>
    <mergeCell ref="CM76:CN76"/>
    <mergeCell ref="AR40:AS40"/>
    <mergeCell ref="Z64:AA64"/>
    <mergeCell ref="AH51:AI51"/>
    <mergeCell ref="CM69:CN69"/>
    <mergeCell ref="BS50:BT50"/>
    <mergeCell ref="AN58:AO58"/>
    <mergeCell ref="AJ79:AK79"/>
    <mergeCell ref="BS77:BT77"/>
    <mergeCell ref="BS52:BT52"/>
    <mergeCell ref="CC63:CF63"/>
    <mergeCell ref="BI46:BJ46"/>
    <mergeCell ref="AK42:AL42"/>
    <mergeCell ref="BS72:BT72"/>
    <mergeCell ref="AH77:AI77"/>
    <mergeCell ref="AP57:AS57"/>
    <mergeCell ref="Z75:AA75"/>
    <mergeCell ref="BI73:BJ73"/>
    <mergeCell ref="DE46:DH46"/>
    <mergeCell ref="P80:Q80"/>
    <mergeCell ref="D48:E48"/>
    <mergeCell ref="BS63:BT63"/>
    <mergeCell ref="R55:S55"/>
    <mergeCell ref="AP58:AS58"/>
    <mergeCell ref="AP52:AS52"/>
    <mergeCell ref="BI74:BJ74"/>
    <mergeCell ref="N38:O38"/>
    <mergeCell ref="AH59:AI59"/>
    <mergeCell ref="BI68:BJ68"/>
    <mergeCell ref="AH61:AI61"/>
    <mergeCell ref="N40:O40"/>
    <mergeCell ref="DM58:DN58"/>
    <mergeCell ref="X72:Y72"/>
    <mergeCell ref="D51:E51"/>
    <mergeCell ref="AH54:AI54"/>
    <mergeCell ref="CK77:CL77"/>
    <mergeCell ref="DU46:DY46"/>
    <mergeCell ref="BQ58:BR58"/>
    <mergeCell ref="DM60:DN60"/>
    <mergeCell ref="AH56:AI56"/>
    <mergeCell ref="R73:S73"/>
    <mergeCell ref="DU48:DY48"/>
    <mergeCell ref="AP70:AS70"/>
    <mergeCell ref="AB63:AC63"/>
    <mergeCell ref="BQ53:BR53"/>
    <mergeCell ref="DC58:DD58"/>
    <mergeCell ref="BK61:BL61"/>
    <mergeCell ref="BA72:BB72"/>
    <mergeCell ref="BK62:BL62"/>
    <mergeCell ref="L57:O57"/>
    <mergeCell ref="DC53:DD53"/>
    <mergeCell ref="BK56:BL56"/>
    <mergeCell ref="AJ49:AK49"/>
    <mergeCell ref="BK64:BL64"/>
    <mergeCell ref="DC55:DD55"/>
    <mergeCell ref="CW54:CX54"/>
    <mergeCell ref="DU59:DY59"/>
    <mergeCell ref="BQ71:BR71"/>
    <mergeCell ref="DM73:DN73"/>
    <mergeCell ref="BY58:BZ58"/>
    <mergeCell ref="Z60:AA60"/>
    <mergeCell ref="F39:G39"/>
    <mergeCell ref="BU79:BV79"/>
    <mergeCell ref="BA54:BB54"/>
    <mergeCell ref="CW56:CX56"/>
    <mergeCell ref="DU61:DY61"/>
    <mergeCell ref="BQ73:BR73"/>
    <mergeCell ref="F64:G64"/>
    <mergeCell ref="BA56:BB56"/>
    <mergeCell ref="Z55:AA55"/>
    <mergeCell ref="DC71:DD71"/>
    <mergeCell ref="AD39:AH39"/>
    <mergeCell ref="DU62:DY62"/>
    <mergeCell ref="DC73:DD73"/>
    <mergeCell ref="P56:Q56"/>
    <mergeCell ref="BK75:BL75"/>
    <mergeCell ref="L70:O70"/>
    <mergeCell ref="DC66:DD66"/>
    <mergeCell ref="V63:W63"/>
    <mergeCell ref="B42:C42"/>
    <mergeCell ref="P49:Q49"/>
    <mergeCell ref="Z71:AA71"/>
    <mergeCell ref="F50:G50"/>
    <mergeCell ref="DC68:DD68"/>
    <mergeCell ref="Z73:AA73"/>
    <mergeCell ref="BS59:BT59"/>
    <mergeCell ref="CK47:CL47"/>
    <mergeCell ref="AD53:AE53"/>
    <mergeCell ref="CY53:DB53"/>
    <mergeCell ref="BS61:BT61"/>
    <mergeCell ref="DK79:DL79"/>
    <mergeCell ref="F49:G49"/>
    <mergeCell ref="CK46:CL46"/>
    <mergeCell ref="BI72:BJ72"/>
    <mergeCell ref="AD55:AE55"/>
    <mergeCell ref="CY55:DB55"/>
    <mergeCell ref="BO79:BP79"/>
    <mergeCell ref="CK48:CL48"/>
    <mergeCell ref="F78:G78"/>
    <mergeCell ref="BS56:BT56"/>
    <mergeCell ref="AH52:AI52"/>
    <mergeCell ref="BO74:BP74"/>
    <mergeCell ref="AY66:AZ66"/>
    <mergeCell ref="CA74:CB74"/>
    <mergeCell ref="DS65:DT65"/>
    <mergeCell ref="CY71:DB71"/>
    <mergeCell ref="CA46:CB46"/>
    <mergeCell ref="AY68:AZ68"/>
    <mergeCell ref="DK63:DL63"/>
    <mergeCell ref="BQ51:BR51"/>
    <mergeCell ref="CY73:DB73"/>
    <mergeCell ref="CA69:CB69"/>
    <mergeCell ref="CK66:CL66"/>
    <mergeCell ref="CY66:DB66"/>
    <mergeCell ref="X79:Y79"/>
    <mergeCell ref="D58:E58"/>
    <mergeCell ref="U42:Y42"/>
    <mergeCell ref="H51:K51"/>
    <mergeCell ref="CY68:DB68"/>
    <mergeCell ref="DC51:DD51"/>
    <mergeCell ref="CQ75:CR75"/>
    <mergeCell ref="AT51:AX51"/>
    <mergeCell ref="CK61:CL61"/>
    <mergeCell ref="DM69:DN69"/>
    <mergeCell ref="BQ67:BR67"/>
    <mergeCell ref="AL50:AM50"/>
    <mergeCell ref="BG53:BH53"/>
    <mergeCell ref="BG47:BH47"/>
    <mergeCell ref="BQ69:BR69"/>
    <mergeCell ref="DS78:DT78"/>
    <mergeCell ref="AF67:AG67"/>
    <mergeCell ref="CA59:CB59"/>
    <mergeCell ref="DS80:DT80"/>
    <mergeCell ref="DU58:DY58"/>
    <mergeCell ref="V72:W72"/>
    <mergeCell ref="CS46:CV46"/>
    <mergeCell ref="AF69:AG69"/>
    <mergeCell ref="BQ64:BR64"/>
    <mergeCell ref="DS79:DT79"/>
    <mergeCell ref="BG63:BH63"/>
    <mergeCell ref="L39:M39"/>
    <mergeCell ref="AF62:AG62"/>
    <mergeCell ref="DC62:DD62"/>
    <mergeCell ref="B38:C38"/>
    <mergeCell ref="DC64:DD64"/>
    <mergeCell ref="H59:K59"/>
    <mergeCell ref="B40:C40"/>
    <mergeCell ref="P47:Q47"/>
    <mergeCell ref="H61:K61"/>
    <mergeCell ref="CI74:CJ74"/>
    <mergeCell ref="CI68:CJ68"/>
    <mergeCell ref="K10:O10"/>
    <mergeCell ref="DU80:DY80"/>
    <mergeCell ref="B41:C41"/>
    <mergeCell ref="V62:W62"/>
    <mergeCell ref="V56:W56"/>
    <mergeCell ref="DK50:DL50"/>
    <mergeCell ref="CI76:CJ76"/>
    <mergeCell ref="AT61:AX61"/>
    <mergeCell ref="DU71:DY71"/>
    <mergeCell ref="AD51:AE51"/>
    <mergeCell ref="CI69:CJ69"/>
    <mergeCell ref="P63:Q63"/>
    <mergeCell ref="DK77:DL77"/>
    <mergeCell ref="DK52:DL52"/>
    <mergeCell ref="BO50:BP50"/>
    <mergeCell ref="B66:C66"/>
    <mergeCell ref="J28:Q28"/>
    <mergeCell ref="AJ58:AK58"/>
    <mergeCell ref="F74:G74"/>
    <mergeCell ref="BE55:BF55"/>
    <mergeCell ref="B5:Q7"/>
    <mergeCell ref="CC58:CF58"/>
    <mergeCell ref="J30:Q30"/>
    <mergeCell ref="CC52:CF52"/>
    <mergeCell ref="CO78:CP78"/>
    <mergeCell ref="BY70:BZ70"/>
    <mergeCell ref="F76:G76"/>
    <mergeCell ref="BA38:BB38"/>
    <mergeCell ref="AY62:AZ62"/>
    <mergeCell ref="CQ53:CR53"/>
    <mergeCell ref="BE46:BF46"/>
    <mergeCell ref="CC60:CF60"/>
    <mergeCell ref="DO50:DR50"/>
    <mergeCell ref="AD77:AE77"/>
    <mergeCell ref="AY64:AZ64"/>
    <mergeCell ref="CQ55:CR55"/>
    <mergeCell ref="AN59:AO59"/>
    <mergeCell ref="DO52:DR52"/>
    <mergeCell ref="V75:W75"/>
    <mergeCell ref="AN61:AO61"/>
    <mergeCell ref="BE73:BF73"/>
    <mergeCell ref="U38:Y38"/>
    <mergeCell ref="AD72:AE72"/>
    <mergeCell ref="CC70:CF70"/>
    <mergeCell ref="BW58:BX58"/>
    <mergeCell ref="CG49:CH49"/>
    <mergeCell ref="BO63:BP63"/>
    <mergeCell ref="CQ71:CR71"/>
    <mergeCell ref="BW50:BX50"/>
    <mergeCell ref="U40:Y40"/>
    <mergeCell ref="CK57:CL57"/>
    <mergeCell ref="BE74:BF74"/>
    <mergeCell ref="J38:K38"/>
    <mergeCell ref="BW60:BX60"/>
    <mergeCell ref="BE68:BF68"/>
    <mergeCell ref="CC71:CF71"/>
    <mergeCell ref="DE79:DH79"/>
    <mergeCell ref="J40:K40"/>
    <mergeCell ref="DI58:DJ58"/>
    <mergeCell ref="AY75:AZ75"/>
    <mergeCell ref="CQ66:CR66"/>
    <mergeCell ref="DS49:DT49"/>
    <mergeCell ref="DO80:DR80"/>
    <mergeCell ref="DO63:DR63"/>
    <mergeCell ref="D49:E49"/>
    <mergeCell ref="CG77:CH77"/>
    <mergeCell ref="DI60:DJ60"/>
    <mergeCell ref="CQ68:CR68"/>
    <mergeCell ref="DE74:DH74"/>
    <mergeCell ref="H58:K58"/>
    <mergeCell ref="DE76:DH76"/>
    <mergeCell ref="BW78:BX78"/>
    <mergeCell ref="AF58:AG58"/>
    <mergeCell ref="X63:Y63"/>
    <mergeCell ref="DS77:DT77"/>
    <mergeCell ref="H60:K60"/>
    <mergeCell ref="R53:S53"/>
    <mergeCell ref="BW71:BX71"/>
    <mergeCell ref="AF60:AG60"/>
    <mergeCell ref="AP50:AS50"/>
    <mergeCell ref="R46:S46"/>
    <mergeCell ref="AB37:AC37"/>
    <mergeCell ref="BY48:BZ48"/>
    <mergeCell ref="H57:K57"/>
    <mergeCell ref="BG62:BH62"/>
    <mergeCell ref="BG56:BH56"/>
    <mergeCell ref="R48:S48"/>
    <mergeCell ref="AL69:AM69"/>
    <mergeCell ref="DI71:DJ71"/>
    <mergeCell ref="AM42:AQ42"/>
    <mergeCell ref="DK46:DL46"/>
    <mergeCell ref="R79:S79"/>
    <mergeCell ref="BM71:BN71"/>
    <mergeCell ref="DI73:DJ73"/>
    <mergeCell ref="B39:C39"/>
    <mergeCell ref="CI65:CJ65"/>
    <mergeCell ref="DK48:DL48"/>
    <mergeCell ref="AF78:AG78"/>
    <mergeCell ref="CW51:CX51"/>
    <mergeCell ref="R37:S37"/>
    <mergeCell ref="CS65:CV65"/>
    <mergeCell ref="BO48:BP48"/>
    <mergeCell ref="AF80:AG80"/>
    <mergeCell ref="BM66:BN66"/>
    <mergeCell ref="CO74:CP74"/>
    <mergeCell ref="BY66:BZ66"/>
    <mergeCell ref="BO77:BP77"/>
    <mergeCell ref="B65:C65"/>
    <mergeCell ref="BG75:BH75"/>
    <mergeCell ref="H70:K70"/>
    <mergeCell ref="BY61:BZ61"/>
    <mergeCell ref="AN57:AO57"/>
    <mergeCell ref="V71:W71"/>
    <mergeCell ref="BO72:BP72"/>
    <mergeCell ref="B50:C50"/>
    <mergeCell ref="DK59:DL59"/>
    <mergeCell ref="DO77:DR77"/>
    <mergeCell ref="CW62:CX62"/>
    <mergeCell ref="U9:Y9"/>
    <mergeCell ref="L50:O50"/>
    <mergeCell ref="V73:W73"/>
    <mergeCell ref="BO59:BP59"/>
    <mergeCell ref="DK61:DL61"/>
    <mergeCell ref="L52:O52"/>
    <mergeCell ref="CS78:CV78"/>
    <mergeCell ref="AT71:AX71"/>
    <mergeCell ref="CG53:CH53"/>
    <mergeCell ref="CI80:CJ80"/>
    <mergeCell ref="CG47:CH47"/>
    <mergeCell ref="AR39:AS39"/>
    <mergeCell ref="Z53:AA53"/>
    <mergeCell ref="CC67:CF67"/>
    <mergeCell ref="BO61:BP61"/>
    <mergeCell ref="DE50:DH50"/>
    <mergeCell ref="CS80:CV80"/>
    <mergeCell ref="CG46:CH46"/>
    <mergeCell ref="BE72:BF72"/>
    <mergeCell ref="T62:U62"/>
    <mergeCell ref="CC69:CF69"/>
    <mergeCell ref="CG48:CH48"/>
    <mergeCell ref="T64:U64"/>
    <mergeCell ref="B78:C78"/>
    <mergeCell ref="BO56:BP56"/>
    <mergeCell ref="DS46:DT46"/>
    <mergeCell ref="AN70:AO70"/>
    <mergeCell ref="BM52:BN52"/>
    <mergeCell ref="BW74:BX74"/>
    <mergeCell ref="BA75:BB75"/>
    <mergeCell ref="BW69:BX69"/>
    <mergeCell ref="CG66:CH66"/>
    <mergeCell ref="DE63:DH63"/>
    <mergeCell ref="AB41:AC41"/>
    <mergeCell ref="DI67:DJ67"/>
    <mergeCell ref="CY46:DB46"/>
    <mergeCell ref="CG61:CH61"/>
    <mergeCell ref="DI69:DJ69"/>
    <mergeCell ref="F42:G42"/>
    <mergeCell ref="AH50:AI50"/>
    <mergeCell ref="CA51:CB51"/>
    <mergeCell ref="D66:E66"/>
    <mergeCell ref="AT57:AX57"/>
    <mergeCell ref="BC53:BD53"/>
    <mergeCell ref="BC47:BD47"/>
    <mergeCell ref="CM70:CN70"/>
    <mergeCell ref="AB67:AC67"/>
    <mergeCell ref="BC76:BD76"/>
    <mergeCell ref="R72:S72"/>
    <mergeCell ref="AB69:AC69"/>
    <mergeCell ref="CO47:CP47"/>
    <mergeCell ref="AP69:AS69"/>
    <mergeCell ref="DM46:DN46"/>
    <mergeCell ref="BC63:BD63"/>
    <mergeCell ref="AI42:AJ42"/>
    <mergeCell ref="AB62:AC62"/>
    <mergeCell ref="I9:J9"/>
    <mergeCell ref="AL78:AM78"/>
    <mergeCell ref="CO76:CP76"/>
    <mergeCell ref="B23:D23"/>
    <mergeCell ref="AB64:AC64"/>
    <mergeCell ref="AJ51:AK51"/>
    <mergeCell ref="AL80:AM80"/>
    <mergeCell ref="BU50:BV50"/>
    <mergeCell ref="L46:O46"/>
    <mergeCell ref="CO63:CP63"/>
    <mergeCell ref="CI49:CJ49"/>
    <mergeCell ref="BU77:BV77"/>
    <mergeCell ref="AT37:AU37"/>
    <mergeCell ref="BU52:BV52"/>
    <mergeCell ref="CW60:CX60"/>
    <mergeCell ref="BK53:BL53"/>
    <mergeCell ref="L48:O48"/>
    <mergeCell ref="CS74:CV74"/>
    <mergeCell ref="AJ48:AK48"/>
    <mergeCell ref="CS76:CV76"/>
    <mergeCell ref="AJ77:AK77"/>
    <mergeCell ref="AD49:AE49"/>
    <mergeCell ref="DU60:DY60"/>
    <mergeCell ref="T60:U60"/>
    <mergeCell ref="DM59:DN59"/>
    <mergeCell ref="CS77:CV77"/>
    <mergeCell ref="BK79:BL79"/>
    <mergeCell ref="L74:O74"/>
    <mergeCell ref="AD50:AE50"/>
    <mergeCell ref="B76:C76"/>
    <mergeCell ref="DM61:DN61"/>
    <mergeCell ref="BA46:BB46"/>
    <mergeCell ref="L76:O76"/>
    <mergeCell ref="CW71:CX71"/>
    <mergeCell ref="AD52:AE52"/>
    <mergeCell ref="Z77:AA77"/>
    <mergeCell ref="AJ59:AK59"/>
    <mergeCell ref="P38:Q38"/>
    <mergeCell ref="CW79:CX79"/>
    <mergeCell ref="CW73:CX73"/>
    <mergeCell ref="DU78:DY78"/>
    <mergeCell ref="AJ61:AK61"/>
    <mergeCell ref="P40:Q40"/>
    <mergeCell ref="BM51:BN51"/>
    <mergeCell ref="Z72:AA72"/>
    <mergeCell ref="F51:G51"/>
    <mergeCell ref="BS58:BT58"/>
    <mergeCell ref="CW74:CX74"/>
    <mergeCell ref="T79:U79"/>
    <mergeCell ref="CG57:CH57"/>
    <mergeCell ref="T73:U73"/>
    <mergeCell ref="AD70:AE70"/>
    <mergeCell ref="BS60:BT60"/>
    <mergeCell ref="F38:G38"/>
    <mergeCell ref="BM67:BN67"/>
    <mergeCell ref="DE56:DH56"/>
    <mergeCell ref="F67:G67"/>
    <mergeCell ref="CM66:CN66"/>
    <mergeCell ref="BC72:BD72"/>
    <mergeCell ref="BM69:BN69"/>
    <mergeCell ref="AR38:AS38"/>
    <mergeCell ref="AB58:AC58"/>
    <mergeCell ref="AL49:AM49"/>
    <mergeCell ref="BM64:BN64"/>
    <mergeCell ref="CO72:CP72"/>
    <mergeCell ref="X52:Y52"/>
    <mergeCell ref="BS71:BT71"/>
    <mergeCell ref="AB60:AC60"/>
    <mergeCell ref="H39:I39"/>
    <mergeCell ref="CY72:DB72"/>
    <mergeCell ref="BC54:BD54"/>
    <mergeCell ref="AH67:AI67"/>
    <mergeCell ref="BS73:BT73"/>
    <mergeCell ref="AV42:AZ42"/>
    <mergeCell ref="BU48:BV48"/>
    <mergeCell ref="AI41:AJ41"/>
    <mergeCell ref="BC62:BD62"/>
    <mergeCell ref="BC56:BD56"/>
    <mergeCell ref="AT68:AX68"/>
    <mergeCell ref="R54:S54"/>
    <mergeCell ref="CS47:CV47"/>
    <mergeCell ref="AT67:AX67"/>
    <mergeCell ref="R56:S56"/>
    <mergeCell ref="AB78:AC78"/>
    <mergeCell ref="AP78:AS78"/>
    <mergeCell ref="AP80:AS80"/>
    <mergeCell ref="BU66:BV66"/>
    <mergeCell ref="CS63:CV63"/>
    <mergeCell ref="AB73:AC73"/>
    <mergeCell ref="BA55:BB55"/>
    <mergeCell ref="BK77:BL77"/>
    <mergeCell ref="L72:O72"/>
    <mergeCell ref="BU59:BV59"/>
    <mergeCell ref="L65:O65"/>
    <mergeCell ref="CM53:CN53"/>
    <mergeCell ref="BC75:BD75"/>
    <mergeCell ref="AF53:AG53"/>
    <mergeCell ref="BU61:BV61"/>
    <mergeCell ref="DU74:DY74"/>
    <mergeCell ref="AJ57:AK57"/>
    <mergeCell ref="BK72:BL72"/>
    <mergeCell ref="CM55:CN55"/>
    <mergeCell ref="H50:K50"/>
    <mergeCell ref="CA70:CB70"/>
    <mergeCell ref="BA37:BB37"/>
    <mergeCell ref="DU69:DY69"/>
    <mergeCell ref="CA78:CB78"/>
    <mergeCell ref="J32:Q32"/>
    <mergeCell ref="CY75:DB75"/>
    <mergeCell ref="DU77:DY77"/>
    <mergeCell ref="V53:W53"/>
    <mergeCell ref="DC79:DD79"/>
    <mergeCell ref="DM70:DN70"/>
    <mergeCell ref="P62:Q62"/>
    <mergeCell ref="V46:W46"/>
    <mergeCell ref="Z59:AA59"/>
    <mergeCell ref="BA68:BB68"/>
    <mergeCell ref="AD37:AH37"/>
    <mergeCell ref="P64:Q64"/>
    <mergeCell ref="Z54:AA54"/>
    <mergeCell ref="AJ70:AK70"/>
    <mergeCell ref="L80:O80"/>
    <mergeCell ref="BI52:BJ52"/>
    <mergeCell ref="B58:C58"/>
    <mergeCell ref="V79:W79"/>
    <mergeCell ref="CM68:CN68"/>
    <mergeCell ref="B52:C52"/>
    <mergeCell ref="BM60:BN60"/>
    <mergeCell ref="BS67:BT67"/>
    <mergeCell ref="B60:C60"/>
    <mergeCell ref="AY55:AZ55"/>
    <mergeCell ref="AN50:AO50"/>
    <mergeCell ref="DE80:DH80"/>
    <mergeCell ref="BS69:BT69"/>
    <mergeCell ref="AH68:AI68"/>
    <mergeCell ref="P75:Q75"/>
    <mergeCell ref="AV40:AZ40"/>
    <mergeCell ref="AY79:AZ79"/>
    <mergeCell ref="X51:Y51"/>
    <mergeCell ref="U39:Y39"/>
    <mergeCell ref="AH69:AI69"/>
    <mergeCell ref="CQ72:CR72"/>
    <mergeCell ref="R52:S52"/>
    <mergeCell ref="DO69:DR69"/>
    <mergeCell ref="AV41:AZ41"/>
    <mergeCell ref="AP49:AS49"/>
    <mergeCell ref="J39:K39"/>
    <mergeCell ref="AY74:AZ74"/>
    <mergeCell ref="BI71:BJ71"/>
    <mergeCell ref="CK79:CL79"/>
    <mergeCell ref="X67:Y67"/>
    <mergeCell ref="D46:E46"/>
    <mergeCell ref="AY76:AZ76"/>
    <mergeCell ref="D40:E40"/>
    <mergeCell ref="X61:Y61"/>
    <mergeCell ref="N37:O37"/>
    <mergeCell ref="P9:T9"/>
    <mergeCell ref="CK74:CL74"/>
    <mergeCell ref="DM57:DN57"/>
    <mergeCell ref="AY63:AZ63"/>
    <mergeCell ref="X62:Y62"/>
    <mergeCell ref="D41:E41"/>
    <mergeCell ref="CK76:CL76"/>
    <mergeCell ref="X64:Y64"/>
    <mergeCell ref="DS66:DT66"/>
    <mergeCell ref="AF51:AG51"/>
    <mergeCell ref="BQ50:BR50"/>
    <mergeCell ref="H46:K46"/>
    <mergeCell ref="DC49:DD49"/>
    <mergeCell ref="DI77:DJ77"/>
    <mergeCell ref="AP51:AS51"/>
    <mergeCell ref="CK63:CL63"/>
    <mergeCell ref="D74:E74"/>
    <mergeCell ref="BQ77:BR77"/>
    <mergeCell ref="BA69:BB69"/>
    <mergeCell ref="BQ52:BR52"/>
    <mergeCell ref="D68:E68"/>
    <mergeCell ref="CA67:CB67"/>
    <mergeCell ref="BK59:BL59"/>
    <mergeCell ref="L54:O54"/>
    <mergeCell ref="DC50:DD50"/>
    <mergeCell ref="D59:E59"/>
    <mergeCell ref="AF77:AG77"/>
    <mergeCell ref="BA64:BB64"/>
    <mergeCell ref="L56:O56"/>
    <mergeCell ref="DC52:DD52"/>
    <mergeCell ref="L49:O49"/>
    <mergeCell ref="CM62:CN62"/>
    <mergeCell ref="DM67:DN67"/>
    <mergeCell ref="BG79:BH79"/>
    <mergeCell ref="BY65:BZ65"/>
    <mergeCell ref="BG73:BH73"/>
    <mergeCell ref="CI56:CJ56"/>
    <mergeCell ref="Z50:AA50"/>
    <mergeCell ref="CM64:CN64"/>
    <mergeCell ref="H67:K67"/>
    <mergeCell ref="BQ63:BR63"/>
    <mergeCell ref="Z52:AA52"/>
    <mergeCell ref="BG74:BH74"/>
    <mergeCell ref="L38:M38"/>
    <mergeCell ref="AF59:AG59"/>
    <mergeCell ref="DK65:DL65"/>
    <mergeCell ref="F56:G56"/>
    <mergeCell ref="BG76:BH76"/>
    <mergeCell ref="L40:M40"/>
    <mergeCell ref="DC63:DD63"/>
    <mergeCell ref="BI51:BJ51"/>
    <mergeCell ref="B51:C51"/>
    <mergeCell ref="BO58:BP58"/>
    <mergeCell ref="DK60:DL60"/>
    <mergeCell ref="BY49:BZ49"/>
    <mergeCell ref="F57:G57"/>
    <mergeCell ref="P79:Q79"/>
    <mergeCell ref="AH65:AI65"/>
    <mergeCell ref="P73:Q73"/>
    <mergeCell ref="BY78:BZ78"/>
    <mergeCell ref="DO65:DR65"/>
    <mergeCell ref="BI67:BJ67"/>
    <mergeCell ref="AN74:AO74"/>
    <mergeCell ref="T53:U53"/>
    <mergeCell ref="BI61:BJ61"/>
    <mergeCell ref="DE51:DH51"/>
    <mergeCell ref="BY80:BZ80"/>
    <mergeCell ref="AY72:AZ72"/>
    <mergeCell ref="AY47:AZ47"/>
    <mergeCell ref="CA55:CB55"/>
    <mergeCell ref="BI69:BJ69"/>
    <mergeCell ref="AN76:AO76"/>
    <mergeCell ref="T55:U55"/>
    <mergeCell ref="CY52:DB52"/>
    <mergeCell ref="DK78:DL78"/>
    <mergeCell ref="BI62:BJ62"/>
    <mergeCell ref="F75:G75"/>
    <mergeCell ref="DK80:DL80"/>
    <mergeCell ref="X58:Y58"/>
    <mergeCell ref="CG64:CH64"/>
    <mergeCell ref="AN77:AO77"/>
    <mergeCell ref="AH49:AI49"/>
    <mergeCell ref="BI64:BJ64"/>
    <mergeCell ref="DM55:DN55"/>
    <mergeCell ref="BO71:BP71"/>
    <mergeCell ref="CQ54:CR54"/>
    <mergeCell ref="X60:Y60"/>
    <mergeCell ref="D39:E39"/>
    <mergeCell ref="DS62:DT62"/>
    <mergeCell ref="CC80:CF80"/>
    <mergeCell ref="BQ46:BR46"/>
    <mergeCell ref="CG65:CH65"/>
    <mergeCell ref="BO73:BP73"/>
    <mergeCell ref="CC79:CF79"/>
    <mergeCell ref="CQ56:CR56"/>
    <mergeCell ref="DE62:DH62"/>
    <mergeCell ref="DO78:DR78"/>
    <mergeCell ref="BQ48:BR48"/>
    <mergeCell ref="AH80:AI80"/>
    <mergeCell ref="DS57:DT57"/>
    <mergeCell ref="H48:K48"/>
    <mergeCell ref="CA68:CB68"/>
    <mergeCell ref="DO79:DR79"/>
    <mergeCell ref="D65:E65"/>
    <mergeCell ref="AT48:AX48"/>
    <mergeCell ref="T63:U63"/>
    <mergeCell ref="DC77:DD77"/>
    <mergeCell ref="T71:U71"/>
    <mergeCell ref="CI52:CJ52"/>
    <mergeCell ref="DM68:DN68"/>
    <mergeCell ref="BK52:BL52"/>
    <mergeCell ref="L47:O47"/>
    <mergeCell ref="X73:Y73"/>
    <mergeCell ref="DS75:DT75"/>
    <mergeCell ref="BG77:BH77"/>
    <mergeCell ref="BC39:BD39"/>
    <mergeCell ref="BQ59:BR59"/>
    <mergeCell ref="H74:K74"/>
    <mergeCell ref="H68:K68"/>
    <mergeCell ref="CI53:CJ53"/>
    <mergeCell ref="CI47:CJ47"/>
    <mergeCell ref="AT39:AU39"/>
    <mergeCell ref="AB53:AC53"/>
    <mergeCell ref="AT74:AX74"/>
    <mergeCell ref="BQ61:BR61"/>
    <mergeCell ref="E23:G23"/>
    <mergeCell ref="BG72:BH72"/>
    <mergeCell ref="CI55:CJ55"/>
    <mergeCell ref="CO62:CP62"/>
    <mergeCell ref="AF61:AG61"/>
    <mergeCell ref="CO64:CP64"/>
    <mergeCell ref="AB80:AC80"/>
    <mergeCell ref="D80:E80"/>
    <mergeCell ref="BY74:BZ74"/>
    <mergeCell ref="F55:G55"/>
    <mergeCell ref="V59:W59"/>
    <mergeCell ref="BY76:BZ76"/>
    <mergeCell ref="AN47:AO47"/>
    <mergeCell ref="CI66:CJ66"/>
    <mergeCell ref="DK49:DL49"/>
    <mergeCell ref="CW77:CX77"/>
    <mergeCell ref="V54:W54"/>
    <mergeCell ref="BY77:BZ77"/>
    <mergeCell ref="BE58:BF58"/>
    <mergeCell ref="BE52:BF52"/>
    <mergeCell ref="AJ65:AK65"/>
    <mergeCell ref="F37:G37"/>
    <mergeCell ref="CC49:CF49"/>
    <mergeCell ref="CO75:CP75"/>
    <mergeCell ref="BO67:BP67"/>
    <mergeCell ref="CQ50:CR50"/>
    <mergeCell ref="CW72:CX72"/>
    <mergeCell ref="BE53:BF53"/>
    <mergeCell ref="T77:U77"/>
    <mergeCell ref="BO69:BP69"/>
    <mergeCell ref="AY61:AZ61"/>
    <mergeCell ref="CQ52:CR52"/>
    <mergeCell ref="CC50:CF50"/>
    <mergeCell ref="DE58:DH58"/>
    <mergeCell ref="AD68:AE68"/>
    <mergeCell ref="F68:G68"/>
    <mergeCell ref="DO49:DR49"/>
    <mergeCell ref="AD67:AE67"/>
    <mergeCell ref="BY59:BZ59"/>
    <mergeCell ref="DE60:DH60"/>
    <mergeCell ref="AY56:AZ56"/>
    <mergeCell ref="AD69:AE69"/>
    <mergeCell ref="CQ47:CR47"/>
    <mergeCell ref="BE63:BF63"/>
    <mergeCell ref="CK54:CL54"/>
    <mergeCell ref="BW57:BX57"/>
    <mergeCell ref="BE71:BF71"/>
    <mergeCell ref="BM58:BN58"/>
    <mergeCell ref="AJ78:AK78"/>
    <mergeCell ref="CA65:CB65"/>
    <mergeCell ref="CY62:DB62"/>
    <mergeCell ref="T61:U61"/>
    <mergeCell ref="AJ80:AK80"/>
    <mergeCell ref="CQ63:CR63"/>
    <mergeCell ref="AL55:AM55"/>
    <mergeCell ref="BE66:BF66"/>
    <mergeCell ref="CG74:CH74"/>
    <mergeCell ref="DI57:DJ57"/>
    <mergeCell ref="DE71:DH71"/>
    <mergeCell ref="AL48:AM48"/>
    <mergeCell ref="H72:K72"/>
    <mergeCell ref="CG76:CH76"/>
    <mergeCell ref="AI39:AJ39"/>
    <mergeCell ref="DE73:DH73"/>
    <mergeCell ref="H65:K65"/>
    <mergeCell ref="AB51:AC51"/>
    <mergeCell ref="DI52:DJ52"/>
    <mergeCell ref="BM50:BN50"/>
    <mergeCell ref="CO58:CP58"/>
    <mergeCell ref="DS74:DT74"/>
    <mergeCell ref="DS68:DT68"/>
    <mergeCell ref="CS51:CV51"/>
    <mergeCell ref="BM80:BN80"/>
    <mergeCell ref="AF57:AG57"/>
    <mergeCell ref="BM79:BN79"/>
    <mergeCell ref="BW70:BX70"/>
    <mergeCell ref="D76:E76"/>
    <mergeCell ref="BG59:BH59"/>
    <mergeCell ref="H54:K54"/>
    <mergeCell ref="AL66:AM66"/>
    <mergeCell ref="AT58:AX58"/>
    <mergeCell ref="AB77:AC77"/>
    <mergeCell ref="BY47:BZ47"/>
    <mergeCell ref="AT54:AX54"/>
    <mergeCell ref="H56:K56"/>
    <mergeCell ref="AL68:AM68"/>
    <mergeCell ref="R47:S47"/>
    <mergeCell ref="DI70:DJ70"/>
    <mergeCell ref="BG54:BH54"/>
    <mergeCell ref="H49:K49"/>
    <mergeCell ref="AL67:AM67"/>
    <mergeCell ref="T75:U75"/>
    <mergeCell ref="BC79:BD79"/>
    <mergeCell ref="BU65:BV65"/>
    <mergeCell ref="BC73:BD73"/>
    <mergeCell ref="B31:D31"/>
    <mergeCell ref="V50:W50"/>
    <mergeCell ref="CS62:CV62"/>
    <mergeCell ref="R71:S71"/>
    <mergeCell ref="BM63:BN63"/>
    <mergeCell ref="CO71:CP71"/>
    <mergeCell ref="CS64:CV64"/>
    <mergeCell ref="B54:C54"/>
    <mergeCell ref="AF70:AG70"/>
    <mergeCell ref="BC74:BD74"/>
    <mergeCell ref="H38:I38"/>
    <mergeCell ref="AT78:AX78"/>
    <mergeCell ref="H80:K80"/>
    <mergeCell ref="CO73:CP73"/>
    <mergeCell ref="B56:C56"/>
    <mergeCell ref="CC46:CF46"/>
    <mergeCell ref="AT80:AX80"/>
    <mergeCell ref="H40:I40"/>
    <mergeCell ref="BE51:BF51"/>
    <mergeCell ref="CC48:CF48"/>
    <mergeCell ref="AT38:AU38"/>
    <mergeCell ref="B57:C57"/>
    <mergeCell ref="CW59:CX59"/>
    <mergeCell ref="AD65:AE65"/>
    <mergeCell ref="AN56:AO56"/>
    <mergeCell ref="CC77:CF77"/>
    <mergeCell ref="BU78:BV78"/>
    <mergeCell ref="Z42:AA42"/>
    <mergeCell ref="CW61:CX61"/>
    <mergeCell ref="CS75:CV75"/>
    <mergeCell ref="BW53:BX53"/>
    <mergeCell ref="BE67:BF67"/>
    <mergeCell ref="AJ74:AK74"/>
    <mergeCell ref="AK40:AL40"/>
    <mergeCell ref="P53:Q53"/>
    <mergeCell ref="CM72:CN72"/>
    <mergeCell ref="BU80:BV80"/>
    <mergeCell ref="AT70:AX70"/>
    <mergeCell ref="BW55:BX55"/>
    <mergeCell ref="BE69:BF69"/>
    <mergeCell ref="AJ76:AK76"/>
    <mergeCell ref="CC66:CF66"/>
    <mergeCell ref="BE62:BF62"/>
    <mergeCell ref="B75:C75"/>
    <mergeCell ref="CC59:CF59"/>
    <mergeCell ref="BE64:BF64"/>
    <mergeCell ref="CC61:CF61"/>
    <mergeCell ref="CM54:CN54"/>
    <mergeCell ref="Z70:AA70"/>
    <mergeCell ref="B70:C70"/>
    <mergeCell ref="AD78:AE78"/>
    <mergeCell ref="CM56:CN56"/>
    <mergeCell ref="AD80:AE80"/>
    <mergeCell ref="BW66:BX66"/>
    <mergeCell ref="AH58:AI58"/>
    <mergeCell ref="BM77:BN77"/>
    <mergeCell ref="CO60:CP60"/>
    <mergeCell ref="AP55:AS55"/>
    <mergeCell ref="BW68:BX68"/>
    <mergeCell ref="AH60:AI60"/>
    <mergeCell ref="BW67:BX67"/>
    <mergeCell ref="BC42:BD42"/>
    <mergeCell ref="CA48:CB48"/>
    <mergeCell ref="CO55:CP55"/>
    <mergeCell ref="AH57:AI57"/>
    <mergeCell ref="CS58:CV58"/>
    <mergeCell ref="R67:S67"/>
    <mergeCell ref="BM59:BN59"/>
    <mergeCell ref="CS60:CV60"/>
    <mergeCell ref="P10:T10"/>
    <mergeCell ref="H76:K76"/>
    <mergeCell ref="R69:S69"/>
    <mergeCell ref="BM61:BN61"/>
    <mergeCell ref="AP66:AS66"/>
    <mergeCell ref="AB59:AC59"/>
    <mergeCell ref="CS55:CV55"/>
    <mergeCell ref="AP68:AS68"/>
    <mergeCell ref="AB61:AC61"/>
    <mergeCell ref="AP67:AS67"/>
    <mergeCell ref="V51:W51"/>
    <mergeCell ref="X80:Y80"/>
    <mergeCell ref="DM74:DN74"/>
    <mergeCell ref="BK58:BL58"/>
    <mergeCell ref="BU74:BV74"/>
    <mergeCell ref="BA53:BB53"/>
    <mergeCell ref="B55:C55"/>
    <mergeCell ref="CW57:CX57"/>
    <mergeCell ref="AH70:AI70"/>
    <mergeCell ref="BK50:BL50"/>
    <mergeCell ref="BU49:BV49"/>
    <mergeCell ref="CS71:CV71"/>
    <mergeCell ref="BK60:BL60"/>
    <mergeCell ref="L55:O55"/>
    <mergeCell ref="CW50:CX50"/>
    <mergeCell ref="BU76:BV76"/>
    <mergeCell ref="CS73:CV73"/>
    <mergeCell ref="AJ47:AK47"/>
    <mergeCell ref="CW58:CX58"/>
    <mergeCell ref="CW52:CX52"/>
    <mergeCell ref="BA50:BB50"/>
    <mergeCell ref="DU57:DY57"/>
    <mergeCell ref="Z41:AA41"/>
    <mergeCell ref="BA52:BB52"/>
    <mergeCell ref="BA79:BB79"/>
    <mergeCell ref="DC67:DD67"/>
    <mergeCell ref="CI46:CJ46"/>
    <mergeCell ref="BK70:BL70"/>
    <mergeCell ref="CM50:CN50"/>
    <mergeCell ref="DC69:DD69"/>
    <mergeCell ref="P77:Q77"/>
    <mergeCell ref="BK71:BL71"/>
    <mergeCell ref="L66:O66"/>
    <mergeCell ref="F47:G47"/>
    <mergeCell ref="CM79:CN79"/>
    <mergeCell ref="Z68:AA68"/>
    <mergeCell ref="CW70:CX70"/>
    <mergeCell ref="Z67:AA67"/>
    <mergeCell ref="F46:G46"/>
    <mergeCell ref="BK73:BL73"/>
    <mergeCell ref="P37:Q37"/>
    <mergeCell ref="L68:O68"/>
    <mergeCell ref="Z69:AA69"/>
    <mergeCell ref="F48:G48"/>
    <mergeCell ref="BA63:BB63"/>
    <mergeCell ref="DU70:DY70"/>
    <mergeCell ref="G9:H9"/>
    <mergeCell ref="AR42:AS42"/>
    <mergeCell ref="BS57:BT57"/>
    <mergeCell ref="BA71:BB71"/>
    <mergeCell ref="F73:G73"/>
    <mergeCell ref="CY51:DB51"/>
    <mergeCell ref="CM63:CN63"/>
    <mergeCell ref="AR37:AS37"/>
    <mergeCell ref="BA66:BB66"/>
    <mergeCell ref="AT47:AX47"/>
    <mergeCell ref="CY67:DB67"/>
    <mergeCell ref="CA72:CB72"/>
    <mergeCell ref="BI80:BJ80"/>
    <mergeCell ref="AB57:AC57"/>
    <mergeCell ref="CY69:DB69"/>
    <mergeCell ref="BI79:BJ79"/>
    <mergeCell ref="D55:E55"/>
    <mergeCell ref="CK62:CL62"/>
    <mergeCell ref="CK56:CL56"/>
    <mergeCell ref="BS70:BT70"/>
    <mergeCell ref="AP65:AS65"/>
    <mergeCell ref="AH66:AI66"/>
    <mergeCell ref="CK64:CL64"/>
    <mergeCell ref="CY64:DB64"/>
    <mergeCell ref="X77:Y77"/>
    <mergeCell ref="BU47:BV47"/>
    <mergeCell ref="DM65:DN65"/>
    <mergeCell ref="CA54:CB54"/>
    <mergeCell ref="AL46:AM46"/>
    <mergeCell ref="DU53:DY53"/>
    <mergeCell ref="BQ65:BR65"/>
    <mergeCell ref="CA56:CB56"/>
    <mergeCell ref="AJ72:AK72"/>
    <mergeCell ref="DU55:DY55"/>
    <mergeCell ref="CA49:CB49"/>
    <mergeCell ref="DM54:DN54"/>
    <mergeCell ref="DS76:DT76"/>
    <mergeCell ref="AB70:AC70"/>
    <mergeCell ref="BQ60:BR60"/>
    <mergeCell ref="CA57:CB57"/>
    <mergeCell ref="DC65:DD65"/>
    <mergeCell ref="V60:W60"/>
    <mergeCell ref="H23:J23"/>
    <mergeCell ref="CY54:DB54"/>
    <mergeCell ref="CK75:CL75"/>
    <mergeCell ref="BK67:BL67"/>
    <mergeCell ref="L62:O62"/>
    <mergeCell ref="AF50:AG50"/>
    <mergeCell ref="DM49:DN49"/>
    <mergeCell ref="CA80:CB80"/>
    <mergeCell ref="BG61:BH61"/>
    <mergeCell ref="BK69:BL69"/>
    <mergeCell ref="L64:O64"/>
    <mergeCell ref="DC60:DD60"/>
    <mergeCell ref="CM52:CN52"/>
    <mergeCell ref="V57:W57"/>
    <mergeCell ref="AF52:AG52"/>
    <mergeCell ref="DM78:DN78"/>
    <mergeCell ref="DU66:DY66"/>
    <mergeCell ref="BQ78:BR78"/>
    <mergeCell ref="DM80:DN80"/>
    <mergeCell ref="DK47:DL47"/>
    <mergeCell ref="J29:Q29"/>
    <mergeCell ref="CM47:CN47"/>
    <mergeCell ref="V58:W58"/>
    <mergeCell ref="V52:W52"/>
    <mergeCell ref="AF49:AG49"/>
    <mergeCell ref="CI72:CJ72"/>
    <mergeCell ref="BO51:BP51"/>
    <mergeCell ref="DU68:DY68"/>
    <mergeCell ref="BQ80:BR80"/>
    <mergeCell ref="CO79:CP79"/>
    <mergeCell ref="BS55:BT55"/>
    <mergeCell ref="P59:Q59"/>
    <mergeCell ref="BQ79:BR79"/>
    <mergeCell ref="DU67:DY67"/>
    <mergeCell ref="DC78:DD78"/>
    <mergeCell ref="BA62:BB62"/>
    <mergeCell ref="P61:Q61"/>
    <mergeCell ref="L75:O75"/>
    <mergeCell ref="J26:Q26"/>
    <mergeCell ref="DC80:DD80"/>
    <mergeCell ref="F72:G72"/>
    <mergeCell ref="BI49:BJ49"/>
    <mergeCell ref="AN62:AO62"/>
    <mergeCell ref="V70:W70"/>
    <mergeCell ref="DO46:DR46"/>
    <mergeCell ref="B49:C49"/>
    <mergeCell ref="AY60:AZ60"/>
    <mergeCell ref="CQ51:CR51"/>
    <mergeCell ref="DO48:DR48"/>
    <mergeCell ref="Z80:AA80"/>
    <mergeCell ref="BI50:BJ50"/>
    <mergeCell ref="CK58:CL58"/>
    <mergeCell ref="BS66:BT66"/>
    <mergeCell ref="AD58:AE58"/>
    <mergeCell ref="F54:G54"/>
    <mergeCell ref="BI77:BJ77"/>
    <mergeCell ref="CK60:CL60"/>
    <mergeCell ref="BS68:BT68"/>
    <mergeCell ref="CY60:DB60"/>
    <mergeCell ref="CQ67:CR67"/>
    <mergeCell ref="BW46:BX46"/>
    <mergeCell ref="BW48:BX48"/>
    <mergeCell ref="CK55:CL55"/>
    <mergeCell ref="DO66:DR66"/>
    <mergeCell ref="AV38:AZ38"/>
    <mergeCell ref="AY71:AZ71"/>
    <mergeCell ref="CQ62:CR62"/>
    <mergeCell ref="AN75:AO75"/>
    <mergeCell ref="DI46:DJ46"/>
    <mergeCell ref="DE77:DH77"/>
    <mergeCell ref="DO59:DR59"/>
    <mergeCell ref="AY73:AZ73"/>
    <mergeCell ref="D37:E37"/>
    <mergeCell ref="CQ64:CR64"/>
    <mergeCell ref="DS72:DT72"/>
    <mergeCell ref="DS47:DT47"/>
    <mergeCell ref="DO67:DR67"/>
    <mergeCell ref="CY78:DB78"/>
    <mergeCell ref="DO61:DR61"/>
    <mergeCell ref="CA47:CB47"/>
    <mergeCell ref="BI63:BJ63"/>
    <mergeCell ref="CK71:CL71"/>
    <mergeCell ref="CY50:DB50"/>
    <mergeCell ref="DE72:DH72"/>
    <mergeCell ref="CY80:DB80"/>
    <mergeCell ref="X59:Y59"/>
    <mergeCell ref="D38:E38"/>
    <mergeCell ref="CA76:CB76"/>
    <mergeCell ref="BG57:BH57"/>
    <mergeCell ref="CK73:CL73"/>
    <mergeCell ref="CY79:DB79"/>
    <mergeCell ref="AP46:AS46"/>
    <mergeCell ref="AM41:AQ41"/>
    <mergeCell ref="AF48:AG48"/>
    <mergeCell ref="D63:E63"/>
    <mergeCell ref="AP48:AS48"/>
    <mergeCell ref="BG58:BH58"/>
    <mergeCell ref="BG52:BH52"/>
    <mergeCell ref="AL65:AM65"/>
    <mergeCell ref="DM76:DN76"/>
    <mergeCell ref="BQ49:BR49"/>
    <mergeCell ref="BG60:BH60"/>
    <mergeCell ref="BC37:BD37"/>
    <mergeCell ref="AF74:AG74"/>
    <mergeCell ref="CA66:CB66"/>
    <mergeCell ref="CY63:DB63"/>
    <mergeCell ref="DU65:DY65"/>
    <mergeCell ref="AF76:AG76"/>
    <mergeCell ref="AT46:AX46"/>
    <mergeCell ref="BY62:BZ62"/>
    <mergeCell ref="BG70:BH70"/>
    <mergeCell ref="R62:S62"/>
    <mergeCell ref="BY64:BZ64"/>
    <mergeCell ref="BY57:BZ57"/>
    <mergeCell ref="BG71:BH71"/>
    <mergeCell ref="B47:C47"/>
    <mergeCell ref="CI54:CJ54"/>
    <mergeCell ref="CI79:CJ79"/>
    <mergeCell ref="DK62:DL62"/>
    <mergeCell ref="H66:K66"/>
    <mergeCell ref="V68:W68"/>
    <mergeCell ref="AN53:AO53"/>
    <mergeCell ref="B46:C46"/>
    <mergeCell ref="CS79:CV79"/>
    <mergeCell ref="V67:W67"/>
    <mergeCell ref="L37:M37"/>
    <mergeCell ref="BI48:BJ48"/>
    <mergeCell ref="AN55:AO55"/>
    <mergeCell ref="B48:C48"/>
    <mergeCell ref="V69:W69"/>
    <mergeCell ref="DK57:DL57"/>
    <mergeCell ref="N13:P13"/>
    <mergeCell ref="CC64:CF64"/>
    <mergeCell ref="BO57:BP57"/>
    <mergeCell ref="B73:C73"/>
    <mergeCell ref="BY75:BZ75"/>
    <mergeCell ref="AH64:AI64"/>
    <mergeCell ref="Z51:AA51"/>
    <mergeCell ref="AN71:AO71"/>
    <mergeCell ref="CC65:CF65"/>
    <mergeCell ref="B74:C74"/>
    <mergeCell ref="AY69:AZ69"/>
    <mergeCell ref="BO52:BP52"/>
    <mergeCell ref="CQ60:CR60"/>
    <mergeCell ref="B68:C68"/>
    <mergeCell ref="AN73:AO73"/>
    <mergeCell ref="T52:U52"/>
    <mergeCell ref="DO57:DR57"/>
    <mergeCell ref="DK75:DL75"/>
    <mergeCell ref="BI59:BJ59"/>
    <mergeCell ref="AN66:AO66"/>
    <mergeCell ref="AN68:AO68"/>
    <mergeCell ref="T49:U49"/>
    <mergeCell ref="BC51:BD51"/>
    <mergeCell ref="DK70:DL70"/>
    <mergeCell ref="BE80:BF80"/>
    <mergeCell ref="BE79:BF79"/>
    <mergeCell ref="BW65:BX65"/>
    <mergeCell ref="CG62:CH62"/>
    <mergeCell ref="T78:U78"/>
    <mergeCell ref="CG56:CH56"/>
    <mergeCell ref="BO70:BP70"/>
    <mergeCell ref="DE59:DH59"/>
    <mergeCell ref="T50:U50"/>
    <mergeCell ref="DO75:DR75"/>
    <mergeCell ref="DM47:DN47"/>
    <mergeCell ref="D61:E61"/>
    <mergeCell ref="T80:U80"/>
    <mergeCell ref="CO51:CP51"/>
    <mergeCell ref="DS54:DT54"/>
    <mergeCell ref="CC78:CF78"/>
    <mergeCell ref="DE61:DH61"/>
    <mergeCell ref="CM71:CN71"/>
    <mergeCell ref="BQ47:BR47"/>
    <mergeCell ref="AB39:AC39"/>
    <mergeCell ref="CQ79:CR79"/>
    <mergeCell ref="DI65:DJ65"/>
    <mergeCell ref="CQ73:CR73"/>
    <mergeCell ref="BC77:BD77"/>
    <mergeCell ref="DS56:DT56"/>
    <mergeCell ref="AH46:AI46"/>
    <mergeCell ref="D62:E62"/>
    <mergeCell ref="DO70:DR70"/>
    <mergeCell ref="D56:E56"/>
    <mergeCell ref="D64:E64"/>
    <mergeCell ref="AL79:AM79"/>
    <mergeCell ref="AL54:AM54"/>
    <mergeCell ref="R58:S58"/>
    <mergeCell ref="AB49:AC49"/>
    <mergeCell ref="X70:Y70"/>
    <mergeCell ref="AB65:AC65"/>
    <mergeCell ref="R60:S60"/>
    <mergeCell ref="CG75:CH75"/>
    <mergeCell ref="AI38:AJ38"/>
    <mergeCell ref="BC59:BD59"/>
    <mergeCell ref="BY53:BZ53"/>
    <mergeCell ref="H62:K62"/>
    <mergeCell ref="BG67:BH67"/>
    <mergeCell ref="CI50:CJ50"/>
    <mergeCell ref="AB50:AC50"/>
    <mergeCell ref="BW80:BX80"/>
    <mergeCell ref="BC61:BD61"/>
    <mergeCell ref="AI40:AJ40"/>
    <mergeCell ref="BY55:BZ55"/>
    <mergeCell ref="BG69:BH69"/>
    <mergeCell ref="AL76:AM76"/>
    <mergeCell ref="DI78:DJ78"/>
    <mergeCell ref="CO59:CP59"/>
    <mergeCell ref="D75:E75"/>
    <mergeCell ref="DI80:DJ80"/>
    <mergeCell ref="R42:S42"/>
    <mergeCell ref="DK55:DL55"/>
    <mergeCell ref="BK51:BL51"/>
    <mergeCell ref="CO54:CP54"/>
    <mergeCell ref="BY71:BZ71"/>
    <mergeCell ref="CS72:CV72"/>
    <mergeCell ref="CO56:CP56"/>
    <mergeCell ref="BY73:BZ73"/>
    <mergeCell ref="BA41:BB41"/>
    <mergeCell ref="AD47:AE47"/>
    <mergeCell ref="H75:K75"/>
    <mergeCell ref="CI63:CJ63"/>
    <mergeCell ref="B72:C72"/>
    <mergeCell ref="BY68:BZ68"/>
    <mergeCell ref="BE49:BF49"/>
    <mergeCell ref="P41:Q41"/>
    <mergeCell ref="DK66:DL66"/>
    <mergeCell ref="CW69:CX69"/>
    <mergeCell ref="BE50:BF50"/>
    <mergeCell ref="CG58:CH58"/>
    <mergeCell ref="T74:U74"/>
    <mergeCell ref="DK68:DL68"/>
    <mergeCell ref="Z58:AA58"/>
    <mergeCell ref="CQ49:CR49"/>
    <mergeCell ref="BE77:BF77"/>
    <mergeCell ref="CG60:CH60"/>
    <mergeCell ref="T76:U76"/>
    <mergeCell ref="CC74:CF74"/>
    <mergeCell ref="DE57:DH57"/>
    <mergeCell ref="BS46:BT46"/>
    <mergeCell ref="T69:U69"/>
    <mergeCell ref="AD66:AE66"/>
    <mergeCell ref="CC76:CF76"/>
    <mergeCell ref="BS48:BT48"/>
    <mergeCell ref="CG55:CH55"/>
    <mergeCell ref="DE52:DH52"/>
    <mergeCell ref="BW54:BX54"/>
    <mergeCell ref="AJ75:AK75"/>
    <mergeCell ref="P54:Q54"/>
    <mergeCell ref="DS53:DT53"/>
    <mergeCell ref="BM65:BN65"/>
    <mergeCell ref="F65:G65"/>
    <mergeCell ref="BW49:BX49"/>
    <mergeCell ref="CG71:CH71"/>
    <mergeCell ref="DI54:DJ54"/>
    <mergeCell ref="BS74:BT74"/>
    <mergeCell ref="AY53:AZ53"/>
    <mergeCell ref="T59:U59"/>
    <mergeCell ref="BW76:BX76"/>
    <mergeCell ref="BC57:BD57"/>
    <mergeCell ref="CG73:CH73"/>
    <mergeCell ref="DE70:DH70"/>
    <mergeCell ref="AL47:AM47"/>
    <mergeCell ref="DI49:DJ49"/>
    <mergeCell ref="CK53:CL53"/>
    <mergeCell ref="AT62:AX62"/>
    <mergeCell ref="BC58:BD58"/>
    <mergeCell ref="H64:K64"/>
    <mergeCell ref="BC52:BD52"/>
    <mergeCell ref="BM49:BN49"/>
    <mergeCell ref="CM75:CN75"/>
    <mergeCell ref="AT64:AX64"/>
    <mergeCell ref="BC60:BD60"/>
    <mergeCell ref="CO50:CP50"/>
    <mergeCell ref="BM78:BN78"/>
    <mergeCell ref="AL63:AM63"/>
    <mergeCell ref="AB74:AC74"/>
    <mergeCell ref="CO52:CP52"/>
    <mergeCell ref="AT65:AX65"/>
    <mergeCell ref="BO55:BP55"/>
    <mergeCell ref="AB76:AC76"/>
    <mergeCell ref="AP76:AS76"/>
    <mergeCell ref="BU62:BV62"/>
    <mergeCell ref="BC70:BD70"/>
    <mergeCell ref="B28:D28"/>
    <mergeCell ref="CS59:CV59"/>
    <mergeCell ref="B30:D30"/>
    <mergeCell ref="CS61:CV61"/>
    <mergeCell ref="BG50:BH50"/>
    <mergeCell ref="P39:Q39"/>
    <mergeCell ref="BU57:BV57"/>
    <mergeCell ref="BC71:BD71"/>
    <mergeCell ref="AH78:AI78"/>
    <mergeCell ref="L53:O53"/>
    <mergeCell ref="R70:S70"/>
    <mergeCell ref="CS54:CV54"/>
    <mergeCell ref="AJ53:AK53"/>
    <mergeCell ref="CM51:CN51"/>
    <mergeCell ref="H37:I37"/>
    <mergeCell ref="DU72:DY72"/>
    <mergeCell ref="CS56:CV56"/>
    <mergeCell ref="AT49:AX49"/>
    <mergeCell ref="AJ55:AK55"/>
    <mergeCell ref="L79:O79"/>
    <mergeCell ref="CM67:CN67"/>
    <mergeCell ref="BU75:BV75"/>
    <mergeCell ref="DM66:DN66"/>
    <mergeCell ref="Z49:AA49"/>
    <mergeCell ref="AJ71:AK71"/>
    <mergeCell ref="P50:Q50"/>
    <mergeCell ref="P60:Q60"/>
    <mergeCell ref="Z57:AA57"/>
    <mergeCell ref="BW52:BX52"/>
    <mergeCell ref="AJ73:AK73"/>
    <mergeCell ref="P52:Q52"/>
    <mergeCell ref="BU70:BV70"/>
    <mergeCell ref="CW78:CX78"/>
    <mergeCell ref="BE59:BF59"/>
    <mergeCell ref="AK38:AL38"/>
    <mergeCell ref="AJ66:AK66"/>
    <mergeCell ref="CW80:CX80"/>
    <mergeCell ref="BW47:BX47"/>
    <mergeCell ref="AJ68:AK68"/>
    <mergeCell ref="AY51:AZ51"/>
    <mergeCell ref="AN46:AO46"/>
    <mergeCell ref="BS65:BT65"/>
    <mergeCell ref="P78:Q78"/>
    <mergeCell ref="AN48:AO48"/>
    <mergeCell ref="AK37:AL37"/>
    <mergeCell ref="DI47:DJ47"/>
    <mergeCell ref="P71:Q71"/>
    <mergeCell ref="BW63:BX63"/>
    <mergeCell ref="BM74:BN74"/>
    <mergeCell ref="BM68:BN68"/>
    <mergeCell ref="AY77:AZ77"/>
    <mergeCell ref="BM76:BN76"/>
    <mergeCell ref="AV39:AZ39"/>
    <mergeCell ref="AP47:AS47"/>
    <mergeCell ref="X65:Y65"/>
    <mergeCell ref="AM39:AQ39"/>
    <mergeCell ref="BS78:BT78"/>
    <mergeCell ref="DM53:DN53"/>
    <mergeCell ref="AY59:AZ59"/>
    <mergeCell ref="S4:U4"/>
    <mergeCell ref="BU53:BV53"/>
    <mergeCell ref="BC67:BD67"/>
    <mergeCell ref="R66:S66"/>
    <mergeCell ref="CK72:CL72"/>
    <mergeCell ref="X50:Y50"/>
    <mergeCell ref="CS50:CV50"/>
    <mergeCell ref="BS80:BT80"/>
    <mergeCell ref="AP63:AS63"/>
    <mergeCell ref="BU55:BV55"/>
    <mergeCell ref="BC69:BD69"/>
    <mergeCell ref="R68:S68"/>
    <mergeCell ref="CS52:CV52"/>
    <mergeCell ref="AY54:AZ54"/>
    <mergeCell ref="BK54:BL54"/>
    <mergeCell ref="D54:E54"/>
    <mergeCell ref="R61:S61"/>
    <mergeCell ref="BA65:BB65"/>
    <mergeCell ref="DC47:DD47"/>
    <mergeCell ref="AT41:AU41"/>
    <mergeCell ref="BA58:BB58"/>
    <mergeCell ref="DC46:DD46"/>
    <mergeCell ref="BK49:BL49"/>
    <mergeCell ref="BG51:BH51"/>
    <mergeCell ref="DM62:DN62"/>
    <mergeCell ref="BA60:BB60"/>
    <mergeCell ref="BK57:BL57"/>
    <mergeCell ref="DC48:DD48"/>
    <mergeCell ref="X78:Y78"/>
    <mergeCell ref="D57:E57"/>
    <mergeCell ref="CM65:CN65"/>
    <mergeCell ref="AF65:AG65"/>
    <mergeCell ref="Z47:AA47"/>
    <mergeCell ref="CM58:CN58"/>
    <mergeCell ref="CW49:CX49"/>
    <mergeCell ref="DU54:DY54"/>
    <mergeCell ref="BQ66:BR66"/>
    <mergeCell ref="CM60:CN60"/>
    <mergeCell ref="BU68:BV68"/>
    <mergeCell ref="BA49:BB49"/>
    <mergeCell ref="L41:M41"/>
    <mergeCell ref="DU56:DY56"/>
    <mergeCell ref="BY46:BZ46"/>
    <mergeCell ref="Z48:AA48"/>
    <mergeCell ref="BA42:BB42"/>
    <mergeCell ref="DU49:DY49"/>
    <mergeCell ref="BA78:BB78"/>
    <mergeCell ref="P74:Q74"/>
    <mergeCell ref="DU76:DY76"/>
    <mergeCell ref="L63:O63"/>
    <mergeCell ref="DC59:DD59"/>
  </mergeCells>
  <conditionalFormatting sqref="G10:H10">
    <cfRule type="expression" priority="1" dxfId="0">
      <formula>$L10=""</formula>
    </cfRule>
    <cfRule type="expression" priority="2" dxfId="1">
      <formula>$L10&gt;20</formula>
    </cfRule>
  </conditionalFormatting>
  <conditionalFormatting sqref="H38:O42">
    <cfRule type="cellIs" priority="3" operator="equal" dxfId="2">
      <formula>"none"</formula>
    </cfRule>
  </conditionalFormatting>
  <conditionalFormatting sqref="CC46">
    <cfRule type="containsText" priority="4" operator="containsText" dxfId="2" text="normal">
      <formula>NOT(ISERROR(SEARCH(("normal"),(CC46))))</formula>
    </cfRule>
    <cfRule type="containsText" priority="5" operator="containsText" dxfId="3" text="boss">
      <formula>NOT(ISERROR(SEARCH(("boss"),(CC46))))</formula>
    </cfRule>
  </conditionalFormatting>
  <conditionalFormatting sqref="R47:S80">
    <cfRule type="cellIs" priority="6" operator="equal" dxfId="3">
      <formula>"Yellow"</formula>
    </cfRule>
    <cfRule type="cellIs" priority="7" operator="equal" dxfId="4">
      <formula>"Blue"</formula>
    </cfRule>
    <cfRule type="cellIs" priority="8" operator="equal" dxfId="5">
      <formula>"Red"</formula>
    </cfRule>
    <cfRule type="cellIs" priority="9" operator="equal" dxfId="6">
      <formula>"Green"</formula>
    </cfRule>
    <cfRule type="cellIs" priority="10" operator="equal" dxfId="7">
      <formula>"Colorless"</formula>
    </cfRule>
  </conditionalFormatting>
  <conditionalFormatting sqref="P39:Q39">
    <cfRule type="cellIs" priority="11" operator="equal" dxfId="2">
      <formula>"none"</formula>
    </cfRule>
  </conditionalFormatting>
  <conditionalFormatting sqref="J38:Q42">
    <cfRule type="cellIs" priority="12" operator="equal" dxfId="2">
      <formula>"none"</formula>
    </cfRule>
  </conditionalFormatting>
  <dataValidations count="15">
    <dataValidation sqref="BY47:BY80" showDropDown="0" showInputMessage="0" showErrorMessage="1" allowBlank="1" type="list">
      <formula1>'エネミー出現'!$M$2:$M82</formula1>
    </dataValidation>
    <dataValidation sqref="U38:U42 AD38:AD42 AM38:AM42 AV38:AV42" showDropDown="0" showInputMessage="0" showErrorMessage="1" allowBlank="1" type="list">
      <formula1>'コマ効果'!$B$2:$B82</formula1>
    </dataValidation>
    <dataValidation sqref="CC47:CC80" showDropDown="0" showInputMessage="0" showErrorMessage="1" allowBlank="1" type="list">
      <formula1>'エネミー出現'!$A$2:A82</formula1>
    </dataValidation>
    <dataValidation sqref="K10 P10" showDropDown="0" showInputMessage="0" showErrorMessage="1" allowBlank="1" type="list">
      <formula1>'BGM_管理'!$A:$A</formula1>
    </dataValidation>
    <dataValidation sqref="D38:D42" showDropDown="0" showInputMessage="0" showErrorMessage="1" allowBlank="1" type="list">
      <formula1>'行パターン'!$A$2:$A82</formula1>
    </dataValidation>
    <dataValidation sqref="DM47:DM80" showDropDown="0" showInputMessage="0" showErrorMessage="1" allowBlank="1" type="list">
      <formula1>"FALSE,TRUE"</formula1>
    </dataValidation>
    <dataValidation sqref="DO47:DO80" showDropDown="0" showInputMessage="0" showErrorMessage="1" allowBlank="1" type="list">
      <formula1>'エネミー出現'!$A$2:C82</formula1>
    </dataValidation>
    <dataValidation sqref="CO47:CO80" showDropDown="0" showInputMessage="0" showErrorMessage="1" allowBlank="1" type="list">
      <formula1>'エネミー出現'!$D$2:$D$5</formula1>
    </dataValidation>
    <dataValidation sqref="B27:B32" showDropDown="0" showInputMessage="0" showErrorMessage="1" allowBlank="1" type="list">
      <formula1>"FirstClear,Clear,Random"</formula1>
    </dataValidation>
    <dataValidation sqref="V47:V80" showDropDown="0" showInputMessage="0" showErrorMessage="1" allowBlank="1" type="list">
      <formula1>'エネミー出現'!$P$2:$P82</formula1>
    </dataValidation>
    <dataValidation sqref="CS47:CS80 DE47:DE80" showDropDown="0" showInputMessage="0" showErrorMessage="1" allowBlank="1" type="list">
      <formula1>'エネミー出現'!$G$2:$G82</formula1>
    </dataValidation>
    <dataValidation sqref="Z47:Z80" showDropDown="0" showInputMessage="0" showErrorMessage="1" allowBlank="1" type="list">
      <formula1>"あり,なし"</formula1>
    </dataValidation>
    <dataValidation sqref="X47:X80" showDropDown="0" showInputMessage="0" showErrorMessage="1" allowBlank="1" type="list">
      <formula1>'エネミー出現'!$S$2:$S82</formula1>
    </dataValidation>
    <dataValidation sqref="CY47:CY80" showDropDown="0" showInputMessage="0" showErrorMessage="1" allowBlank="1" type="list">
      <formula1>'エネミー出現'!$J$2:$J82</formula1>
    </dataValidation>
    <dataValidation sqref="J27:J32" showDropDown="0" showInputMessage="0" showErrorMessage="1" allowBlank="1" type="list">
      <formula1>'アイテムID_管理'!$H:$H</formula1>
    </dataValidation>
  </dataValidations>
  <hyperlinks>
    <hyperlink xmlns:r="http://schemas.openxmlformats.org/officeDocument/2006/relationships" ref="F46" r:id="rId1"/>
    <hyperlink xmlns:r="http://schemas.openxmlformats.org/officeDocument/2006/relationships" ref="EJ46" r:id="rId2"/>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S16"/>
  <sheetViews>
    <sheetView showGridLines="0" workbookViewId="0">
      <selection activeCell="A1" sqref="A1"/>
    </sheetView>
  </sheetViews>
  <sheetFormatPr baseColWidth="8" defaultColWidth="12.63" defaultRowHeight="15.75" customHeight="1"/>
  <cols>
    <col width="4.25" customWidth="1" style="482" min="1" max="20"/>
  </cols>
  <sheetData>
    <row r="1">
      <c r="A1" s="334" t="n"/>
      <c r="B1" s="334" t="n"/>
      <c r="C1" s="334" t="n"/>
      <c r="D1" s="334" t="n"/>
      <c r="E1" s="334" t="n"/>
      <c r="F1" s="334" t="n"/>
      <c r="G1" s="334" t="n"/>
      <c r="H1" s="334" t="n"/>
      <c r="I1" s="334" t="n"/>
      <c r="J1" s="334" t="n"/>
      <c r="K1" s="334" t="n"/>
      <c r="L1" s="334" t="n"/>
      <c r="M1" s="334" t="n"/>
      <c r="N1" s="334" t="n"/>
      <c r="O1" s="334" t="n"/>
      <c r="P1" s="334" t="n"/>
      <c r="Q1" s="334" t="n"/>
      <c r="R1" s="334" t="n"/>
      <c r="S1" s="334" t="n"/>
    </row>
    <row r="2">
      <c r="A2" s="334" t="n"/>
      <c r="B2" s="142" t="inlineStr">
        <is>
          <t>mst_in_game_id</t>
        </is>
      </c>
      <c r="C2" s="275" t="n"/>
      <c r="D2" s="276" t="n"/>
      <c r="E2" s="483" t="inlineStr">
        <is>
          <t>language</t>
        </is>
      </c>
      <c r="F2" s="485" t="n"/>
      <c r="G2" s="142" t="inlineStr">
        <is>
          <t>result_tips</t>
        </is>
      </c>
      <c r="H2" s="275" t="n"/>
      <c r="I2" s="275" t="n"/>
      <c r="J2" s="275" t="n"/>
      <c r="K2" s="275" t="n"/>
      <c r="L2" s="275" t="n"/>
      <c r="M2" s="275" t="n"/>
      <c r="N2" s="275" t="n"/>
      <c r="O2" s="276" t="n"/>
      <c r="P2" s="349" t="inlineStr">
        <is>
          <t>文字数</t>
        </is>
      </c>
      <c r="Q2" s="485" t="n"/>
      <c r="R2" s="334" t="n"/>
      <c r="S2" s="334" t="n"/>
    </row>
    <row r="3">
      <c r="A3" s="334" t="n"/>
      <c r="B3" s="277" t="n"/>
      <c r="C3" s="278" t="n"/>
      <c r="D3" s="279" t="n"/>
      <c r="E3" s="280" t="inlineStr">
        <is>
          <t>ja</t>
        </is>
      </c>
      <c r="F3" s="279" t="n"/>
      <c r="G3" s="285" t="inlineStr">
        <is>
          <t>表示されないため設定なし</t>
        </is>
      </c>
      <c r="H3" s="282" t="n"/>
      <c r="I3" s="282" t="n"/>
      <c r="J3" s="282" t="n"/>
      <c r="K3" s="282" t="n"/>
      <c r="L3" s="282" t="n"/>
      <c r="M3" s="282" t="n"/>
      <c r="N3" s="282" t="n"/>
      <c r="O3" s="283" t="n"/>
      <c r="P3" s="241" t="n"/>
      <c r="Q3" s="286">
        <f>len(G3)</f>
        <v/>
      </c>
      <c r="R3" s="334" t="n"/>
      <c r="S3" s="334" t="n"/>
    </row>
    <row r="4">
      <c r="A4" s="334" t="n"/>
      <c r="B4" s="277" t="n"/>
      <c r="C4" s="278" t="n"/>
      <c r="D4" s="279" t="n"/>
      <c r="E4" s="280" t="inlineStr">
        <is>
          <t>ja</t>
        </is>
      </c>
      <c r="F4" s="279" t="n"/>
      <c r="G4" s="285" t="n"/>
      <c r="H4" s="282" t="n"/>
      <c r="I4" s="282" t="n"/>
      <c r="J4" s="282" t="n"/>
      <c r="K4" s="282" t="n"/>
      <c r="L4" s="282" t="n"/>
      <c r="M4" s="282" t="n"/>
      <c r="N4" s="282" t="n"/>
      <c r="O4" s="283" t="n"/>
      <c r="P4" s="241" t="n"/>
      <c r="Q4" s="286">
        <f>len(G4)</f>
        <v/>
      </c>
      <c r="R4" s="334" t="n"/>
      <c r="S4" s="334" t="n"/>
    </row>
    <row r="5">
      <c r="A5" s="334" t="n"/>
      <c r="B5" s="277" t="n"/>
      <c r="C5" s="278" t="n"/>
      <c r="D5" s="279" t="n"/>
      <c r="E5" s="280" t="inlineStr">
        <is>
          <t>ja</t>
        </is>
      </c>
      <c r="F5" s="279" t="n"/>
      <c r="G5" s="285" t="n"/>
      <c r="H5" s="282" t="n"/>
      <c r="I5" s="282" t="n"/>
      <c r="J5" s="282" t="n"/>
      <c r="K5" s="282" t="n"/>
      <c r="L5" s="282" t="n"/>
      <c r="M5" s="282" t="n"/>
      <c r="N5" s="282" t="n"/>
      <c r="O5" s="283" t="n"/>
      <c r="P5" s="241" t="n"/>
      <c r="Q5" s="286">
        <f>len(G5)</f>
        <v/>
      </c>
      <c r="R5" s="334" t="n"/>
      <c r="S5" s="334" t="n"/>
    </row>
    <row r="6">
      <c r="A6" s="334" t="n"/>
      <c r="B6" s="277" t="n"/>
      <c r="C6" s="278" t="n"/>
      <c r="D6" s="279" t="n"/>
      <c r="E6" s="280" t="inlineStr">
        <is>
          <t>ja</t>
        </is>
      </c>
      <c r="F6" s="279" t="n"/>
      <c r="G6" s="285" t="n"/>
      <c r="H6" s="282" t="n"/>
      <c r="I6" s="282" t="n"/>
      <c r="J6" s="282" t="n"/>
      <c r="K6" s="282" t="n"/>
      <c r="L6" s="282" t="n"/>
      <c r="M6" s="282" t="n"/>
      <c r="N6" s="282" t="n"/>
      <c r="O6" s="283" t="n"/>
      <c r="P6" s="241" t="n"/>
      <c r="Q6" s="286">
        <f>len(G6)</f>
        <v/>
      </c>
      <c r="R6" s="334" t="n"/>
      <c r="S6" s="334" t="n"/>
    </row>
    <row r="7">
      <c r="A7" s="334" t="n"/>
      <c r="B7" s="277" t="n"/>
      <c r="C7" s="278" t="n"/>
      <c r="D7" s="279" t="n"/>
      <c r="E7" s="280" t="inlineStr">
        <is>
          <t>ja</t>
        </is>
      </c>
      <c r="F7" s="279" t="n"/>
      <c r="G7" s="285" t="n"/>
      <c r="H7" s="282" t="n"/>
      <c r="I7" s="282" t="n"/>
      <c r="J7" s="282" t="n"/>
      <c r="K7" s="282" t="n"/>
      <c r="L7" s="282" t="n"/>
      <c r="M7" s="282" t="n"/>
      <c r="N7" s="282" t="n"/>
      <c r="O7" s="283" t="n"/>
      <c r="P7" s="241" t="n"/>
      <c r="Q7" s="286">
        <f>len(G7)</f>
        <v/>
      </c>
      <c r="R7" s="334" t="n"/>
      <c r="S7" s="334" t="n"/>
    </row>
    <row r="8">
      <c r="A8" s="334" t="n"/>
      <c r="B8" s="277" t="n"/>
      <c r="C8" s="278" t="n"/>
      <c r="D8" s="279" t="n"/>
      <c r="E8" s="280" t="inlineStr">
        <is>
          <t>ja</t>
        </is>
      </c>
      <c r="F8" s="279" t="n"/>
      <c r="G8" s="285" t="n"/>
      <c r="H8" s="282" t="n"/>
      <c r="I8" s="282" t="n"/>
      <c r="J8" s="282" t="n"/>
      <c r="K8" s="282" t="n"/>
      <c r="L8" s="282" t="n"/>
      <c r="M8" s="282" t="n"/>
      <c r="N8" s="282" t="n"/>
      <c r="O8" s="283" t="n"/>
      <c r="P8" s="241" t="n"/>
      <c r="Q8" s="286">
        <f>len(G8)</f>
        <v/>
      </c>
      <c r="R8" s="334" t="n"/>
      <c r="S8" s="334" t="n"/>
    </row>
    <row r="9">
      <c r="A9" s="334" t="n"/>
      <c r="B9" s="277" t="n"/>
      <c r="C9" s="278" t="n"/>
      <c r="D9" s="279" t="n"/>
      <c r="E9" s="280" t="inlineStr">
        <is>
          <t>ja</t>
        </is>
      </c>
      <c r="F9" s="279" t="n"/>
      <c r="G9" s="285" t="n"/>
      <c r="H9" s="282" t="n"/>
      <c r="I9" s="282" t="n"/>
      <c r="J9" s="282" t="n"/>
      <c r="K9" s="282" t="n"/>
      <c r="L9" s="282" t="n"/>
      <c r="M9" s="282" t="n"/>
      <c r="N9" s="282" t="n"/>
      <c r="O9" s="283" t="n"/>
      <c r="P9" s="241" t="n"/>
      <c r="Q9" s="286">
        <f>len(G9)</f>
        <v/>
      </c>
      <c r="R9" s="334" t="n"/>
      <c r="S9" s="334" t="n"/>
    </row>
    <row r="10">
      <c r="A10" s="334" t="n"/>
      <c r="B10" s="277" t="n"/>
      <c r="C10" s="278" t="n"/>
      <c r="D10" s="279" t="n"/>
      <c r="E10" s="280" t="inlineStr">
        <is>
          <t>ja</t>
        </is>
      </c>
      <c r="F10" s="279" t="n"/>
      <c r="G10" s="285" t="n"/>
      <c r="H10" s="282" t="n"/>
      <c r="I10" s="282" t="n"/>
      <c r="J10" s="282" t="n"/>
      <c r="K10" s="282" t="n"/>
      <c r="L10" s="282" t="n"/>
      <c r="M10" s="282" t="n"/>
      <c r="N10" s="282" t="n"/>
      <c r="O10" s="283" t="n"/>
      <c r="P10" s="241" t="n"/>
      <c r="Q10" s="286">
        <f>len(G10)</f>
        <v/>
      </c>
      <c r="R10" s="334" t="n"/>
      <c r="S10" s="334" t="n"/>
    </row>
    <row r="11">
      <c r="A11" s="334" t="n"/>
      <c r="B11" s="277" t="n"/>
      <c r="C11" s="278" t="n"/>
      <c r="D11" s="279" t="n"/>
      <c r="E11" s="280" t="inlineStr">
        <is>
          <t>ja</t>
        </is>
      </c>
      <c r="F11" s="279" t="n"/>
      <c r="G11" s="285" t="n"/>
      <c r="H11" s="282" t="n"/>
      <c r="I11" s="282" t="n"/>
      <c r="J11" s="282" t="n"/>
      <c r="K11" s="282" t="n"/>
      <c r="L11" s="282" t="n"/>
      <c r="M11" s="282" t="n"/>
      <c r="N11" s="282" t="n"/>
      <c r="O11" s="283" t="n"/>
      <c r="P11" s="241" t="n"/>
      <c r="Q11" s="286">
        <f>len(G11)</f>
        <v/>
      </c>
      <c r="R11" s="334" t="n"/>
      <c r="S11" s="334" t="n"/>
    </row>
    <row r="12">
      <c r="A12" s="334" t="n"/>
      <c r="B12" s="277" t="n"/>
      <c r="C12" s="278" t="n"/>
      <c r="D12" s="279" t="n"/>
      <c r="E12" s="280" t="inlineStr">
        <is>
          <t>ja</t>
        </is>
      </c>
      <c r="F12" s="279" t="n"/>
      <c r="G12" s="285" t="n"/>
      <c r="H12" s="282" t="n"/>
      <c r="I12" s="282" t="n"/>
      <c r="J12" s="282" t="n"/>
      <c r="K12" s="282" t="n"/>
      <c r="L12" s="282" t="n"/>
      <c r="M12" s="282" t="n"/>
      <c r="N12" s="282" t="n"/>
      <c r="O12" s="283" t="n"/>
      <c r="P12" s="241" t="n"/>
      <c r="Q12" s="286">
        <f>len(G12)</f>
        <v/>
      </c>
      <c r="R12" s="334" t="n"/>
      <c r="S12" s="334" t="n"/>
    </row>
    <row r="13">
      <c r="A13" s="334" t="n"/>
      <c r="B13" s="277" t="n"/>
      <c r="C13" s="278" t="n"/>
      <c r="D13" s="279" t="n"/>
      <c r="E13" s="280" t="inlineStr">
        <is>
          <t>ja</t>
        </is>
      </c>
      <c r="F13" s="279" t="n"/>
      <c r="G13" s="285" t="n"/>
      <c r="H13" s="282" t="n"/>
      <c r="I13" s="282" t="n"/>
      <c r="J13" s="282" t="n"/>
      <c r="K13" s="282" t="n"/>
      <c r="L13" s="282" t="n"/>
      <c r="M13" s="282" t="n"/>
      <c r="N13" s="282" t="n"/>
      <c r="O13" s="283" t="n"/>
      <c r="P13" s="241" t="n"/>
      <c r="Q13" s="286">
        <f>len(G13)</f>
        <v/>
      </c>
      <c r="R13" s="334" t="n"/>
      <c r="S13" s="334" t="n"/>
    </row>
    <row r="14">
      <c r="A14" s="334" t="n"/>
      <c r="B14" s="277" t="n"/>
      <c r="C14" s="278" t="n"/>
      <c r="D14" s="279" t="n"/>
      <c r="E14" s="280" t="inlineStr">
        <is>
          <t>ja</t>
        </is>
      </c>
      <c r="F14" s="279" t="n"/>
      <c r="G14" s="285" t="n"/>
      <c r="H14" s="282" t="n"/>
      <c r="I14" s="282" t="n"/>
      <c r="J14" s="282" t="n"/>
      <c r="K14" s="282" t="n"/>
      <c r="L14" s="282" t="n"/>
      <c r="M14" s="282" t="n"/>
      <c r="N14" s="282" t="n"/>
      <c r="O14" s="283" t="n"/>
      <c r="P14" s="241" t="n"/>
      <c r="Q14" s="286">
        <f>len(G14)</f>
        <v/>
      </c>
      <c r="R14" s="334" t="n"/>
      <c r="S14" s="334" t="n"/>
    </row>
    <row r="15">
      <c r="A15" s="334" t="n"/>
      <c r="B15" s="277" t="n"/>
      <c r="C15" s="278" t="n"/>
      <c r="D15" s="279" t="n"/>
      <c r="E15" s="280" t="inlineStr">
        <is>
          <t>ja</t>
        </is>
      </c>
      <c r="F15" s="279" t="n"/>
      <c r="G15" s="285" t="n"/>
      <c r="H15" s="282" t="n"/>
      <c r="I15" s="282" t="n"/>
      <c r="J15" s="282" t="n"/>
      <c r="K15" s="282" t="n"/>
      <c r="L15" s="282" t="n"/>
      <c r="M15" s="282" t="n"/>
      <c r="N15" s="282" t="n"/>
      <c r="O15" s="283" t="n"/>
      <c r="P15" s="241" t="n"/>
      <c r="Q15" s="286">
        <f>len(G15)</f>
        <v/>
      </c>
      <c r="R15" s="334" t="n"/>
      <c r="S15" s="334" t="n"/>
    </row>
    <row r="16">
      <c r="A16" s="334" t="n"/>
      <c r="B16" s="464" t="n"/>
      <c r="C16" s="464" t="n"/>
      <c r="D16" s="464" t="n"/>
      <c r="E16" s="464" t="n"/>
      <c r="F16" s="464" t="n"/>
      <c r="G16" s="288" t="n"/>
      <c r="H16" s="288" t="n"/>
      <c r="I16" s="288" t="n"/>
      <c r="J16" s="288" t="n"/>
      <c r="K16" s="288" t="n"/>
      <c r="L16" s="288" t="n"/>
      <c r="M16" s="288" t="n"/>
      <c r="N16" s="288" t="n"/>
      <c r="O16" s="288" t="n"/>
      <c r="P16" s="288" t="n"/>
      <c r="Q16" s="288" t="n"/>
      <c r="R16" s="334" t="n"/>
      <c r="S16" s="334" t="n"/>
    </row>
  </sheetData>
  <mergeCells count="2">
    <mergeCell ref="P2:Q2"/>
    <mergeCell ref="E2:F2"/>
  </mergeCell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2.63" defaultRowHeight="15.75" customHeight="1"/>
  <cols>
    <col width="3.88" customWidth="1" style="482" min="1" max="1"/>
    <col width="26.75" customWidth="1" style="482" min="4" max="4"/>
    <col width="3.88" customWidth="1" style="482" min="6" max="6"/>
    <col width="21.5" customWidth="1" style="482" min="8" max="8"/>
    <col width="25" customWidth="1" style="482" min="9" max="9"/>
    <col width="3.88" customWidth="1" style="482" min="11" max="11"/>
    <col width="34.88" customWidth="1" style="482" min="13" max="13"/>
    <col width="28.5" customWidth="1" style="482" min="14" max="14"/>
  </cols>
  <sheetData>
    <row r="1">
      <c r="A1" s="250" t="n"/>
      <c r="B1" s="250" t="n"/>
      <c r="C1" s="250" t="n"/>
      <c r="D1" s="250" t="n"/>
      <c r="E1" s="250" t="n"/>
      <c r="F1" s="250" t="n"/>
      <c r="G1" s="250" t="n"/>
      <c r="H1" s="250" t="n"/>
      <c r="I1" s="250" t="n"/>
      <c r="J1" s="250" t="n"/>
      <c r="K1" s="250" t="n"/>
      <c r="L1" s="250" t="n"/>
      <c r="M1" s="250" t="n"/>
      <c r="N1" s="250" t="n"/>
      <c r="O1" s="250" t="n"/>
      <c r="P1" s="250" t="n"/>
      <c r="Q1" s="250" t="n"/>
      <c r="R1" s="250" t="n"/>
      <c r="S1" s="250" t="n"/>
      <c r="T1" s="250" t="n"/>
      <c r="U1" s="250" t="n"/>
      <c r="V1" s="250" t="n"/>
      <c r="W1" s="250" t="n"/>
      <c r="X1" s="250" t="n"/>
      <c r="Y1" s="250" t="n"/>
      <c r="Z1" s="250" t="n"/>
    </row>
    <row r="2">
      <c r="A2" s="250" t="n"/>
      <c r="B2" s="294" t="inlineStr">
        <is>
          <t>ハイスコア報酬</t>
        </is>
      </c>
      <c r="C2" s="334" t="n"/>
      <c r="D2" s="334" t="n"/>
      <c r="E2" s="334" t="n"/>
      <c r="F2" s="334" t="n"/>
      <c r="G2" s="294" t="inlineStr">
        <is>
          <t>ランク報酬</t>
        </is>
      </c>
      <c r="H2" s="334" t="n"/>
      <c r="I2" s="334" t="n"/>
      <c r="J2" s="334" t="n"/>
      <c r="K2" s="334" t="n"/>
      <c r="L2" s="294" t="inlineStr">
        <is>
          <t>ランキング報酬</t>
        </is>
      </c>
      <c r="M2" s="334" t="n"/>
      <c r="N2" s="334" t="n"/>
      <c r="O2" s="334" t="n"/>
      <c r="P2" s="250" t="n"/>
      <c r="Q2" s="250" t="n"/>
      <c r="R2" s="250" t="n"/>
      <c r="S2" s="250" t="n"/>
      <c r="T2" s="250" t="n"/>
      <c r="U2" s="250" t="n"/>
      <c r="V2" s="250" t="n"/>
      <c r="W2" s="250" t="n"/>
      <c r="X2" s="250" t="n"/>
      <c r="Y2" s="250" t="n"/>
      <c r="Z2" s="250" t="n"/>
    </row>
    <row r="3">
      <c r="A3" s="250" t="n"/>
      <c r="B3" s="289" t="inlineStr">
        <is>
          <t>pt</t>
        </is>
      </c>
      <c r="C3" s="290" t="inlineStr">
        <is>
          <t>ID</t>
        </is>
      </c>
      <c r="D3" s="290" t="inlineStr">
        <is>
          <t>アイテム名</t>
        </is>
      </c>
      <c r="E3" s="290" t="inlineStr">
        <is>
          <t>個数</t>
        </is>
      </c>
      <c r="F3" s="334" t="n"/>
      <c r="G3" s="289" t="inlineStr">
        <is>
          <t>pt</t>
        </is>
      </c>
      <c r="H3" s="290" t="inlineStr">
        <is>
          <t>ID</t>
        </is>
      </c>
      <c r="I3" s="290" t="inlineStr">
        <is>
          <t>アイテム名</t>
        </is>
      </c>
      <c r="J3" s="290" t="inlineStr">
        <is>
          <t>個数</t>
        </is>
      </c>
      <c r="K3" s="334" t="n"/>
      <c r="L3" s="289" t="inlineStr">
        <is>
          <t>pt</t>
        </is>
      </c>
      <c r="M3" s="290" t="inlineStr">
        <is>
          <t>ID</t>
        </is>
      </c>
      <c r="N3" s="290" t="inlineStr">
        <is>
          <t>アイテム名</t>
        </is>
      </c>
      <c r="O3" s="290" t="inlineStr">
        <is>
          <t>個数</t>
        </is>
      </c>
      <c r="P3" s="250" t="n"/>
      <c r="Q3" s="250" t="n"/>
      <c r="R3" s="250" t="n"/>
      <c r="S3" s="250" t="n"/>
      <c r="T3" s="250" t="n"/>
      <c r="U3" s="250" t="n"/>
      <c r="V3" s="250" t="n"/>
      <c r="W3" s="250" t="n"/>
      <c r="X3" s="250" t="n"/>
      <c r="Y3" s="250" t="n"/>
      <c r="Z3" s="250" t="n"/>
    </row>
    <row r="4">
      <c r="A4" s="250" t="n"/>
      <c r="B4" s="297" t="n">
        <v>5000</v>
      </c>
      <c r="C4" s="295">
        <f t="array" ref="C4">iferror(INDEX('アイテムID_管理'!E:E,MATCH(D4,'アイテムID_管理'!H:H,0),0),"error")</f>
        <v/>
      </c>
      <c r="D4" s="296" t="inlineStr">
        <is>
          <t>プリズム</t>
        </is>
      </c>
      <c r="E4" s="297" t="n">
        <v>20</v>
      </c>
      <c r="F4" s="294" t="n"/>
      <c r="G4" s="296" t="inlineStr">
        <is>
          <t>Bronze1</t>
        </is>
      </c>
      <c r="H4" s="295">
        <f t="array" ref="H4">iferror(INDEX('アイテムID_管理'!E:E,MATCH(I4,'アイテムID_管理'!H:H,0),0),"error")</f>
        <v/>
      </c>
      <c r="I4" s="296" t="inlineStr">
        <is>
          <t>プリズム</t>
        </is>
      </c>
      <c r="J4" s="297" t="n">
        <v>10</v>
      </c>
      <c r="K4" s="294" t="n"/>
      <c r="L4" s="296" t="inlineStr">
        <is>
          <t>1位</t>
        </is>
      </c>
      <c r="M4" s="295" t="inlineStr">
        <is>
          <t>emblem_adventbattle_jig_season01_00001</t>
        </is>
      </c>
      <c r="N4" s="296" t="inlineStr">
        <is>
          <t>エンブレム</t>
        </is>
      </c>
      <c r="O4" s="297" t="n">
        <v>1</v>
      </c>
      <c r="P4" s="250" t="n"/>
      <c r="Q4" s="250" t="n"/>
      <c r="R4" s="250" t="n"/>
      <c r="S4" s="250" t="n"/>
      <c r="T4" s="250" t="n"/>
      <c r="U4" s="250" t="n"/>
      <c r="V4" s="250" t="n"/>
      <c r="W4" s="250" t="n"/>
      <c r="X4" s="250" t="n"/>
      <c r="Y4" s="250" t="n"/>
      <c r="Z4" s="250" t="n"/>
    </row>
    <row r="5">
      <c r="A5" s="250" t="n"/>
      <c r="B5" s="297" t="n">
        <v>10000</v>
      </c>
      <c r="C5" s="295">
        <f t="array" ref="C5">iferror(INDEX('アイテムID_管理'!E:E,MATCH(D5,'アイテムID_管理'!H:H,0),0),"error")</f>
        <v/>
      </c>
      <c r="D5" s="296" t="inlineStr">
        <is>
          <t>コイン</t>
        </is>
      </c>
      <c r="E5" s="297" t="n">
        <v>1500</v>
      </c>
      <c r="F5" s="294" t="n"/>
      <c r="G5" s="296" t="inlineStr">
        <is>
          <t>Bronze1</t>
        </is>
      </c>
      <c r="H5" s="295">
        <f t="array" ref="H5">iferror(INDEX('アイテムID_管理'!E:E,MATCH(I5,'アイテムID_管理'!H:H,0),0),"error")</f>
        <v/>
      </c>
      <c r="I5" s="296" t="inlineStr">
        <is>
          <t>コイン</t>
        </is>
      </c>
      <c r="J5" s="297" t="n">
        <v>1000</v>
      </c>
      <c r="K5" s="294" t="n"/>
      <c r="L5" s="296" t="inlineStr">
        <is>
          <t>1位</t>
        </is>
      </c>
      <c r="M5" s="295">
        <f t="array" ref="M5">iferror(INDEX('アイテムID_管理'!E:E,MATCH(N5,'アイテムID_管理'!H:H,0),0),"error")</f>
        <v/>
      </c>
      <c r="N5" s="296" t="inlineStr">
        <is>
          <t>プリズム</t>
        </is>
      </c>
      <c r="O5" s="297" t="n">
        <v>1000</v>
      </c>
      <c r="P5" s="250" t="n"/>
      <c r="Q5" s="250" t="n"/>
      <c r="R5" s="250" t="n"/>
      <c r="S5" s="250" t="n"/>
      <c r="T5" s="250" t="n"/>
      <c r="U5" s="250" t="n"/>
      <c r="V5" s="250" t="n"/>
      <c r="W5" s="250" t="n"/>
      <c r="X5" s="250" t="n"/>
      <c r="Y5" s="250" t="n"/>
      <c r="Z5" s="250" t="n"/>
    </row>
    <row r="6">
      <c r="A6" s="250" t="n"/>
      <c r="B6" s="297" t="n">
        <v>15000</v>
      </c>
      <c r="C6" s="295">
        <f t="array" ref="C6">iferror(INDEX('アイテムID_管理'!E:E,MATCH(D6,'アイテムID_管理'!H:H,0),0),"error")</f>
        <v/>
      </c>
      <c r="D6" s="296" t="inlineStr">
        <is>
          <t>プリズム</t>
        </is>
      </c>
      <c r="E6" s="297" t="n">
        <v>30</v>
      </c>
      <c r="F6" s="294" t="n"/>
      <c r="G6" s="296" t="inlineStr">
        <is>
          <t>Bronze1</t>
        </is>
      </c>
      <c r="H6" s="295">
        <f t="array" ref="H6">iferror(INDEX('アイテムID_管理'!E:E,MATCH(I6,'アイテムID_管理'!H:H,0),0),"error")</f>
        <v/>
      </c>
      <c r="I6" s="296" t="inlineStr">
        <is>
          <t>メモリーフラグメント・初級</t>
        </is>
      </c>
      <c r="J6" s="297" t="n">
        <v>1</v>
      </c>
      <c r="K6" s="294" t="n"/>
      <c r="L6" s="296" t="inlineStr">
        <is>
          <t>1位</t>
        </is>
      </c>
      <c r="M6" s="295">
        <f t="array" ref="M6">iferror(INDEX('アイテムID_管理'!E:E,MATCH(N6,'アイテムID_管理'!H:H,0),0),"error")</f>
        <v/>
      </c>
      <c r="N6" s="296" t="inlineStr">
        <is>
          <t>コイン</t>
        </is>
      </c>
      <c r="O6" s="297" t="n">
        <v>100000</v>
      </c>
      <c r="P6" s="250" t="n"/>
      <c r="Q6" s="250" t="n"/>
      <c r="R6" s="250" t="n"/>
      <c r="S6" s="250" t="n"/>
      <c r="T6" s="250" t="n"/>
      <c r="U6" s="250" t="n"/>
      <c r="V6" s="250" t="n"/>
      <c r="W6" s="250" t="n"/>
      <c r="X6" s="250" t="n"/>
      <c r="Y6" s="250" t="n"/>
      <c r="Z6" s="250" t="n"/>
    </row>
    <row r="7">
      <c r="A7" s="250" t="n"/>
      <c r="B7" s="297" t="n">
        <v>20000</v>
      </c>
      <c r="C7" s="295">
        <f t="array" ref="C7">iferror(INDEX('アイテムID_管理'!E:E,MATCH(D7,'アイテムID_管理'!H:H,0),0),"error")</f>
        <v/>
      </c>
      <c r="D7" s="296" t="inlineStr">
        <is>
          <t>コイン</t>
        </is>
      </c>
      <c r="E7" s="297" t="n">
        <v>3000</v>
      </c>
      <c r="F7" s="294" t="n"/>
      <c r="G7" s="296" t="inlineStr">
        <is>
          <t>Bronze2</t>
        </is>
      </c>
      <c r="H7" s="295">
        <f t="array" ref="H7">iferror(INDEX('アイテムID_管理'!E:E,MATCH(I7,'アイテムID_管理'!H:H,0),0),"error")</f>
        <v/>
      </c>
      <c r="I7" s="296" t="inlineStr">
        <is>
          <t>プリズム</t>
        </is>
      </c>
      <c r="J7" s="297" t="n">
        <v>10</v>
      </c>
      <c r="K7" s="294" t="n"/>
      <c r="L7" s="296" t="inlineStr">
        <is>
          <t>1位</t>
        </is>
      </c>
      <c r="M7" s="295">
        <f t="array" ref="M7">iferror(INDEX('アイテムID_管理'!E:E,MATCH(N7,'アイテムID_管理'!H:H,0),0),"error")</f>
        <v/>
      </c>
      <c r="N7" s="296" t="inlineStr">
        <is>
          <t>スペシャルガシャチケット</t>
        </is>
      </c>
      <c r="O7" s="297" t="n">
        <v>5</v>
      </c>
      <c r="P7" s="250" t="n"/>
      <c r="Q7" s="250" t="n"/>
      <c r="R7" s="250" t="n"/>
      <c r="S7" s="250" t="n"/>
      <c r="T7" s="250" t="n"/>
      <c r="U7" s="250" t="n"/>
      <c r="V7" s="250" t="n"/>
      <c r="W7" s="250" t="n"/>
      <c r="X7" s="250" t="n"/>
      <c r="Y7" s="250" t="n"/>
      <c r="Z7" s="250" t="n"/>
    </row>
    <row r="8">
      <c r="A8" s="250" t="n"/>
      <c r="B8" s="297" t="n">
        <v>30000</v>
      </c>
      <c r="C8" s="295">
        <f t="array" ref="C8">iferror(INDEX('アイテムID_管理'!E:E,MATCH(D8,'アイテムID_管理'!H:H,0),0),"error")</f>
        <v/>
      </c>
      <c r="D8" s="296" t="inlineStr">
        <is>
          <t>プリズム</t>
        </is>
      </c>
      <c r="E8" s="297" t="n">
        <v>50</v>
      </c>
      <c r="F8" s="294" t="n"/>
      <c r="G8" s="296" t="inlineStr">
        <is>
          <t>Bronze2</t>
        </is>
      </c>
      <c r="H8" s="295">
        <f t="array" ref="H8">iferror(INDEX('アイテムID_管理'!E:E,MATCH(I8,'アイテムID_管理'!H:H,0),0),"error")</f>
        <v/>
      </c>
      <c r="I8" s="296" t="inlineStr">
        <is>
          <t>コイン</t>
        </is>
      </c>
      <c r="J8" s="297" t="n">
        <v>1000</v>
      </c>
      <c r="K8" s="294" t="n"/>
      <c r="L8" s="296" t="inlineStr">
        <is>
          <t>2位</t>
        </is>
      </c>
      <c r="M8" s="295" t="inlineStr">
        <is>
          <t>emblem_adventbattle_jig_season01_00002</t>
        </is>
      </c>
      <c r="N8" s="296" t="inlineStr">
        <is>
          <t>エンブレム</t>
        </is>
      </c>
      <c r="O8" s="297" t="n">
        <v>1</v>
      </c>
      <c r="P8" s="250" t="n"/>
      <c r="Q8" s="250" t="n"/>
      <c r="R8" s="250" t="n"/>
      <c r="S8" s="250" t="n"/>
      <c r="T8" s="250" t="n"/>
      <c r="U8" s="250" t="n"/>
      <c r="V8" s="250" t="n"/>
      <c r="W8" s="250" t="n"/>
      <c r="X8" s="250" t="n"/>
      <c r="Y8" s="250" t="n"/>
      <c r="Z8" s="250" t="n"/>
    </row>
    <row r="9">
      <c r="A9" s="250" t="n"/>
      <c r="B9" s="297" t="n">
        <v>40000</v>
      </c>
      <c r="C9" s="295">
        <f t="array" ref="C9">iferror(INDEX('アイテムID_管理'!E:E,MATCH(D9,'アイテムID_管理'!H:H,0),0),"error")</f>
        <v/>
      </c>
      <c r="D9" s="296" t="inlineStr">
        <is>
          <t>コイン</t>
        </is>
      </c>
      <c r="E9" s="297" t="n">
        <v>4500</v>
      </c>
      <c r="F9" s="294" t="n"/>
      <c r="G9" s="296" t="inlineStr">
        <is>
          <t>Bronze2</t>
        </is>
      </c>
      <c r="H9" s="295">
        <f t="array" ref="H9">iferror(INDEX('アイテムID_管理'!E:E,MATCH(I9,'アイテムID_管理'!H:H,0),0),"error")</f>
        <v/>
      </c>
      <c r="I9" s="296" t="inlineStr">
        <is>
          <t>メモリーフラグメント・初級</t>
        </is>
      </c>
      <c r="J9" s="297" t="n">
        <v>1</v>
      </c>
      <c r="K9" s="294" t="n"/>
      <c r="L9" s="296" t="inlineStr">
        <is>
          <t>2位</t>
        </is>
      </c>
      <c r="M9" s="295">
        <f t="array" ref="M9">iferror(INDEX('アイテムID_管理'!E:E,MATCH(N9,'アイテムID_管理'!H:H,0),0),"error")</f>
        <v/>
      </c>
      <c r="N9" s="296" t="inlineStr">
        <is>
          <t>プリズム</t>
        </is>
      </c>
      <c r="O9" s="297" t="n">
        <v>750</v>
      </c>
      <c r="P9" s="250" t="n"/>
      <c r="Q9" s="250" t="n"/>
      <c r="R9" s="250" t="n"/>
      <c r="S9" s="250" t="n"/>
      <c r="T9" s="250" t="n"/>
      <c r="U9" s="250" t="n"/>
      <c r="V9" s="250" t="n"/>
      <c r="W9" s="250" t="n"/>
      <c r="X9" s="250" t="n"/>
      <c r="Y9" s="250" t="n"/>
      <c r="Z9" s="250" t="n"/>
    </row>
    <row r="10">
      <c r="A10" s="250" t="n"/>
      <c r="B10" s="297" t="n">
        <v>50000</v>
      </c>
      <c r="C10" s="295">
        <f t="array" ref="C10">iferror(INDEX('アイテムID_管理'!E:E,MATCH(D10,'アイテムID_管理'!H:H,0),0),"error")</f>
        <v/>
      </c>
      <c r="D10" s="296" t="inlineStr">
        <is>
          <t>プリズム</t>
        </is>
      </c>
      <c r="E10" s="297" t="n">
        <v>50</v>
      </c>
      <c r="F10" s="294" t="n"/>
      <c r="G10" s="296" t="inlineStr">
        <is>
          <t>Bronze3</t>
        </is>
      </c>
      <c r="H10" s="295">
        <f t="array" ref="H10">iferror(INDEX('アイテムID_管理'!E:E,MATCH(I10,'アイテムID_管理'!H:H,0),0),"error")</f>
        <v/>
      </c>
      <c r="I10" s="296" t="inlineStr">
        <is>
          <t>プリズム</t>
        </is>
      </c>
      <c r="J10" s="297" t="n">
        <v>10</v>
      </c>
      <c r="K10" s="294" t="n"/>
      <c r="L10" s="296" t="inlineStr">
        <is>
          <t>2位</t>
        </is>
      </c>
      <c r="M10" s="295">
        <f t="array" ref="M10">iferror(INDEX('アイテムID_管理'!E:E,MATCH(N10,'アイテムID_管理'!H:H,0),0),"error")</f>
        <v/>
      </c>
      <c r="N10" s="296" t="inlineStr">
        <is>
          <t>コイン</t>
        </is>
      </c>
      <c r="O10" s="297" t="n">
        <v>75000</v>
      </c>
      <c r="P10" s="250" t="n"/>
      <c r="Q10" s="250" t="n"/>
      <c r="R10" s="250" t="n"/>
      <c r="S10" s="250" t="n"/>
      <c r="T10" s="250" t="n"/>
      <c r="U10" s="250" t="n"/>
      <c r="V10" s="250" t="n"/>
      <c r="W10" s="250" t="n"/>
      <c r="X10" s="250" t="n"/>
      <c r="Y10" s="250" t="n"/>
      <c r="Z10" s="250" t="n"/>
    </row>
    <row r="11">
      <c r="A11" s="250" t="n"/>
      <c r="B11" s="297" t="n">
        <v>75000</v>
      </c>
      <c r="C11" s="295">
        <f t="array" ref="C11">iferror(INDEX('アイテムID_管理'!E:E,MATCH(D11,'アイテムID_管理'!H:H,0),0),"error")</f>
        <v/>
      </c>
      <c r="D11" s="296" t="inlineStr">
        <is>
          <t>コイン</t>
        </is>
      </c>
      <c r="E11" s="297" t="n">
        <v>6000</v>
      </c>
      <c r="F11" s="294" t="n"/>
      <c r="G11" s="296" t="inlineStr">
        <is>
          <t>Bronze3</t>
        </is>
      </c>
      <c r="H11" s="295">
        <f t="array" ref="H11">iferror(INDEX('アイテムID_管理'!E:E,MATCH(I11,'アイテムID_管理'!H:H,0),0),"error")</f>
        <v/>
      </c>
      <c r="I11" s="296" t="inlineStr">
        <is>
          <t>コイン</t>
        </is>
      </c>
      <c r="J11" s="297" t="n">
        <v>1000</v>
      </c>
      <c r="K11" s="294" t="n"/>
      <c r="L11" s="296" t="inlineStr">
        <is>
          <t>2位</t>
        </is>
      </c>
      <c r="M11" s="295">
        <f t="array" ref="M11">iferror(INDEX('アイテムID_管理'!E:E,MATCH(N11,'アイテムID_管理'!H:H,0),0),"error")</f>
        <v/>
      </c>
      <c r="N11" s="296" t="inlineStr">
        <is>
          <t>スペシャルガシャチケット</t>
        </is>
      </c>
      <c r="O11" s="297" t="n">
        <v>5</v>
      </c>
      <c r="P11" s="250" t="n"/>
      <c r="Q11" s="250" t="n"/>
      <c r="R11" s="250" t="n"/>
      <c r="S11" s="250" t="n"/>
      <c r="T11" s="250" t="n"/>
      <c r="U11" s="250" t="n"/>
      <c r="V11" s="250" t="n"/>
      <c r="W11" s="250" t="n"/>
      <c r="X11" s="250" t="n"/>
      <c r="Y11" s="250" t="n"/>
      <c r="Z11" s="250" t="n"/>
    </row>
    <row r="12">
      <c r="A12" s="250" t="n"/>
      <c r="B12" s="297" t="n">
        <v>100000</v>
      </c>
      <c r="C12" s="295">
        <f t="array" ref="C12">iferror(INDEX('アイテムID_管理'!E:E,MATCH(D12,'アイテムID_管理'!H:H,0),0),"error")</f>
        <v/>
      </c>
      <c r="D12" s="296" t="inlineStr">
        <is>
          <t>プリズム</t>
        </is>
      </c>
      <c r="E12" s="297" t="n">
        <v>100</v>
      </c>
      <c r="F12" s="294" t="n"/>
      <c r="G12" s="296" t="inlineStr">
        <is>
          <t>Bronze3</t>
        </is>
      </c>
      <c r="H12" s="295">
        <f t="array" ref="H12">iferror(INDEX('アイテムID_管理'!E:E,MATCH(I12,'アイテムID_管理'!H:H,0),0),"error")</f>
        <v/>
      </c>
      <c r="I12" s="296" t="inlineStr">
        <is>
          <t>メモリーフラグメント・初級</t>
        </is>
      </c>
      <c r="J12" s="297" t="n">
        <v>1</v>
      </c>
      <c r="K12" s="294" t="n"/>
      <c r="L12" s="296" t="inlineStr">
        <is>
          <t>3位</t>
        </is>
      </c>
      <c r="M12" s="295" t="inlineStr">
        <is>
          <t>emblem_adventbattle_jig_season01_00003</t>
        </is>
      </c>
      <c r="N12" s="296" t="inlineStr">
        <is>
          <t>エンブレム</t>
        </is>
      </c>
      <c r="O12" s="297" t="n">
        <v>1</v>
      </c>
      <c r="P12" s="250" t="n"/>
      <c r="Q12" s="250" t="n"/>
      <c r="R12" s="250" t="n"/>
      <c r="S12" s="250" t="n"/>
      <c r="T12" s="250" t="n"/>
      <c r="U12" s="250" t="n"/>
      <c r="V12" s="250" t="n"/>
      <c r="W12" s="250" t="n"/>
      <c r="X12" s="250" t="n"/>
      <c r="Y12" s="250" t="n"/>
      <c r="Z12" s="250" t="n"/>
    </row>
    <row r="13">
      <c r="A13" s="250" t="n"/>
      <c r="B13" s="297" t="n">
        <v>150000</v>
      </c>
      <c r="C13" s="295">
        <f t="array" ref="C13">iferror(INDEX('アイテムID_管理'!E:E,MATCH(D13,'アイテムID_管理'!H:H,0),0),"error")</f>
        <v/>
      </c>
      <c r="D13" s="296" t="inlineStr">
        <is>
          <t>メモリーフラグメント・上級</t>
        </is>
      </c>
      <c r="E13" s="297" t="n">
        <v>1</v>
      </c>
      <c r="F13" s="294" t="n"/>
      <c r="G13" s="296" t="inlineStr">
        <is>
          <t>Bronze4</t>
        </is>
      </c>
      <c r="H13" s="295">
        <f t="array" ref="H13">iferror(INDEX('アイテムID_管理'!E:E,MATCH(I13,'アイテムID_管理'!H:H,0),0),"error")</f>
        <v/>
      </c>
      <c r="I13" s="296" t="inlineStr">
        <is>
          <t>プリズム</t>
        </is>
      </c>
      <c r="J13" s="297" t="n">
        <v>10</v>
      </c>
      <c r="K13" s="294" t="n"/>
      <c r="L13" s="296" t="inlineStr">
        <is>
          <t>3位</t>
        </is>
      </c>
      <c r="M13" s="295">
        <f t="array" ref="M13">iferror(INDEX('アイテムID_管理'!E:E,MATCH(N13,'アイテムID_管理'!H:H,0),0),"error")</f>
        <v/>
      </c>
      <c r="N13" s="296" t="inlineStr">
        <is>
          <t>プリズム</t>
        </is>
      </c>
      <c r="O13" s="297" t="n">
        <v>500</v>
      </c>
      <c r="P13" s="250" t="n"/>
      <c r="Q13" s="250" t="n"/>
      <c r="R13" s="250" t="n"/>
      <c r="S13" s="250" t="n"/>
      <c r="T13" s="250" t="n"/>
      <c r="U13" s="250" t="n"/>
      <c r="V13" s="250" t="n"/>
      <c r="W13" s="250" t="n"/>
      <c r="X13" s="250" t="n"/>
      <c r="Y13" s="250" t="n"/>
      <c r="Z13" s="250" t="n"/>
    </row>
    <row r="14">
      <c r="A14" s="250" t="n"/>
      <c r="B14" s="297" t="n">
        <v>200000</v>
      </c>
      <c r="C14" s="295">
        <f t="array" ref="C14">iferror(INDEX('アイテムID_管理'!E:E,MATCH(D14,'アイテムID_管理'!H:H,0),0),"error")</f>
        <v/>
      </c>
      <c r="D14" s="296" t="inlineStr">
        <is>
          <t>スペシャルガシャチケット</t>
        </is>
      </c>
      <c r="E14" s="297" t="n">
        <v>1</v>
      </c>
      <c r="F14" s="294" t="n"/>
      <c r="G14" s="296" t="inlineStr">
        <is>
          <t>Bronze4</t>
        </is>
      </c>
      <c r="H14" s="295">
        <f t="array" ref="H14">iferror(INDEX('アイテムID_管理'!E:E,MATCH(I14,'アイテムID_管理'!H:H,0),0),"error")</f>
        <v/>
      </c>
      <c r="I14" s="296" t="inlineStr">
        <is>
          <t>コイン</t>
        </is>
      </c>
      <c r="J14" s="297" t="n">
        <v>1000</v>
      </c>
      <c r="K14" s="294" t="n"/>
      <c r="L14" s="296" t="inlineStr">
        <is>
          <t>3位</t>
        </is>
      </c>
      <c r="M14" s="295">
        <f t="array" ref="M14">iferror(INDEX('アイテムID_管理'!E:E,MATCH(N14,'アイテムID_管理'!H:H,0),0),"error")</f>
        <v/>
      </c>
      <c r="N14" s="296" t="inlineStr">
        <is>
          <t>コイン</t>
        </is>
      </c>
      <c r="O14" s="297" t="n">
        <v>50000</v>
      </c>
      <c r="P14" s="250" t="n"/>
      <c r="Q14" s="250" t="n"/>
      <c r="R14" s="250" t="n"/>
      <c r="S14" s="250" t="n"/>
      <c r="T14" s="250" t="n"/>
      <c r="U14" s="250" t="n"/>
      <c r="V14" s="250" t="n"/>
      <c r="W14" s="250" t="n"/>
      <c r="X14" s="250" t="n"/>
      <c r="Y14" s="250" t="n"/>
      <c r="Z14" s="250" t="n"/>
    </row>
    <row r="15">
      <c r="A15" s="250" t="n"/>
      <c r="B15" s="297" t="n">
        <v>300000</v>
      </c>
      <c r="C15" s="295">
        <f t="array" ref="C15">iferror(INDEX('アイテムID_管理'!E:E,MATCH(D15,'アイテムID_管理'!H:H,0),0),"error")</f>
        <v/>
      </c>
      <c r="D15" s="296" t="inlineStr">
        <is>
          <t>コイン</t>
        </is>
      </c>
      <c r="E15" s="297" t="n">
        <v>10000</v>
      </c>
      <c r="F15" s="294" t="n"/>
      <c r="G15" s="296" t="inlineStr">
        <is>
          <t>Bronze4</t>
        </is>
      </c>
      <c r="H15" s="295">
        <f t="array" ref="H15">iferror(INDEX('アイテムID_管理'!E:E,MATCH(I15,'アイテムID_管理'!H:H,0),0),"error")</f>
        <v/>
      </c>
      <c r="I15" s="296" t="inlineStr">
        <is>
          <t>メモリーフラグメント・初級</t>
        </is>
      </c>
      <c r="J15" s="297" t="n">
        <v>1</v>
      </c>
      <c r="K15" s="294" t="n"/>
      <c r="L15" s="296" t="inlineStr">
        <is>
          <t>3位</t>
        </is>
      </c>
      <c r="M15" s="295">
        <f t="array" ref="M15">iferror(INDEX('アイテムID_管理'!E:E,MATCH(N15,'アイテムID_管理'!H:H,0),0),"error")</f>
        <v/>
      </c>
      <c r="N15" s="296" t="inlineStr">
        <is>
          <t>スペシャルガシャチケット</t>
        </is>
      </c>
      <c r="O15" s="297" t="n">
        <v>5</v>
      </c>
      <c r="P15" s="250" t="n"/>
      <c r="Q15" s="250" t="n"/>
      <c r="R15" s="250" t="n"/>
      <c r="S15" s="250" t="n"/>
      <c r="T15" s="250" t="n"/>
      <c r="U15" s="250" t="n"/>
      <c r="V15" s="250" t="n"/>
      <c r="W15" s="250" t="n"/>
      <c r="X15" s="250" t="n"/>
      <c r="Y15" s="250" t="n"/>
      <c r="Z15" s="250" t="n"/>
    </row>
    <row r="16">
      <c r="A16" s="250" t="n"/>
      <c r="B16" s="296" t="n"/>
      <c r="C16" s="295">
        <f t="array" ref="C16">iferror(INDEX('アイテムID_管理'!E:E,MATCH(D16,'アイテムID_管理'!H:H,0),0),"error")</f>
        <v/>
      </c>
      <c r="D16" s="296" t="n"/>
      <c r="E16" s="296" t="n"/>
      <c r="F16" s="294" t="n"/>
      <c r="G16" s="296" t="inlineStr">
        <is>
          <t>Silver1</t>
        </is>
      </c>
      <c r="H16" s="295">
        <f t="array" ref="H16">iferror(INDEX('アイテムID_管理'!E:E,MATCH(I16,'アイテムID_管理'!H:H,0),0),"error")</f>
        <v/>
      </c>
      <c r="I16" s="296" t="inlineStr">
        <is>
          <t>プリズム</t>
        </is>
      </c>
      <c r="J16" s="297" t="n">
        <v>20</v>
      </c>
      <c r="K16" s="294" t="n"/>
      <c r="L16" s="296" t="inlineStr">
        <is>
          <t>4位~50位</t>
        </is>
      </c>
      <c r="M16" s="295" t="inlineStr">
        <is>
          <t>emblem_adventbattle_jig_season01_00004</t>
        </is>
      </c>
      <c r="N16" s="296" t="inlineStr">
        <is>
          <t>エンブレム</t>
        </is>
      </c>
      <c r="O16" s="297" t="n">
        <v>1</v>
      </c>
      <c r="P16" s="250" t="n"/>
      <c r="Q16" s="250" t="n"/>
      <c r="R16" s="250" t="n"/>
      <c r="S16" s="250" t="n"/>
      <c r="T16" s="250" t="n"/>
      <c r="U16" s="250" t="n"/>
      <c r="V16" s="250" t="n"/>
      <c r="W16" s="250" t="n"/>
      <c r="X16" s="250" t="n"/>
      <c r="Y16" s="250" t="n"/>
      <c r="Z16" s="250" t="n"/>
    </row>
    <row r="17">
      <c r="A17" s="250" t="n"/>
      <c r="B17" s="296" t="n"/>
      <c r="C17" s="295">
        <f t="array" ref="C17">iferror(INDEX('アイテムID_管理'!E:E,MATCH(D17,'アイテムID_管理'!H:H,0),0),"error")</f>
        <v/>
      </c>
      <c r="D17" s="296" t="n"/>
      <c r="E17" s="296" t="n"/>
      <c r="F17" s="294" t="n"/>
      <c r="G17" s="296" t="inlineStr">
        <is>
          <t>Silver1</t>
        </is>
      </c>
      <c r="H17" s="295">
        <f t="array" ref="H17">iferror(INDEX('アイテムID_管理'!E:E,MATCH(I17,'アイテムID_管理'!H:H,0),0),"error")</f>
        <v/>
      </c>
      <c r="I17" s="296" t="inlineStr">
        <is>
          <t>コイン</t>
        </is>
      </c>
      <c r="J17" s="297" t="n">
        <v>2000</v>
      </c>
      <c r="K17" s="294" t="n"/>
      <c r="L17" s="296" t="inlineStr">
        <is>
          <t>4位~50位</t>
        </is>
      </c>
      <c r="M17" s="295">
        <f t="array" ref="M17">iferror(INDEX('アイテムID_管理'!E:E,MATCH(N17,'アイテムID_管理'!H:H,0),0),"error")</f>
        <v/>
      </c>
      <c r="N17" s="296" t="inlineStr">
        <is>
          <t>プリズム</t>
        </is>
      </c>
      <c r="O17" s="297" t="n">
        <v>300</v>
      </c>
      <c r="P17" s="250" t="n"/>
      <c r="Q17" s="250" t="n"/>
      <c r="R17" s="250" t="n"/>
      <c r="S17" s="250" t="n"/>
      <c r="T17" s="250" t="n"/>
      <c r="U17" s="250" t="n"/>
      <c r="V17" s="250" t="n"/>
      <c r="W17" s="250" t="n"/>
      <c r="X17" s="250" t="n"/>
      <c r="Y17" s="250" t="n"/>
      <c r="Z17" s="250" t="n"/>
    </row>
    <row r="18">
      <c r="A18" s="250" t="n"/>
      <c r="B18" s="296" t="n"/>
      <c r="C18" s="295">
        <f t="array" ref="C18">iferror(INDEX('アイテムID_管理'!E:E,MATCH(D18,'アイテムID_管理'!H:H,0),0),"error")</f>
        <v/>
      </c>
      <c r="D18" s="296" t="n"/>
      <c r="E18" s="296" t="n"/>
      <c r="F18" s="294" t="n"/>
      <c r="G18" s="296" t="inlineStr">
        <is>
          <t>Silver1</t>
        </is>
      </c>
      <c r="H18" s="295">
        <f t="array" ref="H18">iferror(INDEX('アイテムID_管理'!E:E,MATCH(I18,'アイテムID_管理'!H:H,0),0),"error")</f>
        <v/>
      </c>
      <c r="I18" s="296" t="inlineStr">
        <is>
          <t>メモリーフラグメント・初級</t>
        </is>
      </c>
      <c r="J18" s="297" t="n">
        <v>1</v>
      </c>
      <c r="K18" s="294" t="n"/>
      <c r="L18" s="296" t="inlineStr">
        <is>
          <t>4位~50位</t>
        </is>
      </c>
      <c r="M18" s="295">
        <f t="array" ref="M18">iferror(INDEX('アイテムID_管理'!E:E,MATCH(N18,'アイテムID_管理'!H:H,0),0),"error")</f>
        <v/>
      </c>
      <c r="N18" s="296" t="inlineStr">
        <is>
          <t>コイン</t>
        </is>
      </c>
      <c r="O18" s="297" t="n">
        <v>30000</v>
      </c>
      <c r="P18" s="250" t="n"/>
      <c r="Q18" s="250" t="n"/>
      <c r="R18" s="250" t="n"/>
      <c r="S18" s="250" t="n"/>
      <c r="T18" s="250" t="n"/>
      <c r="U18" s="250" t="n"/>
      <c r="V18" s="250" t="n"/>
      <c r="W18" s="250" t="n"/>
      <c r="X18" s="250" t="n"/>
      <c r="Y18" s="250" t="n"/>
      <c r="Z18" s="250" t="n"/>
    </row>
    <row r="19">
      <c r="A19" s="250" t="n"/>
      <c r="B19" s="296" t="n"/>
      <c r="C19" s="295">
        <f t="array" ref="C19">iferror(INDEX('アイテムID_管理'!E:E,MATCH(D19,'アイテムID_管理'!H:H,0),0),"error")</f>
        <v/>
      </c>
      <c r="D19" s="296" t="n"/>
      <c r="E19" s="296" t="n"/>
      <c r="F19" s="294" t="n"/>
      <c r="G19" s="296" t="inlineStr">
        <is>
          <t>Silver2</t>
        </is>
      </c>
      <c r="H19" s="295">
        <f t="array" ref="H19">iferror(INDEX('アイテムID_管理'!E:E,MATCH(I19,'アイテムID_管理'!H:H,0),0),"error")</f>
        <v/>
      </c>
      <c r="I19" s="296" t="inlineStr">
        <is>
          <t>プリズム</t>
        </is>
      </c>
      <c r="J19" s="297" t="n">
        <v>20</v>
      </c>
      <c r="K19" s="294" t="n"/>
      <c r="L19" s="296" t="inlineStr">
        <is>
          <t>4位~50位</t>
        </is>
      </c>
      <c r="M19" s="295">
        <f t="array" ref="M19">iferror(INDEX('アイテムID_管理'!E:E,MATCH(N19,'アイテムID_管理'!H:H,0),0),"error")</f>
        <v/>
      </c>
      <c r="N19" s="296" t="inlineStr">
        <is>
          <t>スペシャルガシャチケット</t>
        </is>
      </c>
      <c r="O19" s="297" t="n">
        <v>4</v>
      </c>
      <c r="P19" s="250" t="n"/>
      <c r="Q19" s="250" t="n"/>
      <c r="R19" s="250" t="n"/>
      <c r="S19" s="250" t="n"/>
      <c r="T19" s="250" t="n"/>
      <c r="U19" s="250" t="n"/>
      <c r="V19" s="250" t="n"/>
      <c r="W19" s="250" t="n"/>
      <c r="X19" s="250" t="n"/>
      <c r="Y19" s="250" t="n"/>
      <c r="Z19" s="250" t="n"/>
    </row>
    <row r="20">
      <c r="A20" s="250" t="n"/>
      <c r="B20" s="296" t="n"/>
      <c r="C20" s="295">
        <f t="array" ref="C20">iferror(INDEX('アイテムID_管理'!E:E,MATCH(D20,'アイテムID_管理'!H:H,0),0),"error")</f>
        <v/>
      </c>
      <c r="D20" s="296" t="n"/>
      <c r="E20" s="296" t="n"/>
      <c r="F20" s="294" t="n"/>
      <c r="G20" s="296" t="inlineStr">
        <is>
          <t>Silver2</t>
        </is>
      </c>
      <c r="H20" s="295">
        <f t="array" ref="H20">iferror(INDEX('アイテムID_管理'!E:E,MATCH(I20,'アイテムID_管理'!H:H,0),0),"error")</f>
        <v/>
      </c>
      <c r="I20" s="296" t="inlineStr">
        <is>
          <t>コイン</t>
        </is>
      </c>
      <c r="J20" s="297" t="n">
        <v>2000</v>
      </c>
      <c r="K20" s="294" t="n"/>
      <c r="L20" s="296" t="inlineStr">
        <is>
          <t>51位~300位</t>
        </is>
      </c>
      <c r="M20" s="295" t="inlineStr">
        <is>
          <t>emblem_adventbattle_jig_season01_00005</t>
        </is>
      </c>
      <c r="N20" s="296" t="inlineStr">
        <is>
          <t>エンブレム</t>
        </is>
      </c>
      <c r="O20" s="297" t="n">
        <v>1</v>
      </c>
      <c r="P20" s="250" t="n"/>
      <c r="Q20" s="250" t="n"/>
      <c r="R20" s="250" t="n"/>
      <c r="S20" s="250" t="n"/>
      <c r="T20" s="250" t="n"/>
      <c r="U20" s="250" t="n"/>
      <c r="V20" s="250" t="n"/>
      <c r="W20" s="250" t="n"/>
      <c r="X20" s="250" t="n"/>
      <c r="Y20" s="250" t="n"/>
      <c r="Z20" s="250" t="n"/>
    </row>
    <row r="21">
      <c r="A21" s="250" t="n"/>
      <c r="B21" s="250" t="n"/>
      <c r="C21" s="250" t="n"/>
      <c r="D21" s="250" t="n"/>
      <c r="E21" s="250" t="n"/>
      <c r="F21" s="250" t="n"/>
      <c r="G21" s="296" t="inlineStr">
        <is>
          <t>Silver2</t>
        </is>
      </c>
      <c r="H21" s="295">
        <f t="array" ref="H21">iferror(INDEX('アイテムID_管理'!E:E,MATCH(I21,'アイテムID_管理'!H:H,0),0),"error")</f>
        <v/>
      </c>
      <c r="I21" s="296" t="inlineStr">
        <is>
          <t>メモリーフラグメント・初級</t>
        </is>
      </c>
      <c r="J21" s="297" t="n">
        <v>1</v>
      </c>
      <c r="K21" s="250" t="n"/>
      <c r="L21" s="296" t="inlineStr">
        <is>
          <t>51位~300位</t>
        </is>
      </c>
      <c r="M21" s="295">
        <f t="array" ref="M21">iferror(INDEX('アイテムID_管理'!E:E,MATCH(N21,'アイテムID_管理'!H:H,0),0),"error")</f>
        <v/>
      </c>
      <c r="N21" s="296" t="inlineStr">
        <is>
          <t>プリズム</t>
        </is>
      </c>
      <c r="O21" s="297" t="n">
        <v>200</v>
      </c>
      <c r="P21" s="250" t="n"/>
      <c r="Q21" s="250" t="n"/>
      <c r="R21" s="250" t="n"/>
      <c r="S21" s="250" t="n"/>
      <c r="T21" s="250" t="n"/>
      <c r="U21" s="250" t="n"/>
      <c r="V21" s="250" t="n"/>
      <c r="W21" s="250" t="n"/>
      <c r="X21" s="250" t="n"/>
      <c r="Y21" s="250" t="n"/>
      <c r="Z21" s="250" t="n"/>
    </row>
    <row r="22">
      <c r="A22" s="250" t="n"/>
      <c r="B22" s="250" t="n"/>
      <c r="C22" s="250" t="n"/>
      <c r="D22" s="250" t="n"/>
      <c r="E22" s="250" t="n"/>
      <c r="F22" s="250" t="n"/>
      <c r="G22" s="296" t="inlineStr">
        <is>
          <t>Silver3</t>
        </is>
      </c>
      <c r="H22" s="295">
        <f t="array" ref="H22">iferror(INDEX('アイテムID_管理'!E:E,MATCH(I22,'アイテムID_管理'!H:H,0),0),"error")</f>
        <v/>
      </c>
      <c r="I22" s="296" t="inlineStr">
        <is>
          <t>プリズム</t>
        </is>
      </c>
      <c r="J22" s="297" t="n">
        <v>20</v>
      </c>
      <c r="K22" s="250" t="n"/>
      <c r="L22" s="296" t="inlineStr">
        <is>
          <t>51位~300位</t>
        </is>
      </c>
      <c r="M22" s="295">
        <f t="array" ref="M22">iferror(INDEX('アイテムID_管理'!E:E,MATCH(N22,'アイテムID_管理'!H:H,0),0),"error")</f>
        <v/>
      </c>
      <c r="N22" s="296" t="inlineStr">
        <is>
          <t>コイン</t>
        </is>
      </c>
      <c r="O22" s="297" t="n">
        <v>20000</v>
      </c>
      <c r="P22" s="250" t="n"/>
      <c r="Q22" s="250" t="n"/>
      <c r="R22" s="250" t="n"/>
      <c r="S22" s="250" t="n"/>
      <c r="T22" s="250" t="n"/>
      <c r="U22" s="250" t="n"/>
      <c r="V22" s="250" t="n"/>
      <c r="W22" s="250" t="n"/>
      <c r="X22" s="250" t="n"/>
      <c r="Y22" s="250" t="n"/>
      <c r="Z22" s="250" t="n"/>
    </row>
    <row r="23">
      <c r="A23" s="250" t="n"/>
      <c r="B23" s="250" t="n"/>
      <c r="C23" s="250" t="n"/>
      <c r="D23" s="250" t="n"/>
      <c r="E23" s="250" t="n"/>
      <c r="F23" s="250" t="n"/>
      <c r="G23" s="296" t="inlineStr">
        <is>
          <t>Silver3</t>
        </is>
      </c>
      <c r="H23" s="295">
        <f t="array" ref="H23">iferror(INDEX('アイテムID_管理'!E:E,MATCH(I23,'アイテムID_管理'!H:H,0),0),"error")</f>
        <v/>
      </c>
      <c r="I23" s="296" t="inlineStr">
        <is>
          <t>コイン</t>
        </is>
      </c>
      <c r="J23" s="297" t="n">
        <v>2000</v>
      </c>
      <c r="K23" s="250" t="n"/>
      <c r="L23" s="296" t="inlineStr">
        <is>
          <t>51位~300位</t>
        </is>
      </c>
      <c r="M23" s="295">
        <f t="array" ref="M23">iferror(INDEX('アイテムID_管理'!E:E,MATCH(N23,'アイテムID_管理'!H:H,0),0),"error")</f>
        <v/>
      </c>
      <c r="N23" s="296" t="inlineStr">
        <is>
          <t>スペシャルガシャチケット</t>
        </is>
      </c>
      <c r="O23" s="297" t="n">
        <v>3</v>
      </c>
      <c r="P23" s="250" t="n"/>
      <c r="Q23" s="250" t="n"/>
      <c r="R23" s="250" t="n"/>
      <c r="S23" s="250" t="n"/>
      <c r="T23" s="250" t="n"/>
      <c r="U23" s="250" t="n"/>
      <c r="V23" s="250" t="n"/>
      <c r="W23" s="250" t="n"/>
      <c r="X23" s="250" t="n"/>
      <c r="Y23" s="250" t="n"/>
      <c r="Z23" s="250" t="n"/>
    </row>
    <row r="24">
      <c r="A24" s="250" t="n"/>
      <c r="B24" s="250" t="n"/>
      <c r="C24" s="250" t="n"/>
      <c r="D24" s="250" t="n"/>
      <c r="E24" s="250" t="n"/>
      <c r="F24" s="250" t="n"/>
      <c r="G24" s="296" t="inlineStr">
        <is>
          <t>Silver3</t>
        </is>
      </c>
      <c r="H24" s="295">
        <f t="array" ref="H24">iferror(INDEX('アイテムID_管理'!E:E,MATCH(I24,'アイテムID_管理'!H:H,0),0),"error")</f>
        <v/>
      </c>
      <c r="I24" s="296" t="inlineStr">
        <is>
          <t>メモリーフラグメント・初級</t>
        </is>
      </c>
      <c r="J24" s="297" t="n">
        <v>2</v>
      </c>
      <c r="K24" s="250" t="n"/>
      <c r="L24" s="296" t="inlineStr">
        <is>
          <t>301位~1000位</t>
        </is>
      </c>
      <c r="M24" s="295" t="inlineStr">
        <is>
          <t>emblem_adventbattle_jig_season01_00006</t>
        </is>
      </c>
      <c r="N24" s="296" t="inlineStr">
        <is>
          <t>エンブレム</t>
        </is>
      </c>
      <c r="O24" s="297" t="n">
        <v>1</v>
      </c>
      <c r="P24" s="250" t="n"/>
      <c r="Q24" s="250" t="n"/>
      <c r="R24" s="250" t="n"/>
      <c r="S24" s="250" t="n"/>
      <c r="T24" s="250" t="n"/>
      <c r="U24" s="250" t="n"/>
      <c r="V24" s="250" t="n"/>
      <c r="W24" s="250" t="n"/>
      <c r="X24" s="250" t="n"/>
      <c r="Y24" s="250" t="n"/>
      <c r="Z24" s="250" t="n"/>
    </row>
    <row r="25">
      <c r="A25" s="250" t="n"/>
      <c r="B25" s="250" t="n"/>
      <c r="C25" s="250" t="n"/>
      <c r="D25" s="250" t="n"/>
      <c r="E25" s="250" t="n"/>
      <c r="F25" s="250" t="n"/>
      <c r="G25" s="296" t="inlineStr">
        <is>
          <t>Silver4</t>
        </is>
      </c>
      <c r="H25" s="295">
        <f t="array" ref="H25">iferror(INDEX('アイテムID_管理'!E:E,MATCH(I25,'アイテムID_管理'!H:H,0),0),"error")</f>
        <v/>
      </c>
      <c r="I25" s="296" t="inlineStr">
        <is>
          <t>プリズム</t>
        </is>
      </c>
      <c r="J25" s="297" t="n">
        <v>20</v>
      </c>
      <c r="K25" s="250" t="n"/>
      <c r="L25" s="296" t="inlineStr">
        <is>
          <t>301位~1000位</t>
        </is>
      </c>
      <c r="M25" s="295">
        <f t="array" ref="M25">iferror(INDEX('アイテムID_管理'!E:E,MATCH(N25,'アイテムID_管理'!H:H,0),0),"error")</f>
        <v/>
      </c>
      <c r="N25" s="296" t="inlineStr">
        <is>
          <t>プリズム</t>
        </is>
      </c>
      <c r="O25" s="297" t="n">
        <v>150</v>
      </c>
      <c r="P25" s="250" t="n"/>
      <c r="Q25" s="250" t="n"/>
      <c r="R25" s="250" t="n"/>
      <c r="S25" s="250" t="n"/>
      <c r="T25" s="250" t="n"/>
      <c r="U25" s="250" t="n"/>
      <c r="V25" s="250" t="n"/>
      <c r="W25" s="250" t="n"/>
      <c r="X25" s="250" t="n"/>
      <c r="Y25" s="250" t="n"/>
      <c r="Z25" s="250" t="n"/>
    </row>
    <row r="26">
      <c r="A26" s="250" t="n"/>
      <c r="B26" s="250" t="n"/>
      <c r="C26" s="250" t="n"/>
      <c r="D26" s="250" t="n"/>
      <c r="E26" s="250" t="n"/>
      <c r="F26" s="250" t="n"/>
      <c r="G26" s="296" t="inlineStr">
        <is>
          <t>Silver4</t>
        </is>
      </c>
      <c r="H26" s="295">
        <f t="array" ref="H26">iferror(INDEX('アイテムID_管理'!E:E,MATCH(I26,'アイテムID_管理'!H:H,0),0),"error")</f>
        <v/>
      </c>
      <c r="I26" s="296" t="inlineStr">
        <is>
          <t>コイン</t>
        </is>
      </c>
      <c r="J26" s="297" t="n">
        <v>2000</v>
      </c>
      <c r="K26" s="250" t="n"/>
      <c r="L26" s="296" t="inlineStr">
        <is>
          <t>301位~1000位</t>
        </is>
      </c>
      <c r="M26" s="295">
        <f t="array" ref="M26">iferror(INDEX('アイテムID_管理'!E:E,MATCH(N26,'アイテムID_管理'!H:H,0),0),"error")</f>
        <v/>
      </c>
      <c r="N26" s="296" t="inlineStr">
        <is>
          <t>コイン</t>
        </is>
      </c>
      <c r="O26" s="297" t="n">
        <v>15000</v>
      </c>
      <c r="P26" s="250" t="n"/>
      <c r="Q26" s="250" t="n"/>
      <c r="R26" s="250" t="n"/>
      <c r="S26" s="250" t="n"/>
      <c r="T26" s="250" t="n"/>
      <c r="U26" s="250" t="n"/>
      <c r="V26" s="250" t="n"/>
      <c r="W26" s="250" t="n"/>
      <c r="X26" s="250" t="n"/>
      <c r="Y26" s="250" t="n"/>
      <c r="Z26" s="250" t="n"/>
    </row>
    <row r="27">
      <c r="A27" s="250" t="n"/>
      <c r="B27" s="250" t="n"/>
      <c r="C27" s="250" t="n"/>
      <c r="D27" s="250" t="n"/>
      <c r="E27" s="250" t="n"/>
      <c r="F27" s="250" t="n"/>
      <c r="G27" s="296" t="inlineStr">
        <is>
          <t>Silver4</t>
        </is>
      </c>
      <c r="H27" s="295">
        <f t="array" ref="H27">iferror(INDEX('アイテムID_管理'!E:E,MATCH(I27,'アイテムID_管理'!H:H,0),0),"error")</f>
        <v/>
      </c>
      <c r="I27" s="296" t="inlineStr">
        <is>
          <t>メモリーフラグメント・初級</t>
        </is>
      </c>
      <c r="J27" s="297" t="n">
        <v>2</v>
      </c>
      <c r="K27" s="250" t="n"/>
      <c r="L27" s="296" t="inlineStr">
        <is>
          <t>301位~1000位</t>
        </is>
      </c>
      <c r="M27" s="295">
        <f t="array" ref="M27">iferror(INDEX('アイテムID_管理'!E:E,MATCH(N27,'アイテムID_管理'!H:H,0),0),"error")</f>
        <v/>
      </c>
      <c r="N27" s="296" t="inlineStr">
        <is>
          <t>スペシャルガシャチケット</t>
        </is>
      </c>
      <c r="O27" s="297" t="n">
        <v>3</v>
      </c>
      <c r="P27" s="250" t="n"/>
      <c r="Q27" s="250" t="n"/>
      <c r="R27" s="250" t="n"/>
      <c r="S27" s="250" t="n"/>
      <c r="T27" s="250" t="n"/>
      <c r="U27" s="250" t="n"/>
      <c r="V27" s="250" t="n"/>
      <c r="W27" s="250" t="n"/>
      <c r="X27" s="250" t="n"/>
      <c r="Y27" s="250" t="n"/>
      <c r="Z27" s="250" t="n"/>
    </row>
    <row r="28">
      <c r="A28" s="250" t="n"/>
      <c r="B28" s="250" t="n"/>
      <c r="C28" s="250" t="n"/>
      <c r="D28" s="250" t="n"/>
      <c r="E28" s="250" t="n"/>
      <c r="F28" s="250" t="n"/>
      <c r="G28" s="296" t="inlineStr">
        <is>
          <t>Gold1</t>
        </is>
      </c>
      <c r="H28" s="295">
        <f t="array" ref="H28">iferror(INDEX('アイテムID_管理'!E:E,MATCH(I28,'アイテムID_管理'!H:H,0),0),"error")</f>
        <v/>
      </c>
      <c r="I28" s="296" t="inlineStr">
        <is>
          <t>プリズム</t>
        </is>
      </c>
      <c r="J28" s="297" t="n">
        <v>30</v>
      </c>
      <c r="K28" s="250" t="n"/>
      <c r="L28" s="296" t="inlineStr">
        <is>
          <t>1001位~5000位</t>
        </is>
      </c>
      <c r="M28" s="295">
        <f t="array" ref="M28">iferror(INDEX('アイテムID_管理'!E:E,MATCH(N28,'アイテムID_管理'!H:H,0),0),"error")</f>
        <v/>
      </c>
      <c r="N28" s="296" t="inlineStr">
        <is>
          <t>プリズム</t>
        </is>
      </c>
      <c r="O28" s="297" t="n">
        <v>100</v>
      </c>
      <c r="P28" s="250" t="n"/>
      <c r="Q28" s="250" t="n"/>
      <c r="R28" s="250" t="n"/>
      <c r="S28" s="250" t="n"/>
      <c r="T28" s="250" t="n"/>
      <c r="U28" s="250" t="n"/>
      <c r="V28" s="250" t="n"/>
      <c r="W28" s="250" t="n"/>
      <c r="X28" s="250" t="n"/>
      <c r="Y28" s="250" t="n"/>
      <c r="Z28" s="250" t="n"/>
    </row>
    <row r="29">
      <c r="A29" s="250" t="n"/>
      <c r="B29" s="250" t="n"/>
      <c r="C29" s="250" t="n"/>
      <c r="D29" s="250" t="n"/>
      <c r="E29" s="250" t="n"/>
      <c r="F29" s="250" t="n"/>
      <c r="G29" s="296" t="inlineStr">
        <is>
          <t>Gold1</t>
        </is>
      </c>
      <c r="H29" s="295">
        <f t="array" ref="H29">iferror(INDEX('アイテムID_管理'!E:E,MATCH(I29,'アイテムID_管理'!H:H,0),0),"error")</f>
        <v/>
      </c>
      <c r="I29" s="296" t="inlineStr">
        <is>
          <t>コイン</t>
        </is>
      </c>
      <c r="J29" s="297" t="n">
        <v>3000</v>
      </c>
      <c r="K29" s="250" t="n"/>
      <c r="L29" s="296" t="inlineStr">
        <is>
          <t>1001位~5000位</t>
        </is>
      </c>
      <c r="M29" s="295">
        <f t="array" ref="M29">iferror(INDEX('アイテムID_管理'!E:E,MATCH(N29,'アイテムID_管理'!H:H,0),0),"error")</f>
        <v/>
      </c>
      <c r="N29" s="296" t="inlineStr">
        <is>
          <t>コイン</t>
        </is>
      </c>
      <c r="O29" s="297" t="n">
        <v>10000</v>
      </c>
      <c r="P29" s="250" t="n"/>
      <c r="Q29" s="250" t="n"/>
      <c r="R29" s="250" t="n"/>
      <c r="S29" s="250" t="n"/>
      <c r="T29" s="250" t="n"/>
      <c r="U29" s="250" t="n"/>
      <c r="V29" s="250" t="n"/>
      <c r="W29" s="250" t="n"/>
      <c r="X29" s="250" t="n"/>
      <c r="Y29" s="250" t="n"/>
      <c r="Z29" s="250" t="n"/>
    </row>
    <row r="30">
      <c r="A30" s="250" t="n"/>
      <c r="B30" s="250" t="n"/>
      <c r="C30" s="250" t="n"/>
      <c r="D30" s="250" t="n"/>
      <c r="E30" s="250" t="n"/>
      <c r="F30" s="250" t="n"/>
      <c r="G30" s="296" t="inlineStr">
        <is>
          <t>Gold1</t>
        </is>
      </c>
      <c r="H30" s="295">
        <f t="array" ref="H30">iferror(INDEX('アイテムID_管理'!E:E,MATCH(I30,'アイテムID_管理'!H:H,0),0),"error")</f>
        <v/>
      </c>
      <c r="I30" s="296" t="inlineStr">
        <is>
          <t>メモリーフラグメント・初級</t>
        </is>
      </c>
      <c r="J30" s="297" t="n">
        <v>2</v>
      </c>
      <c r="K30" s="250" t="n"/>
      <c r="L30" s="296" t="inlineStr">
        <is>
          <t>1001位~5000位</t>
        </is>
      </c>
      <c r="M30" s="295">
        <f t="array" ref="M30">iferror(INDEX('アイテムID_管理'!E:E,MATCH(N30,'アイテムID_管理'!H:H,0),0),"error")</f>
        <v/>
      </c>
      <c r="N30" s="296" t="inlineStr">
        <is>
          <t>スペシャルガシャチケット</t>
        </is>
      </c>
      <c r="O30" s="297" t="n">
        <v>2</v>
      </c>
      <c r="P30" s="250" t="n"/>
      <c r="Q30" s="250" t="n"/>
      <c r="R30" s="250" t="n"/>
      <c r="S30" s="250" t="n"/>
      <c r="T30" s="250" t="n"/>
      <c r="U30" s="250" t="n"/>
      <c r="V30" s="250" t="n"/>
      <c r="W30" s="250" t="n"/>
      <c r="X30" s="250" t="n"/>
      <c r="Y30" s="250" t="n"/>
      <c r="Z30" s="250" t="n"/>
    </row>
    <row r="31">
      <c r="A31" s="250" t="n"/>
      <c r="B31" s="250" t="n"/>
      <c r="C31" s="250" t="n"/>
      <c r="D31" s="250" t="n"/>
      <c r="E31" s="250" t="n"/>
      <c r="F31" s="250" t="n"/>
      <c r="G31" s="296" t="inlineStr">
        <is>
          <t>Gold1</t>
        </is>
      </c>
      <c r="H31" s="295">
        <f t="array" ref="H31">iferror(INDEX('アイテムID_管理'!E:E,MATCH(I31,'アイテムID_管理'!H:H,0),0),"error")</f>
        <v/>
      </c>
      <c r="I31" s="296" t="inlineStr">
        <is>
          <t>メモリーフラグメント・中級</t>
        </is>
      </c>
      <c r="J31" s="297" t="n">
        <v>1</v>
      </c>
      <c r="K31" s="250" t="n"/>
      <c r="L31" s="296" t="inlineStr">
        <is>
          <t>5001位~10000位</t>
        </is>
      </c>
      <c r="M31" s="295">
        <f t="array" ref="M31">iferror(INDEX('アイテムID_管理'!E:E,MATCH(N31,'アイテムID_管理'!H:H,0),0),"error")</f>
        <v/>
      </c>
      <c r="N31" s="296" t="inlineStr">
        <is>
          <t>プリズム</t>
        </is>
      </c>
      <c r="O31" s="297" t="n">
        <v>50</v>
      </c>
      <c r="P31" s="250" t="n"/>
      <c r="Q31" s="250" t="n"/>
      <c r="R31" s="250" t="n"/>
      <c r="S31" s="250" t="n"/>
      <c r="T31" s="250" t="n"/>
      <c r="U31" s="250" t="n"/>
      <c r="V31" s="250" t="n"/>
      <c r="W31" s="250" t="n"/>
      <c r="X31" s="250" t="n"/>
      <c r="Y31" s="250" t="n"/>
      <c r="Z31" s="250" t="n"/>
    </row>
    <row r="32">
      <c r="A32" s="250" t="n"/>
      <c r="B32" s="250" t="n"/>
      <c r="C32" s="250" t="n"/>
      <c r="D32" s="250" t="n"/>
      <c r="E32" s="250" t="n"/>
      <c r="F32" s="250" t="n"/>
      <c r="G32" s="296" t="inlineStr">
        <is>
          <t>Gold2</t>
        </is>
      </c>
      <c r="H32" s="295">
        <f t="array" ref="H32">iferror(INDEX('アイテムID_管理'!E:E,MATCH(I32,'アイテムID_管理'!H:H,0),0),"error")</f>
        <v/>
      </c>
      <c r="I32" s="296" t="inlineStr">
        <is>
          <t>プリズム</t>
        </is>
      </c>
      <c r="J32" s="297" t="n">
        <v>30</v>
      </c>
      <c r="K32" s="250" t="n"/>
      <c r="L32" s="296" t="inlineStr">
        <is>
          <t>5001位~10000位</t>
        </is>
      </c>
      <c r="M32" s="295">
        <f t="array" ref="M32">iferror(INDEX('アイテムID_管理'!E:E,MATCH(N32,'アイテムID_管理'!H:H,0),0),"error")</f>
        <v/>
      </c>
      <c r="N32" s="296" t="inlineStr">
        <is>
          <t>コイン</t>
        </is>
      </c>
      <c r="O32" s="297" t="n">
        <v>5000</v>
      </c>
      <c r="P32" s="250" t="n"/>
      <c r="Q32" s="250" t="n"/>
      <c r="R32" s="250" t="n"/>
      <c r="S32" s="250" t="n"/>
      <c r="T32" s="250" t="n"/>
      <c r="U32" s="250" t="n"/>
      <c r="V32" s="250" t="n"/>
      <c r="W32" s="250" t="n"/>
      <c r="X32" s="250" t="n"/>
      <c r="Y32" s="250" t="n"/>
      <c r="Z32" s="250" t="n"/>
    </row>
    <row r="33">
      <c r="A33" s="250" t="n"/>
      <c r="B33" s="250" t="n"/>
      <c r="C33" s="250" t="n"/>
      <c r="D33" s="250" t="n"/>
      <c r="E33" s="250" t="n"/>
      <c r="F33" s="250" t="n"/>
      <c r="G33" s="296" t="inlineStr">
        <is>
          <t>Gold2</t>
        </is>
      </c>
      <c r="H33" s="295">
        <f t="array" ref="H33">iferror(INDEX('アイテムID_管理'!E:E,MATCH(I33,'アイテムID_管理'!H:H,0),0),"error")</f>
        <v/>
      </c>
      <c r="I33" s="296" t="inlineStr">
        <is>
          <t>コイン</t>
        </is>
      </c>
      <c r="J33" s="297" t="n">
        <v>3000</v>
      </c>
      <c r="K33" s="250" t="n"/>
      <c r="L33" s="296" t="inlineStr">
        <is>
          <t>5001位~10000位</t>
        </is>
      </c>
      <c r="M33" s="295">
        <f t="array" ref="M33">iferror(INDEX('アイテムID_管理'!E:E,MATCH(N33,'アイテムID_管理'!H:H,0),0),"error")</f>
        <v/>
      </c>
      <c r="N33" s="296" t="inlineStr">
        <is>
          <t>スペシャルガシャチケット</t>
        </is>
      </c>
      <c r="O33" s="297" t="n">
        <v>2</v>
      </c>
      <c r="P33" s="250" t="n"/>
      <c r="Q33" s="250" t="n"/>
      <c r="R33" s="250" t="n"/>
      <c r="S33" s="250" t="n"/>
      <c r="T33" s="250" t="n"/>
      <c r="U33" s="250" t="n"/>
      <c r="V33" s="250" t="n"/>
      <c r="W33" s="250" t="n"/>
      <c r="X33" s="250" t="n"/>
      <c r="Y33" s="250" t="n"/>
      <c r="Z33" s="250" t="n"/>
    </row>
    <row r="34">
      <c r="A34" s="250" t="n"/>
      <c r="B34" s="250" t="n"/>
      <c r="C34" s="250" t="n"/>
      <c r="D34" s="250" t="n"/>
      <c r="E34" s="250" t="n"/>
      <c r="F34" s="250" t="n"/>
      <c r="G34" s="296" t="inlineStr">
        <is>
          <t>Gold2</t>
        </is>
      </c>
      <c r="H34" s="295">
        <f t="array" ref="H34">iferror(INDEX('アイテムID_管理'!E:E,MATCH(I34,'アイテムID_管理'!H:H,0),0),"error")</f>
        <v/>
      </c>
      <c r="I34" s="296" t="inlineStr">
        <is>
          <t>メモリーフラグメント・初級</t>
        </is>
      </c>
      <c r="J34" s="297" t="n">
        <v>2</v>
      </c>
      <c r="K34" s="250" t="n"/>
      <c r="L34" s="296" t="inlineStr">
        <is>
          <t>10001位〜</t>
        </is>
      </c>
      <c r="M34" s="295">
        <f t="array" ref="M34">iferror(INDEX('アイテムID_管理'!E:E,MATCH(N34,'アイテムID_管理'!H:H,0),0),"error")</f>
        <v/>
      </c>
      <c r="N34" s="296" t="inlineStr">
        <is>
          <t>プリズム</t>
        </is>
      </c>
      <c r="O34" s="297" t="n">
        <v>20</v>
      </c>
      <c r="P34" s="250" t="n"/>
      <c r="Q34" s="250" t="n"/>
      <c r="R34" s="250" t="n"/>
      <c r="S34" s="250" t="n"/>
      <c r="T34" s="250" t="n"/>
      <c r="U34" s="250" t="n"/>
      <c r="V34" s="250" t="n"/>
      <c r="W34" s="250" t="n"/>
      <c r="X34" s="250" t="n"/>
      <c r="Y34" s="250" t="n"/>
      <c r="Z34" s="250" t="n"/>
    </row>
    <row r="35">
      <c r="A35" s="250" t="n"/>
      <c r="B35" s="250" t="n"/>
      <c r="C35" s="250" t="n"/>
      <c r="D35" s="250" t="n"/>
      <c r="E35" s="250" t="n"/>
      <c r="F35" s="250" t="n"/>
      <c r="G35" s="296" t="inlineStr">
        <is>
          <t>Gold2</t>
        </is>
      </c>
      <c r="H35" s="295">
        <f t="array" ref="H35">iferror(INDEX('アイテムID_管理'!E:E,MATCH(I35,'アイテムID_管理'!H:H,0),0),"error")</f>
        <v/>
      </c>
      <c r="I35" s="296" t="inlineStr">
        <is>
          <t>メモリーフラグメント・中級</t>
        </is>
      </c>
      <c r="J35" s="297" t="n">
        <v>2</v>
      </c>
      <c r="K35" s="250" t="n"/>
      <c r="L35" s="296" t="inlineStr">
        <is>
          <t>10001位〜</t>
        </is>
      </c>
      <c r="M35" s="295">
        <f t="array" ref="M35">iferror(INDEX('アイテムID_管理'!E:E,MATCH(N35,'アイテムID_管理'!H:H,0),0),"error")</f>
        <v/>
      </c>
      <c r="N35" s="296" t="inlineStr">
        <is>
          <t>コイン</t>
        </is>
      </c>
      <c r="O35" s="297" t="n">
        <v>2000</v>
      </c>
      <c r="P35" s="250" t="n"/>
      <c r="Q35" s="250" t="n"/>
      <c r="R35" s="250" t="n"/>
      <c r="S35" s="250" t="n"/>
      <c r="T35" s="250" t="n"/>
      <c r="U35" s="250" t="n"/>
      <c r="V35" s="250" t="n"/>
      <c r="W35" s="250" t="n"/>
      <c r="X35" s="250" t="n"/>
      <c r="Y35" s="250" t="n"/>
      <c r="Z35" s="250" t="n"/>
    </row>
    <row r="36">
      <c r="A36" s="250" t="n"/>
      <c r="B36" s="250" t="n"/>
      <c r="C36" s="250" t="n"/>
      <c r="D36" s="250" t="n"/>
      <c r="E36" s="250" t="n"/>
      <c r="F36" s="250" t="n"/>
      <c r="G36" s="296" t="inlineStr">
        <is>
          <t>Gold3</t>
        </is>
      </c>
      <c r="H36" s="295">
        <f t="array" ref="H36">iferror(INDEX('アイテムID_管理'!E:E,MATCH(I36,'アイテムID_管理'!H:H,0),0),"error")</f>
        <v/>
      </c>
      <c r="I36" s="296" t="inlineStr">
        <is>
          <t>プリズム</t>
        </is>
      </c>
      <c r="J36" s="297" t="n">
        <v>30</v>
      </c>
      <c r="K36" s="250" t="n"/>
      <c r="L36" s="296" t="inlineStr">
        <is>
          <t>10001位〜</t>
        </is>
      </c>
      <c r="M36" s="295">
        <f t="array" ref="M36">iferror(INDEX('アイテムID_管理'!E:E,MATCH(N36,'アイテムID_管理'!H:H,0),0),"error")</f>
        <v/>
      </c>
      <c r="N36" s="296" t="inlineStr">
        <is>
          <t>スペシャルガシャチケット</t>
        </is>
      </c>
      <c r="O36" s="297" t="n">
        <v>1</v>
      </c>
      <c r="P36" s="250" t="n"/>
      <c r="Q36" s="250" t="n"/>
      <c r="R36" s="250" t="n"/>
      <c r="S36" s="250" t="n"/>
      <c r="T36" s="250" t="n"/>
      <c r="U36" s="250" t="n"/>
      <c r="V36" s="250" t="n"/>
      <c r="W36" s="250" t="n"/>
      <c r="X36" s="250" t="n"/>
      <c r="Y36" s="250" t="n"/>
      <c r="Z36" s="250" t="n"/>
    </row>
    <row r="37">
      <c r="A37" s="250" t="n"/>
      <c r="B37" s="250" t="n"/>
      <c r="C37" s="250" t="n"/>
      <c r="D37" s="250" t="n"/>
      <c r="E37" s="250" t="n"/>
      <c r="F37" s="250" t="n"/>
      <c r="G37" s="296" t="inlineStr">
        <is>
          <t>Gold3</t>
        </is>
      </c>
      <c r="H37" s="295">
        <f t="array" ref="H37">iferror(INDEX('アイテムID_管理'!E:E,MATCH(I37,'アイテムID_管理'!H:H,0),0),"error")</f>
        <v/>
      </c>
      <c r="I37" s="296" t="inlineStr">
        <is>
          <t>コイン</t>
        </is>
      </c>
      <c r="J37" s="297" t="n">
        <v>3000</v>
      </c>
      <c r="K37" s="250" t="n"/>
      <c r="L37" s="250" t="n"/>
      <c r="M37" s="250" t="n"/>
      <c r="N37" s="250" t="n"/>
      <c r="O37" s="250" t="n"/>
      <c r="P37" s="250" t="n"/>
      <c r="Q37" s="250" t="n"/>
      <c r="R37" s="250" t="n"/>
      <c r="S37" s="250" t="n"/>
      <c r="T37" s="250" t="n"/>
      <c r="U37" s="250" t="n"/>
      <c r="V37" s="250" t="n"/>
      <c r="W37" s="250" t="n"/>
      <c r="X37" s="250" t="n"/>
      <c r="Y37" s="250" t="n"/>
      <c r="Z37" s="250" t="n"/>
    </row>
    <row r="38">
      <c r="A38" s="250" t="n"/>
      <c r="B38" s="250" t="n"/>
      <c r="C38" s="250" t="n"/>
      <c r="D38" s="250" t="n"/>
      <c r="E38" s="250" t="n"/>
      <c r="F38" s="250" t="n"/>
      <c r="G38" s="296" t="inlineStr">
        <is>
          <t>Gold3</t>
        </is>
      </c>
      <c r="H38" s="295">
        <f t="array" ref="H38">iferror(INDEX('アイテムID_管理'!E:E,MATCH(I38,'アイテムID_管理'!H:H,0),0),"error")</f>
        <v/>
      </c>
      <c r="I38" s="296" t="inlineStr">
        <is>
          <t>メモリーフラグメント・初級</t>
        </is>
      </c>
      <c r="J38" s="297" t="n">
        <v>2</v>
      </c>
      <c r="K38" s="250" t="n"/>
      <c r="L38" s="250" t="n"/>
      <c r="M38" s="250" t="n"/>
      <c r="N38" s="250" t="n"/>
      <c r="O38" s="250" t="n"/>
      <c r="P38" s="250" t="n"/>
      <c r="Q38" s="250" t="n"/>
      <c r="R38" s="250" t="n"/>
      <c r="S38" s="250" t="n"/>
      <c r="T38" s="250" t="n"/>
      <c r="U38" s="250" t="n"/>
      <c r="V38" s="250" t="n"/>
      <c r="W38" s="250" t="n"/>
      <c r="X38" s="250" t="n"/>
      <c r="Y38" s="250" t="n"/>
      <c r="Z38" s="250" t="n"/>
    </row>
    <row r="39">
      <c r="A39" s="250" t="n"/>
      <c r="B39" s="250" t="n"/>
      <c r="C39" s="250" t="n"/>
      <c r="D39" s="250" t="n"/>
      <c r="E39" s="250" t="n"/>
      <c r="F39" s="250" t="n"/>
      <c r="G39" s="296" t="inlineStr">
        <is>
          <t>Gold3</t>
        </is>
      </c>
      <c r="H39" s="295">
        <f t="array" ref="H39">iferror(INDEX('アイテムID_管理'!E:E,MATCH(I39,'アイテムID_管理'!H:H,0),0),"error")</f>
        <v/>
      </c>
      <c r="I39" s="296" t="inlineStr">
        <is>
          <t>メモリーフラグメント・中級</t>
        </is>
      </c>
      <c r="J39" s="297" t="n">
        <v>2</v>
      </c>
      <c r="K39" s="250" t="n"/>
      <c r="L39" s="250" t="n"/>
      <c r="M39" s="250" t="n"/>
      <c r="N39" s="250" t="n"/>
      <c r="O39" s="250" t="n"/>
      <c r="P39" s="250" t="n"/>
      <c r="Q39" s="250" t="n"/>
      <c r="R39" s="250" t="n"/>
      <c r="S39" s="250" t="n"/>
      <c r="T39" s="250" t="n"/>
      <c r="U39" s="250" t="n"/>
      <c r="V39" s="250" t="n"/>
      <c r="W39" s="250" t="n"/>
      <c r="X39" s="250" t="n"/>
      <c r="Y39" s="250" t="n"/>
      <c r="Z39" s="250" t="n"/>
    </row>
    <row r="40">
      <c r="A40" s="250" t="n"/>
      <c r="B40" s="250" t="n"/>
      <c r="C40" s="250" t="n"/>
      <c r="D40" s="250" t="n"/>
      <c r="E40" s="250" t="n"/>
      <c r="F40" s="250" t="n"/>
      <c r="G40" s="296" t="inlineStr">
        <is>
          <t>Gold4</t>
        </is>
      </c>
      <c r="H40" s="295">
        <f t="array" ref="H40">iferror(INDEX('アイテムID_管理'!E:E,MATCH(I40,'アイテムID_管理'!H:H,0),0),"error")</f>
        <v/>
      </c>
      <c r="I40" s="296" t="inlineStr">
        <is>
          <t>プリズム</t>
        </is>
      </c>
      <c r="J40" s="297" t="n">
        <v>30</v>
      </c>
      <c r="K40" s="250" t="n"/>
      <c r="L40" s="250" t="n"/>
      <c r="M40" s="250" t="n"/>
      <c r="N40" s="250" t="n"/>
      <c r="O40" s="250" t="n"/>
      <c r="P40" s="250" t="n"/>
      <c r="Q40" s="250" t="n"/>
      <c r="R40" s="250" t="n"/>
      <c r="S40" s="250" t="n"/>
      <c r="T40" s="250" t="n"/>
      <c r="U40" s="250" t="n"/>
      <c r="V40" s="250" t="n"/>
      <c r="W40" s="250" t="n"/>
      <c r="X40" s="250" t="n"/>
      <c r="Y40" s="250" t="n"/>
      <c r="Z40" s="250" t="n"/>
    </row>
    <row r="41">
      <c r="A41" s="250" t="n"/>
      <c r="B41" s="250" t="n"/>
      <c r="C41" s="250" t="n"/>
      <c r="D41" s="250" t="n"/>
      <c r="E41" s="250" t="n"/>
      <c r="F41" s="250" t="n"/>
      <c r="G41" s="296" t="inlineStr">
        <is>
          <t>Gold4</t>
        </is>
      </c>
      <c r="H41" s="295">
        <f t="array" ref="H41">iferror(INDEX('アイテムID_管理'!E:E,MATCH(I41,'アイテムID_管理'!H:H,0),0),"error")</f>
        <v/>
      </c>
      <c r="I41" s="296" t="inlineStr">
        <is>
          <t>コイン</t>
        </is>
      </c>
      <c r="J41" s="297" t="n">
        <v>3000</v>
      </c>
      <c r="K41" s="250" t="n"/>
      <c r="L41" s="250" t="n"/>
      <c r="M41" s="250" t="n"/>
      <c r="N41" s="250" t="n"/>
      <c r="O41" s="250" t="n"/>
      <c r="P41" s="250" t="n"/>
      <c r="Q41" s="250" t="n"/>
      <c r="R41" s="250" t="n"/>
      <c r="S41" s="250" t="n"/>
      <c r="T41" s="250" t="n"/>
      <c r="U41" s="250" t="n"/>
      <c r="V41" s="250" t="n"/>
      <c r="W41" s="250" t="n"/>
      <c r="X41" s="250" t="n"/>
      <c r="Y41" s="250" t="n"/>
      <c r="Z41" s="250" t="n"/>
    </row>
    <row r="42">
      <c r="A42" s="250" t="n"/>
      <c r="B42" s="250" t="n"/>
      <c r="C42" s="250" t="n"/>
      <c r="D42" s="250" t="n"/>
      <c r="E42" s="250" t="n"/>
      <c r="F42" s="250" t="n"/>
      <c r="G42" s="296" t="inlineStr">
        <is>
          <t>Gold4</t>
        </is>
      </c>
      <c r="H42" s="295">
        <f t="array" ref="H42">iferror(INDEX('アイテムID_管理'!E:E,MATCH(I42,'アイテムID_管理'!H:H,0),0),"error")</f>
        <v/>
      </c>
      <c r="I42" s="296" t="inlineStr">
        <is>
          <t>メモリーフラグメント・初級</t>
        </is>
      </c>
      <c r="J42" s="297" t="n">
        <v>2</v>
      </c>
      <c r="K42" s="250" t="n"/>
      <c r="L42" s="250" t="n"/>
      <c r="M42" s="250" t="n"/>
      <c r="N42" s="250" t="n"/>
      <c r="O42" s="250" t="n"/>
      <c r="P42" s="250" t="n"/>
      <c r="Q42" s="250" t="n"/>
      <c r="R42" s="250" t="n"/>
      <c r="S42" s="250" t="n"/>
      <c r="T42" s="250" t="n"/>
      <c r="U42" s="250" t="n"/>
      <c r="V42" s="250" t="n"/>
      <c r="W42" s="250" t="n"/>
      <c r="X42" s="250" t="n"/>
      <c r="Y42" s="250" t="n"/>
      <c r="Z42" s="250" t="n"/>
    </row>
    <row r="43">
      <c r="A43" s="250" t="n"/>
      <c r="B43" s="250" t="n"/>
      <c r="C43" s="250" t="n"/>
      <c r="D43" s="250" t="n"/>
      <c r="E43" s="250" t="n"/>
      <c r="F43" s="250" t="n"/>
      <c r="G43" s="296" t="inlineStr">
        <is>
          <t>Gold4</t>
        </is>
      </c>
      <c r="H43" s="295">
        <f t="array" ref="H43">iferror(INDEX('アイテムID_管理'!E:E,MATCH(I43,'アイテムID_管理'!H:H,0),0),"error")</f>
        <v/>
      </c>
      <c r="I43" s="296" t="inlineStr">
        <is>
          <t>メモリーフラグメント・中級</t>
        </is>
      </c>
      <c r="J43" s="297" t="n">
        <v>2</v>
      </c>
      <c r="K43" s="250" t="n"/>
      <c r="L43" s="250" t="n"/>
      <c r="M43" s="250" t="n"/>
      <c r="N43" s="250" t="n"/>
      <c r="O43" s="250" t="n"/>
      <c r="P43" s="250" t="n"/>
      <c r="Q43" s="250" t="n"/>
      <c r="R43" s="250" t="n"/>
      <c r="S43" s="250" t="n"/>
      <c r="T43" s="250" t="n"/>
      <c r="U43" s="250" t="n"/>
      <c r="V43" s="250" t="n"/>
      <c r="W43" s="250" t="n"/>
      <c r="X43" s="250" t="n"/>
      <c r="Y43" s="250" t="n"/>
      <c r="Z43" s="250" t="n"/>
    </row>
    <row r="44">
      <c r="A44" s="250" t="n"/>
      <c r="B44" s="250" t="n"/>
      <c r="C44" s="250" t="n"/>
      <c r="D44" s="250" t="n"/>
      <c r="E44" s="250" t="n"/>
      <c r="F44" s="250" t="n"/>
      <c r="G44" s="296" t="inlineStr">
        <is>
          <t>Master1</t>
        </is>
      </c>
      <c r="H44" s="295">
        <f t="array" ref="H44">iferror(INDEX('アイテムID_管理'!E:E,MATCH(I44,'アイテムID_管理'!H:H,0),0),"error")</f>
        <v/>
      </c>
      <c r="I44" s="296" t="inlineStr">
        <is>
          <t>プリズム</t>
        </is>
      </c>
      <c r="J44" s="297" t="n">
        <v>40</v>
      </c>
      <c r="K44" s="250" t="n"/>
      <c r="L44" s="250" t="n"/>
      <c r="M44" s="250" t="n"/>
      <c r="N44" s="250" t="n"/>
      <c r="O44" s="250" t="n"/>
      <c r="P44" s="250" t="n"/>
      <c r="Q44" s="250" t="n"/>
      <c r="R44" s="250" t="n"/>
      <c r="S44" s="250" t="n"/>
      <c r="T44" s="250" t="n"/>
      <c r="U44" s="250" t="n"/>
      <c r="V44" s="250" t="n"/>
      <c r="W44" s="250" t="n"/>
      <c r="X44" s="250" t="n"/>
      <c r="Y44" s="250" t="n"/>
      <c r="Z44" s="250" t="n"/>
    </row>
    <row r="45">
      <c r="A45" s="250" t="n"/>
      <c r="B45" s="250" t="n"/>
      <c r="C45" s="250" t="n"/>
      <c r="D45" s="250" t="n"/>
      <c r="E45" s="250" t="n"/>
      <c r="F45" s="250" t="n"/>
      <c r="G45" s="296" t="inlineStr">
        <is>
          <t>Master1</t>
        </is>
      </c>
      <c r="H45" s="295">
        <f t="array" ref="H45">iferror(INDEX('アイテムID_管理'!E:E,MATCH(I45,'アイテムID_管理'!H:H,0),0),"error")</f>
        <v/>
      </c>
      <c r="I45" s="296" t="inlineStr">
        <is>
          <t>コイン</t>
        </is>
      </c>
      <c r="J45" s="297" t="n">
        <v>4000</v>
      </c>
      <c r="K45" s="250" t="n"/>
      <c r="L45" s="250" t="n"/>
      <c r="M45" s="250" t="n"/>
      <c r="N45" s="250" t="n"/>
      <c r="O45" s="250" t="n"/>
      <c r="P45" s="250" t="n"/>
      <c r="Q45" s="250" t="n"/>
      <c r="R45" s="250" t="n"/>
      <c r="S45" s="250" t="n"/>
      <c r="T45" s="250" t="n"/>
      <c r="U45" s="250" t="n"/>
      <c r="V45" s="250" t="n"/>
      <c r="W45" s="250" t="n"/>
      <c r="X45" s="250" t="n"/>
      <c r="Y45" s="250" t="n"/>
      <c r="Z45" s="250" t="n"/>
    </row>
    <row r="46">
      <c r="A46" s="250" t="n"/>
      <c r="B46" s="250" t="n"/>
      <c r="C46" s="250" t="n"/>
      <c r="D46" s="250" t="n"/>
      <c r="E46" s="250" t="n"/>
      <c r="F46" s="250" t="n"/>
      <c r="G46" s="296" t="inlineStr">
        <is>
          <t>Master1</t>
        </is>
      </c>
      <c r="H46" s="295">
        <f t="array" ref="H46">iferror(INDEX('アイテムID_管理'!E:E,MATCH(I46,'アイテムID_管理'!H:H,0),0),"error")</f>
        <v/>
      </c>
      <c r="I46" s="296" t="inlineStr">
        <is>
          <t>メモリーフラグメント・初級</t>
        </is>
      </c>
      <c r="J46" s="297" t="n">
        <v>3</v>
      </c>
      <c r="K46" s="250" t="n"/>
      <c r="L46" s="250" t="n"/>
      <c r="M46" s="250" t="n"/>
      <c r="N46" s="250" t="n"/>
      <c r="O46" s="250" t="n"/>
      <c r="P46" s="250" t="n"/>
      <c r="Q46" s="250" t="n"/>
      <c r="R46" s="250" t="n"/>
      <c r="S46" s="250" t="n"/>
      <c r="T46" s="250" t="n"/>
      <c r="U46" s="250" t="n"/>
      <c r="V46" s="250" t="n"/>
      <c r="W46" s="250" t="n"/>
      <c r="X46" s="250" t="n"/>
      <c r="Y46" s="250" t="n"/>
      <c r="Z46" s="250" t="n"/>
    </row>
    <row r="47">
      <c r="A47" s="250" t="n"/>
      <c r="B47" s="250" t="n"/>
      <c r="C47" s="250" t="n"/>
      <c r="D47" s="250" t="n"/>
      <c r="E47" s="250" t="n"/>
      <c r="F47" s="250" t="n"/>
      <c r="G47" s="296" t="inlineStr">
        <is>
          <t>Master1</t>
        </is>
      </c>
      <c r="H47" s="295">
        <f t="array" ref="H47">iferror(INDEX('アイテムID_管理'!E:E,MATCH(I47,'アイテムID_管理'!H:H,0),0),"error")</f>
        <v/>
      </c>
      <c r="I47" s="296" t="inlineStr">
        <is>
          <t>メモリーフラグメント・中級</t>
        </is>
      </c>
      <c r="J47" s="297" t="n">
        <v>2</v>
      </c>
      <c r="K47" s="250" t="n"/>
      <c r="L47" s="250" t="n"/>
      <c r="M47" s="250" t="n"/>
      <c r="N47" s="250" t="n"/>
      <c r="O47" s="250" t="n"/>
      <c r="P47" s="250" t="n"/>
      <c r="Q47" s="250" t="n"/>
      <c r="R47" s="250" t="n"/>
      <c r="S47" s="250" t="n"/>
      <c r="T47" s="250" t="n"/>
      <c r="U47" s="250" t="n"/>
      <c r="V47" s="250" t="n"/>
      <c r="W47" s="250" t="n"/>
      <c r="X47" s="250" t="n"/>
      <c r="Y47" s="250" t="n"/>
      <c r="Z47" s="250" t="n"/>
    </row>
    <row r="48">
      <c r="A48" s="250" t="n"/>
      <c r="B48" s="250" t="n"/>
      <c r="C48" s="250" t="n"/>
      <c r="D48" s="250" t="n"/>
      <c r="E48" s="250" t="n"/>
      <c r="F48" s="250" t="n"/>
      <c r="G48" s="296" t="inlineStr">
        <is>
          <t>Master2</t>
        </is>
      </c>
      <c r="H48" s="295">
        <f t="array" ref="H48">iferror(INDEX('アイテムID_管理'!E:E,MATCH(I48,'アイテムID_管理'!H:H,0),0),"error")</f>
        <v/>
      </c>
      <c r="I48" s="296" t="inlineStr">
        <is>
          <t>プリズム</t>
        </is>
      </c>
      <c r="J48" s="297" t="n">
        <v>40</v>
      </c>
      <c r="K48" s="250" t="n"/>
      <c r="L48" s="250" t="n"/>
      <c r="M48" s="250" t="n"/>
      <c r="N48" s="250" t="n"/>
      <c r="O48" s="250" t="n"/>
      <c r="P48" s="250" t="n"/>
      <c r="Q48" s="250" t="n"/>
      <c r="R48" s="250" t="n"/>
      <c r="S48" s="250" t="n"/>
      <c r="T48" s="250" t="n"/>
      <c r="U48" s="250" t="n"/>
      <c r="V48" s="250" t="n"/>
      <c r="W48" s="250" t="n"/>
      <c r="X48" s="250" t="n"/>
      <c r="Y48" s="250" t="n"/>
      <c r="Z48" s="250" t="n"/>
    </row>
    <row r="49">
      <c r="A49" s="250" t="n"/>
      <c r="B49" s="250" t="n"/>
      <c r="C49" s="250" t="n"/>
      <c r="D49" s="250" t="n"/>
      <c r="E49" s="250" t="n"/>
      <c r="F49" s="250" t="n"/>
      <c r="G49" s="296" t="inlineStr">
        <is>
          <t>Master2</t>
        </is>
      </c>
      <c r="H49" s="295">
        <f t="array" ref="H49">iferror(INDEX('アイテムID_管理'!E:E,MATCH(I49,'アイテムID_管理'!H:H,0),0),"error")</f>
        <v/>
      </c>
      <c r="I49" s="296" t="inlineStr">
        <is>
          <t>コイン</t>
        </is>
      </c>
      <c r="J49" s="297" t="n">
        <v>4000</v>
      </c>
      <c r="K49" s="250" t="n"/>
      <c r="L49" s="250" t="n"/>
      <c r="M49" s="250" t="n"/>
      <c r="N49" s="250" t="n"/>
      <c r="O49" s="250" t="n"/>
      <c r="P49" s="250" t="n"/>
      <c r="Q49" s="250" t="n"/>
      <c r="R49" s="250" t="n"/>
      <c r="S49" s="250" t="n"/>
      <c r="T49" s="250" t="n"/>
      <c r="U49" s="250" t="n"/>
      <c r="V49" s="250" t="n"/>
      <c r="W49" s="250" t="n"/>
      <c r="X49" s="250" t="n"/>
      <c r="Y49" s="250" t="n"/>
      <c r="Z49" s="250" t="n"/>
    </row>
    <row r="50">
      <c r="A50" s="250" t="n"/>
      <c r="B50" s="250" t="n"/>
      <c r="C50" s="250" t="n"/>
      <c r="D50" s="250" t="n"/>
      <c r="E50" s="250" t="n"/>
      <c r="F50" s="250" t="n"/>
      <c r="G50" s="296" t="inlineStr">
        <is>
          <t>Master2</t>
        </is>
      </c>
      <c r="H50" s="295">
        <f t="array" ref="H50">iferror(INDEX('アイテムID_管理'!E:E,MATCH(I50,'アイテムID_管理'!H:H,0),0),"error")</f>
        <v/>
      </c>
      <c r="I50" s="296" t="inlineStr">
        <is>
          <t>メモリーフラグメント・初級</t>
        </is>
      </c>
      <c r="J50" s="297" t="n">
        <v>3</v>
      </c>
      <c r="K50" s="250" t="n"/>
      <c r="L50" s="250" t="n"/>
      <c r="M50" s="250" t="n"/>
      <c r="N50" s="250" t="n"/>
      <c r="O50" s="250" t="n"/>
      <c r="P50" s="250" t="n"/>
      <c r="Q50" s="250" t="n"/>
      <c r="R50" s="250" t="n"/>
      <c r="S50" s="250" t="n"/>
      <c r="T50" s="250" t="n"/>
      <c r="U50" s="250" t="n"/>
      <c r="V50" s="250" t="n"/>
      <c r="W50" s="250" t="n"/>
      <c r="X50" s="250" t="n"/>
      <c r="Y50" s="250" t="n"/>
      <c r="Z50" s="250" t="n"/>
    </row>
    <row r="51">
      <c r="A51" s="250" t="n"/>
      <c r="B51" s="250" t="n"/>
      <c r="C51" s="250" t="n"/>
      <c r="D51" s="250" t="n"/>
      <c r="E51" s="250" t="n"/>
      <c r="F51" s="250" t="n"/>
      <c r="G51" s="296" t="inlineStr">
        <is>
          <t>Master2</t>
        </is>
      </c>
      <c r="H51" s="295">
        <f t="array" ref="H51">iferror(INDEX('アイテムID_管理'!E:E,MATCH(I51,'アイテムID_管理'!H:H,0),0),"error")</f>
        <v/>
      </c>
      <c r="I51" s="296" t="inlineStr">
        <is>
          <t>メモリーフラグメント・中級</t>
        </is>
      </c>
      <c r="J51" s="297" t="n">
        <v>2</v>
      </c>
      <c r="K51" s="250" t="n"/>
      <c r="L51" s="250" t="n"/>
      <c r="M51" s="250" t="n"/>
      <c r="N51" s="250" t="n"/>
      <c r="O51" s="250" t="n"/>
      <c r="P51" s="250" t="n"/>
      <c r="Q51" s="250" t="n"/>
      <c r="R51" s="250" t="n"/>
      <c r="S51" s="250" t="n"/>
      <c r="T51" s="250" t="n"/>
      <c r="U51" s="250" t="n"/>
      <c r="V51" s="250" t="n"/>
      <c r="W51" s="250" t="n"/>
      <c r="X51" s="250" t="n"/>
      <c r="Y51" s="250" t="n"/>
      <c r="Z51" s="250" t="n"/>
    </row>
    <row r="52">
      <c r="A52" s="250" t="n"/>
      <c r="B52" s="250" t="n"/>
      <c r="C52" s="250" t="n"/>
      <c r="D52" s="250" t="n"/>
      <c r="E52" s="250" t="n"/>
      <c r="F52" s="250" t="n"/>
      <c r="G52" s="296" t="inlineStr">
        <is>
          <t>Master3</t>
        </is>
      </c>
      <c r="H52" s="295">
        <f t="array" ref="H52">iferror(INDEX('アイテムID_管理'!E:E,MATCH(I52,'アイテムID_管理'!H:H,0),0),"error")</f>
        <v/>
      </c>
      <c r="I52" s="296" t="inlineStr">
        <is>
          <t>プリズム</t>
        </is>
      </c>
      <c r="J52" s="297" t="n">
        <v>40</v>
      </c>
      <c r="K52" s="250" t="n"/>
      <c r="L52" s="250" t="n"/>
      <c r="M52" s="250" t="n"/>
      <c r="N52" s="250" t="n"/>
      <c r="O52" s="250" t="n"/>
      <c r="P52" s="250" t="n"/>
      <c r="Q52" s="250" t="n"/>
      <c r="R52" s="250" t="n"/>
      <c r="S52" s="250" t="n"/>
      <c r="T52" s="250" t="n"/>
      <c r="U52" s="250" t="n"/>
      <c r="V52" s="250" t="n"/>
      <c r="W52" s="250" t="n"/>
      <c r="X52" s="250" t="n"/>
      <c r="Y52" s="250" t="n"/>
      <c r="Z52" s="250" t="n"/>
    </row>
    <row r="53">
      <c r="A53" s="250" t="n"/>
      <c r="B53" s="250" t="n"/>
      <c r="C53" s="250" t="n"/>
      <c r="D53" s="250" t="n"/>
      <c r="E53" s="250" t="n"/>
      <c r="F53" s="250" t="n"/>
      <c r="G53" s="296" t="inlineStr">
        <is>
          <t>Master3</t>
        </is>
      </c>
      <c r="H53" s="295">
        <f t="array" ref="H53">iferror(INDEX('アイテムID_管理'!E:E,MATCH(I53,'アイテムID_管理'!H:H,0),0),"error")</f>
        <v/>
      </c>
      <c r="I53" s="296" t="inlineStr">
        <is>
          <t>コイン</t>
        </is>
      </c>
      <c r="J53" s="297" t="n">
        <v>4000</v>
      </c>
      <c r="K53" s="250" t="n"/>
      <c r="L53" s="250" t="n"/>
      <c r="M53" s="250" t="n"/>
      <c r="N53" s="250" t="n"/>
      <c r="O53" s="250" t="n"/>
      <c r="P53" s="250" t="n"/>
      <c r="Q53" s="250" t="n"/>
      <c r="R53" s="250" t="n"/>
      <c r="S53" s="250" t="n"/>
      <c r="T53" s="250" t="n"/>
      <c r="U53" s="250" t="n"/>
      <c r="V53" s="250" t="n"/>
      <c r="W53" s="250" t="n"/>
      <c r="X53" s="250" t="n"/>
      <c r="Y53" s="250" t="n"/>
      <c r="Z53" s="250" t="n"/>
    </row>
    <row r="54">
      <c r="A54" s="250" t="n"/>
      <c r="B54" s="250" t="n"/>
      <c r="C54" s="250" t="n"/>
      <c r="D54" s="250" t="n"/>
      <c r="E54" s="250" t="n"/>
      <c r="F54" s="250" t="n"/>
      <c r="G54" s="296" t="inlineStr">
        <is>
          <t>Master3</t>
        </is>
      </c>
      <c r="H54" s="295">
        <f t="array" ref="H54">iferror(INDEX('アイテムID_管理'!E:E,MATCH(I54,'アイテムID_管理'!H:H,0),0),"error")</f>
        <v/>
      </c>
      <c r="I54" s="296" t="inlineStr">
        <is>
          <t>メモリーフラグメント・初級</t>
        </is>
      </c>
      <c r="J54" s="297" t="n">
        <v>3</v>
      </c>
      <c r="K54" s="250" t="n"/>
      <c r="L54" s="250" t="n"/>
      <c r="M54" s="250" t="n"/>
      <c r="N54" s="250" t="n"/>
      <c r="O54" s="250" t="n"/>
      <c r="P54" s="250" t="n"/>
      <c r="Q54" s="250" t="n"/>
      <c r="R54" s="250" t="n"/>
      <c r="S54" s="250" t="n"/>
      <c r="T54" s="250" t="n"/>
      <c r="U54" s="250" t="n"/>
      <c r="V54" s="250" t="n"/>
      <c r="W54" s="250" t="n"/>
      <c r="X54" s="250" t="n"/>
      <c r="Y54" s="250" t="n"/>
      <c r="Z54" s="250" t="n"/>
    </row>
    <row r="55">
      <c r="A55" s="250" t="n"/>
      <c r="B55" s="250" t="n"/>
      <c r="C55" s="250" t="n"/>
      <c r="D55" s="250" t="n"/>
      <c r="E55" s="250" t="n"/>
      <c r="F55" s="250" t="n"/>
      <c r="G55" s="296" t="inlineStr">
        <is>
          <t>Master3</t>
        </is>
      </c>
      <c r="H55" s="295">
        <f t="array" ref="H55">iferror(INDEX('アイテムID_管理'!E:E,MATCH(I55,'アイテムID_管理'!H:H,0),0),"error")</f>
        <v/>
      </c>
      <c r="I55" s="296" t="inlineStr">
        <is>
          <t>メモリーフラグメント・中級</t>
        </is>
      </c>
      <c r="J55" s="297" t="n">
        <v>2</v>
      </c>
      <c r="K55" s="250" t="n"/>
      <c r="L55" s="250" t="n"/>
      <c r="M55" s="250" t="n"/>
      <c r="N55" s="250" t="n"/>
      <c r="O55" s="250" t="n"/>
      <c r="P55" s="250" t="n"/>
      <c r="Q55" s="250" t="n"/>
      <c r="R55" s="250" t="n"/>
      <c r="S55" s="250" t="n"/>
      <c r="T55" s="250" t="n"/>
      <c r="U55" s="250" t="n"/>
      <c r="V55" s="250" t="n"/>
      <c r="W55" s="250" t="n"/>
      <c r="X55" s="250" t="n"/>
      <c r="Y55" s="250" t="n"/>
      <c r="Z55" s="250" t="n"/>
    </row>
    <row r="56">
      <c r="A56" s="250" t="n"/>
      <c r="B56" s="250" t="n"/>
      <c r="C56" s="250" t="n"/>
      <c r="D56" s="250" t="n"/>
      <c r="E56" s="250" t="n"/>
      <c r="F56" s="250" t="n"/>
      <c r="G56" s="296" t="inlineStr">
        <is>
          <t>Master4</t>
        </is>
      </c>
      <c r="H56" s="295">
        <f t="array" ref="H56">iferror(INDEX('アイテムID_管理'!E:E,MATCH(I56,'アイテムID_管理'!H:H,0),0),"error")</f>
        <v/>
      </c>
      <c r="I56" s="296" t="inlineStr">
        <is>
          <t>プリズム</t>
        </is>
      </c>
      <c r="J56" s="297" t="n">
        <v>40</v>
      </c>
      <c r="K56" s="250" t="n"/>
      <c r="L56" s="250" t="n"/>
      <c r="M56" s="250" t="n"/>
      <c r="N56" s="250" t="n"/>
      <c r="O56" s="250" t="n"/>
      <c r="P56" s="250" t="n"/>
      <c r="Q56" s="250" t="n"/>
      <c r="R56" s="250" t="n"/>
      <c r="S56" s="250" t="n"/>
      <c r="T56" s="250" t="n"/>
      <c r="U56" s="250" t="n"/>
      <c r="V56" s="250" t="n"/>
      <c r="W56" s="250" t="n"/>
      <c r="X56" s="250" t="n"/>
      <c r="Y56" s="250" t="n"/>
      <c r="Z56" s="250" t="n"/>
    </row>
    <row r="57">
      <c r="A57" s="250" t="n"/>
      <c r="B57" s="250" t="n"/>
      <c r="C57" s="250" t="n"/>
      <c r="D57" s="250" t="n"/>
      <c r="E57" s="250" t="n"/>
      <c r="F57" s="250" t="n"/>
      <c r="G57" s="296" t="inlineStr">
        <is>
          <t>Master4</t>
        </is>
      </c>
      <c r="H57" s="295">
        <f t="array" ref="H57">iferror(INDEX('アイテムID_管理'!E:E,MATCH(I57,'アイテムID_管理'!H:H,0),0),"error")</f>
        <v/>
      </c>
      <c r="I57" s="296" t="inlineStr">
        <is>
          <t>コイン</t>
        </is>
      </c>
      <c r="J57" s="297" t="n">
        <v>4000</v>
      </c>
      <c r="K57" s="250" t="n"/>
      <c r="L57" s="250" t="n"/>
      <c r="M57" s="250" t="n"/>
      <c r="N57" s="250" t="n"/>
      <c r="O57" s="250" t="n"/>
      <c r="P57" s="250" t="n"/>
      <c r="Q57" s="250" t="n"/>
      <c r="R57" s="250" t="n"/>
      <c r="S57" s="250" t="n"/>
      <c r="T57" s="250" t="n"/>
      <c r="U57" s="250" t="n"/>
      <c r="V57" s="250" t="n"/>
      <c r="W57" s="250" t="n"/>
      <c r="X57" s="250" t="n"/>
      <c r="Y57" s="250" t="n"/>
      <c r="Z57" s="250" t="n"/>
    </row>
    <row r="58">
      <c r="A58" s="250" t="n"/>
      <c r="B58" s="250" t="n"/>
      <c r="C58" s="250" t="n"/>
      <c r="D58" s="250" t="n"/>
      <c r="E58" s="250" t="n"/>
      <c r="F58" s="250" t="n"/>
      <c r="G58" s="296" t="inlineStr">
        <is>
          <t>Master4</t>
        </is>
      </c>
      <c r="H58" s="295">
        <f t="array" ref="H58">iferror(INDEX('アイテムID_管理'!E:E,MATCH(I58,'アイテムID_管理'!H:H,0),0),"error")</f>
        <v/>
      </c>
      <c r="I58" s="296" t="inlineStr">
        <is>
          <t>メモリーフラグメント・初級</t>
        </is>
      </c>
      <c r="J58" s="297" t="n">
        <v>3</v>
      </c>
      <c r="K58" s="250" t="n"/>
      <c r="L58" s="250" t="n"/>
      <c r="M58" s="250" t="n"/>
      <c r="N58" s="250" t="n"/>
      <c r="O58" s="250" t="n"/>
      <c r="P58" s="250" t="n"/>
      <c r="Q58" s="250" t="n"/>
      <c r="R58" s="250" t="n"/>
      <c r="S58" s="250" t="n"/>
      <c r="T58" s="250" t="n"/>
      <c r="U58" s="250" t="n"/>
      <c r="V58" s="250" t="n"/>
      <c r="W58" s="250" t="n"/>
      <c r="X58" s="250" t="n"/>
      <c r="Y58" s="250" t="n"/>
      <c r="Z58" s="250" t="n"/>
    </row>
    <row r="59">
      <c r="A59" s="250" t="n"/>
      <c r="B59" s="250" t="n"/>
      <c r="C59" s="250" t="n"/>
      <c r="D59" s="250" t="n"/>
      <c r="E59" s="250" t="n"/>
      <c r="F59" s="250" t="n"/>
      <c r="G59" s="296" t="inlineStr">
        <is>
          <t>Master4</t>
        </is>
      </c>
      <c r="H59" s="295">
        <f t="array" ref="H59">iferror(INDEX('アイテムID_管理'!E:E,MATCH(I59,'アイテムID_管理'!H:H,0),0),"error")</f>
        <v/>
      </c>
      <c r="I59" s="296" t="inlineStr">
        <is>
          <t>メモリーフラグメント・中級</t>
        </is>
      </c>
      <c r="J59" s="297" t="n">
        <v>2</v>
      </c>
      <c r="K59" s="250" t="n"/>
      <c r="L59" s="250" t="n"/>
      <c r="M59" s="250" t="n"/>
      <c r="N59" s="250" t="n"/>
      <c r="O59" s="250" t="n"/>
      <c r="P59" s="250" t="n"/>
      <c r="Q59" s="250" t="n"/>
      <c r="R59" s="250" t="n"/>
      <c r="S59" s="250" t="n"/>
      <c r="T59" s="250" t="n"/>
      <c r="U59" s="250" t="n"/>
      <c r="V59" s="250" t="n"/>
      <c r="W59" s="250" t="n"/>
      <c r="X59" s="250" t="n"/>
      <c r="Y59" s="250" t="n"/>
      <c r="Z59" s="250" t="n"/>
    </row>
    <row r="60">
      <c r="A60" s="250" t="n"/>
      <c r="B60" s="250" t="n"/>
      <c r="C60" s="250" t="n"/>
      <c r="D60" s="250" t="n"/>
      <c r="E60" s="250" t="n"/>
      <c r="F60" s="250" t="n"/>
      <c r="G60" s="296" t="inlineStr">
        <is>
          <t>Master4</t>
        </is>
      </c>
      <c r="H60" s="295">
        <f t="array" ref="H60">iferror(INDEX('アイテムID_管理'!E:E,MATCH(I60,'アイテムID_管理'!H:H,0),0),"error")</f>
        <v/>
      </c>
      <c r="I60" s="296" t="inlineStr">
        <is>
          <t>メモリーフラグメント・上級</t>
        </is>
      </c>
      <c r="J60" s="297" t="n">
        <v>1</v>
      </c>
      <c r="K60" s="250" t="n"/>
      <c r="L60" s="250" t="n"/>
      <c r="M60" s="250" t="n"/>
      <c r="N60" s="250" t="n"/>
      <c r="O60" s="250" t="n"/>
      <c r="P60" s="250" t="n"/>
      <c r="Q60" s="250" t="n"/>
      <c r="R60" s="250" t="n"/>
      <c r="S60" s="250" t="n"/>
      <c r="T60" s="250" t="n"/>
      <c r="U60" s="250" t="n"/>
      <c r="V60" s="250" t="n"/>
      <c r="W60" s="250" t="n"/>
      <c r="X60" s="250" t="n"/>
      <c r="Y60" s="250" t="n"/>
      <c r="Z60" s="250" t="n"/>
    </row>
    <row r="61">
      <c r="A61" s="250" t="n"/>
      <c r="B61" s="250" t="n"/>
      <c r="C61" s="250" t="n"/>
      <c r="D61" s="250" t="n"/>
      <c r="E61" s="250" t="n"/>
      <c r="F61" s="250" t="n"/>
      <c r="G61" s="250" t="n"/>
      <c r="H61" s="250" t="n"/>
      <c r="I61" s="250" t="n"/>
      <c r="J61" s="250" t="n"/>
      <c r="K61" s="250" t="n"/>
      <c r="L61" s="250" t="n"/>
      <c r="M61" s="250" t="n"/>
      <c r="N61" s="250" t="n"/>
      <c r="O61" s="250" t="n"/>
      <c r="P61" s="250" t="n"/>
      <c r="Q61" s="250" t="n"/>
      <c r="R61" s="250" t="n"/>
      <c r="S61" s="250" t="n"/>
      <c r="T61" s="250" t="n"/>
      <c r="U61" s="250" t="n"/>
      <c r="V61" s="250" t="n"/>
      <c r="W61" s="250" t="n"/>
      <c r="X61" s="250" t="n"/>
      <c r="Y61" s="250" t="n"/>
      <c r="Z61" s="250" t="n"/>
    </row>
    <row r="62">
      <c r="A62" s="250" t="n"/>
      <c r="B62" s="250" t="n"/>
      <c r="C62" s="250" t="n"/>
      <c r="D62" s="250" t="n"/>
      <c r="E62" s="250" t="n"/>
      <c r="F62" s="250" t="n"/>
      <c r="G62" s="250" t="n"/>
      <c r="H62" s="250" t="n"/>
      <c r="I62" s="250" t="n"/>
      <c r="J62" s="250" t="n"/>
      <c r="K62" s="250" t="n"/>
      <c r="L62" s="250" t="n"/>
      <c r="M62" s="250" t="n"/>
      <c r="N62" s="250" t="n"/>
      <c r="O62" s="250" t="n"/>
      <c r="P62" s="250" t="n"/>
      <c r="Q62" s="250" t="n"/>
      <c r="R62" s="250" t="n"/>
      <c r="S62" s="250" t="n"/>
      <c r="T62" s="250" t="n"/>
      <c r="U62" s="250" t="n"/>
      <c r="V62" s="250" t="n"/>
      <c r="W62" s="250" t="n"/>
      <c r="X62" s="250" t="n"/>
      <c r="Y62" s="250" t="n"/>
      <c r="Z62" s="250" t="n"/>
    </row>
    <row r="63">
      <c r="A63" s="250" t="n"/>
      <c r="B63" s="250" t="n"/>
      <c r="C63" s="250" t="n"/>
      <c r="D63" s="250" t="n"/>
      <c r="E63" s="250" t="n"/>
      <c r="F63" s="250" t="n"/>
      <c r="G63" s="250" t="n"/>
      <c r="H63" s="250" t="n"/>
      <c r="I63" s="250" t="n"/>
      <c r="J63" s="250" t="n"/>
      <c r="K63" s="250" t="n"/>
      <c r="L63" s="250" t="n"/>
      <c r="M63" s="250" t="n"/>
      <c r="N63" s="250" t="n"/>
      <c r="O63" s="250" t="n"/>
      <c r="P63" s="250" t="n"/>
      <c r="Q63" s="250" t="n"/>
      <c r="R63" s="250" t="n"/>
      <c r="S63" s="250" t="n"/>
      <c r="T63" s="250" t="n"/>
      <c r="U63" s="250" t="n"/>
      <c r="V63" s="250" t="n"/>
      <c r="W63" s="250" t="n"/>
      <c r="X63" s="250" t="n"/>
      <c r="Y63" s="250" t="n"/>
      <c r="Z63" s="250" t="n"/>
    </row>
    <row r="64">
      <c r="A64" s="250" t="n"/>
      <c r="B64" s="250" t="n"/>
      <c r="C64" s="250" t="n"/>
      <c r="D64" s="250" t="n"/>
      <c r="E64" s="250" t="n"/>
      <c r="F64" s="250" t="n"/>
      <c r="G64" s="250" t="n"/>
      <c r="H64" s="250" t="n"/>
      <c r="I64" s="250" t="n"/>
      <c r="J64" s="250" t="n"/>
      <c r="K64" s="250" t="n"/>
      <c r="L64" s="250" t="n"/>
      <c r="M64" s="250" t="n"/>
      <c r="N64" s="250" t="n"/>
      <c r="O64" s="250" t="n"/>
      <c r="P64" s="250" t="n"/>
      <c r="Q64" s="250" t="n"/>
      <c r="R64" s="250" t="n"/>
      <c r="S64" s="250" t="n"/>
      <c r="T64" s="250" t="n"/>
      <c r="U64" s="250" t="n"/>
      <c r="V64" s="250" t="n"/>
      <c r="W64" s="250" t="n"/>
      <c r="X64" s="250" t="n"/>
      <c r="Y64" s="250" t="n"/>
      <c r="Z64" s="250" t="n"/>
    </row>
    <row r="65">
      <c r="A65" s="250" t="n"/>
      <c r="B65" s="250" t="n"/>
      <c r="C65" s="250" t="n"/>
      <c r="D65" s="250" t="n"/>
      <c r="E65" s="250" t="n"/>
      <c r="F65" s="250" t="n"/>
      <c r="G65" s="250" t="n"/>
      <c r="H65" s="250" t="n"/>
      <c r="I65" s="250" t="n"/>
      <c r="J65" s="250" t="n"/>
      <c r="K65" s="250" t="n"/>
      <c r="L65" s="250" t="n"/>
      <c r="M65" s="250" t="n"/>
      <c r="N65" s="250" t="n"/>
      <c r="O65" s="250" t="n"/>
      <c r="P65" s="250" t="n"/>
      <c r="Q65" s="250" t="n"/>
      <c r="R65" s="250" t="n"/>
      <c r="S65" s="250" t="n"/>
      <c r="T65" s="250" t="n"/>
      <c r="U65" s="250" t="n"/>
      <c r="V65" s="250" t="n"/>
      <c r="W65" s="250" t="n"/>
      <c r="X65" s="250" t="n"/>
      <c r="Y65" s="250" t="n"/>
      <c r="Z65" s="250" t="n"/>
    </row>
    <row r="66">
      <c r="A66" s="250" t="n"/>
      <c r="B66" s="250" t="n"/>
      <c r="C66" s="250" t="n"/>
      <c r="D66" s="250" t="n"/>
      <c r="E66" s="250" t="n"/>
      <c r="F66" s="250" t="n"/>
      <c r="G66" s="250" t="n"/>
      <c r="H66" s="250" t="n"/>
      <c r="I66" s="250" t="n"/>
      <c r="J66" s="250" t="n"/>
      <c r="K66" s="250" t="n"/>
      <c r="L66" s="250" t="n"/>
      <c r="M66" s="250" t="n"/>
      <c r="N66" s="250" t="n"/>
      <c r="O66" s="250" t="n"/>
      <c r="P66" s="250" t="n"/>
      <c r="Q66" s="250" t="n"/>
      <c r="R66" s="250" t="n"/>
      <c r="S66" s="250" t="n"/>
      <c r="T66" s="250" t="n"/>
      <c r="U66" s="250" t="n"/>
      <c r="V66" s="250" t="n"/>
      <c r="W66" s="250" t="n"/>
      <c r="X66" s="250" t="n"/>
      <c r="Y66" s="250" t="n"/>
      <c r="Z66" s="250" t="n"/>
    </row>
    <row r="67">
      <c r="A67" s="250" t="n"/>
      <c r="B67" s="250" t="n"/>
      <c r="C67" s="250" t="n"/>
      <c r="D67" s="250" t="n"/>
      <c r="E67" s="250" t="n"/>
      <c r="F67" s="250" t="n"/>
      <c r="G67" s="250" t="n"/>
      <c r="H67" s="250" t="n"/>
      <c r="I67" s="250" t="n"/>
      <c r="J67" s="250" t="n"/>
      <c r="K67" s="250" t="n"/>
      <c r="L67" s="250" t="n"/>
      <c r="M67" s="250" t="n"/>
      <c r="N67" s="250" t="n"/>
      <c r="O67" s="250" t="n"/>
      <c r="P67" s="250" t="n"/>
      <c r="Q67" s="250" t="n"/>
      <c r="R67" s="250" t="n"/>
      <c r="S67" s="250" t="n"/>
      <c r="T67" s="250" t="n"/>
      <c r="U67" s="250" t="n"/>
      <c r="V67" s="250" t="n"/>
      <c r="W67" s="250" t="n"/>
      <c r="X67" s="250" t="n"/>
      <c r="Y67" s="250" t="n"/>
      <c r="Z67" s="250" t="n"/>
    </row>
    <row r="68">
      <c r="A68" s="250" t="n"/>
      <c r="B68" s="250" t="n"/>
      <c r="C68" s="250" t="n"/>
      <c r="D68" s="250" t="n"/>
      <c r="E68" s="250" t="n"/>
      <c r="F68" s="250" t="n"/>
      <c r="G68" s="250" t="n"/>
      <c r="H68" s="250" t="n"/>
      <c r="I68" s="250" t="n"/>
      <c r="J68" s="250" t="n"/>
      <c r="K68" s="250" t="n"/>
      <c r="L68" s="250" t="n"/>
      <c r="M68" s="250" t="n"/>
      <c r="N68" s="250" t="n"/>
      <c r="O68" s="250" t="n"/>
      <c r="P68" s="250" t="n"/>
      <c r="Q68" s="250" t="n"/>
      <c r="R68" s="250" t="n"/>
      <c r="S68" s="250" t="n"/>
      <c r="T68" s="250" t="n"/>
      <c r="U68" s="250" t="n"/>
      <c r="V68" s="250" t="n"/>
      <c r="W68" s="250" t="n"/>
      <c r="X68" s="250" t="n"/>
      <c r="Y68" s="250" t="n"/>
      <c r="Z68" s="250" t="n"/>
    </row>
    <row r="69">
      <c r="A69" s="250" t="n"/>
      <c r="B69" s="250" t="n"/>
      <c r="C69" s="250" t="n"/>
      <c r="D69" s="250" t="n"/>
      <c r="E69" s="250" t="n"/>
      <c r="F69" s="250" t="n"/>
      <c r="G69" s="250" t="n"/>
      <c r="H69" s="250" t="n"/>
      <c r="I69" s="250" t="n"/>
      <c r="J69" s="250" t="n"/>
      <c r="K69" s="250" t="n"/>
      <c r="L69" s="250" t="n"/>
      <c r="M69" s="250" t="n"/>
      <c r="N69" s="250" t="n"/>
      <c r="O69" s="250" t="n"/>
      <c r="P69" s="250" t="n"/>
      <c r="Q69" s="250" t="n"/>
      <c r="R69" s="250" t="n"/>
      <c r="S69" s="250" t="n"/>
      <c r="T69" s="250" t="n"/>
      <c r="U69" s="250" t="n"/>
      <c r="V69" s="250" t="n"/>
      <c r="W69" s="250" t="n"/>
      <c r="X69" s="250" t="n"/>
      <c r="Y69" s="250" t="n"/>
      <c r="Z69" s="250" t="n"/>
    </row>
    <row r="70">
      <c r="A70" s="250" t="n"/>
      <c r="B70" s="250" t="n"/>
      <c r="C70" s="250" t="n"/>
      <c r="D70" s="250" t="n"/>
      <c r="E70" s="250" t="n"/>
      <c r="F70" s="250" t="n"/>
      <c r="G70" s="250" t="n"/>
      <c r="H70" s="250" t="n"/>
      <c r="I70" s="250" t="n"/>
      <c r="J70" s="250" t="n"/>
      <c r="K70" s="250" t="n"/>
      <c r="L70" s="250" t="n"/>
      <c r="M70" s="250" t="n"/>
      <c r="N70" s="250" t="n"/>
      <c r="O70" s="250" t="n"/>
      <c r="P70" s="250" t="n"/>
      <c r="Q70" s="250" t="n"/>
      <c r="R70" s="250" t="n"/>
      <c r="S70" s="250" t="n"/>
      <c r="T70" s="250" t="n"/>
      <c r="U70" s="250" t="n"/>
      <c r="V70" s="250" t="n"/>
      <c r="W70" s="250" t="n"/>
      <c r="X70" s="250" t="n"/>
      <c r="Y70" s="250" t="n"/>
      <c r="Z70" s="250" t="n"/>
    </row>
    <row r="71">
      <c r="A71" s="250" t="n"/>
      <c r="B71" s="250" t="n"/>
      <c r="C71" s="250" t="n"/>
      <c r="D71" s="250" t="n"/>
      <c r="E71" s="250" t="n"/>
      <c r="F71" s="250" t="n"/>
      <c r="G71" s="250" t="n"/>
      <c r="H71" s="250" t="n"/>
      <c r="I71" s="250" t="n"/>
      <c r="J71" s="250" t="n"/>
      <c r="K71" s="250" t="n"/>
      <c r="L71" s="250" t="n"/>
      <c r="M71" s="250" t="n"/>
      <c r="N71" s="250" t="n"/>
      <c r="O71" s="250" t="n"/>
      <c r="P71" s="250" t="n"/>
      <c r="Q71" s="250" t="n"/>
      <c r="R71" s="250" t="n"/>
      <c r="S71" s="250" t="n"/>
      <c r="T71" s="250" t="n"/>
      <c r="U71" s="250" t="n"/>
      <c r="V71" s="250" t="n"/>
      <c r="W71" s="250" t="n"/>
      <c r="X71" s="250" t="n"/>
      <c r="Y71" s="250" t="n"/>
      <c r="Z71" s="250" t="n"/>
    </row>
    <row r="72">
      <c r="A72" s="250" t="n"/>
      <c r="B72" s="250" t="n"/>
      <c r="C72" s="250" t="n"/>
      <c r="D72" s="250" t="n"/>
      <c r="E72" s="250" t="n"/>
      <c r="F72" s="250" t="n"/>
      <c r="G72" s="250" t="n"/>
      <c r="H72" s="250" t="n"/>
      <c r="I72" s="250" t="n"/>
      <c r="J72" s="250" t="n"/>
      <c r="K72" s="250" t="n"/>
      <c r="L72" s="250" t="n"/>
      <c r="M72" s="250" t="n"/>
      <c r="N72" s="250" t="n"/>
      <c r="O72" s="250" t="n"/>
      <c r="P72" s="250" t="n"/>
      <c r="Q72" s="250" t="n"/>
      <c r="R72" s="250" t="n"/>
      <c r="S72" s="250" t="n"/>
      <c r="T72" s="250" t="n"/>
      <c r="U72" s="250" t="n"/>
      <c r="V72" s="250" t="n"/>
      <c r="W72" s="250" t="n"/>
      <c r="X72" s="250" t="n"/>
      <c r="Y72" s="250" t="n"/>
      <c r="Z72" s="250" t="n"/>
    </row>
    <row r="73">
      <c r="A73" s="250" t="n"/>
      <c r="B73" s="250" t="n"/>
      <c r="C73" s="250" t="n"/>
      <c r="D73" s="250" t="n"/>
      <c r="E73" s="250" t="n"/>
      <c r="F73" s="250" t="n"/>
      <c r="G73" s="250" t="n"/>
      <c r="H73" s="250" t="n"/>
      <c r="I73" s="250" t="n"/>
      <c r="J73" s="250" t="n"/>
      <c r="K73" s="250" t="n"/>
      <c r="L73" s="250" t="n"/>
      <c r="M73" s="250" t="n"/>
      <c r="N73" s="250" t="n"/>
      <c r="O73" s="250" t="n"/>
      <c r="P73" s="250" t="n"/>
      <c r="Q73" s="250" t="n"/>
      <c r="R73" s="250" t="n"/>
      <c r="S73" s="250" t="n"/>
      <c r="T73" s="250" t="n"/>
      <c r="U73" s="250" t="n"/>
      <c r="V73" s="250" t="n"/>
      <c r="W73" s="250" t="n"/>
      <c r="X73" s="250" t="n"/>
      <c r="Y73" s="250" t="n"/>
      <c r="Z73" s="250" t="n"/>
    </row>
    <row r="74">
      <c r="A74" s="250" t="n"/>
      <c r="B74" s="250" t="n"/>
      <c r="C74" s="250" t="n"/>
      <c r="D74" s="250" t="n"/>
      <c r="E74" s="250" t="n"/>
      <c r="F74" s="250" t="n"/>
      <c r="G74" s="250" t="n"/>
      <c r="H74" s="250" t="n"/>
      <c r="I74" s="250" t="n"/>
      <c r="J74" s="250" t="n"/>
      <c r="K74" s="250" t="n"/>
      <c r="L74" s="250" t="n"/>
      <c r="M74" s="250" t="n"/>
      <c r="N74" s="250" t="n"/>
      <c r="O74" s="250" t="n"/>
      <c r="P74" s="250" t="n"/>
      <c r="Q74" s="250" t="n"/>
      <c r="R74" s="250" t="n"/>
      <c r="S74" s="250" t="n"/>
      <c r="T74" s="250" t="n"/>
      <c r="U74" s="250" t="n"/>
      <c r="V74" s="250" t="n"/>
      <c r="W74" s="250" t="n"/>
      <c r="X74" s="250" t="n"/>
      <c r="Y74" s="250" t="n"/>
      <c r="Z74" s="250" t="n"/>
    </row>
    <row r="75">
      <c r="A75" s="250" t="n"/>
      <c r="B75" s="250" t="n"/>
      <c r="C75" s="250" t="n"/>
      <c r="D75" s="250" t="n"/>
      <c r="E75" s="250" t="n"/>
      <c r="F75" s="250" t="n"/>
      <c r="G75" s="250" t="n"/>
      <c r="H75" s="250" t="n"/>
      <c r="I75" s="250" t="n"/>
      <c r="J75" s="250" t="n"/>
      <c r="K75" s="250" t="n"/>
      <c r="L75" s="250" t="n"/>
      <c r="M75" s="250" t="n"/>
      <c r="N75" s="250" t="n"/>
      <c r="O75" s="250" t="n"/>
      <c r="P75" s="250" t="n"/>
      <c r="Q75" s="250" t="n"/>
      <c r="R75" s="250" t="n"/>
      <c r="S75" s="250" t="n"/>
      <c r="T75" s="250" t="n"/>
      <c r="U75" s="250" t="n"/>
      <c r="V75" s="250" t="n"/>
      <c r="W75" s="250" t="n"/>
      <c r="X75" s="250" t="n"/>
      <c r="Y75" s="250" t="n"/>
      <c r="Z75" s="250" t="n"/>
    </row>
    <row r="76">
      <c r="A76" s="250" t="n"/>
      <c r="B76" s="250" t="n"/>
      <c r="C76" s="250" t="n"/>
      <c r="D76" s="250" t="n"/>
      <c r="E76" s="250" t="n"/>
      <c r="F76" s="250" t="n"/>
      <c r="G76" s="250" t="n"/>
      <c r="H76" s="250" t="n"/>
      <c r="I76" s="250" t="n"/>
      <c r="J76" s="250" t="n"/>
      <c r="K76" s="250" t="n"/>
      <c r="L76" s="250" t="n"/>
      <c r="M76" s="250" t="n"/>
      <c r="N76" s="250" t="n"/>
      <c r="O76" s="250" t="n"/>
      <c r="P76" s="250" t="n"/>
      <c r="Q76" s="250" t="n"/>
      <c r="R76" s="250" t="n"/>
      <c r="S76" s="250" t="n"/>
      <c r="T76" s="250" t="n"/>
      <c r="U76" s="250" t="n"/>
      <c r="V76" s="250" t="n"/>
      <c r="W76" s="250" t="n"/>
      <c r="X76" s="250" t="n"/>
      <c r="Y76" s="250" t="n"/>
      <c r="Z76" s="250" t="n"/>
    </row>
    <row r="77">
      <c r="A77" s="250" t="n"/>
      <c r="B77" s="250" t="n"/>
      <c r="C77" s="250" t="n"/>
      <c r="D77" s="250" t="n"/>
      <c r="E77" s="250" t="n"/>
      <c r="F77" s="250" t="n"/>
      <c r="G77" s="250" t="n"/>
      <c r="H77" s="250" t="n"/>
      <c r="I77" s="250" t="n"/>
      <c r="J77" s="250" t="n"/>
      <c r="K77" s="250" t="n"/>
      <c r="L77" s="250" t="n"/>
      <c r="M77" s="250" t="n"/>
      <c r="N77" s="250" t="n"/>
      <c r="O77" s="250" t="n"/>
      <c r="P77" s="250" t="n"/>
      <c r="Q77" s="250" t="n"/>
      <c r="R77" s="250" t="n"/>
      <c r="S77" s="250" t="n"/>
      <c r="T77" s="250" t="n"/>
      <c r="U77" s="250" t="n"/>
      <c r="V77" s="250" t="n"/>
      <c r="W77" s="250" t="n"/>
      <c r="X77" s="250" t="n"/>
      <c r="Y77" s="250" t="n"/>
      <c r="Z77" s="250" t="n"/>
    </row>
    <row r="78">
      <c r="A78" s="250" t="n"/>
      <c r="B78" s="250" t="n"/>
      <c r="C78" s="250" t="n"/>
      <c r="D78" s="250" t="n"/>
      <c r="E78" s="250" t="n"/>
      <c r="F78" s="250" t="n"/>
      <c r="G78" s="250" t="n"/>
      <c r="H78" s="250" t="n"/>
      <c r="I78" s="250" t="n"/>
      <c r="J78" s="250" t="n"/>
      <c r="K78" s="250" t="n"/>
      <c r="L78" s="250" t="n"/>
      <c r="M78" s="250" t="n"/>
      <c r="N78" s="250" t="n"/>
      <c r="O78" s="250" t="n"/>
      <c r="P78" s="250" t="n"/>
      <c r="Q78" s="250" t="n"/>
      <c r="R78" s="250" t="n"/>
      <c r="S78" s="250" t="n"/>
      <c r="T78" s="250" t="n"/>
      <c r="U78" s="250" t="n"/>
      <c r="V78" s="250" t="n"/>
      <c r="W78" s="250" t="n"/>
      <c r="X78" s="250" t="n"/>
      <c r="Y78" s="250" t="n"/>
      <c r="Z78" s="250" t="n"/>
    </row>
    <row r="79">
      <c r="A79" s="250" t="n"/>
      <c r="B79" s="250" t="n"/>
      <c r="C79" s="250" t="n"/>
      <c r="D79" s="250" t="n"/>
      <c r="E79" s="250" t="n"/>
      <c r="F79" s="250" t="n"/>
      <c r="G79" s="250" t="n"/>
      <c r="H79" s="250" t="n"/>
      <c r="I79" s="250" t="n"/>
      <c r="J79" s="250" t="n"/>
      <c r="K79" s="250" t="n"/>
      <c r="L79" s="250" t="n"/>
      <c r="M79" s="250" t="n"/>
      <c r="N79" s="250" t="n"/>
      <c r="O79" s="250" t="n"/>
      <c r="P79" s="250" t="n"/>
      <c r="Q79" s="250" t="n"/>
      <c r="R79" s="250" t="n"/>
      <c r="S79" s="250" t="n"/>
      <c r="T79" s="250" t="n"/>
      <c r="U79" s="250" t="n"/>
      <c r="V79" s="250" t="n"/>
      <c r="W79" s="250" t="n"/>
      <c r="X79" s="250" t="n"/>
      <c r="Y79" s="250" t="n"/>
      <c r="Z79" s="250" t="n"/>
    </row>
    <row r="80">
      <c r="A80" s="250" t="n"/>
      <c r="B80" s="250" t="n"/>
      <c r="C80" s="250" t="n"/>
      <c r="D80" s="250" t="n"/>
      <c r="E80" s="250" t="n"/>
      <c r="F80" s="250" t="n"/>
      <c r="G80" s="250" t="n"/>
      <c r="H80" s="250" t="n"/>
      <c r="I80" s="250" t="n"/>
      <c r="J80" s="250" t="n"/>
      <c r="K80" s="250" t="n"/>
      <c r="L80" s="250" t="n"/>
      <c r="M80" s="250" t="n"/>
      <c r="N80" s="250" t="n"/>
      <c r="O80" s="250" t="n"/>
      <c r="P80" s="250" t="n"/>
      <c r="Q80" s="250" t="n"/>
      <c r="R80" s="250" t="n"/>
      <c r="S80" s="250" t="n"/>
      <c r="T80" s="250" t="n"/>
      <c r="U80" s="250" t="n"/>
      <c r="V80" s="250" t="n"/>
      <c r="W80" s="250" t="n"/>
      <c r="X80" s="250" t="n"/>
      <c r="Y80" s="250" t="n"/>
      <c r="Z80" s="250" t="n"/>
    </row>
    <row r="81">
      <c r="A81" s="250" t="n"/>
      <c r="B81" s="250" t="n"/>
      <c r="C81" s="250" t="n"/>
      <c r="D81" s="250" t="n"/>
      <c r="E81" s="250" t="n"/>
      <c r="F81" s="250" t="n"/>
      <c r="G81" s="250" t="n"/>
      <c r="H81" s="250" t="n"/>
      <c r="I81" s="250" t="n"/>
      <c r="J81" s="250" t="n"/>
      <c r="K81" s="250" t="n"/>
      <c r="L81" s="250" t="n"/>
      <c r="M81" s="250" t="n"/>
      <c r="N81" s="250" t="n"/>
      <c r="O81" s="250" t="n"/>
      <c r="P81" s="250" t="n"/>
      <c r="Q81" s="250" t="n"/>
      <c r="R81" s="250" t="n"/>
      <c r="S81" s="250" t="n"/>
      <c r="T81" s="250" t="n"/>
      <c r="U81" s="250" t="n"/>
      <c r="V81" s="250" t="n"/>
      <c r="W81" s="250" t="n"/>
      <c r="X81" s="250" t="n"/>
      <c r="Y81" s="250" t="n"/>
      <c r="Z81" s="250" t="n"/>
    </row>
    <row r="82">
      <c r="A82" s="250" t="n"/>
      <c r="B82" s="250" t="n"/>
      <c r="C82" s="250" t="n"/>
      <c r="D82" s="250" t="n"/>
      <c r="E82" s="250" t="n"/>
      <c r="F82" s="250" t="n"/>
      <c r="G82" s="250" t="n"/>
      <c r="H82" s="250" t="n"/>
      <c r="I82" s="250" t="n"/>
      <c r="J82" s="250" t="n"/>
      <c r="K82" s="250" t="n"/>
      <c r="L82" s="250" t="n"/>
      <c r="M82" s="250" t="n"/>
      <c r="N82" s="250" t="n"/>
      <c r="O82" s="250" t="n"/>
      <c r="P82" s="250" t="n"/>
      <c r="Q82" s="250" t="n"/>
      <c r="R82" s="250" t="n"/>
      <c r="S82" s="250" t="n"/>
      <c r="T82" s="250" t="n"/>
      <c r="U82" s="250" t="n"/>
      <c r="V82" s="250" t="n"/>
      <c r="W82" s="250" t="n"/>
      <c r="X82" s="250" t="n"/>
      <c r="Y82" s="250" t="n"/>
      <c r="Z82" s="250" t="n"/>
    </row>
    <row r="83">
      <c r="A83" s="250" t="n"/>
      <c r="B83" s="250" t="n"/>
      <c r="C83" s="250" t="n"/>
      <c r="D83" s="250" t="n"/>
      <c r="E83" s="250" t="n"/>
      <c r="F83" s="250" t="n"/>
      <c r="G83" s="250" t="n"/>
      <c r="H83" s="250" t="n"/>
      <c r="I83" s="250" t="n"/>
      <c r="J83" s="250" t="n"/>
      <c r="K83" s="250" t="n"/>
      <c r="L83" s="250" t="n"/>
      <c r="M83" s="250" t="n"/>
      <c r="N83" s="250" t="n"/>
      <c r="O83" s="250" t="n"/>
      <c r="P83" s="250" t="n"/>
      <c r="Q83" s="250" t="n"/>
      <c r="R83" s="250" t="n"/>
      <c r="S83" s="250" t="n"/>
      <c r="T83" s="250" t="n"/>
      <c r="U83" s="250" t="n"/>
      <c r="V83" s="250" t="n"/>
      <c r="W83" s="250" t="n"/>
      <c r="X83" s="250" t="n"/>
      <c r="Y83" s="250" t="n"/>
      <c r="Z83" s="250" t="n"/>
    </row>
    <row r="84">
      <c r="A84" s="250" t="n"/>
      <c r="B84" s="250" t="n"/>
      <c r="C84" s="250" t="n"/>
      <c r="D84" s="250" t="n"/>
      <c r="E84" s="250" t="n"/>
      <c r="F84" s="250" t="n"/>
      <c r="G84" s="250" t="n"/>
      <c r="H84" s="250" t="n"/>
      <c r="I84" s="250" t="n"/>
      <c r="J84" s="250" t="n"/>
      <c r="K84" s="250" t="n"/>
      <c r="L84" s="250" t="n"/>
      <c r="M84" s="250" t="n"/>
      <c r="N84" s="250" t="n"/>
      <c r="O84" s="250" t="n"/>
      <c r="P84" s="250" t="n"/>
      <c r="Q84" s="250" t="n"/>
      <c r="R84" s="250" t="n"/>
      <c r="S84" s="250" t="n"/>
      <c r="T84" s="250" t="n"/>
      <c r="U84" s="250" t="n"/>
      <c r="V84" s="250" t="n"/>
      <c r="W84" s="250" t="n"/>
      <c r="X84" s="250" t="n"/>
      <c r="Y84" s="250" t="n"/>
      <c r="Z84" s="250" t="n"/>
    </row>
    <row r="85">
      <c r="A85" s="250" t="n"/>
      <c r="B85" s="250" t="n"/>
      <c r="C85" s="250" t="n"/>
      <c r="D85" s="250" t="n"/>
      <c r="E85" s="250" t="n"/>
      <c r="F85" s="250" t="n"/>
      <c r="G85" s="250" t="n"/>
      <c r="H85" s="250" t="n"/>
      <c r="I85" s="250" t="n"/>
      <c r="J85" s="250" t="n"/>
      <c r="K85" s="250" t="n"/>
      <c r="L85" s="250" t="n"/>
      <c r="M85" s="250" t="n"/>
      <c r="N85" s="250" t="n"/>
      <c r="O85" s="250" t="n"/>
      <c r="P85" s="250" t="n"/>
      <c r="Q85" s="250" t="n"/>
      <c r="R85" s="250" t="n"/>
      <c r="S85" s="250" t="n"/>
      <c r="T85" s="250" t="n"/>
      <c r="U85" s="250" t="n"/>
      <c r="V85" s="250" t="n"/>
      <c r="W85" s="250" t="n"/>
      <c r="X85" s="250" t="n"/>
      <c r="Y85" s="250" t="n"/>
      <c r="Z85" s="250" t="n"/>
    </row>
    <row r="86">
      <c r="A86" s="250" t="n"/>
      <c r="B86" s="250" t="n"/>
      <c r="C86" s="250" t="n"/>
      <c r="D86" s="250" t="n"/>
      <c r="E86" s="250" t="n"/>
      <c r="F86" s="250" t="n"/>
      <c r="G86" s="250" t="n"/>
      <c r="H86" s="250" t="n"/>
      <c r="I86" s="250" t="n"/>
      <c r="J86" s="250" t="n"/>
      <c r="K86" s="250" t="n"/>
      <c r="L86" s="250" t="n"/>
      <c r="M86" s="250" t="n"/>
      <c r="N86" s="250" t="n"/>
      <c r="O86" s="250" t="n"/>
      <c r="P86" s="250" t="n"/>
      <c r="Q86" s="250" t="n"/>
      <c r="R86" s="250" t="n"/>
      <c r="S86" s="250" t="n"/>
      <c r="T86" s="250" t="n"/>
      <c r="U86" s="250" t="n"/>
      <c r="V86" s="250" t="n"/>
      <c r="W86" s="250" t="n"/>
      <c r="X86" s="250" t="n"/>
      <c r="Y86" s="250" t="n"/>
      <c r="Z86" s="250" t="n"/>
    </row>
    <row r="87">
      <c r="A87" s="250" t="n"/>
      <c r="B87" s="250" t="n"/>
      <c r="C87" s="250" t="n"/>
      <c r="D87" s="250" t="n"/>
      <c r="E87" s="250" t="n"/>
      <c r="F87" s="250" t="n"/>
      <c r="G87" s="250" t="n"/>
      <c r="H87" s="250" t="n"/>
      <c r="I87" s="250" t="n"/>
      <c r="J87" s="250" t="n"/>
      <c r="K87" s="250" t="n"/>
      <c r="L87" s="250" t="n"/>
      <c r="M87" s="250" t="n"/>
      <c r="N87" s="250" t="n"/>
      <c r="O87" s="250" t="n"/>
      <c r="P87" s="250" t="n"/>
      <c r="Q87" s="250" t="n"/>
      <c r="R87" s="250" t="n"/>
      <c r="S87" s="250" t="n"/>
      <c r="T87" s="250" t="n"/>
      <c r="U87" s="250" t="n"/>
      <c r="V87" s="250" t="n"/>
      <c r="W87" s="250" t="n"/>
      <c r="X87" s="250" t="n"/>
      <c r="Y87" s="250" t="n"/>
      <c r="Z87" s="250" t="n"/>
    </row>
    <row r="88">
      <c r="A88" s="250" t="n"/>
      <c r="B88" s="250" t="n"/>
      <c r="C88" s="250" t="n"/>
      <c r="D88" s="250" t="n"/>
      <c r="E88" s="250" t="n"/>
      <c r="F88" s="250" t="n"/>
      <c r="G88" s="250" t="n"/>
      <c r="H88" s="250" t="n"/>
      <c r="I88" s="250" t="n"/>
      <c r="J88" s="250" t="n"/>
      <c r="K88" s="250" t="n"/>
      <c r="L88" s="250" t="n"/>
      <c r="M88" s="250" t="n"/>
      <c r="N88" s="250" t="n"/>
      <c r="O88" s="250" t="n"/>
      <c r="P88" s="250" t="n"/>
      <c r="Q88" s="250" t="n"/>
      <c r="R88" s="250" t="n"/>
      <c r="S88" s="250" t="n"/>
      <c r="T88" s="250" t="n"/>
      <c r="U88" s="250" t="n"/>
      <c r="V88" s="250" t="n"/>
      <c r="W88" s="250" t="n"/>
      <c r="X88" s="250" t="n"/>
      <c r="Y88" s="250" t="n"/>
      <c r="Z88" s="250" t="n"/>
    </row>
    <row r="89">
      <c r="A89" s="250" t="n"/>
      <c r="B89" s="250" t="n"/>
      <c r="C89" s="250" t="n"/>
      <c r="D89" s="250" t="n"/>
      <c r="E89" s="250" t="n"/>
      <c r="F89" s="250" t="n"/>
      <c r="G89" s="250" t="n"/>
      <c r="H89" s="250" t="n"/>
      <c r="I89" s="250" t="n"/>
      <c r="J89" s="250" t="n"/>
      <c r="K89" s="250" t="n"/>
      <c r="L89" s="250" t="n"/>
      <c r="M89" s="250" t="n"/>
      <c r="N89" s="250" t="n"/>
      <c r="O89" s="250" t="n"/>
      <c r="P89" s="250" t="n"/>
      <c r="Q89" s="250" t="n"/>
      <c r="R89" s="250" t="n"/>
      <c r="S89" s="250" t="n"/>
      <c r="T89" s="250" t="n"/>
      <c r="U89" s="250" t="n"/>
      <c r="V89" s="250" t="n"/>
      <c r="W89" s="250" t="n"/>
      <c r="X89" s="250" t="n"/>
      <c r="Y89" s="250" t="n"/>
      <c r="Z89" s="250" t="n"/>
    </row>
    <row r="90">
      <c r="A90" s="250" t="n"/>
      <c r="B90" s="250" t="n"/>
      <c r="C90" s="250" t="n"/>
      <c r="D90" s="250" t="n"/>
      <c r="E90" s="250" t="n"/>
      <c r="F90" s="250" t="n"/>
      <c r="G90" s="250" t="n"/>
      <c r="H90" s="250" t="n"/>
      <c r="I90" s="250" t="n"/>
      <c r="J90" s="250" t="n"/>
      <c r="K90" s="250" t="n"/>
      <c r="L90" s="250" t="n"/>
      <c r="M90" s="250" t="n"/>
      <c r="N90" s="250" t="n"/>
      <c r="O90" s="250" t="n"/>
      <c r="P90" s="250" t="n"/>
      <c r="Q90" s="250" t="n"/>
      <c r="R90" s="250" t="n"/>
      <c r="S90" s="250" t="n"/>
      <c r="T90" s="250" t="n"/>
      <c r="U90" s="250" t="n"/>
      <c r="V90" s="250" t="n"/>
      <c r="W90" s="250" t="n"/>
      <c r="X90" s="250" t="n"/>
      <c r="Y90" s="250" t="n"/>
      <c r="Z90" s="250" t="n"/>
    </row>
    <row r="91">
      <c r="A91" s="250" t="n"/>
      <c r="B91" s="250" t="n"/>
      <c r="C91" s="250" t="n"/>
      <c r="D91" s="250" t="n"/>
      <c r="E91" s="250" t="n"/>
      <c r="F91" s="250" t="n"/>
      <c r="G91" s="250" t="n"/>
      <c r="H91" s="250" t="n"/>
      <c r="I91" s="250" t="n"/>
      <c r="J91" s="250" t="n"/>
      <c r="K91" s="250" t="n"/>
      <c r="L91" s="250" t="n"/>
      <c r="M91" s="250" t="n"/>
      <c r="N91" s="250" t="n"/>
      <c r="O91" s="250" t="n"/>
      <c r="P91" s="250" t="n"/>
      <c r="Q91" s="250" t="n"/>
      <c r="R91" s="250" t="n"/>
      <c r="S91" s="250" t="n"/>
      <c r="T91" s="250" t="n"/>
      <c r="U91" s="250" t="n"/>
      <c r="V91" s="250" t="n"/>
      <c r="W91" s="250" t="n"/>
      <c r="X91" s="250" t="n"/>
      <c r="Y91" s="250" t="n"/>
      <c r="Z91" s="250" t="n"/>
    </row>
    <row r="92">
      <c r="A92" s="250" t="n"/>
      <c r="B92" s="250" t="n"/>
      <c r="C92" s="250" t="n"/>
      <c r="D92" s="250" t="n"/>
      <c r="E92" s="250" t="n"/>
      <c r="F92" s="250" t="n"/>
      <c r="G92" s="250" t="n"/>
      <c r="H92" s="250" t="n"/>
      <c r="I92" s="250" t="n"/>
      <c r="J92" s="250" t="n"/>
      <c r="K92" s="250" t="n"/>
      <c r="L92" s="250" t="n"/>
      <c r="M92" s="250" t="n"/>
      <c r="N92" s="250" t="n"/>
      <c r="O92" s="250" t="n"/>
      <c r="P92" s="250" t="n"/>
      <c r="Q92" s="250" t="n"/>
      <c r="R92" s="250" t="n"/>
      <c r="S92" s="250" t="n"/>
      <c r="T92" s="250" t="n"/>
      <c r="U92" s="250" t="n"/>
      <c r="V92" s="250" t="n"/>
      <c r="W92" s="250" t="n"/>
      <c r="X92" s="250" t="n"/>
      <c r="Y92" s="250" t="n"/>
      <c r="Z92" s="250" t="n"/>
    </row>
    <row r="93">
      <c r="A93" s="250" t="n"/>
      <c r="B93" s="250" t="n"/>
      <c r="C93" s="250" t="n"/>
      <c r="D93" s="250" t="n"/>
      <c r="E93" s="250" t="n"/>
      <c r="F93" s="250" t="n"/>
      <c r="G93" s="250" t="n"/>
      <c r="H93" s="250" t="n"/>
      <c r="I93" s="250" t="n"/>
      <c r="J93" s="250" t="n"/>
      <c r="K93" s="250" t="n"/>
      <c r="L93" s="250" t="n"/>
      <c r="M93" s="250" t="n"/>
      <c r="N93" s="250" t="n"/>
      <c r="O93" s="250" t="n"/>
      <c r="P93" s="250" t="n"/>
      <c r="Q93" s="250" t="n"/>
      <c r="R93" s="250" t="n"/>
      <c r="S93" s="250" t="n"/>
      <c r="T93" s="250" t="n"/>
      <c r="U93" s="250" t="n"/>
      <c r="V93" s="250" t="n"/>
      <c r="W93" s="250" t="n"/>
      <c r="X93" s="250" t="n"/>
      <c r="Y93" s="250" t="n"/>
      <c r="Z93" s="250" t="n"/>
    </row>
    <row r="94">
      <c r="A94" s="250" t="n"/>
      <c r="B94" s="250" t="n"/>
      <c r="C94" s="250" t="n"/>
      <c r="D94" s="250" t="n"/>
      <c r="E94" s="250" t="n"/>
      <c r="F94" s="250" t="n"/>
      <c r="G94" s="250" t="n"/>
      <c r="H94" s="250" t="n"/>
      <c r="I94" s="250" t="n"/>
      <c r="J94" s="250" t="n"/>
      <c r="K94" s="250" t="n"/>
      <c r="L94" s="250" t="n"/>
      <c r="M94" s="250" t="n"/>
      <c r="N94" s="250" t="n"/>
      <c r="O94" s="250" t="n"/>
      <c r="P94" s="250" t="n"/>
      <c r="Q94" s="250" t="n"/>
      <c r="R94" s="250" t="n"/>
      <c r="S94" s="250" t="n"/>
      <c r="T94" s="250" t="n"/>
      <c r="U94" s="250" t="n"/>
      <c r="V94" s="250" t="n"/>
      <c r="W94" s="250" t="n"/>
      <c r="X94" s="250" t="n"/>
      <c r="Y94" s="250" t="n"/>
      <c r="Z94" s="250" t="n"/>
    </row>
    <row r="95">
      <c r="A95" s="250" t="n"/>
      <c r="B95" s="250" t="n"/>
      <c r="C95" s="250" t="n"/>
      <c r="D95" s="250" t="n"/>
      <c r="E95" s="250" t="n"/>
      <c r="F95" s="250" t="n"/>
      <c r="G95" s="250" t="n"/>
      <c r="H95" s="250" t="n"/>
      <c r="I95" s="250" t="n"/>
      <c r="J95" s="250" t="n"/>
      <c r="K95" s="250" t="n"/>
      <c r="L95" s="250" t="n"/>
      <c r="M95" s="250" t="n"/>
      <c r="N95" s="250" t="n"/>
      <c r="O95" s="250" t="n"/>
      <c r="P95" s="250" t="n"/>
      <c r="Q95" s="250" t="n"/>
      <c r="R95" s="250" t="n"/>
      <c r="S95" s="250" t="n"/>
      <c r="T95" s="250" t="n"/>
      <c r="U95" s="250" t="n"/>
      <c r="V95" s="250" t="n"/>
      <c r="W95" s="250" t="n"/>
      <c r="X95" s="250" t="n"/>
      <c r="Y95" s="250" t="n"/>
      <c r="Z95" s="250" t="n"/>
    </row>
    <row r="96">
      <c r="A96" s="250" t="n"/>
      <c r="B96" s="250" t="n"/>
      <c r="C96" s="250" t="n"/>
      <c r="D96" s="250" t="n"/>
      <c r="E96" s="250" t="n"/>
      <c r="F96" s="250" t="n"/>
      <c r="G96" s="250" t="n"/>
      <c r="H96" s="250" t="n"/>
      <c r="I96" s="250" t="n"/>
      <c r="J96" s="250" t="n"/>
      <c r="K96" s="250" t="n"/>
      <c r="L96" s="250" t="n"/>
      <c r="M96" s="250" t="n"/>
      <c r="N96" s="250" t="n"/>
      <c r="O96" s="250" t="n"/>
      <c r="P96" s="250" t="n"/>
      <c r="Q96" s="250" t="n"/>
      <c r="R96" s="250" t="n"/>
      <c r="S96" s="250" t="n"/>
      <c r="T96" s="250" t="n"/>
      <c r="U96" s="250" t="n"/>
      <c r="V96" s="250" t="n"/>
      <c r="W96" s="250" t="n"/>
      <c r="X96" s="250" t="n"/>
      <c r="Y96" s="250" t="n"/>
      <c r="Z96" s="250" t="n"/>
    </row>
    <row r="97">
      <c r="A97" s="250" t="n"/>
      <c r="B97" s="250" t="n"/>
      <c r="C97" s="250" t="n"/>
      <c r="D97" s="250" t="n"/>
      <c r="E97" s="250" t="n"/>
      <c r="F97" s="250" t="n"/>
      <c r="G97" s="250" t="n"/>
      <c r="H97" s="250" t="n"/>
      <c r="I97" s="250" t="n"/>
      <c r="J97" s="250" t="n"/>
      <c r="K97" s="250" t="n"/>
      <c r="L97" s="250" t="n"/>
      <c r="M97" s="250" t="n"/>
      <c r="N97" s="250" t="n"/>
      <c r="O97" s="250" t="n"/>
      <c r="P97" s="250" t="n"/>
      <c r="Q97" s="250" t="n"/>
      <c r="R97" s="250" t="n"/>
      <c r="S97" s="250" t="n"/>
      <c r="T97" s="250" t="n"/>
      <c r="U97" s="250" t="n"/>
      <c r="V97" s="250" t="n"/>
      <c r="W97" s="250" t="n"/>
      <c r="X97" s="250" t="n"/>
      <c r="Y97" s="250" t="n"/>
      <c r="Z97" s="250" t="n"/>
    </row>
    <row r="98">
      <c r="A98" s="250" t="n"/>
      <c r="B98" s="250" t="n"/>
      <c r="C98" s="250" t="n"/>
      <c r="D98" s="250" t="n"/>
      <c r="E98" s="250" t="n"/>
      <c r="F98" s="250" t="n"/>
      <c r="G98" s="250" t="n"/>
      <c r="H98" s="250" t="n"/>
      <c r="I98" s="250" t="n"/>
      <c r="J98" s="250" t="n"/>
      <c r="K98" s="250" t="n"/>
      <c r="L98" s="250" t="n"/>
      <c r="M98" s="250" t="n"/>
      <c r="N98" s="250" t="n"/>
      <c r="O98" s="250" t="n"/>
      <c r="P98" s="250" t="n"/>
      <c r="Q98" s="250" t="n"/>
      <c r="R98" s="250" t="n"/>
      <c r="S98" s="250" t="n"/>
      <c r="T98" s="250" t="n"/>
      <c r="U98" s="250" t="n"/>
      <c r="V98" s="250" t="n"/>
      <c r="W98" s="250" t="n"/>
      <c r="X98" s="250" t="n"/>
      <c r="Y98" s="250" t="n"/>
      <c r="Z98" s="250" t="n"/>
    </row>
    <row r="99">
      <c r="A99" s="250" t="n"/>
      <c r="B99" s="250" t="n"/>
      <c r="C99" s="250" t="n"/>
      <c r="D99" s="250" t="n"/>
      <c r="E99" s="250" t="n"/>
      <c r="F99" s="250" t="n"/>
      <c r="G99" s="250" t="n"/>
      <c r="H99" s="250" t="n"/>
      <c r="I99" s="250" t="n"/>
      <c r="J99" s="250" t="n"/>
      <c r="K99" s="250" t="n"/>
      <c r="L99" s="250" t="n"/>
      <c r="M99" s="250" t="n"/>
      <c r="N99" s="250" t="n"/>
      <c r="O99" s="250" t="n"/>
      <c r="P99" s="250" t="n"/>
      <c r="Q99" s="250" t="n"/>
      <c r="R99" s="250" t="n"/>
      <c r="S99" s="250" t="n"/>
      <c r="T99" s="250" t="n"/>
      <c r="U99" s="250" t="n"/>
      <c r="V99" s="250" t="n"/>
      <c r="W99" s="250" t="n"/>
      <c r="X99" s="250" t="n"/>
      <c r="Y99" s="250" t="n"/>
      <c r="Z99" s="250" t="n"/>
    </row>
    <row r="100">
      <c r="A100" s="250" t="n"/>
      <c r="B100" s="250" t="n"/>
      <c r="C100" s="250" t="n"/>
      <c r="D100" s="250" t="n"/>
      <c r="E100" s="250" t="n"/>
      <c r="F100" s="250" t="n"/>
      <c r="G100" s="250" t="n"/>
      <c r="H100" s="250" t="n"/>
      <c r="I100" s="250" t="n"/>
      <c r="J100" s="250" t="n"/>
      <c r="K100" s="250" t="n"/>
      <c r="L100" s="250" t="n"/>
      <c r="M100" s="250" t="n"/>
      <c r="N100" s="250" t="n"/>
      <c r="O100" s="250" t="n"/>
      <c r="P100" s="250" t="n"/>
      <c r="Q100" s="250" t="n"/>
      <c r="R100" s="250" t="n"/>
      <c r="S100" s="250" t="n"/>
      <c r="T100" s="250" t="n"/>
      <c r="U100" s="250" t="n"/>
      <c r="V100" s="250" t="n"/>
      <c r="W100" s="250" t="n"/>
      <c r="X100" s="250" t="n"/>
      <c r="Y100" s="250" t="n"/>
      <c r="Z100" s="250" t="n"/>
    </row>
    <row r="101">
      <c r="A101" s="250" t="n"/>
      <c r="B101" s="250" t="n"/>
      <c r="C101" s="250" t="n"/>
      <c r="D101" s="250" t="n"/>
      <c r="E101" s="250" t="n"/>
      <c r="F101" s="250" t="n"/>
      <c r="G101" s="250" t="n"/>
      <c r="H101" s="250" t="n"/>
      <c r="I101" s="250" t="n"/>
      <c r="J101" s="250" t="n"/>
      <c r="K101" s="250" t="n"/>
      <c r="L101" s="250" t="n"/>
      <c r="M101" s="250" t="n"/>
      <c r="N101" s="250" t="n"/>
      <c r="O101" s="250" t="n"/>
      <c r="P101" s="250" t="n"/>
      <c r="Q101" s="250" t="n"/>
      <c r="R101" s="250" t="n"/>
      <c r="S101" s="250" t="n"/>
      <c r="T101" s="250" t="n"/>
      <c r="U101" s="250" t="n"/>
      <c r="V101" s="250" t="n"/>
      <c r="W101" s="250" t="n"/>
      <c r="X101" s="250" t="n"/>
      <c r="Y101" s="250" t="n"/>
      <c r="Z101" s="250" t="n"/>
    </row>
    <row r="102">
      <c r="A102" s="250" t="n"/>
      <c r="B102" s="250" t="n"/>
      <c r="C102" s="250" t="n"/>
      <c r="D102" s="250" t="n"/>
      <c r="E102" s="250" t="n"/>
      <c r="F102" s="250" t="n"/>
      <c r="G102" s="250" t="n"/>
      <c r="H102" s="250" t="n"/>
      <c r="I102" s="250" t="n"/>
      <c r="J102" s="250" t="n"/>
      <c r="K102" s="250" t="n"/>
      <c r="L102" s="250" t="n"/>
      <c r="M102" s="250" t="n"/>
      <c r="N102" s="250" t="n"/>
      <c r="O102" s="250" t="n"/>
      <c r="P102" s="250" t="n"/>
      <c r="Q102" s="250" t="n"/>
      <c r="R102" s="250" t="n"/>
      <c r="S102" s="250" t="n"/>
      <c r="T102" s="250" t="n"/>
      <c r="U102" s="250" t="n"/>
      <c r="V102" s="250" t="n"/>
      <c r="W102" s="250" t="n"/>
      <c r="X102" s="250" t="n"/>
      <c r="Y102" s="250" t="n"/>
      <c r="Z102" s="250" t="n"/>
    </row>
    <row r="103">
      <c r="A103" s="250" t="n"/>
      <c r="B103" s="250" t="n"/>
      <c r="C103" s="250" t="n"/>
      <c r="D103" s="250" t="n"/>
      <c r="E103" s="250" t="n"/>
      <c r="F103" s="250" t="n"/>
      <c r="G103" s="250" t="n"/>
      <c r="H103" s="250" t="n"/>
      <c r="I103" s="250" t="n"/>
      <c r="J103" s="250" t="n"/>
      <c r="K103" s="250" t="n"/>
      <c r="L103" s="250" t="n"/>
      <c r="M103" s="250" t="n"/>
      <c r="N103" s="250" t="n"/>
      <c r="O103" s="250" t="n"/>
      <c r="P103" s="250" t="n"/>
      <c r="Q103" s="250" t="n"/>
      <c r="R103" s="250" t="n"/>
      <c r="S103" s="250" t="n"/>
      <c r="T103" s="250" t="n"/>
      <c r="U103" s="250" t="n"/>
      <c r="V103" s="250" t="n"/>
      <c r="W103" s="250" t="n"/>
      <c r="X103" s="250" t="n"/>
      <c r="Y103" s="250" t="n"/>
      <c r="Z103" s="250" t="n"/>
    </row>
    <row r="104">
      <c r="A104" s="250" t="n"/>
      <c r="B104" s="250" t="n"/>
      <c r="C104" s="250" t="n"/>
      <c r="D104" s="250" t="n"/>
      <c r="E104" s="250" t="n"/>
      <c r="F104" s="250" t="n"/>
      <c r="G104" s="250" t="n"/>
      <c r="H104" s="250" t="n"/>
      <c r="I104" s="250" t="n"/>
      <c r="J104" s="250" t="n"/>
      <c r="K104" s="250" t="n"/>
      <c r="L104" s="250" t="n"/>
      <c r="M104" s="250" t="n"/>
      <c r="N104" s="250" t="n"/>
      <c r="O104" s="250" t="n"/>
      <c r="P104" s="250" t="n"/>
      <c r="Q104" s="250" t="n"/>
      <c r="R104" s="250" t="n"/>
      <c r="S104" s="250" t="n"/>
      <c r="T104" s="250" t="n"/>
      <c r="U104" s="250" t="n"/>
      <c r="V104" s="250" t="n"/>
      <c r="W104" s="250" t="n"/>
      <c r="X104" s="250" t="n"/>
      <c r="Y104" s="250" t="n"/>
      <c r="Z104" s="250" t="n"/>
    </row>
    <row r="105">
      <c r="A105" s="250" t="n"/>
      <c r="B105" s="250" t="n"/>
      <c r="C105" s="250" t="n"/>
      <c r="D105" s="250" t="n"/>
      <c r="E105" s="250" t="n"/>
      <c r="F105" s="250" t="n"/>
      <c r="G105" s="250" t="n"/>
      <c r="H105" s="250" t="n"/>
      <c r="I105" s="250" t="n"/>
      <c r="J105" s="250" t="n"/>
      <c r="K105" s="250" t="n"/>
      <c r="L105" s="250" t="n"/>
      <c r="M105" s="250" t="n"/>
      <c r="N105" s="250" t="n"/>
      <c r="O105" s="250" t="n"/>
      <c r="P105" s="250" t="n"/>
      <c r="Q105" s="250" t="n"/>
      <c r="R105" s="250" t="n"/>
      <c r="S105" s="250" t="n"/>
      <c r="T105" s="250" t="n"/>
      <c r="U105" s="250" t="n"/>
      <c r="V105" s="250" t="n"/>
      <c r="W105" s="250" t="n"/>
      <c r="X105" s="250" t="n"/>
      <c r="Y105" s="250" t="n"/>
      <c r="Z105" s="250" t="n"/>
    </row>
    <row r="106">
      <c r="A106" s="250" t="n"/>
      <c r="B106" s="250" t="n"/>
      <c r="C106" s="250" t="n"/>
      <c r="D106" s="250" t="n"/>
      <c r="E106" s="250" t="n"/>
      <c r="F106" s="250" t="n"/>
      <c r="G106" s="250" t="n"/>
      <c r="H106" s="250" t="n"/>
      <c r="I106" s="250" t="n"/>
      <c r="J106" s="250" t="n"/>
      <c r="K106" s="250" t="n"/>
      <c r="L106" s="250" t="n"/>
      <c r="M106" s="250" t="n"/>
      <c r="N106" s="250" t="n"/>
      <c r="O106" s="250" t="n"/>
      <c r="P106" s="250" t="n"/>
      <c r="Q106" s="250" t="n"/>
      <c r="R106" s="250" t="n"/>
      <c r="S106" s="250" t="n"/>
      <c r="T106" s="250" t="n"/>
      <c r="U106" s="250" t="n"/>
      <c r="V106" s="250" t="n"/>
      <c r="W106" s="250" t="n"/>
      <c r="X106" s="250" t="n"/>
      <c r="Y106" s="250" t="n"/>
      <c r="Z106" s="250" t="n"/>
    </row>
    <row r="107">
      <c r="A107" s="250" t="n"/>
      <c r="B107" s="250" t="n"/>
      <c r="C107" s="250" t="n"/>
      <c r="D107" s="250" t="n"/>
      <c r="E107" s="250" t="n"/>
      <c r="F107" s="250" t="n"/>
      <c r="G107" s="250" t="n"/>
      <c r="H107" s="250" t="n"/>
      <c r="I107" s="250" t="n"/>
      <c r="J107" s="250" t="n"/>
      <c r="K107" s="250" t="n"/>
      <c r="L107" s="250" t="n"/>
      <c r="M107" s="250" t="n"/>
      <c r="N107" s="250" t="n"/>
      <c r="O107" s="250" t="n"/>
      <c r="P107" s="250" t="n"/>
      <c r="Q107" s="250" t="n"/>
      <c r="R107" s="250" t="n"/>
      <c r="S107" s="250" t="n"/>
      <c r="T107" s="250" t="n"/>
      <c r="U107" s="250" t="n"/>
      <c r="V107" s="250" t="n"/>
      <c r="W107" s="250" t="n"/>
      <c r="X107" s="250" t="n"/>
      <c r="Y107" s="250" t="n"/>
      <c r="Z107" s="250" t="n"/>
    </row>
    <row r="108">
      <c r="A108" s="250" t="n"/>
      <c r="B108" s="250" t="n"/>
      <c r="C108" s="250" t="n"/>
      <c r="D108" s="250" t="n"/>
      <c r="E108" s="250" t="n"/>
      <c r="F108" s="250" t="n"/>
      <c r="G108" s="250" t="n"/>
      <c r="H108" s="250" t="n"/>
      <c r="I108" s="250" t="n"/>
      <c r="J108" s="250" t="n"/>
      <c r="K108" s="250" t="n"/>
      <c r="L108" s="250" t="n"/>
      <c r="M108" s="250" t="n"/>
      <c r="N108" s="250" t="n"/>
      <c r="O108" s="250" t="n"/>
      <c r="P108" s="250" t="n"/>
      <c r="Q108" s="250" t="n"/>
      <c r="R108" s="250" t="n"/>
      <c r="S108" s="250" t="n"/>
      <c r="T108" s="250" t="n"/>
      <c r="U108" s="250" t="n"/>
      <c r="V108" s="250" t="n"/>
      <c r="W108" s="250" t="n"/>
      <c r="X108" s="250" t="n"/>
      <c r="Y108" s="250" t="n"/>
      <c r="Z108" s="250" t="n"/>
    </row>
    <row r="109">
      <c r="A109" s="250" t="n"/>
      <c r="B109" s="250" t="n"/>
      <c r="C109" s="250" t="n"/>
      <c r="D109" s="250" t="n"/>
      <c r="E109" s="250" t="n"/>
      <c r="F109" s="250" t="n"/>
      <c r="G109" s="250" t="n"/>
      <c r="H109" s="250" t="n"/>
      <c r="I109" s="250" t="n"/>
      <c r="J109" s="250" t="n"/>
      <c r="K109" s="250" t="n"/>
      <c r="L109" s="250" t="n"/>
      <c r="M109" s="250" t="n"/>
      <c r="N109" s="250" t="n"/>
      <c r="O109" s="250" t="n"/>
      <c r="P109" s="250" t="n"/>
      <c r="Q109" s="250" t="n"/>
      <c r="R109" s="250" t="n"/>
      <c r="S109" s="250" t="n"/>
      <c r="T109" s="250" t="n"/>
      <c r="U109" s="250" t="n"/>
      <c r="V109" s="250" t="n"/>
      <c r="W109" s="250" t="n"/>
      <c r="X109" s="250" t="n"/>
      <c r="Y109" s="250" t="n"/>
      <c r="Z109" s="250" t="n"/>
    </row>
    <row r="110">
      <c r="A110" s="250" t="n"/>
      <c r="B110" s="250" t="n"/>
      <c r="C110" s="250" t="n"/>
      <c r="D110" s="250" t="n"/>
      <c r="E110" s="250" t="n"/>
      <c r="F110" s="250" t="n"/>
      <c r="G110" s="250" t="n"/>
      <c r="H110" s="250" t="n"/>
      <c r="I110" s="250" t="n"/>
      <c r="J110" s="250" t="n"/>
      <c r="K110" s="250" t="n"/>
      <c r="L110" s="250" t="n"/>
      <c r="M110" s="250" t="n"/>
      <c r="N110" s="250" t="n"/>
      <c r="O110" s="250" t="n"/>
      <c r="P110" s="250" t="n"/>
      <c r="Q110" s="250" t="n"/>
      <c r="R110" s="250" t="n"/>
      <c r="S110" s="250" t="n"/>
      <c r="T110" s="250" t="n"/>
      <c r="U110" s="250" t="n"/>
      <c r="V110" s="250" t="n"/>
      <c r="W110" s="250" t="n"/>
      <c r="X110" s="250" t="n"/>
      <c r="Y110" s="250" t="n"/>
      <c r="Z110" s="250" t="n"/>
    </row>
    <row r="111">
      <c r="A111" s="250" t="n"/>
      <c r="B111" s="250" t="n"/>
      <c r="C111" s="250" t="n"/>
      <c r="D111" s="250" t="n"/>
      <c r="E111" s="250" t="n"/>
      <c r="F111" s="250" t="n"/>
      <c r="G111" s="250" t="n"/>
      <c r="H111" s="250" t="n"/>
      <c r="I111" s="250" t="n"/>
      <c r="J111" s="250" t="n"/>
      <c r="K111" s="250" t="n"/>
      <c r="L111" s="250" t="n"/>
      <c r="M111" s="250" t="n"/>
      <c r="N111" s="250" t="n"/>
      <c r="O111" s="250" t="n"/>
      <c r="P111" s="250" t="n"/>
      <c r="Q111" s="250" t="n"/>
      <c r="R111" s="250" t="n"/>
      <c r="S111" s="250" t="n"/>
      <c r="T111" s="250" t="n"/>
      <c r="U111" s="250" t="n"/>
      <c r="V111" s="250" t="n"/>
      <c r="W111" s="250" t="n"/>
      <c r="X111" s="250" t="n"/>
      <c r="Y111" s="250" t="n"/>
      <c r="Z111" s="250" t="n"/>
    </row>
    <row r="112">
      <c r="A112" s="250" t="n"/>
      <c r="B112" s="250" t="n"/>
      <c r="C112" s="250" t="n"/>
      <c r="D112" s="250" t="n"/>
      <c r="E112" s="250" t="n"/>
      <c r="F112" s="250" t="n"/>
      <c r="G112" s="250" t="n"/>
      <c r="H112" s="250" t="n"/>
      <c r="I112" s="250" t="n"/>
      <c r="J112" s="250" t="n"/>
      <c r="K112" s="250" t="n"/>
      <c r="L112" s="250" t="n"/>
      <c r="M112" s="250" t="n"/>
      <c r="N112" s="250" t="n"/>
      <c r="O112" s="250" t="n"/>
      <c r="P112" s="250" t="n"/>
      <c r="Q112" s="250" t="n"/>
      <c r="R112" s="250" t="n"/>
      <c r="S112" s="250" t="n"/>
      <c r="T112" s="250" t="n"/>
      <c r="U112" s="250" t="n"/>
      <c r="V112" s="250" t="n"/>
      <c r="W112" s="250" t="n"/>
      <c r="X112" s="250" t="n"/>
      <c r="Y112" s="250" t="n"/>
      <c r="Z112" s="250" t="n"/>
    </row>
    <row r="113">
      <c r="A113" s="250" t="n"/>
      <c r="B113" s="250" t="n"/>
      <c r="C113" s="250" t="n"/>
      <c r="D113" s="250" t="n"/>
      <c r="E113" s="250" t="n"/>
      <c r="F113" s="250" t="n"/>
      <c r="G113" s="250" t="n"/>
      <c r="H113" s="250" t="n"/>
      <c r="I113" s="250" t="n"/>
      <c r="J113" s="250" t="n"/>
      <c r="K113" s="250" t="n"/>
      <c r="L113" s="250" t="n"/>
      <c r="M113" s="250" t="n"/>
      <c r="N113" s="250" t="n"/>
      <c r="O113" s="250" t="n"/>
      <c r="P113" s="250" t="n"/>
      <c r="Q113" s="250" t="n"/>
      <c r="R113" s="250" t="n"/>
      <c r="S113" s="250" t="n"/>
      <c r="T113" s="250" t="n"/>
      <c r="U113" s="250" t="n"/>
      <c r="V113" s="250" t="n"/>
      <c r="W113" s="250" t="n"/>
      <c r="X113" s="250" t="n"/>
      <c r="Y113" s="250" t="n"/>
      <c r="Z113" s="250" t="n"/>
    </row>
    <row r="114">
      <c r="A114" s="250" t="n"/>
      <c r="B114" s="250" t="n"/>
      <c r="C114" s="250" t="n"/>
      <c r="D114" s="250" t="n"/>
      <c r="E114" s="250" t="n"/>
      <c r="F114" s="250" t="n"/>
      <c r="G114" s="250" t="n"/>
      <c r="H114" s="250" t="n"/>
      <c r="I114" s="250" t="n"/>
      <c r="J114" s="250" t="n"/>
      <c r="K114" s="250" t="n"/>
      <c r="L114" s="250" t="n"/>
      <c r="M114" s="250" t="n"/>
      <c r="N114" s="250" t="n"/>
      <c r="O114" s="250" t="n"/>
      <c r="P114" s="250" t="n"/>
      <c r="Q114" s="250" t="n"/>
      <c r="R114" s="250" t="n"/>
      <c r="S114" s="250" t="n"/>
      <c r="T114" s="250" t="n"/>
      <c r="U114" s="250" t="n"/>
      <c r="V114" s="250" t="n"/>
      <c r="W114" s="250" t="n"/>
      <c r="X114" s="250" t="n"/>
      <c r="Y114" s="250" t="n"/>
      <c r="Z114" s="250" t="n"/>
    </row>
    <row r="115">
      <c r="A115" s="250" t="n"/>
      <c r="B115" s="250" t="n"/>
      <c r="C115" s="250" t="n"/>
      <c r="D115" s="250" t="n"/>
      <c r="E115" s="250" t="n"/>
      <c r="F115" s="250" t="n"/>
      <c r="G115" s="250" t="n"/>
      <c r="H115" s="250" t="n"/>
      <c r="I115" s="250" t="n"/>
      <c r="J115" s="250" t="n"/>
      <c r="K115" s="250" t="n"/>
      <c r="L115" s="250" t="n"/>
      <c r="M115" s="250" t="n"/>
      <c r="N115" s="250" t="n"/>
      <c r="O115" s="250" t="n"/>
      <c r="P115" s="250" t="n"/>
      <c r="Q115" s="250" t="n"/>
      <c r="R115" s="250" t="n"/>
      <c r="S115" s="250" t="n"/>
      <c r="T115" s="250" t="n"/>
      <c r="U115" s="250" t="n"/>
      <c r="V115" s="250" t="n"/>
      <c r="W115" s="250" t="n"/>
      <c r="X115" s="250" t="n"/>
      <c r="Y115" s="250" t="n"/>
      <c r="Z115" s="250" t="n"/>
    </row>
    <row r="116">
      <c r="A116" s="250" t="n"/>
      <c r="B116" s="250" t="n"/>
      <c r="C116" s="250" t="n"/>
      <c r="D116" s="250" t="n"/>
      <c r="E116" s="250" t="n"/>
      <c r="F116" s="250" t="n"/>
      <c r="G116" s="250" t="n"/>
      <c r="H116" s="250" t="n"/>
      <c r="I116" s="250" t="n"/>
      <c r="J116" s="250" t="n"/>
      <c r="K116" s="250" t="n"/>
      <c r="L116" s="250" t="n"/>
      <c r="M116" s="250" t="n"/>
      <c r="N116" s="250" t="n"/>
      <c r="O116" s="250" t="n"/>
      <c r="P116" s="250" t="n"/>
      <c r="Q116" s="250" t="n"/>
      <c r="R116" s="250" t="n"/>
      <c r="S116" s="250" t="n"/>
      <c r="T116" s="250" t="n"/>
      <c r="U116" s="250" t="n"/>
      <c r="V116" s="250" t="n"/>
      <c r="W116" s="250" t="n"/>
      <c r="X116" s="250" t="n"/>
      <c r="Y116" s="250" t="n"/>
      <c r="Z116" s="250" t="n"/>
    </row>
    <row r="117">
      <c r="A117" s="250" t="n"/>
      <c r="B117" s="250" t="n"/>
      <c r="C117" s="250" t="n"/>
      <c r="D117" s="250" t="n"/>
      <c r="E117" s="250" t="n"/>
      <c r="F117" s="250" t="n"/>
      <c r="G117" s="250" t="n"/>
      <c r="H117" s="250" t="n"/>
      <c r="I117" s="250" t="n"/>
      <c r="J117" s="250" t="n"/>
      <c r="K117" s="250" t="n"/>
      <c r="L117" s="250" t="n"/>
      <c r="M117" s="250" t="n"/>
      <c r="N117" s="250" t="n"/>
      <c r="O117" s="250" t="n"/>
      <c r="P117" s="250" t="n"/>
      <c r="Q117" s="250" t="n"/>
      <c r="R117" s="250" t="n"/>
      <c r="S117" s="250" t="n"/>
      <c r="T117" s="250" t="n"/>
      <c r="U117" s="250" t="n"/>
      <c r="V117" s="250" t="n"/>
      <c r="W117" s="250" t="n"/>
      <c r="X117" s="250" t="n"/>
      <c r="Y117" s="250" t="n"/>
      <c r="Z117" s="250" t="n"/>
    </row>
    <row r="118">
      <c r="A118" s="250" t="n"/>
      <c r="B118" s="250" t="n"/>
      <c r="C118" s="250" t="n"/>
      <c r="D118" s="250" t="n"/>
      <c r="E118" s="250" t="n"/>
      <c r="F118" s="250" t="n"/>
      <c r="G118" s="250" t="n"/>
      <c r="H118" s="250" t="n"/>
      <c r="I118" s="250" t="n"/>
      <c r="J118" s="250" t="n"/>
      <c r="K118" s="250" t="n"/>
      <c r="L118" s="250" t="n"/>
      <c r="M118" s="250" t="n"/>
      <c r="N118" s="250" t="n"/>
      <c r="O118" s="250" t="n"/>
      <c r="P118" s="250" t="n"/>
      <c r="Q118" s="250" t="n"/>
      <c r="R118" s="250" t="n"/>
      <c r="S118" s="250" t="n"/>
      <c r="T118" s="250" t="n"/>
      <c r="U118" s="250" t="n"/>
      <c r="V118" s="250" t="n"/>
      <c r="W118" s="250" t="n"/>
      <c r="X118" s="250" t="n"/>
      <c r="Y118" s="250" t="n"/>
      <c r="Z118" s="250" t="n"/>
    </row>
    <row r="119">
      <c r="A119" s="250" t="n"/>
      <c r="B119" s="250" t="n"/>
      <c r="C119" s="250" t="n"/>
      <c r="D119" s="250" t="n"/>
      <c r="E119" s="250" t="n"/>
      <c r="F119" s="250" t="n"/>
      <c r="G119" s="250" t="n"/>
      <c r="H119" s="250" t="n"/>
      <c r="I119" s="250" t="n"/>
      <c r="J119" s="250" t="n"/>
      <c r="K119" s="250" t="n"/>
      <c r="L119" s="250" t="n"/>
      <c r="M119" s="250" t="n"/>
      <c r="N119" s="250" t="n"/>
      <c r="O119" s="250" t="n"/>
      <c r="P119" s="250" t="n"/>
      <c r="Q119" s="250" t="n"/>
      <c r="R119" s="250" t="n"/>
      <c r="S119" s="250" t="n"/>
      <c r="T119" s="250" t="n"/>
      <c r="U119" s="250" t="n"/>
      <c r="V119" s="250" t="n"/>
      <c r="W119" s="250" t="n"/>
      <c r="X119" s="250" t="n"/>
      <c r="Y119" s="250" t="n"/>
      <c r="Z119" s="250" t="n"/>
    </row>
    <row r="120">
      <c r="A120" s="250" t="n"/>
      <c r="B120" s="250" t="n"/>
      <c r="C120" s="250" t="n"/>
      <c r="D120" s="250" t="n"/>
      <c r="E120" s="250" t="n"/>
      <c r="F120" s="250" t="n"/>
      <c r="G120" s="250" t="n"/>
      <c r="H120" s="250" t="n"/>
      <c r="I120" s="250" t="n"/>
      <c r="J120" s="250" t="n"/>
      <c r="K120" s="250" t="n"/>
      <c r="L120" s="250" t="n"/>
      <c r="M120" s="250" t="n"/>
      <c r="N120" s="250" t="n"/>
      <c r="O120" s="250" t="n"/>
      <c r="P120" s="250" t="n"/>
      <c r="Q120" s="250" t="n"/>
      <c r="R120" s="250" t="n"/>
      <c r="S120" s="250" t="n"/>
      <c r="T120" s="250" t="n"/>
      <c r="U120" s="250" t="n"/>
      <c r="V120" s="250" t="n"/>
      <c r="W120" s="250" t="n"/>
      <c r="X120" s="250" t="n"/>
      <c r="Y120" s="250" t="n"/>
      <c r="Z120" s="250" t="n"/>
    </row>
    <row r="121">
      <c r="A121" s="250" t="n"/>
      <c r="B121" s="250" t="n"/>
      <c r="C121" s="250" t="n"/>
      <c r="D121" s="250" t="n"/>
      <c r="E121" s="250" t="n"/>
      <c r="F121" s="250" t="n"/>
      <c r="G121" s="250" t="n"/>
      <c r="H121" s="250" t="n"/>
      <c r="I121" s="250" t="n"/>
      <c r="J121" s="250" t="n"/>
      <c r="K121" s="250" t="n"/>
      <c r="L121" s="250" t="n"/>
      <c r="M121" s="250" t="n"/>
      <c r="N121" s="250" t="n"/>
      <c r="O121" s="250" t="n"/>
      <c r="P121" s="250" t="n"/>
      <c r="Q121" s="250" t="n"/>
      <c r="R121" s="250" t="n"/>
      <c r="S121" s="250" t="n"/>
      <c r="T121" s="250" t="n"/>
      <c r="U121" s="250" t="n"/>
      <c r="V121" s="250" t="n"/>
      <c r="W121" s="250" t="n"/>
      <c r="X121" s="250" t="n"/>
      <c r="Y121" s="250" t="n"/>
      <c r="Z121" s="250" t="n"/>
    </row>
    <row r="122">
      <c r="A122" s="250" t="n"/>
      <c r="B122" s="250" t="n"/>
      <c r="C122" s="250" t="n"/>
      <c r="D122" s="250" t="n"/>
      <c r="E122" s="250" t="n"/>
      <c r="F122" s="250" t="n"/>
      <c r="G122" s="250" t="n"/>
      <c r="H122" s="250" t="n"/>
      <c r="I122" s="250" t="n"/>
      <c r="J122" s="250" t="n"/>
      <c r="K122" s="250" t="n"/>
      <c r="L122" s="250" t="n"/>
      <c r="M122" s="250" t="n"/>
      <c r="N122" s="250" t="n"/>
      <c r="O122" s="250" t="n"/>
      <c r="P122" s="250" t="n"/>
      <c r="Q122" s="250" t="n"/>
      <c r="R122" s="250" t="n"/>
      <c r="S122" s="250" t="n"/>
      <c r="T122" s="250" t="n"/>
      <c r="U122" s="250" t="n"/>
      <c r="V122" s="250" t="n"/>
      <c r="W122" s="250" t="n"/>
      <c r="X122" s="250" t="n"/>
      <c r="Y122" s="250" t="n"/>
      <c r="Z122" s="250" t="n"/>
    </row>
    <row r="123">
      <c r="A123" s="250" t="n"/>
      <c r="B123" s="250" t="n"/>
      <c r="C123" s="250" t="n"/>
      <c r="D123" s="250" t="n"/>
      <c r="E123" s="250" t="n"/>
      <c r="F123" s="250" t="n"/>
      <c r="G123" s="250" t="n"/>
      <c r="H123" s="250" t="n"/>
      <c r="I123" s="250" t="n"/>
      <c r="J123" s="250" t="n"/>
      <c r="K123" s="250" t="n"/>
      <c r="L123" s="250" t="n"/>
      <c r="M123" s="250" t="n"/>
      <c r="N123" s="250" t="n"/>
      <c r="O123" s="250" t="n"/>
      <c r="P123" s="250" t="n"/>
      <c r="Q123" s="250" t="n"/>
      <c r="R123" s="250" t="n"/>
      <c r="S123" s="250" t="n"/>
      <c r="T123" s="250" t="n"/>
      <c r="U123" s="250" t="n"/>
      <c r="V123" s="250" t="n"/>
      <c r="W123" s="250" t="n"/>
      <c r="X123" s="250" t="n"/>
      <c r="Y123" s="250" t="n"/>
      <c r="Z123" s="250" t="n"/>
    </row>
    <row r="124">
      <c r="A124" s="250" t="n"/>
      <c r="B124" s="250" t="n"/>
      <c r="C124" s="250" t="n"/>
      <c r="D124" s="250" t="n"/>
      <c r="E124" s="250" t="n"/>
      <c r="F124" s="250" t="n"/>
      <c r="G124" s="250" t="n"/>
      <c r="H124" s="250" t="n"/>
      <c r="I124" s="250" t="n"/>
      <c r="J124" s="250" t="n"/>
      <c r="K124" s="250" t="n"/>
      <c r="L124" s="250" t="n"/>
      <c r="M124" s="250" t="n"/>
      <c r="N124" s="250" t="n"/>
      <c r="O124" s="250" t="n"/>
      <c r="P124" s="250" t="n"/>
      <c r="Q124" s="250" t="n"/>
      <c r="R124" s="250" t="n"/>
      <c r="S124" s="250" t="n"/>
      <c r="T124" s="250" t="n"/>
      <c r="U124" s="250" t="n"/>
      <c r="V124" s="250" t="n"/>
      <c r="W124" s="250" t="n"/>
      <c r="X124" s="250" t="n"/>
      <c r="Y124" s="250" t="n"/>
      <c r="Z124" s="250" t="n"/>
    </row>
    <row r="125">
      <c r="A125" s="250" t="n"/>
      <c r="B125" s="250" t="n"/>
      <c r="C125" s="250" t="n"/>
      <c r="D125" s="250" t="n"/>
      <c r="E125" s="250" t="n"/>
      <c r="F125" s="250" t="n"/>
      <c r="G125" s="250" t="n"/>
      <c r="H125" s="250" t="n"/>
      <c r="I125" s="250" t="n"/>
      <c r="J125" s="250" t="n"/>
      <c r="K125" s="250" t="n"/>
      <c r="L125" s="250" t="n"/>
      <c r="M125" s="250" t="n"/>
      <c r="N125" s="250" t="n"/>
      <c r="O125" s="250" t="n"/>
      <c r="P125" s="250" t="n"/>
      <c r="Q125" s="250" t="n"/>
      <c r="R125" s="250" t="n"/>
      <c r="S125" s="250" t="n"/>
      <c r="T125" s="250" t="n"/>
      <c r="U125" s="250" t="n"/>
      <c r="V125" s="250" t="n"/>
      <c r="W125" s="250" t="n"/>
      <c r="X125" s="250" t="n"/>
      <c r="Y125" s="250" t="n"/>
      <c r="Z125" s="250" t="n"/>
    </row>
    <row r="126">
      <c r="A126" s="250" t="n"/>
      <c r="B126" s="250" t="n"/>
      <c r="C126" s="250" t="n"/>
      <c r="D126" s="250" t="n"/>
      <c r="E126" s="250" t="n"/>
      <c r="F126" s="250" t="n"/>
      <c r="G126" s="250" t="n"/>
      <c r="H126" s="250" t="n"/>
      <c r="I126" s="250" t="n"/>
      <c r="J126" s="250" t="n"/>
      <c r="K126" s="250" t="n"/>
      <c r="L126" s="250" t="n"/>
      <c r="M126" s="250" t="n"/>
      <c r="N126" s="250" t="n"/>
      <c r="O126" s="250" t="n"/>
      <c r="P126" s="250" t="n"/>
      <c r="Q126" s="250" t="n"/>
      <c r="R126" s="250" t="n"/>
      <c r="S126" s="250" t="n"/>
      <c r="T126" s="250" t="n"/>
      <c r="U126" s="250" t="n"/>
      <c r="V126" s="250" t="n"/>
      <c r="W126" s="250" t="n"/>
      <c r="X126" s="250" t="n"/>
      <c r="Y126" s="250" t="n"/>
      <c r="Z126" s="250" t="n"/>
    </row>
    <row r="127">
      <c r="A127" s="250" t="n"/>
      <c r="B127" s="250" t="n"/>
      <c r="C127" s="250" t="n"/>
      <c r="D127" s="250" t="n"/>
      <c r="E127" s="250" t="n"/>
      <c r="F127" s="250" t="n"/>
      <c r="G127" s="250" t="n"/>
      <c r="H127" s="250" t="n"/>
      <c r="I127" s="250" t="n"/>
      <c r="J127" s="250" t="n"/>
      <c r="K127" s="250" t="n"/>
      <c r="L127" s="250" t="n"/>
      <c r="M127" s="250" t="n"/>
      <c r="N127" s="250" t="n"/>
      <c r="O127" s="250" t="n"/>
      <c r="P127" s="250" t="n"/>
      <c r="Q127" s="250" t="n"/>
      <c r="R127" s="250" t="n"/>
      <c r="S127" s="250" t="n"/>
      <c r="T127" s="250" t="n"/>
      <c r="U127" s="250" t="n"/>
      <c r="V127" s="250" t="n"/>
      <c r="W127" s="250" t="n"/>
      <c r="X127" s="250" t="n"/>
      <c r="Y127" s="250" t="n"/>
      <c r="Z127" s="250" t="n"/>
    </row>
    <row r="128">
      <c r="A128" s="250" t="n"/>
      <c r="B128" s="250" t="n"/>
      <c r="C128" s="250" t="n"/>
      <c r="D128" s="250" t="n"/>
      <c r="E128" s="250" t="n"/>
      <c r="F128" s="250" t="n"/>
      <c r="G128" s="250" t="n"/>
      <c r="H128" s="250" t="n"/>
      <c r="I128" s="250" t="n"/>
      <c r="J128" s="250" t="n"/>
      <c r="K128" s="250" t="n"/>
      <c r="L128" s="250" t="n"/>
      <c r="M128" s="250" t="n"/>
      <c r="N128" s="250" t="n"/>
      <c r="O128" s="250" t="n"/>
      <c r="P128" s="250" t="n"/>
      <c r="Q128" s="250" t="n"/>
      <c r="R128" s="250" t="n"/>
      <c r="S128" s="250" t="n"/>
      <c r="T128" s="250" t="n"/>
      <c r="U128" s="250" t="n"/>
      <c r="V128" s="250" t="n"/>
      <c r="W128" s="250" t="n"/>
      <c r="X128" s="250" t="n"/>
      <c r="Y128" s="250" t="n"/>
      <c r="Z128" s="250" t="n"/>
    </row>
    <row r="129">
      <c r="A129" s="250" t="n"/>
      <c r="B129" s="250" t="n"/>
      <c r="C129" s="250" t="n"/>
      <c r="D129" s="250" t="n"/>
      <c r="E129" s="250" t="n"/>
      <c r="F129" s="250" t="n"/>
      <c r="G129" s="250" t="n"/>
      <c r="H129" s="250" t="n"/>
      <c r="I129" s="250" t="n"/>
      <c r="J129" s="250" t="n"/>
      <c r="K129" s="250" t="n"/>
      <c r="L129" s="250" t="n"/>
      <c r="M129" s="250" t="n"/>
      <c r="N129" s="250" t="n"/>
      <c r="O129" s="250" t="n"/>
      <c r="P129" s="250" t="n"/>
      <c r="Q129" s="250" t="n"/>
      <c r="R129" s="250" t="n"/>
      <c r="S129" s="250" t="n"/>
      <c r="T129" s="250" t="n"/>
      <c r="U129" s="250" t="n"/>
      <c r="V129" s="250" t="n"/>
      <c r="W129" s="250" t="n"/>
      <c r="X129" s="250" t="n"/>
      <c r="Y129" s="250" t="n"/>
      <c r="Z129" s="250" t="n"/>
    </row>
    <row r="130">
      <c r="A130" s="250" t="n"/>
      <c r="B130" s="250" t="n"/>
      <c r="C130" s="250" t="n"/>
      <c r="D130" s="250" t="n"/>
      <c r="E130" s="250" t="n"/>
      <c r="F130" s="250" t="n"/>
      <c r="G130" s="250" t="n"/>
      <c r="H130" s="250" t="n"/>
      <c r="I130" s="250" t="n"/>
      <c r="J130" s="250" t="n"/>
      <c r="K130" s="250" t="n"/>
      <c r="L130" s="250" t="n"/>
      <c r="M130" s="250" t="n"/>
      <c r="N130" s="250" t="n"/>
      <c r="O130" s="250" t="n"/>
      <c r="P130" s="250" t="n"/>
      <c r="Q130" s="250" t="n"/>
      <c r="R130" s="250" t="n"/>
      <c r="S130" s="250" t="n"/>
      <c r="T130" s="250" t="n"/>
      <c r="U130" s="250" t="n"/>
      <c r="V130" s="250" t="n"/>
      <c r="W130" s="250" t="n"/>
      <c r="X130" s="250" t="n"/>
      <c r="Y130" s="250" t="n"/>
      <c r="Z130" s="250" t="n"/>
    </row>
    <row r="131">
      <c r="A131" s="250" t="n"/>
      <c r="B131" s="250" t="n"/>
      <c r="C131" s="250" t="n"/>
      <c r="D131" s="250" t="n"/>
      <c r="E131" s="250" t="n"/>
      <c r="F131" s="250" t="n"/>
      <c r="G131" s="250" t="n"/>
      <c r="H131" s="250" t="n"/>
      <c r="I131" s="250" t="n"/>
      <c r="J131" s="250" t="n"/>
      <c r="K131" s="250" t="n"/>
      <c r="L131" s="250" t="n"/>
      <c r="M131" s="250" t="n"/>
      <c r="N131" s="250" t="n"/>
      <c r="O131" s="250" t="n"/>
      <c r="P131" s="250" t="n"/>
      <c r="Q131" s="250" t="n"/>
      <c r="R131" s="250" t="n"/>
      <c r="S131" s="250" t="n"/>
      <c r="T131" s="250" t="n"/>
      <c r="U131" s="250" t="n"/>
      <c r="V131" s="250" t="n"/>
      <c r="W131" s="250" t="n"/>
      <c r="X131" s="250" t="n"/>
      <c r="Y131" s="250" t="n"/>
      <c r="Z131" s="250" t="n"/>
    </row>
    <row r="132">
      <c r="A132" s="250" t="n"/>
      <c r="B132" s="250" t="n"/>
      <c r="C132" s="250" t="n"/>
      <c r="D132" s="250" t="n"/>
      <c r="E132" s="250" t="n"/>
      <c r="F132" s="250" t="n"/>
      <c r="G132" s="250" t="n"/>
      <c r="H132" s="250" t="n"/>
      <c r="I132" s="250" t="n"/>
      <c r="J132" s="250" t="n"/>
      <c r="K132" s="250" t="n"/>
      <c r="L132" s="250" t="n"/>
      <c r="M132" s="250" t="n"/>
      <c r="N132" s="250" t="n"/>
      <c r="O132" s="250" t="n"/>
      <c r="P132" s="250" t="n"/>
      <c r="Q132" s="250" t="n"/>
      <c r="R132" s="250" t="n"/>
      <c r="S132" s="250" t="n"/>
      <c r="T132" s="250" t="n"/>
      <c r="U132" s="250" t="n"/>
      <c r="V132" s="250" t="n"/>
      <c r="W132" s="250" t="n"/>
      <c r="X132" s="250" t="n"/>
      <c r="Y132" s="250" t="n"/>
      <c r="Z132" s="250" t="n"/>
    </row>
    <row r="133">
      <c r="A133" s="250" t="n"/>
      <c r="B133" s="250" t="n"/>
      <c r="C133" s="250" t="n"/>
      <c r="D133" s="250" t="n"/>
      <c r="E133" s="250" t="n"/>
      <c r="F133" s="250" t="n"/>
      <c r="G133" s="250" t="n"/>
      <c r="H133" s="250" t="n"/>
      <c r="I133" s="250" t="n"/>
      <c r="J133" s="250" t="n"/>
      <c r="K133" s="250" t="n"/>
      <c r="L133" s="250" t="n"/>
      <c r="M133" s="250" t="n"/>
      <c r="N133" s="250" t="n"/>
      <c r="O133" s="250" t="n"/>
      <c r="P133" s="250" t="n"/>
      <c r="Q133" s="250" t="n"/>
      <c r="R133" s="250" t="n"/>
      <c r="S133" s="250" t="n"/>
      <c r="T133" s="250" t="n"/>
      <c r="U133" s="250" t="n"/>
      <c r="V133" s="250" t="n"/>
      <c r="W133" s="250" t="n"/>
      <c r="X133" s="250" t="n"/>
      <c r="Y133" s="250" t="n"/>
      <c r="Z133" s="250" t="n"/>
    </row>
    <row r="134">
      <c r="A134" s="250" t="n"/>
      <c r="B134" s="250" t="n"/>
      <c r="C134" s="250" t="n"/>
      <c r="D134" s="250" t="n"/>
      <c r="E134" s="250" t="n"/>
      <c r="F134" s="250" t="n"/>
      <c r="G134" s="250" t="n"/>
      <c r="H134" s="250" t="n"/>
      <c r="I134" s="250" t="n"/>
      <c r="J134" s="250" t="n"/>
      <c r="K134" s="250" t="n"/>
      <c r="L134" s="250" t="n"/>
      <c r="M134" s="250" t="n"/>
      <c r="N134" s="250" t="n"/>
      <c r="O134" s="250" t="n"/>
      <c r="P134" s="250" t="n"/>
      <c r="Q134" s="250" t="n"/>
      <c r="R134" s="250" t="n"/>
      <c r="S134" s="250" t="n"/>
      <c r="T134" s="250" t="n"/>
      <c r="U134" s="250" t="n"/>
      <c r="V134" s="250" t="n"/>
      <c r="W134" s="250" t="n"/>
      <c r="X134" s="250" t="n"/>
      <c r="Y134" s="250" t="n"/>
      <c r="Z134" s="250" t="n"/>
    </row>
    <row r="135">
      <c r="A135" s="250" t="n"/>
      <c r="B135" s="250" t="n"/>
      <c r="C135" s="250" t="n"/>
      <c r="D135" s="250" t="n"/>
      <c r="E135" s="250" t="n"/>
      <c r="F135" s="250" t="n"/>
      <c r="G135" s="250" t="n"/>
      <c r="H135" s="250" t="n"/>
      <c r="I135" s="250" t="n"/>
      <c r="J135" s="250" t="n"/>
      <c r="K135" s="250" t="n"/>
      <c r="L135" s="250" t="n"/>
      <c r="M135" s="250" t="n"/>
      <c r="N135" s="250" t="n"/>
      <c r="O135" s="250" t="n"/>
      <c r="P135" s="250" t="n"/>
      <c r="Q135" s="250" t="n"/>
      <c r="R135" s="250" t="n"/>
      <c r="S135" s="250" t="n"/>
      <c r="T135" s="250" t="n"/>
      <c r="U135" s="250" t="n"/>
      <c r="V135" s="250" t="n"/>
      <c r="W135" s="250" t="n"/>
      <c r="X135" s="250" t="n"/>
      <c r="Y135" s="250" t="n"/>
      <c r="Z135" s="250" t="n"/>
    </row>
    <row r="136">
      <c r="A136" s="250" t="n"/>
      <c r="B136" s="250" t="n"/>
      <c r="C136" s="250" t="n"/>
      <c r="D136" s="250" t="n"/>
      <c r="E136" s="250" t="n"/>
      <c r="F136" s="250" t="n"/>
      <c r="G136" s="250" t="n"/>
      <c r="H136" s="250" t="n"/>
      <c r="I136" s="250" t="n"/>
      <c r="J136" s="250" t="n"/>
      <c r="K136" s="250" t="n"/>
      <c r="L136" s="250" t="n"/>
      <c r="M136" s="250" t="n"/>
      <c r="N136" s="250" t="n"/>
      <c r="O136" s="250" t="n"/>
      <c r="P136" s="250" t="n"/>
      <c r="Q136" s="250" t="n"/>
      <c r="R136" s="250" t="n"/>
      <c r="S136" s="250" t="n"/>
      <c r="T136" s="250" t="n"/>
      <c r="U136" s="250" t="n"/>
      <c r="V136" s="250" t="n"/>
      <c r="W136" s="250" t="n"/>
      <c r="X136" s="250" t="n"/>
      <c r="Y136" s="250" t="n"/>
      <c r="Z136" s="250" t="n"/>
    </row>
    <row r="137">
      <c r="A137" s="250" t="n"/>
      <c r="B137" s="250" t="n"/>
      <c r="C137" s="250" t="n"/>
      <c r="D137" s="250" t="n"/>
      <c r="E137" s="250" t="n"/>
      <c r="F137" s="250" t="n"/>
      <c r="G137" s="250" t="n"/>
      <c r="H137" s="250" t="n"/>
      <c r="I137" s="250" t="n"/>
      <c r="J137" s="250" t="n"/>
      <c r="K137" s="250" t="n"/>
      <c r="L137" s="250" t="n"/>
      <c r="M137" s="250" t="n"/>
      <c r="N137" s="250" t="n"/>
      <c r="O137" s="250" t="n"/>
      <c r="P137" s="250" t="n"/>
      <c r="Q137" s="250" t="n"/>
      <c r="R137" s="250" t="n"/>
      <c r="S137" s="250" t="n"/>
      <c r="T137" s="250" t="n"/>
      <c r="U137" s="250" t="n"/>
      <c r="V137" s="250" t="n"/>
      <c r="W137" s="250" t="n"/>
      <c r="X137" s="250" t="n"/>
      <c r="Y137" s="250" t="n"/>
      <c r="Z137" s="250" t="n"/>
    </row>
    <row r="138">
      <c r="A138" s="250" t="n"/>
      <c r="B138" s="250" t="n"/>
      <c r="C138" s="250" t="n"/>
      <c r="D138" s="250" t="n"/>
      <c r="E138" s="250" t="n"/>
      <c r="F138" s="250" t="n"/>
      <c r="G138" s="250" t="n"/>
      <c r="H138" s="250" t="n"/>
      <c r="I138" s="250" t="n"/>
      <c r="J138" s="250" t="n"/>
      <c r="K138" s="250" t="n"/>
      <c r="L138" s="250" t="n"/>
      <c r="M138" s="250" t="n"/>
      <c r="N138" s="250" t="n"/>
      <c r="O138" s="250" t="n"/>
      <c r="P138" s="250" t="n"/>
      <c r="Q138" s="250" t="n"/>
      <c r="R138" s="250" t="n"/>
      <c r="S138" s="250" t="n"/>
      <c r="T138" s="250" t="n"/>
      <c r="U138" s="250" t="n"/>
      <c r="V138" s="250" t="n"/>
      <c r="W138" s="250" t="n"/>
      <c r="X138" s="250" t="n"/>
      <c r="Y138" s="250" t="n"/>
      <c r="Z138" s="250" t="n"/>
    </row>
    <row r="139">
      <c r="A139" s="250" t="n"/>
      <c r="B139" s="250" t="n"/>
      <c r="C139" s="250" t="n"/>
      <c r="D139" s="250" t="n"/>
      <c r="E139" s="250" t="n"/>
      <c r="F139" s="250" t="n"/>
      <c r="G139" s="250" t="n"/>
      <c r="H139" s="250" t="n"/>
      <c r="I139" s="250" t="n"/>
      <c r="J139" s="250" t="n"/>
      <c r="K139" s="250" t="n"/>
      <c r="L139" s="250" t="n"/>
      <c r="M139" s="250" t="n"/>
      <c r="N139" s="250" t="n"/>
      <c r="O139" s="250" t="n"/>
      <c r="P139" s="250" t="n"/>
      <c r="Q139" s="250" t="n"/>
      <c r="R139" s="250" t="n"/>
      <c r="S139" s="250" t="n"/>
      <c r="T139" s="250" t="n"/>
      <c r="U139" s="250" t="n"/>
      <c r="V139" s="250" t="n"/>
      <c r="W139" s="250" t="n"/>
      <c r="X139" s="250" t="n"/>
      <c r="Y139" s="250" t="n"/>
      <c r="Z139" s="250" t="n"/>
    </row>
    <row r="140">
      <c r="A140" s="250" t="n"/>
      <c r="B140" s="250" t="n"/>
      <c r="C140" s="250" t="n"/>
      <c r="D140" s="250" t="n"/>
      <c r="E140" s="250" t="n"/>
      <c r="F140" s="250" t="n"/>
      <c r="G140" s="250" t="n"/>
      <c r="H140" s="250" t="n"/>
      <c r="I140" s="250" t="n"/>
      <c r="J140" s="250" t="n"/>
      <c r="K140" s="250" t="n"/>
      <c r="L140" s="250" t="n"/>
      <c r="M140" s="250" t="n"/>
      <c r="N140" s="250" t="n"/>
      <c r="O140" s="250" t="n"/>
      <c r="P140" s="250" t="n"/>
      <c r="Q140" s="250" t="n"/>
      <c r="R140" s="250" t="n"/>
      <c r="S140" s="250" t="n"/>
      <c r="T140" s="250" t="n"/>
      <c r="U140" s="250" t="n"/>
      <c r="V140" s="250" t="n"/>
      <c r="W140" s="250" t="n"/>
      <c r="X140" s="250" t="n"/>
      <c r="Y140" s="250" t="n"/>
      <c r="Z140" s="250" t="n"/>
    </row>
    <row r="141">
      <c r="A141" s="250" t="n"/>
      <c r="B141" s="250" t="n"/>
      <c r="C141" s="250" t="n"/>
      <c r="D141" s="250" t="n"/>
      <c r="E141" s="250" t="n"/>
      <c r="F141" s="250" t="n"/>
      <c r="G141" s="250" t="n"/>
      <c r="H141" s="250" t="n"/>
      <c r="I141" s="250" t="n"/>
      <c r="J141" s="250" t="n"/>
      <c r="K141" s="250" t="n"/>
      <c r="L141" s="250" t="n"/>
      <c r="M141" s="250" t="n"/>
      <c r="N141" s="250" t="n"/>
      <c r="O141" s="250" t="n"/>
      <c r="P141" s="250" t="n"/>
      <c r="Q141" s="250" t="n"/>
      <c r="R141" s="250" t="n"/>
      <c r="S141" s="250" t="n"/>
      <c r="T141" s="250" t="n"/>
      <c r="U141" s="250" t="n"/>
      <c r="V141" s="250" t="n"/>
      <c r="W141" s="250" t="n"/>
      <c r="X141" s="250" t="n"/>
      <c r="Y141" s="250" t="n"/>
      <c r="Z141" s="250" t="n"/>
    </row>
    <row r="142">
      <c r="A142" s="250" t="n"/>
      <c r="B142" s="250" t="n"/>
      <c r="C142" s="250" t="n"/>
      <c r="D142" s="250" t="n"/>
      <c r="E142" s="250" t="n"/>
      <c r="F142" s="250" t="n"/>
      <c r="G142" s="250" t="n"/>
      <c r="H142" s="250" t="n"/>
      <c r="I142" s="250" t="n"/>
      <c r="J142" s="250" t="n"/>
      <c r="K142" s="250" t="n"/>
      <c r="L142" s="250" t="n"/>
      <c r="M142" s="250" t="n"/>
      <c r="N142" s="250" t="n"/>
      <c r="O142" s="250" t="n"/>
      <c r="P142" s="250" t="n"/>
      <c r="Q142" s="250" t="n"/>
      <c r="R142" s="250" t="n"/>
      <c r="S142" s="250" t="n"/>
      <c r="T142" s="250" t="n"/>
      <c r="U142" s="250" t="n"/>
      <c r="V142" s="250" t="n"/>
      <c r="W142" s="250" t="n"/>
      <c r="X142" s="250" t="n"/>
      <c r="Y142" s="250" t="n"/>
      <c r="Z142" s="250" t="n"/>
    </row>
    <row r="143">
      <c r="A143" s="250" t="n"/>
      <c r="B143" s="250" t="n"/>
      <c r="C143" s="250" t="n"/>
      <c r="D143" s="250" t="n"/>
      <c r="E143" s="250" t="n"/>
      <c r="F143" s="250" t="n"/>
      <c r="G143" s="250" t="n"/>
      <c r="H143" s="250" t="n"/>
      <c r="I143" s="250" t="n"/>
      <c r="J143" s="250" t="n"/>
      <c r="K143" s="250" t="n"/>
      <c r="L143" s="250" t="n"/>
      <c r="M143" s="250" t="n"/>
      <c r="N143" s="250" t="n"/>
      <c r="O143" s="250" t="n"/>
      <c r="P143" s="250" t="n"/>
      <c r="Q143" s="250" t="n"/>
      <c r="R143" s="250" t="n"/>
      <c r="S143" s="250" t="n"/>
      <c r="T143" s="250" t="n"/>
      <c r="U143" s="250" t="n"/>
      <c r="V143" s="250" t="n"/>
      <c r="W143" s="250" t="n"/>
      <c r="X143" s="250" t="n"/>
      <c r="Y143" s="250" t="n"/>
      <c r="Z143" s="250" t="n"/>
    </row>
    <row r="144">
      <c r="A144" s="250" t="n"/>
      <c r="B144" s="250" t="n"/>
      <c r="C144" s="250" t="n"/>
      <c r="D144" s="250" t="n"/>
      <c r="E144" s="250" t="n"/>
      <c r="F144" s="250" t="n"/>
      <c r="G144" s="250" t="n"/>
      <c r="H144" s="250" t="n"/>
      <c r="I144" s="250" t="n"/>
      <c r="J144" s="250" t="n"/>
      <c r="K144" s="250" t="n"/>
      <c r="L144" s="250" t="n"/>
      <c r="M144" s="250" t="n"/>
      <c r="N144" s="250" t="n"/>
      <c r="O144" s="250" t="n"/>
      <c r="P144" s="250" t="n"/>
      <c r="Q144" s="250" t="n"/>
      <c r="R144" s="250" t="n"/>
      <c r="S144" s="250" t="n"/>
      <c r="T144" s="250" t="n"/>
      <c r="U144" s="250" t="n"/>
      <c r="V144" s="250" t="n"/>
      <c r="W144" s="250" t="n"/>
      <c r="X144" s="250" t="n"/>
      <c r="Y144" s="250" t="n"/>
      <c r="Z144" s="250" t="n"/>
    </row>
    <row r="145">
      <c r="A145" s="250" t="n"/>
      <c r="B145" s="250" t="n"/>
      <c r="C145" s="250" t="n"/>
      <c r="D145" s="250" t="n"/>
      <c r="E145" s="250" t="n"/>
      <c r="F145" s="250" t="n"/>
      <c r="G145" s="250" t="n"/>
      <c r="H145" s="250" t="n"/>
      <c r="I145" s="250" t="n"/>
      <c r="J145" s="250" t="n"/>
      <c r="K145" s="250" t="n"/>
      <c r="L145" s="250" t="n"/>
      <c r="M145" s="250" t="n"/>
      <c r="N145" s="250" t="n"/>
      <c r="O145" s="250" t="n"/>
      <c r="P145" s="250" t="n"/>
      <c r="Q145" s="250" t="n"/>
      <c r="R145" s="250" t="n"/>
      <c r="S145" s="250" t="n"/>
      <c r="T145" s="250" t="n"/>
      <c r="U145" s="250" t="n"/>
      <c r="V145" s="250" t="n"/>
      <c r="W145" s="250" t="n"/>
      <c r="X145" s="250" t="n"/>
      <c r="Y145" s="250" t="n"/>
      <c r="Z145" s="250" t="n"/>
    </row>
    <row r="146">
      <c r="A146" s="250" t="n"/>
      <c r="B146" s="250" t="n"/>
      <c r="C146" s="250" t="n"/>
      <c r="D146" s="250" t="n"/>
      <c r="E146" s="250" t="n"/>
      <c r="F146" s="250" t="n"/>
      <c r="G146" s="250" t="n"/>
      <c r="H146" s="250" t="n"/>
      <c r="I146" s="250" t="n"/>
      <c r="J146" s="250" t="n"/>
      <c r="K146" s="250" t="n"/>
      <c r="L146" s="250" t="n"/>
      <c r="M146" s="250" t="n"/>
      <c r="N146" s="250" t="n"/>
      <c r="O146" s="250" t="n"/>
      <c r="P146" s="250" t="n"/>
      <c r="Q146" s="250" t="n"/>
      <c r="R146" s="250" t="n"/>
      <c r="S146" s="250" t="n"/>
      <c r="T146" s="250" t="n"/>
      <c r="U146" s="250" t="n"/>
      <c r="V146" s="250" t="n"/>
      <c r="W146" s="250" t="n"/>
      <c r="X146" s="250" t="n"/>
      <c r="Y146" s="250" t="n"/>
      <c r="Z146" s="250" t="n"/>
    </row>
    <row r="147">
      <c r="A147" s="250" t="n"/>
      <c r="B147" s="250" t="n"/>
      <c r="C147" s="250" t="n"/>
      <c r="D147" s="250" t="n"/>
      <c r="E147" s="250" t="n"/>
      <c r="F147" s="250" t="n"/>
      <c r="G147" s="250" t="n"/>
      <c r="H147" s="250" t="n"/>
      <c r="I147" s="250" t="n"/>
      <c r="J147" s="250" t="n"/>
      <c r="K147" s="250" t="n"/>
      <c r="L147" s="250" t="n"/>
      <c r="M147" s="250" t="n"/>
      <c r="N147" s="250" t="n"/>
      <c r="O147" s="250" t="n"/>
      <c r="P147" s="250" t="n"/>
      <c r="Q147" s="250" t="n"/>
      <c r="R147" s="250" t="n"/>
      <c r="S147" s="250" t="n"/>
      <c r="T147" s="250" t="n"/>
      <c r="U147" s="250" t="n"/>
      <c r="V147" s="250" t="n"/>
      <c r="W147" s="250" t="n"/>
      <c r="X147" s="250" t="n"/>
      <c r="Y147" s="250" t="n"/>
      <c r="Z147" s="250" t="n"/>
    </row>
    <row r="148">
      <c r="A148" s="250" t="n"/>
      <c r="B148" s="250" t="n"/>
      <c r="C148" s="250" t="n"/>
      <c r="D148" s="250" t="n"/>
      <c r="E148" s="250" t="n"/>
      <c r="F148" s="250" t="n"/>
      <c r="G148" s="250" t="n"/>
      <c r="H148" s="250" t="n"/>
      <c r="I148" s="250" t="n"/>
      <c r="J148" s="250" t="n"/>
      <c r="K148" s="250" t="n"/>
      <c r="L148" s="250" t="n"/>
      <c r="M148" s="250" t="n"/>
      <c r="N148" s="250" t="n"/>
      <c r="O148" s="250" t="n"/>
      <c r="P148" s="250" t="n"/>
      <c r="Q148" s="250" t="n"/>
      <c r="R148" s="250" t="n"/>
      <c r="S148" s="250" t="n"/>
      <c r="T148" s="250" t="n"/>
      <c r="U148" s="250" t="n"/>
      <c r="V148" s="250" t="n"/>
      <c r="W148" s="250" t="n"/>
      <c r="X148" s="250" t="n"/>
      <c r="Y148" s="250" t="n"/>
      <c r="Z148" s="250" t="n"/>
    </row>
    <row r="149">
      <c r="A149" s="250" t="n"/>
      <c r="B149" s="250" t="n"/>
      <c r="C149" s="250" t="n"/>
      <c r="D149" s="250" t="n"/>
      <c r="E149" s="250" t="n"/>
      <c r="F149" s="250" t="n"/>
      <c r="G149" s="250" t="n"/>
      <c r="H149" s="250" t="n"/>
      <c r="I149" s="250" t="n"/>
      <c r="J149" s="250" t="n"/>
      <c r="K149" s="250" t="n"/>
      <c r="L149" s="250" t="n"/>
      <c r="M149" s="250" t="n"/>
      <c r="N149" s="250" t="n"/>
      <c r="O149" s="250" t="n"/>
      <c r="P149" s="250" t="n"/>
      <c r="Q149" s="250" t="n"/>
      <c r="R149" s="250" t="n"/>
      <c r="S149" s="250" t="n"/>
      <c r="T149" s="250" t="n"/>
      <c r="U149" s="250" t="n"/>
      <c r="V149" s="250" t="n"/>
      <c r="W149" s="250" t="n"/>
      <c r="X149" s="250" t="n"/>
      <c r="Y149" s="250" t="n"/>
      <c r="Z149" s="250" t="n"/>
    </row>
    <row r="150">
      <c r="A150" s="250" t="n"/>
      <c r="B150" s="250" t="n"/>
      <c r="C150" s="250" t="n"/>
      <c r="D150" s="250" t="n"/>
      <c r="E150" s="250" t="n"/>
      <c r="F150" s="250" t="n"/>
      <c r="G150" s="250" t="n"/>
      <c r="H150" s="250" t="n"/>
      <c r="I150" s="250" t="n"/>
      <c r="J150" s="250" t="n"/>
      <c r="K150" s="250" t="n"/>
      <c r="L150" s="250" t="n"/>
      <c r="M150" s="250" t="n"/>
      <c r="N150" s="250" t="n"/>
      <c r="O150" s="250" t="n"/>
      <c r="P150" s="250" t="n"/>
      <c r="Q150" s="250" t="n"/>
      <c r="R150" s="250" t="n"/>
      <c r="S150" s="250" t="n"/>
      <c r="T150" s="250" t="n"/>
      <c r="U150" s="250" t="n"/>
      <c r="V150" s="250" t="n"/>
      <c r="W150" s="250" t="n"/>
      <c r="X150" s="250" t="n"/>
      <c r="Y150" s="250" t="n"/>
      <c r="Z150" s="250" t="n"/>
    </row>
    <row r="151">
      <c r="A151" s="250" t="n"/>
      <c r="B151" s="250" t="n"/>
      <c r="C151" s="250" t="n"/>
      <c r="D151" s="250" t="n"/>
      <c r="E151" s="250" t="n"/>
      <c r="F151" s="250" t="n"/>
      <c r="G151" s="250" t="n"/>
      <c r="H151" s="250" t="n"/>
      <c r="I151" s="250" t="n"/>
      <c r="J151" s="250" t="n"/>
      <c r="K151" s="250" t="n"/>
      <c r="L151" s="250" t="n"/>
      <c r="M151" s="250" t="n"/>
      <c r="N151" s="250" t="n"/>
      <c r="O151" s="250" t="n"/>
      <c r="P151" s="250" t="n"/>
      <c r="Q151" s="250" t="n"/>
      <c r="R151" s="250" t="n"/>
      <c r="S151" s="250" t="n"/>
      <c r="T151" s="250" t="n"/>
      <c r="U151" s="250" t="n"/>
      <c r="V151" s="250" t="n"/>
      <c r="W151" s="250" t="n"/>
      <c r="X151" s="250" t="n"/>
      <c r="Y151" s="250" t="n"/>
      <c r="Z151" s="250" t="n"/>
    </row>
    <row r="152">
      <c r="A152" s="250" t="n"/>
      <c r="B152" s="250" t="n"/>
      <c r="C152" s="250" t="n"/>
      <c r="D152" s="250" t="n"/>
      <c r="E152" s="250" t="n"/>
      <c r="F152" s="250" t="n"/>
      <c r="G152" s="250" t="n"/>
      <c r="H152" s="250" t="n"/>
      <c r="I152" s="250" t="n"/>
      <c r="J152" s="250" t="n"/>
      <c r="K152" s="250" t="n"/>
      <c r="L152" s="250" t="n"/>
      <c r="M152" s="250" t="n"/>
      <c r="N152" s="250" t="n"/>
      <c r="O152" s="250" t="n"/>
      <c r="P152" s="250" t="n"/>
      <c r="Q152" s="250" t="n"/>
      <c r="R152" s="250" t="n"/>
      <c r="S152" s="250" t="n"/>
      <c r="T152" s="250" t="n"/>
      <c r="U152" s="250" t="n"/>
      <c r="V152" s="250" t="n"/>
      <c r="W152" s="250" t="n"/>
      <c r="X152" s="250" t="n"/>
      <c r="Y152" s="250" t="n"/>
      <c r="Z152" s="250" t="n"/>
    </row>
    <row r="153">
      <c r="A153" s="250" t="n"/>
      <c r="B153" s="250" t="n"/>
      <c r="C153" s="250" t="n"/>
      <c r="D153" s="250" t="n"/>
      <c r="E153" s="250" t="n"/>
      <c r="F153" s="250" t="n"/>
      <c r="G153" s="250" t="n"/>
      <c r="H153" s="250" t="n"/>
      <c r="I153" s="250" t="n"/>
      <c r="J153" s="250" t="n"/>
      <c r="K153" s="250" t="n"/>
      <c r="L153" s="250" t="n"/>
      <c r="M153" s="250" t="n"/>
      <c r="N153" s="250" t="n"/>
      <c r="O153" s="250" t="n"/>
      <c r="P153" s="250" t="n"/>
      <c r="Q153" s="250" t="n"/>
      <c r="R153" s="250" t="n"/>
      <c r="S153" s="250" t="n"/>
      <c r="T153" s="250" t="n"/>
      <c r="U153" s="250" t="n"/>
      <c r="V153" s="250" t="n"/>
      <c r="W153" s="250" t="n"/>
      <c r="X153" s="250" t="n"/>
      <c r="Y153" s="250" t="n"/>
      <c r="Z153" s="250" t="n"/>
    </row>
    <row r="154">
      <c r="A154" s="250" t="n"/>
      <c r="B154" s="250" t="n"/>
      <c r="C154" s="250" t="n"/>
      <c r="D154" s="250" t="n"/>
      <c r="E154" s="250" t="n"/>
      <c r="F154" s="250" t="n"/>
      <c r="G154" s="250" t="n"/>
      <c r="H154" s="250" t="n"/>
      <c r="I154" s="250" t="n"/>
      <c r="J154" s="250" t="n"/>
      <c r="K154" s="250" t="n"/>
      <c r="L154" s="250" t="n"/>
      <c r="M154" s="250" t="n"/>
      <c r="N154" s="250" t="n"/>
      <c r="O154" s="250" t="n"/>
      <c r="P154" s="250" t="n"/>
      <c r="Q154" s="250" t="n"/>
      <c r="R154" s="250" t="n"/>
      <c r="S154" s="250" t="n"/>
      <c r="T154" s="250" t="n"/>
      <c r="U154" s="250" t="n"/>
      <c r="V154" s="250" t="n"/>
      <c r="W154" s="250" t="n"/>
      <c r="X154" s="250" t="n"/>
      <c r="Y154" s="250" t="n"/>
      <c r="Z154" s="250" t="n"/>
    </row>
    <row r="155">
      <c r="A155" s="250" t="n"/>
      <c r="B155" s="250" t="n"/>
      <c r="C155" s="250" t="n"/>
      <c r="D155" s="250" t="n"/>
      <c r="E155" s="250" t="n"/>
      <c r="F155" s="250" t="n"/>
      <c r="G155" s="250" t="n"/>
      <c r="H155" s="250" t="n"/>
      <c r="I155" s="250" t="n"/>
      <c r="J155" s="250" t="n"/>
      <c r="K155" s="250" t="n"/>
      <c r="L155" s="250" t="n"/>
      <c r="M155" s="250" t="n"/>
      <c r="N155" s="250" t="n"/>
      <c r="O155" s="250" t="n"/>
      <c r="P155" s="250" t="n"/>
      <c r="Q155" s="250" t="n"/>
      <c r="R155" s="250" t="n"/>
      <c r="S155" s="250" t="n"/>
      <c r="T155" s="250" t="n"/>
      <c r="U155" s="250" t="n"/>
      <c r="V155" s="250" t="n"/>
      <c r="W155" s="250" t="n"/>
      <c r="X155" s="250" t="n"/>
      <c r="Y155" s="250" t="n"/>
      <c r="Z155" s="250" t="n"/>
    </row>
    <row r="156">
      <c r="A156" s="250" t="n"/>
      <c r="B156" s="250" t="n"/>
      <c r="C156" s="250" t="n"/>
      <c r="D156" s="250" t="n"/>
      <c r="E156" s="250" t="n"/>
      <c r="F156" s="250" t="n"/>
      <c r="G156" s="250" t="n"/>
      <c r="H156" s="250" t="n"/>
      <c r="I156" s="250" t="n"/>
      <c r="J156" s="250" t="n"/>
      <c r="K156" s="250" t="n"/>
      <c r="L156" s="250" t="n"/>
      <c r="M156" s="250" t="n"/>
      <c r="N156" s="250" t="n"/>
      <c r="O156" s="250" t="n"/>
      <c r="P156" s="250" t="n"/>
      <c r="Q156" s="250" t="n"/>
      <c r="R156" s="250" t="n"/>
      <c r="S156" s="250" t="n"/>
      <c r="T156" s="250" t="n"/>
      <c r="U156" s="250" t="n"/>
      <c r="V156" s="250" t="n"/>
      <c r="W156" s="250" t="n"/>
      <c r="X156" s="250" t="n"/>
      <c r="Y156" s="250" t="n"/>
      <c r="Z156" s="250" t="n"/>
    </row>
    <row r="157">
      <c r="A157" s="250" t="n"/>
      <c r="B157" s="250" t="n"/>
      <c r="C157" s="250" t="n"/>
      <c r="D157" s="250" t="n"/>
      <c r="E157" s="250" t="n"/>
      <c r="F157" s="250" t="n"/>
      <c r="G157" s="250" t="n"/>
      <c r="H157" s="250" t="n"/>
      <c r="I157" s="250" t="n"/>
      <c r="J157" s="250" t="n"/>
      <c r="K157" s="250" t="n"/>
      <c r="L157" s="250" t="n"/>
      <c r="M157" s="250" t="n"/>
      <c r="N157" s="250" t="n"/>
      <c r="O157" s="250" t="n"/>
      <c r="P157" s="250" t="n"/>
      <c r="Q157" s="250" t="n"/>
      <c r="R157" s="250" t="n"/>
      <c r="S157" s="250" t="n"/>
      <c r="T157" s="250" t="n"/>
      <c r="U157" s="250" t="n"/>
      <c r="V157" s="250" t="n"/>
      <c r="W157" s="250" t="n"/>
      <c r="X157" s="250" t="n"/>
      <c r="Y157" s="250" t="n"/>
      <c r="Z157" s="250" t="n"/>
    </row>
    <row r="158">
      <c r="A158" s="250" t="n"/>
      <c r="B158" s="250" t="n"/>
      <c r="C158" s="250" t="n"/>
      <c r="D158" s="250" t="n"/>
      <c r="E158" s="250" t="n"/>
      <c r="F158" s="250" t="n"/>
      <c r="G158" s="250" t="n"/>
      <c r="H158" s="250" t="n"/>
      <c r="I158" s="250" t="n"/>
      <c r="J158" s="250" t="n"/>
      <c r="K158" s="250" t="n"/>
      <c r="L158" s="250" t="n"/>
      <c r="M158" s="250" t="n"/>
      <c r="N158" s="250" t="n"/>
      <c r="O158" s="250" t="n"/>
      <c r="P158" s="250" t="n"/>
      <c r="Q158" s="250" t="n"/>
      <c r="R158" s="250" t="n"/>
      <c r="S158" s="250" t="n"/>
      <c r="T158" s="250" t="n"/>
      <c r="U158" s="250" t="n"/>
      <c r="V158" s="250" t="n"/>
      <c r="W158" s="250" t="n"/>
      <c r="X158" s="250" t="n"/>
      <c r="Y158" s="250" t="n"/>
      <c r="Z158" s="250" t="n"/>
    </row>
    <row r="159">
      <c r="A159" s="250" t="n"/>
      <c r="B159" s="250" t="n"/>
      <c r="C159" s="250" t="n"/>
      <c r="D159" s="250" t="n"/>
      <c r="E159" s="250" t="n"/>
      <c r="F159" s="250" t="n"/>
      <c r="G159" s="250" t="n"/>
      <c r="H159" s="250" t="n"/>
      <c r="I159" s="250" t="n"/>
      <c r="J159" s="250" t="n"/>
      <c r="K159" s="250" t="n"/>
      <c r="L159" s="250" t="n"/>
      <c r="M159" s="250" t="n"/>
      <c r="N159" s="250" t="n"/>
      <c r="O159" s="250" t="n"/>
      <c r="P159" s="250" t="n"/>
      <c r="Q159" s="250" t="n"/>
      <c r="R159" s="250" t="n"/>
      <c r="S159" s="250" t="n"/>
      <c r="T159" s="250" t="n"/>
      <c r="U159" s="250" t="n"/>
      <c r="V159" s="250" t="n"/>
      <c r="W159" s="250" t="n"/>
      <c r="X159" s="250" t="n"/>
      <c r="Y159" s="250" t="n"/>
      <c r="Z159" s="250" t="n"/>
    </row>
    <row r="160">
      <c r="A160" s="250" t="n"/>
      <c r="B160" s="250" t="n"/>
      <c r="C160" s="250" t="n"/>
      <c r="D160" s="250" t="n"/>
      <c r="E160" s="250" t="n"/>
      <c r="F160" s="250" t="n"/>
      <c r="G160" s="250" t="n"/>
      <c r="H160" s="250" t="n"/>
      <c r="I160" s="250" t="n"/>
      <c r="J160" s="250" t="n"/>
      <c r="K160" s="250" t="n"/>
      <c r="L160" s="250" t="n"/>
      <c r="M160" s="250" t="n"/>
      <c r="N160" s="250" t="n"/>
      <c r="O160" s="250" t="n"/>
      <c r="P160" s="250" t="n"/>
      <c r="Q160" s="250" t="n"/>
      <c r="R160" s="250" t="n"/>
      <c r="S160" s="250" t="n"/>
      <c r="T160" s="250" t="n"/>
      <c r="U160" s="250" t="n"/>
      <c r="V160" s="250" t="n"/>
      <c r="W160" s="250" t="n"/>
      <c r="X160" s="250" t="n"/>
      <c r="Y160" s="250" t="n"/>
      <c r="Z160" s="250" t="n"/>
    </row>
    <row r="161">
      <c r="A161" s="250" t="n"/>
      <c r="B161" s="250" t="n"/>
      <c r="C161" s="250" t="n"/>
      <c r="D161" s="250" t="n"/>
      <c r="E161" s="250" t="n"/>
      <c r="F161" s="250" t="n"/>
      <c r="G161" s="250" t="n"/>
      <c r="H161" s="250" t="n"/>
      <c r="I161" s="250" t="n"/>
      <c r="J161" s="250" t="n"/>
      <c r="K161" s="250" t="n"/>
      <c r="L161" s="250" t="n"/>
      <c r="M161" s="250" t="n"/>
      <c r="N161" s="250" t="n"/>
      <c r="O161" s="250" t="n"/>
      <c r="P161" s="250" t="n"/>
      <c r="Q161" s="250" t="n"/>
      <c r="R161" s="250" t="n"/>
      <c r="S161" s="250" t="n"/>
      <c r="T161" s="250" t="n"/>
      <c r="U161" s="250" t="n"/>
      <c r="V161" s="250" t="n"/>
      <c r="W161" s="250" t="n"/>
      <c r="X161" s="250" t="n"/>
      <c r="Y161" s="250" t="n"/>
      <c r="Z161" s="250" t="n"/>
    </row>
    <row r="162">
      <c r="A162" s="250" t="n"/>
      <c r="B162" s="250" t="n"/>
      <c r="C162" s="250" t="n"/>
      <c r="D162" s="250" t="n"/>
      <c r="E162" s="250" t="n"/>
      <c r="F162" s="250" t="n"/>
      <c r="G162" s="250" t="n"/>
      <c r="H162" s="250" t="n"/>
      <c r="I162" s="250" t="n"/>
      <c r="J162" s="250" t="n"/>
      <c r="K162" s="250" t="n"/>
      <c r="L162" s="250" t="n"/>
      <c r="M162" s="250" t="n"/>
      <c r="N162" s="250" t="n"/>
      <c r="O162" s="250" t="n"/>
      <c r="P162" s="250" t="n"/>
      <c r="Q162" s="250" t="n"/>
      <c r="R162" s="250" t="n"/>
      <c r="S162" s="250" t="n"/>
      <c r="T162" s="250" t="n"/>
      <c r="U162" s="250" t="n"/>
      <c r="V162" s="250" t="n"/>
      <c r="W162" s="250" t="n"/>
      <c r="X162" s="250" t="n"/>
      <c r="Y162" s="250" t="n"/>
      <c r="Z162" s="250" t="n"/>
    </row>
    <row r="163">
      <c r="A163" s="250" t="n"/>
      <c r="B163" s="250" t="n"/>
      <c r="C163" s="250" t="n"/>
      <c r="D163" s="250" t="n"/>
      <c r="E163" s="250" t="n"/>
      <c r="F163" s="250" t="n"/>
      <c r="G163" s="250" t="n"/>
      <c r="H163" s="250" t="n"/>
      <c r="I163" s="250" t="n"/>
      <c r="J163" s="250" t="n"/>
      <c r="K163" s="250" t="n"/>
      <c r="L163" s="250" t="n"/>
      <c r="M163" s="250" t="n"/>
      <c r="N163" s="250" t="n"/>
      <c r="O163" s="250" t="n"/>
      <c r="P163" s="250" t="n"/>
      <c r="Q163" s="250" t="n"/>
      <c r="R163" s="250" t="n"/>
      <c r="S163" s="250" t="n"/>
      <c r="T163" s="250" t="n"/>
      <c r="U163" s="250" t="n"/>
      <c r="V163" s="250" t="n"/>
      <c r="W163" s="250" t="n"/>
      <c r="X163" s="250" t="n"/>
      <c r="Y163" s="250" t="n"/>
      <c r="Z163" s="250" t="n"/>
    </row>
    <row r="164">
      <c r="A164" s="250" t="n"/>
      <c r="B164" s="250" t="n"/>
      <c r="C164" s="250" t="n"/>
      <c r="D164" s="250" t="n"/>
      <c r="E164" s="250" t="n"/>
      <c r="F164" s="250" t="n"/>
      <c r="G164" s="250" t="n"/>
      <c r="H164" s="250" t="n"/>
      <c r="I164" s="250" t="n"/>
      <c r="J164" s="250" t="n"/>
      <c r="K164" s="250" t="n"/>
      <c r="L164" s="250" t="n"/>
      <c r="M164" s="250" t="n"/>
      <c r="N164" s="250" t="n"/>
      <c r="O164" s="250" t="n"/>
      <c r="P164" s="250" t="n"/>
      <c r="Q164" s="250" t="n"/>
      <c r="R164" s="250" t="n"/>
      <c r="S164" s="250" t="n"/>
      <c r="T164" s="250" t="n"/>
      <c r="U164" s="250" t="n"/>
      <c r="V164" s="250" t="n"/>
      <c r="W164" s="250" t="n"/>
      <c r="X164" s="250" t="n"/>
      <c r="Y164" s="250" t="n"/>
      <c r="Z164" s="250" t="n"/>
    </row>
    <row r="165">
      <c r="A165" s="250" t="n"/>
      <c r="B165" s="250" t="n"/>
      <c r="C165" s="250" t="n"/>
      <c r="D165" s="250" t="n"/>
      <c r="E165" s="250" t="n"/>
      <c r="F165" s="250" t="n"/>
      <c r="G165" s="250" t="n"/>
      <c r="H165" s="250" t="n"/>
      <c r="I165" s="250" t="n"/>
      <c r="J165" s="250" t="n"/>
      <c r="K165" s="250" t="n"/>
      <c r="L165" s="250" t="n"/>
      <c r="M165" s="250" t="n"/>
      <c r="N165" s="250" t="n"/>
      <c r="O165" s="250" t="n"/>
      <c r="P165" s="250" t="n"/>
      <c r="Q165" s="250" t="n"/>
      <c r="R165" s="250" t="n"/>
      <c r="S165" s="250" t="n"/>
      <c r="T165" s="250" t="n"/>
      <c r="U165" s="250" t="n"/>
      <c r="V165" s="250" t="n"/>
      <c r="W165" s="250" t="n"/>
      <c r="X165" s="250" t="n"/>
      <c r="Y165" s="250" t="n"/>
      <c r="Z165" s="250" t="n"/>
    </row>
    <row r="166">
      <c r="A166" s="250" t="n"/>
      <c r="B166" s="250" t="n"/>
      <c r="C166" s="250" t="n"/>
      <c r="D166" s="250" t="n"/>
      <c r="E166" s="250" t="n"/>
      <c r="F166" s="250" t="n"/>
      <c r="G166" s="250" t="n"/>
      <c r="H166" s="250" t="n"/>
      <c r="I166" s="250" t="n"/>
      <c r="J166" s="250" t="n"/>
      <c r="K166" s="250" t="n"/>
      <c r="L166" s="250" t="n"/>
      <c r="M166" s="250" t="n"/>
      <c r="N166" s="250" t="n"/>
      <c r="O166" s="250" t="n"/>
      <c r="P166" s="250" t="n"/>
      <c r="Q166" s="250" t="n"/>
      <c r="R166" s="250" t="n"/>
      <c r="S166" s="250" t="n"/>
      <c r="T166" s="250" t="n"/>
      <c r="U166" s="250" t="n"/>
      <c r="V166" s="250" t="n"/>
      <c r="W166" s="250" t="n"/>
      <c r="X166" s="250" t="n"/>
      <c r="Y166" s="250" t="n"/>
      <c r="Z166" s="250" t="n"/>
    </row>
    <row r="167">
      <c r="A167" s="250" t="n"/>
      <c r="B167" s="250" t="n"/>
      <c r="C167" s="250" t="n"/>
      <c r="D167" s="250" t="n"/>
      <c r="E167" s="250" t="n"/>
      <c r="F167" s="250" t="n"/>
      <c r="G167" s="250" t="n"/>
      <c r="H167" s="250" t="n"/>
      <c r="I167" s="250" t="n"/>
      <c r="J167" s="250" t="n"/>
      <c r="K167" s="250" t="n"/>
      <c r="L167" s="250" t="n"/>
      <c r="M167" s="250" t="n"/>
      <c r="N167" s="250" t="n"/>
      <c r="O167" s="250" t="n"/>
      <c r="P167" s="250" t="n"/>
      <c r="Q167" s="250" t="n"/>
      <c r="R167" s="250" t="n"/>
      <c r="S167" s="250" t="n"/>
      <c r="T167" s="250" t="n"/>
      <c r="U167" s="250" t="n"/>
      <c r="V167" s="250" t="n"/>
      <c r="W167" s="250" t="n"/>
      <c r="X167" s="250" t="n"/>
      <c r="Y167" s="250" t="n"/>
      <c r="Z167" s="250" t="n"/>
    </row>
    <row r="168">
      <c r="A168" s="250" t="n"/>
      <c r="B168" s="250" t="n"/>
      <c r="C168" s="250" t="n"/>
      <c r="D168" s="250" t="n"/>
      <c r="E168" s="250" t="n"/>
      <c r="F168" s="250" t="n"/>
      <c r="G168" s="250" t="n"/>
      <c r="H168" s="250" t="n"/>
      <c r="I168" s="250" t="n"/>
      <c r="J168" s="250" t="n"/>
      <c r="K168" s="250" t="n"/>
      <c r="L168" s="250" t="n"/>
      <c r="M168" s="250" t="n"/>
      <c r="N168" s="250" t="n"/>
      <c r="O168" s="250" t="n"/>
      <c r="P168" s="250" t="n"/>
      <c r="Q168" s="250" t="n"/>
      <c r="R168" s="250" t="n"/>
      <c r="S168" s="250" t="n"/>
      <c r="T168" s="250" t="n"/>
      <c r="U168" s="250" t="n"/>
      <c r="V168" s="250" t="n"/>
      <c r="W168" s="250" t="n"/>
      <c r="X168" s="250" t="n"/>
      <c r="Y168" s="250" t="n"/>
      <c r="Z168" s="250" t="n"/>
    </row>
    <row r="169">
      <c r="A169" s="250" t="n"/>
      <c r="B169" s="250" t="n"/>
      <c r="C169" s="250" t="n"/>
      <c r="D169" s="250" t="n"/>
      <c r="E169" s="250" t="n"/>
      <c r="F169" s="250" t="n"/>
      <c r="G169" s="250" t="n"/>
      <c r="H169" s="250" t="n"/>
      <c r="I169" s="250" t="n"/>
      <c r="J169" s="250" t="n"/>
      <c r="K169" s="250" t="n"/>
      <c r="L169" s="250" t="n"/>
      <c r="M169" s="250" t="n"/>
      <c r="N169" s="250" t="n"/>
      <c r="O169" s="250" t="n"/>
      <c r="P169" s="250" t="n"/>
      <c r="Q169" s="250" t="n"/>
      <c r="R169" s="250" t="n"/>
      <c r="S169" s="250" t="n"/>
      <c r="T169" s="250" t="n"/>
      <c r="U169" s="250" t="n"/>
      <c r="V169" s="250" t="n"/>
      <c r="W169" s="250" t="n"/>
      <c r="X169" s="250" t="n"/>
      <c r="Y169" s="250" t="n"/>
      <c r="Z169" s="250" t="n"/>
    </row>
    <row r="170">
      <c r="A170" s="250" t="n"/>
      <c r="B170" s="250" t="n"/>
      <c r="C170" s="250" t="n"/>
      <c r="D170" s="250" t="n"/>
      <c r="E170" s="250" t="n"/>
      <c r="F170" s="250" t="n"/>
      <c r="G170" s="250" t="n"/>
      <c r="H170" s="250" t="n"/>
      <c r="I170" s="250" t="n"/>
      <c r="J170" s="250" t="n"/>
      <c r="K170" s="250" t="n"/>
      <c r="L170" s="250" t="n"/>
      <c r="M170" s="250" t="n"/>
      <c r="N170" s="250" t="n"/>
      <c r="O170" s="250" t="n"/>
      <c r="P170" s="250" t="n"/>
      <c r="Q170" s="250" t="n"/>
      <c r="R170" s="250" t="n"/>
      <c r="S170" s="250" t="n"/>
      <c r="T170" s="250" t="n"/>
      <c r="U170" s="250" t="n"/>
      <c r="V170" s="250" t="n"/>
      <c r="W170" s="250" t="n"/>
      <c r="X170" s="250" t="n"/>
      <c r="Y170" s="250" t="n"/>
      <c r="Z170" s="250" t="n"/>
    </row>
    <row r="171">
      <c r="A171" s="250" t="n"/>
      <c r="B171" s="250" t="n"/>
      <c r="C171" s="250" t="n"/>
      <c r="D171" s="250" t="n"/>
      <c r="E171" s="250" t="n"/>
      <c r="F171" s="250" t="n"/>
      <c r="G171" s="250" t="n"/>
      <c r="H171" s="250" t="n"/>
      <c r="I171" s="250" t="n"/>
      <c r="J171" s="250" t="n"/>
      <c r="K171" s="250" t="n"/>
      <c r="L171" s="250" t="n"/>
      <c r="M171" s="250" t="n"/>
      <c r="N171" s="250" t="n"/>
      <c r="O171" s="250" t="n"/>
      <c r="P171" s="250" t="n"/>
      <c r="Q171" s="250" t="n"/>
      <c r="R171" s="250" t="n"/>
      <c r="S171" s="250" t="n"/>
      <c r="T171" s="250" t="n"/>
      <c r="U171" s="250" t="n"/>
      <c r="V171" s="250" t="n"/>
      <c r="W171" s="250" t="n"/>
      <c r="X171" s="250" t="n"/>
      <c r="Y171" s="250" t="n"/>
      <c r="Z171" s="250" t="n"/>
    </row>
    <row r="172">
      <c r="A172" s="250" t="n"/>
      <c r="B172" s="250" t="n"/>
      <c r="C172" s="250" t="n"/>
      <c r="D172" s="250" t="n"/>
      <c r="E172" s="250" t="n"/>
      <c r="F172" s="250" t="n"/>
      <c r="G172" s="250" t="n"/>
      <c r="H172" s="250" t="n"/>
      <c r="I172" s="250" t="n"/>
      <c r="J172" s="250" t="n"/>
      <c r="K172" s="250" t="n"/>
      <c r="L172" s="250" t="n"/>
      <c r="M172" s="250" t="n"/>
      <c r="N172" s="250" t="n"/>
      <c r="O172" s="250" t="n"/>
      <c r="P172" s="250" t="n"/>
      <c r="Q172" s="250" t="n"/>
      <c r="R172" s="250" t="n"/>
      <c r="S172" s="250" t="n"/>
      <c r="T172" s="250" t="n"/>
      <c r="U172" s="250" t="n"/>
      <c r="V172" s="250" t="n"/>
      <c r="W172" s="250" t="n"/>
      <c r="X172" s="250" t="n"/>
      <c r="Y172" s="250" t="n"/>
      <c r="Z172" s="250" t="n"/>
    </row>
    <row r="173">
      <c r="A173" s="250" t="n"/>
      <c r="B173" s="250" t="n"/>
      <c r="C173" s="250" t="n"/>
      <c r="D173" s="250" t="n"/>
      <c r="E173" s="250" t="n"/>
      <c r="F173" s="250" t="n"/>
      <c r="G173" s="250" t="n"/>
      <c r="H173" s="250" t="n"/>
      <c r="I173" s="250" t="n"/>
      <c r="J173" s="250" t="n"/>
      <c r="K173" s="250" t="n"/>
      <c r="L173" s="250" t="n"/>
      <c r="M173" s="250" t="n"/>
      <c r="N173" s="250" t="n"/>
      <c r="O173" s="250" t="n"/>
      <c r="P173" s="250" t="n"/>
      <c r="Q173" s="250" t="n"/>
      <c r="R173" s="250" t="n"/>
      <c r="S173" s="250" t="n"/>
      <c r="T173" s="250" t="n"/>
      <c r="U173" s="250" t="n"/>
      <c r="V173" s="250" t="n"/>
      <c r="W173" s="250" t="n"/>
      <c r="X173" s="250" t="n"/>
      <c r="Y173" s="250" t="n"/>
      <c r="Z173" s="250" t="n"/>
    </row>
    <row r="174">
      <c r="A174" s="250" t="n"/>
      <c r="B174" s="250" t="n"/>
      <c r="C174" s="250" t="n"/>
      <c r="D174" s="250" t="n"/>
      <c r="E174" s="250" t="n"/>
      <c r="F174" s="250" t="n"/>
      <c r="G174" s="250" t="n"/>
      <c r="H174" s="250" t="n"/>
      <c r="I174" s="250" t="n"/>
      <c r="J174" s="250" t="n"/>
      <c r="K174" s="250" t="n"/>
      <c r="L174" s="250" t="n"/>
      <c r="M174" s="250" t="n"/>
      <c r="N174" s="250" t="n"/>
      <c r="O174" s="250" t="n"/>
      <c r="P174" s="250" t="n"/>
      <c r="Q174" s="250" t="n"/>
      <c r="R174" s="250" t="n"/>
      <c r="S174" s="250" t="n"/>
      <c r="T174" s="250" t="n"/>
      <c r="U174" s="250" t="n"/>
      <c r="V174" s="250" t="n"/>
      <c r="W174" s="250" t="n"/>
      <c r="X174" s="250" t="n"/>
      <c r="Y174" s="250" t="n"/>
      <c r="Z174" s="250" t="n"/>
    </row>
    <row r="175">
      <c r="A175" s="250" t="n"/>
      <c r="B175" s="250" t="n"/>
      <c r="C175" s="250" t="n"/>
      <c r="D175" s="250" t="n"/>
      <c r="E175" s="250" t="n"/>
      <c r="F175" s="250" t="n"/>
      <c r="G175" s="250" t="n"/>
      <c r="H175" s="250" t="n"/>
      <c r="I175" s="250" t="n"/>
      <c r="J175" s="250" t="n"/>
      <c r="K175" s="250" t="n"/>
      <c r="L175" s="250" t="n"/>
      <c r="M175" s="250" t="n"/>
      <c r="N175" s="250" t="n"/>
      <c r="O175" s="250" t="n"/>
      <c r="P175" s="250" t="n"/>
      <c r="Q175" s="250" t="n"/>
      <c r="R175" s="250" t="n"/>
      <c r="S175" s="250" t="n"/>
      <c r="T175" s="250" t="n"/>
      <c r="U175" s="250" t="n"/>
      <c r="V175" s="250" t="n"/>
      <c r="W175" s="250" t="n"/>
      <c r="X175" s="250" t="n"/>
      <c r="Y175" s="250" t="n"/>
      <c r="Z175" s="250" t="n"/>
    </row>
    <row r="176">
      <c r="A176" s="250" t="n"/>
      <c r="B176" s="250" t="n"/>
      <c r="C176" s="250" t="n"/>
      <c r="D176" s="250" t="n"/>
      <c r="E176" s="250" t="n"/>
      <c r="F176" s="250" t="n"/>
      <c r="G176" s="250" t="n"/>
      <c r="H176" s="250" t="n"/>
      <c r="I176" s="250" t="n"/>
      <c r="J176" s="250" t="n"/>
      <c r="K176" s="250" t="n"/>
      <c r="L176" s="250" t="n"/>
      <c r="M176" s="250" t="n"/>
      <c r="N176" s="250" t="n"/>
      <c r="O176" s="250" t="n"/>
      <c r="P176" s="250" t="n"/>
      <c r="Q176" s="250" t="n"/>
      <c r="R176" s="250" t="n"/>
      <c r="S176" s="250" t="n"/>
      <c r="T176" s="250" t="n"/>
      <c r="U176" s="250" t="n"/>
      <c r="V176" s="250" t="n"/>
      <c r="W176" s="250" t="n"/>
      <c r="X176" s="250" t="n"/>
      <c r="Y176" s="250" t="n"/>
      <c r="Z176" s="250" t="n"/>
    </row>
    <row r="177">
      <c r="A177" s="250" t="n"/>
      <c r="B177" s="250" t="n"/>
      <c r="C177" s="250" t="n"/>
      <c r="D177" s="250" t="n"/>
      <c r="E177" s="250" t="n"/>
      <c r="F177" s="250" t="n"/>
      <c r="G177" s="250" t="n"/>
      <c r="H177" s="250" t="n"/>
      <c r="I177" s="250" t="n"/>
      <c r="J177" s="250" t="n"/>
      <c r="K177" s="250" t="n"/>
      <c r="L177" s="250" t="n"/>
      <c r="M177" s="250" t="n"/>
      <c r="N177" s="250" t="n"/>
      <c r="O177" s="250" t="n"/>
      <c r="P177" s="250" t="n"/>
      <c r="Q177" s="250" t="n"/>
      <c r="R177" s="250" t="n"/>
      <c r="S177" s="250" t="n"/>
      <c r="T177" s="250" t="n"/>
      <c r="U177" s="250" t="n"/>
      <c r="V177" s="250" t="n"/>
      <c r="W177" s="250" t="n"/>
      <c r="X177" s="250" t="n"/>
      <c r="Y177" s="250" t="n"/>
      <c r="Z177" s="250" t="n"/>
    </row>
    <row r="178">
      <c r="A178" s="250" t="n"/>
      <c r="B178" s="250" t="n"/>
      <c r="C178" s="250" t="n"/>
      <c r="D178" s="250" t="n"/>
      <c r="E178" s="250" t="n"/>
      <c r="F178" s="250" t="n"/>
      <c r="G178" s="250" t="n"/>
      <c r="H178" s="250" t="n"/>
      <c r="I178" s="250" t="n"/>
      <c r="J178" s="250" t="n"/>
      <c r="K178" s="250" t="n"/>
      <c r="L178" s="250" t="n"/>
      <c r="M178" s="250" t="n"/>
      <c r="N178" s="250" t="n"/>
      <c r="O178" s="250" t="n"/>
      <c r="P178" s="250" t="n"/>
      <c r="Q178" s="250" t="n"/>
      <c r="R178" s="250" t="n"/>
      <c r="S178" s="250" t="n"/>
      <c r="T178" s="250" t="n"/>
      <c r="U178" s="250" t="n"/>
      <c r="V178" s="250" t="n"/>
      <c r="W178" s="250" t="n"/>
      <c r="X178" s="250" t="n"/>
      <c r="Y178" s="250" t="n"/>
      <c r="Z178" s="250" t="n"/>
    </row>
    <row r="179">
      <c r="A179" s="250" t="n"/>
      <c r="B179" s="250" t="n"/>
      <c r="C179" s="250" t="n"/>
      <c r="D179" s="250" t="n"/>
      <c r="E179" s="250" t="n"/>
      <c r="F179" s="250" t="n"/>
      <c r="G179" s="250" t="n"/>
      <c r="H179" s="250" t="n"/>
      <c r="I179" s="250" t="n"/>
      <c r="J179" s="250" t="n"/>
      <c r="K179" s="250" t="n"/>
      <c r="L179" s="250" t="n"/>
      <c r="M179" s="250" t="n"/>
      <c r="N179" s="250" t="n"/>
      <c r="O179" s="250" t="n"/>
      <c r="P179" s="250" t="n"/>
      <c r="Q179" s="250" t="n"/>
      <c r="R179" s="250" t="n"/>
      <c r="S179" s="250" t="n"/>
      <c r="T179" s="250" t="n"/>
      <c r="U179" s="250" t="n"/>
      <c r="V179" s="250" t="n"/>
      <c r="W179" s="250" t="n"/>
      <c r="X179" s="250" t="n"/>
      <c r="Y179" s="250" t="n"/>
      <c r="Z179" s="250" t="n"/>
    </row>
    <row r="180">
      <c r="A180" s="250" t="n"/>
      <c r="B180" s="250" t="n"/>
      <c r="C180" s="250" t="n"/>
      <c r="D180" s="250" t="n"/>
      <c r="E180" s="250" t="n"/>
      <c r="F180" s="250" t="n"/>
      <c r="G180" s="250" t="n"/>
      <c r="H180" s="250" t="n"/>
      <c r="I180" s="250" t="n"/>
      <c r="J180" s="250" t="n"/>
      <c r="K180" s="250" t="n"/>
      <c r="L180" s="250" t="n"/>
      <c r="M180" s="250" t="n"/>
      <c r="N180" s="250" t="n"/>
      <c r="O180" s="250" t="n"/>
      <c r="P180" s="250" t="n"/>
      <c r="Q180" s="250" t="n"/>
      <c r="R180" s="250" t="n"/>
      <c r="S180" s="250" t="n"/>
      <c r="T180" s="250" t="n"/>
      <c r="U180" s="250" t="n"/>
      <c r="V180" s="250" t="n"/>
      <c r="W180" s="250" t="n"/>
      <c r="X180" s="250" t="n"/>
      <c r="Y180" s="250" t="n"/>
      <c r="Z180" s="250" t="n"/>
    </row>
    <row r="181">
      <c r="A181" s="250" t="n"/>
      <c r="B181" s="250" t="n"/>
      <c r="C181" s="250" t="n"/>
      <c r="D181" s="250" t="n"/>
      <c r="E181" s="250" t="n"/>
      <c r="F181" s="250" t="n"/>
      <c r="G181" s="250" t="n"/>
      <c r="H181" s="250" t="n"/>
      <c r="I181" s="250" t="n"/>
      <c r="J181" s="250" t="n"/>
      <c r="K181" s="250" t="n"/>
      <c r="L181" s="250" t="n"/>
      <c r="M181" s="250" t="n"/>
      <c r="N181" s="250" t="n"/>
      <c r="O181" s="250" t="n"/>
      <c r="P181" s="250" t="n"/>
      <c r="Q181" s="250" t="n"/>
      <c r="R181" s="250" t="n"/>
      <c r="S181" s="250" t="n"/>
      <c r="T181" s="250" t="n"/>
      <c r="U181" s="250" t="n"/>
      <c r="V181" s="250" t="n"/>
      <c r="W181" s="250" t="n"/>
      <c r="X181" s="250" t="n"/>
      <c r="Y181" s="250" t="n"/>
      <c r="Z181" s="250" t="n"/>
    </row>
    <row r="182">
      <c r="A182" s="250" t="n"/>
      <c r="B182" s="250" t="n"/>
      <c r="C182" s="250" t="n"/>
      <c r="D182" s="250" t="n"/>
      <c r="E182" s="250" t="n"/>
      <c r="F182" s="250" t="n"/>
      <c r="G182" s="250" t="n"/>
      <c r="H182" s="250" t="n"/>
      <c r="I182" s="250" t="n"/>
      <c r="J182" s="250" t="n"/>
      <c r="K182" s="250" t="n"/>
      <c r="L182" s="250" t="n"/>
      <c r="M182" s="250" t="n"/>
      <c r="N182" s="250" t="n"/>
      <c r="O182" s="250" t="n"/>
      <c r="P182" s="250" t="n"/>
      <c r="Q182" s="250" t="n"/>
      <c r="R182" s="250" t="n"/>
      <c r="S182" s="250" t="n"/>
      <c r="T182" s="250" t="n"/>
      <c r="U182" s="250" t="n"/>
      <c r="V182" s="250" t="n"/>
      <c r="W182" s="250" t="n"/>
      <c r="X182" s="250" t="n"/>
      <c r="Y182" s="250" t="n"/>
      <c r="Z182" s="250" t="n"/>
    </row>
    <row r="183">
      <c r="A183" s="250" t="n"/>
      <c r="B183" s="250" t="n"/>
      <c r="C183" s="250" t="n"/>
      <c r="D183" s="250" t="n"/>
      <c r="E183" s="250" t="n"/>
      <c r="F183" s="250" t="n"/>
      <c r="G183" s="250" t="n"/>
      <c r="H183" s="250" t="n"/>
      <c r="I183" s="250" t="n"/>
      <c r="J183" s="250" t="n"/>
      <c r="K183" s="250" t="n"/>
      <c r="L183" s="250" t="n"/>
      <c r="M183" s="250" t="n"/>
      <c r="N183" s="250" t="n"/>
      <c r="O183" s="250" t="n"/>
      <c r="P183" s="250" t="n"/>
      <c r="Q183" s="250" t="n"/>
      <c r="R183" s="250" t="n"/>
      <c r="S183" s="250" t="n"/>
      <c r="T183" s="250" t="n"/>
      <c r="U183" s="250" t="n"/>
      <c r="V183" s="250" t="n"/>
      <c r="W183" s="250" t="n"/>
      <c r="X183" s="250" t="n"/>
      <c r="Y183" s="250" t="n"/>
      <c r="Z183" s="250" t="n"/>
    </row>
    <row r="184">
      <c r="A184" s="250" t="n"/>
      <c r="B184" s="250" t="n"/>
      <c r="C184" s="250" t="n"/>
      <c r="D184" s="250" t="n"/>
      <c r="E184" s="250" t="n"/>
      <c r="F184" s="250" t="n"/>
      <c r="G184" s="250" t="n"/>
      <c r="H184" s="250" t="n"/>
      <c r="I184" s="250" t="n"/>
      <c r="J184" s="250" t="n"/>
      <c r="K184" s="250" t="n"/>
      <c r="L184" s="250" t="n"/>
      <c r="M184" s="250" t="n"/>
      <c r="N184" s="250" t="n"/>
      <c r="O184" s="250" t="n"/>
      <c r="P184" s="250" t="n"/>
      <c r="Q184" s="250" t="n"/>
      <c r="R184" s="250" t="n"/>
      <c r="S184" s="250" t="n"/>
      <c r="T184" s="250" t="n"/>
      <c r="U184" s="250" t="n"/>
      <c r="V184" s="250" t="n"/>
      <c r="W184" s="250" t="n"/>
      <c r="X184" s="250" t="n"/>
      <c r="Y184" s="250" t="n"/>
      <c r="Z184" s="250" t="n"/>
    </row>
    <row r="185">
      <c r="A185" s="250" t="n"/>
      <c r="B185" s="250" t="n"/>
      <c r="C185" s="250" t="n"/>
      <c r="D185" s="250" t="n"/>
      <c r="E185" s="250" t="n"/>
      <c r="F185" s="250" t="n"/>
      <c r="G185" s="250" t="n"/>
      <c r="H185" s="250" t="n"/>
      <c r="I185" s="250" t="n"/>
      <c r="J185" s="250" t="n"/>
      <c r="K185" s="250" t="n"/>
      <c r="L185" s="250" t="n"/>
      <c r="M185" s="250" t="n"/>
      <c r="N185" s="250" t="n"/>
      <c r="O185" s="250" t="n"/>
      <c r="P185" s="250" t="n"/>
      <c r="Q185" s="250" t="n"/>
      <c r="R185" s="250" t="n"/>
      <c r="S185" s="250" t="n"/>
      <c r="T185" s="250" t="n"/>
      <c r="U185" s="250" t="n"/>
      <c r="V185" s="250" t="n"/>
      <c r="W185" s="250" t="n"/>
      <c r="X185" s="250" t="n"/>
      <c r="Y185" s="250" t="n"/>
      <c r="Z185" s="250" t="n"/>
    </row>
    <row r="186">
      <c r="A186" s="250" t="n"/>
      <c r="B186" s="250" t="n"/>
      <c r="C186" s="250" t="n"/>
      <c r="D186" s="250" t="n"/>
      <c r="E186" s="250" t="n"/>
      <c r="F186" s="250" t="n"/>
      <c r="G186" s="250" t="n"/>
      <c r="H186" s="250" t="n"/>
      <c r="I186" s="250" t="n"/>
      <c r="J186" s="250" t="n"/>
      <c r="K186" s="250" t="n"/>
      <c r="L186" s="250" t="n"/>
      <c r="M186" s="250" t="n"/>
      <c r="N186" s="250" t="n"/>
      <c r="O186" s="250" t="n"/>
      <c r="P186" s="250" t="n"/>
      <c r="Q186" s="250" t="n"/>
      <c r="R186" s="250" t="n"/>
      <c r="S186" s="250" t="n"/>
      <c r="T186" s="250" t="n"/>
      <c r="U186" s="250" t="n"/>
      <c r="V186" s="250" t="n"/>
      <c r="W186" s="250" t="n"/>
      <c r="X186" s="250" t="n"/>
      <c r="Y186" s="250" t="n"/>
      <c r="Z186" s="250" t="n"/>
    </row>
    <row r="187">
      <c r="A187" s="250" t="n"/>
      <c r="B187" s="250" t="n"/>
      <c r="C187" s="250" t="n"/>
      <c r="D187" s="250" t="n"/>
      <c r="E187" s="250" t="n"/>
      <c r="F187" s="250" t="n"/>
      <c r="G187" s="250" t="n"/>
      <c r="H187" s="250" t="n"/>
      <c r="I187" s="250" t="n"/>
      <c r="J187" s="250" t="n"/>
      <c r="K187" s="250" t="n"/>
      <c r="L187" s="250" t="n"/>
      <c r="M187" s="250" t="n"/>
      <c r="N187" s="250" t="n"/>
      <c r="O187" s="250" t="n"/>
      <c r="P187" s="250" t="n"/>
      <c r="Q187" s="250" t="n"/>
      <c r="R187" s="250" t="n"/>
      <c r="S187" s="250" t="n"/>
      <c r="T187" s="250" t="n"/>
      <c r="U187" s="250" t="n"/>
      <c r="V187" s="250" t="n"/>
      <c r="W187" s="250" t="n"/>
      <c r="X187" s="250" t="n"/>
      <c r="Y187" s="250" t="n"/>
      <c r="Z187" s="250" t="n"/>
    </row>
    <row r="188">
      <c r="A188" s="250" t="n"/>
      <c r="B188" s="250" t="n"/>
      <c r="C188" s="250" t="n"/>
      <c r="D188" s="250" t="n"/>
      <c r="E188" s="250" t="n"/>
      <c r="F188" s="250" t="n"/>
      <c r="G188" s="250" t="n"/>
      <c r="H188" s="250" t="n"/>
      <c r="I188" s="250" t="n"/>
      <c r="J188" s="250" t="n"/>
      <c r="K188" s="250" t="n"/>
      <c r="L188" s="250" t="n"/>
      <c r="M188" s="250" t="n"/>
      <c r="N188" s="250" t="n"/>
      <c r="O188" s="250" t="n"/>
      <c r="P188" s="250" t="n"/>
      <c r="Q188" s="250" t="n"/>
      <c r="R188" s="250" t="n"/>
      <c r="S188" s="250" t="n"/>
      <c r="T188" s="250" t="n"/>
      <c r="U188" s="250" t="n"/>
      <c r="V188" s="250" t="n"/>
      <c r="W188" s="250" t="n"/>
      <c r="X188" s="250" t="n"/>
      <c r="Y188" s="250" t="n"/>
      <c r="Z188" s="250" t="n"/>
    </row>
    <row r="189">
      <c r="A189" s="250" t="n"/>
      <c r="B189" s="250" t="n"/>
      <c r="C189" s="250" t="n"/>
      <c r="D189" s="250" t="n"/>
      <c r="E189" s="250" t="n"/>
      <c r="F189" s="250" t="n"/>
      <c r="G189" s="250" t="n"/>
      <c r="H189" s="250" t="n"/>
      <c r="I189" s="250" t="n"/>
      <c r="J189" s="250" t="n"/>
      <c r="K189" s="250" t="n"/>
      <c r="L189" s="250" t="n"/>
      <c r="M189" s="250" t="n"/>
      <c r="N189" s="250" t="n"/>
      <c r="O189" s="250" t="n"/>
      <c r="P189" s="250" t="n"/>
      <c r="Q189" s="250" t="n"/>
      <c r="R189" s="250" t="n"/>
      <c r="S189" s="250" t="n"/>
      <c r="T189" s="250" t="n"/>
      <c r="U189" s="250" t="n"/>
      <c r="V189" s="250" t="n"/>
      <c r="W189" s="250" t="n"/>
      <c r="X189" s="250" t="n"/>
      <c r="Y189" s="250" t="n"/>
      <c r="Z189" s="250" t="n"/>
    </row>
    <row r="190">
      <c r="A190" s="250" t="n"/>
      <c r="B190" s="250" t="n"/>
      <c r="C190" s="250" t="n"/>
      <c r="D190" s="250" t="n"/>
      <c r="E190" s="250" t="n"/>
      <c r="F190" s="250" t="n"/>
      <c r="G190" s="250" t="n"/>
      <c r="H190" s="250" t="n"/>
      <c r="I190" s="250" t="n"/>
      <c r="J190" s="250" t="n"/>
      <c r="K190" s="250" t="n"/>
      <c r="L190" s="250" t="n"/>
      <c r="M190" s="250" t="n"/>
      <c r="N190" s="250" t="n"/>
      <c r="O190" s="250" t="n"/>
      <c r="P190" s="250" t="n"/>
      <c r="Q190" s="250" t="n"/>
      <c r="R190" s="250" t="n"/>
      <c r="S190" s="250" t="n"/>
      <c r="T190" s="250" t="n"/>
      <c r="U190" s="250" t="n"/>
      <c r="V190" s="250" t="n"/>
      <c r="W190" s="250" t="n"/>
      <c r="X190" s="250" t="n"/>
      <c r="Y190" s="250" t="n"/>
      <c r="Z190" s="250" t="n"/>
    </row>
    <row r="191">
      <c r="A191" s="250" t="n"/>
      <c r="B191" s="250" t="n"/>
      <c r="C191" s="250" t="n"/>
      <c r="D191" s="250" t="n"/>
      <c r="E191" s="250" t="n"/>
      <c r="F191" s="250" t="n"/>
      <c r="G191" s="250" t="n"/>
      <c r="H191" s="250" t="n"/>
      <c r="I191" s="250" t="n"/>
      <c r="J191" s="250" t="n"/>
      <c r="K191" s="250" t="n"/>
      <c r="L191" s="250" t="n"/>
      <c r="M191" s="250" t="n"/>
      <c r="N191" s="250" t="n"/>
      <c r="O191" s="250" t="n"/>
      <c r="P191" s="250" t="n"/>
      <c r="Q191" s="250" t="n"/>
      <c r="R191" s="250" t="n"/>
      <c r="S191" s="250" t="n"/>
      <c r="T191" s="250" t="n"/>
      <c r="U191" s="250" t="n"/>
      <c r="V191" s="250" t="n"/>
      <c r="W191" s="250" t="n"/>
      <c r="X191" s="250" t="n"/>
      <c r="Y191" s="250" t="n"/>
      <c r="Z191" s="250" t="n"/>
    </row>
    <row r="192">
      <c r="A192" s="250" t="n"/>
      <c r="B192" s="250" t="n"/>
      <c r="C192" s="250" t="n"/>
      <c r="D192" s="250" t="n"/>
      <c r="E192" s="250" t="n"/>
      <c r="F192" s="250" t="n"/>
      <c r="G192" s="250" t="n"/>
      <c r="H192" s="250" t="n"/>
      <c r="I192" s="250" t="n"/>
      <c r="J192" s="250" t="n"/>
      <c r="K192" s="250" t="n"/>
      <c r="L192" s="250" t="n"/>
      <c r="M192" s="250" t="n"/>
      <c r="N192" s="250" t="n"/>
      <c r="O192" s="250" t="n"/>
      <c r="P192" s="250" t="n"/>
      <c r="Q192" s="250" t="n"/>
      <c r="R192" s="250" t="n"/>
      <c r="S192" s="250" t="n"/>
      <c r="T192" s="250" t="n"/>
      <c r="U192" s="250" t="n"/>
      <c r="V192" s="250" t="n"/>
      <c r="W192" s="250" t="n"/>
      <c r="X192" s="250" t="n"/>
      <c r="Y192" s="250" t="n"/>
      <c r="Z192" s="250" t="n"/>
    </row>
    <row r="193">
      <c r="A193" s="250" t="n"/>
      <c r="B193" s="250" t="n"/>
      <c r="C193" s="250" t="n"/>
      <c r="D193" s="250" t="n"/>
      <c r="E193" s="250" t="n"/>
      <c r="F193" s="250" t="n"/>
      <c r="G193" s="250" t="n"/>
      <c r="H193" s="250" t="n"/>
      <c r="I193" s="250" t="n"/>
      <c r="J193" s="250" t="n"/>
      <c r="K193" s="250" t="n"/>
      <c r="L193" s="250" t="n"/>
      <c r="M193" s="250" t="n"/>
      <c r="N193" s="250" t="n"/>
      <c r="O193" s="250" t="n"/>
      <c r="P193" s="250" t="n"/>
      <c r="Q193" s="250" t="n"/>
      <c r="R193" s="250" t="n"/>
      <c r="S193" s="250" t="n"/>
      <c r="T193" s="250" t="n"/>
      <c r="U193" s="250" t="n"/>
      <c r="V193" s="250" t="n"/>
      <c r="W193" s="250" t="n"/>
      <c r="X193" s="250" t="n"/>
      <c r="Y193" s="250" t="n"/>
      <c r="Z193" s="250" t="n"/>
    </row>
    <row r="194">
      <c r="A194" s="250" t="n"/>
      <c r="B194" s="250" t="n"/>
      <c r="C194" s="250" t="n"/>
      <c r="D194" s="250" t="n"/>
      <c r="E194" s="250" t="n"/>
      <c r="F194" s="250" t="n"/>
      <c r="G194" s="250" t="n"/>
      <c r="H194" s="250" t="n"/>
      <c r="I194" s="250" t="n"/>
      <c r="J194" s="250" t="n"/>
      <c r="K194" s="250" t="n"/>
      <c r="L194" s="250" t="n"/>
      <c r="M194" s="250" t="n"/>
      <c r="N194" s="250" t="n"/>
      <c r="O194" s="250" t="n"/>
      <c r="P194" s="250" t="n"/>
      <c r="Q194" s="250" t="n"/>
      <c r="R194" s="250" t="n"/>
      <c r="S194" s="250" t="n"/>
      <c r="T194" s="250" t="n"/>
      <c r="U194" s="250" t="n"/>
      <c r="V194" s="250" t="n"/>
      <c r="W194" s="250" t="n"/>
      <c r="X194" s="250" t="n"/>
      <c r="Y194" s="250" t="n"/>
      <c r="Z194" s="250" t="n"/>
    </row>
    <row r="195">
      <c r="A195" s="250" t="n"/>
      <c r="B195" s="250" t="n"/>
      <c r="C195" s="250" t="n"/>
      <c r="D195" s="250" t="n"/>
      <c r="E195" s="250" t="n"/>
      <c r="F195" s="250" t="n"/>
      <c r="G195" s="250" t="n"/>
      <c r="H195" s="250" t="n"/>
      <c r="I195" s="250" t="n"/>
      <c r="J195" s="250" t="n"/>
      <c r="K195" s="250" t="n"/>
      <c r="L195" s="250" t="n"/>
      <c r="M195" s="250" t="n"/>
      <c r="N195" s="250" t="n"/>
      <c r="O195" s="250" t="n"/>
      <c r="P195" s="250" t="n"/>
      <c r="Q195" s="250" t="n"/>
      <c r="R195" s="250" t="n"/>
      <c r="S195" s="250" t="n"/>
      <c r="T195" s="250" t="n"/>
      <c r="U195" s="250" t="n"/>
      <c r="V195" s="250" t="n"/>
      <c r="W195" s="250" t="n"/>
      <c r="X195" s="250" t="n"/>
      <c r="Y195" s="250" t="n"/>
      <c r="Z195" s="250" t="n"/>
    </row>
    <row r="196">
      <c r="A196" s="250" t="n"/>
      <c r="B196" s="250" t="n"/>
      <c r="C196" s="250" t="n"/>
      <c r="D196" s="250" t="n"/>
      <c r="E196" s="250" t="n"/>
      <c r="F196" s="250" t="n"/>
      <c r="G196" s="250" t="n"/>
      <c r="H196" s="250" t="n"/>
      <c r="I196" s="250" t="n"/>
      <c r="J196" s="250" t="n"/>
      <c r="K196" s="250" t="n"/>
      <c r="L196" s="250" t="n"/>
      <c r="M196" s="250" t="n"/>
      <c r="N196" s="250" t="n"/>
      <c r="O196" s="250" t="n"/>
      <c r="P196" s="250" t="n"/>
      <c r="Q196" s="250" t="n"/>
      <c r="R196" s="250" t="n"/>
      <c r="S196" s="250" t="n"/>
      <c r="T196" s="250" t="n"/>
      <c r="U196" s="250" t="n"/>
      <c r="V196" s="250" t="n"/>
      <c r="W196" s="250" t="n"/>
      <c r="X196" s="250" t="n"/>
      <c r="Y196" s="250" t="n"/>
      <c r="Z196" s="250" t="n"/>
    </row>
    <row r="197">
      <c r="A197" s="250" t="n"/>
      <c r="B197" s="250" t="n"/>
      <c r="C197" s="250" t="n"/>
      <c r="D197" s="250" t="n"/>
      <c r="E197" s="250" t="n"/>
      <c r="F197" s="250" t="n"/>
      <c r="G197" s="250" t="n"/>
      <c r="H197" s="250" t="n"/>
      <c r="I197" s="250" t="n"/>
      <c r="J197" s="250" t="n"/>
      <c r="K197" s="250" t="n"/>
      <c r="L197" s="250" t="n"/>
      <c r="M197" s="250" t="n"/>
      <c r="N197" s="250" t="n"/>
      <c r="O197" s="250" t="n"/>
      <c r="P197" s="250" t="n"/>
      <c r="Q197" s="250" t="n"/>
      <c r="R197" s="250" t="n"/>
      <c r="S197" s="250" t="n"/>
      <c r="T197" s="250" t="n"/>
      <c r="U197" s="250" t="n"/>
      <c r="V197" s="250" t="n"/>
      <c r="W197" s="250" t="n"/>
      <c r="X197" s="250" t="n"/>
      <c r="Y197" s="250" t="n"/>
      <c r="Z197" s="250" t="n"/>
    </row>
    <row r="198">
      <c r="A198" s="250" t="n"/>
      <c r="B198" s="250" t="n"/>
      <c r="C198" s="250" t="n"/>
      <c r="D198" s="250" t="n"/>
      <c r="E198" s="250" t="n"/>
      <c r="F198" s="250" t="n"/>
      <c r="G198" s="250" t="n"/>
      <c r="H198" s="250" t="n"/>
      <c r="I198" s="250" t="n"/>
      <c r="J198" s="250" t="n"/>
      <c r="K198" s="250" t="n"/>
      <c r="L198" s="250" t="n"/>
      <c r="M198" s="250" t="n"/>
      <c r="N198" s="250" t="n"/>
      <c r="O198" s="250" t="n"/>
      <c r="P198" s="250" t="n"/>
      <c r="Q198" s="250" t="n"/>
      <c r="R198" s="250" t="n"/>
      <c r="S198" s="250" t="n"/>
      <c r="T198" s="250" t="n"/>
      <c r="U198" s="250" t="n"/>
      <c r="V198" s="250" t="n"/>
      <c r="W198" s="250" t="n"/>
      <c r="X198" s="250" t="n"/>
      <c r="Y198" s="250" t="n"/>
      <c r="Z198" s="250" t="n"/>
    </row>
    <row r="199">
      <c r="A199" s="250" t="n"/>
      <c r="B199" s="250" t="n"/>
      <c r="C199" s="250" t="n"/>
      <c r="D199" s="250" t="n"/>
      <c r="E199" s="250" t="n"/>
      <c r="F199" s="250" t="n"/>
      <c r="G199" s="250" t="n"/>
      <c r="H199" s="250" t="n"/>
      <c r="I199" s="250" t="n"/>
      <c r="J199" s="250" t="n"/>
      <c r="K199" s="250" t="n"/>
      <c r="L199" s="250" t="n"/>
      <c r="M199" s="250" t="n"/>
      <c r="N199" s="250" t="n"/>
      <c r="O199" s="250" t="n"/>
      <c r="P199" s="250" t="n"/>
      <c r="Q199" s="250" t="n"/>
      <c r="R199" s="250" t="n"/>
      <c r="S199" s="250" t="n"/>
      <c r="T199" s="250" t="n"/>
      <c r="U199" s="250" t="n"/>
      <c r="V199" s="250" t="n"/>
      <c r="W199" s="250" t="n"/>
      <c r="X199" s="250" t="n"/>
      <c r="Y199" s="250" t="n"/>
      <c r="Z199" s="250" t="n"/>
    </row>
    <row r="200">
      <c r="A200" s="250" t="n"/>
      <c r="B200" s="250" t="n"/>
      <c r="C200" s="250" t="n"/>
      <c r="D200" s="250" t="n"/>
      <c r="E200" s="250" t="n"/>
      <c r="F200" s="250" t="n"/>
      <c r="G200" s="250" t="n"/>
      <c r="H200" s="250" t="n"/>
      <c r="I200" s="250" t="n"/>
      <c r="J200" s="250" t="n"/>
      <c r="K200" s="250" t="n"/>
      <c r="L200" s="250" t="n"/>
      <c r="M200" s="250" t="n"/>
      <c r="N200" s="250" t="n"/>
      <c r="O200" s="250" t="n"/>
      <c r="P200" s="250" t="n"/>
      <c r="Q200" s="250" t="n"/>
      <c r="R200" s="250" t="n"/>
      <c r="S200" s="250" t="n"/>
      <c r="T200" s="250" t="n"/>
      <c r="U200" s="250" t="n"/>
      <c r="V200" s="250" t="n"/>
      <c r="W200" s="250" t="n"/>
      <c r="X200" s="250" t="n"/>
      <c r="Y200" s="250" t="n"/>
      <c r="Z200" s="250" t="n"/>
    </row>
    <row r="201">
      <c r="A201" s="250" t="n"/>
      <c r="B201" s="250" t="n"/>
      <c r="C201" s="250" t="n"/>
      <c r="D201" s="250" t="n"/>
      <c r="E201" s="250" t="n"/>
      <c r="F201" s="250" t="n"/>
      <c r="G201" s="250" t="n"/>
      <c r="H201" s="250" t="n"/>
      <c r="I201" s="250" t="n"/>
      <c r="J201" s="250" t="n"/>
      <c r="K201" s="250" t="n"/>
      <c r="L201" s="250" t="n"/>
      <c r="M201" s="250" t="n"/>
      <c r="N201" s="250" t="n"/>
      <c r="O201" s="250" t="n"/>
      <c r="P201" s="250" t="n"/>
      <c r="Q201" s="250" t="n"/>
      <c r="R201" s="250" t="n"/>
      <c r="S201" s="250" t="n"/>
      <c r="T201" s="250" t="n"/>
      <c r="U201" s="250" t="n"/>
      <c r="V201" s="250" t="n"/>
      <c r="W201" s="250" t="n"/>
      <c r="X201" s="250" t="n"/>
      <c r="Y201" s="250" t="n"/>
      <c r="Z201" s="250" t="n"/>
    </row>
    <row r="202">
      <c r="A202" s="250" t="n"/>
      <c r="B202" s="250" t="n"/>
      <c r="C202" s="250" t="n"/>
      <c r="D202" s="250" t="n"/>
      <c r="E202" s="250" t="n"/>
      <c r="F202" s="250" t="n"/>
      <c r="G202" s="250" t="n"/>
      <c r="H202" s="250" t="n"/>
      <c r="I202" s="250" t="n"/>
      <c r="J202" s="250" t="n"/>
      <c r="K202" s="250" t="n"/>
      <c r="L202" s="250" t="n"/>
      <c r="M202" s="250" t="n"/>
      <c r="N202" s="250" t="n"/>
      <c r="O202" s="250" t="n"/>
      <c r="P202" s="250" t="n"/>
      <c r="Q202" s="250" t="n"/>
      <c r="R202" s="250" t="n"/>
      <c r="S202" s="250" t="n"/>
      <c r="T202" s="250" t="n"/>
      <c r="U202" s="250" t="n"/>
      <c r="V202" s="250" t="n"/>
      <c r="W202" s="250" t="n"/>
      <c r="X202" s="250" t="n"/>
      <c r="Y202" s="250" t="n"/>
      <c r="Z202" s="250" t="n"/>
    </row>
    <row r="203">
      <c r="A203" s="250" t="n"/>
      <c r="B203" s="250" t="n"/>
      <c r="C203" s="250" t="n"/>
      <c r="D203" s="250" t="n"/>
      <c r="E203" s="250" t="n"/>
      <c r="F203" s="250" t="n"/>
      <c r="G203" s="250" t="n"/>
      <c r="H203" s="250" t="n"/>
      <c r="I203" s="250" t="n"/>
      <c r="J203" s="250" t="n"/>
      <c r="K203" s="250" t="n"/>
      <c r="L203" s="250" t="n"/>
      <c r="M203" s="250" t="n"/>
      <c r="N203" s="250" t="n"/>
      <c r="O203" s="250" t="n"/>
      <c r="P203" s="250" t="n"/>
      <c r="Q203" s="250" t="n"/>
      <c r="R203" s="250" t="n"/>
      <c r="S203" s="250" t="n"/>
      <c r="T203" s="250" t="n"/>
      <c r="U203" s="250" t="n"/>
      <c r="V203" s="250" t="n"/>
      <c r="W203" s="250" t="n"/>
      <c r="X203" s="250" t="n"/>
      <c r="Y203" s="250" t="n"/>
      <c r="Z203" s="250" t="n"/>
    </row>
    <row r="204">
      <c r="A204" s="250" t="n"/>
      <c r="B204" s="250" t="n"/>
      <c r="C204" s="250" t="n"/>
      <c r="D204" s="250" t="n"/>
      <c r="E204" s="250" t="n"/>
      <c r="F204" s="250" t="n"/>
      <c r="G204" s="250" t="n"/>
      <c r="H204" s="250" t="n"/>
      <c r="I204" s="250" t="n"/>
      <c r="J204" s="250" t="n"/>
      <c r="K204" s="250" t="n"/>
      <c r="L204" s="250" t="n"/>
      <c r="M204" s="250" t="n"/>
      <c r="N204" s="250" t="n"/>
      <c r="O204" s="250" t="n"/>
      <c r="P204" s="250" t="n"/>
      <c r="Q204" s="250" t="n"/>
      <c r="R204" s="250" t="n"/>
      <c r="S204" s="250" t="n"/>
      <c r="T204" s="250" t="n"/>
      <c r="U204" s="250" t="n"/>
      <c r="V204" s="250" t="n"/>
      <c r="W204" s="250" t="n"/>
      <c r="X204" s="250" t="n"/>
      <c r="Y204" s="250" t="n"/>
      <c r="Z204" s="250" t="n"/>
    </row>
    <row r="205">
      <c r="A205" s="250" t="n"/>
      <c r="B205" s="250" t="n"/>
      <c r="C205" s="250" t="n"/>
      <c r="D205" s="250" t="n"/>
      <c r="E205" s="250" t="n"/>
      <c r="F205" s="250" t="n"/>
      <c r="G205" s="250" t="n"/>
      <c r="H205" s="250" t="n"/>
      <c r="I205" s="250" t="n"/>
      <c r="J205" s="250" t="n"/>
      <c r="K205" s="250" t="n"/>
      <c r="L205" s="250" t="n"/>
      <c r="M205" s="250" t="n"/>
      <c r="N205" s="250" t="n"/>
      <c r="O205" s="250" t="n"/>
      <c r="P205" s="250" t="n"/>
      <c r="Q205" s="250" t="n"/>
      <c r="R205" s="250" t="n"/>
      <c r="S205" s="250" t="n"/>
      <c r="T205" s="250" t="n"/>
      <c r="U205" s="250" t="n"/>
      <c r="V205" s="250" t="n"/>
      <c r="W205" s="250" t="n"/>
      <c r="X205" s="250" t="n"/>
      <c r="Y205" s="250" t="n"/>
      <c r="Z205" s="250" t="n"/>
    </row>
    <row r="206">
      <c r="A206" s="250" t="n"/>
      <c r="B206" s="250" t="n"/>
      <c r="C206" s="250" t="n"/>
      <c r="D206" s="250" t="n"/>
      <c r="E206" s="250" t="n"/>
      <c r="F206" s="250" t="n"/>
      <c r="G206" s="250" t="n"/>
      <c r="H206" s="250" t="n"/>
      <c r="I206" s="250" t="n"/>
      <c r="J206" s="250" t="n"/>
      <c r="K206" s="250" t="n"/>
      <c r="L206" s="250" t="n"/>
      <c r="M206" s="250" t="n"/>
      <c r="N206" s="250" t="n"/>
      <c r="O206" s="250" t="n"/>
      <c r="P206" s="250" t="n"/>
      <c r="Q206" s="250" t="n"/>
      <c r="R206" s="250" t="n"/>
      <c r="S206" s="250" t="n"/>
      <c r="T206" s="250" t="n"/>
      <c r="U206" s="250" t="n"/>
      <c r="V206" s="250" t="n"/>
      <c r="W206" s="250" t="n"/>
      <c r="X206" s="250" t="n"/>
      <c r="Y206" s="250" t="n"/>
      <c r="Z206" s="250" t="n"/>
    </row>
    <row r="207">
      <c r="A207" s="250" t="n"/>
      <c r="B207" s="250" t="n"/>
      <c r="C207" s="250" t="n"/>
      <c r="D207" s="250" t="n"/>
      <c r="E207" s="250" t="n"/>
      <c r="F207" s="250" t="n"/>
      <c r="G207" s="250" t="n"/>
      <c r="H207" s="250" t="n"/>
      <c r="I207" s="250" t="n"/>
      <c r="J207" s="250" t="n"/>
      <c r="K207" s="250" t="n"/>
      <c r="L207" s="250" t="n"/>
      <c r="M207" s="250" t="n"/>
      <c r="N207" s="250" t="n"/>
      <c r="O207" s="250" t="n"/>
      <c r="P207" s="250" t="n"/>
      <c r="Q207" s="250" t="n"/>
      <c r="R207" s="250" t="n"/>
      <c r="S207" s="250" t="n"/>
      <c r="T207" s="250" t="n"/>
      <c r="U207" s="250" t="n"/>
      <c r="V207" s="250" t="n"/>
      <c r="W207" s="250" t="n"/>
      <c r="X207" s="250" t="n"/>
      <c r="Y207" s="250" t="n"/>
      <c r="Z207" s="250" t="n"/>
    </row>
    <row r="208">
      <c r="A208" s="250" t="n"/>
      <c r="B208" s="250" t="n"/>
      <c r="C208" s="250" t="n"/>
      <c r="D208" s="250" t="n"/>
      <c r="E208" s="250" t="n"/>
      <c r="F208" s="250" t="n"/>
      <c r="G208" s="250" t="n"/>
      <c r="H208" s="250" t="n"/>
      <c r="I208" s="250" t="n"/>
      <c r="J208" s="250" t="n"/>
      <c r="K208" s="250" t="n"/>
      <c r="L208" s="250" t="n"/>
      <c r="M208" s="250" t="n"/>
      <c r="N208" s="250" t="n"/>
      <c r="O208" s="250" t="n"/>
      <c r="P208" s="250" t="n"/>
      <c r="Q208" s="250" t="n"/>
      <c r="R208" s="250" t="n"/>
      <c r="S208" s="250" t="n"/>
      <c r="T208" s="250" t="n"/>
      <c r="U208" s="250" t="n"/>
      <c r="V208" s="250" t="n"/>
      <c r="W208" s="250" t="n"/>
      <c r="X208" s="250" t="n"/>
      <c r="Y208" s="250" t="n"/>
      <c r="Z208" s="250" t="n"/>
    </row>
    <row r="209">
      <c r="A209" s="250" t="n"/>
      <c r="B209" s="250" t="n"/>
      <c r="C209" s="250" t="n"/>
      <c r="D209" s="250" t="n"/>
      <c r="E209" s="250" t="n"/>
      <c r="F209" s="250" t="n"/>
      <c r="G209" s="250" t="n"/>
      <c r="H209" s="250" t="n"/>
      <c r="I209" s="250" t="n"/>
      <c r="J209" s="250" t="n"/>
      <c r="K209" s="250" t="n"/>
      <c r="L209" s="250" t="n"/>
      <c r="M209" s="250" t="n"/>
      <c r="N209" s="250" t="n"/>
      <c r="O209" s="250" t="n"/>
      <c r="P209" s="250" t="n"/>
      <c r="Q209" s="250" t="n"/>
      <c r="R209" s="250" t="n"/>
      <c r="S209" s="250" t="n"/>
      <c r="T209" s="250" t="n"/>
      <c r="U209" s="250" t="n"/>
      <c r="V209" s="250" t="n"/>
      <c r="W209" s="250" t="n"/>
      <c r="X209" s="250" t="n"/>
      <c r="Y209" s="250" t="n"/>
      <c r="Z209" s="250" t="n"/>
    </row>
    <row r="210">
      <c r="A210" s="250" t="n"/>
      <c r="B210" s="250" t="n"/>
      <c r="C210" s="250" t="n"/>
      <c r="D210" s="250" t="n"/>
      <c r="E210" s="250" t="n"/>
      <c r="F210" s="250" t="n"/>
      <c r="G210" s="250" t="n"/>
      <c r="H210" s="250" t="n"/>
      <c r="I210" s="250" t="n"/>
      <c r="J210" s="250" t="n"/>
      <c r="K210" s="250" t="n"/>
      <c r="L210" s="250" t="n"/>
      <c r="M210" s="250" t="n"/>
      <c r="N210" s="250" t="n"/>
      <c r="O210" s="250" t="n"/>
      <c r="P210" s="250" t="n"/>
      <c r="Q210" s="250" t="n"/>
      <c r="R210" s="250" t="n"/>
      <c r="S210" s="250" t="n"/>
      <c r="T210" s="250" t="n"/>
      <c r="U210" s="250" t="n"/>
      <c r="V210" s="250" t="n"/>
      <c r="W210" s="250" t="n"/>
      <c r="X210" s="250" t="n"/>
      <c r="Y210" s="250" t="n"/>
      <c r="Z210" s="250" t="n"/>
    </row>
    <row r="211">
      <c r="A211" s="250" t="n"/>
      <c r="B211" s="250" t="n"/>
      <c r="C211" s="250" t="n"/>
      <c r="D211" s="250" t="n"/>
      <c r="E211" s="250" t="n"/>
      <c r="F211" s="250" t="n"/>
      <c r="G211" s="250" t="n"/>
      <c r="H211" s="250" t="n"/>
      <c r="I211" s="250" t="n"/>
      <c r="J211" s="250" t="n"/>
      <c r="K211" s="250" t="n"/>
      <c r="L211" s="250" t="n"/>
      <c r="M211" s="250" t="n"/>
      <c r="N211" s="250" t="n"/>
      <c r="O211" s="250" t="n"/>
      <c r="P211" s="250" t="n"/>
      <c r="Q211" s="250" t="n"/>
      <c r="R211" s="250" t="n"/>
      <c r="S211" s="250" t="n"/>
      <c r="T211" s="250" t="n"/>
      <c r="U211" s="250" t="n"/>
      <c r="V211" s="250" t="n"/>
      <c r="W211" s="250" t="n"/>
      <c r="X211" s="250" t="n"/>
      <c r="Y211" s="250" t="n"/>
      <c r="Z211" s="250" t="n"/>
    </row>
    <row r="212">
      <c r="A212" s="250" t="n"/>
      <c r="B212" s="250" t="n"/>
      <c r="C212" s="250" t="n"/>
      <c r="D212" s="250" t="n"/>
      <c r="E212" s="250" t="n"/>
      <c r="F212" s="250" t="n"/>
      <c r="G212" s="250" t="n"/>
      <c r="H212" s="250" t="n"/>
      <c r="I212" s="250" t="n"/>
      <c r="J212" s="250" t="n"/>
      <c r="K212" s="250" t="n"/>
      <c r="L212" s="250" t="n"/>
      <c r="M212" s="250" t="n"/>
      <c r="N212" s="250" t="n"/>
      <c r="O212" s="250" t="n"/>
      <c r="P212" s="250" t="n"/>
      <c r="Q212" s="250" t="n"/>
      <c r="R212" s="250" t="n"/>
      <c r="S212" s="250" t="n"/>
      <c r="T212" s="250" t="n"/>
      <c r="U212" s="250" t="n"/>
      <c r="V212" s="250" t="n"/>
      <c r="W212" s="250" t="n"/>
      <c r="X212" s="250" t="n"/>
      <c r="Y212" s="250" t="n"/>
      <c r="Z212" s="250" t="n"/>
    </row>
    <row r="213">
      <c r="A213" s="250" t="n"/>
      <c r="B213" s="250" t="n"/>
      <c r="C213" s="250" t="n"/>
      <c r="D213" s="250" t="n"/>
      <c r="E213" s="250" t="n"/>
      <c r="F213" s="250" t="n"/>
      <c r="G213" s="250" t="n"/>
      <c r="H213" s="250" t="n"/>
      <c r="I213" s="250" t="n"/>
      <c r="J213" s="250" t="n"/>
      <c r="K213" s="250" t="n"/>
      <c r="L213" s="250" t="n"/>
      <c r="M213" s="250" t="n"/>
      <c r="N213" s="250" t="n"/>
      <c r="O213" s="250" t="n"/>
      <c r="P213" s="250" t="n"/>
      <c r="Q213" s="250" t="n"/>
      <c r="R213" s="250" t="n"/>
      <c r="S213" s="250" t="n"/>
      <c r="T213" s="250" t="n"/>
      <c r="U213" s="250" t="n"/>
      <c r="V213" s="250" t="n"/>
      <c r="W213" s="250" t="n"/>
      <c r="X213" s="250" t="n"/>
      <c r="Y213" s="250" t="n"/>
      <c r="Z213" s="250" t="n"/>
    </row>
    <row r="214">
      <c r="A214" s="250" t="n"/>
      <c r="B214" s="250" t="n"/>
      <c r="C214" s="250" t="n"/>
      <c r="D214" s="250" t="n"/>
      <c r="E214" s="250" t="n"/>
      <c r="F214" s="250" t="n"/>
      <c r="G214" s="250" t="n"/>
      <c r="H214" s="250" t="n"/>
      <c r="I214" s="250" t="n"/>
      <c r="J214" s="250" t="n"/>
      <c r="K214" s="250" t="n"/>
      <c r="L214" s="250" t="n"/>
      <c r="M214" s="250" t="n"/>
      <c r="N214" s="250" t="n"/>
      <c r="O214" s="250" t="n"/>
      <c r="P214" s="250" t="n"/>
      <c r="Q214" s="250" t="n"/>
      <c r="R214" s="250" t="n"/>
      <c r="S214" s="250" t="n"/>
      <c r="T214" s="250" t="n"/>
      <c r="U214" s="250" t="n"/>
      <c r="V214" s="250" t="n"/>
      <c r="W214" s="250" t="n"/>
      <c r="X214" s="250" t="n"/>
      <c r="Y214" s="250" t="n"/>
      <c r="Z214" s="250" t="n"/>
    </row>
    <row r="215">
      <c r="A215" s="250" t="n"/>
      <c r="B215" s="250" t="n"/>
      <c r="C215" s="250" t="n"/>
      <c r="D215" s="250" t="n"/>
      <c r="E215" s="250" t="n"/>
      <c r="F215" s="250" t="n"/>
      <c r="G215" s="250" t="n"/>
      <c r="H215" s="250" t="n"/>
      <c r="I215" s="250" t="n"/>
      <c r="J215" s="250" t="n"/>
      <c r="K215" s="250" t="n"/>
      <c r="L215" s="250" t="n"/>
      <c r="M215" s="250" t="n"/>
      <c r="N215" s="250" t="n"/>
      <c r="O215" s="250" t="n"/>
      <c r="P215" s="250" t="n"/>
      <c r="Q215" s="250" t="n"/>
      <c r="R215" s="250" t="n"/>
      <c r="S215" s="250" t="n"/>
      <c r="T215" s="250" t="n"/>
      <c r="U215" s="250" t="n"/>
      <c r="V215" s="250" t="n"/>
      <c r="W215" s="250" t="n"/>
      <c r="X215" s="250" t="n"/>
      <c r="Y215" s="250" t="n"/>
      <c r="Z215" s="250" t="n"/>
    </row>
    <row r="216">
      <c r="A216" s="250" t="n"/>
      <c r="B216" s="250" t="n"/>
      <c r="C216" s="250" t="n"/>
      <c r="D216" s="250" t="n"/>
      <c r="E216" s="250" t="n"/>
      <c r="F216" s="250" t="n"/>
      <c r="G216" s="250" t="n"/>
      <c r="H216" s="250" t="n"/>
      <c r="I216" s="250" t="n"/>
      <c r="J216" s="250" t="n"/>
      <c r="K216" s="250" t="n"/>
      <c r="L216" s="250" t="n"/>
      <c r="M216" s="250" t="n"/>
      <c r="N216" s="250" t="n"/>
      <c r="O216" s="250" t="n"/>
      <c r="P216" s="250" t="n"/>
      <c r="Q216" s="250" t="n"/>
      <c r="R216" s="250" t="n"/>
      <c r="S216" s="250" t="n"/>
      <c r="T216" s="250" t="n"/>
      <c r="U216" s="250" t="n"/>
      <c r="V216" s="250" t="n"/>
      <c r="W216" s="250" t="n"/>
      <c r="X216" s="250" t="n"/>
      <c r="Y216" s="250" t="n"/>
      <c r="Z216" s="250" t="n"/>
    </row>
    <row r="217">
      <c r="A217" s="250" t="n"/>
      <c r="B217" s="250" t="n"/>
      <c r="C217" s="250" t="n"/>
      <c r="D217" s="250" t="n"/>
      <c r="E217" s="250" t="n"/>
      <c r="F217" s="250" t="n"/>
      <c r="G217" s="250" t="n"/>
      <c r="H217" s="250" t="n"/>
      <c r="I217" s="250" t="n"/>
      <c r="J217" s="250" t="n"/>
      <c r="K217" s="250" t="n"/>
      <c r="L217" s="250" t="n"/>
      <c r="M217" s="250" t="n"/>
      <c r="N217" s="250" t="n"/>
      <c r="O217" s="250" t="n"/>
      <c r="P217" s="250" t="n"/>
      <c r="Q217" s="250" t="n"/>
      <c r="R217" s="250" t="n"/>
      <c r="S217" s="250" t="n"/>
      <c r="T217" s="250" t="n"/>
      <c r="U217" s="250" t="n"/>
      <c r="V217" s="250" t="n"/>
      <c r="W217" s="250" t="n"/>
      <c r="X217" s="250" t="n"/>
      <c r="Y217" s="250" t="n"/>
      <c r="Z217" s="250" t="n"/>
    </row>
    <row r="218">
      <c r="A218" s="250" t="n"/>
      <c r="B218" s="250" t="n"/>
      <c r="C218" s="250" t="n"/>
      <c r="D218" s="250" t="n"/>
      <c r="E218" s="250" t="n"/>
      <c r="F218" s="250" t="n"/>
      <c r="G218" s="250" t="n"/>
      <c r="H218" s="250" t="n"/>
      <c r="I218" s="250" t="n"/>
      <c r="J218" s="250" t="n"/>
      <c r="K218" s="250" t="n"/>
      <c r="L218" s="250" t="n"/>
      <c r="M218" s="250" t="n"/>
      <c r="N218" s="250" t="n"/>
      <c r="O218" s="250" t="n"/>
      <c r="P218" s="250" t="n"/>
      <c r="Q218" s="250" t="n"/>
      <c r="R218" s="250" t="n"/>
      <c r="S218" s="250" t="n"/>
      <c r="T218" s="250" t="n"/>
      <c r="U218" s="250" t="n"/>
      <c r="V218" s="250" t="n"/>
      <c r="W218" s="250" t="n"/>
      <c r="X218" s="250" t="n"/>
      <c r="Y218" s="250" t="n"/>
      <c r="Z218" s="250" t="n"/>
    </row>
    <row r="219">
      <c r="A219" s="250" t="n"/>
      <c r="B219" s="250" t="n"/>
      <c r="C219" s="250" t="n"/>
      <c r="D219" s="250" t="n"/>
      <c r="E219" s="250" t="n"/>
      <c r="F219" s="250" t="n"/>
      <c r="G219" s="250" t="n"/>
      <c r="H219" s="250" t="n"/>
      <c r="I219" s="250" t="n"/>
      <c r="J219" s="250" t="n"/>
      <c r="K219" s="250" t="n"/>
      <c r="L219" s="250" t="n"/>
      <c r="M219" s="250" t="n"/>
      <c r="N219" s="250" t="n"/>
      <c r="O219" s="250" t="n"/>
      <c r="P219" s="250" t="n"/>
      <c r="Q219" s="250" t="n"/>
      <c r="R219" s="250" t="n"/>
      <c r="S219" s="250" t="n"/>
      <c r="T219" s="250" t="n"/>
      <c r="U219" s="250" t="n"/>
      <c r="V219" s="250" t="n"/>
      <c r="W219" s="250" t="n"/>
      <c r="X219" s="250" t="n"/>
      <c r="Y219" s="250" t="n"/>
      <c r="Z219" s="250" t="n"/>
    </row>
    <row r="220">
      <c r="A220" s="250" t="n"/>
      <c r="B220" s="250" t="n"/>
      <c r="C220" s="250" t="n"/>
      <c r="D220" s="250" t="n"/>
      <c r="E220" s="250" t="n"/>
      <c r="F220" s="250" t="n"/>
      <c r="G220" s="250" t="n"/>
      <c r="H220" s="250" t="n"/>
      <c r="I220" s="250" t="n"/>
      <c r="J220" s="250" t="n"/>
      <c r="K220" s="250" t="n"/>
      <c r="L220" s="250" t="n"/>
      <c r="M220" s="250" t="n"/>
      <c r="N220" s="250" t="n"/>
      <c r="O220" s="250" t="n"/>
      <c r="P220" s="250" t="n"/>
      <c r="Q220" s="250" t="n"/>
      <c r="R220" s="250" t="n"/>
      <c r="S220" s="250" t="n"/>
      <c r="T220" s="250" t="n"/>
      <c r="U220" s="250" t="n"/>
      <c r="V220" s="250" t="n"/>
      <c r="W220" s="250" t="n"/>
      <c r="X220" s="250" t="n"/>
      <c r="Y220" s="250" t="n"/>
      <c r="Z220" s="250" t="n"/>
    </row>
    <row r="221">
      <c r="A221" s="250" t="n"/>
      <c r="B221" s="250" t="n"/>
      <c r="C221" s="250" t="n"/>
      <c r="D221" s="250" t="n"/>
      <c r="E221" s="250" t="n"/>
      <c r="F221" s="250" t="n"/>
      <c r="G221" s="250" t="n"/>
      <c r="H221" s="250" t="n"/>
      <c r="I221" s="250" t="n"/>
      <c r="J221" s="250" t="n"/>
      <c r="K221" s="250" t="n"/>
      <c r="L221" s="250" t="n"/>
      <c r="M221" s="250" t="n"/>
      <c r="N221" s="250" t="n"/>
      <c r="O221" s="250" t="n"/>
      <c r="P221" s="250" t="n"/>
      <c r="Q221" s="250" t="n"/>
      <c r="R221" s="250" t="n"/>
      <c r="S221" s="250" t="n"/>
      <c r="T221" s="250" t="n"/>
      <c r="U221" s="250" t="n"/>
      <c r="V221" s="250" t="n"/>
      <c r="W221" s="250" t="n"/>
      <c r="X221" s="250" t="n"/>
      <c r="Y221" s="250" t="n"/>
      <c r="Z221" s="250" t="n"/>
    </row>
    <row r="222">
      <c r="A222" s="250" t="n"/>
      <c r="B222" s="250" t="n"/>
      <c r="C222" s="250" t="n"/>
      <c r="D222" s="250" t="n"/>
      <c r="E222" s="250" t="n"/>
      <c r="F222" s="250" t="n"/>
      <c r="G222" s="250" t="n"/>
      <c r="H222" s="250" t="n"/>
      <c r="I222" s="250" t="n"/>
      <c r="J222" s="250" t="n"/>
      <c r="K222" s="250" t="n"/>
      <c r="L222" s="250" t="n"/>
      <c r="M222" s="250" t="n"/>
      <c r="N222" s="250" t="n"/>
      <c r="O222" s="250" t="n"/>
      <c r="P222" s="250" t="n"/>
      <c r="Q222" s="250" t="n"/>
      <c r="R222" s="250" t="n"/>
      <c r="S222" s="250" t="n"/>
      <c r="T222" s="250" t="n"/>
      <c r="U222" s="250" t="n"/>
      <c r="V222" s="250" t="n"/>
      <c r="W222" s="250" t="n"/>
      <c r="X222" s="250" t="n"/>
      <c r="Y222" s="250" t="n"/>
      <c r="Z222" s="250" t="n"/>
    </row>
    <row r="223">
      <c r="A223" s="250" t="n"/>
      <c r="B223" s="250" t="n"/>
      <c r="C223" s="250" t="n"/>
      <c r="D223" s="250" t="n"/>
      <c r="E223" s="250" t="n"/>
      <c r="F223" s="250" t="n"/>
      <c r="G223" s="250" t="n"/>
      <c r="H223" s="250" t="n"/>
      <c r="I223" s="250" t="n"/>
      <c r="J223" s="250" t="n"/>
      <c r="K223" s="250" t="n"/>
      <c r="L223" s="250" t="n"/>
      <c r="M223" s="250" t="n"/>
      <c r="N223" s="250" t="n"/>
      <c r="O223" s="250" t="n"/>
      <c r="P223" s="250" t="n"/>
      <c r="Q223" s="250" t="n"/>
      <c r="R223" s="250" t="n"/>
      <c r="S223" s="250" t="n"/>
      <c r="T223" s="250" t="n"/>
      <c r="U223" s="250" t="n"/>
      <c r="V223" s="250" t="n"/>
      <c r="W223" s="250" t="n"/>
      <c r="X223" s="250" t="n"/>
      <c r="Y223" s="250" t="n"/>
      <c r="Z223" s="250" t="n"/>
    </row>
    <row r="224">
      <c r="A224" s="250" t="n"/>
      <c r="B224" s="250" t="n"/>
      <c r="C224" s="250" t="n"/>
      <c r="D224" s="250" t="n"/>
      <c r="E224" s="250" t="n"/>
      <c r="F224" s="250" t="n"/>
      <c r="G224" s="250" t="n"/>
      <c r="H224" s="250" t="n"/>
      <c r="I224" s="250" t="n"/>
      <c r="J224" s="250" t="n"/>
      <c r="K224" s="250" t="n"/>
      <c r="L224" s="250" t="n"/>
      <c r="M224" s="250" t="n"/>
      <c r="N224" s="250" t="n"/>
      <c r="O224" s="250" t="n"/>
      <c r="P224" s="250" t="n"/>
      <c r="Q224" s="250" t="n"/>
      <c r="R224" s="250" t="n"/>
      <c r="S224" s="250" t="n"/>
      <c r="T224" s="250" t="n"/>
      <c r="U224" s="250" t="n"/>
      <c r="V224" s="250" t="n"/>
      <c r="W224" s="250" t="n"/>
      <c r="X224" s="250" t="n"/>
      <c r="Y224" s="250" t="n"/>
      <c r="Z224" s="250" t="n"/>
    </row>
    <row r="225">
      <c r="A225" s="250" t="n"/>
      <c r="B225" s="250" t="n"/>
      <c r="C225" s="250" t="n"/>
      <c r="D225" s="250" t="n"/>
      <c r="E225" s="250" t="n"/>
      <c r="F225" s="250" t="n"/>
      <c r="G225" s="250" t="n"/>
      <c r="H225" s="250" t="n"/>
      <c r="I225" s="250" t="n"/>
      <c r="J225" s="250" t="n"/>
      <c r="K225" s="250" t="n"/>
      <c r="L225" s="250" t="n"/>
      <c r="M225" s="250" t="n"/>
      <c r="N225" s="250" t="n"/>
      <c r="O225" s="250" t="n"/>
      <c r="P225" s="250" t="n"/>
      <c r="Q225" s="250" t="n"/>
      <c r="R225" s="250" t="n"/>
      <c r="S225" s="250" t="n"/>
      <c r="T225" s="250" t="n"/>
      <c r="U225" s="250" t="n"/>
      <c r="V225" s="250" t="n"/>
      <c r="W225" s="250" t="n"/>
      <c r="X225" s="250" t="n"/>
      <c r="Y225" s="250" t="n"/>
      <c r="Z225" s="250" t="n"/>
    </row>
    <row r="226">
      <c r="A226" s="250" t="n"/>
      <c r="B226" s="250" t="n"/>
      <c r="C226" s="250" t="n"/>
      <c r="D226" s="250" t="n"/>
      <c r="E226" s="250" t="n"/>
      <c r="F226" s="250" t="n"/>
      <c r="G226" s="250" t="n"/>
      <c r="H226" s="250" t="n"/>
      <c r="I226" s="250" t="n"/>
      <c r="J226" s="250" t="n"/>
      <c r="K226" s="250" t="n"/>
      <c r="L226" s="250" t="n"/>
      <c r="M226" s="250" t="n"/>
      <c r="N226" s="250" t="n"/>
      <c r="O226" s="250" t="n"/>
      <c r="P226" s="250" t="n"/>
      <c r="Q226" s="250" t="n"/>
      <c r="R226" s="250" t="n"/>
      <c r="S226" s="250" t="n"/>
      <c r="T226" s="250" t="n"/>
      <c r="U226" s="250" t="n"/>
      <c r="V226" s="250" t="n"/>
      <c r="W226" s="250" t="n"/>
      <c r="X226" s="250" t="n"/>
      <c r="Y226" s="250" t="n"/>
      <c r="Z226" s="250" t="n"/>
    </row>
    <row r="227">
      <c r="A227" s="250" t="n"/>
      <c r="B227" s="250" t="n"/>
      <c r="C227" s="250" t="n"/>
      <c r="D227" s="250" t="n"/>
      <c r="E227" s="250" t="n"/>
      <c r="F227" s="250" t="n"/>
      <c r="G227" s="250" t="n"/>
      <c r="H227" s="250" t="n"/>
      <c r="I227" s="250" t="n"/>
      <c r="J227" s="250" t="n"/>
      <c r="K227" s="250" t="n"/>
      <c r="L227" s="250" t="n"/>
      <c r="M227" s="250" t="n"/>
      <c r="N227" s="250" t="n"/>
      <c r="O227" s="250" t="n"/>
      <c r="P227" s="250" t="n"/>
      <c r="Q227" s="250" t="n"/>
      <c r="R227" s="250" t="n"/>
      <c r="S227" s="250" t="n"/>
      <c r="T227" s="250" t="n"/>
      <c r="U227" s="250" t="n"/>
      <c r="V227" s="250" t="n"/>
      <c r="W227" s="250" t="n"/>
      <c r="X227" s="250" t="n"/>
      <c r="Y227" s="250" t="n"/>
      <c r="Z227" s="250" t="n"/>
    </row>
    <row r="228">
      <c r="A228" s="250" t="n"/>
      <c r="B228" s="250" t="n"/>
      <c r="C228" s="250" t="n"/>
      <c r="D228" s="250" t="n"/>
      <c r="E228" s="250" t="n"/>
      <c r="F228" s="250" t="n"/>
      <c r="G228" s="250" t="n"/>
      <c r="H228" s="250" t="n"/>
      <c r="I228" s="250" t="n"/>
      <c r="J228" s="250" t="n"/>
      <c r="K228" s="250" t="n"/>
      <c r="L228" s="250" t="n"/>
      <c r="M228" s="250" t="n"/>
      <c r="N228" s="250" t="n"/>
      <c r="O228" s="250" t="n"/>
      <c r="P228" s="250" t="n"/>
      <c r="Q228" s="250" t="n"/>
      <c r="R228" s="250" t="n"/>
      <c r="S228" s="250" t="n"/>
      <c r="T228" s="250" t="n"/>
      <c r="U228" s="250" t="n"/>
      <c r="V228" s="250" t="n"/>
      <c r="W228" s="250" t="n"/>
      <c r="X228" s="250" t="n"/>
      <c r="Y228" s="250" t="n"/>
      <c r="Z228" s="250" t="n"/>
    </row>
    <row r="229">
      <c r="A229" s="250" t="n"/>
      <c r="B229" s="250" t="n"/>
      <c r="C229" s="250" t="n"/>
      <c r="D229" s="250" t="n"/>
      <c r="E229" s="250" t="n"/>
      <c r="F229" s="250" t="n"/>
      <c r="G229" s="250" t="n"/>
      <c r="H229" s="250" t="n"/>
      <c r="I229" s="250" t="n"/>
      <c r="J229" s="250" t="n"/>
      <c r="K229" s="250" t="n"/>
      <c r="L229" s="250" t="n"/>
      <c r="M229" s="250" t="n"/>
      <c r="N229" s="250" t="n"/>
      <c r="O229" s="250" t="n"/>
      <c r="P229" s="250" t="n"/>
      <c r="Q229" s="250" t="n"/>
      <c r="R229" s="250" t="n"/>
      <c r="S229" s="250" t="n"/>
      <c r="T229" s="250" t="n"/>
      <c r="U229" s="250" t="n"/>
      <c r="V229" s="250" t="n"/>
      <c r="W229" s="250" t="n"/>
      <c r="X229" s="250" t="n"/>
      <c r="Y229" s="250" t="n"/>
      <c r="Z229" s="250" t="n"/>
    </row>
    <row r="230">
      <c r="A230" s="250" t="n"/>
      <c r="B230" s="250" t="n"/>
      <c r="C230" s="250" t="n"/>
      <c r="D230" s="250" t="n"/>
      <c r="E230" s="250" t="n"/>
      <c r="F230" s="250" t="n"/>
      <c r="G230" s="250" t="n"/>
      <c r="H230" s="250" t="n"/>
      <c r="I230" s="250" t="n"/>
      <c r="J230" s="250" t="n"/>
      <c r="K230" s="250" t="n"/>
      <c r="L230" s="250" t="n"/>
      <c r="M230" s="250" t="n"/>
      <c r="N230" s="250" t="n"/>
      <c r="O230" s="250" t="n"/>
      <c r="P230" s="250" t="n"/>
      <c r="Q230" s="250" t="n"/>
      <c r="R230" s="250" t="n"/>
      <c r="S230" s="250" t="n"/>
      <c r="T230" s="250" t="n"/>
      <c r="U230" s="250" t="n"/>
      <c r="V230" s="250" t="n"/>
      <c r="W230" s="250" t="n"/>
      <c r="X230" s="250" t="n"/>
      <c r="Y230" s="250" t="n"/>
      <c r="Z230" s="250" t="n"/>
    </row>
    <row r="231">
      <c r="A231" s="250" t="n"/>
      <c r="B231" s="250" t="n"/>
      <c r="C231" s="250" t="n"/>
      <c r="D231" s="250" t="n"/>
      <c r="E231" s="250" t="n"/>
      <c r="F231" s="250" t="n"/>
      <c r="G231" s="250" t="n"/>
      <c r="H231" s="250" t="n"/>
      <c r="I231" s="250" t="n"/>
      <c r="J231" s="250" t="n"/>
      <c r="K231" s="250" t="n"/>
      <c r="L231" s="250" t="n"/>
      <c r="M231" s="250" t="n"/>
      <c r="N231" s="250" t="n"/>
      <c r="O231" s="250" t="n"/>
      <c r="P231" s="250" t="n"/>
      <c r="Q231" s="250" t="n"/>
      <c r="R231" s="250" t="n"/>
      <c r="S231" s="250" t="n"/>
      <c r="T231" s="250" t="n"/>
      <c r="U231" s="250" t="n"/>
      <c r="V231" s="250" t="n"/>
      <c r="W231" s="250" t="n"/>
      <c r="X231" s="250" t="n"/>
      <c r="Y231" s="250" t="n"/>
      <c r="Z231" s="250" t="n"/>
    </row>
    <row r="232">
      <c r="A232" s="250" t="n"/>
      <c r="B232" s="250" t="n"/>
      <c r="C232" s="250" t="n"/>
      <c r="D232" s="250" t="n"/>
      <c r="E232" s="250" t="n"/>
      <c r="F232" s="250" t="n"/>
      <c r="G232" s="250" t="n"/>
      <c r="H232" s="250" t="n"/>
      <c r="I232" s="250" t="n"/>
      <c r="J232" s="250" t="n"/>
      <c r="K232" s="250" t="n"/>
      <c r="L232" s="250" t="n"/>
      <c r="M232" s="250" t="n"/>
      <c r="N232" s="250" t="n"/>
      <c r="O232" s="250" t="n"/>
      <c r="P232" s="250" t="n"/>
      <c r="Q232" s="250" t="n"/>
      <c r="R232" s="250" t="n"/>
      <c r="S232" s="250" t="n"/>
      <c r="T232" s="250" t="n"/>
      <c r="U232" s="250" t="n"/>
      <c r="V232" s="250" t="n"/>
      <c r="W232" s="250" t="n"/>
      <c r="X232" s="250" t="n"/>
      <c r="Y232" s="250" t="n"/>
      <c r="Z232" s="250" t="n"/>
    </row>
    <row r="233">
      <c r="A233" s="250" t="n"/>
      <c r="B233" s="250" t="n"/>
      <c r="C233" s="250" t="n"/>
      <c r="D233" s="250" t="n"/>
      <c r="E233" s="250" t="n"/>
      <c r="F233" s="250" t="n"/>
      <c r="G233" s="250" t="n"/>
      <c r="H233" s="250" t="n"/>
      <c r="I233" s="250" t="n"/>
      <c r="J233" s="250" t="n"/>
      <c r="K233" s="250" t="n"/>
      <c r="L233" s="250" t="n"/>
      <c r="M233" s="250" t="n"/>
      <c r="N233" s="250" t="n"/>
      <c r="O233" s="250" t="n"/>
      <c r="P233" s="250" t="n"/>
      <c r="Q233" s="250" t="n"/>
      <c r="R233" s="250" t="n"/>
      <c r="S233" s="250" t="n"/>
      <c r="T233" s="250" t="n"/>
      <c r="U233" s="250" t="n"/>
      <c r="V233" s="250" t="n"/>
      <c r="W233" s="250" t="n"/>
      <c r="X233" s="250" t="n"/>
      <c r="Y233" s="250" t="n"/>
      <c r="Z233" s="250" t="n"/>
    </row>
    <row r="234">
      <c r="A234" s="250" t="n"/>
      <c r="B234" s="250" t="n"/>
      <c r="C234" s="250" t="n"/>
      <c r="D234" s="250" t="n"/>
      <c r="E234" s="250" t="n"/>
      <c r="F234" s="250" t="n"/>
      <c r="G234" s="250" t="n"/>
      <c r="H234" s="250" t="n"/>
      <c r="I234" s="250" t="n"/>
      <c r="J234" s="250" t="n"/>
      <c r="K234" s="250" t="n"/>
      <c r="L234" s="250" t="n"/>
      <c r="M234" s="250" t="n"/>
      <c r="N234" s="250" t="n"/>
      <c r="O234" s="250" t="n"/>
      <c r="P234" s="250" t="n"/>
      <c r="Q234" s="250" t="n"/>
      <c r="R234" s="250" t="n"/>
      <c r="S234" s="250" t="n"/>
      <c r="T234" s="250" t="n"/>
      <c r="U234" s="250" t="n"/>
      <c r="V234" s="250" t="n"/>
      <c r="W234" s="250" t="n"/>
      <c r="X234" s="250" t="n"/>
      <c r="Y234" s="250" t="n"/>
      <c r="Z234" s="250" t="n"/>
    </row>
    <row r="235">
      <c r="A235" s="250" t="n"/>
      <c r="B235" s="250" t="n"/>
      <c r="C235" s="250" t="n"/>
      <c r="D235" s="250" t="n"/>
      <c r="E235" s="250" t="n"/>
      <c r="F235" s="250" t="n"/>
      <c r="G235" s="250" t="n"/>
      <c r="H235" s="250" t="n"/>
      <c r="I235" s="250" t="n"/>
      <c r="J235" s="250" t="n"/>
      <c r="K235" s="250" t="n"/>
      <c r="L235" s="250" t="n"/>
      <c r="M235" s="250" t="n"/>
      <c r="N235" s="250" t="n"/>
      <c r="O235" s="250" t="n"/>
      <c r="P235" s="250" t="n"/>
      <c r="Q235" s="250" t="n"/>
      <c r="R235" s="250" t="n"/>
      <c r="S235" s="250" t="n"/>
      <c r="T235" s="250" t="n"/>
      <c r="U235" s="250" t="n"/>
      <c r="V235" s="250" t="n"/>
      <c r="W235" s="250" t="n"/>
      <c r="X235" s="250" t="n"/>
      <c r="Y235" s="250" t="n"/>
      <c r="Z235" s="250" t="n"/>
    </row>
    <row r="236">
      <c r="A236" s="250" t="n"/>
      <c r="B236" s="250" t="n"/>
      <c r="C236" s="250" t="n"/>
      <c r="D236" s="250" t="n"/>
      <c r="E236" s="250" t="n"/>
      <c r="F236" s="250" t="n"/>
      <c r="G236" s="250" t="n"/>
      <c r="H236" s="250" t="n"/>
      <c r="I236" s="250" t="n"/>
      <c r="J236" s="250" t="n"/>
      <c r="K236" s="250" t="n"/>
      <c r="L236" s="250" t="n"/>
      <c r="M236" s="250" t="n"/>
      <c r="N236" s="250" t="n"/>
      <c r="O236" s="250" t="n"/>
      <c r="P236" s="250" t="n"/>
      <c r="Q236" s="250" t="n"/>
      <c r="R236" s="250" t="n"/>
      <c r="S236" s="250" t="n"/>
      <c r="T236" s="250" t="n"/>
      <c r="U236" s="250" t="n"/>
      <c r="V236" s="250" t="n"/>
      <c r="W236" s="250" t="n"/>
      <c r="X236" s="250" t="n"/>
      <c r="Y236" s="250" t="n"/>
      <c r="Z236" s="250" t="n"/>
    </row>
    <row r="237">
      <c r="A237" s="250" t="n"/>
      <c r="B237" s="250" t="n"/>
      <c r="C237" s="250" t="n"/>
      <c r="D237" s="250" t="n"/>
      <c r="E237" s="250" t="n"/>
      <c r="F237" s="250" t="n"/>
      <c r="G237" s="250" t="n"/>
      <c r="H237" s="250" t="n"/>
      <c r="I237" s="250" t="n"/>
      <c r="J237" s="250" t="n"/>
      <c r="K237" s="250" t="n"/>
      <c r="L237" s="250" t="n"/>
      <c r="M237" s="250" t="n"/>
      <c r="N237" s="250" t="n"/>
      <c r="O237" s="250" t="n"/>
      <c r="P237" s="250" t="n"/>
      <c r="Q237" s="250" t="n"/>
      <c r="R237" s="250" t="n"/>
      <c r="S237" s="250" t="n"/>
      <c r="T237" s="250" t="n"/>
      <c r="U237" s="250" t="n"/>
      <c r="V237" s="250" t="n"/>
      <c r="W237" s="250" t="n"/>
      <c r="X237" s="250" t="n"/>
      <c r="Y237" s="250" t="n"/>
      <c r="Z237" s="250" t="n"/>
    </row>
    <row r="238">
      <c r="A238" s="250" t="n"/>
      <c r="B238" s="250" t="n"/>
      <c r="C238" s="250" t="n"/>
      <c r="D238" s="250" t="n"/>
      <c r="E238" s="250" t="n"/>
      <c r="F238" s="250" t="n"/>
      <c r="G238" s="250" t="n"/>
      <c r="H238" s="250" t="n"/>
      <c r="I238" s="250" t="n"/>
      <c r="J238" s="250" t="n"/>
      <c r="K238" s="250" t="n"/>
      <c r="L238" s="250" t="n"/>
      <c r="M238" s="250" t="n"/>
      <c r="N238" s="250" t="n"/>
      <c r="O238" s="250" t="n"/>
      <c r="P238" s="250" t="n"/>
      <c r="Q238" s="250" t="n"/>
      <c r="R238" s="250" t="n"/>
      <c r="S238" s="250" t="n"/>
      <c r="T238" s="250" t="n"/>
      <c r="U238" s="250" t="n"/>
      <c r="V238" s="250" t="n"/>
      <c r="W238" s="250" t="n"/>
      <c r="X238" s="250" t="n"/>
      <c r="Y238" s="250" t="n"/>
      <c r="Z238" s="250" t="n"/>
    </row>
    <row r="239">
      <c r="A239" s="250" t="n"/>
      <c r="B239" s="250" t="n"/>
      <c r="C239" s="250" t="n"/>
      <c r="D239" s="250" t="n"/>
      <c r="E239" s="250" t="n"/>
      <c r="F239" s="250" t="n"/>
      <c r="G239" s="250" t="n"/>
      <c r="H239" s="250" t="n"/>
      <c r="I239" s="250" t="n"/>
      <c r="J239" s="250" t="n"/>
      <c r="K239" s="250" t="n"/>
      <c r="L239" s="250" t="n"/>
      <c r="M239" s="250" t="n"/>
      <c r="N239" s="250" t="n"/>
      <c r="O239" s="250" t="n"/>
      <c r="P239" s="250" t="n"/>
      <c r="Q239" s="250" t="n"/>
      <c r="R239" s="250" t="n"/>
      <c r="S239" s="250" t="n"/>
      <c r="T239" s="250" t="n"/>
      <c r="U239" s="250" t="n"/>
      <c r="V239" s="250" t="n"/>
      <c r="W239" s="250" t="n"/>
      <c r="X239" s="250" t="n"/>
      <c r="Y239" s="250" t="n"/>
      <c r="Z239" s="250" t="n"/>
    </row>
    <row r="240">
      <c r="A240" s="250" t="n"/>
      <c r="B240" s="250" t="n"/>
      <c r="C240" s="250" t="n"/>
      <c r="D240" s="250" t="n"/>
      <c r="E240" s="250" t="n"/>
      <c r="F240" s="250" t="n"/>
      <c r="G240" s="250" t="n"/>
      <c r="H240" s="250" t="n"/>
      <c r="I240" s="250" t="n"/>
      <c r="J240" s="250" t="n"/>
      <c r="K240" s="250" t="n"/>
      <c r="L240" s="250" t="n"/>
      <c r="M240" s="250" t="n"/>
      <c r="N240" s="250" t="n"/>
      <c r="O240" s="250" t="n"/>
      <c r="P240" s="250" t="n"/>
      <c r="Q240" s="250" t="n"/>
      <c r="R240" s="250" t="n"/>
      <c r="S240" s="250" t="n"/>
      <c r="T240" s="250" t="n"/>
      <c r="U240" s="250" t="n"/>
      <c r="V240" s="250" t="n"/>
      <c r="W240" s="250" t="n"/>
      <c r="X240" s="250" t="n"/>
      <c r="Y240" s="250" t="n"/>
      <c r="Z240" s="250" t="n"/>
    </row>
    <row r="241">
      <c r="A241" s="250" t="n"/>
      <c r="B241" s="250" t="n"/>
      <c r="C241" s="250" t="n"/>
      <c r="D241" s="250" t="n"/>
      <c r="E241" s="250" t="n"/>
      <c r="F241" s="250" t="n"/>
      <c r="G241" s="250" t="n"/>
      <c r="H241" s="250" t="n"/>
      <c r="I241" s="250" t="n"/>
      <c r="J241" s="250" t="n"/>
      <c r="K241" s="250" t="n"/>
      <c r="L241" s="250" t="n"/>
      <c r="M241" s="250" t="n"/>
      <c r="N241" s="250" t="n"/>
      <c r="O241" s="250" t="n"/>
      <c r="P241" s="250" t="n"/>
      <c r="Q241" s="250" t="n"/>
      <c r="R241" s="250" t="n"/>
      <c r="S241" s="250" t="n"/>
      <c r="T241" s="250" t="n"/>
      <c r="U241" s="250" t="n"/>
      <c r="V241" s="250" t="n"/>
      <c r="W241" s="250" t="n"/>
      <c r="X241" s="250" t="n"/>
      <c r="Y241" s="250" t="n"/>
      <c r="Z241" s="250" t="n"/>
    </row>
    <row r="242">
      <c r="A242" s="250" t="n"/>
      <c r="B242" s="250" t="n"/>
      <c r="C242" s="250" t="n"/>
      <c r="D242" s="250" t="n"/>
      <c r="E242" s="250" t="n"/>
      <c r="F242" s="250" t="n"/>
      <c r="G242" s="250" t="n"/>
      <c r="H242" s="250" t="n"/>
      <c r="I242" s="250" t="n"/>
      <c r="J242" s="250" t="n"/>
      <c r="K242" s="250" t="n"/>
      <c r="L242" s="250" t="n"/>
      <c r="M242" s="250" t="n"/>
      <c r="N242" s="250" t="n"/>
      <c r="O242" s="250" t="n"/>
      <c r="P242" s="250" t="n"/>
      <c r="Q242" s="250" t="n"/>
      <c r="R242" s="250" t="n"/>
      <c r="S242" s="250" t="n"/>
      <c r="T242" s="250" t="n"/>
      <c r="U242" s="250" t="n"/>
      <c r="V242" s="250" t="n"/>
      <c r="W242" s="250" t="n"/>
      <c r="X242" s="250" t="n"/>
      <c r="Y242" s="250" t="n"/>
      <c r="Z242" s="250" t="n"/>
    </row>
    <row r="243">
      <c r="A243" s="250" t="n"/>
      <c r="B243" s="250" t="n"/>
      <c r="C243" s="250" t="n"/>
      <c r="D243" s="250" t="n"/>
      <c r="E243" s="250" t="n"/>
      <c r="F243" s="250" t="n"/>
      <c r="G243" s="250" t="n"/>
      <c r="H243" s="250" t="n"/>
      <c r="I243" s="250" t="n"/>
      <c r="J243" s="250" t="n"/>
      <c r="K243" s="250" t="n"/>
      <c r="L243" s="250" t="n"/>
      <c r="M243" s="250" t="n"/>
      <c r="N243" s="250" t="n"/>
      <c r="O243" s="250" t="n"/>
      <c r="P243" s="250" t="n"/>
      <c r="Q243" s="250" t="n"/>
      <c r="R243" s="250" t="n"/>
      <c r="S243" s="250" t="n"/>
      <c r="T243" s="250" t="n"/>
      <c r="U243" s="250" t="n"/>
      <c r="V243" s="250" t="n"/>
      <c r="W243" s="250" t="n"/>
      <c r="X243" s="250" t="n"/>
      <c r="Y243" s="250" t="n"/>
      <c r="Z243" s="250" t="n"/>
    </row>
    <row r="244">
      <c r="A244" s="250" t="n"/>
      <c r="B244" s="250" t="n"/>
      <c r="C244" s="250" t="n"/>
      <c r="D244" s="250" t="n"/>
      <c r="E244" s="250" t="n"/>
      <c r="F244" s="250" t="n"/>
      <c r="G244" s="250" t="n"/>
      <c r="H244" s="250" t="n"/>
      <c r="I244" s="250" t="n"/>
      <c r="J244" s="250" t="n"/>
      <c r="K244" s="250" t="n"/>
      <c r="L244" s="250" t="n"/>
      <c r="M244" s="250" t="n"/>
      <c r="N244" s="250" t="n"/>
      <c r="O244" s="250" t="n"/>
      <c r="P244" s="250" t="n"/>
      <c r="Q244" s="250" t="n"/>
      <c r="R244" s="250" t="n"/>
      <c r="S244" s="250" t="n"/>
      <c r="T244" s="250" t="n"/>
      <c r="U244" s="250" t="n"/>
      <c r="V244" s="250" t="n"/>
      <c r="W244" s="250" t="n"/>
      <c r="X244" s="250" t="n"/>
      <c r="Y244" s="250" t="n"/>
      <c r="Z244" s="250" t="n"/>
    </row>
    <row r="245">
      <c r="A245" s="250" t="n"/>
      <c r="B245" s="250" t="n"/>
      <c r="C245" s="250" t="n"/>
      <c r="D245" s="250" t="n"/>
      <c r="E245" s="250" t="n"/>
      <c r="F245" s="250" t="n"/>
      <c r="G245" s="250" t="n"/>
      <c r="H245" s="250" t="n"/>
      <c r="I245" s="250" t="n"/>
      <c r="J245" s="250" t="n"/>
      <c r="K245" s="250" t="n"/>
      <c r="L245" s="250" t="n"/>
      <c r="M245" s="250" t="n"/>
      <c r="N245" s="250" t="n"/>
      <c r="O245" s="250" t="n"/>
      <c r="P245" s="250" t="n"/>
      <c r="Q245" s="250" t="n"/>
      <c r="R245" s="250" t="n"/>
      <c r="S245" s="250" t="n"/>
      <c r="T245" s="250" t="n"/>
      <c r="U245" s="250" t="n"/>
      <c r="V245" s="250" t="n"/>
      <c r="W245" s="250" t="n"/>
      <c r="X245" s="250" t="n"/>
      <c r="Y245" s="250" t="n"/>
      <c r="Z245" s="250" t="n"/>
    </row>
    <row r="246">
      <c r="A246" s="250" t="n"/>
      <c r="B246" s="250" t="n"/>
      <c r="C246" s="250" t="n"/>
      <c r="D246" s="250" t="n"/>
      <c r="E246" s="250" t="n"/>
      <c r="F246" s="250" t="n"/>
      <c r="G246" s="250" t="n"/>
      <c r="H246" s="250" t="n"/>
      <c r="I246" s="250" t="n"/>
      <c r="J246" s="250" t="n"/>
      <c r="K246" s="250" t="n"/>
      <c r="L246" s="250" t="n"/>
      <c r="M246" s="250" t="n"/>
      <c r="N246" s="250" t="n"/>
      <c r="O246" s="250" t="n"/>
      <c r="P246" s="250" t="n"/>
      <c r="Q246" s="250" t="n"/>
      <c r="R246" s="250" t="n"/>
      <c r="S246" s="250" t="n"/>
      <c r="T246" s="250" t="n"/>
      <c r="U246" s="250" t="n"/>
      <c r="V246" s="250" t="n"/>
      <c r="W246" s="250" t="n"/>
      <c r="X246" s="250" t="n"/>
      <c r="Y246" s="250" t="n"/>
      <c r="Z246" s="250" t="n"/>
    </row>
    <row r="247">
      <c r="A247" s="250" t="n"/>
      <c r="B247" s="250" t="n"/>
      <c r="C247" s="250" t="n"/>
      <c r="D247" s="250" t="n"/>
      <c r="E247" s="250" t="n"/>
      <c r="F247" s="250" t="n"/>
      <c r="G247" s="250" t="n"/>
      <c r="H247" s="250" t="n"/>
      <c r="I247" s="250" t="n"/>
      <c r="J247" s="250" t="n"/>
      <c r="K247" s="250" t="n"/>
      <c r="L247" s="250" t="n"/>
      <c r="M247" s="250" t="n"/>
      <c r="N247" s="250" t="n"/>
      <c r="O247" s="250" t="n"/>
      <c r="P247" s="250" t="n"/>
      <c r="Q247" s="250" t="n"/>
      <c r="R247" s="250" t="n"/>
      <c r="S247" s="250" t="n"/>
      <c r="T247" s="250" t="n"/>
      <c r="U247" s="250" t="n"/>
      <c r="V247" s="250" t="n"/>
      <c r="W247" s="250" t="n"/>
      <c r="X247" s="250" t="n"/>
      <c r="Y247" s="250" t="n"/>
      <c r="Z247" s="250" t="n"/>
    </row>
    <row r="248">
      <c r="A248" s="250" t="n"/>
      <c r="B248" s="250" t="n"/>
      <c r="C248" s="250" t="n"/>
      <c r="D248" s="250" t="n"/>
      <c r="E248" s="250" t="n"/>
      <c r="F248" s="250" t="n"/>
      <c r="G248" s="250" t="n"/>
      <c r="H248" s="250" t="n"/>
      <c r="I248" s="250" t="n"/>
      <c r="J248" s="250" t="n"/>
      <c r="K248" s="250" t="n"/>
      <c r="L248" s="250" t="n"/>
      <c r="M248" s="250" t="n"/>
      <c r="N248" s="250" t="n"/>
      <c r="O248" s="250" t="n"/>
      <c r="P248" s="250" t="n"/>
      <c r="Q248" s="250" t="n"/>
      <c r="R248" s="250" t="n"/>
      <c r="S248" s="250" t="n"/>
      <c r="T248" s="250" t="n"/>
      <c r="U248" s="250" t="n"/>
      <c r="V248" s="250" t="n"/>
      <c r="W248" s="250" t="n"/>
      <c r="X248" s="250" t="n"/>
      <c r="Y248" s="250" t="n"/>
      <c r="Z248" s="250" t="n"/>
    </row>
    <row r="249">
      <c r="A249" s="250" t="n"/>
      <c r="B249" s="250" t="n"/>
      <c r="C249" s="250" t="n"/>
      <c r="D249" s="250" t="n"/>
      <c r="E249" s="250" t="n"/>
      <c r="F249" s="250" t="n"/>
      <c r="G249" s="250" t="n"/>
      <c r="H249" s="250" t="n"/>
      <c r="I249" s="250" t="n"/>
      <c r="J249" s="250" t="n"/>
      <c r="K249" s="250" t="n"/>
      <c r="L249" s="250" t="n"/>
      <c r="M249" s="250" t="n"/>
      <c r="N249" s="250" t="n"/>
      <c r="O249" s="250" t="n"/>
      <c r="P249" s="250" t="n"/>
      <c r="Q249" s="250" t="n"/>
      <c r="R249" s="250" t="n"/>
      <c r="S249" s="250" t="n"/>
      <c r="T249" s="250" t="n"/>
      <c r="U249" s="250" t="n"/>
      <c r="V249" s="250" t="n"/>
      <c r="W249" s="250" t="n"/>
      <c r="X249" s="250" t="n"/>
      <c r="Y249" s="250" t="n"/>
      <c r="Z249" s="250" t="n"/>
    </row>
    <row r="250">
      <c r="A250" s="250" t="n"/>
      <c r="B250" s="250" t="n"/>
      <c r="C250" s="250" t="n"/>
      <c r="D250" s="250" t="n"/>
      <c r="E250" s="250" t="n"/>
      <c r="F250" s="250" t="n"/>
      <c r="G250" s="250" t="n"/>
      <c r="H250" s="250" t="n"/>
      <c r="I250" s="250" t="n"/>
      <c r="J250" s="250" t="n"/>
      <c r="K250" s="250" t="n"/>
      <c r="L250" s="250" t="n"/>
      <c r="M250" s="250" t="n"/>
      <c r="N250" s="250" t="n"/>
      <c r="O250" s="250" t="n"/>
      <c r="P250" s="250" t="n"/>
      <c r="Q250" s="250" t="n"/>
      <c r="R250" s="250" t="n"/>
      <c r="S250" s="250" t="n"/>
      <c r="T250" s="250" t="n"/>
      <c r="U250" s="250" t="n"/>
      <c r="V250" s="250" t="n"/>
      <c r="W250" s="250" t="n"/>
      <c r="X250" s="250" t="n"/>
      <c r="Y250" s="250" t="n"/>
      <c r="Z250" s="250" t="n"/>
    </row>
    <row r="251">
      <c r="A251" s="250" t="n"/>
      <c r="B251" s="250" t="n"/>
      <c r="C251" s="250" t="n"/>
      <c r="D251" s="250" t="n"/>
      <c r="E251" s="250" t="n"/>
      <c r="F251" s="250" t="n"/>
      <c r="G251" s="250" t="n"/>
      <c r="H251" s="250" t="n"/>
      <c r="I251" s="250" t="n"/>
      <c r="J251" s="250" t="n"/>
      <c r="K251" s="250" t="n"/>
      <c r="L251" s="250" t="n"/>
      <c r="M251" s="250" t="n"/>
      <c r="N251" s="250" t="n"/>
      <c r="O251" s="250" t="n"/>
      <c r="P251" s="250" t="n"/>
      <c r="Q251" s="250" t="n"/>
      <c r="R251" s="250" t="n"/>
      <c r="S251" s="250" t="n"/>
      <c r="T251" s="250" t="n"/>
      <c r="U251" s="250" t="n"/>
      <c r="V251" s="250" t="n"/>
      <c r="W251" s="250" t="n"/>
      <c r="X251" s="250" t="n"/>
      <c r="Y251" s="250" t="n"/>
      <c r="Z251" s="250" t="n"/>
    </row>
    <row r="252">
      <c r="A252" s="250" t="n"/>
      <c r="B252" s="250" t="n"/>
      <c r="C252" s="250" t="n"/>
      <c r="D252" s="250" t="n"/>
      <c r="E252" s="250" t="n"/>
      <c r="F252" s="250" t="n"/>
      <c r="G252" s="250" t="n"/>
      <c r="H252" s="250" t="n"/>
      <c r="I252" s="250" t="n"/>
      <c r="J252" s="250" t="n"/>
      <c r="K252" s="250" t="n"/>
      <c r="L252" s="250" t="n"/>
      <c r="M252" s="250" t="n"/>
      <c r="N252" s="250" t="n"/>
      <c r="O252" s="250" t="n"/>
      <c r="P252" s="250" t="n"/>
      <c r="Q252" s="250" t="n"/>
      <c r="R252" s="250" t="n"/>
      <c r="S252" s="250" t="n"/>
      <c r="T252" s="250" t="n"/>
      <c r="U252" s="250" t="n"/>
      <c r="V252" s="250" t="n"/>
      <c r="W252" s="250" t="n"/>
      <c r="X252" s="250" t="n"/>
      <c r="Y252" s="250" t="n"/>
      <c r="Z252" s="250" t="n"/>
    </row>
    <row r="253">
      <c r="A253" s="250" t="n"/>
      <c r="B253" s="250" t="n"/>
      <c r="C253" s="250" t="n"/>
      <c r="D253" s="250" t="n"/>
      <c r="E253" s="250" t="n"/>
      <c r="F253" s="250" t="n"/>
      <c r="G253" s="250" t="n"/>
      <c r="H253" s="250" t="n"/>
      <c r="I253" s="250" t="n"/>
      <c r="J253" s="250" t="n"/>
      <c r="K253" s="250" t="n"/>
      <c r="L253" s="250" t="n"/>
      <c r="M253" s="250" t="n"/>
      <c r="N253" s="250" t="n"/>
      <c r="O253" s="250" t="n"/>
      <c r="P253" s="250" t="n"/>
      <c r="Q253" s="250" t="n"/>
      <c r="R253" s="250" t="n"/>
      <c r="S253" s="250" t="n"/>
      <c r="T253" s="250" t="n"/>
      <c r="U253" s="250" t="n"/>
      <c r="V253" s="250" t="n"/>
      <c r="W253" s="250" t="n"/>
      <c r="X253" s="250" t="n"/>
      <c r="Y253" s="250" t="n"/>
      <c r="Z253" s="250" t="n"/>
    </row>
    <row r="254">
      <c r="A254" s="250" t="n"/>
      <c r="B254" s="250" t="n"/>
      <c r="C254" s="250" t="n"/>
      <c r="D254" s="250" t="n"/>
      <c r="E254" s="250" t="n"/>
      <c r="F254" s="250" t="n"/>
      <c r="G254" s="250" t="n"/>
      <c r="H254" s="250" t="n"/>
      <c r="I254" s="250" t="n"/>
      <c r="J254" s="250" t="n"/>
      <c r="K254" s="250" t="n"/>
      <c r="L254" s="250" t="n"/>
      <c r="M254" s="250" t="n"/>
      <c r="N254" s="250" t="n"/>
      <c r="O254" s="250" t="n"/>
      <c r="P254" s="250" t="n"/>
      <c r="Q254" s="250" t="n"/>
      <c r="R254" s="250" t="n"/>
      <c r="S254" s="250" t="n"/>
      <c r="T254" s="250" t="n"/>
      <c r="U254" s="250" t="n"/>
      <c r="V254" s="250" t="n"/>
      <c r="W254" s="250" t="n"/>
      <c r="X254" s="250" t="n"/>
      <c r="Y254" s="250" t="n"/>
      <c r="Z254" s="250" t="n"/>
    </row>
    <row r="255">
      <c r="A255" s="250" t="n"/>
      <c r="B255" s="250" t="n"/>
      <c r="C255" s="250" t="n"/>
      <c r="D255" s="250" t="n"/>
      <c r="E255" s="250" t="n"/>
      <c r="F255" s="250" t="n"/>
      <c r="G255" s="250" t="n"/>
      <c r="H255" s="250" t="n"/>
      <c r="I255" s="250" t="n"/>
      <c r="J255" s="250" t="n"/>
      <c r="K255" s="250" t="n"/>
      <c r="L255" s="250" t="n"/>
      <c r="M255" s="250" t="n"/>
      <c r="N255" s="250" t="n"/>
      <c r="O255" s="250" t="n"/>
      <c r="P255" s="250" t="n"/>
      <c r="Q255" s="250" t="n"/>
      <c r="R255" s="250" t="n"/>
      <c r="S255" s="250" t="n"/>
      <c r="T255" s="250" t="n"/>
      <c r="U255" s="250" t="n"/>
      <c r="V255" s="250" t="n"/>
      <c r="W255" s="250" t="n"/>
      <c r="X255" s="250" t="n"/>
      <c r="Y255" s="250" t="n"/>
      <c r="Z255" s="250" t="n"/>
    </row>
    <row r="256">
      <c r="A256" s="250" t="n"/>
      <c r="B256" s="250" t="n"/>
      <c r="C256" s="250" t="n"/>
      <c r="D256" s="250" t="n"/>
      <c r="E256" s="250" t="n"/>
      <c r="F256" s="250" t="n"/>
      <c r="G256" s="250" t="n"/>
      <c r="H256" s="250" t="n"/>
      <c r="I256" s="250" t="n"/>
      <c r="J256" s="250" t="n"/>
      <c r="K256" s="250" t="n"/>
      <c r="L256" s="250" t="n"/>
      <c r="M256" s="250" t="n"/>
      <c r="N256" s="250" t="n"/>
      <c r="O256" s="250" t="n"/>
      <c r="P256" s="250" t="n"/>
      <c r="Q256" s="250" t="n"/>
      <c r="R256" s="250" t="n"/>
      <c r="S256" s="250" t="n"/>
      <c r="T256" s="250" t="n"/>
      <c r="U256" s="250" t="n"/>
      <c r="V256" s="250" t="n"/>
      <c r="W256" s="250" t="n"/>
      <c r="X256" s="250" t="n"/>
      <c r="Y256" s="250" t="n"/>
      <c r="Z256" s="250" t="n"/>
    </row>
    <row r="257">
      <c r="A257" s="250" t="n"/>
      <c r="B257" s="250" t="n"/>
      <c r="C257" s="250" t="n"/>
      <c r="D257" s="250" t="n"/>
      <c r="E257" s="250" t="n"/>
      <c r="F257" s="250" t="n"/>
      <c r="G257" s="250" t="n"/>
      <c r="H257" s="250" t="n"/>
      <c r="I257" s="250" t="n"/>
      <c r="J257" s="250" t="n"/>
      <c r="K257" s="250" t="n"/>
      <c r="L257" s="250" t="n"/>
      <c r="M257" s="250" t="n"/>
      <c r="N257" s="250" t="n"/>
      <c r="O257" s="250" t="n"/>
      <c r="P257" s="250" t="n"/>
      <c r="Q257" s="250" t="n"/>
      <c r="R257" s="250" t="n"/>
      <c r="S257" s="250" t="n"/>
      <c r="T257" s="250" t="n"/>
      <c r="U257" s="250" t="n"/>
      <c r="V257" s="250" t="n"/>
      <c r="W257" s="250" t="n"/>
      <c r="X257" s="250" t="n"/>
      <c r="Y257" s="250" t="n"/>
      <c r="Z257" s="250" t="n"/>
    </row>
    <row r="258">
      <c r="A258" s="250" t="n"/>
      <c r="B258" s="250" t="n"/>
      <c r="C258" s="250" t="n"/>
      <c r="D258" s="250" t="n"/>
      <c r="E258" s="250" t="n"/>
      <c r="F258" s="250" t="n"/>
      <c r="G258" s="250" t="n"/>
      <c r="H258" s="250" t="n"/>
      <c r="I258" s="250" t="n"/>
      <c r="J258" s="250" t="n"/>
      <c r="K258" s="250" t="n"/>
      <c r="L258" s="250" t="n"/>
      <c r="M258" s="250" t="n"/>
      <c r="N258" s="250" t="n"/>
      <c r="O258" s="250" t="n"/>
      <c r="P258" s="250" t="n"/>
      <c r="Q258" s="250" t="n"/>
      <c r="R258" s="250" t="n"/>
      <c r="S258" s="250" t="n"/>
      <c r="T258" s="250" t="n"/>
      <c r="U258" s="250" t="n"/>
      <c r="V258" s="250" t="n"/>
      <c r="W258" s="250" t="n"/>
      <c r="X258" s="250" t="n"/>
      <c r="Y258" s="250" t="n"/>
      <c r="Z258" s="250" t="n"/>
    </row>
    <row r="259">
      <c r="A259" s="250" t="n"/>
      <c r="B259" s="250" t="n"/>
      <c r="C259" s="250" t="n"/>
      <c r="D259" s="250" t="n"/>
      <c r="E259" s="250" t="n"/>
      <c r="F259" s="250" t="n"/>
      <c r="G259" s="250" t="n"/>
      <c r="H259" s="250" t="n"/>
      <c r="I259" s="250" t="n"/>
      <c r="J259" s="250" t="n"/>
      <c r="K259" s="250" t="n"/>
      <c r="L259" s="250" t="n"/>
      <c r="M259" s="250" t="n"/>
      <c r="N259" s="250" t="n"/>
      <c r="O259" s="250" t="n"/>
      <c r="P259" s="250" t="n"/>
      <c r="Q259" s="250" t="n"/>
      <c r="R259" s="250" t="n"/>
      <c r="S259" s="250" t="n"/>
      <c r="T259" s="250" t="n"/>
      <c r="U259" s="250" t="n"/>
      <c r="V259" s="250" t="n"/>
      <c r="W259" s="250" t="n"/>
      <c r="X259" s="250" t="n"/>
      <c r="Y259" s="250" t="n"/>
      <c r="Z259" s="250" t="n"/>
    </row>
    <row r="260">
      <c r="A260" s="250" t="n"/>
      <c r="B260" s="250" t="n"/>
      <c r="C260" s="250" t="n"/>
      <c r="D260" s="250" t="n"/>
      <c r="E260" s="250" t="n"/>
      <c r="F260" s="250" t="n"/>
      <c r="G260" s="250" t="n"/>
      <c r="H260" s="250" t="n"/>
      <c r="I260" s="250" t="n"/>
      <c r="J260" s="250" t="n"/>
      <c r="K260" s="250" t="n"/>
      <c r="L260" s="250" t="n"/>
      <c r="M260" s="250" t="n"/>
      <c r="N260" s="250" t="n"/>
      <c r="O260" s="250" t="n"/>
      <c r="P260" s="250" t="n"/>
      <c r="Q260" s="250" t="n"/>
      <c r="R260" s="250" t="n"/>
      <c r="S260" s="250" t="n"/>
      <c r="T260" s="250" t="n"/>
      <c r="U260" s="250" t="n"/>
      <c r="V260" s="250" t="n"/>
      <c r="W260" s="250" t="n"/>
      <c r="X260" s="250" t="n"/>
      <c r="Y260" s="250" t="n"/>
      <c r="Z260" s="250" t="n"/>
    </row>
    <row r="261">
      <c r="A261" s="250" t="n"/>
      <c r="B261" s="250" t="n"/>
      <c r="C261" s="250" t="n"/>
      <c r="D261" s="250" t="n"/>
      <c r="E261" s="250" t="n"/>
      <c r="F261" s="250" t="n"/>
      <c r="G261" s="250" t="n"/>
      <c r="H261" s="250" t="n"/>
      <c r="I261" s="250" t="n"/>
      <c r="J261" s="250" t="n"/>
      <c r="K261" s="250" t="n"/>
      <c r="L261" s="250" t="n"/>
      <c r="M261" s="250" t="n"/>
      <c r="N261" s="250" t="n"/>
      <c r="O261" s="250" t="n"/>
      <c r="P261" s="250" t="n"/>
      <c r="Q261" s="250" t="n"/>
      <c r="R261" s="250" t="n"/>
      <c r="S261" s="250" t="n"/>
      <c r="T261" s="250" t="n"/>
      <c r="U261" s="250" t="n"/>
      <c r="V261" s="250" t="n"/>
      <c r="W261" s="250" t="n"/>
      <c r="X261" s="250" t="n"/>
      <c r="Y261" s="250" t="n"/>
      <c r="Z261" s="250" t="n"/>
    </row>
    <row r="262">
      <c r="A262" s="250" t="n"/>
      <c r="B262" s="250" t="n"/>
      <c r="C262" s="250" t="n"/>
      <c r="D262" s="250" t="n"/>
      <c r="E262" s="250" t="n"/>
      <c r="F262" s="250" t="n"/>
      <c r="G262" s="250" t="n"/>
      <c r="H262" s="250" t="n"/>
      <c r="I262" s="250" t="n"/>
      <c r="J262" s="250" t="n"/>
      <c r="K262" s="250" t="n"/>
      <c r="L262" s="250" t="n"/>
      <c r="M262" s="250" t="n"/>
      <c r="N262" s="250" t="n"/>
      <c r="O262" s="250" t="n"/>
      <c r="P262" s="250" t="n"/>
      <c r="Q262" s="250" t="n"/>
      <c r="R262" s="250" t="n"/>
      <c r="S262" s="250" t="n"/>
      <c r="T262" s="250" t="n"/>
      <c r="U262" s="250" t="n"/>
      <c r="V262" s="250" t="n"/>
      <c r="W262" s="250" t="n"/>
      <c r="X262" s="250" t="n"/>
      <c r="Y262" s="250" t="n"/>
      <c r="Z262" s="250" t="n"/>
    </row>
    <row r="263">
      <c r="A263" s="250" t="n"/>
      <c r="B263" s="250" t="n"/>
      <c r="C263" s="250" t="n"/>
      <c r="D263" s="250" t="n"/>
      <c r="E263" s="250" t="n"/>
      <c r="F263" s="250" t="n"/>
      <c r="G263" s="250" t="n"/>
      <c r="H263" s="250" t="n"/>
      <c r="I263" s="250" t="n"/>
      <c r="J263" s="250" t="n"/>
      <c r="K263" s="250" t="n"/>
      <c r="L263" s="250" t="n"/>
      <c r="M263" s="250" t="n"/>
      <c r="N263" s="250" t="n"/>
      <c r="O263" s="250" t="n"/>
      <c r="P263" s="250" t="n"/>
      <c r="Q263" s="250" t="n"/>
      <c r="R263" s="250" t="n"/>
      <c r="S263" s="250" t="n"/>
      <c r="T263" s="250" t="n"/>
      <c r="U263" s="250" t="n"/>
      <c r="V263" s="250" t="n"/>
      <c r="W263" s="250" t="n"/>
      <c r="X263" s="250" t="n"/>
      <c r="Y263" s="250" t="n"/>
      <c r="Z263" s="250" t="n"/>
    </row>
    <row r="264">
      <c r="A264" s="250" t="n"/>
      <c r="B264" s="250" t="n"/>
      <c r="C264" s="250" t="n"/>
      <c r="D264" s="250" t="n"/>
      <c r="E264" s="250" t="n"/>
      <c r="F264" s="250" t="n"/>
      <c r="G264" s="250" t="n"/>
      <c r="H264" s="250" t="n"/>
      <c r="I264" s="250" t="n"/>
      <c r="J264" s="250" t="n"/>
      <c r="K264" s="250" t="n"/>
      <c r="L264" s="250" t="n"/>
      <c r="M264" s="250" t="n"/>
      <c r="N264" s="250" t="n"/>
      <c r="O264" s="250" t="n"/>
      <c r="P264" s="250" t="n"/>
      <c r="Q264" s="250" t="n"/>
      <c r="R264" s="250" t="n"/>
      <c r="S264" s="250" t="n"/>
      <c r="T264" s="250" t="n"/>
      <c r="U264" s="250" t="n"/>
      <c r="V264" s="250" t="n"/>
      <c r="W264" s="250" t="n"/>
      <c r="X264" s="250" t="n"/>
      <c r="Y264" s="250" t="n"/>
      <c r="Z264" s="250" t="n"/>
    </row>
    <row r="265">
      <c r="A265" s="250" t="n"/>
      <c r="B265" s="250" t="n"/>
      <c r="C265" s="250" t="n"/>
      <c r="D265" s="250" t="n"/>
      <c r="E265" s="250" t="n"/>
      <c r="F265" s="250" t="n"/>
      <c r="G265" s="250" t="n"/>
      <c r="H265" s="250" t="n"/>
      <c r="I265" s="250" t="n"/>
      <c r="J265" s="250" t="n"/>
      <c r="K265" s="250" t="n"/>
      <c r="L265" s="250" t="n"/>
      <c r="M265" s="250" t="n"/>
      <c r="N265" s="250" t="n"/>
      <c r="O265" s="250" t="n"/>
      <c r="P265" s="250" t="n"/>
      <c r="Q265" s="250" t="n"/>
      <c r="R265" s="250" t="n"/>
      <c r="S265" s="250" t="n"/>
      <c r="T265" s="250" t="n"/>
      <c r="U265" s="250" t="n"/>
      <c r="V265" s="250" t="n"/>
      <c r="W265" s="250" t="n"/>
      <c r="X265" s="250" t="n"/>
      <c r="Y265" s="250" t="n"/>
      <c r="Z265" s="250" t="n"/>
    </row>
    <row r="266">
      <c r="A266" s="250" t="n"/>
      <c r="B266" s="250" t="n"/>
      <c r="C266" s="250" t="n"/>
      <c r="D266" s="250" t="n"/>
      <c r="E266" s="250" t="n"/>
      <c r="F266" s="250" t="n"/>
      <c r="G266" s="250" t="n"/>
      <c r="H266" s="250" t="n"/>
      <c r="I266" s="250" t="n"/>
      <c r="J266" s="250" t="n"/>
      <c r="K266" s="250" t="n"/>
      <c r="L266" s="250" t="n"/>
      <c r="M266" s="250" t="n"/>
      <c r="N266" s="250" t="n"/>
      <c r="O266" s="250" t="n"/>
      <c r="P266" s="250" t="n"/>
      <c r="Q266" s="250" t="n"/>
      <c r="R266" s="250" t="n"/>
      <c r="S266" s="250" t="n"/>
      <c r="T266" s="250" t="n"/>
      <c r="U266" s="250" t="n"/>
      <c r="V266" s="250" t="n"/>
      <c r="W266" s="250" t="n"/>
      <c r="X266" s="250" t="n"/>
      <c r="Y266" s="250" t="n"/>
      <c r="Z266" s="250" t="n"/>
    </row>
    <row r="267">
      <c r="A267" s="250" t="n"/>
      <c r="B267" s="250" t="n"/>
      <c r="C267" s="250" t="n"/>
      <c r="D267" s="250" t="n"/>
      <c r="E267" s="250" t="n"/>
      <c r="F267" s="250" t="n"/>
      <c r="G267" s="250" t="n"/>
      <c r="H267" s="250" t="n"/>
      <c r="I267" s="250" t="n"/>
      <c r="J267" s="250" t="n"/>
      <c r="K267" s="250" t="n"/>
      <c r="L267" s="250" t="n"/>
      <c r="M267" s="250" t="n"/>
      <c r="N267" s="250" t="n"/>
      <c r="O267" s="250" t="n"/>
      <c r="P267" s="250" t="n"/>
      <c r="Q267" s="250" t="n"/>
      <c r="R267" s="250" t="n"/>
      <c r="S267" s="250" t="n"/>
      <c r="T267" s="250" t="n"/>
      <c r="U267" s="250" t="n"/>
      <c r="V267" s="250" t="n"/>
      <c r="W267" s="250" t="n"/>
      <c r="X267" s="250" t="n"/>
      <c r="Y267" s="250" t="n"/>
      <c r="Z267" s="250" t="n"/>
    </row>
    <row r="268">
      <c r="A268" s="250" t="n"/>
      <c r="B268" s="250" t="n"/>
      <c r="C268" s="250" t="n"/>
      <c r="D268" s="250" t="n"/>
      <c r="E268" s="250" t="n"/>
      <c r="F268" s="250" t="n"/>
      <c r="G268" s="250" t="n"/>
      <c r="H268" s="250" t="n"/>
      <c r="I268" s="250" t="n"/>
      <c r="J268" s="250" t="n"/>
      <c r="K268" s="250" t="n"/>
      <c r="L268" s="250" t="n"/>
      <c r="M268" s="250" t="n"/>
      <c r="N268" s="250" t="n"/>
      <c r="O268" s="250" t="n"/>
      <c r="P268" s="250" t="n"/>
      <c r="Q268" s="250" t="n"/>
      <c r="R268" s="250" t="n"/>
      <c r="S268" s="250" t="n"/>
      <c r="T268" s="250" t="n"/>
      <c r="U268" s="250" t="n"/>
      <c r="V268" s="250" t="n"/>
      <c r="W268" s="250" t="n"/>
      <c r="X268" s="250" t="n"/>
      <c r="Y268" s="250" t="n"/>
      <c r="Z268" s="250" t="n"/>
    </row>
    <row r="269">
      <c r="A269" s="250" t="n"/>
      <c r="B269" s="250" t="n"/>
      <c r="C269" s="250" t="n"/>
      <c r="D269" s="250" t="n"/>
      <c r="E269" s="250" t="n"/>
      <c r="F269" s="250" t="n"/>
      <c r="G269" s="250" t="n"/>
      <c r="H269" s="250" t="n"/>
      <c r="I269" s="250" t="n"/>
      <c r="J269" s="250" t="n"/>
      <c r="K269" s="250" t="n"/>
      <c r="L269" s="250" t="n"/>
      <c r="M269" s="250" t="n"/>
      <c r="N269" s="250" t="n"/>
      <c r="O269" s="250" t="n"/>
      <c r="P269" s="250" t="n"/>
      <c r="Q269" s="250" t="n"/>
      <c r="R269" s="250" t="n"/>
      <c r="S269" s="250" t="n"/>
      <c r="T269" s="250" t="n"/>
      <c r="U269" s="250" t="n"/>
      <c r="V269" s="250" t="n"/>
      <c r="W269" s="250" t="n"/>
      <c r="X269" s="250" t="n"/>
      <c r="Y269" s="250" t="n"/>
      <c r="Z269" s="250" t="n"/>
    </row>
    <row r="270">
      <c r="A270" s="250" t="n"/>
      <c r="B270" s="250" t="n"/>
      <c r="C270" s="250" t="n"/>
      <c r="D270" s="250" t="n"/>
      <c r="E270" s="250" t="n"/>
      <c r="F270" s="250" t="n"/>
      <c r="G270" s="250" t="n"/>
      <c r="H270" s="250" t="n"/>
      <c r="I270" s="250" t="n"/>
      <c r="J270" s="250" t="n"/>
      <c r="K270" s="250" t="n"/>
      <c r="L270" s="250" t="n"/>
      <c r="M270" s="250" t="n"/>
      <c r="N270" s="250" t="n"/>
      <c r="O270" s="250" t="n"/>
      <c r="P270" s="250" t="n"/>
      <c r="Q270" s="250" t="n"/>
      <c r="R270" s="250" t="n"/>
      <c r="S270" s="250" t="n"/>
      <c r="T270" s="250" t="n"/>
      <c r="U270" s="250" t="n"/>
      <c r="V270" s="250" t="n"/>
      <c r="W270" s="250" t="n"/>
      <c r="X270" s="250" t="n"/>
      <c r="Y270" s="250" t="n"/>
      <c r="Z270" s="250" t="n"/>
    </row>
    <row r="271">
      <c r="A271" s="250" t="n"/>
      <c r="B271" s="250" t="n"/>
      <c r="C271" s="250" t="n"/>
      <c r="D271" s="250" t="n"/>
      <c r="E271" s="250" t="n"/>
      <c r="F271" s="250" t="n"/>
      <c r="G271" s="250" t="n"/>
      <c r="H271" s="250" t="n"/>
      <c r="I271" s="250" t="n"/>
      <c r="J271" s="250" t="n"/>
      <c r="K271" s="250" t="n"/>
      <c r="L271" s="250" t="n"/>
      <c r="M271" s="250" t="n"/>
      <c r="N271" s="250" t="n"/>
      <c r="O271" s="250" t="n"/>
      <c r="P271" s="250" t="n"/>
      <c r="Q271" s="250" t="n"/>
      <c r="R271" s="250" t="n"/>
      <c r="S271" s="250" t="n"/>
      <c r="T271" s="250" t="n"/>
      <c r="U271" s="250" t="n"/>
      <c r="V271" s="250" t="n"/>
      <c r="W271" s="250" t="n"/>
      <c r="X271" s="250" t="n"/>
      <c r="Y271" s="250" t="n"/>
      <c r="Z271" s="250" t="n"/>
    </row>
    <row r="272">
      <c r="A272" s="250" t="n"/>
      <c r="B272" s="250" t="n"/>
      <c r="C272" s="250" t="n"/>
      <c r="D272" s="250" t="n"/>
      <c r="E272" s="250" t="n"/>
      <c r="F272" s="250" t="n"/>
      <c r="G272" s="250" t="n"/>
      <c r="H272" s="250" t="n"/>
      <c r="I272" s="250" t="n"/>
      <c r="J272" s="250" t="n"/>
      <c r="K272" s="250" t="n"/>
      <c r="L272" s="250" t="n"/>
      <c r="M272" s="250" t="n"/>
      <c r="N272" s="250" t="n"/>
      <c r="O272" s="250" t="n"/>
      <c r="P272" s="250" t="n"/>
      <c r="Q272" s="250" t="n"/>
      <c r="R272" s="250" t="n"/>
      <c r="S272" s="250" t="n"/>
      <c r="T272" s="250" t="n"/>
      <c r="U272" s="250" t="n"/>
      <c r="V272" s="250" t="n"/>
      <c r="W272" s="250" t="n"/>
      <c r="X272" s="250" t="n"/>
      <c r="Y272" s="250" t="n"/>
      <c r="Z272" s="250" t="n"/>
    </row>
    <row r="273">
      <c r="A273" s="250" t="n"/>
      <c r="B273" s="250" t="n"/>
      <c r="C273" s="250" t="n"/>
      <c r="D273" s="250" t="n"/>
      <c r="E273" s="250" t="n"/>
      <c r="F273" s="250" t="n"/>
      <c r="G273" s="250" t="n"/>
      <c r="H273" s="250" t="n"/>
      <c r="I273" s="250" t="n"/>
      <c r="J273" s="250" t="n"/>
      <c r="K273" s="250" t="n"/>
      <c r="L273" s="250" t="n"/>
      <c r="M273" s="250" t="n"/>
      <c r="N273" s="250" t="n"/>
      <c r="O273" s="250" t="n"/>
      <c r="P273" s="250" t="n"/>
      <c r="Q273" s="250" t="n"/>
      <c r="R273" s="250" t="n"/>
      <c r="S273" s="250" t="n"/>
      <c r="T273" s="250" t="n"/>
      <c r="U273" s="250" t="n"/>
      <c r="V273" s="250" t="n"/>
      <c r="W273" s="250" t="n"/>
      <c r="X273" s="250" t="n"/>
      <c r="Y273" s="250" t="n"/>
      <c r="Z273" s="250" t="n"/>
    </row>
    <row r="274">
      <c r="A274" s="250" t="n"/>
      <c r="B274" s="250" t="n"/>
      <c r="C274" s="250" t="n"/>
      <c r="D274" s="250" t="n"/>
      <c r="E274" s="250" t="n"/>
      <c r="F274" s="250" t="n"/>
      <c r="G274" s="250" t="n"/>
      <c r="H274" s="250" t="n"/>
      <c r="I274" s="250" t="n"/>
      <c r="J274" s="250" t="n"/>
      <c r="K274" s="250" t="n"/>
      <c r="L274" s="250" t="n"/>
      <c r="M274" s="250" t="n"/>
      <c r="N274" s="250" t="n"/>
      <c r="O274" s="250" t="n"/>
      <c r="P274" s="250" t="n"/>
      <c r="Q274" s="250" t="n"/>
      <c r="R274" s="250" t="n"/>
      <c r="S274" s="250" t="n"/>
      <c r="T274" s="250" t="n"/>
      <c r="U274" s="250" t="n"/>
      <c r="V274" s="250" t="n"/>
      <c r="W274" s="250" t="n"/>
      <c r="X274" s="250" t="n"/>
      <c r="Y274" s="250" t="n"/>
      <c r="Z274" s="250" t="n"/>
    </row>
    <row r="275">
      <c r="A275" s="250" t="n"/>
      <c r="B275" s="250" t="n"/>
      <c r="C275" s="250" t="n"/>
      <c r="D275" s="250" t="n"/>
      <c r="E275" s="250" t="n"/>
      <c r="F275" s="250" t="n"/>
      <c r="G275" s="250" t="n"/>
      <c r="H275" s="250" t="n"/>
      <c r="I275" s="250" t="n"/>
      <c r="J275" s="250" t="n"/>
      <c r="K275" s="250" t="n"/>
      <c r="L275" s="250" t="n"/>
      <c r="M275" s="250" t="n"/>
      <c r="N275" s="250" t="n"/>
      <c r="O275" s="250" t="n"/>
      <c r="P275" s="250" t="n"/>
      <c r="Q275" s="250" t="n"/>
      <c r="R275" s="250" t="n"/>
      <c r="S275" s="250" t="n"/>
      <c r="T275" s="250" t="n"/>
      <c r="U275" s="250" t="n"/>
      <c r="V275" s="250" t="n"/>
      <c r="W275" s="250" t="n"/>
      <c r="X275" s="250" t="n"/>
      <c r="Y275" s="250" t="n"/>
      <c r="Z275" s="250" t="n"/>
    </row>
    <row r="276">
      <c r="A276" s="250" t="n"/>
      <c r="B276" s="250" t="n"/>
      <c r="C276" s="250" t="n"/>
      <c r="D276" s="250" t="n"/>
      <c r="E276" s="250" t="n"/>
      <c r="F276" s="250" t="n"/>
      <c r="G276" s="250" t="n"/>
      <c r="H276" s="250" t="n"/>
      <c r="I276" s="250" t="n"/>
      <c r="J276" s="250" t="n"/>
      <c r="K276" s="250" t="n"/>
      <c r="L276" s="250" t="n"/>
      <c r="M276" s="250" t="n"/>
      <c r="N276" s="250" t="n"/>
      <c r="O276" s="250" t="n"/>
      <c r="P276" s="250" t="n"/>
      <c r="Q276" s="250" t="n"/>
      <c r="R276" s="250" t="n"/>
      <c r="S276" s="250" t="n"/>
      <c r="T276" s="250" t="n"/>
      <c r="U276" s="250" t="n"/>
      <c r="V276" s="250" t="n"/>
      <c r="W276" s="250" t="n"/>
      <c r="X276" s="250" t="n"/>
      <c r="Y276" s="250" t="n"/>
      <c r="Z276" s="250" t="n"/>
    </row>
    <row r="277">
      <c r="A277" s="250" t="n"/>
      <c r="B277" s="250" t="n"/>
      <c r="C277" s="250" t="n"/>
      <c r="D277" s="250" t="n"/>
      <c r="E277" s="250" t="n"/>
      <c r="F277" s="250" t="n"/>
      <c r="G277" s="250" t="n"/>
      <c r="H277" s="250" t="n"/>
      <c r="I277" s="250" t="n"/>
      <c r="J277" s="250" t="n"/>
      <c r="K277" s="250" t="n"/>
      <c r="L277" s="250" t="n"/>
      <c r="M277" s="250" t="n"/>
      <c r="N277" s="250" t="n"/>
      <c r="O277" s="250" t="n"/>
      <c r="P277" s="250" t="n"/>
      <c r="Q277" s="250" t="n"/>
      <c r="R277" s="250" t="n"/>
      <c r="S277" s="250" t="n"/>
      <c r="T277" s="250" t="n"/>
      <c r="U277" s="250" t="n"/>
      <c r="V277" s="250" t="n"/>
      <c r="W277" s="250" t="n"/>
      <c r="X277" s="250" t="n"/>
      <c r="Y277" s="250" t="n"/>
      <c r="Z277" s="250" t="n"/>
    </row>
    <row r="278">
      <c r="A278" s="250" t="n"/>
      <c r="B278" s="250" t="n"/>
      <c r="C278" s="250" t="n"/>
      <c r="D278" s="250" t="n"/>
      <c r="E278" s="250" t="n"/>
      <c r="F278" s="250" t="n"/>
      <c r="G278" s="250" t="n"/>
      <c r="H278" s="250" t="n"/>
      <c r="I278" s="250" t="n"/>
      <c r="J278" s="250" t="n"/>
      <c r="K278" s="250" t="n"/>
      <c r="L278" s="250" t="n"/>
      <c r="M278" s="250" t="n"/>
      <c r="N278" s="250" t="n"/>
      <c r="O278" s="250" t="n"/>
      <c r="P278" s="250" t="n"/>
      <c r="Q278" s="250" t="n"/>
      <c r="R278" s="250" t="n"/>
      <c r="S278" s="250" t="n"/>
      <c r="T278" s="250" t="n"/>
      <c r="U278" s="250" t="n"/>
      <c r="V278" s="250" t="n"/>
      <c r="W278" s="250" t="n"/>
      <c r="X278" s="250" t="n"/>
      <c r="Y278" s="250" t="n"/>
      <c r="Z278" s="250" t="n"/>
    </row>
    <row r="279">
      <c r="A279" s="250" t="n"/>
      <c r="B279" s="250" t="n"/>
      <c r="C279" s="250" t="n"/>
      <c r="D279" s="250" t="n"/>
      <c r="E279" s="250" t="n"/>
      <c r="F279" s="250" t="n"/>
      <c r="G279" s="250" t="n"/>
      <c r="H279" s="250" t="n"/>
      <c r="I279" s="250" t="n"/>
      <c r="J279" s="250" t="n"/>
      <c r="K279" s="250" t="n"/>
      <c r="L279" s="250" t="n"/>
      <c r="M279" s="250" t="n"/>
      <c r="N279" s="250" t="n"/>
      <c r="O279" s="250" t="n"/>
      <c r="P279" s="250" t="n"/>
      <c r="Q279" s="250" t="n"/>
      <c r="R279" s="250" t="n"/>
      <c r="S279" s="250" t="n"/>
      <c r="T279" s="250" t="n"/>
      <c r="U279" s="250" t="n"/>
      <c r="V279" s="250" t="n"/>
      <c r="W279" s="250" t="n"/>
      <c r="X279" s="250" t="n"/>
      <c r="Y279" s="250" t="n"/>
      <c r="Z279" s="250" t="n"/>
    </row>
    <row r="280">
      <c r="A280" s="250" t="n"/>
      <c r="B280" s="250" t="n"/>
      <c r="C280" s="250" t="n"/>
      <c r="D280" s="250" t="n"/>
      <c r="E280" s="250" t="n"/>
      <c r="F280" s="250" t="n"/>
      <c r="G280" s="250" t="n"/>
      <c r="H280" s="250" t="n"/>
      <c r="I280" s="250" t="n"/>
      <c r="J280" s="250" t="n"/>
      <c r="K280" s="250" t="n"/>
      <c r="L280" s="250" t="n"/>
      <c r="M280" s="250" t="n"/>
      <c r="N280" s="250" t="n"/>
      <c r="O280" s="250" t="n"/>
      <c r="P280" s="250" t="n"/>
      <c r="Q280" s="250" t="n"/>
      <c r="R280" s="250" t="n"/>
      <c r="S280" s="250" t="n"/>
      <c r="T280" s="250" t="n"/>
      <c r="U280" s="250" t="n"/>
      <c r="V280" s="250" t="n"/>
      <c r="W280" s="250" t="n"/>
      <c r="X280" s="250" t="n"/>
      <c r="Y280" s="250" t="n"/>
      <c r="Z280" s="250" t="n"/>
    </row>
    <row r="281">
      <c r="A281" s="250" t="n"/>
      <c r="B281" s="250" t="n"/>
      <c r="C281" s="250" t="n"/>
      <c r="D281" s="250" t="n"/>
      <c r="E281" s="250" t="n"/>
      <c r="F281" s="250" t="n"/>
      <c r="G281" s="250" t="n"/>
      <c r="H281" s="250" t="n"/>
      <c r="I281" s="250" t="n"/>
      <c r="J281" s="250" t="n"/>
      <c r="K281" s="250" t="n"/>
      <c r="L281" s="250" t="n"/>
      <c r="M281" s="250" t="n"/>
      <c r="N281" s="250" t="n"/>
      <c r="O281" s="250" t="n"/>
      <c r="P281" s="250" t="n"/>
      <c r="Q281" s="250" t="n"/>
      <c r="R281" s="250" t="n"/>
      <c r="S281" s="250" t="n"/>
      <c r="T281" s="250" t="n"/>
      <c r="U281" s="250" t="n"/>
      <c r="V281" s="250" t="n"/>
      <c r="W281" s="250" t="n"/>
      <c r="X281" s="250" t="n"/>
      <c r="Y281" s="250" t="n"/>
      <c r="Z281" s="250" t="n"/>
    </row>
    <row r="282">
      <c r="A282" s="250" t="n"/>
      <c r="B282" s="250" t="n"/>
      <c r="C282" s="250" t="n"/>
      <c r="D282" s="250" t="n"/>
      <c r="E282" s="250" t="n"/>
      <c r="F282" s="250" t="n"/>
      <c r="G282" s="250" t="n"/>
      <c r="H282" s="250" t="n"/>
      <c r="I282" s="250" t="n"/>
      <c r="J282" s="250" t="n"/>
      <c r="K282" s="250" t="n"/>
      <c r="L282" s="250" t="n"/>
      <c r="M282" s="250" t="n"/>
      <c r="N282" s="250" t="n"/>
      <c r="O282" s="250" t="n"/>
      <c r="P282" s="250" t="n"/>
      <c r="Q282" s="250" t="n"/>
      <c r="R282" s="250" t="n"/>
      <c r="S282" s="250" t="n"/>
      <c r="T282" s="250" t="n"/>
      <c r="U282" s="250" t="n"/>
      <c r="V282" s="250" t="n"/>
      <c r="W282" s="250" t="n"/>
      <c r="X282" s="250" t="n"/>
      <c r="Y282" s="250" t="n"/>
      <c r="Z282" s="250" t="n"/>
    </row>
    <row r="283">
      <c r="A283" s="250" t="n"/>
      <c r="B283" s="250" t="n"/>
      <c r="C283" s="250" t="n"/>
      <c r="D283" s="250" t="n"/>
      <c r="E283" s="250" t="n"/>
      <c r="F283" s="250" t="n"/>
      <c r="G283" s="250" t="n"/>
      <c r="H283" s="250" t="n"/>
      <c r="I283" s="250" t="n"/>
      <c r="J283" s="250" t="n"/>
      <c r="K283" s="250" t="n"/>
      <c r="L283" s="250" t="n"/>
      <c r="M283" s="250" t="n"/>
      <c r="N283" s="250" t="n"/>
      <c r="O283" s="250" t="n"/>
      <c r="P283" s="250" t="n"/>
      <c r="Q283" s="250" t="n"/>
      <c r="R283" s="250" t="n"/>
      <c r="S283" s="250" t="n"/>
      <c r="T283" s="250" t="n"/>
      <c r="U283" s="250" t="n"/>
      <c r="V283" s="250" t="n"/>
      <c r="W283" s="250" t="n"/>
      <c r="X283" s="250" t="n"/>
      <c r="Y283" s="250" t="n"/>
      <c r="Z283" s="250" t="n"/>
    </row>
    <row r="284">
      <c r="A284" s="250" t="n"/>
      <c r="B284" s="250" t="n"/>
      <c r="C284" s="250" t="n"/>
      <c r="D284" s="250" t="n"/>
      <c r="E284" s="250" t="n"/>
      <c r="F284" s="250" t="n"/>
      <c r="G284" s="250" t="n"/>
      <c r="H284" s="250" t="n"/>
      <c r="I284" s="250" t="n"/>
      <c r="J284" s="250" t="n"/>
      <c r="K284" s="250" t="n"/>
      <c r="L284" s="250" t="n"/>
      <c r="M284" s="250" t="n"/>
      <c r="N284" s="250" t="n"/>
      <c r="O284" s="250" t="n"/>
      <c r="P284" s="250" t="n"/>
      <c r="Q284" s="250" t="n"/>
      <c r="R284" s="250" t="n"/>
      <c r="S284" s="250" t="n"/>
      <c r="T284" s="250" t="n"/>
      <c r="U284" s="250" t="n"/>
      <c r="V284" s="250" t="n"/>
      <c r="W284" s="250" t="n"/>
      <c r="X284" s="250" t="n"/>
      <c r="Y284" s="250" t="n"/>
      <c r="Z284" s="250" t="n"/>
    </row>
    <row r="285">
      <c r="A285" s="250" t="n"/>
      <c r="B285" s="250" t="n"/>
      <c r="C285" s="250" t="n"/>
      <c r="D285" s="250" t="n"/>
      <c r="E285" s="250" t="n"/>
      <c r="F285" s="250" t="n"/>
      <c r="G285" s="250" t="n"/>
      <c r="H285" s="250" t="n"/>
      <c r="I285" s="250" t="n"/>
      <c r="J285" s="250" t="n"/>
      <c r="K285" s="250" t="n"/>
      <c r="L285" s="250" t="n"/>
      <c r="M285" s="250" t="n"/>
      <c r="N285" s="250" t="n"/>
      <c r="O285" s="250" t="n"/>
      <c r="P285" s="250" t="n"/>
      <c r="Q285" s="250" t="n"/>
      <c r="R285" s="250" t="n"/>
      <c r="S285" s="250" t="n"/>
      <c r="T285" s="250" t="n"/>
      <c r="U285" s="250" t="n"/>
      <c r="V285" s="250" t="n"/>
      <c r="W285" s="250" t="n"/>
      <c r="X285" s="250" t="n"/>
      <c r="Y285" s="250" t="n"/>
      <c r="Z285" s="250" t="n"/>
    </row>
    <row r="286">
      <c r="A286" s="250" t="n"/>
      <c r="B286" s="250" t="n"/>
      <c r="C286" s="250" t="n"/>
      <c r="D286" s="250" t="n"/>
      <c r="E286" s="250" t="n"/>
      <c r="F286" s="250" t="n"/>
      <c r="G286" s="250" t="n"/>
      <c r="H286" s="250" t="n"/>
      <c r="I286" s="250" t="n"/>
      <c r="J286" s="250" t="n"/>
      <c r="K286" s="250" t="n"/>
      <c r="L286" s="250" t="n"/>
      <c r="M286" s="250" t="n"/>
      <c r="N286" s="250" t="n"/>
      <c r="O286" s="250" t="n"/>
      <c r="P286" s="250" t="n"/>
      <c r="Q286" s="250" t="n"/>
      <c r="R286" s="250" t="n"/>
      <c r="S286" s="250" t="n"/>
      <c r="T286" s="250" t="n"/>
      <c r="U286" s="250" t="n"/>
      <c r="V286" s="250" t="n"/>
      <c r="W286" s="250" t="n"/>
      <c r="X286" s="250" t="n"/>
      <c r="Y286" s="250" t="n"/>
      <c r="Z286" s="250" t="n"/>
    </row>
    <row r="287">
      <c r="A287" s="250" t="n"/>
      <c r="B287" s="250" t="n"/>
      <c r="C287" s="250" t="n"/>
      <c r="D287" s="250" t="n"/>
      <c r="E287" s="250" t="n"/>
      <c r="F287" s="250" t="n"/>
      <c r="G287" s="250" t="n"/>
      <c r="H287" s="250" t="n"/>
      <c r="I287" s="250" t="n"/>
      <c r="J287" s="250" t="n"/>
      <c r="K287" s="250" t="n"/>
      <c r="L287" s="250" t="n"/>
      <c r="M287" s="250" t="n"/>
      <c r="N287" s="250" t="n"/>
      <c r="O287" s="250" t="n"/>
      <c r="P287" s="250" t="n"/>
      <c r="Q287" s="250" t="n"/>
      <c r="R287" s="250" t="n"/>
      <c r="S287" s="250" t="n"/>
      <c r="T287" s="250" t="n"/>
      <c r="U287" s="250" t="n"/>
      <c r="V287" s="250" t="n"/>
      <c r="W287" s="250" t="n"/>
      <c r="X287" s="250" t="n"/>
      <c r="Y287" s="250" t="n"/>
      <c r="Z287" s="250" t="n"/>
    </row>
    <row r="288">
      <c r="A288" s="250" t="n"/>
      <c r="B288" s="250" t="n"/>
      <c r="C288" s="250" t="n"/>
      <c r="D288" s="250" t="n"/>
      <c r="E288" s="250" t="n"/>
      <c r="F288" s="250" t="n"/>
      <c r="G288" s="250" t="n"/>
      <c r="H288" s="250" t="n"/>
      <c r="I288" s="250" t="n"/>
      <c r="J288" s="250" t="n"/>
      <c r="K288" s="250" t="n"/>
      <c r="L288" s="250" t="n"/>
      <c r="M288" s="250" t="n"/>
      <c r="N288" s="250" t="n"/>
      <c r="O288" s="250" t="n"/>
      <c r="P288" s="250" t="n"/>
      <c r="Q288" s="250" t="n"/>
      <c r="R288" s="250" t="n"/>
      <c r="S288" s="250" t="n"/>
      <c r="T288" s="250" t="n"/>
      <c r="U288" s="250" t="n"/>
      <c r="V288" s="250" t="n"/>
      <c r="W288" s="250" t="n"/>
      <c r="X288" s="250" t="n"/>
      <c r="Y288" s="250" t="n"/>
      <c r="Z288" s="250" t="n"/>
    </row>
    <row r="289">
      <c r="A289" s="250" t="n"/>
      <c r="B289" s="250" t="n"/>
      <c r="C289" s="250" t="n"/>
      <c r="D289" s="250" t="n"/>
      <c r="E289" s="250" t="n"/>
      <c r="F289" s="250" t="n"/>
      <c r="G289" s="250" t="n"/>
      <c r="H289" s="250" t="n"/>
      <c r="I289" s="250" t="n"/>
      <c r="J289" s="250" t="n"/>
      <c r="K289" s="250" t="n"/>
      <c r="L289" s="250" t="n"/>
      <c r="M289" s="250" t="n"/>
      <c r="N289" s="250" t="n"/>
      <c r="O289" s="250" t="n"/>
      <c r="P289" s="250" t="n"/>
      <c r="Q289" s="250" t="n"/>
      <c r="R289" s="250" t="n"/>
      <c r="S289" s="250" t="n"/>
      <c r="T289" s="250" t="n"/>
      <c r="U289" s="250" t="n"/>
      <c r="V289" s="250" t="n"/>
      <c r="W289" s="250" t="n"/>
      <c r="X289" s="250" t="n"/>
      <c r="Y289" s="250" t="n"/>
      <c r="Z289" s="250" t="n"/>
    </row>
    <row r="290">
      <c r="A290" s="250" t="n"/>
      <c r="B290" s="250" t="n"/>
      <c r="C290" s="250" t="n"/>
      <c r="D290" s="250" t="n"/>
      <c r="E290" s="250" t="n"/>
      <c r="F290" s="250" t="n"/>
      <c r="G290" s="250" t="n"/>
      <c r="H290" s="250" t="n"/>
      <c r="I290" s="250" t="n"/>
      <c r="J290" s="250" t="n"/>
      <c r="K290" s="250" t="n"/>
      <c r="L290" s="250" t="n"/>
      <c r="M290" s="250" t="n"/>
      <c r="N290" s="250" t="n"/>
      <c r="O290" s="250" t="n"/>
      <c r="P290" s="250" t="n"/>
      <c r="Q290" s="250" t="n"/>
      <c r="R290" s="250" t="n"/>
      <c r="S290" s="250" t="n"/>
      <c r="T290" s="250" t="n"/>
      <c r="U290" s="250" t="n"/>
      <c r="V290" s="250" t="n"/>
      <c r="W290" s="250" t="n"/>
      <c r="X290" s="250" t="n"/>
      <c r="Y290" s="250" t="n"/>
      <c r="Z290" s="250" t="n"/>
    </row>
    <row r="291">
      <c r="A291" s="250" t="n"/>
      <c r="B291" s="250" t="n"/>
      <c r="C291" s="250" t="n"/>
      <c r="D291" s="250" t="n"/>
      <c r="E291" s="250" t="n"/>
      <c r="F291" s="250" t="n"/>
      <c r="G291" s="250" t="n"/>
      <c r="H291" s="250" t="n"/>
      <c r="I291" s="250" t="n"/>
      <c r="J291" s="250" t="n"/>
      <c r="K291" s="250" t="n"/>
      <c r="L291" s="250" t="n"/>
      <c r="M291" s="250" t="n"/>
      <c r="N291" s="250" t="n"/>
      <c r="O291" s="250" t="n"/>
      <c r="P291" s="250" t="n"/>
      <c r="Q291" s="250" t="n"/>
      <c r="R291" s="250" t="n"/>
      <c r="S291" s="250" t="n"/>
      <c r="T291" s="250" t="n"/>
      <c r="U291" s="250" t="n"/>
      <c r="V291" s="250" t="n"/>
      <c r="W291" s="250" t="n"/>
      <c r="X291" s="250" t="n"/>
      <c r="Y291" s="250" t="n"/>
      <c r="Z291" s="250" t="n"/>
    </row>
    <row r="292">
      <c r="A292" s="250" t="n"/>
      <c r="B292" s="250" t="n"/>
      <c r="C292" s="250" t="n"/>
      <c r="D292" s="250" t="n"/>
      <c r="E292" s="250" t="n"/>
      <c r="F292" s="250" t="n"/>
      <c r="G292" s="250" t="n"/>
      <c r="H292" s="250" t="n"/>
      <c r="I292" s="250" t="n"/>
      <c r="J292" s="250" t="n"/>
      <c r="K292" s="250" t="n"/>
      <c r="L292" s="250" t="n"/>
      <c r="M292" s="250" t="n"/>
      <c r="N292" s="250" t="n"/>
      <c r="O292" s="250" t="n"/>
      <c r="P292" s="250" t="n"/>
      <c r="Q292" s="250" t="n"/>
      <c r="R292" s="250" t="n"/>
      <c r="S292" s="250" t="n"/>
      <c r="T292" s="250" t="n"/>
      <c r="U292" s="250" t="n"/>
      <c r="V292" s="250" t="n"/>
      <c r="W292" s="250" t="n"/>
      <c r="X292" s="250" t="n"/>
      <c r="Y292" s="250" t="n"/>
      <c r="Z292" s="250" t="n"/>
    </row>
    <row r="293">
      <c r="A293" s="250" t="n"/>
      <c r="B293" s="250" t="n"/>
      <c r="C293" s="250" t="n"/>
      <c r="D293" s="250" t="n"/>
      <c r="E293" s="250" t="n"/>
      <c r="F293" s="250" t="n"/>
      <c r="G293" s="250" t="n"/>
      <c r="H293" s="250" t="n"/>
      <c r="I293" s="250" t="n"/>
      <c r="J293" s="250" t="n"/>
      <c r="K293" s="250" t="n"/>
      <c r="L293" s="250" t="n"/>
      <c r="M293" s="250" t="n"/>
      <c r="N293" s="250" t="n"/>
      <c r="O293" s="250" t="n"/>
      <c r="P293" s="250" t="n"/>
      <c r="Q293" s="250" t="n"/>
      <c r="R293" s="250" t="n"/>
      <c r="S293" s="250" t="n"/>
      <c r="T293" s="250" t="n"/>
      <c r="U293" s="250" t="n"/>
      <c r="V293" s="250" t="n"/>
      <c r="W293" s="250" t="n"/>
      <c r="X293" s="250" t="n"/>
      <c r="Y293" s="250" t="n"/>
      <c r="Z293" s="250" t="n"/>
    </row>
    <row r="294">
      <c r="A294" s="250" t="n"/>
      <c r="B294" s="250" t="n"/>
      <c r="C294" s="250" t="n"/>
      <c r="D294" s="250" t="n"/>
      <c r="E294" s="250" t="n"/>
      <c r="F294" s="250" t="n"/>
      <c r="G294" s="250" t="n"/>
      <c r="H294" s="250" t="n"/>
      <c r="I294" s="250" t="n"/>
      <c r="J294" s="250" t="n"/>
      <c r="K294" s="250" t="n"/>
      <c r="L294" s="250" t="n"/>
      <c r="M294" s="250" t="n"/>
      <c r="N294" s="250" t="n"/>
      <c r="O294" s="250" t="n"/>
      <c r="P294" s="250" t="n"/>
      <c r="Q294" s="250" t="n"/>
      <c r="R294" s="250" t="n"/>
      <c r="S294" s="250" t="n"/>
      <c r="T294" s="250" t="n"/>
      <c r="U294" s="250" t="n"/>
      <c r="V294" s="250" t="n"/>
      <c r="W294" s="250" t="n"/>
      <c r="X294" s="250" t="n"/>
      <c r="Y294" s="250" t="n"/>
      <c r="Z294" s="250" t="n"/>
    </row>
    <row r="295">
      <c r="A295" s="250" t="n"/>
      <c r="B295" s="250" t="n"/>
      <c r="C295" s="250" t="n"/>
      <c r="D295" s="250" t="n"/>
      <c r="E295" s="250" t="n"/>
      <c r="F295" s="250" t="n"/>
      <c r="G295" s="250" t="n"/>
      <c r="H295" s="250" t="n"/>
      <c r="I295" s="250" t="n"/>
      <c r="J295" s="250" t="n"/>
      <c r="K295" s="250" t="n"/>
      <c r="L295" s="250" t="n"/>
      <c r="M295" s="250" t="n"/>
      <c r="N295" s="250" t="n"/>
      <c r="O295" s="250" t="n"/>
      <c r="P295" s="250" t="n"/>
      <c r="Q295" s="250" t="n"/>
      <c r="R295" s="250" t="n"/>
      <c r="S295" s="250" t="n"/>
      <c r="T295" s="250" t="n"/>
      <c r="U295" s="250" t="n"/>
      <c r="V295" s="250" t="n"/>
      <c r="W295" s="250" t="n"/>
      <c r="X295" s="250" t="n"/>
      <c r="Y295" s="250" t="n"/>
      <c r="Z295" s="250" t="n"/>
    </row>
    <row r="296">
      <c r="A296" s="250" t="n"/>
      <c r="B296" s="250" t="n"/>
      <c r="C296" s="250" t="n"/>
      <c r="D296" s="250" t="n"/>
      <c r="E296" s="250" t="n"/>
      <c r="F296" s="250" t="n"/>
      <c r="G296" s="250" t="n"/>
      <c r="H296" s="250" t="n"/>
      <c r="I296" s="250" t="n"/>
      <c r="J296" s="250" t="n"/>
      <c r="K296" s="250" t="n"/>
      <c r="L296" s="250" t="n"/>
      <c r="M296" s="250" t="n"/>
      <c r="N296" s="250" t="n"/>
      <c r="O296" s="250" t="n"/>
      <c r="P296" s="250" t="n"/>
      <c r="Q296" s="250" t="n"/>
      <c r="R296" s="250" t="n"/>
      <c r="S296" s="250" t="n"/>
      <c r="T296" s="250" t="n"/>
      <c r="U296" s="250" t="n"/>
      <c r="V296" s="250" t="n"/>
      <c r="W296" s="250" t="n"/>
      <c r="X296" s="250" t="n"/>
      <c r="Y296" s="250" t="n"/>
      <c r="Z296" s="250" t="n"/>
    </row>
    <row r="297">
      <c r="A297" s="250" t="n"/>
      <c r="B297" s="250" t="n"/>
      <c r="C297" s="250" t="n"/>
      <c r="D297" s="250" t="n"/>
      <c r="E297" s="250" t="n"/>
      <c r="F297" s="250" t="n"/>
      <c r="G297" s="250" t="n"/>
      <c r="H297" s="250" t="n"/>
      <c r="I297" s="250" t="n"/>
      <c r="J297" s="250" t="n"/>
      <c r="K297" s="250" t="n"/>
      <c r="L297" s="250" t="n"/>
      <c r="M297" s="250" t="n"/>
      <c r="N297" s="250" t="n"/>
      <c r="O297" s="250" t="n"/>
      <c r="P297" s="250" t="n"/>
      <c r="Q297" s="250" t="n"/>
      <c r="R297" s="250" t="n"/>
      <c r="S297" s="250" t="n"/>
      <c r="T297" s="250" t="n"/>
      <c r="U297" s="250" t="n"/>
      <c r="V297" s="250" t="n"/>
      <c r="W297" s="250" t="n"/>
      <c r="X297" s="250" t="n"/>
      <c r="Y297" s="250" t="n"/>
      <c r="Z297" s="250" t="n"/>
    </row>
    <row r="298">
      <c r="A298" s="250" t="n"/>
      <c r="B298" s="250" t="n"/>
      <c r="C298" s="250" t="n"/>
      <c r="D298" s="250" t="n"/>
      <c r="E298" s="250" t="n"/>
      <c r="F298" s="250" t="n"/>
      <c r="G298" s="250" t="n"/>
      <c r="H298" s="250" t="n"/>
      <c r="I298" s="250" t="n"/>
      <c r="J298" s="250" t="n"/>
      <c r="K298" s="250" t="n"/>
      <c r="L298" s="250" t="n"/>
      <c r="M298" s="250" t="n"/>
      <c r="N298" s="250" t="n"/>
      <c r="O298" s="250" t="n"/>
      <c r="P298" s="250" t="n"/>
      <c r="Q298" s="250" t="n"/>
      <c r="R298" s="250" t="n"/>
      <c r="S298" s="250" t="n"/>
      <c r="T298" s="250" t="n"/>
      <c r="U298" s="250" t="n"/>
      <c r="V298" s="250" t="n"/>
      <c r="W298" s="250" t="n"/>
      <c r="X298" s="250" t="n"/>
      <c r="Y298" s="250" t="n"/>
      <c r="Z298" s="250" t="n"/>
    </row>
    <row r="299">
      <c r="A299" s="250" t="n"/>
      <c r="B299" s="250" t="n"/>
      <c r="C299" s="250" t="n"/>
      <c r="D299" s="250" t="n"/>
      <c r="E299" s="250" t="n"/>
      <c r="F299" s="250" t="n"/>
      <c r="G299" s="250" t="n"/>
      <c r="H299" s="250" t="n"/>
      <c r="I299" s="250" t="n"/>
      <c r="J299" s="250" t="n"/>
      <c r="K299" s="250" t="n"/>
      <c r="L299" s="250" t="n"/>
      <c r="M299" s="250" t="n"/>
      <c r="N299" s="250" t="n"/>
      <c r="O299" s="250" t="n"/>
      <c r="P299" s="250" t="n"/>
      <c r="Q299" s="250" t="n"/>
      <c r="R299" s="250" t="n"/>
      <c r="S299" s="250" t="n"/>
      <c r="T299" s="250" t="n"/>
      <c r="U299" s="250" t="n"/>
      <c r="V299" s="250" t="n"/>
      <c r="W299" s="250" t="n"/>
      <c r="X299" s="250" t="n"/>
      <c r="Y299" s="250" t="n"/>
      <c r="Z299" s="250" t="n"/>
    </row>
    <row r="300">
      <c r="A300" s="250" t="n"/>
      <c r="B300" s="250" t="n"/>
      <c r="C300" s="250" t="n"/>
      <c r="D300" s="250" t="n"/>
      <c r="E300" s="250" t="n"/>
      <c r="F300" s="250" t="n"/>
      <c r="G300" s="250" t="n"/>
      <c r="H300" s="250" t="n"/>
      <c r="I300" s="250" t="n"/>
      <c r="J300" s="250" t="n"/>
      <c r="K300" s="250" t="n"/>
      <c r="L300" s="250" t="n"/>
      <c r="M300" s="250" t="n"/>
      <c r="N300" s="250" t="n"/>
      <c r="O300" s="250" t="n"/>
      <c r="P300" s="250" t="n"/>
      <c r="Q300" s="250" t="n"/>
      <c r="R300" s="250" t="n"/>
      <c r="S300" s="250" t="n"/>
      <c r="T300" s="250" t="n"/>
      <c r="U300" s="250" t="n"/>
      <c r="V300" s="250" t="n"/>
      <c r="W300" s="250" t="n"/>
      <c r="X300" s="250" t="n"/>
      <c r="Y300" s="250" t="n"/>
      <c r="Z300" s="250" t="n"/>
    </row>
    <row r="301">
      <c r="A301" s="250" t="n"/>
      <c r="B301" s="250" t="n"/>
      <c r="C301" s="250" t="n"/>
      <c r="D301" s="250" t="n"/>
      <c r="E301" s="250" t="n"/>
      <c r="F301" s="250" t="n"/>
      <c r="G301" s="250" t="n"/>
      <c r="H301" s="250" t="n"/>
      <c r="I301" s="250" t="n"/>
      <c r="J301" s="250" t="n"/>
      <c r="K301" s="250" t="n"/>
      <c r="L301" s="250" t="n"/>
      <c r="M301" s="250" t="n"/>
      <c r="N301" s="250" t="n"/>
      <c r="O301" s="250" t="n"/>
      <c r="P301" s="250" t="n"/>
      <c r="Q301" s="250" t="n"/>
      <c r="R301" s="250" t="n"/>
      <c r="S301" s="250" t="n"/>
      <c r="T301" s="250" t="n"/>
      <c r="U301" s="250" t="n"/>
      <c r="V301" s="250" t="n"/>
      <c r="W301" s="250" t="n"/>
      <c r="X301" s="250" t="n"/>
      <c r="Y301" s="250" t="n"/>
      <c r="Z301" s="250" t="n"/>
    </row>
    <row r="302">
      <c r="A302" s="250" t="n"/>
      <c r="B302" s="250" t="n"/>
      <c r="C302" s="250" t="n"/>
      <c r="D302" s="250" t="n"/>
      <c r="E302" s="250" t="n"/>
      <c r="F302" s="250" t="n"/>
      <c r="G302" s="250" t="n"/>
      <c r="H302" s="250" t="n"/>
      <c r="I302" s="250" t="n"/>
      <c r="J302" s="250" t="n"/>
      <c r="K302" s="250" t="n"/>
      <c r="L302" s="250" t="n"/>
      <c r="M302" s="250" t="n"/>
      <c r="N302" s="250" t="n"/>
      <c r="O302" s="250" t="n"/>
      <c r="P302" s="250" t="n"/>
      <c r="Q302" s="250" t="n"/>
      <c r="R302" s="250" t="n"/>
      <c r="S302" s="250" t="n"/>
      <c r="T302" s="250" t="n"/>
      <c r="U302" s="250" t="n"/>
      <c r="V302" s="250" t="n"/>
      <c r="W302" s="250" t="n"/>
      <c r="X302" s="250" t="n"/>
      <c r="Y302" s="250" t="n"/>
      <c r="Z302" s="250" t="n"/>
    </row>
    <row r="303">
      <c r="A303" s="250" t="n"/>
      <c r="B303" s="250" t="n"/>
      <c r="C303" s="250" t="n"/>
      <c r="D303" s="250" t="n"/>
      <c r="E303" s="250" t="n"/>
      <c r="F303" s="250" t="n"/>
      <c r="G303" s="250" t="n"/>
      <c r="H303" s="250" t="n"/>
      <c r="I303" s="250" t="n"/>
      <c r="J303" s="250" t="n"/>
      <c r="K303" s="250" t="n"/>
      <c r="L303" s="250" t="n"/>
      <c r="M303" s="250" t="n"/>
      <c r="N303" s="250" t="n"/>
      <c r="O303" s="250" t="n"/>
      <c r="P303" s="250" t="n"/>
      <c r="Q303" s="250" t="n"/>
      <c r="R303" s="250" t="n"/>
      <c r="S303" s="250" t="n"/>
      <c r="T303" s="250" t="n"/>
      <c r="U303" s="250" t="n"/>
      <c r="V303" s="250" t="n"/>
      <c r="W303" s="250" t="n"/>
      <c r="X303" s="250" t="n"/>
      <c r="Y303" s="250" t="n"/>
      <c r="Z303" s="250" t="n"/>
    </row>
    <row r="304">
      <c r="A304" s="250" t="n"/>
      <c r="B304" s="250" t="n"/>
      <c r="C304" s="250" t="n"/>
      <c r="D304" s="250" t="n"/>
      <c r="E304" s="250" t="n"/>
      <c r="F304" s="250" t="n"/>
      <c r="G304" s="250" t="n"/>
      <c r="H304" s="250" t="n"/>
      <c r="I304" s="250" t="n"/>
      <c r="J304" s="250" t="n"/>
      <c r="K304" s="250" t="n"/>
      <c r="L304" s="250" t="n"/>
      <c r="M304" s="250" t="n"/>
      <c r="N304" s="250" t="n"/>
      <c r="O304" s="250" t="n"/>
      <c r="P304" s="250" t="n"/>
      <c r="Q304" s="250" t="n"/>
      <c r="R304" s="250" t="n"/>
      <c r="S304" s="250" t="n"/>
      <c r="T304" s="250" t="n"/>
      <c r="U304" s="250" t="n"/>
      <c r="V304" s="250" t="n"/>
      <c r="W304" s="250" t="n"/>
      <c r="X304" s="250" t="n"/>
      <c r="Y304" s="250" t="n"/>
      <c r="Z304" s="250" t="n"/>
    </row>
    <row r="305">
      <c r="A305" s="250" t="n"/>
      <c r="B305" s="250" t="n"/>
      <c r="C305" s="250" t="n"/>
      <c r="D305" s="250" t="n"/>
      <c r="E305" s="250" t="n"/>
      <c r="F305" s="250" t="n"/>
      <c r="G305" s="250" t="n"/>
      <c r="H305" s="250" t="n"/>
      <c r="I305" s="250" t="n"/>
      <c r="J305" s="250" t="n"/>
      <c r="K305" s="250" t="n"/>
      <c r="L305" s="250" t="n"/>
      <c r="M305" s="250" t="n"/>
      <c r="N305" s="250" t="n"/>
      <c r="O305" s="250" t="n"/>
      <c r="P305" s="250" t="n"/>
      <c r="Q305" s="250" t="n"/>
      <c r="R305" s="250" t="n"/>
      <c r="S305" s="250" t="n"/>
      <c r="T305" s="250" t="n"/>
      <c r="U305" s="250" t="n"/>
      <c r="V305" s="250" t="n"/>
      <c r="W305" s="250" t="n"/>
      <c r="X305" s="250" t="n"/>
      <c r="Y305" s="250" t="n"/>
      <c r="Z305" s="250" t="n"/>
    </row>
    <row r="306">
      <c r="A306" s="250" t="n"/>
      <c r="B306" s="250" t="n"/>
      <c r="C306" s="250" t="n"/>
      <c r="D306" s="250" t="n"/>
      <c r="E306" s="250" t="n"/>
      <c r="F306" s="250" t="n"/>
      <c r="G306" s="250" t="n"/>
      <c r="H306" s="250" t="n"/>
      <c r="I306" s="250" t="n"/>
      <c r="J306" s="250" t="n"/>
      <c r="K306" s="250" t="n"/>
      <c r="L306" s="250" t="n"/>
      <c r="M306" s="250" t="n"/>
      <c r="N306" s="250" t="n"/>
      <c r="O306" s="250" t="n"/>
      <c r="P306" s="250" t="n"/>
      <c r="Q306" s="250" t="n"/>
      <c r="R306" s="250" t="n"/>
      <c r="S306" s="250" t="n"/>
      <c r="T306" s="250" t="n"/>
      <c r="U306" s="250" t="n"/>
      <c r="V306" s="250" t="n"/>
      <c r="W306" s="250" t="n"/>
      <c r="X306" s="250" t="n"/>
      <c r="Y306" s="250" t="n"/>
      <c r="Z306" s="250" t="n"/>
    </row>
    <row r="307">
      <c r="A307" s="250" t="n"/>
      <c r="B307" s="250" t="n"/>
      <c r="C307" s="250" t="n"/>
      <c r="D307" s="250" t="n"/>
      <c r="E307" s="250" t="n"/>
      <c r="F307" s="250" t="n"/>
      <c r="G307" s="250" t="n"/>
      <c r="H307" s="250" t="n"/>
      <c r="I307" s="250" t="n"/>
      <c r="J307" s="250" t="n"/>
      <c r="K307" s="250" t="n"/>
      <c r="L307" s="250" t="n"/>
      <c r="M307" s="250" t="n"/>
      <c r="N307" s="250" t="n"/>
      <c r="O307" s="250" t="n"/>
      <c r="P307" s="250" t="n"/>
      <c r="Q307" s="250" t="n"/>
      <c r="R307" s="250" t="n"/>
      <c r="S307" s="250" t="n"/>
      <c r="T307" s="250" t="n"/>
      <c r="U307" s="250" t="n"/>
      <c r="V307" s="250" t="n"/>
      <c r="W307" s="250" t="n"/>
      <c r="X307" s="250" t="n"/>
      <c r="Y307" s="250" t="n"/>
      <c r="Z307" s="250" t="n"/>
    </row>
    <row r="308">
      <c r="A308" s="250" t="n"/>
      <c r="B308" s="250" t="n"/>
      <c r="C308" s="250" t="n"/>
      <c r="D308" s="250" t="n"/>
      <c r="E308" s="250" t="n"/>
      <c r="F308" s="250" t="n"/>
      <c r="G308" s="250" t="n"/>
      <c r="H308" s="250" t="n"/>
      <c r="I308" s="250" t="n"/>
      <c r="J308" s="250" t="n"/>
      <c r="K308" s="250" t="n"/>
      <c r="L308" s="250" t="n"/>
      <c r="M308" s="250" t="n"/>
      <c r="N308" s="250" t="n"/>
      <c r="O308" s="250" t="n"/>
      <c r="P308" s="250" t="n"/>
      <c r="Q308" s="250" t="n"/>
      <c r="R308" s="250" t="n"/>
      <c r="S308" s="250" t="n"/>
      <c r="T308" s="250" t="n"/>
      <c r="U308" s="250" t="n"/>
      <c r="V308" s="250" t="n"/>
      <c r="W308" s="250" t="n"/>
      <c r="X308" s="250" t="n"/>
      <c r="Y308" s="250" t="n"/>
      <c r="Z308" s="250" t="n"/>
    </row>
    <row r="309">
      <c r="A309" s="250" t="n"/>
      <c r="B309" s="250" t="n"/>
      <c r="C309" s="250" t="n"/>
      <c r="D309" s="250" t="n"/>
      <c r="E309" s="250" t="n"/>
      <c r="F309" s="250" t="n"/>
      <c r="G309" s="250" t="n"/>
      <c r="H309" s="250" t="n"/>
      <c r="I309" s="250" t="n"/>
      <c r="J309" s="250" t="n"/>
      <c r="K309" s="250" t="n"/>
      <c r="L309" s="250" t="n"/>
      <c r="M309" s="250" t="n"/>
      <c r="N309" s="250" t="n"/>
      <c r="O309" s="250" t="n"/>
      <c r="P309" s="250" t="n"/>
      <c r="Q309" s="250" t="n"/>
      <c r="R309" s="250" t="n"/>
      <c r="S309" s="250" t="n"/>
      <c r="T309" s="250" t="n"/>
      <c r="U309" s="250" t="n"/>
      <c r="V309" s="250" t="n"/>
      <c r="W309" s="250" t="n"/>
      <c r="X309" s="250" t="n"/>
      <c r="Y309" s="250" t="n"/>
      <c r="Z309" s="250" t="n"/>
    </row>
    <row r="310">
      <c r="A310" s="250" t="n"/>
      <c r="B310" s="250" t="n"/>
      <c r="C310" s="250" t="n"/>
      <c r="D310" s="250" t="n"/>
      <c r="E310" s="250" t="n"/>
      <c r="F310" s="250" t="n"/>
      <c r="G310" s="250" t="n"/>
      <c r="H310" s="250" t="n"/>
      <c r="I310" s="250" t="n"/>
      <c r="J310" s="250" t="n"/>
      <c r="K310" s="250" t="n"/>
      <c r="L310" s="250" t="n"/>
      <c r="M310" s="250" t="n"/>
      <c r="N310" s="250" t="n"/>
      <c r="O310" s="250" t="n"/>
      <c r="P310" s="250" t="n"/>
      <c r="Q310" s="250" t="n"/>
      <c r="R310" s="250" t="n"/>
      <c r="S310" s="250" t="n"/>
      <c r="T310" s="250" t="n"/>
      <c r="U310" s="250" t="n"/>
      <c r="V310" s="250" t="n"/>
      <c r="W310" s="250" t="n"/>
      <c r="X310" s="250" t="n"/>
      <c r="Y310" s="250" t="n"/>
      <c r="Z310" s="250" t="n"/>
    </row>
    <row r="311">
      <c r="A311" s="250" t="n"/>
      <c r="B311" s="250" t="n"/>
      <c r="C311" s="250" t="n"/>
      <c r="D311" s="250" t="n"/>
      <c r="E311" s="250" t="n"/>
      <c r="F311" s="250" t="n"/>
      <c r="G311" s="250" t="n"/>
      <c r="H311" s="250" t="n"/>
      <c r="I311" s="250" t="n"/>
      <c r="J311" s="250" t="n"/>
      <c r="K311" s="250" t="n"/>
      <c r="L311" s="250" t="n"/>
      <c r="M311" s="250" t="n"/>
      <c r="N311" s="250" t="n"/>
      <c r="O311" s="250" t="n"/>
      <c r="P311" s="250" t="n"/>
      <c r="Q311" s="250" t="n"/>
      <c r="R311" s="250" t="n"/>
      <c r="S311" s="250" t="n"/>
      <c r="T311" s="250" t="n"/>
      <c r="U311" s="250" t="n"/>
      <c r="V311" s="250" t="n"/>
      <c r="W311" s="250" t="n"/>
      <c r="X311" s="250" t="n"/>
      <c r="Y311" s="250" t="n"/>
      <c r="Z311" s="250" t="n"/>
    </row>
    <row r="312">
      <c r="A312" s="250" t="n"/>
      <c r="B312" s="250" t="n"/>
      <c r="C312" s="250" t="n"/>
      <c r="D312" s="250" t="n"/>
      <c r="E312" s="250" t="n"/>
      <c r="F312" s="250" t="n"/>
      <c r="G312" s="250" t="n"/>
      <c r="H312" s="250" t="n"/>
      <c r="I312" s="250" t="n"/>
      <c r="J312" s="250" t="n"/>
      <c r="K312" s="250" t="n"/>
      <c r="L312" s="250" t="n"/>
      <c r="M312" s="250" t="n"/>
      <c r="N312" s="250" t="n"/>
      <c r="O312" s="250" t="n"/>
      <c r="P312" s="250" t="n"/>
      <c r="Q312" s="250" t="n"/>
      <c r="R312" s="250" t="n"/>
      <c r="S312" s="250" t="n"/>
      <c r="T312" s="250" t="n"/>
      <c r="U312" s="250" t="n"/>
      <c r="V312" s="250" t="n"/>
      <c r="W312" s="250" t="n"/>
      <c r="X312" s="250" t="n"/>
      <c r="Y312" s="250" t="n"/>
      <c r="Z312" s="250" t="n"/>
    </row>
    <row r="313">
      <c r="A313" s="250" t="n"/>
      <c r="B313" s="250" t="n"/>
      <c r="C313" s="250" t="n"/>
      <c r="D313" s="250" t="n"/>
      <c r="E313" s="250" t="n"/>
      <c r="F313" s="250" t="n"/>
      <c r="G313" s="250" t="n"/>
      <c r="H313" s="250" t="n"/>
      <c r="I313" s="250" t="n"/>
      <c r="J313" s="250" t="n"/>
      <c r="K313" s="250" t="n"/>
      <c r="L313" s="250" t="n"/>
      <c r="M313" s="250" t="n"/>
      <c r="N313" s="250" t="n"/>
      <c r="O313" s="250" t="n"/>
      <c r="P313" s="250" t="n"/>
      <c r="Q313" s="250" t="n"/>
      <c r="R313" s="250" t="n"/>
      <c r="S313" s="250" t="n"/>
      <c r="T313" s="250" t="n"/>
      <c r="U313" s="250" t="n"/>
      <c r="V313" s="250" t="n"/>
      <c r="W313" s="250" t="n"/>
      <c r="X313" s="250" t="n"/>
      <c r="Y313" s="250" t="n"/>
      <c r="Z313" s="250" t="n"/>
    </row>
    <row r="314">
      <c r="A314" s="250" t="n"/>
      <c r="B314" s="250" t="n"/>
      <c r="C314" s="250" t="n"/>
      <c r="D314" s="250" t="n"/>
      <c r="E314" s="250" t="n"/>
      <c r="F314" s="250" t="n"/>
      <c r="G314" s="250" t="n"/>
      <c r="H314" s="250" t="n"/>
      <c r="I314" s="250" t="n"/>
      <c r="J314" s="250" t="n"/>
      <c r="K314" s="250" t="n"/>
      <c r="L314" s="250" t="n"/>
      <c r="M314" s="250" t="n"/>
      <c r="N314" s="250" t="n"/>
      <c r="O314" s="250" t="n"/>
      <c r="P314" s="250" t="n"/>
      <c r="Q314" s="250" t="n"/>
      <c r="R314" s="250" t="n"/>
      <c r="S314" s="250" t="n"/>
      <c r="T314" s="250" t="n"/>
      <c r="U314" s="250" t="n"/>
      <c r="V314" s="250" t="n"/>
      <c r="W314" s="250" t="n"/>
      <c r="X314" s="250" t="n"/>
      <c r="Y314" s="250" t="n"/>
      <c r="Z314" s="250" t="n"/>
    </row>
    <row r="315">
      <c r="A315" s="250" t="n"/>
      <c r="B315" s="250" t="n"/>
      <c r="C315" s="250" t="n"/>
      <c r="D315" s="250" t="n"/>
      <c r="E315" s="250" t="n"/>
      <c r="F315" s="250" t="n"/>
      <c r="G315" s="250" t="n"/>
      <c r="H315" s="250" t="n"/>
      <c r="I315" s="250" t="n"/>
      <c r="J315" s="250" t="n"/>
      <c r="K315" s="250" t="n"/>
      <c r="L315" s="250" t="n"/>
      <c r="M315" s="250" t="n"/>
      <c r="N315" s="250" t="n"/>
      <c r="O315" s="250" t="n"/>
      <c r="P315" s="250" t="n"/>
      <c r="Q315" s="250" t="n"/>
      <c r="R315" s="250" t="n"/>
      <c r="S315" s="250" t="n"/>
      <c r="T315" s="250" t="n"/>
      <c r="U315" s="250" t="n"/>
      <c r="V315" s="250" t="n"/>
      <c r="W315" s="250" t="n"/>
      <c r="X315" s="250" t="n"/>
      <c r="Y315" s="250" t="n"/>
      <c r="Z315" s="250" t="n"/>
    </row>
    <row r="316">
      <c r="A316" s="250" t="n"/>
      <c r="B316" s="250" t="n"/>
      <c r="C316" s="250" t="n"/>
      <c r="D316" s="250" t="n"/>
      <c r="E316" s="250" t="n"/>
      <c r="F316" s="250" t="n"/>
      <c r="G316" s="250" t="n"/>
      <c r="H316" s="250" t="n"/>
      <c r="I316" s="250" t="n"/>
      <c r="J316" s="250" t="n"/>
      <c r="K316" s="250" t="n"/>
      <c r="L316" s="250" t="n"/>
      <c r="M316" s="250" t="n"/>
      <c r="N316" s="250" t="n"/>
      <c r="O316" s="250" t="n"/>
      <c r="P316" s="250" t="n"/>
      <c r="Q316" s="250" t="n"/>
      <c r="R316" s="250" t="n"/>
      <c r="S316" s="250" t="n"/>
      <c r="T316" s="250" t="n"/>
      <c r="U316" s="250" t="n"/>
      <c r="V316" s="250" t="n"/>
      <c r="W316" s="250" t="n"/>
      <c r="X316" s="250" t="n"/>
      <c r="Y316" s="250" t="n"/>
      <c r="Z316" s="250" t="n"/>
    </row>
    <row r="317">
      <c r="A317" s="250" t="n"/>
      <c r="B317" s="250" t="n"/>
      <c r="C317" s="250" t="n"/>
      <c r="D317" s="250" t="n"/>
      <c r="E317" s="250" t="n"/>
      <c r="F317" s="250" t="n"/>
      <c r="G317" s="250" t="n"/>
      <c r="H317" s="250" t="n"/>
      <c r="I317" s="250" t="n"/>
      <c r="J317" s="250" t="n"/>
      <c r="K317" s="250" t="n"/>
      <c r="L317" s="250" t="n"/>
      <c r="M317" s="250" t="n"/>
      <c r="N317" s="250" t="n"/>
      <c r="O317" s="250" t="n"/>
      <c r="P317" s="250" t="n"/>
      <c r="Q317" s="250" t="n"/>
      <c r="R317" s="250" t="n"/>
      <c r="S317" s="250" t="n"/>
      <c r="T317" s="250" t="n"/>
      <c r="U317" s="250" t="n"/>
      <c r="V317" s="250" t="n"/>
      <c r="W317" s="250" t="n"/>
      <c r="X317" s="250" t="n"/>
      <c r="Y317" s="250" t="n"/>
      <c r="Z317" s="250" t="n"/>
    </row>
    <row r="318">
      <c r="A318" s="250" t="n"/>
      <c r="B318" s="250" t="n"/>
      <c r="C318" s="250" t="n"/>
      <c r="D318" s="250" t="n"/>
      <c r="E318" s="250" t="n"/>
      <c r="F318" s="250" t="n"/>
      <c r="G318" s="250" t="n"/>
      <c r="H318" s="250" t="n"/>
      <c r="I318" s="250" t="n"/>
      <c r="J318" s="250" t="n"/>
      <c r="K318" s="250" t="n"/>
      <c r="L318" s="250" t="n"/>
      <c r="M318" s="250" t="n"/>
      <c r="N318" s="250" t="n"/>
      <c r="O318" s="250" t="n"/>
      <c r="P318" s="250" t="n"/>
      <c r="Q318" s="250" t="n"/>
      <c r="R318" s="250" t="n"/>
      <c r="S318" s="250" t="n"/>
      <c r="T318" s="250" t="n"/>
      <c r="U318" s="250" t="n"/>
      <c r="V318" s="250" t="n"/>
      <c r="W318" s="250" t="n"/>
      <c r="X318" s="250" t="n"/>
      <c r="Y318" s="250" t="n"/>
      <c r="Z318" s="250" t="n"/>
    </row>
    <row r="319">
      <c r="A319" s="250" t="n"/>
      <c r="B319" s="250" t="n"/>
      <c r="C319" s="250" t="n"/>
      <c r="D319" s="250" t="n"/>
      <c r="E319" s="250" t="n"/>
      <c r="F319" s="250" t="n"/>
      <c r="G319" s="250" t="n"/>
      <c r="H319" s="250" t="n"/>
      <c r="I319" s="250" t="n"/>
      <c r="J319" s="250" t="n"/>
      <c r="K319" s="250" t="n"/>
      <c r="L319" s="250" t="n"/>
      <c r="M319" s="250" t="n"/>
      <c r="N319" s="250" t="n"/>
      <c r="O319" s="250" t="n"/>
      <c r="P319" s="250" t="n"/>
      <c r="Q319" s="250" t="n"/>
      <c r="R319" s="250" t="n"/>
      <c r="S319" s="250" t="n"/>
      <c r="T319" s="250" t="n"/>
      <c r="U319" s="250" t="n"/>
      <c r="V319" s="250" t="n"/>
      <c r="W319" s="250" t="n"/>
      <c r="X319" s="250" t="n"/>
      <c r="Y319" s="250" t="n"/>
      <c r="Z319" s="250" t="n"/>
    </row>
    <row r="320">
      <c r="A320" s="250" t="n"/>
      <c r="B320" s="250" t="n"/>
      <c r="C320" s="250" t="n"/>
      <c r="D320" s="250" t="n"/>
      <c r="E320" s="250" t="n"/>
      <c r="F320" s="250" t="n"/>
      <c r="G320" s="250" t="n"/>
      <c r="H320" s="250" t="n"/>
      <c r="I320" s="250" t="n"/>
      <c r="J320" s="250" t="n"/>
      <c r="K320" s="250" t="n"/>
      <c r="L320" s="250" t="n"/>
      <c r="M320" s="250" t="n"/>
      <c r="N320" s="250" t="n"/>
      <c r="O320" s="250" t="n"/>
      <c r="P320" s="250" t="n"/>
      <c r="Q320" s="250" t="n"/>
      <c r="R320" s="250" t="n"/>
      <c r="S320" s="250" t="n"/>
      <c r="T320" s="250" t="n"/>
      <c r="U320" s="250" t="n"/>
      <c r="V320" s="250" t="n"/>
      <c r="W320" s="250" t="n"/>
      <c r="X320" s="250" t="n"/>
      <c r="Y320" s="250" t="n"/>
      <c r="Z320" s="250" t="n"/>
    </row>
    <row r="321">
      <c r="A321" s="250" t="n"/>
      <c r="B321" s="250" t="n"/>
      <c r="C321" s="250" t="n"/>
      <c r="D321" s="250" t="n"/>
      <c r="E321" s="250" t="n"/>
      <c r="F321" s="250" t="n"/>
      <c r="G321" s="250" t="n"/>
      <c r="H321" s="250" t="n"/>
      <c r="I321" s="250" t="n"/>
      <c r="J321" s="250" t="n"/>
      <c r="K321" s="250" t="n"/>
      <c r="L321" s="250" t="n"/>
      <c r="M321" s="250" t="n"/>
      <c r="N321" s="250" t="n"/>
      <c r="O321" s="250" t="n"/>
      <c r="P321" s="250" t="n"/>
      <c r="Q321" s="250" t="n"/>
      <c r="R321" s="250" t="n"/>
      <c r="S321" s="250" t="n"/>
      <c r="T321" s="250" t="n"/>
      <c r="U321" s="250" t="n"/>
      <c r="V321" s="250" t="n"/>
      <c r="W321" s="250" t="n"/>
      <c r="X321" s="250" t="n"/>
      <c r="Y321" s="250" t="n"/>
      <c r="Z321" s="250" t="n"/>
    </row>
    <row r="322">
      <c r="A322" s="250" t="n"/>
      <c r="B322" s="250" t="n"/>
      <c r="C322" s="250" t="n"/>
      <c r="D322" s="250" t="n"/>
      <c r="E322" s="250" t="n"/>
      <c r="F322" s="250" t="n"/>
      <c r="G322" s="250" t="n"/>
      <c r="H322" s="250" t="n"/>
      <c r="I322" s="250" t="n"/>
      <c r="J322" s="250" t="n"/>
      <c r="K322" s="250" t="n"/>
      <c r="L322" s="250" t="n"/>
      <c r="M322" s="250" t="n"/>
      <c r="N322" s="250" t="n"/>
      <c r="O322" s="250" t="n"/>
      <c r="P322" s="250" t="n"/>
      <c r="Q322" s="250" t="n"/>
      <c r="R322" s="250" t="n"/>
      <c r="S322" s="250" t="n"/>
      <c r="T322" s="250" t="n"/>
      <c r="U322" s="250" t="n"/>
      <c r="V322" s="250" t="n"/>
      <c r="W322" s="250" t="n"/>
      <c r="X322" s="250" t="n"/>
      <c r="Y322" s="250" t="n"/>
      <c r="Z322" s="250" t="n"/>
    </row>
    <row r="323">
      <c r="A323" s="250" t="n"/>
      <c r="B323" s="250" t="n"/>
      <c r="C323" s="250" t="n"/>
      <c r="D323" s="250" t="n"/>
      <c r="E323" s="250" t="n"/>
      <c r="F323" s="250" t="n"/>
      <c r="G323" s="250" t="n"/>
      <c r="H323" s="250" t="n"/>
      <c r="I323" s="250" t="n"/>
      <c r="J323" s="250" t="n"/>
      <c r="K323" s="250" t="n"/>
      <c r="L323" s="250" t="n"/>
      <c r="M323" s="250" t="n"/>
      <c r="N323" s="250" t="n"/>
      <c r="O323" s="250" t="n"/>
      <c r="P323" s="250" t="n"/>
      <c r="Q323" s="250" t="n"/>
      <c r="R323" s="250" t="n"/>
      <c r="S323" s="250" t="n"/>
      <c r="T323" s="250" t="n"/>
      <c r="U323" s="250" t="n"/>
      <c r="V323" s="250" t="n"/>
      <c r="W323" s="250" t="n"/>
      <c r="X323" s="250" t="n"/>
      <c r="Y323" s="250" t="n"/>
      <c r="Z323" s="250" t="n"/>
    </row>
    <row r="324">
      <c r="A324" s="250" t="n"/>
      <c r="B324" s="250" t="n"/>
      <c r="C324" s="250" t="n"/>
      <c r="D324" s="250" t="n"/>
      <c r="E324" s="250" t="n"/>
      <c r="F324" s="250" t="n"/>
      <c r="G324" s="250" t="n"/>
      <c r="H324" s="250" t="n"/>
      <c r="I324" s="250" t="n"/>
      <c r="J324" s="250" t="n"/>
      <c r="K324" s="250" t="n"/>
      <c r="L324" s="250" t="n"/>
      <c r="M324" s="250" t="n"/>
      <c r="N324" s="250" t="n"/>
      <c r="O324" s="250" t="n"/>
      <c r="P324" s="250" t="n"/>
      <c r="Q324" s="250" t="n"/>
      <c r="R324" s="250" t="n"/>
      <c r="S324" s="250" t="n"/>
      <c r="T324" s="250" t="n"/>
      <c r="U324" s="250" t="n"/>
      <c r="V324" s="250" t="n"/>
      <c r="W324" s="250" t="n"/>
      <c r="X324" s="250" t="n"/>
      <c r="Y324" s="250" t="n"/>
      <c r="Z324" s="250" t="n"/>
    </row>
    <row r="325">
      <c r="A325" s="250" t="n"/>
      <c r="B325" s="250" t="n"/>
      <c r="C325" s="250" t="n"/>
      <c r="D325" s="250" t="n"/>
      <c r="E325" s="250" t="n"/>
      <c r="F325" s="250" t="n"/>
      <c r="G325" s="250" t="n"/>
      <c r="H325" s="250" t="n"/>
      <c r="I325" s="250" t="n"/>
      <c r="J325" s="250" t="n"/>
      <c r="K325" s="250" t="n"/>
      <c r="L325" s="250" t="n"/>
      <c r="M325" s="250" t="n"/>
      <c r="N325" s="250" t="n"/>
      <c r="O325" s="250" t="n"/>
      <c r="P325" s="250" t="n"/>
      <c r="Q325" s="250" t="n"/>
      <c r="R325" s="250" t="n"/>
      <c r="S325" s="250" t="n"/>
      <c r="T325" s="250" t="n"/>
      <c r="U325" s="250" t="n"/>
      <c r="V325" s="250" t="n"/>
      <c r="W325" s="250" t="n"/>
      <c r="X325" s="250" t="n"/>
      <c r="Y325" s="250" t="n"/>
      <c r="Z325" s="250" t="n"/>
    </row>
    <row r="326">
      <c r="A326" s="250" t="n"/>
      <c r="B326" s="250" t="n"/>
      <c r="C326" s="250" t="n"/>
      <c r="D326" s="250" t="n"/>
      <c r="E326" s="250" t="n"/>
      <c r="F326" s="250" t="n"/>
      <c r="G326" s="250" t="n"/>
      <c r="H326" s="250" t="n"/>
      <c r="I326" s="250" t="n"/>
      <c r="J326" s="250" t="n"/>
      <c r="K326" s="250" t="n"/>
      <c r="L326" s="250" t="n"/>
      <c r="M326" s="250" t="n"/>
      <c r="N326" s="250" t="n"/>
      <c r="O326" s="250" t="n"/>
      <c r="P326" s="250" t="n"/>
      <c r="Q326" s="250" t="n"/>
      <c r="R326" s="250" t="n"/>
      <c r="S326" s="250" t="n"/>
      <c r="T326" s="250" t="n"/>
      <c r="U326" s="250" t="n"/>
      <c r="V326" s="250" t="n"/>
      <c r="W326" s="250" t="n"/>
      <c r="X326" s="250" t="n"/>
      <c r="Y326" s="250" t="n"/>
      <c r="Z326" s="250" t="n"/>
    </row>
    <row r="327">
      <c r="A327" s="250" t="n"/>
      <c r="B327" s="250" t="n"/>
      <c r="C327" s="250" t="n"/>
      <c r="D327" s="250" t="n"/>
      <c r="E327" s="250" t="n"/>
      <c r="F327" s="250" t="n"/>
      <c r="G327" s="250" t="n"/>
      <c r="H327" s="250" t="n"/>
      <c r="I327" s="250" t="n"/>
      <c r="J327" s="250" t="n"/>
      <c r="K327" s="250" t="n"/>
      <c r="L327" s="250" t="n"/>
      <c r="M327" s="250" t="n"/>
      <c r="N327" s="250" t="n"/>
      <c r="O327" s="250" t="n"/>
      <c r="P327" s="250" t="n"/>
      <c r="Q327" s="250" t="n"/>
      <c r="R327" s="250" t="n"/>
      <c r="S327" s="250" t="n"/>
      <c r="T327" s="250" t="n"/>
      <c r="U327" s="250" t="n"/>
      <c r="V327" s="250" t="n"/>
      <c r="W327" s="250" t="n"/>
      <c r="X327" s="250" t="n"/>
      <c r="Y327" s="250" t="n"/>
      <c r="Z327" s="250" t="n"/>
    </row>
    <row r="328">
      <c r="A328" s="250" t="n"/>
      <c r="B328" s="250" t="n"/>
      <c r="C328" s="250" t="n"/>
      <c r="D328" s="250" t="n"/>
      <c r="E328" s="250" t="n"/>
      <c r="F328" s="250" t="n"/>
      <c r="G328" s="250" t="n"/>
      <c r="H328" s="250" t="n"/>
      <c r="I328" s="250" t="n"/>
      <c r="J328" s="250" t="n"/>
      <c r="K328" s="250" t="n"/>
      <c r="L328" s="250" t="n"/>
      <c r="M328" s="250" t="n"/>
      <c r="N328" s="250" t="n"/>
      <c r="O328" s="250" t="n"/>
      <c r="P328" s="250" t="n"/>
      <c r="Q328" s="250" t="n"/>
      <c r="R328" s="250" t="n"/>
      <c r="S328" s="250" t="n"/>
      <c r="T328" s="250" t="n"/>
      <c r="U328" s="250" t="n"/>
      <c r="V328" s="250" t="n"/>
      <c r="W328" s="250" t="n"/>
      <c r="X328" s="250" t="n"/>
      <c r="Y328" s="250" t="n"/>
      <c r="Z328" s="250" t="n"/>
    </row>
    <row r="329">
      <c r="A329" s="250" t="n"/>
      <c r="B329" s="250" t="n"/>
      <c r="C329" s="250" t="n"/>
      <c r="D329" s="250" t="n"/>
      <c r="E329" s="250" t="n"/>
      <c r="F329" s="250" t="n"/>
      <c r="G329" s="250" t="n"/>
      <c r="H329" s="250" t="n"/>
      <c r="I329" s="250" t="n"/>
      <c r="J329" s="250" t="n"/>
      <c r="K329" s="250" t="n"/>
      <c r="L329" s="250" t="n"/>
      <c r="M329" s="250" t="n"/>
      <c r="N329" s="250" t="n"/>
      <c r="O329" s="250" t="n"/>
      <c r="P329" s="250" t="n"/>
      <c r="Q329" s="250" t="n"/>
      <c r="R329" s="250" t="n"/>
      <c r="S329" s="250" t="n"/>
      <c r="T329" s="250" t="n"/>
      <c r="U329" s="250" t="n"/>
      <c r="V329" s="250" t="n"/>
      <c r="W329" s="250" t="n"/>
      <c r="X329" s="250" t="n"/>
      <c r="Y329" s="250" t="n"/>
      <c r="Z329" s="250" t="n"/>
    </row>
    <row r="330">
      <c r="A330" s="250" t="n"/>
      <c r="B330" s="250" t="n"/>
      <c r="C330" s="250" t="n"/>
      <c r="D330" s="250" t="n"/>
      <c r="E330" s="250" t="n"/>
      <c r="F330" s="250" t="n"/>
      <c r="G330" s="250" t="n"/>
      <c r="H330" s="250" t="n"/>
      <c r="I330" s="250" t="n"/>
      <c r="J330" s="250" t="n"/>
      <c r="K330" s="250" t="n"/>
      <c r="L330" s="250" t="n"/>
      <c r="M330" s="250" t="n"/>
      <c r="N330" s="250" t="n"/>
      <c r="O330" s="250" t="n"/>
      <c r="P330" s="250" t="n"/>
      <c r="Q330" s="250" t="n"/>
      <c r="R330" s="250" t="n"/>
      <c r="S330" s="250" t="n"/>
      <c r="T330" s="250" t="n"/>
      <c r="U330" s="250" t="n"/>
      <c r="V330" s="250" t="n"/>
      <c r="W330" s="250" t="n"/>
      <c r="X330" s="250" t="n"/>
      <c r="Y330" s="250" t="n"/>
      <c r="Z330" s="250" t="n"/>
    </row>
    <row r="331">
      <c r="A331" s="250" t="n"/>
      <c r="B331" s="250" t="n"/>
      <c r="C331" s="250" t="n"/>
      <c r="D331" s="250" t="n"/>
      <c r="E331" s="250" t="n"/>
      <c r="F331" s="250" t="n"/>
      <c r="G331" s="250" t="n"/>
      <c r="H331" s="250" t="n"/>
      <c r="I331" s="250" t="n"/>
      <c r="J331" s="250" t="n"/>
      <c r="K331" s="250" t="n"/>
      <c r="L331" s="250" t="n"/>
      <c r="M331" s="250" t="n"/>
      <c r="N331" s="250" t="n"/>
      <c r="O331" s="250" t="n"/>
      <c r="P331" s="250" t="n"/>
      <c r="Q331" s="250" t="n"/>
      <c r="R331" s="250" t="n"/>
      <c r="S331" s="250" t="n"/>
      <c r="T331" s="250" t="n"/>
      <c r="U331" s="250" t="n"/>
      <c r="V331" s="250" t="n"/>
      <c r="W331" s="250" t="n"/>
      <c r="X331" s="250" t="n"/>
      <c r="Y331" s="250" t="n"/>
      <c r="Z331" s="250" t="n"/>
    </row>
    <row r="332">
      <c r="A332" s="250" t="n"/>
      <c r="B332" s="250" t="n"/>
      <c r="C332" s="250" t="n"/>
      <c r="D332" s="250" t="n"/>
      <c r="E332" s="250" t="n"/>
      <c r="F332" s="250" t="n"/>
      <c r="G332" s="250" t="n"/>
      <c r="H332" s="250" t="n"/>
      <c r="I332" s="250" t="n"/>
      <c r="J332" s="250" t="n"/>
      <c r="K332" s="250" t="n"/>
      <c r="L332" s="250" t="n"/>
      <c r="M332" s="250" t="n"/>
      <c r="N332" s="250" t="n"/>
      <c r="O332" s="250" t="n"/>
      <c r="P332" s="250" t="n"/>
      <c r="Q332" s="250" t="n"/>
      <c r="R332" s="250" t="n"/>
      <c r="S332" s="250" t="n"/>
      <c r="T332" s="250" t="n"/>
      <c r="U332" s="250" t="n"/>
      <c r="V332" s="250" t="n"/>
      <c r="W332" s="250" t="n"/>
      <c r="X332" s="250" t="n"/>
      <c r="Y332" s="250" t="n"/>
      <c r="Z332" s="250" t="n"/>
    </row>
    <row r="333">
      <c r="A333" s="250" t="n"/>
      <c r="B333" s="250" t="n"/>
      <c r="C333" s="250" t="n"/>
      <c r="D333" s="250" t="n"/>
      <c r="E333" s="250" t="n"/>
      <c r="F333" s="250" t="n"/>
      <c r="G333" s="250" t="n"/>
      <c r="H333" s="250" t="n"/>
      <c r="I333" s="250" t="n"/>
      <c r="J333" s="250" t="n"/>
      <c r="K333" s="250" t="n"/>
      <c r="L333" s="250" t="n"/>
      <c r="M333" s="250" t="n"/>
      <c r="N333" s="250" t="n"/>
      <c r="O333" s="250" t="n"/>
      <c r="P333" s="250" t="n"/>
      <c r="Q333" s="250" t="n"/>
      <c r="R333" s="250" t="n"/>
      <c r="S333" s="250" t="n"/>
      <c r="T333" s="250" t="n"/>
      <c r="U333" s="250" t="n"/>
      <c r="V333" s="250" t="n"/>
      <c r="W333" s="250" t="n"/>
      <c r="X333" s="250" t="n"/>
      <c r="Y333" s="250" t="n"/>
      <c r="Z333" s="250" t="n"/>
    </row>
    <row r="334">
      <c r="A334" s="250" t="n"/>
      <c r="B334" s="250" t="n"/>
      <c r="C334" s="250" t="n"/>
      <c r="D334" s="250" t="n"/>
      <c r="E334" s="250" t="n"/>
      <c r="F334" s="250" t="n"/>
      <c r="G334" s="250" t="n"/>
      <c r="H334" s="250" t="n"/>
      <c r="I334" s="250" t="n"/>
      <c r="J334" s="250" t="n"/>
      <c r="K334" s="250" t="n"/>
      <c r="L334" s="250" t="n"/>
      <c r="M334" s="250" t="n"/>
      <c r="N334" s="250" t="n"/>
      <c r="O334" s="250" t="n"/>
      <c r="P334" s="250" t="n"/>
      <c r="Q334" s="250" t="n"/>
      <c r="R334" s="250" t="n"/>
      <c r="S334" s="250" t="n"/>
      <c r="T334" s="250" t="n"/>
      <c r="U334" s="250" t="n"/>
      <c r="V334" s="250" t="n"/>
      <c r="W334" s="250" t="n"/>
      <c r="X334" s="250" t="n"/>
      <c r="Y334" s="250" t="n"/>
      <c r="Z334" s="250" t="n"/>
    </row>
    <row r="335">
      <c r="A335" s="250" t="n"/>
      <c r="B335" s="250" t="n"/>
      <c r="C335" s="250" t="n"/>
      <c r="D335" s="250" t="n"/>
      <c r="E335" s="250" t="n"/>
      <c r="F335" s="250" t="n"/>
      <c r="G335" s="250" t="n"/>
      <c r="H335" s="250" t="n"/>
      <c r="I335" s="250" t="n"/>
      <c r="J335" s="250" t="n"/>
      <c r="K335" s="250" t="n"/>
      <c r="L335" s="250" t="n"/>
      <c r="M335" s="250" t="n"/>
      <c r="N335" s="250" t="n"/>
      <c r="O335" s="250" t="n"/>
      <c r="P335" s="250" t="n"/>
      <c r="Q335" s="250" t="n"/>
      <c r="R335" s="250" t="n"/>
      <c r="S335" s="250" t="n"/>
      <c r="T335" s="250" t="n"/>
      <c r="U335" s="250" t="n"/>
      <c r="V335" s="250" t="n"/>
      <c r="W335" s="250" t="n"/>
      <c r="X335" s="250" t="n"/>
      <c r="Y335" s="250" t="n"/>
      <c r="Z335" s="250" t="n"/>
    </row>
    <row r="336">
      <c r="A336" s="250" t="n"/>
      <c r="B336" s="250" t="n"/>
      <c r="C336" s="250" t="n"/>
      <c r="D336" s="250" t="n"/>
      <c r="E336" s="250" t="n"/>
      <c r="F336" s="250" t="n"/>
      <c r="G336" s="250" t="n"/>
      <c r="H336" s="250" t="n"/>
      <c r="I336" s="250" t="n"/>
      <c r="J336" s="250" t="n"/>
      <c r="K336" s="250" t="n"/>
      <c r="L336" s="250" t="n"/>
      <c r="M336" s="250" t="n"/>
      <c r="N336" s="250" t="n"/>
      <c r="O336" s="250" t="n"/>
      <c r="P336" s="250" t="n"/>
      <c r="Q336" s="250" t="n"/>
      <c r="R336" s="250" t="n"/>
      <c r="S336" s="250" t="n"/>
      <c r="T336" s="250" t="n"/>
      <c r="U336" s="250" t="n"/>
      <c r="V336" s="250" t="n"/>
      <c r="W336" s="250" t="n"/>
      <c r="X336" s="250" t="n"/>
      <c r="Y336" s="250" t="n"/>
      <c r="Z336" s="250" t="n"/>
    </row>
    <row r="337">
      <c r="A337" s="250" t="n"/>
      <c r="B337" s="250" t="n"/>
      <c r="C337" s="250" t="n"/>
      <c r="D337" s="250" t="n"/>
      <c r="E337" s="250" t="n"/>
      <c r="F337" s="250" t="n"/>
      <c r="G337" s="250" t="n"/>
      <c r="H337" s="250" t="n"/>
      <c r="I337" s="250" t="n"/>
      <c r="J337" s="250" t="n"/>
      <c r="K337" s="250" t="n"/>
      <c r="L337" s="250" t="n"/>
      <c r="M337" s="250" t="n"/>
      <c r="N337" s="250" t="n"/>
      <c r="O337" s="250" t="n"/>
      <c r="P337" s="250" t="n"/>
      <c r="Q337" s="250" t="n"/>
      <c r="R337" s="250" t="n"/>
      <c r="S337" s="250" t="n"/>
      <c r="T337" s="250" t="n"/>
      <c r="U337" s="250" t="n"/>
      <c r="V337" s="250" t="n"/>
      <c r="W337" s="250" t="n"/>
      <c r="X337" s="250" t="n"/>
      <c r="Y337" s="250" t="n"/>
      <c r="Z337" s="250" t="n"/>
    </row>
    <row r="338">
      <c r="A338" s="250" t="n"/>
      <c r="B338" s="250" t="n"/>
      <c r="C338" s="250" t="n"/>
      <c r="D338" s="250" t="n"/>
      <c r="E338" s="250" t="n"/>
      <c r="F338" s="250" t="n"/>
      <c r="G338" s="250" t="n"/>
      <c r="H338" s="250" t="n"/>
      <c r="I338" s="250" t="n"/>
      <c r="J338" s="250" t="n"/>
      <c r="K338" s="250" t="n"/>
      <c r="L338" s="250" t="n"/>
      <c r="M338" s="250" t="n"/>
      <c r="N338" s="250" t="n"/>
      <c r="O338" s="250" t="n"/>
      <c r="P338" s="250" t="n"/>
      <c r="Q338" s="250" t="n"/>
      <c r="R338" s="250" t="n"/>
      <c r="S338" s="250" t="n"/>
      <c r="T338" s="250" t="n"/>
      <c r="U338" s="250" t="n"/>
      <c r="V338" s="250" t="n"/>
      <c r="W338" s="250" t="n"/>
      <c r="X338" s="250" t="n"/>
      <c r="Y338" s="250" t="n"/>
      <c r="Z338" s="250" t="n"/>
    </row>
    <row r="339">
      <c r="A339" s="250" t="n"/>
      <c r="B339" s="250" t="n"/>
      <c r="C339" s="250" t="n"/>
      <c r="D339" s="250" t="n"/>
      <c r="E339" s="250" t="n"/>
      <c r="F339" s="250" t="n"/>
      <c r="G339" s="250" t="n"/>
      <c r="H339" s="250" t="n"/>
      <c r="I339" s="250" t="n"/>
      <c r="J339" s="250" t="n"/>
      <c r="K339" s="250" t="n"/>
      <c r="L339" s="250" t="n"/>
      <c r="M339" s="250" t="n"/>
      <c r="N339" s="250" t="n"/>
      <c r="O339" s="250" t="n"/>
      <c r="P339" s="250" t="n"/>
      <c r="Q339" s="250" t="n"/>
      <c r="R339" s="250" t="n"/>
      <c r="S339" s="250" t="n"/>
      <c r="T339" s="250" t="n"/>
      <c r="U339" s="250" t="n"/>
      <c r="V339" s="250" t="n"/>
      <c r="W339" s="250" t="n"/>
      <c r="X339" s="250" t="n"/>
      <c r="Y339" s="250" t="n"/>
      <c r="Z339" s="250" t="n"/>
    </row>
    <row r="340">
      <c r="A340" s="250" t="n"/>
      <c r="B340" s="250" t="n"/>
      <c r="C340" s="250" t="n"/>
      <c r="D340" s="250" t="n"/>
      <c r="E340" s="250" t="n"/>
      <c r="F340" s="250" t="n"/>
      <c r="G340" s="250" t="n"/>
      <c r="H340" s="250" t="n"/>
      <c r="I340" s="250" t="n"/>
      <c r="J340" s="250" t="n"/>
      <c r="K340" s="250" t="n"/>
      <c r="L340" s="250" t="n"/>
      <c r="M340" s="250" t="n"/>
      <c r="N340" s="250" t="n"/>
      <c r="O340" s="250" t="n"/>
      <c r="P340" s="250" t="n"/>
      <c r="Q340" s="250" t="n"/>
      <c r="R340" s="250" t="n"/>
      <c r="S340" s="250" t="n"/>
      <c r="T340" s="250" t="n"/>
      <c r="U340" s="250" t="n"/>
      <c r="V340" s="250" t="n"/>
      <c r="W340" s="250" t="n"/>
      <c r="X340" s="250" t="n"/>
      <c r="Y340" s="250" t="n"/>
      <c r="Z340" s="250" t="n"/>
    </row>
    <row r="341">
      <c r="A341" s="250" t="n"/>
      <c r="B341" s="250" t="n"/>
      <c r="C341" s="250" t="n"/>
      <c r="D341" s="250" t="n"/>
      <c r="E341" s="250" t="n"/>
      <c r="F341" s="250" t="n"/>
      <c r="G341" s="250" t="n"/>
      <c r="H341" s="250" t="n"/>
      <c r="I341" s="250" t="n"/>
      <c r="J341" s="250" t="n"/>
      <c r="K341" s="250" t="n"/>
      <c r="L341" s="250" t="n"/>
      <c r="M341" s="250" t="n"/>
      <c r="N341" s="250" t="n"/>
      <c r="O341" s="250" t="n"/>
      <c r="P341" s="250" t="n"/>
      <c r="Q341" s="250" t="n"/>
      <c r="R341" s="250" t="n"/>
      <c r="S341" s="250" t="n"/>
      <c r="T341" s="250" t="n"/>
      <c r="U341" s="250" t="n"/>
      <c r="V341" s="250" t="n"/>
      <c r="W341" s="250" t="n"/>
      <c r="X341" s="250" t="n"/>
      <c r="Y341" s="250" t="n"/>
      <c r="Z341" s="250" t="n"/>
    </row>
    <row r="342">
      <c r="A342" s="250" t="n"/>
      <c r="B342" s="250" t="n"/>
      <c r="C342" s="250" t="n"/>
      <c r="D342" s="250" t="n"/>
      <c r="E342" s="250" t="n"/>
      <c r="F342" s="250" t="n"/>
      <c r="G342" s="250" t="n"/>
      <c r="H342" s="250" t="n"/>
      <c r="I342" s="250" t="n"/>
      <c r="J342" s="250" t="n"/>
      <c r="K342" s="250" t="n"/>
      <c r="L342" s="250" t="n"/>
      <c r="M342" s="250" t="n"/>
      <c r="N342" s="250" t="n"/>
      <c r="O342" s="250" t="n"/>
      <c r="P342" s="250" t="n"/>
      <c r="Q342" s="250" t="n"/>
      <c r="R342" s="250" t="n"/>
      <c r="S342" s="250" t="n"/>
      <c r="T342" s="250" t="n"/>
      <c r="U342" s="250" t="n"/>
      <c r="V342" s="250" t="n"/>
      <c r="W342" s="250" t="n"/>
      <c r="X342" s="250" t="n"/>
      <c r="Y342" s="250" t="n"/>
      <c r="Z342" s="250" t="n"/>
    </row>
    <row r="343">
      <c r="A343" s="250" t="n"/>
      <c r="B343" s="250" t="n"/>
      <c r="C343" s="250" t="n"/>
      <c r="D343" s="250" t="n"/>
      <c r="E343" s="250" t="n"/>
      <c r="F343" s="250" t="n"/>
      <c r="G343" s="250" t="n"/>
      <c r="H343" s="250" t="n"/>
      <c r="I343" s="250" t="n"/>
      <c r="J343" s="250" t="n"/>
      <c r="K343" s="250" t="n"/>
      <c r="L343" s="250" t="n"/>
      <c r="M343" s="250" t="n"/>
      <c r="N343" s="250" t="n"/>
      <c r="O343" s="250" t="n"/>
      <c r="P343" s="250" t="n"/>
      <c r="Q343" s="250" t="n"/>
      <c r="R343" s="250" t="n"/>
      <c r="S343" s="250" t="n"/>
      <c r="T343" s="250" t="n"/>
      <c r="U343" s="250" t="n"/>
      <c r="V343" s="250" t="n"/>
      <c r="W343" s="250" t="n"/>
      <c r="X343" s="250" t="n"/>
      <c r="Y343" s="250" t="n"/>
      <c r="Z343" s="250" t="n"/>
    </row>
    <row r="344">
      <c r="A344" s="250" t="n"/>
      <c r="B344" s="250" t="n"/>
      <c r="C344" s="250" t="n"/>
      <c r="D344" s="250" t="n"/>
      <c r="E344" s="250" t="n"/>
      <c r="F344" s="250" t="n"/>
      <c r="G344" s="250" t="n"/>
      <c r="H344" s="250" t="n"/>
      <c r="I344" s="250" t="n"/>
      <c r="J344" s="250" t="n"/>
      <c r="K344" s="250" t="n"/>
      <c r="L344" s="250" t="n"/>
      <c r="M344" s="250" t="n"/>
      <c r="N344" s="250" t="n"/>
      <c r="O344" s="250" t="n"/>
      <c r="P344" s="250" t="n"/>
      <c r="Q344" s="250" t="n"/>
      <c r="R344" s="250" t="n"/>
      <c r="S344" s="250" t="n"/>
      <c r="T344" s="250" t="n"/>
      <c r="U344" s="250" t="n"/>
      <c r="V344" s="250" t="n"/>
      <c r="W344" s="250" t="n"/>
      <c r="X344" s="250" t="n"/>
      <c r="Y344" s="250" t="n"/>
      <c r="Z344" s="250" t="n"/>
    </row>
    <row r="345">
      <c r="A345" s="250" t="n"/>
      <c r="B345" s="250" t="n"/>
      <c r="C345" s="250" t="n"/>
      <c r="D345" s="250" t="n"/>
      <c r="E345" s="250" t="n"/>
      <c r="F345" s="250" t="n"/>
      <c r="G345" s="250" t="n"/>
      <c r="H345" s="250" t="n"/>
      <c r="I345" s="250" t="n"/>
      <c r="J345" s="250" t="n"/>
      <c r="K345" s="250" t="n"/>
      <c r="L345" s="250" t="n"/>
      <c r="M345" s="250" t="n"/>
      <c r="N345" s="250" t="n"/>
      <c r="O345" s="250" t="n"/>
      <c r="P345" s="250" t="n"/>
      <c r="Q345" s="250" t="n"/>
      <c r="R345" s="250" t="n"/>
      <c r="S345" s="250" t="n"/>
      <c r="T345" s="250" t="n"/>
      <c r="U345" s="250" t="n"/>
      <c r="V345" s="250" t="n"/>
      <c r="W345" s="250" t="n"/>
      <c r="X345" s="250" t="n"/>
      <c r="Y345" s="250" t="n"/>
      <c r="Z345" s="250" t="n"/>
    </row>
    <row r="346">
      <c r="A346" s="250" t="n"/>
      <c r="B346" s="250" t="n"/>
      <c r="C346" s="250" t="n"/>
      <c r="D346" s="250" t="n"/>
      <c r="E346" s="250" t="n"/>
      <c r="F346" s="250" t="n"/>
      <c r="G346" s="250" t="n"/>
      <c r="H346" s="250" t="n"/>
      <c r="I346" s="250" t="n"/>
      <c r="J346" s="250" t="n"/>
      <c r="K346" s="250" t="n"/>
      <c r="L346" s="250" t="n"/>
      <c r="M346" s="250" t="n"/>
      <c r="N346" s="250" t="n"/>
      <c r="O346" s="250" t="n"/>
      <c r="P346" s="250" t="n"/>
      <c r="Q346" s="250" t="n"/>
      <c r="R346" s="250" t="n"/>
      <c r="S346" s="250" t="n"/>
      <c r="T346" s="250" t="n"/>
      <c r="U346" s="250" t="n"/>
      <c r="V346" s="250" t="n"/>
      <c r="W346" s="250" t="n"/>
      <c r="X346" s="250" t="n"/>
      <c r="Y346" s="250" t="n"/>
      <c r="Z346" s="250" t="n"/>
    </row>
    <row r="347">
      <c r="A347" s="250" t="n"/>
      <c r="B347" s="250" t="n"/>
      <c r="C347" s="250" t="n"/>
      <c r="D347" s="250" t="n"/>
      <c r="E347" s="250" t="n"/>
      <c r="F347" s="250" t="n"/>
      <c r="G347" s="250" t="n"/>
      <c r="H347" s="250" t="n"/>
      <c r="I347" s="250" t="n"/>
      <c r="J347" s="250" t="n"/>
      <c r="K347" s="250" t="n"/>
      <c r="L347" s="250" t="n"/>
      <c r="M347" s="250" t="n"/>
      <c r="N347" s="250" t="n"/>
      <c r="O347" s="250" t="n"/>
      <c r="P347" s="250" t="n"/>
      <c r="Q347" s="250" t="n"/>
      <c r="R347" s="250" t="n"/>
      <c r="S347" s="250" t="n"/>
      <c r="T347" s="250" t="n"/>
      <c r="U347" s="250" t="n"/>
      <c r="V347" s="250" t="n"/>
      <c r="W347" s="250" t="n"/>
      <c r="X347" s="250" t="n"/>
      <c r="Y347" s="250" t="n"/>
      <c r="Z347" s="250" t="n"/>
    </row>
    <row r="348">
      <c r="A348" s="250" t="n"/>
      <c r="B348" s="250" t="n"/>
      <c r="C348" s="250" t="n"/>
      <c r="D348" s="250" t="n"/>
      <c r="E348" s="250" t="n"/>
      <c r="F348" s="250" t="n"/>
      <c r="G348" s="250" t="n"/>
      <c r="H348" s="250" t="n"/>
      <c r="I348" s="250" t="n"/>
      <c r="J348" s="250" t="n"/>
      <c r="K348" s="250" t="n"/>
      <c r="L348" s="250" t="n"/>
      <c r="M348" s="250" t="n"/>
      <c r="N348" s="250" t="n"/>
      <c r="O348" s="250" t="n"/>
      <c r="P348" s="250" t="n"/>
      <c r="Q348" s="250" t="n"/>
      <c r="R348" s="250" t="n"/>
      <c r="S348" s="250" t="n"/>
      <c r="T348" s="250" t="n"/>
      <c r="U348" s="250" t="n"/>
      <c r="V348" s="250" t="n"/>
      <c r="W348" s="250" t="n"/>
      <c r="X348" s="250" t="n"/>
      <c r="Y348" s="250" t="n"/>
      <c r="Z348" s="250" t="n"/>
    </row>
    <row r="349">
      <c r="A349" s="250" t="n"/>
      <c r="B349" s="250" t="n"/>
      <c r="C349" s="250" t="n"/>
      <c r="D349" s="250" t="n"/>
      <c r="E349" s="250" t="n"/>
      <c r="F349" s="250" t="n"/>
      <c r="G349" s="250" t="n"/>
      <c r="H349" s="250" t="n"/>
      <c r="I349" s="250" t="n"/>
      <c r="J349" s="250" t="n"/>
      <c r="K349" s="250" t="n"/>
      <c r="L349" s="250" t="n"/>
      <c r="M349" s="250" t="n"/>
      <c r="N349" s="250" t="n"/>
      <c r="O349" s="250" t="n"/>
      <c r="P349" s="250" t="n"/>
      <c r="Q349" s="250" t="n"/>
      <c r="R349" s="250" t="n"/>
      <c r="S349" s="250" t="n"/>
      <c r="T349" s="250" t="n"/>
      <c r="U349" s="250" t="n"/>
      <c r="V349" s="250" t="n"/>
      <c r="W349" s="250" t="n"/>
      <c r="X349" s="250" t="n"/>
      <c r="Y349" s="250" t="n"/>
      <c r="Z349" s="250" t="n"/>
    </row>
    <row r="350">
      <c r="A350" s="250" t="n"/>
      <c r="B350" s="250" t="n"/>
      <c r="C350" s="250" t="n"/>
      <c r="D350" s="250" t="n"/>
      <c r="E350" s="250" t="n"/>
      <c r="F350" s="250" t="n"/>
      <c r="G350" s="250" t="n"/>
      <c r="H350" s="250" t="n"/>
      <c r="I350" s="250" t="n"/>
      <c r="J350" s="250" t="n"/>
      <c r="K350" s="250" t="n"/>
      <c r="L350" s="250" t="n"/>
      <c r="M350" s="250" t="n"/>
      <c r="N350" s="250" t="n"/>
      <c r="O350" s="250" t="n"/>
      <c r="P350" s="250" t="n"/>
      <c r="Q350" s="250" t="n"/>
      <c r="R350" s="250" t="n"/>
      <c r="S350" s="250" t="n"/>
      <c r="T350" s="250" t="n"/>
      <c r="U350" s="250" t="n"/>
      <c r="V350" s="250" t="n"/>
      <c r="W350" s="250" t="n"/>
      <c r="X350" s="250" t="n"/>
      <c r="Y350" s="250" t="n"/>
      <c r="Z350" s="250" t="n"/>
    </row>
    <row r="351">
      <c r="A351" s="250" t="n"/>
      <c r="B351" s="250" t="n"/>
      <c r="C351" s="250" t="n"/>
      <c r="D351" s="250" t="n"/>
      <c r="E351" s="250" t="n"/>
      <c r="F351" s="250" t="n"/>
      <c r="G351" s="250" t="n"/>
      <c r="H351" s="250" t="n"/>
      <c r="I351" s="250" t="n"/>
      <c r="J351" s="250" t="n"/>
      <c r="K351" s="250" t="n"/>
      <c r="L351" s="250" t="n"/>
      <c r="M351" s="250" t="n"/>
      <c r="N351" s="250" t="n"/>
      <c r="O351" s="250" t="n"/>
      <c r="P351" s="250" t="n"/>
      <c r="Q351" s="250" t="n"/>
      <c r="R351" s="250" t="n"/>
      <c r="S351" s="250" t="n"/>
      <c r="T351" s="250" t="n"/>
      <c r="U351" s="250" t="n"/>
      <c r="V351" s="250" t="n"/>
      <c r="W351" s="250" t="n"/>
      <c r="X351" s="250" t="n"/>
      <c r="Y351" s="250" t="n"/>
      <c r="Z351" s="250" t="n"/>
    </row>
    <row r="352">
      <c r="A352" s="250" t="n"/>
      <c r="B352" s="250" t="n"/>
      <c r="C352" s="250" t="n"/>
      <c r="D352" s="250" t="n"/>
      <c r="E352" s="250" t="n"/>
      <c r="F352" s="250" t="n"/>
      <c r="G352" s="250" t="n"/>
      <c r="H352" s="250" t="n"/>
      <c r="I352" s="250" t="n"/>
      <c r="J352" s="250" t="n"/>
      <c r="K352" s="250" t="n"/>
      <c r="L352" s="250" t="n"/>
      <c r="M352" s="250" t="n"/>
      <c r="N352" s="250" t="n"/>
      <c r="O352" s="250" t="n"/>
      <c r="P352" s="250" t="n"/>
      <c r="Q352" s="250" t="n"/>
      <c r="R352" s="250" t="n"/>
      <c r="S352" s="250" t="n"/>
      <c r="T352" s="250" t="n"/>
      <c r="U352" s="250" t="n"/>
      <c r="V352" s="250" t="n"/>
      <c r="W352" s="250" t="n"/>
      <c r="X352" s="250" t="n"/>
      <c r="Y352" s="250" t="n"/>
      <c r="Z352" s="250" t="n"/>
    </row>
    <row r="353">
      <c r="A353" s="250" t="n"/>
      <c r="B353" s="250" t="n"/>
      <c r="C353" s="250" t="n"/>
      <c r="D353" s="250" t="n"/>
      <c r="E353" s="250" t="n"/>
      <c r="F353" s="250" t="n"/>
      <c r="G353" s="250" t="n"/>
      <c r="H353" s="250" t="n"/>
      <c r="I353" s="250" t="n"/>
      <c r="J353" s="250" t="n"/>
      <c r="K353" s="250" t="n"/>
      <c r="L353" s="250" t="n"/>
      <c r="M353" s="250" t="n"/>
      <c r="N353" s="250" t="n"/>
      <c r="O353" s="250" t="n"/>
      <c r="P353" s="250" t="n"/>
      <c r="Q353" s="250" t="n"/>
      <c r="R353" s="250" t="n"/>
      <c r="S353" s="250" t="n"/>
      <c r="T353" s="250" t="n"/>
      <c r="U353" s="250" t="n"/>
      <c r="V353" s="250" t="n"/>
      <c r="W353" s="250" t="n"/>
      <c r="X353" s="250" t="n"/>
      <c r="Y353" s="250" t="n"/>
      <c r="Z353" s="250" t="n"/>
    </row>
    <row r="354">
      <c r="A354" s="250" t="n"/>
      <c r="B354" s="250" t="n"/>
      <c r="C354" s="250" t="n"/>
      <c r="D354" s="250" t="n"/>
      <c r="E354" s="250" t="n"/>
      <c r="F354" s="250" t="n"/>
      <c r="G354" s="250" t="n"/>
      <c r="H354" s="250" t="n"/>
      <c r="I354" s="250" t="n"/>
      <c r="J354" s="250" t="n"/>
      <c r="K354" s="250" t="n"/>
      <c r="L354" s="250" t="n"/>
      <c r="M354" s="250" t="n"/>
      <c r="N354" s="250" t="n"/>
      <c r="O354" s="250" t="n"/>
      <c r="P354" s="250" t="n"/>
      <c r="Q354" s="250" t="n"/>
      <c r="R354" s="250" t="n"/>
      <c r="S354" s="250" t="n"/>
      <c r="T354" s="250" t="n"/>
      <c r="U354" s="250" t="n"/>
      <c r="V354" s="250" t="n"/>
      <c r="W354" s="250" t="n"/>
      <c r="X354" s="250" t="n"/>
      <c r="Y354" s="250" t="n"/>
      <c r="Z354" s="250" t="n"/>
    </row>
    <row r="355">
      <c r="A355" s="250" t="n"/>
      <c r="B355" s="250" t="n"/>
      <c r="C355" s="250" t="n"/>
      <c r="D355" s="250" t="n"/>
      <c r="E355" s="250" t="n"/>
      <c r="F355" s="250" t="n"/>
      <c r="G355" s="250" t="n"/>
      <c r="H355" s="250" t="n"/>
      <c r="I355" s="250" t="n"/>
      <c r="J355" s="250" t="n"/>
      <c r="K355" s="250" t="n"/>
      <c r="L355" s="250" t="n"/>
      <c r="M355" s="250" t="n"/>
      <c r="N355" s="250" t="n"/>
      <c r="O355" s="250" t="n"/>
      <c r="P355" s="250" t="n"/>
      <c r="Q355" s="250" t="n"/>
      <c r="R355" s="250" t="n"/>
      <c r="S355" s="250" t="n"/>
      <c r="T355" s="250" t="n"/>
      <c r="U355" s="250" t="n"/>
      <c r="V355" s="250" t="n"/>
      <c r="W355" s="250" t="n"/>
      <c r="X355" s="250" t="n"/>
      <c r="Y355" s="250" t="n"/>
      <c r="Z355" s="250" t="n"/>
    </row>
    <row r="356">
      <c r="A356" s="250" t="n"/>
      <c r="B356" s="250" t="n"/>
      <c r="C356" s="250" t="n"/>
      <c r="D356" s="250" t="n"/>
      <c r="E356" s="250" t="n"/>
      <c r="F356" s="250" t="n"/>
      <c r="G356" s="250" t="n"/>
      <c r="H356" s="250" t="n"/>
      <c r="I356" s="250" t="n"/>
      <c r="J356" s="250" t="n"/>
      <c r="K356" s="250" t="n"/>
      <c r="L356" s="250" t="n"/>
      <c r="M356" s="250" t="n"/>
      <c r="N356" s="250" t="n"/>
      <c r="O356" s="250" t="n"/>
      <c r="P356" s="250" t="n"/>
      <c r="Q356" s="250" t="n"/>
      <c r="R356" s="250" t="n"/>
      <c r="S356" s="250" t="n"/>
      <c r="T356" s="250" t="n"/>
      <c r="U356" s="250" t="n"/>
      <c r="V356" s="250" t="n"/>
      <c r="W356" s="250" t="n"/>
      <c r="X356" s="250" t="n"/>
      <c r="Y356" s="250" t="n"/>
      <c r="Z356" s="250" t="n"/>
    </row>
    <row r="357">
      <c r="A357" s="250" t="n"/>
      <c r="B357" s="250" t="n"/>
      <c r="C357" s="250" t="n"/>
      <c r="D357" s="250" t="n"/>
      <c r="E357" s="250" t="n"/>
      <c r="F357" s="250" t="n"/>
      <c r="G357" s="250" t="n"/>
      <c r="H357" s="250" t="n"/>
      <c r="I357" s="250" t="n"/>
      <c r="J357" s="250" t="n"/>
      <c r="K357" s="250" t="n"/>
      <c r="L357" s="250" t="n"/>
      <c r="M357" s="250" t="n"/>
      <c r="N357" s="250" t="n"/>
      <c r="O357" s="250" t="n"/>
      <c r="P357" s="250" t="n"/>
      <c r="Q357" s="250" t="n"/>
      <c r="R357" s="250" t="n"/>
      <c r="S357" s="250" t="n"/>
      <c r="T357" s="250" t="n"/>
      <c r="U357" s="250" t="n"/>
      <c r="V357" s="250" t="n"/>
      <c r="W357" s="250" t="n"/>
      <c r="X357" s="250" t="n"/>
      <c r="Y357" s="250" t="n"/>
      <c r="Z357" s="250" t="n"/>
    </row>
    <row r="358">
      <c r="A358" s="250" t="n"/>
      <c r="B358" s="250" t="n"/>
      <c r="C358" s="250" t="n"/>
      <c r="D358" s="250" t="n"/>
      <c r="E358" s="250" t="n"/>
      <c r="F358" s="250" t="n"/>
      <c r="G358" s="250" t="n"/>
      <c r="H358" s="250" t="n"/>
      <c r="I358" s="250" t="n"/>
      <c r="J358" s="250" t="n"/>
      <c r="K358" s="250" t="n"/>
      <c r="L358" s="250" t="n"/>
      <c r="M358" s="250" t="n"/>
      <c r="N358" s="250" t="n"/>
      <c r="O358" s="250" t="n"/>
      <c r="P358" s="250" t="n"/>
      <c r="Q358" s="250" t="n"/>
      <c r="R358" s="250" t="n"/>
      <c r="S358" s="250" t="n"/>
      <c r="T358" s="250" t="n"/>
      <c r="U358" s="250" t="n"/>
      <c r="V358" s="250" t="n"/>
      <c r="W358" s="250" t="n"/>
      <c r="X358" s="250" t="n"/>
      <c r="Y358" s="250" t="n"/>
      <c r="Z358" s="250" t="n"/>
    </row>
    <row r="359">
      <c r="A359" s="250" t="n"/>
      <c r="B359" s="250" t="n"/>
      <c r="C359" s="250" t="n"/>
      <c r="D359" s="250" t="n"/>
      <c r="E359" s="250" t="n"/>
      <c r="F359" s="250" t="n"/>
      <c r="G359" s="250" t="n"/>
      <c r="H359" s="250" t="n"/>
      <c r="I359" s="250" t="n"/>
      <c r="J359" s="250" t="n"/>
      <c r="K359" s="250" t="n"/>
      <c r="L359" s="250" t="n"/>
      <c r="M359" s="250" t="n"/>
      <c r="N359" s="250" t="n"/>
      <c r="O359" s="250" t="n"/>
      <c r="P359" s="250" t="n"/>
      <c r="Q359" s="250" t="n"/>
      <c r="R359" s="250" t="n"/>
      <c r="S359" s="250" t="n"/>
      <c r="T359" s="250" t="n"/>
      <c r="U359" s="250" t="n"/>
      <c r="V359" s="250" t="n"/>
      <c r="W359" s="250" t="n"/>
      <c r="X359" s="250" t="n"/>
      <c r="Y359" s="250" t="n"/>
      <c r="Z359" s="250" t="n"/>
    </row>
    <row r="360">
      <c r="A360" s="250" t="n"/>
      <c r="B360" s="250" t="n"/>
      <c r="C360" s="250" t="n"/>
      <c r="D360" s="250" t="n"/>
      <c r="E360" s="250" t="n"/>
      <c r="F360" s="250" t="n"/>
      <c r="G360" s="250" t="n"/>
      <c r="H360" s="250" t="n"/>
      <c r="I360" s="250" t="n"/>
      <c r="J360" s="250" t="n"/>
      <c r="K360" s="250" t="n"/>
      <c r="L360" s="250" t="n"/>
      <c r="M360" s="250" t="n"/>
      <c r="N360" s="250" t="n"/>
      <c r="O360" s="250" t="n"/>
      <c r="P360" s="250" t="n"/>
      <c r="Q360" s="250" t="n"/>
      <c r="R360" s="250" t="n"/>
      <c r="S360" s="250" t="n"/>
      <c r="T360" s="250" t="n"/>
      <c r="U360" s="250" t="n"/>
      <c r="V360" s="250" t="n"/>
      <c r="W360" s="250" t="n"/>
      <c r="X360" s="250" t="n"/>
      <c r="Y360" s="250" t="n"/>
      <c r="Z360" s="250" t="n"/>
    </row>
    <row r="361">
      <c r="A361" s="250" t="n"/>
      <c r="B361" s="250" t="n"/>
      <c r="C361" s="250" t="n"/>
      <c r="D361" s="250" t="n"/>
      <c r="E361" s="250" t="n"/>
      <c r="F361" s="250" t="n"/>
      <c r="G361" s="250" t="n"/>
      <c r="H361" s="250" t="n"/>
      <c r="I361" s="250" t="n"/>
      <c r="J361" s="250" t="n"/>
      <c r="K361" s="250" t="n"/>
      <c r="L361" s="250" t="n"/>
      <c r="M361" s="250" t="n"/>
      <c r="N361" s="250" t="n"/>
      <c r="O361" s="250" t="n"/>
      <c r="P361" s="250" t="n"/>
      <c r="Q361" s="250" t="n"/>
      <c r="R361" s="250" t="n"/>
      <c r="S361" s="250" t="n"/>
      <c r="T361" s="250" t="n"/>
      <c r="U361" s="250" t="n"/>
      <c r="V361" s="250" t="n"/>
      <c r="W361" s="250" t="n"/>
      <c r="X361" s="250" t="n"/>
      <c r="Y361" s="250" t="n"/>
      <c r="Z361" s="250" t="n"/>
    </row>
    <row r="362">
      <c r="A362" s="250" t="n"/>
      <c r="B362" s="250" t="n"/>
      <c r="C362" s="250" t="n"/>
      <c r="D362" s="250" t="n"/>
      <c r="E362" s="250" t="n"/>
      <c r="F362" s="250" t="n"/>
      <c r="G362" s="250" t="n"/>
      <c r="H362" s="250" t="n"/>
      <c r="I362" s="250" t="n"/>
      <c r="J362" s="250" t="n"/>
      <c r="K362" s="250" t="n"/>
      <c r="L362" s="250" t="n"/>
      <c r="M362" s="250" t="n"/>
      <c r="N362" s="250" t="n"/>
      <c r="O362" s="250" t="n"/>
      <c r="P362" s="250" t="n"/>
      <c r="Q362" s="250" t="n"/>
      <c r="R362" s="250" t="n"/>
      <c r="S362" s="250" t="n"/>
      <c r="T362" s="250" t="n"/>
      <c r="U362" s="250" t="n"/>
      <c r="V362" s="250" t="n"/>
      <c r="W362" s="250" t="n"/>
      <c r="X362" s="250" t="n"/>
      <c r="Y362" s="250" t="n"/>
      <c r="Z362" s="250" t="n"/>
    </row>
    <row r="363">
      <c r="A363" s="250" t="n"/>
      <c r="B363" s="250" t="n"/>
      <c r="C363" s="250" t="n"/>
      <c r="D363" s="250" t="n"/>
      <c r="E363" s="250" t="n"/>
      <c r="F363" s="250" t="n"/>
      <c r="G363" s="250" t="n"/>
      <c r="H363" s="250" t="n"/>
      <c r="I363" s="250" t="n"/>
      <c r="J363" s="250" t="n"/>
      <c r="K363" s="250" t="n"/>
      <c r="L363" s="250" t="n"/>
      <c r="M363" s="250" t="n"/>
      <c r="N363" s="250" t="n"/>
      <c r="O363" s="250" t="n"/>
      <c r="P363" s="250" t="n"/>
      <c r="Q363" s="250" t="n"/>
      <c r="R363" s="250" t="n"/>
      <c r="S363" s="250" t="n"/>
      <c r="T363" s="250" t="n"/>
      <c r="U363" s="250" t="n"/>
      <c r="V363" s="250" t="n"/>
      <c r="W363" s="250" t="n"/>
      <c r="X363" s="250" t="n"/>
      <c r="Y363" s="250" t="n"/>
      <c r="Z363" s="250" t="n"/>
    </row>
    <row r="364">
      <c r="A364" s="250" t="n"/>
      <c r="B364" s="250" t="n"/>
      <c r="C364" s="250" t="n"/>
      <c r="D364" s="250" t="n"/>
      <c r="E364" s="250" t="n"/>
      <c r="F364" s="250" t="n"/>
      <c r="G364" s="250" t="n"/>
      <c r="H364" s="250" t="n"/>
      <c r="I364" s="250" t="n"/>
      <c r="J364" s="250" t="n"/>
      <c r="K364" s="250" t="n"/>
      <c r="L364" s="250" t="n"/>
      <c r="M364" s="250" t="n"/>
      <c r="N364" s="250" t="n"/>
      <c r="O364" s="250" t="n"/>
      <c r="P364" s="250" t="n"/>
      <c r="Q364" s="250" t="n"/>
      <c r="R364" s="250" t="n"/>
      <c r="S364" s="250" t="n"/>
      <c r="T364" s="250" t="n"/>
      <c r="U364" s="250" t="n"/>
      <c r="V364" s="250" t="n"/>
      <c r="W364" s="250" t="n"/>
      <c r="X364" s="250" t="n"/>
      <c r="Y364" s="250" t="n"/>
      <c r="Z364" s="250" t="n"/>
    </row>
    <row r="365">
      <c r="A365" s="250" t="n"/>
      <c r="B365" s="250" t="n"/>
      <c r="C365" s="250" t="n"/>
      <c r="D365" s="250" t="n"/>
      <c r="E365" s="250" t="n"/>
      <c r="F365" s="250" t="n"/>
      <c r="G365" s="250" t="n"/>
      <c r="H365" s="250" t="n"/>
      <c r="I365" s="250" t="n"/>
      <c r="J365" s="250" t="n"/>
      <c r="K365" s="250" t="n"/>
      <c r="L365" s="250" t="n"/>
      <c r="M365" s="250" t="n"/>
      <c r="N365" s="250" t="n"/>
      <c r="O365" s="250" t="n"/>
      <c r="P365" s="250" t="n"/>
      <c r="Q365" s="250" t="n"/>
      <c r="R365" s="250" t="n"/>
      <c r="S365" s="250" t="n"/>
      <c r="T365" s="250" t="n"/>
      <c r="U365" s="250" t="n"/>
      <c r="V365" s="250" t="n"/>
      <c r="W365" s="250" t="n"/>
      <c r="X365" s="250" t="n"/>
      <c r="Y365" s="250" t="n"/>
      <c r="Z365" s="250" t="n"/>
    </row>
    <row r="366">
      <c r="A366" s="250" t="n"/>
      <c r="B366" s="250" t="n"/>
      <c r="C366" s="250" t="n"/>
      <c r="D366" s="250" t="n"/>
      <c r="E366" s="250" t="n"/>
      <c r="F366" s="250" t="n"/>
      <c r="G366" s="250" t="n"/>
      <c r="H366" s="250" t="n"/>
      <c r="I366" s="250" t="n"/>
      <c r="J366" s="250" t="n"/>
      <c r="K366" s="250" t="n"/>
      <c r="L366" s="250" t="n"/>
      <c r="M366" s="250" t="n"/>
      <c r="N366" s="250" t="n"/>
      <c r="O366" s="250" t="n"/>
      <c r="P366" s="250" t="n"/>
      <c r="Q366" s="250" t="n"/>
      <c r="R366" s="250" t="n"/>
      <c r="S366" s="250" t="n"/>
      <c r="T366" s="250" t="n"/>
      <c r="U366" s="250" t="n"/>
      <c r="V366" s="250" t="n"/>
      <c r="W366" s="250" t="n"/>
      <c r="X366" s="250" t="n"/>
      <c r="Y366" s="250" t="n"/>
      <c r="Z366" s="250" t="n"/>
    </row>
    <row r="367">
      <c r="A367" s="250" t="n"/>
      <c r="B367" s="250" t="n"/>
      <c r="C367" s="250" t="n"/>
      <c r="D367" s="250" t="n"/>
      <c r="E367" s="250" t="n"/>
      <c r="F367" s="250" t="n"/>
      <c r="G367" s="250" t="n"/>
      <c r="H367" s="250" t="n"/>
      <c r="I367" s="250" t="n"/>
      <c r="J367" s="250" t="n"/>
      <c r="K367" s="250" t="n"/>
      <c r="L367" s="250" t="n"/>
      <c r="M367" s="250" t="n"/>
      <c r="N367" s="250" t="n"/>
      <c r="O367" s="250" t="n"/>
      <c r="P367" s="250" t="n"/>
      <c r="Q367" s="250" t="n"/>
      <c r="R367" s="250" t="n"/>
      <c r="S367" s="250" t="n"/>
      <c r="T367" s="250" t="n"/>
      <c r="U367" s="250" t="n"/>
      <c r="V367" s="250" t="n"/>
      <c r="W367" s="250" t="n"/>
      <c r="X367" s="250" t="n"/>
      <c r="Y367" s="250" t="n"/>
      <c r="Z367" s="250" t="n"/>
    </row>
    <row r="368">
      <c r="A368" s="250" t="n"/>
      <c r="B368" s="250" t="n"/>
      <c r="C368" s="250" t="n"/>
      <c r="D368" s="250" t="n"/>
      <c r="E368" s="250" t="n"/>
      <c r="F368" s="250" t="n"/>
      <c r="G368" s="250" t="n"/>
      <c r="H368" s="250" t="n"/>
      <c r="I368" s="250" t="n"/>
      <c r="J368" s="250" t="n"/>
      <c r="K368" s="250" t="n"/>
      <c r="L368" s="250" t="n"/>
      <c r="M368" s="250" t="n"/>
      <c r="N368" s="250" t="n"/>
      <c r="O368" s="250" t="n"/>
      <c r="P368" s="250" t="n"/>
      <c r="Q368" s="250" t="n"/>
      <c r="R368" s="250" t="n"/>
      <c r="S368" s="250" t="n"/>
      <c r="T368" s="250" t="n"/>
      <c r="U368" s="250" t="n"/>
      <c r="V368" s="250" t="n"/>
      <c r="W368" s="250" t="n"/>
      <c r="X368" s="250" t="n"/>
      <c r="Y368" s="250" t="n"/>
      <c r="Z368" s="250" t="n"/>
    </row>
    <row r="369">
      <c r="A369" s="250" t="n"/>
      <c r="B369" s="250" t="n"/>
      <c r="C369" s="250" t="n"/>
      <c r="D369" s="250" t="n"/>
      <c r="E369" s="250" t="n"/>
      <c r="F369" s="250" t="n"/>
      <c r="G369" s="250" t="n"/>
      <c r="H369" s="250" t="n"/>
      <c r="I369" s="250" t="n"/>
      <c r="J369" s="250" t="n"/>
      <c r="K369" s="250" t="n"/>
      <c r="L369" s="250" t="n"/>
      <c r="M369" s="250" t="n"/>
      <c r="N369" s="250" t="n"/>
      <c r="O369" s="250" t="n"/>
      <c r="P369" s="250" t="n"/>
      <c r="Q369" s="250" t="n"/>
      <c r="R369" s="250" t="n"/>
      <c r="S369" s="250" t="n"/>
      <c r="T369" s="250" t="n"/>
      <c r="U369" s="250" t="n"/>
      <c r="V369" s="250" t="n"/>
      <c r="W369" s="250" t="n"/>
      <c r="X369" s="250" t="n"/>
      <c r="Y369" s="250" t="n"/>
      <c r="Z369" s="250" t="n"/>
    </row>
    <row r="370">
      <c r="A370" s="250" t="n"/>
      <c r="B370" s="250" t="n"/>
      <c r="C370" s="250" t="n"/>
      <c r="D370" s="250" t="n"/>
      <c r="E370" s="250" t="n"/>
      <c r="F370" s="250" t="n"/>
      <c r="G370" s="250" t="n"/>
      <c r="H370" s="250" t="n"/>
      <c r="I370" s="250" t="n"/>
      <c r="J370" s="250" t="n"/>
      <c r="K370" s="250" t="n"/>
      <c r="L370" s="250" t="n"/>
      <c r="M370" s="250" t="n"/>
      <c r="N370" s="250" t="n"/>
      <c r="O370" s="250" t="n"/>
      <c r="P370" s="250" t="n"/>
      <c r="Q370" s="250" t="n"/>
      <c r="R370" s="250" t="n"/>
      <c r="S370" s="250" t="n"/>
      <c r="T370" s="250" t="n"/>
      <c r="U370" s="250" t="n"/>
      <c r="V370" s="250" t="n"/>
      <c r="W370" s="250" t="n"/>
      <c r="X370" s="250" t="n"/>
      <c r="Y370" s="250" t="n"/>
      <c r="Z370" s="250" t="n"/>
    </row>
    <row r="371">
      <c r="A371" s="250" t="n"/>
      <c r="B371" s="250" t="n"/>
      <c r="C371" s="250" t="n"/>
      <c r="D371" s="250" t="n"/>
      <c r="E371" s="250" t="n"/>
      <c r="F371" s="250" t="n"/>
      <c r="G371" s="250" t="n"/>
      <c r="H371" s="250" t="n"/>
      <c r="I371" s="250" t="n"/>
      <c r="J371" s="250" t="n"/>
      <c r="K371" s="250" t="n"/>
      <c r="L371" s="250" t="n"/>
      <c r="M371" s="250" t="n"/>
      <c r="N371" s="250" t="n"/>
      <c r="O371" s="250" t="n"/>
      <c r="P371" s="250" t="n"/>
      <c r="Q371" s="250" t="n"/>
      <c r="R371" s="250" t="n"/>
      <c r="S371" s="250" t="n"/>
      <c r="T371" s="250" t="n"/>
      <c r="U371" s="250" t="n"/>
      <c r="V371" s="250" t="n"/>
      <c r="W371" s="250" t="n"/>
      <c r="X371" s="250" t="n"/>
      <c r="Y371" s="250" t="n"/>
      <c r="Z371" s="250" t="n"/>
    </row>
    <row r="372">
      <c r="A372" s="250" t="n"/>
      <c r="B372" s="250" t="n"/>
      <c r="C372" s="250" t="n"/>
      <c r="D372" s="250" t="n"/>
      <c r="E372" s="250" t="n"/>
      <c r="F372" s="250" t="n"/>
      <c r="G372" s="250" t="n"/>
      <c r="H372" s="250" t="n"/>
      <c r="I372" s="250" t="n"/>
      <c r="J372" s="250" t="n"/>
      <c r="K372" s="250" t="n"/>
      <c r="L372" s="250" t="n"/>
      <c r="M372" s="250" t="n"/>
      <c r="N372" s="250" t="n"/>
      <c r="O372" s="250" t="n"/>
      <c r="P372" s="250" t="n"/>
      <c r="Q372" s="250" t="n"/>
      <c r="R372" s="250" t="n"/>
      <c r="S372" s="250" t="n"/>
      <c r="T372" s="250" t="n"/>
      <c r="U372" s="250" t="n"/>
      <c r="V372" s="250" t="n"/>
      <c r="W372" s="250" t="n"/>
      <c r="X372" s="250" t="n"/>
      <c r="Y372" s="250" t="n"/>
      <c r="Z372" s="250" t="n"/>
    </row>
    <row r="373">
      <c r="A373" s="250" t="n"/>
      <c r="B373" s="250" t="n"/>
      <c r="C373" s="250" t="n"/>
      <c r="D373" s="250" t="n"/>
      <c r="E373" s="250" t="n"/>
      <c r="F373" s="250" t="n"/>
      <c r="G373" s="250" t="n"/>
      <c r="H373" s="250" t="n"/>
      <c r="I373" s="250" t="n"/>
      <c r="J373" s="250" t="n"/>
      <c r="K373" s="250" t="n"/>
      <c r="L373" s="250" t="n"/>
      <c r="M373" s="250" t="n"/>
      <c r="N373" s="250" t="n"/>
      <c r="O373" s="250" t="n"/>
      <c r="P373" s="250" t="n"/>
      <c r="Q373" s="250" t="n"/>
      <c r="R373" s="250" t="n"/>
      <c r="S373" s="250" t="n"/>
      <c r="T373" s="250" t="n"/>
      <c r="U373" s="250" t="n"/>
      <c r="V373" s="250" t="n"/>
      <c r="W373" s="250" t="n"/>
      <c r="X373" s="250" t="n"/>
      <c r="Y373" s="250" t="n"/>
      <c r="Z373" s="250" t="n"/>
    </row>
    <row r="374">
      <c r="A374" s="250" t="n"/>
      <c r="B374" s="250" t="n"/>
      <c r="C374" s="250" t="n"/>
      <c r="D374" s="250" t="n"/>
      <c r="E374" s="250" t="n"/>
      <c r="F374" s="250" t="n"/>
      <c r="G374" s="250" t="n"/>
      <c r="H374" s="250" t="n"/>
      <c r="I374" s="250" t="n"/>
      <c r="J374" s="250" t="n"/>
      <c r="K374" s="250" t="n"/>
      <c r="L374" s="250" t="n"/>
      <c r="M374" s="250" t="n"/>
      <c r="N374" s="250" t="n"/>
      <c r="O374" s="250" t="n"/>
      <c r="P374" s="250" t="n"/>
      <c r="Q374" s="250" t="n"/>
      <c r="R374" s="250" t="n"/>
      <c r="S374" s="250" t="n"/>
      <c r="T374" s="250" t="n"/>
      <c r="U374" s="250" t="n"/>
      <c r="V374" s="250" t="n"/>
      <c r="W374" s="250" t="n"/>
      <c r="X374" s="250" t="n"/>
      <c r="Y374" s="250" t="n"/>
      <c r="Z374" s="250" t="n"/>
    </row>
    <row r="375">
      <c r="A375" s="250" t="n"/>
      <c r="B375" s="250" t="n"/>
      <c r="C375" s="250" t="n"/>
      <c r="D375" s="250" t="n"/>
      <c r="E375" s="250" t="n"/>
      <c r="F375" s="250" t="n"/>
      <c r="G375" s="250" t="n"/>
      <c r="H375" s="250" t="n"/>
      <c r="I375" s="250" t="n"/>
      <c r="J375" s="250" t="n"/>
      <c r="K375" s="250" t="n"/>
      <c r="L375" s="250" t="n"/>
      <c r="M375" s="250" t="n"/>
      <c r="N375" s="250" t="n"/>
      <c r="O375" s="250" t="n"/>
      <c r="P375" s="250" t="n"/>
      <c r="Q375" s="250" t="n"/>
      <c r="R375" s="250" t="n"/>
      <c r="S375" s="250" t="n"/>
      <c r="T375" s="250" t="n"/>
      <c r="U375" s="250" t="n"/>
      <c r="V375" s="250" t="n"/>
      <c r="W375" s="250" t="n"/>
      <c r="X375" s="250" t="n"/>
      <c r="Y375" s="250" t="n"/>
      <c r="Z375" s="250" t="n"/>
    </row>
    <row r="376">
      <c r="A376" s="250" t="n"/>
      <c r="B376" s="250" t="n"/>
      <c r="C376" s="250" t="n"/>
      <c r="D376" s="250" t="n"/>
      <c r="E376" s="250" t="n"/>
      <c r="F376" s="250" t="n"/>
      <c r="G376" s="250" t="n"/>
      <c r="H376" s="250" t="n"/>
      <c r="I376" s="250" t="n"/>
      <c r="J376" s="250" t="n"/>
      <c r="K376" s="250" t="n"/>
      <c r="L376" s="250" t="n"/>
      <c r="M376" s="250" t="n"/>
      <c r="N376" s="250" t="n"/>
      <c r="O376" s="250" t="n"/>
      <c r="P376" s="250" t="n"/>
      <c r="Q376" s="250" t="n"/>
      <c r="R376" s="250" t="n"/>
      <c r="S376" s="250" t="n"/>
      <c r="T376" s="250" t="n"/>
      <c r="U376" s="250" t="n"/>
      <c r="V376" s="250" t="n"/>
      <c r="W376" s="250" t="n"/>
      <c r="X376" s="250" t="n"/>
      <c r="Y376" s="250" t="n"/>
      <c r="Z376" s="250" t="n"/>
    </row>
    <row r="377">
      <c r="A377" s="250" t="n"/>
      <c r="B377" s="250" t="n"/>
      <c r="C377" s="250" t="n"/>
      <c r="D377" s="250" t="n"/>
      <c r="E377" s="250" t="n"/>
      <c r="F377" s="250" t="n"/>
      <c r="G377" s="250" t="n"/>
      <c r="H377" s="250" t="n"/>
      <c r="I377" s="250" t="n"/>
      <c r="J377" s="250" t="n"/>
      <c r="K377" s="250" t="n"/>
      <c r="L377" s="250" t="n"/>
      <c r="M377" s="250" t="n"/>
      <c r="N377" s="250" t="n"/>
      <c r="O377" s="250" t="n"/>
      <c r="P377" s="250" t="n"/>
      <c r="Q377" s="250" t="n"/>
      <c r="R377" s="250" t="n"/>
      <c r="S377" s="250" t="n"/>
      <c r="T377" s="250" t="n"/>
      <c r="U377" s="250" t="n"/>
      <c r="V377" s="250" t="n"/>
      <c r="W377" s="250" t="n"/>
      <c r="X377" s="250" t="n"/>
      <c r="Y377" s="250" t="n"/>
      <c r="Z377" s="250" t="n"/>
    </row>
    <row r="378">
      <c r="A378" s="250" t="n"/>
      <c r="B378" s="250" t="n"/>
      <c r="C378" s="250" t="n"/>
      <c r="D378" s="250" t="n"/>
      <c r="E378" s="250" t="n"/>
      <c r="F378" s="250" t="n"/>
      <c r="G378" s="250" t="n"/>
      <c r="H378" s="250" t="n"/>
      <c r="I378" s="250" t="n"/>
      <c r="J378" s="250" t="n"/>
      <c r="K378" s="250" t="n"/>
      <c r="L378" s="250" t="n"/>
      <c r="M378" s="250" t="n"/>
      <c r="N378" s="250" t="n"/>
      <c r="O378" s="250" t="n"/>
      <c r="P378" s="250" t="n"/>
      <c r="Q378" s="250" t="n"/>
      <c r="R378" s="250" t="n"/>
      <c r="S378" s="250" t="n"/>
      <c r="T378" s="250" t="n"/>
      <c r="U378" s="250" t="n"/>
      <c r="V378" s="250" t="n"/>
      <c r="W378" s="250" t="n"/>
      <c r="X378" s="250" t="n"/>
      <c r="Y378" s="250" t="n"/>
      <c r="Z378" s="250" t="n"/>
    </row>
    <row r="379">
      <c r="A379" s="250" t="n"/>
      <c r="B379" s="250" t="n"/>
      <c r="C379" s="250" t="n"/>
      <c r="D379" s="250" t="n"/>
      <c r="E379" s="250" t="n"/>
      <c r="F379" s="250" t="n"/>
      <c r="G379" s="250" t="n"/>
      <c r="H379" s="250" t="n"/>
      <c r="I379" s="250" t="n"/>
      <c r="J379" s="250" t="n"/>
      <c r="K379" s="250" t="n"/>
      <c r="L379" s="250" t="n"/>
      <c r="M379" s="250" t="n"/>
      <c r="N379" s="250" t="n"/>
      <c r="O379" s="250" t="n"/>
      <c r="P379" s="250" t="n"/>
      <c r="Q379" s="250" t="n"/>
      <c r="R379" s="250" t="n"/>
      <c r="S379" s="250" t="n"/>
      <c r="T379" s="250" t="n"/>
      <c r="U379" s="250" t="n"/>
      <c r="V379" s="250" t="n"/>
      <c r="W379" s="250" t="n"/>
      <c r="X379" s="250" t="n"/>
      <c r="Y379" s="250" t="n"/>
      <c r="Z379" s="250" t="n"/>
    </row>
    <row r="380">
      <c r="A380" s="250" t="n"/>
      <c r="B380" s="250" t="n"/>
      <c r="C380" s="250" t="n"/>
      <c r="D380" s="250" t="n"/>
      <c r="E380" s="250" t="n"/>
      <c r="F380" s="250" t="n"/>
      <c r="G380" s="250" t="n"/>
      <c r="H380" s="250" t="n"/>
      <c r="I380" s="250" t="n"/>
      <c r="J380" s="250" t="n"/>
      <c r="K380" s="250" t="n"/>
      <c r="L380" s="250" t="n"/>
      <c r="M380" s="250" t="n"/>
      <c r="N380" s="250" t="n"/>
      <c r="O380" s="250" t="n"/>
      <c r="P380" s="250" t="n"/>
      <c r="Q380" s="250" t="n"/>
      <c r="R380" s="250" t="n"/>
      <c r="S380" s="250" t="n"/>
      <c r="T380" s="250" t="n"/>
      <c r="U380" s="250" t="n"/>
      <c r="V380" s="250" t="n"/>
      <c r="W380" s="250" t="n"/>
      <c r="X380" s="250" t="n"/>
      <c r="Y380" s="250" t="n"/>
      <c r="Z380" s="250" t="n"/>
    </row>
    <row r="381">
      <c r="A381" s="250" t="n"/>
      <c r="B381" s="250" t="n"/>
      <c r="C381" s="250" t="n"/>
      <c r="D381" s="250" t="n"/>
      <c r="E381" s="250" t="n"/>
      <c r="F381" s="250" t="n"/>
      <c r="G381" s="250" t="n"/>
      <c r="H381" s="250" t="n"/>
      <c r="I381" s="250" t="n"/>
      <c r="J381" s="250" t="n"/>
      <c r="K381" s="250" t="n"/>
      <c r="L381" s="250" t="n"/>
      <c r="M381" s="250" t="n"/>
      <c r="N381" s="250" t="n"/>
      <c r="O381" s="250" t="n"/>
      <c r="P381" s="250" t="n"/>
      <c r="Q381" s="250" t="n"/>
      <c r="R381" s="250" t="n"/>
      <c r="S381" s="250" t="n"/>
      <c r="T381" s="250" t="n"/>
      <c r="U381" s="250" t="n"/>
      <c r="V381" s="250" t="n"/>
      <c r="W381" s="250" t="n"/>
      <c r="X381" s="250" t="n"/>
      <c r="Y381" s="250" t="n"/>
      <c r="Z381" s="250" t="n"/>
    </row>
    <row r="382">
      <c r="A382" s="250" t="n"/>
      <c r="B382" s="250" t="n"/>
      <c r="C382" s="250" t="n"/>
      <c r="D382" s="250" t="n"/>
      <c r="E382" s="250" t="n"/>
      <c r="F382" s="250" t="n"/>
      <c r="G382" s="250" t="n"/>
      <c r="H382" s="250" t="n"/>
      <c r="I382" s="250" t="n"/>
      <c r="J382" s="250" t="n"/>
      <c r="K382" s="250" t="n"/>
      <c r="L382" s="250" t="n"/>
      <c r="M382" s="250" t="n"/>
      <c r="N382" s="250" t="n"/>
      <c r="O382" s="250" t="n"/>
      <c r="P382" s="250" t="n"/>
      <c r="Q382" s="250" t="n"/>
      <c r="R382" s="250" t="n"/>
      <c r="S382" s="250" t="n"/>
      <c r="T382" s="250" t="n"/>
      <c r="U382" s="250" t="n"/>
      <c r="V382" s="250" t="n"/>
      <c r="W382" s="250" t="n"/>
      <c r="X382" s="250" t="n"/>
      <c r="Y382" s="250" t="n"/>
      <c r="Z382" s="250" t="n"/>
    </row>
    <row r="383">
      <c r="A383" s="250" t="n"/>
      <c r="B383" s="250" t="n"/>
      <c r="C383" s="250" t="n"/>
      <c r="D383" s="250" t="n"/>
      <c r="E383" s="250" t="n"/>
      <c r="F383" s="250" t="n"/>
      <c r="G383" s="250" t="n"/>
      <c r="H383" s="250" t="n"/>
      <c r="I383" s="250" t="n"/>
      <c r="J383" s="250" t="n"/>
      <c r="K383" s="250" t="n"/>
      <c r="L383" s="250" t="n"/>
      <c r="M383" s="250" t="n"/>
      <c r="N383" s="250" t="n"/>
      <c r="O383" s="250" t="n"/>
      <c r="P383" s="250" t="n"/>
      <c r="Q383" s="250" t="n"/>
      <c r="R383" s="250" t="n"/>
      <c r="S383" s="250" t="n"/>
      <c r="T383" s="250" t="n"/>
      <c r="U383" s="250" t="n"/>
      <c r="V383" s="250" t="n"/>
      <c r="W383" s="250" t="n"/>
      <c r="X383" s="250" t="n"/>
      <c r="Y383" s="250" t="n"/>
      <c r="Z383" s="250" t="n"/>
    </row>
    <row r="384">
      <c r="A384" s="250" t="n"/>
      <c r="B384" s="250" t="n"/>
      <c r="C384" s="250" t="n"/>
      <c r="D384" s="250" t="n"/>
      <c r="E384" s="250" t="n"/>
      <c r="F384" s="250" t="n"/>
      <c r="G384" s="250" t="n"/>
      <c r="H384" s="250" t="n"/>
      <c r="I384" s="250" t="n"/>
      <c r="J384" s="250" t="n"/>
      <c r="K384" s="250" t="n"/>
      <c r="L384" s="250" t="n"/>
      <c r="M384" s="250" t="n"/>
      <c r="N384" s="250" t="n"/>
      <c r="O384" s="250" t="n"/>
      <c r="P384" s="250" t="n"/>
      <c r="Q384" s="250" t="n"/>
      <c r="R384" s="250" t="n"/>
      <c r="S384" s="250" t="n"/>
      <c r="T384" s="250" t="n"/>
      <c r="U384" s="250" t="n"/>
      <c r="V384" s="250" t="n"/>
      <c r="W384" s="250" t="n"/>
      <c r="X384" s="250" t="n"/>
      <c r="Y384" s="250" t="n"/>
      <c r="Z384" s="250" t="n"/>
    </row>
    <row r="385">
      <c r="A385" s="250" t="n"/>
      <c r="B385" s="250" t="n"/>
      <c r="C385" s="250" t="n"/>
      <c r="D385" s="250" t="n"/>
      <c r="E385" s="250" t="n"/>
      <c r="F385" s="250" t="n"/>
      <c r="G385" s="250" t="n"/>
      <c r="H385" s="250" t="n"/>
      <c r="I385" s="250" t="n"/>
      <c r="J385" s="250" t="n"/>
      <c r="K385" s="250" t="n"/>
      <c r="L385" s="250" t="n"/>
      <c r="M385" s="250" t="n"/>
      <c r="N385" s="250" t="n"/>
      <c r="O385" s="250" t="n"/>
      <c r="P385" s="250" t="n"/>
      <c r="Q385" s="250" t="n"/>
      <c r="R385" s="250" t="n"/>
      <c r="S385" s="250" t="n"/>
      <c r="T385" s="250" t="n"/>
      <c r="U385" s="250" t="n"/>
      <c r="V385" s="250" t="n"/>
      <c r="W385" s="250" t="n"/>
      <c r="X385" s="250" t="n"/>
      <c r="Y385" s="250" t="n"/>
      <c r="Z385" s="250" t="n"/>
    </row>
    <row r="386">
      <c r="A386" s="250" t="n"/>
      <c r="B386" s="250" t="n"/>
      <c r="C386" s="250" t="n"/>
      <c r="D386" s="250" t="n"/>
      <c r="E386" s="250" t="n"/>
      <c r="F386" s="250" t="n"/>
      <c r="G386" s="250" t="n"/>
      <c r="H386" s="250" t="n"/>
      <c r="I386" s="250" t="n"/>
      <c r="J386" s="250" t="n"/>
      <c r="K386" s="250" t="n"/>
      <c r="L386" s="250" t="n"/>
      <c r="M386" s="250" t="n"/>
      <c r="N386" s="250" t="n"/>
      <c r="O386" s="250" t="n"/>
      <c r="P386" s="250" t="n"/>
      <c r="Q386" s="250" t="n"/>
      <c r="R386" s="250" t="n"/>
      <c r="S386" s="250" t="n"/>
      <c r="T386" s="250" t="n"/>
      <c r="U386" s="250" t="n"/>
      <c r="V386" s="250" t="n"/>
      <c r="W386" s="250" t="n"/>
      <c r="X386" s="250" t="n"/>
      <c r="Y386" s="250" t="n"/>
      <c r="Z386" s="250" t="n"/>
    </row>
    <row r="387">
      <c r="A387" s="250" t="n"/>
      <c r="B387" s="250" t="n"/>
      <c r="C387" s="250" t="n"/>
      <c r="D387" s="250" t="n"/>
      <c r="E387" s="250" t="n"/>
      <c r="F387" s="250" t="n"/>
      <c r="G387" s="250" t="n"/>
      <c r="H387" s="250" t="n"/>
      <c r="I387" s="250" t="n"/>
      <c r="J387" s="250" t="n"/>
      <c r="K387" s="250" t="n"/>
      <c r="L387" s="250" t="n"/>
      <c r="M387" s="250" t="n"/>
      <c r="N387" s="250" t="n"/>
      <c r="O387" s="250" t="n"/>
      <c r="P387" s="250" t="n"/>
      <c r="Q387" s="250" t="n"/>
      <c r="R387" s="250" t="n"/>
      <c r="S387" s="250" t="n"/>
      <c r="T387" s="250" t="n"/>
      <c r="U387" s="250" t="n"/>
      <c r="V387" s="250" t="n"/>
      <c r="W387" s="250" t="n"/>
      <c r="X387" s="250" t="n"/>
      <c r="Y387" s="250" t="n"/>
      <c r="Z387" s="250" t="n"/>
    </row>
    <row r="388">
      <c r="A388" s="250" t="n"/>
      <c r="B388" s="250" t="n"/>
      <c r="C388" s="250" t="n"/>
      <c r="D388" s="250" t="n"/>
      <c r="E388" s="250" t="n"/>
      <c r="F388" s="250" t="n"/>
      <c r="G388" s="250" t="n"/>
      <c r="H388" s="250" t="n"/>
      <c r="I388" s="250" t="n"/>
      <c r="J388" s="250" t="n"/>
      <c r="K388" s="250" t="n"/>
      <c r="L388" s="250" t="n"/>
      <c r="M388" s="250" t="n"/>
      <c r="N388" s="250" t="n"/>
      <c r="O388" s="250" t="n"/>
      <c r="P388" s="250" t="n"/>
      <c r="Q388" s="250" t="n"/>
      <c r="R388" s="250" t="n"/>
      <c r="S388" s="250" t="n"/>
      <c r="T388" s="250" t="n"/>
      <c r="U388" s="250" t="n"/>
      <c r="V388" s="250" t="n"/>
      <c r="W388" s="250" t="n"/>
      <c r="X388" s="250" t="n"/>
      <c r="Y388" s="250" t="n"/>
      <c r="Z388" s="250" t="n"/>
    </row>
    <row r="389">
      <c r="A389" s="250" t="n"/>
      <c r="B389" s="250" t="n"/>
      <c r="C389" s="250" t="n"/>
      <c r="D389" s="250" t="n"/>
      <c r="E389" s="250" t="n"/>
      <c r="F389" s="250" t="n"/>
      <c r="G389" s="250" t="n"/>
      <c r="H389" s="250" t="n"/>
      <c r="I389" s="250" t="n"/>
      <c r="J389" s="250" t="n"/>
      <c r="K389" s="250" t="n"/>
      <c r="L389" s="250" t="n"/>
      <c r="M389" s="250" t="n"/>
      <c r="N389" s="250" t="n"/>
      <c r="O389" s="250" t="n"/>
      <c r="P389" s="250" t="n"/>
      <c r="Q389" s="250" t="n"/>
      <c r="R389" s="250" t="n"/>
      <c r="S389" s="250" t="n"/>
      <c r="T389" s="250" t="n"/>
      <c r="U389" s="250" t="n"/>
      <c r="V389" s="250" t="n"/>
      <c r="W389" s="250" t="n"/>
      <c r="X389" s="250" t="n"/>
      <c r="Y389" s="250" t="n"/>
      <c r="Z389" s="250" t="n"/>
    </row>
    <row r="390">
      <c r="A390" s="250" t="n"/>
      <c r="B390" s="250" t="n"/>
      <c r="C390" s="250" t="n"/>
      <c r="D390" s="250" t="n"/>
      <c r="E390" s="250" t="n"/>
      <c r="F390" s="250" t="n"/>
      <c r="G390" s="250" t="n"/>
      <c r="H390" s="250" t="n"/>
      <c r="I390" s="250" t="n"/>
      <c r="J390" s="250" t="n"/>
      <c r="K390" s="250" t="n"/>
      <c r="L390" s="250" t="n"/>
      <c r="M390" s="250" t="n"/>
      <c r="N390" s="250" t="n"/>
      <c r="O390" s="250" t="n"/>
      <c r="P390" s="250" t="n"/>
      <c r="Q390" s="250" t="n"/>
      <c r="R390" s="250" t="n"/>
      <c r="S390" s="250" t="n"/>
      <c r="T390" s="250" t="n"/>
      <c r="U390" s="250" t="n"/>
      <c r="V390" s="250" t="n"/>
      <c r="W390" s="250" t="n"/>
      <c r="X390" s="250" t="n"/>
      <c r="Y390" s="250" t="n"/>
      <c r="Z390" s="250" t="n"/>
    </row>
    <row r="391">
      <c r="A391" s="250" t="n"/>
      <c r="B391" s="250" t="n"/>
      <c r="C391" s="250" t="n"/>
      <c r="D391" s="250" t="n"/>
      <c r="E391" s="250" t="n"/>
      <c r="F391" s="250" t="n"/>
      <c r="G391" s="250" t="n"/>
      <c r="H391" s="250" t="n"/>
      <c r="I391" s="250" t="n"/>
      <c r="J391" s="250" t="n"/>
      <c r="K391" s="250" t="n"/>
      <c r="L391" s="250" t="n"/>
      <c r="M391" s="250" t="n"/>
      <c r="N391" s="250" t="n"/>
      <c r="O391" s="250" t="n"/>
      <c r="P391" s="250" t="n"/>
      <c r="Q391" s="250" t="n"/>
      <c r="R391" s="250" t="n"/>
      <c r="S391" s="250" t="n"/>
      <c r="T391" s="250" t="n"/>
      <c r="U391" s="250" t="n"/>
      <c r="V391" s="250" t="n"/>
      <c r="W391" s="250" t="n"/>
      <c r="X391" s="250" t="n"/>
      <c r="Y391" s="250" t="n"/>
      <c r="Z391" s="250" t="n"/>
    </row>
    <row r="392">
      <c r="A392" s="250" t="n"/>
      <c r="B392" s="250" t="n"/>
      <c r="C392" s="250" t="n"/>
      <c r="D392" s="250" t="n"/>
      <c r="E392" s="250" t="n"/>
      <c r="F392" s="250" t="n"/>
      <c r="G392" s="250" t="n"/>
      <c r="H392" s="250" t="n"/>
      <c r="I392" s="250" t="n"/>
      <c r="J392" s="250" t="n"/>
      <c r="K392" s="250" t="n"/>
      <c r="L392" s="250" t="n"/>
      <c r="M392" s="250" t="n"/>
      <c r="N392" s="250" t="n"/>
      <c r="O392" s="250" t="n"/>
      <c r="P392" s="250" t="n"/>
      <c r="Q392" s="250" t="n"/>
      <c r="R392" s="250" t="n"/>
      <c r="S392" s="250" t="n"/>
      <c r="T392" s="250" t="n"/>
      <c r="U392" s="250" t="n"/>
      <c r="V392" s="250" t="n"/>
      <c r="W392" s="250" t="n"/>
      <c r="X392" s="250" t="n"/>
      <c r="Y392" s="250" t="n"/>
      <c r="Z392" s="250" t="n"/>
    </row>
    <row r="393">
      <c r="A393" s="250" t="n"/>
      <c r="B393" s="250" t="n"/>
      <c r="C393" s="250" t="n"/>
      <c r="D393" s="250" t="n"/>
      <c r="E393" s="250" t="n"/>
      <c r="F393" s="250" t="n"/>
      <c r="G393" s="250" t="n"/>
      <c r="H393" s="250" t="n"/>
      <c r="I393" s="250" t="n"/>
      <c r="J393" s="250" t="n"/>
      <c r="K393" s="250" t="n"/>
      <c r="L393" s="250" t="n"/>
      <c r="M393" s="250" t="n"/>
      <c r="N393" s="250" t="n"/>
      <c r="O393" s="250" t="n"/>
      <c r="P393" s="250" t="n"/>
      <c r="Q393" s="250" t="n"/>
      <c r="R393" s="250" t="n"/>
      <c r="S393" s="250" t="n"/>
      <c r="T393" s="250" t="n"/>
      <c r="U393" s="250" t="n"/>
      <c r="V393" s="250" t="n"/>
      <c r="W393" s="250" t="n"/>
      <c r="X393" s="250" t="n"/>
      <c r="Y393" s="250" t="n"/>
      <c r="Z393" s="250" t="n"/>
    </row>
    <row r="394">
      <c r="A394" s="250" t="n"/>
      <c r="B394" s="250" t="n"/>
      <c r="C394" s="250" t="n"/>
      <c r="D394" s="250" t="n"/>
      <c r="E394" s="250" t="n"/>
      <c r="F394" s="250" t="n"/>
      <c r="G394" s="250" t="n"/>
      <c r="H394" s="250" t="n"/>
      <c r="I394" s="250" t="n"/>
      <c r="J394" s="250" t="n"/>
      <c r="K394" s="250" t="n"/>
      <c r="L394" s="250" t="n"/>
      <c r="M394" s="250" t="n"/>
      <c r="N394" s="250" t="n"/>
      <c r="O394" s="250" t="n"/>
      <c r="P394" s="250" t="n"/>
      <c r="Q394" s="250" t="n"/>
      <c r="R394" s="250" t="n"/>
      <c r="S394" s="250" t="n"/>
      <c r="T394" s="250" t="n"/>
      <c r="U394" s="250" t="n"/>
      <c r="V394" s="250" t="n"/>
      <c r="W394" s="250" t="n"/>
      <c r="X394" s="250" t="n"/>
      <c r="Y394" s="250" t="n"/>
      <c r="Z394" s="250" t="n"/>
    </row>
    <row r="395">
      <c r="A395" s="250" t="n"/>
      <c r="B395" s="250" t="n"/>
      <c r="C395" s="250" t="n"/>
      <c r="D395" s="250" t="n"/>
      <c r="E395" s="250" t="n"/>
      <c r="F395" s="250" t="n"/>
      <c r="G395" s="250" t="n"/>
      <c r="H395" s="250" t="n"/>
      <c r="I395" s="250" t="n"/>
      <c r="J395" s="250" t="n"/>
      <c r="K395" s="250" t="n"/>
      <c r="L395" s="250" t="n"/>
      <c r="M395" s="250" t="n"/>
      <c r="N395" s="250" t="n"/>
      <c r="O395" s="250" t="n"/>
      <c r="P395" s="250" t="n"/>
      <c r="Q395" s="250" t="n"/>
      <c r="R395" s="250" t="n"/>
      <c r="S395" s="250" t="n"/>
      <c r="T395" s="250" t="n"/>
      <c r="U395" s="250" t="n"/>
      <c r="V395" s="250" t="n"/>
      <c r="W395" s="250" t="n"/>
      <c r="X395" s="250" t="n"/>
      <c r="Y395" s="250" t="n"/>
      <c r="Z395" s="250" t="n"/>
    </row>
    <row r="396">
      <c r="A396" s="250" t="n"/>
      <c r="B396" s="250" t="n"/>
      <c r="C396" s="250" t="n"/>
      <c r="D396" s="250" t="n"/>
      <c r="E396" s="250" t="n"/>
      <c r="F396" s="250" t="n"/>
      <c r="G396" s="250" t="n"/>
      <c r="H396" s="250" t="n"/>
      <c r="I396" s="250" t="n"/>
      <c r="J396" s="250" t="n"/>
      <c r="K396" s="250" t="n"/>
      <c r="L396" s="250" t="n"/>
      <c r="M396" s="250" t="n"/>
      <c r="N396" s="250" t="n"/>
      <c r="O396" s="250" t="n"/>
      <c r="P396" s="250" t="n"/>
      <c r="Q396" s="250" t="n"/>
      <c r="R396" s="250" t="n"/>
      <c r="S396" s="250" t="n"/>
      <c r="T396" s="250" t="n"/>
      <c r="U396" s="250" t="n"/>
      <c r="V396" s="250" t="n"/>
      <c r="W396" s="250" t="n"/>
      <c r="X396" s="250" t="n"/>
      <c r="Y396" s="250" t="n"/>
      <c r="Z396" s="250" t="n"/>
    </row>
    <row r="397">
      <c r="A397" s="250" t="n"/>
      <c r="B397" s="250" t="n"/>
      <c r="C397" s="250" t="n"/>
      <c r="D397" s="250" t="n"/>
      <c r="E397" s="250" t="n"/>
      <c r="F397" s="250" t="n"/>
      <c r="G397" s="250" t="n"/>
      <c r="H397" s="250" t="n"/>
      <c r="I397" s="250" t="n"/>
      <c r="J397" s="250" t="n"/>
      <c r="K397" s="250" t="n"/>
      <c r="L397" s="250" t="n"/>
      <c r="M397" s="250" t="n"/>
      <c r="N397" s="250" t="n"/>
      <c r="O397" s="250" t="n"/>
      <c r="P397" s="250" t="n"/>
      <c r="Q397" s="250" t="n"/>
      <c r="R397" s="250" t="n"/>
      <c r="S397" s="250" t="n"/>
      <c r="T397" s="250" t="n"/>
      <c r="U397" s="250" t="n"/>
      <c r="V397" s="250" t="n"/>
      <c r="W397" s="250" t="n"/>
      <c r="X397" s="250" t="n"/>
      <c r="Y397" s="250" t="n"/>
      <c r="Z397" s="250" t="n"/>
    </row>
    <row r="398">
      <c r="A398" s="250" t="n"/>
      <c r="B398" s="250" t="n"/>
      <c r="C398" s="250" t="n"/>
      <c r="D398" s="250" t="n"/>
      <c r="E398" s="250" t="n"/>
      <c r="F398" s="250" t="n"/>
      <c r="G398" s="250" t="n"/>
      <c r="H398" s="250" t="n"/>
      <c r="I398" s="250" t="n"/>
      <c r="J398" s="250" t="n"/>
      <c r="K398" s="250" t="n"/>
      <c r="L398" s="250" t="n"/>
      <c r="M398" s="250" t="n"/>
      <c r="N398" s="250" t="n"/>
      <c r="O398" s="250" t="n"/>
      <c r="P398" s="250" t="n"/>
      <c r="Q398" s="250" t="n"/>
      <c r="R398" s="250" t="n"/>
      <c r="S398" s="250" t="n"/>
      <c r="T398" s="250" t="n"/>
      <c r="U398" s="250" t="n"/>
      <c r="V398" s="250" t="n"/>
      <c r="W398" s="250" t="n"/>
      <c r="X398" s="250" t="n"/>
      <c r="Y398" s="250" t="n"/>
      <c r="Z398" s="250" t="n"/>
    </row>
    <row r="399">
      <c r="A399" s="250" t="n"/>
      <c r="B399" s="250" t="n"/>
      <c r="C399" s="250" t="n"/>
      <c r="D399" s="250" t="n"/>
      <c r="E399" s="250" t="n"/>
      <c r="F399" s="250" t="n"/>
      <c r="G399" s="250" t="n"/>
      <c r="H399" s="250" t="n"/>
      <c r="I399" s="250" t="n"/>
      <c r="J399" s="250" t="n"/>
      <c r="K399" s="250" t="n"/>
      <c r="L399" s="250" t="n"/>
      <c r="M399" s="250" t="n"/>
      <c r="N399" s="250" t="n"/>
      <c r="O399" s="250" t="n"/>
      <c r="P399" s="250" t="n"/>
      <c r="Q399" s="250" t="n"/>
      <c r="R399" s="250" t="n"/>
      <c r="S399" s="250" t="n"/>
      <c r="T399" s="250" t="n"/>
      <c r="U399" s="250" t="n"/>
      <c r="V399" s="250" t="n"/>
      <c r="W399" s="250" t="n"/>
      <c r="X399" s="250" t="n"/>
      <c r="Y399" s="250" t="n"/>
      <c r="Z399" s="250" t="n"/>
    </row>
    <row r="400">
      <c r="A400" s="250" t="n"/>
      <c r="B400" s="250" t="n"/>
      <c r="C400" s="250" t="n"/>
      <c r="D400" s="250" t="n"/>
      <c r="E400" s="250" t="n"/>
      <c r="F400" s="250" t="n"/>
      <c r="G400" s="250" t="n"/>
      <c r="H400" s="250" t="n"/>
      <c r="I400" s="250" t="n"/>
      <c r="J400" s="250" t="n"/>
      <c r="K400" s="250" t="n"/>
      <c r="L400" s="250" t="n"/>
      <c r="M400" s="250" t="n"/>
      <c r="N400" s="250" t="n"/>
      <c r="O400" s="250" t="n"/>
      <c r="P400" s="250" t="n"/>
      <c r="Q400" s="250" t="n"/>
      <c r="R400" s="250" t="n"/>
      <c r="S400" s="250" t="n"/>
      <c r="T400" s="250" t="n"/>
      <c r="U400" s="250" t="n"/>
      <c r="V400" s="250" t="n"/>
      <c r="W400" s="250" t="n"/>
      <c r="X400" s="250" t="n"/>
      <c r="Y400" s="250" t="n"/>
      <c r="Z400" s="250" t="n"/>
    </row>
    <row r="401">
      <c r="A401" s="250" t="n"/>
      <c r="B401" s="250" t="n"/>
      <c r="C401" s="250" t="n"/>
      <c r="D401" s="250" t="n"/>
      <c r="E401" s="250" t="n"/>
      <c r="F401" s="250" t="n"/>
      <c r="G401" s="250" t="n"/>
      <c r="H401" s="250" t="n"/>
      <c r="I401" s="250" t="n"/>
      <c r="J401" s="250" t="n"/>
      <c r="K401" s="250" t="n"/>
      <c r="L401" s="250" t="n"/>
      <c r="M401" s="250" t="n"/>
      <c r="N401" s="250" t="n"/>
      <c r="O401" s="250" t="n"/>
      <c r="P401" s="250" t="n"/>
      <c r="Q401" s="250" t="n"/>
      <c r="R401" s="250" t="n"/>
      <c r="S401" s="250" t="n"/>
      <c r="T401" s="250" t="n"/>
      <c r="U401" s="250" t="n"/>
      <c r="V401" s="250" t="n"/>
      <c r="W401" s="250" t="n"/>
      <c r="X401" s="250" t="n"/>
      <c r="Y401" s="250" t="n"/>
      <c r="Z401" s="250" t="n"/>
    </row>
    <row r="402">
      <c r="A402" s="250" t="n"/>
      <c r="B402" s="250" t="n"/>
      <c r="C402" s="250" t="n"/>
      <c r="D402" s="250" t="n"/>
      <c r="E402" s="250" t="n"/>
      <c r="F402" s="250" t="n"/>
      <c r="G402" s="250" t="n"/>
      <c r="H402" s="250" t="n"/>
      <c r="I402" s="250" t="n"/>
      <c r="J402" s="250" t="n"/>
      <c r="K402" s="250" t="n"/>
      <c r="L402" s="250" t="n"/>
      <c r="M402" s="250" t="n"/>
      <c r="N402" s="250" t="n"/>
      <c r="O402" s="250" t="n"/>
      <c r="P402" s="250" t="n"/>
      <c r="Q402" s="250" t="n"/>
      <c r="R402" s="250" t="n"/>
      <c r="S402" s="250" t="n"/>
      <c r="T402" s="250" t="n"/>
      <c r="U402" s="250" t="n"/>
      <c r="V402" s="250" t="n"/>
      <c r="W402" s="250" t="n"/>
      <c r="X402" s="250" t="n"/>
      <c r="Y402" s="250" t="n"/>
      <c r="Z402" s="250" t="n"/>
    </row>
    <row r="403">
      <c r="A403" s="250" t="n"/>
      <c r="B403" s="250" t="n"/>
      <c r="C403" s="250" t="n"/>
      <c r="D403" s="250" t="n"/>
      <c r="E403" s="250" t="n"/>
      <c r="F403" s="250" t="n"/>
      <c r="G403" s="250" t="n"/>
      <c r="H403" s="250" t="n"/>
      <c r="I403" s="250" t="n"/>
      <c r="J403" s="250" t="n"/>
      <c r="K403" s="250" t="n"/>
      <c r="L403" s="250" t="n"/>
      <c r="M403" s="250" t="n"/>
      <c r="N403" s="250" t="n"/>
      <c r="O403" s="250" t="n"/>
      <c r="P403" s="250" t="n"/>
      <c r="Q403" s="250" t="n"/>
      <c r="R403" s="250" t="n"/>
      <c r="S403" s="250" t="n"/>
      <c r="T403" s="250" t="n"/>
      <c r="U403" s="250" t="n"/>
      <c r="V403" s="250" t="n"/>
      <c r="W403" s="250" t="n"/>
      <c r="X403" s="250" t="n"/>
      <c r="Y403" s="250" t="n"/>
      <c r="Z403" s="250" t="n"/>
    </row>
    <row r="404">
      <c r="A404" s="250" t="n"/>
      <c r="B404" s="250" t="n"/>
      <c r="C404" s="250" t="n"/>
      <c r="D404" s="250" t="n"/>
      <c r="E404" s="250" t="n"/>
      <c r="F404" s="250" t="n"/>
      <c r="G404" s="250" t="n"/>
      <c r="H404" s="250" t="n"/>
      <c r="I404" s="250" t="n"/>
      <c r="J404" s="250" t="n"/>
      <c r="K404" s="250" t="n"/>
      <c r="L404" s="250" t="n"/>
      <c r="M404" s="250" t="n"/>
      <c r="N404" s="250" t="n"/>
      <c r="O404" s="250" t="n"/>
      <c r="P404" s="250" t="n"/>
      <c r="Q404" s="250" t="n"/>
      <c r="R404" s="250" t="n"/>
      <c r="S404" s="250" t="n"/>
      <c r="T404" s="250" t="n"/>
      <c r="U404" s="250" t="n"/>
      <c r="V404" s="250" t="n"/>
      <c r="W404" s="250" t="n"/>
      <c r="X404" s="250" t="n"/>
      <c r="Y404" s="250" t="n"/>
      <c r="Z404" s="250" t="n"/>
    </row>
    <row r="405">
      <c r="A405" s="250" t="n"/>
      <c r="B405" s="250" t="n"/>
      <c r="C405" s="250" t="n"/>
      <c r="D405" s="250" t="n"/>
      <c r="E405" s="250" t="n"/>
      <c r="F405" s="250" t="n"/>
      <c r="G405" s="250" t="n"/>
      <c r="H405" s="250" t="n"/>
      <c r="I405" s="250" t="n"/>
      <c r="J405" s="250" t="n"/>
      <c r="K405" s="250" t="n"/>
      <c r="L405" s="250" t="n"/>
      <c r="M405" s="250" t="n"/>
      <c r="N405" s="250" t="n"/>
      <c r="O405" s="250" t="n"/>
      <c r="P405" s="250" t="n"/>
      <c r="Q405" s="250" t="n"/>
      <c r="R405" s="250" t="n"/>
      <c r="S405" s="250" t="n"/>
      <c r="T405" s="250" t="n"/>
      <c r="U405" s="250" t="n"/>
      <c r="V405" s="250" t="n"/>
      <c r="W405" s="250" t="n"/>
      <c r="X405" s="250" t="n"/>
      <c r="Y405" s="250" t="n"/>
      <c r="Z405" s="250" t="n"/>
    </row>
    <row r="406">
      <c r="A406" s="250" t="n"/>
      <c r="B406" s="250" t="n"/>
      <c r="C406" s="250" t="n"/>
      <c r="D406" s="250" t="n"/>
      <c r="E406" s="250" t="n"/>
      <c r="F406" s="250" t="n"/>
      <c r="G406" s="250" t="n"/>
      <c r="H406" s="250" t="n"/>
      <c r="I406" s="250" t="n"/>
      <c r="J406" s="250" t="n"/>
      <c r="K406" s="250" t="n"/>
      <c r="L406" s="250" t="n"/>
      <c r="M406" s="250" t="n"/>
      <c r="N406" s="250" t="n"/>
      <c r="O406" s="250" t="n"/>
      <c r="P406" s="250" t="n"/>
      <c r="Q406" s="250" t="n"/>
      <c r="R406" s="250" t="n"/>
      <c r="S406" s="250" t="n"/>
      <c r="T406" s="250" t="n"/>
      <c r="U406" s="250" t="n"/>
      <c r="V406" s="250" t="n"/>
      <c r="W406" s="250" t="n"/>
      <c r="X406" s="250" t="n"/>
      <c r="Y406" s="250" t="n"/>
      <c r="Z406" s="250" t="n"/>
    </row>
    <row r="407">
      <c r="A407" s="250" t="n"/>
      <c r="B407" s="250" t="n"/>
      <c r="C407" s="250" t="n"/>
      <c r="D407" s="250" t="n"/>
      <c r="E407" s="250" t="n"/>
      <c r="F407" s="250" t="n"/>
      <c r="G407" s="250" t="n"/>
      <c r="H407" s="250" t="n"/>
      <c r="I407" s="250" t="n"/>
      <c r="J407" s="250" t="n"/>
      <c r="K407" s="250" t="n"/>
      <c r="L407" s="250" t="n"/>
      <c r="M407" s="250" t="n"/>
      <c r="N407" s="250" t="n"/>
      <c r="O407" s="250" t="n"/>
      <c r="P407" s="250" t="n"/>
      <c r="Q407" s="250" t="n"/>
      <c r="R407" s="250" t="n"/>
      <c r="S407" s="250" t="n"/>
      <c r="T407" s="250" t="n"/>
      <c r="U407" s="250" t="n"/>
      <c r="V407" s="250" t="n"/>
      <c r="W407" s="250" t="n"/>
      <c r="X407" s="250" t="n"/>
      <c r="Y407" s="250" t="n"/>
      <c r="Z407" s="250" t="n"/>
    </row>
    <row r="408">
      <c r="A408" s="250" t="n"/>
      <c r="B408" s="250" t="n"/>
      <c r="C408" s="250" t="n"/>
      <c r="D408" s="250" t="n"/>
      <c r="E408" s="250" t="n"/>
      <c r="F408" s="250" t="n"/>
      <c r="G408" s="250" t="n"/>
      <c r="H408" s="250" t="n"/>
      <c r="I408" s="250" t="n"/>
      <c r="J408" s="250" t="n"/>
      <c r="K408" s="250" t="n"/>
      <c r="L408" s="250" t="n"/>
      <c r="M408" s="250" t="n"/>
      <c r="N408" s="250" t="n"/>
      <c r="O408" s="250" t="n"/>
      <c r="P408" s="250" t="n"/>
      <c r="Q408" s="250" t="n"/>
      <c r="R408" s="250" t="n"/>
      <c r="S408" s="250" t="n"/>
      <c r="T408" s="250" t="n"/>
      <c r="U408" s="250" t="n"/>
      <c r="V408" s="250" t="n"/>
      <c r="W408" s="250" t="n"/>
      <c r="X408" s="250" t="n"/>
      <c r="Y408" s="250" t="n"/>
      <c r="Z408" s="250" t="n"/>
    </row>
    <row r="409">
      <c r="A409" s="250" t="n"/>
      <c r="B409" s="250" t="n"/>
      <c r="C409" s="250" t="n"/>
      <c r="D409" s="250" t="n"/>
      <c r="E409" s="250" t="n"/>
      <c r="F409" s="250" t="n"/>
      <c r="G409" s="250" t="n"/>
      <c r="H409" s="250" t="n"/>
      <c r="I409" s="250" t="n"/>
      <c r="J409" s="250" t="n"/>
      <c r="K409" s="250" t="n"/>
      <c r="L409" s="250" t="n"/>
      <c r="M409" s="250" t="n"/>
      <c r="N409" s="250" t="n"/>
      <c r="O409" s="250" t="n"/>
      <c r="P409" s="250" t="n"/>
      <c r="Q409" s="250" t="n"/>
      <c r="R409" s="250" t="n"/>
      <c r="S409" s="250" t="n"/>
      <c r="T409" s="250" t="n"/>
      <c r="U409" s="250" t="n"/>
      <c r="V409" s="250" t="n"/>
      <c r="W409" s="250" t="n"/>
      <c r="X409" s="250" t="n"/>
      <c r="Y409" s="250" t="n"/>
      <c r="Z409" s="250" t="n"/>
    </row>
    <row r="410">
      <c r="A410" s="250" t="n"/>
      <c r="B410" s="250" t="n"/>
      <c r="C410" s="250" t="n"/>
      <c r="D410" s="250" t="n"/>
      <c r="E410" s="250" t="n"/>
      <c r="F410" s="250" t="n"/>
      <c r="G410" s="250" t="n"/>
      <c r="H410" s="250" t="n"/>
      <c r="I410" s="250" t="n"/>
      <c r="J410" s="250" t="n"/>
      <c r="K410" s="250" t="n"/>
      <c r="L410" s="250" t="n"/>
      <c r="M410" s="250" t="n"/>
      <c r="N410" s="250" t="n"/>
      <c r="O410" s="250" t="n"/>
      <c r="P410" s="250" t="n"/>
      <c r="Q410" s="250" t="n"/>
      <c r="R410" s="250" t="n"/>
      <c r="S410" s="250" t="n"/>
      <c r="T410" s="250" t="n"/>
      <c r="U410" s="250" t="n"/>
      <c r="V410" s="250" t="n"/>
      <c r="W410" s="250" t="n"/>
      <c r="X410" s="250" t="n"/>
      <c r="Y410" s="250" t="n"/>
      <c r="Z410" s="250" t="n"/>
    </row>
    <row r="411">
      <c r="A411" s="250" t="n"/>
      <c r="B411" s="250" t="n"/>
      <c r="C411" s="250" t="n"/>
      <c r="D411" s="250" t="n"/>
      <c r="E411" s="250" t="n"/>
      <c r="F411" s="250" t="n"/>
      <c r="G411" s="250" t="n"/>
      <c r="H411" s="250" t="n"/>
      <c r="I411" s="250" t="n"/>
      <c r="J411" s="250" t="n"/>
      <c r="K411" s="250" t="n"/>
      <c r="L411" s="250" t="n"/>
      <c r="M411" s="250" t="n"/>
      <c r="N411" s="250" t="n"/>
      <c r="O411" s="250" t="n"/>
      <c r="P411" s="250" t="n"/>
      <c r="Q411" s="250" t="n"/>
      <c r="R411" s="250" t="n"/>
      <c r="S411" s="250" t="n"/>
      <c r="T411" s="250" t="n"/>
      <c r="U411" s="250" t="n"/>
      <c r="V411" s="250" t="n"/>
      <c r="W411" s="250" t="n"/>
      <c r="X411" s="250" t="n"/>
      <c r="Y411" s="250" t="n"/>
      <c r="Z411" s="250" t="n"/>
    </row>
    <row r="412">
      <c r="A412" s="250" t="n"/>
      <c r="B412" s="250" t="n"/>
      <c r="C412" s="250" t="n"/>
      <c r="D412" s="250" t="n"/>
      <c r="E412" s="250" t="n"/>
      <c r="F412" s="250" t="n"/>
      <c r="G412" s="250" t="n"/>
      <c r="H412" s="250" t="n"/>
      <c r="I412" s="250" t="n"/>
      <c r="J412" s="250" t="n"/>
      <c r="K412" s="250" t="n"/>
      <c r="L412" s="250" t="n"/>
      <c r="M412" s="250" t="n"/>
      <c r="N412" s="250" t="n"/>
      <c r="O412" s="250" t="n"/>
      <c r="P412" s="250" t="n"/>
      <c r="Q412" s="250" t="n"/>
      <c r="R412" s="250" t="n"/>
      <c r="S412" s="250" t="n"/>
      <c r="T412" s="250" t="n"/>
      <c r="U412" s="250" t="n"/>
      <c r="V412" s="250" t="n"/>
      <c r="W412" s="250" t="n"/>
      <c r="X412" s="250" t="n"/>
      <c r="Y412" s="250" t="n"/>
      <c r="Z412" s="250" t="n"/>
    </row>
    <row r="413">
      <c r="A413" s="250" t="n"/>
      <c r="B413" s="250" t="n"/>
      <c r="C413" s="250" t="n"/>
      <c r="D413" s="250" t="n"/>
      <c r="E413" s="250" t="n"/>
      <c r="F413" s="250" t="n"/>
      <c r="G413" s="250" t="n"/>
      <c r="H413" s="250" t="n"/>
      <c r="I413" s="250" t="n"/>
      <c r="J413" s="250" t="n"/>
      <c r="K413" s="250" t="n"/>
      <c r="L413" s="250" t="n"/>
      <c r="M413" s="250" t="n"/>
      <c r="N413" s="250" t="n"/>
      <c r="O413" s="250" t="n"/>
      <c r="P413" s="250" t="n"/>
      <c r="Q413" s="250" t="n"/>
      <c r="R413" s="250" t="n"/>
      <c r="S413" s="250" t="n"/>
      <c r="T413" s="250" t="n"/>
      <c r="U413" s="250" t="n"/>
      <c r="V413" s="250" t="n"/>
      <c r="W413" s="250" t="n"/>
      <c r="X413" s="250" t="n"/>
      <c r="Y413" s="250" t="n"/>
      <c r="Z413" s="250" t="n"/>
    </row>
    <row r="414">
      <c r="A414" s="250" t="n"/>
      <c r="B414" s="250" t="n"/>
      <c r="C414" s="250" t="n"/>
      <c r="D414" s="250" t="n"/>
      <c r="E414" s="250" t="n"/>
      <c r="F414" s="250" t="n"/>
      <c r="G414" s="250" t="n"/>
      <c r="H414" s="250" t="n"/>
      <c r="I414" s="250" t="n"/>
      <c r="J414" s="250" t="n"/>
      <c r="K414" s="250" t="n"/>
      <c r="L414" s="250" t="n"/>
      <c r="M414" s="250" t="n"/>
      <c r="N414" s="250" t="n"/>
      <c r="O414" s="250" t="n"/>
      <c r="P414" s="250" t="n"/>
      <c r="Q414" s="250" t="n"/>
      <c r="R414" s="250" t="n"/>
      <c r="S414" s="250" t="n"/>
      <c r="T414" s="250" t="n"/>
      <c r="U414" s="250" t="n"/>
      <c r="V414" s="250" t="n"/>
      <c r="W414" s="250" t="n"/>
      <c r="X414" s="250" t="n"/>
      <c r="Y414" s="250" t="n"/>
      <c r="Z414" s="250" t="n"/>
    </row>
    <row r="415">
      <c r="A415" s="250" t="n"/>
      <c r="B415" s="250" t="n"/>
      <c r="C415" s="250" t="n"/>
      <c r="D415" s="250" t="n"/>
      <c r="E415" s="250" t="n"/>
      <c r="F415" s="250" t="n"/>
      <c r="G415" s="250" t="n"/>
      <c r="H415" s="250" t="n"/>
      <c r="I415" s="250" t="n"/>
      <c r="J415" s="250" t="n"/>
      <c r="K415" s="250" t="n"/>
      <c r="L415" s="250" t="n"/>
      <c r="M415" s="250" t="n"/>
      <c r="N415" s="250" t="n"/>
      <c r="O415" s="250" t="n"/>
      <c r="P415" s="250" t="n"/>
      <c r="Q415" s="250" t="n"/>
      <c r="R415" s="250" t="n"/>
      <c r="S415" s="250" t="n"/>
      <c r="T415" s="250" t="n"/>
      <c r="U415" s="250" t="n"/>
      <c r="V415" s="250" t="n"/>
      <c r="W415" s="250" t="n"/>
      <c r="X415" s="250" t="n"/>
      <c r="Y415" s="250" t="n"/>
      <c r="Z415" s="250" t="n"/>
    </row>
    <row r="416">
      <c r="A416" s="250" t="n"/>
      <c r="B416" s="250" t="n"/>
      <c r="C416" s="250" t="n"/>
      <c r="D416" s="250" t="n"/>
      <c r="E416" s="250" t="n"/>
      <c r="F416" s="250" t="n"/>
      <c r="G416" s="250" t="n"/>
      <c r="H416" s="250" t="n"/>
      <c r="I416" s="250" t="n"/>
      <c r="J416" s="250" t="n"/>
      <c r="K416" s="250" t="n"/>
      <c r="L416" s="250" t="n"/>
      <c r="M416" s="250" t="n"/>
      <c r="N416" s="250" t="n"/>
      <c r="O416" s="250" t="n"/>
      <c r="P416" s="250" t="n"/>
      <c r="Q416" s="250" t="n"/>
      <c r="R416" s="250" t="n"/>
      <c r="S416" s="250" t="n"/>
      <c r="T416" s="250" t="n"/>
      <c r="U416" s="250" t="n"/>
      <c r="V416" s="250" t="n"/>
      <c r="W416" s="250" t="n"/>
      <c r="X416" s="250" t="n"/>
      <c r="Y416" s="250" t="n"/>
      <c r="Z416" s="250" t="n"/>
    </row>
    <row r="417">
      <c r="A417" s="250" t="n"/>
      <c r="B417" s="250" t="n"/>
      <c r="C417" s="250" t="n"/>
      <c r="D417" s="250" t="n"/>
      <c r="E417" s="250" t="n"/>
      <c r="F417" s="250" t="n"/>
      <c r="G417" s="250" t="n"/>
      <c r="H417" s="250" t="n"/>
      <c r="I417" s="250" t="n"/>
      <c r="J417" s="250" t="n"/>
      <c r="K417" s="250" t="n"/>
      <c r="L417" s="250" t="n"/>
      <c r="M417" s="250" t="n"/>
      <c r="N417" s="250" t="n"/>
      <c r="O417" s="250" t="n"/>
      <c r="P417" s="250" t="n"/>
      <c r="Q417" s="250" t="n"/>
      <c r="R417" s="250" t="n"/>
      <c r="S417" s="250" t="n"/>
      <c r="T417" s="250" t="n"/>
      <c r="U417" s="250" t="n"/>
      <c r="V417" s="250" t="n"/>
      <c r="W417" s="250" t="n"/>
      <c r="X417" s="250" t="n"/>
      <c r="Y417" s="250" t="n"/>
      <c r="Z417" s="250" t="n"/>
    </row>
    <row r="418">
      <c r="A418" s="250" t="n"/>
      <c r="B418" s="250" t="n"/>
      <c r="C418" s="250" t="n"/>
      <c r="D418" s="250" t="n"/>
      <c r="E418" s="250" t="n"/>
      <c r="F418" s="250" t="n"/>
      <c r="G418" s="250" t="n"/>
      <c r="H418" s="250" t="n"/>
      <c r="I418" s="250" t="n"/>
      <c r="J418" s="250" t="n"/>
      <c r="K418" s="250" t="n"/>
      <c r="L418" s="250" t="n"/>
      <c r="M418" s="250" t="n"/>
      <c r="N418" s="250" t="n"/>
      <c r="O418" s="250" t="n"/>
      <c r="P418" s="250" t="n"/>
      <c r="Q418" s="250" t="n"/>
      <c r="R418" s="250" t="n"/>
      <c r="S418" s="250" t="n"/>
      <c r="T418" s="250" t="n"/>
      <c r="U418" s="250" t="n"/>
      <c r="V418" s="250" t="n"/>
      <c r="W418" s="250" t="n"/>
      <c r="X418" s="250" t="n"/>
      <c r="Y418" s="250" t="n"/>
      <c r="Z418" s="250" t="n"/>
    </row>
    <row r="419">
      <c r="A419" s="250" t="n"/>
      <c r="B419" s="250" t="n"/>
      <c r="C419" s="250" t="n"/>
      <c r="D419" s="250" t="n"/>
      <c r="E419" s="250" t="n"/>
      <c r="F419" s="250" t="n"/>
      <c r="G419" s="250" t="n"/>
      <c r="H419" s="250" t="n"/>
      <c r="I419" s="250" t="n"/>
      <c r="J419" s="250" t="n"/>
      <c r="K419" s="250" t="n"/>
      <c r="L419" s="250" t="n"/>
      <c r="M419" s="250" t="n"/>
      <c r="N419" s="250" t="n"/>
      <c r="O419" s="250" t="n"/>
      <c r="P419" s="250" t="n"/>
      <c r="Q419" s="250" t="n"/>
      <c r="R419" s="250" t="n"/>
      <c r="S419" s="250" t="n"/>
      <c r="T419" s="250" t="n"/>
      <c r="U419" s="250" t="n"/>
      <c r="V419" s="250" t="n"/>
      <c r="W419" s="250" t="n"/>
      <c r="X419" s="250" t="n"/>
      <c r="Y419" s="250" t="n"/>
      <c r="Z419" s="250" t="n"/>
    </row>
    <row r="420">
      <c r="A420" s="250" t="n"/>
      <c r="B420" s="250" t="n"/>
      <c r="C420" s="250" t="n"/>
      <c r="D420" s="250" t="n"/>
      <c r="E420" s="250" t="n"/>
      <c r="F420" s="250" t="n"/>
      <c r="G420" s="250" t="n"/>
      <c r="H420" s="250" t="n"/>
      <c r="I420" s="250" t="n"/>
      <c r="J420" s="250" t="n"/>
      <c r="K420" s="250" t="n"/>
      <c r="L420" s="250" t="n"/>
      <c r="M420" s="250" t="n"/>
      <c r="N420" s="250" t="n"/>
      <c r="O420" s="250" t="n"/>
      <c r="P420" s="250" t="n"/>
      <c r="Q420" s="250" t="n"/>
      <c r="R420" s="250" t="n"/>
      <c r="S420" s="250" t="n"/>
      <c r="T420" s="250" t="n"/>
      <c r="U420" s="250" t="n"/>
      <c r="V420" s="250" t="n"/>
      <c r="W420" s="250" t="n"/>
      <c r="X420" s="250" t="n"/>
      <c r="Y420" s="250" t="n"/>
      <c r="Z420" s="250" t="n"/>
    </row>
    <row r="421">
      <c r="A421" s="250" t="n"/>
      <c r="B421" s="250" t="n"/>
      <c r="C421" s="250" t="n"/>
      <c r="D421" s="250" t="n"/>
      <c r="E421" s="250" t="n"/>
      <c r="F421" s="250" t="n"/>
      <c r="G421" s="250" t="n"/>
      <c r="H421" s="250" t="n"/>
      <c r="I421" s="250" t="n"/>
      <c r="J421" s="250" t="n"/>
      <c r="K421" s="250" t="n"/>
      <c r="L421" s="250" t="n"/>
      <c r="M421" s="250" t="n"/>
      <c r="N421" s="250" t="n"/>
      <c r="O421" s="250" t="n"/>
      <c r="P421" s="250" t="n"/>
      <c r="Q421" s="250" t="n"/>
      <c r="R421" s="250" t="n"/>
      <c r="S421" s="250" t="n"/>
      <c r="T421" s="250" t="n"/>
      <c r="U421" s="250" t="n"/>
      <c r="V421" s="250" t="n"/>
      <c r="W421" s="250" t="n"/>
      <c r="X421" s="250" t="n"/>
      <c r="Y421" s="250" t="n"/>
      <c r="Z421" s="250" t="n"/>
    </row>
    <row r="422">
      <c r="A422" s="250" t="n"/>
      <c r="B422" s="250" t="n"/>
      <c r="C422" s="250" t="n"/>
      <c r="D422" s="250" t="n"/>
      <c r="E422" s="250" t="n"/>
      <c r="F422" s="250" t="n"/>
      <c r="G422" s="250" t="n"/>
      <c r="H422" s="250" t="n"/>
      <c r="I422" s="250" t="n"/>
      <c r="J422" s="250" t="n"/>
      <c r="K422" s="250" t="n"/>
      <c r="L422" s="250" t="n"/>
      <c r="M422" s="250" t="n"/>
      <c r="N422" s="250" t="n"/>
      <c r="O422" s="250" t="n"/>
      <c r="P422" s="250" t="n"/>
      <c r="Q422" s="250" t="n"/>
      <c r="R422" s="250" t="n"/>
      <c r="S422" s="250" t="n"/>
      <c r="T422" s="250" t="n"/>
      <c r="U422" s="250" t="n"/>
      <c r="V422" s="250" t="n"/>
      <c r="W422" s="250" t="n"/>
      <c r="X422" s="250" t="n"/>
      <c r="Y422" s="250" t="n"/>
      <c r="Z422" s="250" t="n"/>
    </row>
    <row r="423">
      <c r="A423" s="250" t="n"/>
      <c r="B423" s="250" t="n"/>
      <c r="C423" s="250" t="n"/>
      <c r="D423" s="250" t="n"/>
      <c r="E423" s="250" t="n"/>
      <c r="F423" s="250" t="n"/>
      <c r="G423" s="250" t="n"/>
      <c r="H423" s="250" t="n"/>
      <c r="I423" s="250" t="n"/>
      <c r="J423" s="250" t="n"/>
      <c r="K423" s="250" t="n"/>
      <c r="L423" s="250" t="n"/>
      <c r="M423" s="250" t="n"/>
      <c r="N423" s="250" t="n"/>
      <c r="O423" s="250" t="n"/>
      <c r="P423" s="250" t="n"/>
      <c r="Q423" s="250" t="n"/>
      <c r="R423" s="250" t="n"/>
      <c r="S423" s="250" t="n"/>
      <c r="T423" s="250" t="n"/>
      <c r="U423" s="250" t="n"/>
      <c r="V423" s="250" t="n"/>
      <c r="W423" s="250" t="n"/>
      <c r="X423" s="250" t="n"/>
      <c r="Y423" s="250" t="n"/>
      <c r="Z423" s="250" t="n"/>
    </row>
    <row r="424">
      <c r="A424" s="250" t="n"/>
      <c r="B424" s="250" t="n"/>
      <c r="C424" s="250" t="n"/>
      <c r="D424" s="250" t="n"/>
      <c r="E424" s="250" t="n"/>
      <c r="F424" s="250" t="n"/>
      <c r="G424" s="250" t="n"/>
      <c r="H424" s="250" t="n"/>
      <c r="I424" s="250" t="n"/>
      <c r="J424" s="250" t="n"/>
      <c r="K424" s="250" t="n"/>
      <c r="L424" s="250" t="n"/>
      <c r="M424" s="250" t="n"/>
      <c r="N424" s="250" t="n"/>
      <c r="O424" s="250" t="n"/>
      <c r="P424" s="250" t="n"/>
      <c r="Q424" s="250" t="n"/>
      <c r="R424" s="250" t="n"/>
      <c r="S424" s="250" t="n"/>
      <c r="T424" s="250" t="n"/>
      <c r="U424" s="250" t="n"/>
      <c r="V424" s="250" t="n"/>
      <c r="W424" s="250" t="n"/>
      <c r="X424" s="250" t="n"/>
      <c r="Y424" s="250" t="n"/>
      <c r="Z424" s="250" t="n"/>
    </row>
    <row r="425">
      <c r="A425" s="250" t="n"/>
      <c r="B425" s="250" t="n"/>
      <c r="C425" s="250" t="n"/>
      <c r="D425" s="250" t="n"/>
      <c r="E425" s="250" t="n"/>
      <c r="F425" s="250" t="n"/>
      <c r="G425" s="250" t="n"/>
      <c r="H425" s="250" t="n"/>
      <c r="I425" s="250" t="n"/>
      <c r="J425" s="250" t="n"/>
      <c r="K425" s="250" t="n"/>
      <c r="L425" s="250" t="n"/>
      <c r="M425" s="250" t="n"/>
      <c r="N425" s="250" t="n"/>
      <c r="O425" s="250" t="n"/>
      <c r="P425" s="250" t="n"/>
      <c r="Q425" s="250" t="n"/>
      <c r="R425" s="250" t="n"/>
      <c r="S425" s="250" t="n"/>
      <c r="T425" s="250" t="n"/>
      <c r="U425" s="250" t="n"/>
      <c r="V425" s="250" t="n"/>
      <c r="W425" s="250" t="n"/>
      <c r="X425" s="250" t="n"/>
      <c r="Y425" s="250" t="n"/>
      <c r="Z425" s="250" t="n"/>
    </row>
    <row r="426">
      <c r="A426" s="250" t="n"/>
      <c r="B426" s="250" t="n"/>
      <c r="C426" s="250" t="n"/>
      <c r="D426" s="250" t="n"/>
      <c r="E426" s="250" t="n"/>
      <c r="F426" s="250" t="n"/>
      <c r="G426" s="250" t="n"/>
      <c r="H426" s="250" t="n"/>
      <c r="I426" s="250" t="n"/>
      <c r="J426" s="250" t="n"/>
      <c r="K426" s="250" t="n"/>
      <c r="L426" s="250" t="n"/>
      <c r="M426" s="250" t="n"/>
      <c r="N426" s="250" t="n"/>
      <c r="O426" s="250" t="n"/>
      <c r="P426" s="250" t="n"/>
      <c r="Q426" s="250" t="n"/>
      <c r="R426" s="250" t="n"/>
      <c r="S426" s="250" t="n"/>
      <c r="T426" s="250" t="n"/>
      <c r="U426" s="250" t="n"/>
      <c r="V426" s="250" t="n"/>
      <c r="W426" s="250" t="n"/>
      <c r="X426" s="250" t="n"/>
      <c r="Y426" s="250" t="n"/>
      <c r="Z426" s="250" t="n"/>
    </row>
    <row r="427">
      <c r="A427" s="250" t="n"/>
      <c r="B427" s="250" t="n"/>
      <c r="C427" s="250" t="n"/>
      <c r="D427" s="250" t="n"/>
      <c r="E427" s="250" t="n"/>
      <c r="F427" s="250" t="n"/>
      <c r="G427" s="250" t="n"/>
      <c r="H427" s="250" t="n"/>
      <c r="I427" s="250" t="n"/>
      <c r="J427" s="250" t="n"/>
      <c r="K427" s="250" t="n"/>
      <c r="L427" s="250" t="n"/>
      <c r="M427" s="250" t="n"/>
      <c r="N427" s="250" t="n"/>
      <c r="O427" s="250" t="n"/>
      <c r="P427" s="250" t="n"/>
      <c r="Q427" s="250" t="n"/>
      <c r="R427" s="250" t="n"/>
      <c r="S427" s="250" t="n"/>
      <c r="T427" s="250" t="n"/>
      <c r="U427" s="250" t="n"/>
      <c r="V427" s="250" t="n"/>
      <c r="W427" s="250" t="n"/>
      <c r="X427" s="250" t="n"/>
      <c r="Y427" s="250" t="n"/>
      <c r="Z427" s="250" t="n"/>
    </row>
    <row r="428">
      <c r="A428" s="250" t="n"/>
      <c r="B428" s="250" t="n"/>
      <c r="C428" s="250" t="n"/>
      <c r="D428" s="250" t="n"/>
      <c r="E428" s="250" t="n"/>
      <c r="F428" s="250" t="n"/>
      <c r="G428" s="250" t="n"/>
      <c r="H428" s="250" t="n"/>
      <c r="I428" s="250" t="n"/>
      <c r="J428" s="250" t="n"/>
      <c r="K428" s="250" t="n"/>
      <c r="L428" s="250" t="n"/>
      <c r="M428" s="250" t="n"/>
      <c r="N428" s="250" t="n"/>
      <c r="O428" s="250" t="n"/>
      <c r="P428" s="250" t="n"/>
      <c r="Q428" s="250" t="n"/>
      <c r="R428" s="250" t="n"/>
      <c r="S428" s="250" t="n"/>
      <c r="T428" s="250" t="n"/>
      <c r="U428" s="250" t="n"/>
      <c r="V428" s="250" t="n"/>
      <c r="W428" s="250" t="n"/>
      <c r="X428" s="250" t="n"/>
      <c r="Y428" s="250" t="n"/>
      <c r="Z428" s="250" t="n"/>
    </row>
    <row r="429">
      <c r="A429" s="250" t="n"/>
      <c r="B429" s="250" t="n"/>
      <c r="C429" s="250" t="n"/>
      <c r="D429" s="250" t="n"/>
      <c r="E429" s="250" t="n"/>
      <c r="F429" s="250" t="n"/>
      <c r="G429" s="250" t="n"/>
      <c r="H429" s="250" t="n"/>
      <c r="I429" s="250" t="n"/>
      <c r="J429" s="250" t="n"/>
      <c r="K429" s="250" t="n"/>
      <c r="L429" s="250" t="n"/>
      <c r="M429" s="250" t="n"/>
      <c r="N429" s="250" t="n"/>
      <c r="O429" s="250" t="n"/>
      <c r="P429" s="250" t="n"/>
      <c r="Q429" s="250" t="n"/>
      <c r="R429" s="250" t="n"/>
      <c r="S429" s="250" t="n"/>
      <c r="T429" s="250" t="n"/>
      <c r="U429" s="250" t="n"/>
      <c r="V429" s="250" t="n"/>
      <c r="W429" s="250" t="n"/>
      <c r="X429" s="250" t="n"/>
      <c r="Y429" s="250" t="n"/>
      <c r="Z429" s="250" t="n"/>
    </row>
    <row r="430">
      <c r="A430" s="250" t="n"/>
      <c r="B430" s="250" t="n"/>
      <c r="C430" s="250" t="n"/>
      <c r="D430" s="250" t="n"/>
      <c r="E430" s="250" t="n"/>
      <c r="F430" s="250" t="n"/>
      <c r="G430" s="250" t="n"/>
      <c r="H430" s="250" t="n"/>
      <c r="I430" s="250" t="n"/>
      <c r="J430" s="250" t="n"/>
      <c r="K430" s="250" t="n"/>
      <c r="L430" s="250" t="n"/>
      <c r="M430" s="250" t="n"/>
      <c r="N430" s="250" t="n"/>
      <c r="O430" s="250" t="n"/>
      <c r="P430" s="250" t="n"/>
      <c r="Q430" s="250" t="n"/>
      <c r="R430" s="250" t="n"/>
      <c r="S430" s="250" t="n"/>
      <c r="T430" s="250" t="n"/>
      <c r="U430" s="250" t="n"/>
      <c r="V430" s="250" t="n"/>
      <c r="W430" s="250" t="n"/>
      <c r="X430" s="250" t="n"/>
      <c r="Y430" s="250" t="n"/>
      <c r="Z430" s="250" t="n"/>
    </row>
    <row r="431">
      <c r="A431" s="250" t="n"/>
      <c r="B431" s="250" t="n"/>
      <c r="C431" s="250" t="n"/>
      <c r="D431" s="250" t="n"/>
      <c r="E431" s="250" t="n"/>
      <c r="F431" s="250" t="n"/>
      <c r="G431" s="250" t="n"/>
      <c r="H431" s="250" t="n"/>
      <c r="I431" s="250" t="n"/>
      <c r="J431" s="250" t="n"/>
      <c r="K431" s="250" t="n"/>
      <c r="L431" s="250" t="n"/>
      <c r="M431" s="250" t="n"/>
      <c r="N431" s="250" t="n"/>
      <c r="O431" s="250" t="n"/>
      <c r="P431" s="250" t="n"/>
      <c r="Q431" s="250" t="n"/>
      <c r="R431" s="250" t="n"/>
      <c r="S431" s="250" t="n"/>
      <c r="T431" s="250" t="n"/>
      <c r="U431" s="250" t="n"/>
      <c r="V431" s="250" t="n"/>
      <c r="W431" s="250" t="n"/>
      <c r="X431" s="250" t="n"/>
      <c r="Y431" s="250" t="n"/>
      <c r="Z431" s="250" t="n"/>
    </row>
    <row r="432">
      <c r="A432" s="250" t="n"/>
      <c r="B432" s="250" t="n"/>
      <c r="C432" s="250" t="n"/>
      <c r="D432" s="250" t="n"/>
      <c r="E432" s="250" t="n"/>
      <c r="F432" s="250" t="n"/>
      <c r="G432" s="250" t="n"/>
      <c r="H432" s="250" t="n"/>
      <c r="I432" s="250" t="n"/>
      <c r="J432" s="250" t="n"/>
      <c r="K432" s="250" t="n"/>
      <c r="L432" s="250" t="n"/>
      <c r="M432" s="250" t="n"/>
      <c r="N432" s="250" t="n"/>
      <c r="O432" s="250" t="n"/>
      <c r="P432" s="250" t="n"/>
      <c r="Q432" s="250" t="n"/>
      <c r="R432" s="250" t="n"/>
      <c r="S432" s="250" t="n"/>
      <c r="T432" s="250" t="n"/>
      <c r="U432" s="250" t="n"/>
      <c r="V432" s="250" t="n"/>
      <c r="W432" s="250" t="n"/>
      <c r="X432" s="250" t="n"/>
      <c r="Y432" s="250" t="n"/>
      <c r="Z432" s="250" t="n"/>
    </row>
    <row r="433">
      <c r="A433" s="250" t="n"/>
      <c r="B433" s="250" t="n"/>
      <c r="C433" s="250" t="n"/>
      <c r="D433" s="250" t="n"/>
      <c r="E433" s="250" t="n"/>
      <c r="F433" s="250" t="n"/>
      <c r="G433" s="250" t="n"/>
      <c r="H433" s="250" t="n"/>
      <c r="I433" s="250" t="n"/>
      <c r="J433" s="250" t="n"/>
      <c r="K433" s="250" t="n"/>
      <c r="L433" s="250" t="n"/>
      <c r="M433" s="250" t="n"/>
      <c r="N433" s="250" t="n"/>
      <c r="O433" s="250" t="n"/>
      <c r="P433" s="250" t="n"/>
      <c r="Q433" s="250" t="n"/>
      <c r="R433" s="250" t="n"/>
      <c r="S433" s="250" t="n"/>
      <c r="T433" s="250" t="n"/>
      <c r="U433" s="250" t="n"/>
      <c r="V433" s="250" t="n"/>
      <c r="W433" s="250" t="n"/>
      <c r="X433" s="250" t="n"/>
      <c r="Y433" s="250" t="n"/>
      <c r="Z433" s="250" t="n"/>
    </row>
    <row r="434">
      <c r="A434" s="250" t="n"/>
      <c r="B434" s="250" t="n"/>
      <c r="C434" s="250" t="n"/>
      <c r="D434" s="250" t="n"/>
      <c r="E434" s="250" t="n"/>
      <c r="F434" s="250" t="n"/>
      <c r="G434" s="250" t="n"/>
      <c r="H434" s="250" t="n"/>
      <c r="I434" s="250" t="n"/>
      <c r="J434" s="250" t="n"/>
      <c r="K434" s="250" t="n"/>
      <c r="L434" s="250" t="n"/>
      <c r="M434" s="250" t="n"/>
      <c r="N434" s="250" t="n"/>
      <c r="O434" s="250" t="n"/>
      <c r="P434" s="250" t="n"/>
      <c r="Q434" s="250" t="n"/>
      <c r="R434" s="250" t="n"/>
      <c r="S434" s="250" t="n"/>
      <c r="T434" s="250" t="n"/>
      <c r="U434" s="250" t="n"/>
      <c r="V434" s="250" t="n"/>
      <c r="W434" s="250" t="n"/>
      <c r="X434" s="250" t="n"/>
      <c r="Y434" s="250" t="n"/>
      <c r="Z434" s="250" t="n"/>
    </row>
    <row r="435">
      <c r="A435" s="250" t="n"/>
      <c r="B435" s="250" t="n"/>
      <c r="C435" s="250" t="n"/>
      <c r="D435" s="250" t="n"/>
      <c r="E435" s="250" t="n"/>
      <c r="F435" s="250" t="n"/>
      <c r="G435" s="250" t="n"/>
      <c r="H435" s="250" t="n"/>
      <c r="I435" s="250" t="n"/>
      <c r="J435" s="250" t="n"/>
      <c r="K435" s="250" t="n"/>
      <c r="L435" s="250" t="n"/>
      <c r="M435" s="250" t="n"/>
      <c r="N435" s="250" t="n"/>
      <c r="O435" s="250" t="n"/>
      <c r="P435" s="250" t="n"/>
      <c r="Q435" s="250" t="n"/>
      <c r="R435" s="250" t="n"/>
      <c r="S435" s="250" t="n"/>
      <c r="T435" s="250" t="n"/>
      <c r="U435" s="250" t="n"/>
      <c r="V435" s="250" t="n"/>
      <c r="W435" s="250" t="n"/>
      <c r="X435" s="250" t="n"/>
      <c r="Y435" s="250" t="n"/>
      <c r="Z435" s="250" t="n"/>
    </row>
    <row r="436">
      <c r="A436" s="250" t="n"/>
      <c r="B436" s="250" t="n"/>
      <c r="C436" s="250" t="n"/>
      <c r="D436" s="250" t="n"/>
      <c r="E436" s="250" t="n"/>
      <c r="F436" s="250" t="n"/>
      <c r="G436" s="250" t="n"/>
      <c r="H436" s="250" t="n"/>
      <c r="I436" s="250" t="n"/>
      <c r="J436" s="250" t="n"/>
      <c r="K436" s="250" t="n"/>
      <c r="L436" s="250" t="n"/>
      <c r="M436" s="250" t="n"/>
      <c r="N436" s="250" t="n"/>
      <c r="O436" s="250" t="n"/>
      <c r="P436" s="250" t="n"/>
      <c r="Q436" s="250" t="n"/>
      <c r="R436" s="250" t="n"/>
      <c r="S436" s="250" t="n"/>
      <c r="T436" s="250" t="n"/>
      <c r="U436" s="250" t="n"/>
      <c r="V436" s="250" t="n"/>
      <c r="W436" s="250" t="n"/>
      <c r="X436" s="250" t="n"/>
      <c r="Y436" s="250" t="n"/>
      <c r="Z436" s="250" t="n"/>
    </row>
    <row r="437">
      <c r="A437" s="250" t="n"/>
      <c r="B437" s="250" t="n"/>
      <c r="C437" s="250" t="n"/>
      <c r="D437" s="250" t="n"/>
      <c r="E437" s="250" t="n"/>
      <c r="F437" s="250" t="n"/>
      <c r="G437" s="250" t="n"/>
      <c r="H437" s="250" t="n"/>
      <c r="I437" s="250" t="n"/>
      <c r="J437" s="250" t="n"/>
      <c r="K437" s="250" t="n"/>
      <c r="L437" s="250" t="n"/>
      <c r="M437" s="250" t="n"/>
      <c r="N437" s="250" t="n"/>
      <c r="O437" s="250" t="n"/>
      <c r="P437" s="250" t="n"/>
      <c r="Q437" s="250" t="n"/>
      <c r="R437" s="250" t="n"/>
      <c r="S437" s="250" t="n"/>
      <c r="T437" s="250" t="n"/>
      <c r="U437" s="250" t="n"/>
      <c r="V437" s="250" t="n"/>
      <c r="W437" s="250" t="n"/>
      <c r="X437" s="250" t="n"/>
      <c r="Y437" s="250" t="n"/>
      <c r="Z437" s="250" t="n"/>
    </row>
    <row r="438">
      <c r="A438" s="250" t="n"/>
      <c r="B438" s="250" t="n"/>
      <c r="C438" s="250" t="n"/>
      <c r="D438" s="250" t="n"/>
      <c r="E438" s="250" t="n"/>
      <c r="F438" s="250" t="n"/>
      <c r="G438" s="250" t="n"/>
      <c r="H438" s="250" t="n"/>
      <c r="I438" s="250" t="n"/>
      <c r="J438" s="250" t="n"/>
      <c r="K438" s="250" t="n"/>
      <c r="L438" s="250" t="n"/>
      <c r="M438" s="250" t="n"/>
      <c r="N438" s="250" t="n"/>
      <c r="O438" s="250" t="n"/>
      <c r="P438" s="250" t="n"/>
      <c r="Q438" s="250" t="n"/>
      <c r="R438" s="250" t="n"/>
      <c r="S438" s="250" t="n"/>
      <c r="T438" s="250" t="n"/>
      <c r="U438" s="250" t="n"/>
      <c r="V438" s="250" t="n"/>
      <c r="W438" s="250" t="n"/>
      <c r="X438" s="250" t="n"/>
      <c r="Y438" s="250" t="n"/>
      <c r="Z438" s="250" t="n"/>
    </row>
    <row r="439">
      <c r="A439" s="250" t="n"/>
      <c r="B439" s="250" t="n"/>
      <c r="C439" s="250" t="n"/>
      <c r="D439" s="250" t="n"/>
      <c r="E439" s="250" t="n"/>
      <c r="F439" s="250" t="n"/>
      <c r="G439" s="250" t="n"/>
      <c r="H439" s="250" t="n"/>
      <c r="I439" s="250" t="n"/>
      <c r="J439" s="250" t="n"/>
      <c r="K439" s="250" t="n"/>
      <c r="L439" s="250" t="n"/>
      <c r="M439" s="250" t="n"/>
      <c r="N439" s="250" t="n"/>
      <c r="O439" s="250" t="n"/>
      <c r="P439" s="250" t="n"/>
      <c r="Q439" s="250" t="n"/>
      <c r="R439" s="250" t="n"/>
      <c r="S439" s="250" t="n"/>
      <c r="T439" s="250" t="n"/>
      <c r="U439" s="250" t="n"/>
      <c r="V439" s="250" t="n"/>
      <c r="W439" s="250" t="n"/>
      <c r="X439" s="250" t="n"/>
      <c r="Y439" s="250" t="n"/>
      <c r="Z439" s="250" t="n"/>
    </row>
    <row r="440">
      <c r="A440" s="250" t="n"/>
      <c r="B440" s="250" t="n"/>
      <c r="C440" s="250" t="n"/>
      <c r="D440" s="250" t="n"/>
      <c r="E440" s="250" t="n"/>
      <c r="F440" s="250" t="n"/>
      <c r="G440" s="250" t="n"/>
      <c r="H440" s="250" t="n"/>
      <c r="I440" s="250" t="n"/>
      <c r="J440" s="250" t="n"/>
      <c r="K440" s="250" t="n"/>
      <c r="L440" s="250" t="n"/>
      <c r="M440" s="250" t="n"/>
      <c r="N440" s="250" t="n"/>
      <c r="O440" s="250" t="n"/>
      <c r="P440" s="250" t="n"/>
      <c r="Q440" s="250" t="n"/>
      <c r="R440" s="250" t="n"/>
      <c r="S440" s="250" t="n"/>
      <c r="T440" s="250" t="n"/>
      <c r="U440" s="250" t="n"/>
      <c r="V440" s="250" t="n"/>
      <c r="W440" s="250" t="n"/>
      <c r="X440" s="250" t="n"/>
      <c r="Y440" s="250" t="n"/>
      <c r="Z440" s="250" t="n"/>
    </row>
    <row r="441">
      <c r="A441" s="250" t="n"/>
      <c r="B441" s="250" t="n"/>
      <c r="C441" s="250" t="n"/>
      <c r="D441" s="250" t="n"/>
      <c r="E441" s="250" t="n"/>
      <c r="F441" s="250" t="n"/>
      <c r="G441" s="250" t="n"/>
      <c r="H441" s="250" t="n"/>
      <c r="I441" s="250" t="n"/>
      <c r="J441" s="250" t="n"/>
      <c r="K441" s="250" t="n"/>
      <c r="L441" s="250" t="n"/>
      <c r="M441" s="250" t="n"/>
      <c r="N441" s="250" t="n"/>
      <c r="O441" s="250" t="n"/>
      <c r="P441" s="250" t="n"/>
      <c r="Q441" s="250" t="n"/>
      <c r="R441" s="250" t="n"/>
      <c r="S441" s="250" t="n"/>
      <c r="T441" s="250" t="n"/>
      <c r="U441" s="250" t="n"/>
      <c r="V441" s="250" t="n"/>
      <c r="W441" s="250" t="n"/>
      <c r="X441" s="250" t="n"/>
      <c r="Y441" s="250" t="n"/>
      <c r="Z441" s="250" t="n"/>
    </row>
    <row r="442">
      <c r="A442" s="250" t="n"/>
      <c r="B442" s="250" t="n"/>
      <c r="C442" s="250" t="n"/>
      <c r="D442" s="250" t="n"/>
      <c r="E442" s="250" t="n"/>
      <c r="F442" s="250" t="n"/>
      <c r="G442" s="250" t="n"/>
      <c r="H442" s="250" t="n"/>
      <c r="I442" s="250" t="n"/>
      <c r="J442" s="250" t="n"/>
      <c r="K442" s="250" t="n"/>
      <c r="L442" s="250" t="n"/>
      <c r="M442" s="250" t="n"/>
      <c r="N442" s="250" t="n"/>
      <c r="O442" s="250" t="n"/>
      <c r="P442" s="250" t="n"/>
      <c r="Q442" s="250" t="n"/>
      <c r="R442" s="250" t="n"/>
      <c r="S442" s="250" t="n"/>
      <c r="T442" s="250" t="n"/>
      <c r="U442" s="250" t="n"/>
      <c r="V442" s="250" t="n"/>
      <c r="W442" s="250" t="n"/>
      <c r="X442" s="250" t="n"/>
      <c r="Y442" s="250" t="n"/>
      <c r="Z442" s="250" t="n"/>
    </row>
    <row r="443">
      <c r="A443" s="250" t="n"/>
      <c r="B443" s="250" t="n"/>
      <c r="C443" s="250" t="n"/>
      <c r="D443" s="250" t="n"/>
      <c r="E443" s="250" t="n"/>
      <c r="F443" s="250" t="n"/>
      <c r="G443" s="250" t="n"/>
      <c r="H443" s="250" t="n"/>
      <c r="I443" s="250" t="n"/>
      <c r="J443" s="250" t="n"/>
      <c r="K443" s="250" t="n"/>
      <c r="L443" s="250" t="n"/>
      <c r="M443" s="250" t="n"/>
      <c r="N443" s="250" t="n"/>
      <c r="O443" s="250" t="n"/>
      <c r="P443" s="250" t="n"/>
      <c r="Q443" s="250" t="n"/>
      <c r="R443" s="250" t="n"/>
      <c r="S443" s="250" t="n"/>
      <c r="T443" s="250" t="n"/>
      <c r="U443" s="250" t="n"/>
      <c r="V443" s="250" t="n"/>
      <c r="W443" s="250" t="n"/>
      <c r="X443" s="250" t="n"/>
      <c r="Y443" s="250" t="n"/>
      <c r="Z443" s="250" t="n"/>
    </row>
    <row r="444">
      <c r="A444" s="250" t="n"/>
      <c r="B444" s="250" t="n"/>
      <c r="C444" s="250" t="n"/>
      <c r="D444" s="250" t="n"/>
      <c r="E444" s="250" t="n"/>
      <c r="F444" s="250" t="n"/>
      <c r="G444" s="250" t="n"/>
      <c r="H444" s="250" t="n"/>
      <c r="I444" s="250" t="n"/>
      <c r="J444" s="250" t="n"/>
      <c r="K444" s="250" t="n"/>
      <c r="L444" s="250" t="n"/>
      <c r="M444" s="250" t="n"/>
      <c r="N444" s="250" t="n"/>
      <c r="O444" s="250" t="n"/>
      <c r="P444" s="250" t="n"/>
      <c r="Q444" s="250" t="n"/>
      <c r="R444" s="250" t="n"/>
      <c r="S444" s="250" t="n"/>
      <c r="T444" s="250" t="n"/>
      <c r="U444" s="250" t="n"/>
      <c r="V444" s="250" t="n"/>
      <c r="W444" s="250" t="n"/>
      <c r="X444" s="250" t="n"/>
      <c r="Y444" s="250" t="n"/>
      <c r="Z444" s="250" t="n"/>
    </row>
    <row r="445">
      <c r="A445" s="250" t="n"/>
      <c r="B445" s="250" t="n"/>
      <c r="C445" s="250" t="n"/>
      <c r="D445" s="250" t="n"/>
      <c r="E445" s="250" t="n"/>
      <c r="F445" s="250" t="n"/>
      <c r="G445" s="250" t="n"/>
      <c r="H445" s="250" t="n"/>
      <c r="I445" s="250" t="n"/>
      <c r="J445" s="250" t="n"/>
      <c r="K445" s="250" t="n"/>
      <c r="L445" s="250" t="n"/>
      <c r="M445" s="250" t="n"/>
      <c r="N445" s="250" t="n"/>
      <c r="O445" s="250" t="n"/>
      <c r="P445" s="250" t="n"/>
      <c r="Q445" s="250" t="n"/>
      <c r="R445" s="250" t="n"/>
      <c r="S445" s="250" t="n"/>
      <c r="T445" s="250" t="n"/>
      <c r="U445" s="250" t="n"/>
      <c r="V445" s="250" t="n"/>
      <c r="W445" s="250" t="n"/>
      <c r="X445" s="250" t="n"/>
      <c r="Y445" s="250" t="n"/>
      <c r="Z445" s="250" t="n"/>
    </row>
    <row r="446">
      <c r="A446" s="250" t="n"/>
      <c r="B446" s="250" t="n"/>
      <c r="C446" s="250" t="n"/>
      <c r="D446" s="250" t="n"/>
      <c r="E446" s="250" t="n"/>
      <c r="F446" s="250" t="n"/>
      <c r="G446" s="250" t="n"/>
      <c r="H446" s="250" t="n"/>
      <c r="I446" s="250" t="n"/>
      <c r="J446" s="250" t="n"/>
      <c r="K446" s="250" t="n"/>
      <c r="L446" s="250" t="n"/>
      <c r="M446" s="250" t="n"/>
      <c r="N446" s="250" t="n"/>
      <c r="O446" s="250" t="n"/>
      <c r="P446" s="250" t="n"/>
      <c r="Q446" s="250" t="n"/>
      <c r="R446" s="250" t="n"/>
      <c r="S446" s="250" t="n"/>
      <c r="T446" s="250" t="n"/>
      <c r="U446" s="250" t="n"/>
      <c r="V446" s="250" t="n"/>
      <c r="W446" s="250" t="n"/>
      <c r="X446" s="250" t="n"/>
      <c r="Y446" s="250" t="n"/>
      <c r="Z446" s="250" t="n"/>
    </row>
    <row r="447">
      <c r="A447" s="250" t="n"/>
      <c r="B447" s="250" t="n"/>
      <c r="C447" s="250" t="n"/>
      <c r="D447" s="250" t="n"/>
      <c r="E447" s="250" t="n"/>
      <c r="F447" s="250" t="n"/>
      <c r="G447" s="250" t="n"/>
      <c r="H447" s="250" t="n"/>
      <c r="I447" s="250" t="n"/>
      <c r="J447" s="250" t="n"/>
      <c r="K447" s="250" t="n"/>
      <c r="L447" s="250" t="n"/>
      <c r="M447" s="250" t="n"/>
      <c r="N447" s="250" t="n"/>
      <c r="O447" s="250" t="n"/>
      <c r="P447" s="250" t="n"/>
      <c r="Q447" s="250" t="n"/>
      <c r="R447" s="250" t="n"/>
      <c r="S447" s="250" t="n"/>
      <c r="T447" s="250" t="n"/>
      <c r="U447" s="250" t="n"/>
      <c r="V447" s="250" t="n"/>
      <c r="W447" s="250" t="n"/>
      <c r="X447" s="250" t="n"/>
      <c r="Y447" s="250" t="n"/>
      <c r="Z447" s="250" t="n"/>
    </row>
    <row r="448">
      <c r="A448" s="250" t="n"/>
      <c r="B448" s="250" t="n"/>
      <c r="C448" s="250" t="n"/>
      <c r="D448" s="250" t="n"/>
      <c r="E448" s="250" t="n"/>
      <c r="F448" s="250" t="n"/>
      <c r="G448" s="250" t="n"/>
      <c r="H448" s="250" t="n"/>
      <c r="I448" s="250" t="n"/>
      <c r="J448" s="250" t="n"/>
      <c r="K448" s="250" t="n"/>
      <c r="L448" s="250" t="n"/>
      <c r="M448" s="250" t="n"/>
      <c r="N448" s="250" t="n"/>
      <c r="O448" s="250" t="n"/>
      <c r="P448" s="250" t="n"/>
      <c r="Q448" s="250" t="n"/>
      <c r="R448" s="250" t="n"/>
      <c r="S448" s="250" t="n"/>
      <c r="T448" s="250" t="n"/>
      <c r="U448" s="250" t="n"/>
      <c r="V448" s="250" t="n"/>
      <c r="W448" s="250" t="n"/>
      <c r="X448" s="250" t="n"/>
      <c r="Y448" s="250" t="n"/>
      <c r="Z448" s="250" t="n"/>
    </row>
    <row r="449">
      <c r="A449" s="250" t="n"/>
      <c r="B449" s="250" t="n"/>
      <c r="C449" s="250" t="n"/>
      <c r="D449" s="250" t="n"/>
      <c r="E449" s="250" t="n"/>
      <c r="F449" s="250" t="n"/>
      <c r="G449" s="250" t="n"/>
      <c r="H449" s="250" t="n"/>
      <c r="I449" s="250" t="n"/>
      <c r="J449" s="250" t="n"/>
      <c r="K449" s="250" t="n"/>
      <c r="L449" s="250" t="n"/>
      <c r="M449" s="250" t="n"/>
      <c r="N449" s="250" t="n"/>
      <c r="O449" s="250" t="n"/>
      <c r="P449" s="250" t="n"/>
      <c r="Q449" s="250" t="n"/>
      <c r="R449" s="250" t="n"/>
      <c r="S449" s="250" t="n"/>
      <c r="T449" s="250" t="n"/>
      <c r="U449" s="250" t="n"/>
      <c r="V449" s="250" t="n"/>
      <c r="W449" s="250" t="n"/>
      <c r="X449" s="250" t="n"/>
      <c r="Y449" s="250" t="n"/>
      <c r="Z449" s="250" t="n"/>
    </row>
    <row r="450">
      <c r="A450" s="250" t="n"/>
      <c r="B450" s="250" t="n"/>
      <c r="C450" s="250" t="n"/>
      <c r="D450" s="250" t="n"/>
      <c r="E450" s="250" t="n"/>
      <c r="F450" s="250" t="n"/>
      <c r="G450" s="250" t="n"/>
      <c r="H450" s="250" t="n"/>
      <c r="I450" s="250" t="n"/>
      <c r="J450" s="250" t="n"/>
      <c r="K450" s="250" t="n"/>
      <c r="L450" s="250" t="n"/>
      <c r="M450" s="250" t="n"/>
      <c r="N450" s="250" t="n"/>
      <c r="O450" s="250" t="n"/>
      <c r="P450" s="250" t="n"/>
      <c r="Q450" s="250" t="n"/>
      <c r="R450" s="250" t="n"/>
      <c r="S450" s="250" t="n"/>
      <c r="T450" s="250" t="n"/>
      <c r="U450" s="250" t="n"/>
      <c r="V450" s="250" t="n"/>
      <c r="W450" s="250" t="n"/>
      <c r="X450" s="250" t="n"/>
      <c r="Y450" s="250" t="n"/>
      <c r="Z450" s="250" t="n"/>
    </row>
    <row r="451">
      <c r="A451" s="250" t="n"/>
      <c r="B451" s="250" t="n"/>
      <c r="C451" s="250" t="n"/>
      <c r="D451" s="250" t="n"/>
      <c r="E451" s="250" t="n"/>
      <c r="F451" s="250" t="n"/>
      <c r="G451" s="250" t="n"/>
      <c r="H451" s="250" t="n"/>
      <c r="I451" s="250" t="n"/>
      <c r="J451" s="250" t="n"/>
      <c r="K451" s="250" t="n"/>
      <c r="L451" s="250" t="n"/>
      <c r="M451" s="250" t="n"/>
      <c r="N451" s="250" t="n"/>
      <c r="O451" s="250" t="n"/>
      <c r="P451" s="250" t="n"/>
      <c r="Q451" s="250" t="n"/>
      <c r="R451" s="250" t="n"/>
      <c r="S451" s="250" t="n"/>
      <c r="T451" s="250" t="n"/>
      <c r="U451" s="250" t="n"/>
      <c r="V451" s="250" t="n"/>
      <c r="W451" s="250" t="n"/>
      <c r="X451" s="250" t="n"/>
      <c r="Y451" s="250" t="n"/>
      <c r="Z451" s="250" t="n"/>
    </row>
    <row r="452">
      <c r="A452" s="250" t="n"/>
      <c r="B452" s="250" t="n"/>
      <c r="C452" s="250" t="n"/>
      <c r="D452" s="250" t="n"/>
      <c r="E452" s="250" t="n"/>
      <c r="F452" s="250" t="n"/>
      <c r="G452" s="250" t="n"/>
      <c r="H452" s="250" t="n"/>
      <c r="I452" s="250" t="n"/>
      <c r="J452" s="250" t="n"/>
      <c r="K452" s="250" t="n"/>
      <c r="L452" s="250" t="n"/>
      <c r="M452" s="250" t="n"/>
      <c r="N452" s="250" t="n"/>
      <c r="O452" s="250" t="n"/>
      <c r="P452" s="250" t="n"/>
      <c r="Q452" s="250" t="n"/>
      <c r="R452" s="250" t="n"/>
      <c r="S452" s="250" t="n"/>
      <c r="T452" s="250" t="n"/>
      <c r="U452" s="250" t="n"/>
      <c r="V452" s="250" t="n"/>
      <c r="W452" s="250" t="n"/>
      <c r="X452" s="250" t="n"/>
      <c r="Y452" s="250" t="n"/>
      <c r="Z452" s="250" t="n"/>
    </row>
    <row r="453">
      <c r="A453" s="250" t="n"/>
      <c r="B453" s="250" t="n"/>
      <c r="C453" s="250" t="n"/>
      <c r="D453" s="250" t="n"/>
      <c r="E453" s="250" t="n"/>
      <c r="F453" s="250" t="n"/>
      <c r="G453" s="250" t="n"/>
      <c r="H453" s="250" t="n"/>
      <c r="I453" s="250" t="n"/>
      <c r="J453" s="250" t="n"/>
      <c r="K453" s="250" t="n"/>
      <c r="L453" s="250" t="n"/>
      <c r="M453" s="250" t="n"/>
      <c r="N453" s="250" t="n"/>
      <c r="O453" s="250" t="n"/>
      <c r="P453" s="250" t="n"/>
      <c r="Q453" s="250" t="n"/>
      <c r="R453" s="250" t="n"/>
      <c r="S453" s="250" t="n"/>
      <c r="T453" s="250" t="n"/>
      <c r="U453" s="250" t="n"/>
      <c r="V453" s="250" t="n"/>
      <c r="W453" s="250" t="n"/>
      <c r="X453" s="250" t="n"/>
      <c r="Y453" s="250" t="n"/>
      <c r="Z453" s="250" t="n"/>
    </row>
    <row r="454">
      <c r="A454" s="250" t="n"/>
      <c r="B454" s="250" t="n"/>
      <c r="C454" s="250" t="n"/>
      <c r="D454" s="250" t="n"/>
      <c r="E454" s="250" t="n"/>
      <c r="F454" s="250" t="n"/>
      <c r="G454" s="250" t="n"/>
      <c r="H454" s="250" t="n"/>
      <c r="I454" s="250" t="n"/>
      <c r="J454" s="250" t="n"/>
      <c r="K454" s="250" t="n"/>
      <c r="L454" s="250" t="n"/>
      <c r="M454" s="250" t="n"/>
      <c r="N454" s="250" t="n"/>
      <c r="O454" s="250" t="n"/>
      <c r="P454" s="250" t="n"/>
      <c r="Q454" s="250" t="n"/>
      <c r="R454" s="250" t="n"/>
      <c r="S454" s="250" t="n"/>
      <c r="T454" s="250" t="n"/>
      <c r="U454" s="250" t="n"/>
      <c r="V454" s="250" t="n"/>
      <c r="W454" s="250" t="n"/>
      <c r="X454" s="250" t="n"/>
      <c r="Y454" s="250" t="n"/>
      <c r="Z454" s="250" t="n"/>
    </row>
    <row r="455">
      <c r="A455" s="250" t="n"/>
      <c r="B455" s="250" t="n"/>
      <c r="C455" s="250" t="n"/>
      <c r="D455" s="250" t="n"/>
      <c r="E455" s="250" t="n"/>
      <c r="F455" s="250" t="n"/>
      <c r="G455" s="250" t="n"/>
      <c r="H455" s="250" t="n"/>
      <c r="I455" s="250" t="n"/>
      <c r="J455" s="250" t="n"/>
      <c r="K455" s="250" t="n"/>
      <c r="L455" s="250" t="n"/>
      <c r="M455" s="250" t="n"/>
      <c r="N455" s="250" t="n"/>
      <c r="O455" s="250" t="n"/>
      <c r="P455" s="250" t="n"/>
      <c r="Q455" s="250" t="n"/>
      <c r="R455" s="250" t="n"/>
      <c r="S455" s="250" t="n"/>
      <c r="T455" s="250" t="n"/>
      <c r="U455" s="250" t="n"/>
      <c r="V455" s="250" t="n"/>
      <c r="W455" s="250" t="n"/>
      <c r="X455" s="250" t="n"/>
      <c r="Y455" s="250" t="n"/>
      <c r="Z455" s="250" t="n"/>
    </row>
    <row r="456">
      <c r="A456" s="250" t="n"/>
      <c r="B456" s="250" t="n"/>
      <c r="C456" s="250" t="n"/>
      <c r="D456" s="250" t="n"/>
      <c r="E456" s="250" t="n"/>
      <c r="F456" s="250" t="n"/>
      <c r="G456" s="250" t="n"/>
      <c r="H456" s="250" t="n"/>
      <c r="I456" s="250" t="n"/>
      <c r="J456" s="250" t="n"/>
      <c r="K456" s="250" t="n"/>
      <c r="L456" s="250" t="n"/>
      <c r="M456" s="250" t="n"/>
      <c r="N456" s="250" t="n"/>
      <c r="O456" s="250" t="n"/>
      <c r="P456" s="250" t="n"/>
      <c r="Q456" s="250" t="n"/>
      <c r="R456" s="250" t="n"/>
      <c r="S456" s="250" t="n"/>
      <c r="T456" s="250" t="n"/>
      <c r="U456" s="250" t="n"/>
      <c r="V456" s="250" t="n"/>
      <c r="W456" s="250" t="n"/>
      <c r="X456" s="250" t="n"/>
      <c r="Y456" s="250" t="n"/>
      <c r="Z456" s="250" t="n"/>
    </row>
    <row r="457">
      <c r="A457" s="250" t="n"/>
      <c r="B457" s="250" t="n"/>
      <c r="C457" s="250" t="n"/>
      <c r="D457" s="250" t="n"/>
      <c r="E457" s="250" t="n"/>
      <c r="F457" s="250" t="n"/>
      <c r="G457" s="250" t="n"/>
      <c r="H457" s="250" t="n"/>
      <c r="I457" s="250" t="n"/>
      <c r="J457" s="250" t="n"/>
      <c r="K457" s="250" t="n"/>
      <c r="L457" s="250" t="n"/>
      <c r="M457" s="250" t="n"/>
      <c r="N457" s="250" t="n"/>
      <c r="O457" s="250" t="n"/>
      <c r="P457" s="250" t="n"/>
      <c r="Q457" s="250" t="n"/>
      <c r="R457" s="250" t="n"/>
      <c r="S457" s="250" t="n"/>
      <c r="T457" s="250" t="n"/>
      <c r="U457" s="250" t="n"/>
      <c r="V457" s="250" t="n"/>
      <c r="W457" s="250" t="n"/>
      <c r="X457" s="250" t="n"/>
      <c r="Y457" s="250" t="n"/>
      <c r="Z457" s="250" t="n"/>
    </row>
    <row r="458">
      <c r="A458" s="250" t="n"/>
      <c r="B458" s="250" t="n"/>
      <c r="C458" s="250" t="n"/>
      <c r="D458" s="250" t="n"/>
      <c r="E458" s="250" t="n"/>
      <c r="F458" s="250" t="n"/>
      <c r="G458" s="250" t="n"/>
      <c r="H458" s="250" t="n"/>
      <c r="I458" s="250" t="n"/>
      <c r="J458" s="250" t="n"/>
      <c r="K458" s="250" t="n"/>
      <c r="L458" s="250" t="n"/>
      <c r="M458" s="250" t="n"/>
      <c r="N458" s="250" t="n"/>
      <c r="O458" s="250" t="n"/>
      <c r="P458" s="250" t="n"/>
      <c r="Q458" s="250" t="n"/>
      <c r="R458" s="250" t="n"/>
      <c r="S458" s="250" t="n"/>
      <c r="T458" s="250" t="n"/>
      <c r="U458" s="250" t="n"/>
      <c r="V458" s="250" t="n"/>
      <c r="W458" s="250" t="n"/>
      <c r="X458" s="250" t="n"/>
      <c r="Y458" s="250" t="n"/>
      <c r="Z458" s="250" t="n"/>
    </row>
    <row r="459">
      <c r="A459" s="250" t="n"/>
      <c r="B459" s="250" t="n"/>
      <c r="C459" s="250" t="n"/>
      <c r="D459" s="250" t="n"/>
      <c r="E459" s="250" t="n"/>
      <c r="F459" s="250" t="n"/>
      <c r="G459" s="250" t="n"/>
      <c r="H459" s="250" t="n"/>
      <c r="I459" s="250" t="n"/>
      <c r="J459" s="250" t="n"/>
      <c r="K459" s="250" t="n"/>
      <c r="L459" s="250" t="n"/>
      <c r="M459" s="250" t="n"/>
      <c r="N459" s="250" t="n"/>
      <c r="O459" s="250" t="n"/>
      <c r="P459" s="250" t="n"/>
      <c r="Q459" s="250" t="n"/>
      <c r="R459" s="250" t="n"/>
      <c r="S459" s="250" t="n"/>
      <c r="T459" s="250" t="n"/>
      <c r="U459" s="250" t="n"/>
      <c r="V459" s="250" t="n"/>
      <c r="W459" s="250" t="n"/>
      <c r="X459" s="250" t="n"/>
      <c r="Y459" s="250" t="n"/>
      <c r="Z459" s="250" t="n"/>
    </row>
    <row r="460">
      <c r="A460" s="250" t="n"/>
      <c r="B460" s="250" t="n"/>
      <c r="C460" s="250" t="n"/>
      <c r="D460" s="250" t="n"/>
      <c r="E460" s="250" t="n"/>
      <c r="F460" s="250" t="n"/>
      <c r="G460" s="250" t="n"/>
      <c r="H460" s="250" t="n"/>
      <c r="I460" s="250" t="n"/>
      <c r="J460" s="250" t="n"/>
      <c r="K460" s="250" t="n"/>
      <c r="L460" s="250" t="n"/>
      <c r="M460" s="250" t="n"/>
      <c r="N460" s="250" t="n"/>
      <c r="O460" s="250" t="n"/>
      <c r="P460" s="250" t="n"/>
      <c r="Q460" s="250" t="n"/>
      <c r="R460" s="250" t="n"/>
      <c r="S460" s="250" t="n"/>
      <c r="T460" s="250" t="n"/>
      <c r="U460" s="250" t="n"/>
      <c r="V460" s="250" t="n"/>
      <c r="W460" s="250" t="n"/>
      <c r="X460" s="250" t="n"/>
      <c r="Y460" s="250" t="n"/>
      <c r="Z460" s="250" t="n"/>
    </row>
    <row r="461">
      <c r="A461" s="250" t="n"/>
      <c r="B461" s="250" t="n"/>
      <c r="C461" s="250" t="n"/>
      <c r="D461" s="250" t="n"/>
      <c r="E461" s="250" t="n"/>
      <c r="F461" s="250" t="n"/>
      <c r="G461" s="250" t="n"/>
      <c r="H461" s="250" t="n"/>
      <c r="I461" s="250" t="n"/>
      <c r="J461" s="250" t="n"/>
      <c r="K461" s="250" t="n"/>
      <c r="L461" s="250" t="n"/>
      <c r="M461" s="250" t="n"/>
      <c r="N461" s="250" t="n"/>
      <c r="O461" s="250" t="n"/>
      <c r="P461" s="250" t="n"/>
      <c r="Q461" s="250" t="n"/>
      <c r="R461" s="250" t="n"/>
      <c r="S461" s="250" t="n"/>
      <c r="T461" s="250" t="n"/>
      <c r="U461" s="250" t="n"/>
      <c r="V461" s="250" t="n"/>
      <c r="W461" s="250" t="n"/>
      <c r="X461" s="250" t="n"/>
      <c r="Y461" s="250" t="n"/>
      <c r="Z461" s="250" t="n"/>
    </row>
    <row r="462">
      <c r="A462" s="250" t="n"/>
      <c r="B462" s="250" t="n"/>
      <c r="C462" s="250" t="n"/>
      <c r="D462" s="250" t="n"/>
      <c r="E462" s="250" t="n"/>
      <c r="F462" s="250" t="n"/>
      <c r="G462" s="250" t="n"/>
      <c r="H462" s="250" t="n"/>
      <c r="I462" s="250" t="n"/>
      <c r="J462" s="250" t="n"/>
      <c r="K462" s="250" t="n"/>
      <c r="L462" s="250" t="n"/>
      <c r="M462" s="250" t="n"/>
      <c r="N462" s="250" t="n"/>
      <c r="O462" s="250" t="n"/>
      <c r="P462" s="250" t="n"/>
      <c r="Q462" s="250" t="n"/>
      <c r="R462" s="250" t="n"/>
      <c r="S462" s="250" t="n"/>
      <c r="T462" s="250" t="n"/>
      <c r="U462" s="250" t="n"/>
      <c r="V462" s="250" t="n"/>
      <c r="W462" s="250" t="n"/>
      <c r="X462" s="250" t="n"/>
      <c r="Y462" s="250" t="n"/>
      <c r="Z462" s="250" t="n"/>
    </row>
    <row r="463">
      <c r="A463" s="250" t="n"/>
      <c r="B463" s="250" t="n"/>
      <c r="C463" s="250" t="n"/>
      <c r="D463" s="250" t="n"/>
      <c r="E463" s="250" t="n"/>
      <c r="F463" s="250" t="n"/>
      <c r="G463" s="250" t="n"/>
      <c r="H463" s="250" t="n"/>
      <c r="I463" s="250" t="n"/>
      <c r="J463" s="250" t="n"/>
      <c r="K463" s="250" t="n"/>
      <c r="L463" s="250" t="n"/>
      <c r="M463" s="250" t="n"/>
      <c r="N463" s="250" t="n"/>
      <c r="O463" s="250" t="n"/>
      <c r="P463" s="250" t="n"/>
      <c r="Q463" s="250" t="n"/>
      <c r="R463" s="250" t="n"/>
      <c r="S463" s="250" t="n"/>
      <c r="T463" s="250" t="n"/>
      <c r="U463" s="250" t="n"/>
      <c r="V463" s="250" t="n"/>
      <c r="W463" s="250" t="n"/>
      <c r="X463" s="250" t="n"/>
      <c r="Y463" s="250" t="n"/>
      <c r="Z463" s="250" t="n"/>
    </row>
    <row r="464">
      <c r="A464" s="250" t="n"/>
      <c r="B464" s="250" t="n"/>
      <c r="C464" s="250" t="n"/>
      <c r="D464" s="250" t="n"/>
      <c r="E464" s="250" t="n"/>
      <c r="F464" s="250" t="n"/>
      <c r="G464" s="250" t="n"/>
      <c r="H464" s="250" t="n"/>
      <c r="I464" s="250" t="n"/>
      <c r="J464" s="250" t="n"/>
      <c r="K464" s="250" t="n"/>
      <c r="L464" s="250" t="n"/>
      <c r="M464" s="250" t="n"/>
      <c r="N464" s="250" t="n"/>
      <c r="O464" s="250" t="n"/>
      <c r="P464" s="250" t="n"/>
      <c r="Q464" s="250" t="n"/>
      <c r="R464" s="250" t="n"/>
      <c r="S464" s="250" t="n"/>
      <c r="T464" s="250" t="n"/>
      <c r="U464" s="250" t="n"/>
      <c r="V464" s="250" t="n"/>
      <c r="W464" s="250" t="n"/>
      <c r="X464" s="250" t="n"/>
      <c r="Y464" s="250" t="n"/>
      <c r="Z464" s="250" t="n"/>
    </row>
    <row r="465">
      <c r="A465" s="250" t="n"/>
      <c r="B465" s="250" t="n"/>
      <c r="C465" s="250" t="n"/>
      <c r="D465" s="250" t="n"/>
      <c r="E465" s="250" t="n"/>
      <c r="F465" s="250" t="n"/>
      <c r="G465" s="250" t="n"/>
      <c r="H465" s="250" t="n"/>
      <c r="I465" s="250" t="n"/>
      <c r="J465" s="250" t="n"/>
      <c r="K465" s="250" t="n"/>
      <c r="L465" s="250" t="n"/>
      <c r="M465" s="250" t="n"/>
      <c r="N465" s="250" t="n"/>
      <c r="O465" s="250" t="n"/>
      <c r="P465" s="250" t="n"/>
      <c r="Q465" s="250" t="n"/>
      <c r="R465" s="250" t="n"/>
      <c r="S465" s="250" t="n"/>
      <c r="T465" s="250" t="n"/>
      <c r="U465" s="250" t="n"/>
      <c r="V465" s="250" t="n"/>
      <c r="W465" s="250" t="n"/>
      <c r="X465" s="250" t="n"/>
      <c r="Y465" s="250" t="n"/>
      <c r="Z465" s="250" t="n"/>
    </row>
    <row r="466">
      <c r="A466" s="250" t="n"/>
      <c r="B466" s="250" t="n"/>
      <c r="C466" s="250" t="n"/>
      <c r="D466" s="250" t="n"/>
      <c r="E466" s="250" t="n"/>
      <c r="F466" s="250" t="n"/>
      <c r="G466" s="250" t="n"/>
      <c r="H466" s="250" t="n"/>
      <c r="I466" s="250" t="n"/>
      <c r="J466" s="250" t="n"/>
      <c r="K466" s="250" t="n"/>
      <c r="L466" s="250" t="n"/>
      <c r="M466" s="250" t="n"/>
      <c r="N466" s="250" t="n"/>
      <c r="O466" s="250" t="n"/>
      <c r="P466" s="250" t="n"/>
      <c r="Q466" s="250" t="n"/>
      <c r="R466" s="250" t="n"/>
      <c r="S466" s="250" t="n"/>
      <c r="T466" s="250" t="n"/>
      <c r="U466" s="250" t="n"/>
      <c r="V466" s="250" t="n"/>
      <c r="W466" s="250" t="n"/>
      <c r="X466" s="250" t="n"/>
      <c r="Y466" s="250" t="n"/>
      <c r="Z466" s="250" t="n"/>
    </row>
    <row r="467">
      <c r="A467" s="250" t="n"/>
      <c r="B467" s="250" t="n"/>
      <c r="C467" s="250" t="n"/>
      <c r="D467" s="250" t="n"/>
      <c r="E467" s="250" t="n"/>
      <c r="F467" s="250" t="n"/>
      <c r="G467" s="250" t="n"/>
      <c r="H467" s="250" t="n"/>
      <c r="I467" s="250" t="n"/>
      <c r="J467" s="250" t="n"/>
      <c r="K467" s="250" t="n"/>
      <c r="L467" s="250" t="n"/>
      <c r="M467" s="250" t="n"/>
      <c r="N467" s="250" t="n"/>
      <c r="O467" s="250" t="n"/>
      <c r="P467" s="250" t="n"/>
      <c r="Q467" s="250" t="n"/>
      <c r="R467" s="250" t="n"/>
      <c r="S467" s="250" t="n"/>
      <c r="T467" s="250" t="n"/>
      <c r="U467" s="250" t="n"/>
      <c r="V467" s="250" t="n"/>
      <c r="W467" s="250" t="n"/>
      <c r="X467" s="250" t="n"/>
      <c r="Y467" s="250" t="n"/>
      <c r="Z467" s="250" t="n"/>
    </row>
    <row r="468">
      <c r="A468" s="250" t="n"/>
      <c r="B468" s="250" t="n"/>
      <c r="C468" s="250" t="n"/>
      <c r="D468" s="250" t="n"/>
      <c r="E468" s="250" t="n"/>
      <c r="F468" s="250" t="n"/>
      <c r="G468" s="250" t="n"/>
      <c r="H468" s="250" t="n"/>
      <c r="I468" s="250" t="n"/>
      <c r="J468" s="250" t="n"/>
      <c r="K468" s="250" t="n"/>
      <c r="L468" s="250" t="n"/>
      <c r="M468" s="250" t="n"/>
      <c r="N468" s="250" t="n"/>
      <c r="O468" s="250" t="n"/>
      <c r="P468" s="250" t="n"/>
      <c r="Q468" s="250" t="n"/>
      <c r="R468" s="250" t="n"/>
      <c r="S468" s="250" t="n"/>
      <c r="T468" s="250" t="n"/>
      <c r="U468" s="250" t="n"/>
      <c r="V468" s="250" t="n"/>
      <c r="W468" s="250" t="n"/>
      <c r="X468" s="250" t="n"/>
      <c r="Y468" s="250" t="n"/>
      <c r="Z468" s="250" t="n"/>
    </row>
    <row r="469">
      <c r="A469" s="250" t="n"/>
      <c r="B469" s="250" t="n"/>
      <c r="C469" s="250" t="n"/>
      <c r="D469" s="250" t="n"/>
      <c r="E469" s="250" t="n"/>
      <c r="F469" s="250" t="n"/>
      <c r="G469" s="250" t="n"/>
      <c r="H469" s="250" t="n"/>
      <c r="I469" s="250" t="n"/>
      <c r="J469" s="250" t="n"/>
      <c r="K469" s="250" t="n"/>
      <c r="L469" s="250" t="n"/>
      <c r="M469" s="250" t="n"/>
      <c r="N469" s="250" t="n"/>
      <c r="O469" s="250" t="n"/>
      <c r="P469" s="250" t="n"/>
      <c r="Q469" s="250" t="n"/>
      <c r="R469" s="250" t="n"/>
      <c r="S469" s="250" t="n"/>
      <c r="T469" s="250" t="n"/>
      <c r="U469" s="250" t="n"/>
      <c r="V469" s="250" t="n"/>
      <c r="W469" s="250" t="n"/>
      <c r="X469" s="250" t="n"/>
      <c r="Y469" s="250" t="n"/>
      <c r="Z469" s="250" t="n"/>
    </row>
    <row r="470">
      <c r="A470" s="250" t="n"/>
      <c r="B470" s="250" t="n"/>
      <c r="C470" s="250" t="n"/>
      <c r="D470" s="250" t="n"/>
      <c r="E470" s="250" t="n"/>
      <c r="F470" s="250" t="n"/>
      <c r="G470" s="250" t="n"/>
      <c r="H470" s="250" t="n"/>
      <c r="I470" s="250" t="n"/>
      <c r="J470" s="250" t="n"/>
      <c r="K470" s="250" t="n"/>
      <c r="L470" s="250" t="n"/>
      <c r="M470" s="250" t="n"/>
      <c r="N470" s="250" t="n"/>
      <c r="O470" s="250" t="n"/>
      <c r="P470" s="250" t="n"/>
      <c r="Q470" s="250" t="n"/>
      <c r="R470" s="250" t="n"/>
      <c r="S470" s="250" t="n"/>
      <c r="T470" s="250" t="n"/>
      <c r="U470" s="250" t="n"/>
      <c r="V470" s="250" t="n"/>
      <c r="W470" s="250" t="n"/>
      <c r="X470" s="250" t="n"/>
      <c r="Y470" s="250" t="n"/>
      <c r="Z470" s="250" t="n"/>
    </row>
    <row r="471">
      <c r="A471" s="250" t="n"/>
      <c r="B471" s="250" t="n"/>
      <c r="C471" s="250" t="n"/>
      <c r="D471" s="250" t="n"/>
      <c r="E471" s="250" t="n"/>
      <c r="F471" s="250" t="n"/>
      <c r="G471" s="250" t="n"/>
      <c r="H471" s="250" t="n"/>
      <c r="I471" s="250" t="n"/>
      <c r="J471" s="250" t="n"/>
      <c r="K471" s="250" t="n"/>
      <c r="L471" s="250" t="n"/>
      <c r="M471" s="250" t="n"/>
      <c r="N471" s="250" t="n"/>
      <c r="O471" s="250" t="n"/>
      <c r="P471" s="250" t="n"/>
      <c r="Q471" s="250" t="n"/>
      <c r="R471" s="250" t="n"/>
      <c r="S471" s="250" t="n"/>
      <c r="T471" s="250" t="n"/>
      <c r="U471" s="250" t="n"/>
      <c r="V471" s="250" t="n"/>
      <c r="W471" s="250" t="n"/>
      <c r="X471" s="250" t="n"/>
      <c r="Y471" s="250" t="n"/>
      <c r="Z471" s="250" t="n"/>
    </row>
    <row r="472">
      <c r="A472" s="250" t="n"/>
      <c r="B472" s="250" t="n"/>
      <c r="C472" s="250" t="n"/>
      <c r="D472" s="250" t="n"/>
      <c r="E472" s="250" t="n"/>
      <c r="F472" s="250" t="n"/>
      <c r="G472" s="250" t="n"/>
      <c r="H472" s="250" t="n"/>
      <c r="I472" s="250" t="n"/>
      <c r="J472" s="250" t="n"/>
      <c r="K472" s="250" t="n"/>
      <c r="L472" s="250" t="n"/>
      <c r="M472" s="250" t="n"/>
      <c r="N472" s="250" t="n"/>
      <c r="O472" s="250" t="n"/>
      <c r="P472" s="250" t="n"/>
      <c r="Q472" s="250" t="n"/>
      <c r="R472" s="250" t="n"/>
      <c r="S472" s="250" t="n"/>
      <c r="T472" s="250" t="n"/>
      <c r="U472" s="250" t="n"/>
      <c r="V472" s="250" t="n"/>
      <c r="W472" s="250" t="n"/>
      <c r="X472" s="250" t="n"/>
      <c r="Y472" s="250" t="n"/>
      <c r="Z472" s="250" t="n"/>
    </row>
    <row r="473">
      <c r="A473" s="250" t="n"/>
      <c r="B473" s="250" t="n"/>
      <c r="C473" s="250" t="n"/>
      <c r="D473" s="250" t="n"/>
      <c r="E473" s="250" t="n"/>
      <c r="F473" s="250" t="n"/>
      <c r="G473" s="250" t="n"/>
      <c r="H473" s="250" t="n"/>
      <c r="I473" s="250" t="n"/>
      <c r="J473" s="250" t="n"/>
      <c r="K473" s="250" t="n"/>
      <c r="L473" s="250" t="n"/>
      <c r="M473" s="250" t="n"/>
      <c r="N473" s="250" t="n"/>
      <c r="O473" s="250" t="n"/>
      <c r="P473" s="250" t="n"/>
      <c r="Q473" s="250" t="n"/>
      <c r="R473" s="250" t="n"/>
      <c r="S473" s="250" t="n"/>
      <c r="T473" s="250" t="n"/>
      <c r="U473" s="250" t="n"/>
      <c r="V473" s="250" t="n"/>
      <c r="W473" s="250" t="n"/>
      <c r="X473" s="250" t="n"/>
      <c r="Y473" s="250" t="n"/>
      <c r="Z473" s="250" t="n"/>
    </row>
    <row r="474">
      <c r="A474" s="250" t="n"/>
      <c r="B474" s="250" t="n"/>
      <c r="C474" s="250" t="n"/>
      <c r="D474" s="250" t="n"/>
      <c r="E474" s="250" t="n"/>
      <c r="F474" s="250" t="n"/>
      <c r="G474" s="250" t="n"/>
      <c r="H474" s="250" t="n"/>
      <c r="I474" s="250" t="n"/>
      <c r="J474" s="250" t="n"/>
      <c r="K474" s="250" t="n"/>
      <c r="L474" s="250" t="n"/>
      <c r="M474" s="250" t="n"/>
      <c r="N474" s="250" t="n"/>
      <c r="O474" s="250" t="n"/>
      <c r="P474" s="250" t="n"/>
      <c r="Q474" s="250" t="n"/>
      <c r="R474" s="250" t="n"/>
      <c r="S474" s="250" t="n"/>
      <c r="T474" s="250" t="n"/>
      <c r="U474" s="250" t="n"/>
      <c r="V474" s="250" t="n"/>
      <c r="W474" s="250" t="n"/>
      <c r="X474" s="250" t="n"/>
      <c r="Y474" s="250" t="n"/>
      <c r="Z474" s="250" t="n"/>
    </row>
    <row r="475">
      <c r="A475" s="250" t="n"/>
      <c r="B475" s="250" t="n"/>
      <c r="C475" s="250" t="n"/>
      <c r="D475" s="250" t="n"/>
      <c r="E475" s="250" t="n"/>
      <c r="F475" s="250" t="n"/>
      <c r="G475" s="250" t="n"/>
      <c r="H475" s="250" t="n"/>
      <c r="I475" s="250" t="n"/>
      <c r="J475" s="250" t="n"/>
      <c r="K475" s="250" t="n"/>
      <c r="L475" s="250" t="n"/>
      <c r="M475" s="250" t="n"/>
      <c r="N475" s="250" t="n"/>
      <c r="O475" s="250" t="n"/>
      <c r="P475" s="250" t="n"/>
      <c r="Q475" s="250" t="n"/>
      <c r="R475" s="250" t="n"/>
      <c r="S475" s="250" t="n"/>
      <c r="T475" s="250" t="n"/>
      <c r="U475" s="250" t="n"/>
      <c r="V475" s="250" t="n"/>
      <c r="W475" s="250" t="n"/>
      <c r="X475" s="250" t="n"/>
      <c r="Y475" s="250" t="n"/>
      <c r="Z475" s="250" t="n"/>
    </row>
    <row r="476">
      <c r="A476" s="250" t="n"/>
      <c r="B476" s="250" t="n"/>
      <c r="C476" s="250" t="n"/>
      <c r="D476" s="250" t="n"/>
      <c r="E476" s="250" t="n"/>
      <c r="F476" s="250" t="n"/>
      <c r="G476" s="250" t="n"/>
      <c r="H476" s="250" t="n"/>
      <c r="I476" s="250" t="n"/>
      <c r="J476" s="250" t="n"/>
      <c r="K476" s="250" t="n"/>
      <c r="L476" s="250" t="n"/>
      <c r="M476" s="250" t="n"/>
      <c r="N476" s="250" t="n"/>
      <c r="O476" s="250" t="n"/>
      <c r="P476" s="250" t="n"/>
      <c r="Q476" s="250" t="n"/>
      <c r="R476" s="250" t="n"/>
      <c r="S476" s="250" t="n"/>
      <c r="T476" s="250" t="n"/>
      <c r="U476" s="250" t="n"/>
      <c r="V476" s="250" t="n"/>
      <c r="W476" s="250" t="n"/>
      <c r="X476" s="250" t="n"/>
      <c r="Y476" s="250" t="n"/>
      <c r="Z476" s="250" t="n"/>
    </row>
    <row r="477">
      <c r="A477" s="250" t="n"/>
      <c r="B477" s="250" t="n"/>
      <c r="C477" s="250" t="n"/>
      <c r="D477" s="250" t="n"/>
      <c r="E477" s="250" t="n"/>
      <c r="F477" s="250" t="n"/>
      <c r="G477" s="250" t="n"/>
      <c r="H477" s="250" t="n"/>
      <c r="I477" s="250" t="n"/>
      <c r="J477" s="250" t="n"/>
      <c r="K477" s="250" t="n"/>
      <c r="L477" s="250" t="n"/>
      <c r="M477" s="250" t="n"/>
      <c r="N477" s="250" t="n"/>
      <c r="O477" s="250" t="n"/>
      <c r="P477" s="250" t="n"/>
      <c r="Q477" s="250" t="n"/>
      <c r="R477" s="250" t="n"/>
      <c r="S477" s="250" t="n"/>
      <c r="T477" s="250" t="n"/>
      <c r="U477" s="250" t="n"/>
      <c r="V477" s="250" t="n"/>
      <c r="W477" s="250" t="n"/>
      <c r="X477" s="250" t="n"/>
      <c r="Y477" s="250" t="n"/>
      <c r="Z477" s="250" t="n"/>
    </row>
    <row r="478">
      <c r="A478" s="250" t="n"/>
      <c r="B478" s="250" t="n"/>
      <c r="C478" s="250" t="n"/>
      <c r="D478" s="250" t="n"/>
      <c r="E478" s="250" t="n"/>
      <c r="F478" s="250" t="n"/>
      <c r="G478" s="250" t="n"/>
      <c r="H478" s="250" t="n"/>
      <c r="I478" s="250" t="n"/>
      <c r="J478" s="250" t="n"/>
      <c r="K478" s="250" t="n"/>
      <c r="L478" s="250" t="n"/>
      <c r="M478" s="250" t="n"/>
      <c r="N478" s="250" t="n"/>
      <c r="O478" s="250" t="n"/>
      <c r="P478" s="250" t="n"/>
      <c r="Q478" s="250" t="n"/>
      <c r="R478" s="250" t="n"/>
      <c r="S478" s="250" t="n"/>
      <c r="T478" s="250" t="n"/>
      <c r="U478" s="250" t="n"/>
      <c r="V478" s="250" t="n"/>
      <c r="W478" s="250" t="n"/>
      <c r="X478" s="250" t="n"/>
      <c r="Y478" s="250" t="n"/>
      <c r="Z478" s="250" t="n"/>
    </row>
    <row r="479">
      <c r="A479" s="250" t="n"/>
      <c r="B479" s="250" t="n"/>
      <c r="C479" s="250" t="n"/>
      <c r="D479" s="250" t="n"/>
      <c r="E479" s="250" t="n"/>
      <c r="F479" s="250" t="n"/>
      <c r="G479" s="250" t="n"/>
      <c r="H479" s="250" t="n"/>
      <c r="I479" s="250" t="n"/>
      <c r="J479" s="250" t="n"/>
      <c r="K479" s="250" t="n"/>
      <c r="L479" s="250" t="n"/>
      <c r="M479" s="250" t="n"/>
      <c r="N479" s="250" t="n"/>
      <c r="O479" s="250" t="n"/>
      <c r="P479" s="250" t="n"/>
      <c r="Q479" s="250" t="n"/>
      <c r="R479" s="250" t="n"/>
      <c r="S479" s="250" t="n"/>
      <c r="T479" s="250" t="n"/>
      <c r="U479" s="250" t="n"/>
      <c r="V479" s="250" t="n"/>
      <c r="W479" s="250" t="n"/>
      <c r="X479" s="250" t="n"/>
      <c r="Y479" s="250" t="n"/>
      <c r="Z479" s="250" t="n"/>
    </row>
    <row r="480">
      <c r="A480" s="250" t="n"/>
      <c r="B480" s="250" t="n"/>
      <c r="C480" s="250" t="n"/>
      <c r="D480" s="250" t="n"/>
      <c r="E480" s="250" t="n"/>
      <c r="F480" s="250" t="n"/>
      <c r="G480" s="250" t="n"/>
      <c r="H480" s="250" t="n"/>
      <c r="I480" s="250" t="n"/>
      <c r="J480" s="250" t="n"/>
      <c r="K480" s="250" t="n"/>
      <c r="L480" s="250" t="n"/>
      <c r="M480" s="250" t="n"/>
      <c r="N480" s="250" t="n"/>
      <c r="O480" s="250" t="n"/>
      <c r="P480" s="250" t="n"/>
      <c r="Q480" s="250" t="n"/>
      <c r="R480" s="250" t="n"/>
      <c r="S480" s="250" t="n"/>
      <c r="T480" s="250" t="n"/>
      <c r="U480" s="250" t="n"/>
      <c r="V480" s="250" t="n"/>
      <c r="W480" s="250" t="n"/>
      <c r="X480" s="250" t="n"/>
      <c r="Y480" s="250" t="n"/>
      <c r="Z480" s="250" t="n"/>
    </row>
    <row r="481">
      <c r="A481" s="250" t="n"/>
      <c r="B481" s="250" t="n"/>
      <c r="C481" s="250" t="n"/>
      <c r="D481" s="250" t="n"/>
      <c r="E481" s="250" t="n"/>
      <c r="F481" s="250" t="n"/>
      <c r="G481" s="250" t="n"/>
      <c r="H481" s="250" t="n"/>
      <c r="I481" s="250" t="n"/>
      <c r="J481" s="250" t="n"/>
      <c r="K481" s="250" t="n"/>
      <c r="L481" s="250" t="n"/>
      <c r="M481" s="250" t="n"/>
      <c r="N481" s="250" t="n"/>
      <c r="O481" s="250" t="n"/>
      <c r="P481" s="250" t="n"/>
      <c r="Q481" s="250" t="n"/>
      <c r="R481" s="250" t="n"/>
      <c r="S481" s="250" t="n"/>
      <c r="T481" s="250" t="n"/>
      <c r="U481" s="250" t="n"/>
      <c r="V481" s="250" t="n"/>
      <c r="W481" s="250" t="n"/>
      <c r="X481" s="250" t="n"/>
      <c r="Y481" s="250" t="n"/>
      <c r="Z481" s="250" t="n"/>
    </row>
    <row r="482">
      <c r="A482" s="250" t="n"/>
      <c r="B482" s="250" t="n"/>
      <c r="C482" s="250" t="n"/>
      <c r="D482" s="250" t="n"/>
      <c r="E482" s="250" t="n"/>
      <c r="F482" s="250" t="n"/>
      <c r="G482" s="250" t="n"/>
      <c r="H482" s="250" t="n"/>
      <c r="I482" s="250" t="n"/>
      <c r="J482" s="250" t="n"/>
      <c r="K482" s="250" t="n"/>
      <c r="L482" s="250" t="n"/>
      <c r="M482" s="250" t="n"/>
      <c r="N482" s="250" t="n"/>
      <c r="O482" s="250" t="n"/>
      <c r="P482" s="250" t="n"/>
      <c r="Q482" s="250" t="n"/>
      <c r="R482" s="250" t="n"/>
      <c r="S482" s="250" t="n"/>
      <c r="T482" s="250" t="n"/>
      <c r="U482" s="250" t="n"/>
      <c r="V482" s="250" t="n"/>
      <c r="W482" s="250" t="n"/>
      <c r="X482" s="250" t="n"/>
      <c r="Y482" s="250" t="n"/>
      <c r="Z482" s="250" t="n"/>
    </row>
    <row r="483">
      <c r="A483" s="250" t="n"/>
      <c r="B483" s="250" t="n"/>
      <c r="C483" s="250" t="n"/>
      <c r="D483" s="250" t="n"/>
      <c r="E483" s="250" t="n"/>
      <c r="F483" s="250" t="n"/>
      <c r="G483" s="250" t="n"/>
      <c r="H483" s="250" t="n"/>
      <c r="I483" s="250" t="n"/>
      <c r="J483" s="250" t="n"/>
      <c r="K483" s="250" t="n"/>
      <c r="L483" s="250" t="n"/>
      <c r="M483" s="250" t="n"/>
      <c r="N483" s="250" t="n"/>
      <c r="O483" s="250" t="n"/>
      <c r="P483" s="250" t="n"/>
      <c r="Q483" s="250" t="n"/>
      <c r="R483" s="250" t="n"/>
      <c r="S483" s="250" t="n"/>
      <c r="T483" s="250" t="n"/>
      <c r="U483" s="250" t="n"/>
      <c r="V483" s="250" t="n"/>
      <c r="W483" s="250" t="n"/>
      <c r="X483" s="250" t="n"/>
      <c r="Y483" s="250" t="n"/>
      <c r="Z483" s="250" t="n"/>
    </row>
    <row r="484">
      <c r="A484" s="250" t="n"/>
      <c r="B484" s="250" t="n"/>
      <c r="C484" s="250" t="n"/>
      <c r="D484" s="250" t="n"/>
      <c r="E484" s="250" t="n"/>
      <c r="F484" s="250" t="n"/>
      <c r="G484" s="250" t="n"/>
      <c r="H484" s="250" t="n"/>
      <c r="I484" s="250" t="n"/>
      <c r="J484" s="250" t="n"/>
      <c r="K484" s="250" t="n"/>
      <c r="L484" s="250" t="n"/>
      <c r="M484" s="250" t="n"/>
      <c r="N484" s="250" t="n"/>
      <c r="O484" s="250" t="n"/>
      <c r="P484" s="250" t="n"/>
      <c r="Q484" s="250" t="n"/>
      <c r="R484" s="250" t="n"/>
      <c r="S484" s="250" t="n"/>
      <c r="T484" s="250" t="n"/>
      <c r="U484" s="250" t="n"/>
      <c r="V484" s="250" t="n"/>
      <c r="W484" s="250" t="n"/>
      <c r="X484" s="250" t="n"/>
      <c r="Y484" s="250" t="n"/>
      <c r="Z484" s="250" t="n"/>
    </row>
    <row r="485">
      <c r="A485" s="250" t="n"/>
      <c r="B485" s="250" t="n"/>
      <c r="C485" s="250" t="n"/>
      <c r="D485" s="250" t="n"/>
      <c r="E485" s="250" t="n"/>
      <c r="F485" s="250" t="n"/>
      <c r="G485" s="250" t="n"/>
      <c r="H485" s="250" t="n"/>
      <c r="I485" s="250" t="n"/>
      <c r="J485" s="250" t="n"/>
      <c r="K485" s="250" t="n"/>
      <c r="L485" s="250" t="n"/>
      <c r="M485" s="250" t="n"/>
      <c r="N485" s="250" t="n"/>
      <c r="O485" s="250" t="n"/>
      <c r="P485" s="250" t="n"/>
      <c r="Q485" s="250" t="n"/>
      <c r="R485" s="250" t="n"/>
      <c r="S485" s="250" t="n"/>
      <c r="T485" s="250" t="n"/>
      <c r="U485" s="250" t="n"/>
      <c r="V485" s="250" t="n"/>
      <c r="W485" s="250" t="n"/>
      <c r="X485" s="250" t="n"/>
      <c r="Y485" s="250" t="n"/>
      <c r="Z485" s="250" t="n"/>
    </row>
    <row r="486">
      <c r="A486" s="250" t="n"/>
      <c r="B486" s="250" t="n"/>
      <c r="C486" s="250" t="n"/>
      <c r="D486" s="250" t="n"/>
      <c r="E486" s="250" t="n"/>
      <c r="F486" s="250" t="n"/>
      <c r="G486" s="250" t="n"/>
      <c r="H486" s="250" t="n"/>
      <c r="I486" s="250" t="n"/>
      <c r="J486" s="250" t="n"/>
      <c r="K486" s="250" t="n"/>
      <c r="L486" s="250" t="n"/>
      <c r="M486" s="250" t="n"/>
      <c r="N486" s="250" t="n"/>
      <c r="O486" s="250" t="n"/>
      <c r="P486" s="250" t="n"/>
      <c r="Q486" s="250" t="n"/>
      <c r="R486" s="250" t="n"/>
      <c r="S486" s="250" t="n"/>
      <c r="T486" s="250" t="n"/>
      <c r="U486" s="250" t="n"/>
      <c r="V486" s="250" t="n"/>
      <c r="W486" s="250" t="n"/>
      <c r="X486" s="250" t="n"/>
      <c r="Y486" s="250" t="n"/>
      <c r="Z486" s="250" t="n"/>
    </row>
    <row r="487">
      <c r="A487" s="250" t="n"/>
      <c r="B487" s="250" t="n"/>
      <c r="C487" s="250" t="n"/>
      <c r="D487" s="250" t="n"/>
      <c r="E487" s="250" t="n"/>
      <c r="F487" s="250" t="n"/>
      <c r="G487" s="250" t="n"/>
      <c r="H487" s="250" t="n"/>
      <c r="I487" s="250" t="n"/>
      <c r="J487" s="250" t="n"/>
      <c r="K487" s="250" t="n"/>
      <c r="L487" s="250" t="n"/>
      <c r="M487" s="250" t="n"/>
      <c r="N487" s="250" t="n"/>
      <c r="O487" s="250" t="n"/>
      <c r="P487" s="250" t="n"/>
      <c r="Q487" s="250" t="n"/>
      <c r="R487" s="250" t="n"/>
      <c r="S487" s="250" t="n"/>
      <c r="T487" s="250" t="n"/>
      <c r="U487" s="250" t="n"/>
      <c r="V487" s="250" t="n"/>
      <c r="W487" s="250" t="n"/>
      <c r="X487" s="250" t="n"/>
      <c r="Y487" s="250" t="n"/>
      <c r="Z487" s="250" t="n"/>
    </row>
    <row r="488">
      <c r="A488" s="250" t="n"/>
      <c r="B488" s="250" t="n"/>
      <c r="C488" s="250" t="n"/>
      <c r="D488" s="250" t="n"/>
      <c r="E488" s="250" t="n"/>
      <c r="F488" s="250" t="n"/>
      <c r="G488" s="250" t="n"/>
      <c r="H488" s="250" t="n"/>
      <c r="I488" s="250" t="n"/>
      <c r="J488" s="250" t="n"/>
      <c r="K488" s="250" t="n"/>
      <c r="L488" s="250" t="n"/>
      <c r="M488" s="250" t="n"/>
      <c r="N488" s="250" t="n"/>
      <c r="O488" s="250" t="n"/>
      <c r="P488" s="250" t="n"/>
      <c r="Q488" s="250" t="n"/>
      <c r="R488" s="250" t="n"/>
      <c r="S488" s="250" t="n"/>
      <c r="T488" s="250" t="n"/>
      <c r="U488" s="250" t="n"/>
      <c r="V488" s="250" t="n"/>
      <c r="W488" s="250" t="n"/>
      <c r="X488" s="250" t="n"/>
      <c r="Y488" s="250" t="n"/>
      <c r="Z488" s="250" t="n"/>
    </row>
    <row r="489">
      <c r="A489" s="250" t="n"/>
      <c r="B489" s="250" t="n"/>
      <c r="C489" s="250" t="n"/>
      <c r="D489" s="250" t="n"/>
      <c r="E489" s="250" t="n"/>
      <c r="F489" s="250" t="n"/>
      <c r="G489" s="250" t="n"/>
      <c r="H489" s="250" t="n"/>
      <c r="I489" s="250" t="n"/>
      <c r="J489" s="250" t="n"/>
      <c r="K489" s="250" t="n"/>
      <c r="L489" s="250" t="n"/>
      <c r="M489" s="250" t="n"/>
      <c r="N489" s="250" t="n"/>
      <c r="O489" s="250" t="n"/>
      <c r="P489" s="250" t="n"/>
      <c r="Q489" s="250" t="n"/>
      <c r="R489" s="250" t="n"/>
      <c r="S489" s="250" t="n"/>
      <c r="T489" s="250" t="n"/>
      <c r="U489" s="250" t="n"/>
      <c r="V489" s="250" t="n"/>
      <c r="W489" s="250" t="n"/>
      <c r="X489" s="250" t="n"/>
      <c r="Y489" s="250" t="n"/>
      <c r="Z489" s="250" t="n"/>
    </row>
    <row r="490">
      <c r="A490" s="250" t="n"/>
      <c r="B490" s="250" t="n"/>
      <c r="C490" s="250" t="n"/>
      <c r="D490" s="250" t="n"/>
      <c r="E490" s="250" t="n"/>
      <c r="F490" s="250" t="n"/>
      <c r="G490" s="250" t="n"/>
      <c r="H490" s="250" t="n"/>
      <c r="I490" s="250" t="n"/>
      <c r="J490" s="250" t="n"/>
      <c r="K490" s="250" t="n"/>
      <c r="L490" s="250" t="n"/>
      <c r="M490" s="250" t="n"/>
      <c r="N490" s="250" t="n"/>
      <c r="O490" s="250" t="n"/>
      <c r="P490" s="250" t="n"/>
      <c r="Q490" s="250" t="n"/>
      <c r="R490" s="250" t="n"/>
      <c r="S490" s="250" t="n"/>
      <c r="T490" s="250" t="n"/>
      <c r="U490" s="250" t="n"/>
      <c r="V490" s="250" t="n"/>
      <c r="W490" s="250" t="n"/>
      <c r="X490" s="250" t="n"/>
      <c r="Y490" s="250" t="n"/>
      <c r="Z490" s="250" t="n"/>
    </row>
    <row r="491">
      <c r="A491" s="250" t="n"/>
      <c r="B491" s="250" t="n"/>
      <c r="C491" s="250" t="n"/>
      <c r="D491" s="250" t="n"/>
      <c r="E491" s="250" t="n"/>
      <c r="F491" s="250" t="n"/>
      <c r="G491" s="250" t="n"/>
      <c r="H491" s="250" t="n"/>
      <c r="I491" s="250" t="n"/>
      <c r="J491" s="250" t="n"/>
      <c r="K491" s="250" t="n"/>
      <c r="L491" s="250" t="n"/>
      <c r="M491" s="250" t="n"/>
      <c r="N491" s="250" t="n"/>
      <c r="O491" s="250" t="n"/>
      <c r="P491" s="250" t="n"/>
      <c r="Q491" s="250" t="n"/>
      <c r="R491" s="250" t="n"/>
      <c r="S491" s="250" t="n"/>
      <c r="T491" s="250" t="n"/>
      <c r="U491" s="250" t="n"/>
      <c r="V491" s="250" t="n"/>
      <c r="W491" s="250" t="n"/>
      <c r="X491" s="250" t="n"/>
      <c r="Y491" s="250" t="n"/>
      <c r="Z491" s="250" t="n"/>
    </row>
    <row r="492">
      <c r="A492" s="250" t="n"/>
      <c r="B492" s="250" t="n"/>
      <c r="C492" s="250" t="n"/>
      <c r="D492" s="250" t="n"/>
      <c r="E492" s="250" t="n"/>
      <c r="F492" s="250" t="n"/>
      <c r="G492" s="250" t="n"/>
      <c r="H492" s="250" t="n"/>
      <c r="I492" s="250" t="n"/>
      <c r="J492" s="250" t="n"/>
      <c r="K492" s="250" t="n"/>
      <c r="L492" s="250" t="n"/>
      <c r="M492" s="250" t="n"/>
      <c r="N492" s="250" t="n"/>
      <c r="O492" s="250" t="n"/>
      <c r="P492" s="250" t="n"/>
      <c r="Q492" s="250" t="n"/>
      <c r="R492" s="250" t="n"/>
      <c r="S492" s="250" t="n"/>
      <c r="T492" s="250" t="n"/>
      <c r="U492" s="250" t="n"/>
      <c r="V492" s="250" t="n"/>
      <c r="W492" s="250" t="n"/>
      <c r="X492" s="250" t="n"/>
      <c r="Y492" s="250" t="n"/>
      <c r="Z492" s="250" t="n"/>
    </row>
    <row r="493">
      <c r="A493" s="250" t="n"/>
      <c r="B493" s="250" t="n"/>
      <c r="C493" s="250" t="n"/>
      <c r="D493" s="250" t="n"/>
      <c r="E493" s="250" t="n"/>
      <c r="F493" s="250" t="n"/>
      <c r="G493" s="250" t="n"/>
      <c r="H493" s="250" t="n"/>
      <c r="I493" s="250" t="n"/>
      <c r="J493" s="250" t="n"/>
      <c r="K493" s="250" t="n"/>
      <c r="L493" s="250" t="n"/>
      <c r="M493" s="250" t="n"/>
      <c r="N493" s="250" t="n"/>
      <c r="O493" s="250" t="n"/>
      <c r="P493" s="250" t="n"/>
      <c r="Q493" s="250" t="n"/>
      <c r="R493" s="250" t="n"/>
      <c r="S493" s="250" t="n"/>
      <c r="T493" s="250" t="n"/>
      <c r="U493" s="250" t="n"/>
      <c r="V493" s="250" t="n"/>
      <c r="W493" s="250" t="n"/>
      <c r="X493" s="250" t="n"/>
      <c r="Y493" s="250" t="n"/>
      <c r="Z493" s="250" t="n"/>
    </row>
    <row r="494">
      <c r="A494" s="250" t="n"/>
      <c r="B494" s="250" t="n"/>
      <c r="C494" s="250" t="n"/>
      <c r="D494" s="250" t="n"/>
      <c r="E494" s="250" t="n"/>
      <c r="F494" s="250" t="n"/>
      <c r="G494" s="250" t="n"/>
      <c r="H494" s="250" t="n"/>
      <c r="I494" s="250" t="n"/>
      <c r="J494" s="250" t="n"/>
      <c r="K494" s="250" t="n"/>
      <c r="L494" s="250" t="n"/>
      <c r="M494" s="250" t="n"/>
      <c r="N494" s="250" t="n"/>
      <c r="O494" s="250" t="n"/>
      <c r="P494" s="250" t="n"/>
      <c r="Q494" s="250" t="n"/>
      <c r="R494" s="250" t="n"/>
      <c r="S494" s="250" t="n"/>
      <c r="T494" s="250" t="n"/>
      <c r="U494" s="250" t="n"/>
      <c r="V494" s="250" t="n"/>
      <c r="W494" s="250" t="n"/>
      <c r="X494" s="250" t="n"/>
      <c r="Y494" s="250" t="n"/>
      <c r="Z494" s="250" t="n"/>
    </row>
    <row r="495">
      <c r="A495" s="250" t="n"/>
      <c r="B495" s="250" t="n"/>
      <c r="C495" s="250" t="n"/>
      <c r="D495" s="250" t="n"/>
      <c r="E495" s="250" t="n"/>
      <c r="F495" s="250" t="n"/>
      <c r="G495" s="250" t="n"/>
      <c r="H495" s="250" t="n"/>
      <c r="I495" s="250" t="n"/>
      <c r="J495" s="250" t="n"/>
      <c r="K495" s="250" t="n"/>
      <c r="L495" s="250" t="n"/>
      <c r="M495" s="250" t="n"/>
      <c r="N495" s="250" t="n"/>
      <c r="O495" s="250" t="n"/>
      <c r="P495" s="250" t="n"/>
      <c r="Q495" s="250" t="n"/>
      <c r="R495" s="250" t="n"/>
      <c r="S495" s="250" t="n"/>
      <c r="T495" s="250" t="n"/>
      <c r="U495" s="250" t="n"/>
      <c r="V495" s="250" t="n"/>
      <c r="W495" s="250" t="n"/>
      <c r="X495" s="250" t="n"/>
      <c r="Y495" s="250" t="n"/>
      <c r="Z495" s="250" t="n"/>
    </row>
    <row r="496">
      <c r="A496" s="250" t="n"/>
      <c r="B496" s="250" t="n"/>
      <c r="C496" s="250" t="n"/>
      <c r="D496" s="250" t="n"/>
      <c r="E496" s="250" t="n"/>
      <c r="F496" s="250" t="n"/>
      <c r="G496" s="250" t="n"/>
      <c r="H496" s="250" t="n"/>
      <c r="I496" s="250" t="n"/>
      <c r="J496" s="250" t="n"/>
      <c r="K496" s="250" t="n"/>
      <c r="L496" s="250" t="n"/>
      <c r="M496" s="250" t="n"/>
      <c r="N496" s="250" t="n"/>
      <c r="O496" s="250" t="n"/>
      <c r="P496" s="250" t="n"/>
      <c r="Q496" s="250" t="n"/>
      <c r="R496" s="250" t="n"/>
      <c r="S496" s="250" t="n"/>
      <c r="T496" s="250" t="n"/>
      <c r="U496" s="250" t="n"/>
      <c r="V496" s="250" t="n"/>
      <c r="W496" s="250" t="n"/>
      <c r="X496" s="250" t="n"/>
      <c r="Y496" s="250" t="n"/>
      <c r="Z496" s="250" t="n"/>
    </row>
    <row r="497">
      <c r="A497" s="250" t="n"/>
      <c r="B497" s="250" t="n"/>
      <c r="C497" s="250" t="n"/>
      <c r="D497" s="250" t="n"/>
      <c r="E497" s="250" t="n"/>
      <c r="F497" s="250" t="n"/>
      <c r="G497" s="250" t="n"/>
      <c r="H497" s="250" t="n"/>
      <c r="I497" s="250" t="n"/>
      <c r="J497" s="250" t="n"/>
      <c r="K497" s="250" t="n"/>
      <c r="L497" s="250" t="n"/>
      <c r="M497" s="250" t="n"/>
      <c r="N497" s="250" t="n"/>
      <c r="O497" s="250" t="n"/>
      <c r="P497" s="250" t="n"/>
      <c r="Q497" s="250" t="n"/>
      <c r="R497" s="250" t="n"/>
      <c r="S497" s="250" t="n"/>
      <c r="T497" s="250" t="n"/>
      <c r="U497" s="250" t="n"/>
      <c r="V497" s="250" t="n"/>
      <c r="W497" s="250" t="n"/>
      <c r="X497" s="250" t="n"/>
      <c r="Y497" s="250" t="n"/>
      <c r="Z497" s="250" t="n"/>
    </row>
    <row r="498">
      <c r="A498" s="250" t="n"/>
      <c r="B498" s="250" t="n"/>
      <c r="C498" s="250" t="n"/>
      <c r="D498" s="250" t="n"/>
      <c r="E498" s="250" t="n"/>
      <c r="F498" s="250" t="n"/>
      <c r="G498" s="250" t="n"/>
      <c r="H498" s="250" t="n"/>
      <c r="I498" s="250" t="n"/>
      <c r="J498" s="250" t="n"/>
      <c r="K498" s="250" t="n"/>
      <c r="L498" s="250" t="n"/>
      <c r="M498" s="250" t="n"/>
      <c r="N498" s="250" t="n"/>
      <c r="O498" s="250" t="n"/>
      <c r="P498" s="250" t="n"/>
      <c r="Q498" s="250" t="n"/>
      <c r="R498" s="250" t="n"/>
      <c r="S498" s="250" t="n"/>
      <c r="T498" s="250" t="n"/>
      <c r="U498" s="250" t="n"/>
      <c r="V498" s="250" t="n"/>
      <c r="W498" s="250" t="n"/>
      <c r="X498" s="250" t="n"/>
      <c r="Y498" s="250" t="n"/>
      <c r="Z498" s="250" t="n"/>
    </row>
    <row r="499">
      <c r="A499" s="250" t="n"/>
      <c r="B499" s="250" t="n"/>
      <c r="C499" s="250" t="n"/>
      <c r="D499" s="250" t="n"/>
      <c r="E499" s="250" t="n"/>
      <c r="F499" s="250" t="n"/>
      <c r="G499" s="250" t="n"/>
      <c r="H499" s="250" t="n"/>
      <c r="I499" s="250" t="n"/>
      <c r="J499" s="250" t="n"/>
      <c r="K499" s="250" t="n"/>
      <c r="L499" s="250" t="n"/>
      <c r="M499" s="250" t="n"/>
      <c r="N499" s="250" t="n"/>
      <c r="O499" s="250" t="n"/>
      <c r="P499" s="250" t="n"/>
      <c r="Q499" s="250" t="n"/>
      <c r="R499" s="250" t="n"/>
      <c r="S499" s="250" t="n"/>
      <c r="T499" s="250" t="n"/>
      <c r="U499" s="250" t="n"/>
      <c r="V499" s="250" t="n"/>
      <c r="W499" s="250" t="n"/>
      <c r="X499" s="250" t="n"/>
      <c r="Y499" s="250" t="n"/>
      <c r="Z499" s="250" t="n"/>
    </row>
    <row r="500">
      <c r="A500" s="250" t="n"/>
      <c r="B500" s="250" t="n"/>
      <c r="C500" s="250" t="n"/>
      <c r="D500" s="250" t="n"/>
      <c r="E500" s="250" t="n"/>
      <c r="F500" s="250" t="n"/>
      <c r="G500" s="250" t="n"/>
      <c r="H500" s="250" t="n"/>
      <c r="I500" s="250" t="n"/>
      <c r="J500" s="250" t="n"/>
      <c r="K500" s="250" t="n"/>
      <c r="L500" s="250" t="n"/>
      <c r="M500" s="250" t="n"/>
      <c r="N500" s="250" t="n"/>
      <c r="O500" s="250" t="n"/>
      <c r="P500" s="250" t="n"/>
      <c r="Q500" s="250" t="n"/>
      <c r="R500" s="250" t="n"/>
      <c r="S500" s="250" t="n"/>
      <c r="T500" s="250" t="n"/>
      <c r="U500" s="250" t="n"/>
      <c r="V500" s="250" t="n"/>
      <c r="W500" s="250" t="n"/>
      <c r="X500" s="250" t="n"/>
      <c r="Y500" s="250" t="n"/>
      <c r="Z500" s="250" t="n"/>
    </row>
    <row r="501">
      <c r="A501" s="250" t="n"/>
      <c r="B501" s="250" t="n"/>
      <c r="C501" s="250" t="n"/>
      <c r="D501" s="250" t="n"/>
      <c r="E501" s="250" t="n"/>
      <c r="F501" s="250" t="n"/>
      <c r="G501" s="250" t="n"/>
      <c r="H501" s="250" t="n"/>
      <c r="I501" s="250" t="n"/>
      <c r="J501" s="250" t="n"/>
      <c r="K501" s="250" t="n"/>
      <c r="L501" s="250" t="n"/>
      <c r="M501" s="250" t="n"/>
      <c r="N501" s="250" t="n"/>
      <c r="O501" s="250" t="n"/>
      <c r="P501" s="250" t="n"/>
      <c r="Q501" s="250" t="n"/>
      <c r="R501" s="250" t="n"/>
      <c r="S501" s="250" t="n"/>
      <c r="T501" s="250" t="n"/>
      <c r="U501" s="250" t="n"/>
      <c r="V501" s="250" t="n"/>
      <c r="W501" s="250" t="n"/>
      <c r="X501" s="250" t="n"/>
      <c r="Y501" s="250" t="n"/>
      <c r="Z501" s="250" t="n"/>
    </row>
    <row r="502">
      <c r="A502" s="250" t="n"/>
      <c r="B502" s="250" t="n"/>
      <c r="C502" s="250" t="n"/>
      <c r="D502" s="250" t="n"/>
      <c r="E502" s="250" t="n"/>
      <c r="F502" s="250" t="n"/>
      <c r="G502" s="250" t="n"/>
      <c r="H502" s="250" t="n"/>
      <c r="I502" s="250" t="n"/>
      <c r="J502" s="250" t="n"/>
      <c r="K502" s="250" t="n"/>
      <c r="L502" s="250" t="n"/>
      <c r="M502" s="250" t="n"/>
      <c r="N502" s="250" t="n"/>
      <c r="O502" s="250" t="n"/>
      <c r="P502" s="250" t="n"/>
      <c r="Q502" s="250" t="n"/>
      <c r="R502" s="250" t="n"/>
      <c r="S502" s="250" t="n"/>
      <c r="T502" s="250" t="n"/>
      <c r="U502" s="250" t="n"/>
      <c r="V502" s="250" t="n"/>
      <c r="W502" s="250" t="n"/>
      <c r="X502" s="250" t="n"/>
      <c r="Y502" s="250" t="n"/>
      <c r="Z502" s="250" t="n"/>
    </row>
    <row r="503">
      <c r="A503" s="250" t="n"/>
      <c r="B503" s="250" t="n"/>
      <c r="C503" s="250" t="n"/>
      <c r="D503" s="250" t="n"/>
      <c r="E503" s="250" t="n"/>
      <c r="F503" s="250" t="n"/>
      <c r="G503" s="250" t="n"/>
      <c r="H503" s="250" t="n"/>
      <c r="I503" s="250" t="n"/>
      <c r="J503" s="250" t="n"/>
      <c r="K503" s="250" t="n"/>
      <c r="L503" s="250" t="n"/>
      <c r="M503" s="250" t="n"/>
      <c r="N503" s="250" t="n"/>
      <c r="O503" s="250" t="n"/>
      <c r="P503" s="250" t="n"/>
      <c r="Q503" s="250" t="n"/>
      <c r="R503" s="250" t="n"/>
      <c r="S503" s="250" t="n"/>
      <c r="T503" s="250" t="n"/>
      <c r="U503" s="250" t="n"/>
      <c r="V503" s="250" t="n"/>
      <c r="W503" s="250" t="n"/>
      <c r="X503" s="250" t="n"/>
      <c r="Y503" s="250" t="n"/>
      <c r="Z503" s="250" t="n"/>
    </row>
    <row r="504">
      <c r="A504" s="250" t="n"/>
      <c r="B504" s="250" t="n"/>
      <c r="C504" s="250" t="n"/>
      <c r="D504" s="250" t="n"/>
      <c r="E504" s="250" t="n"/>
      <c r="F504" s="250" t="n"/>
      <c r="G504" s="250" t="n"/>
      <c r="H504" s="250" t="n"/>
      <c r="I504" s="250" t="n"/>
      <c r="J504" s="250" t="n"/>
      <c r="K504" s="250" t="n"/>
      <c r="L504" s="250" t="n"/>
      <c r="M504" s="250" t="n"/>
      <c r="N504" s="250" t="n"/>
      <c r="O504" s="250" t="n"/>
      <c r="P504" s="250" t="n"/>
      <c r="Q504" s="250" t="n"/>
      <c r="R504" s="250" t="n"/>
      <c r="S504" s="250" t="n"/>
      <c r="T504" s="250" t="n"/>
      <c r="U504" s="250" t="n"/>
      <c r="V504" s="250" t="n"/>
      <c r="W504" s="250" t="n"/>
      <c r="X504" s="250" t="n"/>
      <c r="Y504" s="250" t="n"/>
      <c r="Z504" s="250" t="n"/>
    </row>
    <row r="505">
      <c r="A505" s="250" t="n"/>
      <c r="B505" s="250" t="n"/>
      <c r="C505" s="250" t="n"/>
      <c r="D505" s="250" t="n"/>
      <c r="E505" s="250" t="n"/>
      <c r="F505" s="250" t="n"/>
      <c r="G505" s="250" t="n"/>
      <c r="H505" s="250" t="n"/>
      <c r="I505" s="250" t="n"/>
      <c r="J505" s="250" t="n"/>
      <c r="K505" s="250" t="n"/>
      <c r="L505" s="250" t="n"/>
      <c r="M505" s="250" t="n"/>
      <c r="N505" s="250" t="n"/>
      <c r="O505" s="250" t="n"/>
      <c r="P505" s="250" t="n"/>
      <c r="Q505" s="250" t="n"/>
      <c r="R505" s="250" t="n"/>
      <c r="S505" s="250" t="n"/>
      <c r="T505" s="250" t="n"/>
      <c r="U505" s="250" t="n"/>
      <c r="V505" s="250" t="n"/>
      <c r="W505" s="250" t="n"/>
      <c r="X505" s="250" t="n"/>
      <c r="Y505" s="250" t="n"/>
      <c r="Z505" s="250" t="n"/>
    </row>
    <row r="506">
      <c r="A506" s="250" t="n"/>
      <c r="B506" s="250" t="n"/>
      <c r="C506" s="250" t="n"/>
      <c r="D506" s="250" t="n"/>
      <c r="E506" s="250" t="n"/>
      <c r="F506" s="250" t="n"/>
      <c r="G506" s="250" t="n"/>
      <c r="H506" s="250" t="n"/>
      <c r="I506" s="250" t="n"/>
      <c r="J506" s="250" t="n"/>
      <c r="K506" s="250" t="n"/>
      <c r="L506" s="250" t="n"/>
      <c r="M506" s="250" t="n"/>
      <c r="N506" s="250" t="n"/>
      <c r="O506" s="250" t="n"/>
      <c r="P506" s="250" t="n"/>
      <c r="Q506" s="250" t="n"/>
      <c r="R506" s="250" t="n"/>
      <c r="S506" s="250" t="n"/>
      <c r="T506" s="250" t="n"/>
      <c r="U506" s="250" t="n"/>
      <c r="V506" s="250" t="n"/>
      <c r="W506" s="250" t="n"/>
      <c r="X506" s="250" t="n"/>
      <c r="Y506" s="250" t="n"/>
      <c r="Z506" s="250" t="n"/>
    </row>
    <row r="507">
      <c r="A507" s="250" t="n"/>
      <c r="B507" s="250" t="n"/>
      <c r="C507" s="250" t="n"/>
      <c r="D507" s="250" t="n"/>
      <c r="E507" s="250" t="n"/>
      <c r="F507" s="250" t="n"/>
      <c r="G507" s="250" t="n"/>
      <c r="H507" s="250" t="n"/>
      <c r="I507" s="250" t="n"/>
      <c r="J507" s="250" t="n"/>
      <c r="K507" s="250" t="n"/>
      <c r="L507" s="250" t="n"/>
      <c r="M507" s="250" t="n"/>
      <c r="N507" s="250" t="n"/>
      <c r="O507" s="250" t="n"/>
      <c r="P507" s="250" t="n"/>
      <c r="Q507" s="250" t="n"/>
      <c r="R507" s="250" t="n"/>
      <c r="S507" s="250" t="n"/>
      <c r="T507" s="250" t="n"/>
      <c r="U507" s="250" t="n"/>
      <c r="V507" s="250" t="n"/>
      <c r="W507" s="250" t="n"/>
      <c r="X507" s="250" t="n"/>
      <c r="Y507" s="250" t="n"/>
      <c r="Z507" s="250" t="n"/>
    </row>
    <row r="508">
      <c r="A508" s="250" t="n"/>
      <c r="B508" s="250" t="n"/>
      <c r="C508" s="250" t="n"/>
      <c r="D508" s="250" t="n"/>
      <c r="E508" s="250" t="n"/>
      <c r="F508" s="250" t="n"/>
      <c r="G508" s="250" t="n"/>
      <c r="H508" s="250" t="n"/>
      <c r="I508" s="250" t="n"/>
      <c r="J508" s="250" t="n"/>
      <c r="K508" s="250" t="n"/>
      <c r="L508" s="250" t="n"/>
      <c r="M508" s="250" t="n"/>
      <c r="N508" s="250" t="n"/>
      <c r="O508" s="250" t="n"/>
      <c r="P508" s="250" t="n"/>
      <c r="Q508" s="250" t="n"/>
      <c r="R508" s="250" t="n"/>
      <c r="S508" s="250" t="n"/>
      <c r="T508" s="250" t="n"/>
      <c r="U508" s="250" t="n"/>
      <c r="V508" s="250" t="n"/>
      <c r="W508" s="250" t="n"/>
      <c r="X508" s="250" t="n"/>
      <c r="Y508" s="250" t="n"/>
      <c r="Z508" s="250" t="n"/>
    </row>
    <row r="509">
      <c r="A509" s="250" t="n"/>
      <c r="B509" s="250" t="n"/>
      <c r="C509" s="250" t="n"/>
      <c r="D509" s="250" t="n"/>
      <c r="E509" s="250" t="n"/>
      <c r="F509" s="250" t="n"/>
      <c r="G509" s="250" t="n"/>
      <c r="H509" s="250" t="n"/>
      <c r="I509" s="250" t="n"/>
      <c r="J509" s="250" t="n"/>
      <c r="K509" s="250" t="n"/>
      <c r="L509" s="250" t="n"/>
      <c r="M509" s="250" t="n"/>
      <c r="N509" s="250" t="n"/>
      <c r="O509" s="250" t="n"/>
      <c r="P509" s="250" t="n"/>
      <c r="Q509" s="250" t="n"/>
      <c r="R509" s="250" t="n"/>
      <c r="S509" s="250" t="n"/>
      <c r="T509" s="250" t="n"/>
      <c r="U509" s="250" t="n"/>
      <c r="V509" s="250" t="n"/>
      <c r="W509" s="250" t="n"/>
      <c r="X509" s="250" t="n"/>
      <c r="Y509" s="250" t="n"/>
      <c r="Z509" s="250" t="n"/>
    </row>
    <row r="510">
      <c r="A510" s="250" t="n"/>
      <c r="B510" s="250" t="n"/>
      <c r="C510" s="250" t="n"/>
      <c r="D510" s="250" t="n"/>
      <c r="E510" s="250" t="n"/>
      <c r="F510" s="250" t="n"/>
      <c r="G510" s="250" t="n"/>
      <c r="H510" s="250" t="n"/>
      <c r="I510" s="250" t="n"/>
      <c r="J510" s="250" t="n"/>
      <c r="K510" s="250" t="n"/>
      <c r="L510" s="250" t="n"/>
      <c r="M510" s="250" t="n"/>
      <c r="N510" s="250" t="n"/>
      <c r="O510" s="250" t="n"/>
      <c r="P510" s="250" t="n"/>
      <c r="Q510" s="250" t="n"/>
      <c r="R510" s="250" t="n"/>
      <c r="S510" s="250" t="n"/>
      <c r="T510" s="250" t="n"/>
      <c r="U510" s="250" t="n"/>
      <c r="V510" s="250" t="n"/>
      <c r="W510" s="250" t="n"/>
      <c r="X510" s="250" t="n"/>
      <c r="Y510" s="250" t="n"/>
      <c r="Z510" s="250" t="n"/>
    </row>
    <row r="511">
      <c r="A511" s="250" t="n"/>
      <c r="B511" s="250" t="n"/>
      <c r="C511" s="250" t="n"/>
      <c r="D511" s="250" t="n"/>
      <c r="E511" s="250" t="n"/>
      <c r="F511" s="250" t="n"/>
      <c r="G511" s="250" t="n"/>
      <c r="H511" s="250" t="n"/>
      <c r="I511" s="250" t="n"/>
      <c r="J511" s="250" t="n"/>
      <c r="K511" s="250" t="n"/>
      <c r="L511" s="250" t="n"/>
      <c r="M511" s="250" t="n"/>
      <c r="N511" s="250" t="n"/>
      <c r="O511" s="250" t="n"/>
      <c r="P511" s="250" t="n"/>
      <c r="Q511" s="250" t="n"/>
      <c r="R511" s="250" t="n"/>
      <c r="S511" s="250" t="n"/>
      <c r="T511" s="250" t="n"/>
      <c r="U511" s="250" t="n"/>
      <c r="V511" s="250" t="n"/>
      <c r="W511" s="250" t="n"/>
      <c r="X511" s="250" t="n"/>
      <c r="Y511" s="250" t="n"/>
      <c r="Z511" s="250" t="n"/>
    </row>
    <row r="512">
      <c r="A512" s="250" t="n"/>
      <c r="B512" s="250" t="n"/>
      <c r="C512" s="250" t="n"/>
      <c r="D512" s="250" t="n"/>
      <c r="E512" s="250" t="n"/>
      <c r="F512" s="250" t="n"/>
      <c r="G512" s="250" t="n"/>
      <c r="H512" s="250" t="n"/>
      <c r="I512" s="250" t="n"/>
      <c r="J512" s="250" t="n"/>
      <c r="K512" s="250" t="n"/>
      <c r="L512" s="250" t="n"/>
      <c r="M512" s="250" t="n"/>
      <c r="N512" s="250" t="n"/>
      <c r="O512" s="250" t="n"/>
      <c r="P512" s="250" t="n"/>
      <c r="Q512" s="250" t="n"/>
      <c r="R512" s="250" t="n"/>
      <c r="S512" s="250" t="n"/>
      <c r="T512" s="250" t="n"/>
      <c r="U512" s="250" t="n"/>
      <c r="V512" s="250" t="n"/>
      <c r="W512" s="250" t="n"/>
      <c r="X512" s="250" t="n"/>
      <c r="Y512" s="250" t="n"/>
      <c r="Z512" s="250" t="n"/>
    </row>
    <row r="513">
      <c r="A513" s="250" t="n"/>
      <c r="B513" s="250" t="n"/>
      <c r="C513" s="250" t="n"/>
      <c r="D513" s="250" t="n"/>
      <c r="E513" s="250" t="n"/>
      <c r="F513" s="250" t="n"/>
      <c r="G513" s="250" t="n"/>
      <c r="H513" s="250" t="n"/>
      <c r="I513" s="250" t="n"/>
      <c r="J513" s="250" t="n"/>
      <c r="K513" s="250" t="n"/>
      <c r="L513" s="250" t="n"/>
      <c r="M513" s="250" t="n"/>
      <c r="N513" s="250" t="n"/>
      <c r="O513" s="250" t="n"/>
      <c r="P513" s="250" t="n"/>
      <c r="Q513" s="250" t="n"/>
      <c r="R513" s="250" t="n"/>
      <c r="S513" s="250" t="n"/>
      <c r="T513" s="250" t="n"/>
      <c r="U513" s="250" t="n"/>
      <c r="V513" s="250" t="n"/>
      <c r="W513" s="250" t="n"/>
      <c r="X513" s="250" t="n"/>
      <c r="Y513" s="250" t="n"/>
      <c r="Z513" s="250" t="n"/>
    </row>
    <row r="514">
      <c r="A514" s="250" t="n"/>
      <c r="B514" s="250" t="n"/>
      <c r="C514" s="250" t="n"/>
      <c r="D514" s="250" t="n"/>
      <c r="E514" s="250" t="n"/>
      <c r="F514" s="250" t="n"/>
      <c r="G514" s="250" t="n"/>
      <c r="H514" s="250" t="n"/>
      <c r="I514" s="250" t="n"/>
      <c r="J514" s="250" t="n"/>
      <c r="K514" s="250" t="n"/>
      <c r="L514" s="250" t="n"/>
      <c r="M514" s="250" t="n"/>
      <c r="N514" s="250" t="n"/>
      <c r="O514" s="250" t="n"/>
      <c r="P514" s="250" t="n"/>
      <c r="Q514" s="250" t="n"/>
      <c r="R514" s="250" t="n"/>
      <c r="S514" s="250" t="n"/>
      <c r="T514" s="250" t="n"/>
      <c r="U514" s="250" t="n"/>
      <c r="V514" s="250" t="n"/>
      <c r="W514" s="250" t="n"/>
      <c r="X514" s="250" t="n"/>
      <c r="Y514" s="250" t="n"/>
      <c r="Z514" s="250" t="n"/>
    </row>
    <row r="515">
      <c r="A515" s="250" t="n"/>
      <c r="B515" s="250" t="n"/>
      <c r="C515" s="250" t="n"/>
      <c r="D515" s="250" t="n"/>
      <c r="E515" s="250" t="n"/>
      <c r="F515" s="250" t="n"/>
      <c r="G515" s="250" t="n"/>
      <c r="H515" s="250" t="n"/>
      <c r="I515" s="250" t="n"/>
      <c r="J515" s="250" t="n"/>
      <c r="K515" s="250" t="n"/>
      <c r="L515" s="250" t="n"/>
      <c r="M515" s="250" t="n"/>
      <c r="N515" s="250" t="n"/>
      <c r="O515" s="250" t="n"/>
      <c r="P515" s="250" t="n"/>
      <c r="Q515" s="250" t="n"/>
      <c r="R515" s="250" t="n"/>
      <c r="S515" s="250" t="n"/>
      <c r="T515" s="250" t="n"/>
      <c r="U515" s="250" t="n"/>
      <c r="V515" s="250" t="n"/>
      <c r="W515" s="250" t="n"/>
      <c r="X515" s="250" t="n"/>
      <c r="Y515" s="250" t="n"/>
      <c r="Z515" s="250" t="n"/>
    </row>
    <row r="516">
      <c r="A516" s="250" t="n"/>
      <c r="B516" s="250" t="n"/>
      <c r="C516" s="250" t="n"/>
      <c r="D516" s="250" t="n"/>
      <c r="E516" s="250" t="n"/>
      <c r="F516" s="250" t="n"/>
      <c r="G516" s="250" t="n"/>
      <c r="H516" s="250" t="n"/>
      <c r="I516" s="250" t="n"/>
      <c r="J516" s="250" t="n"/>
      <c r="K516" s="250" t="n"/>
      <c r="L516" s="250" t="n"/>
      <c r="M516" s="250" t="n"/>
      <c r="N516" s="250" t="n"/>
      <c r="O516" s="250" t="n"/>
      <c r="P516" s="250" t="n"/>
      <c r="Q516" s="250" t="n"/>
      <c r="R516" s="250" t="n"/>
      <c r="S516" s="250" t="n"/>
      <c r="T516" s="250" t="n"/>
      <c r="U516" s="250" t="n"/>
      <c r="V516" s="250" t="n"/>
      <c r="W516" s="250" t="n"/>
      <c r="X516" s="250" t="n"/>
      <c r="Y516" s="250" t="n"/>
      <c r="Z516" s="250" t="n"/>
    </row>
    <row r="517">
      <c r="A517" s="250" t="n"/>
      <c r="B517" s="250" t="n"/>
      <c r="C517" s="250" t="n"/>
      <c r="D517" s="250" t="n"/>
      <c r="E517" s="250" t="n"/>
      <c r="F517" s="250" t="n"/>
      <c r="G517" s="250" t="n"/>
      <c r="H517" s="250" t="n"/>
      <c r="I517" s="250" t="n"/>
      <c r="J517" s="250" t="n"/>
      <c r="K517" s="250" t="n"/>
      <c r="L517" s="250" t="n"/>
      <c r="M517" s="250" t="n"/>
      <c r="N517" s="250" t="n"/>
      <c r="O517" s="250" t="n"/>
      <c r="P517" s="250" t="n"/>
      <c r="Q517" s="250" t="n"/>
      <c r="R517" s="250" t="n"/>
      <c r="S517" s="250" t="n"/>
      <c r="T517" s="250" t="n"/>
      <c r="U517" s="250" t="n"/>
      <c r="V517" s="250" t="n"/>
      <c r="W517" s="250" t="n"/>
      <c r="X517" s="250" t="n"/>
      <c r="Y517" s="250" t="n"/>
      <c r="Z517" s="250" t="n"/>
    </row>
    <row r="518">
      <c r="A518" s="250" t="n"/>
      <c r="B518" s="250" t="n"/>
      <c r="C518" s="250" t="n"/>
      <c r="D518" s="250" t="n"/>
      <c r="E518" s="250" t="n"/>
      <c r="F518" s="250" t="n"/>
      <c r="G518" s="250" t="n"/>
      <c r="H518" s="250" t="n"/>
      <c r="I518" s="250" t="n"/>
      <c r="J518" s="250" t="n"/>
      <c r="K518" s="250" t="n"/>
      <c r="L518" s="250" t="n"/>
      <c r="M518" s="250" t="n"/>
      <c r="N518" s="250" t="n"/>
      <c r="O518" s="250" t="n"/>
      <c r="P518" s="250" t="n"/>
      <c r="Q518" s="250" t="n"/>
      <c r="R518" s="250" t="n"/>
      <c r="S518" s="250" t="n"/>
      <c r="T518" s="250" t="n"/>
      <c r="U518" s="250" t="n"/>
      <c r="V518" s="250" t="n"/>
      <c r="W518" s="250" t="n"/>
      <c r="X518" s="250" t="n"/>
      <c r="Y518" s="250" t="n"/>
      <c r="Z518" s="250" t="n"/>
    </row>
    <row r="519">
      <c r="A519" s="250" t="n"/>
      <c r="B519" s="250" t="n"/>
      <c r="C519" s="250" t="n"/>
      <c r="D519" s="250" t="n"/>
      <c r="E519" s="250" t="n"/>
      <c r="F519" s="250" t="n"/>
      <c r="G519" s="250" t="n"/>
      <c r="H519" s="250" t="n"/>
      <c r="I519" s="250" t="n"/>
      <c r="J519" s="250" t="n"/>
      <c r="K519" s="250" t="n"/>
      <c r="L519" s="250" t="n"/>
      <c r="M519" s="250" t="n"/>
      <c r="N519" s="250" t="n"/>
      <c r="O519" s="250" t="n"/>
      <c r="P519" s="250" t="n"/>
      <c r="Q519" s="250" t="n"/>
      <c r="R519" s="250" t="n"/>
      <c r="S519" s="250" t="n"/>
      <c r="T519" s="250" t="n"/>
      <c r="U519" s="250" t="n"/>
      <c r="V519" s="250" t="n"/>
      <c r="W519" s="250" t="n"/>
      <c r="X519" s="250" t="n"/>
      <c r="Y519" s="250" t="n"/>
      <c r="Z519" s="250" t="n"/>
    </row>
    <row r="520">
      <c r="A520" s="250" t="n"/>
      <c r="B520" s="250" t="n"/>
      <c r="C520" s="250" t="n"/>
      <c r="D520" s="250" t="n"/>
      <c r="E520" s="250" t="n"/>
      <c r="F520" s="250" t="n"/>
      <c r="G520" s="250" t="n"/>
      <c r="H520" s="250" t="n"/>
      <c r="I520" s="250" t="n"/>
      <c r="J520" s="250" t="n"/>
      <c r="K520" s="250" t="n"/>
      <c r="L520" s="250" t="n"/>
      <c r="M520" s="250" t="n"/>
      <c r="N520" s="250" t="n"/>
      <c r="O520" s="250" t="n"/>
      <c r="P520" s="250" t="n"/>
      <c r="Q520" s="250" t="n"/>
      <c r="R520" s="250" t="n"/>
      <c r="S520" s="250" t="n"/>
      <c r="T520" s="250" t="n"/>
      <c r="U520" s="250" t="n"/>
      <c r="V520" s="250" t="n"/>
      <c r="W520" s="250" t="n"/>
      <c r="X520" s="250" t="n"/>
      <c r="Y520" s="250" t="n"/>
      <c r="Z520" s="250" t="n"/>
    </row>
    <row r="521">
      <c r="A521" s="250" t="n"/>
      <c r="B521" s="250" t="n"/>
      <c r="C521" s="250" t="n"/>
      <c r="D521" s="250" t="n"/>
      <c r="E521" s="250" t="n"/>
      <c r="F521" s="250" t="n"/>
      <c r="G521" s="250" t="n"/>
      <c r="H521" s="250" t="n"/>
      <c r="I521" s="250" t="n"/>
      <c r="J521" s="250" t="n"/>
      <c r="K521" s="250" t="n"/>
      <c r="L521" s="250" t="n"/>
      <c r="M521" s="250" t="n"/>
      <c r="N521" s="250" t="n"/>
      <c r="O521" s="250" t="n"/>
      <c r="P521" s="250" t="n"/>
      <c r="Q521" s="250" t="n"/>
      <c r="R521" s="250" t="n"/>
      <c r="S521" s="250" t="n"/>
      <c r="T521" s="250" t="n"/>
      <c r="U521" s="250" t="n"/>
      <c r="V521" s="250" t="n"/>
      <c r="W521" s="250" t="n"/>
      <c r="X521" s="250" t="n"/>
      <c r="Y521" s="250" t="n"/>
      <c r="Z521" s="250" t="n"/>
    </row>
    <row r="522">
      <c r="A522" s="250" t="n"/>
      <c r="B522" s="250" t="n"/>
      <c r="C522" s="250" t="n"/>
      <c r="D522" s="250" t="n"/>
      <c r="E522" s="250" t="n"/>
      <c r="F522" s="250" t="n"/>
      <c r="G522" s="250" t="n"/>
      <c r="H522" s="250" t="n"/>
      <c r="I522" s="250" t="n"/>
      <c r="J522" s="250" t="n"/>
      <c r="K522" s="250" t="n"/>
      <c r="L522" s="250" t="n"/>
      <c r="M522" s="250" t="n"/>
      <c r="N522" s="250" t="n"/>
      <c r="O522" s="250" t="n"/>
      <c r="P522" s="250" t="n"/>
      <c r="Q522" s="250" t="n"/>
      <c r="R522" s="250" t="n"/>
      <c r="S522" s="250" t="n"/>
      <c r="T522" s="250" t="n"/>
      <c r="U522" s="250" t="n"/>
      <c r="V522" s="250" t="n"/>
      <c r="W522" s="250" t="n"/>
      <c r="X522" s="250" t="n"/>
      <c r="Y522" s="250" t="n"/>
      <c r="Z522" s="250" t="n"/>
    </row>
    <row r="523">
      <c r="A523" s="250" t="n"/>
      <c r="B523" s="250" t="n"/>
      <c r="C523" s="250" t="n"/>
      <c r="D523" s="250" t="n"/>
      <c r="E523" s="250" t="n"/>
      <c r="F523" s="250" t="n"/>
      <c r="G523" s="250" t="n"/>
      <c r="H523" s="250" t="n"/>
      <c r="I523" s="250" t="n"/>
      <c r="J523" s="250" t="n"/>
      <c r="K523" s="250" t="n"/>
      <c r="L523" s="250" t="n"/>
      <c r="M523" s="250" t="n"/>
      <c r="N523" s="250" t="n"/>
      <c r="O523" s="250" t="n"/>
      <c r="P523" s="250" t="n"/>
      <c r="Q523" s="250" t="n"/>
      <c r="R523" s="250" t="n"/>
      <c r="S523" s="250" t="n"/>
      <c r="T523" s="250" t="n"/>
      <c r="U523" s="250" t="n"/>
      <c r="V523" s="250" t="n"/>
      <c r="W523" s="250" t="n"/>
      <c r="X523" s="250" t="n"/>
      <c r="Y523" s="250" t="n"/>
      <c r="Z523" s="250" t="n"/>
    </row>
    <row r="524">
      <c r="A524" s="250" t="n"/>
      <c r="B524" s="250" t="n"/>
      <c r="C524" s="250" t="n"/>
      <c r="D524" s="250" t="n"/>
      <c r="E524" s="250" t="n"/>
      <c r="F524" s="250" t="n"/>
      <c r="G524" s="250" t="n"/>
      <c r="H524" s="250" t="n"/>
      <c r="I524" s="250" t="n"/>
      <c r="J524" s="250" t="n"/>
      <c r="K524" s="250" t="n"/>
      <c r="L524" s="250" t="n"/>
      <c r="M524" s="250" t="n"/>
      <c r="N524" s="250" t="n"/>
      <c r="O524" s="250" t="n"/>
      <c r="P524" s="250" t="n"/>
      <c r="Q524" s="250" t="n"/>
      <c r="R524" s="250" t="n"/>
      <c r="S524" s="250" t="n"/>
      <c r="T524" s="250" t="n"/>
      <c r="U524" s="250" t="n"/>
      <c r="V524" s="250" t="n"/>
      <c r="W524" s="250" t="n"/>
      <c r="X524" s="250" t="n"/>
      <c r="Y524" s="250" t="n"/>
      <c r="Z524" s="250" t="n"/>
    </row>
    <row r="525">
      <c r="A525" s="250" t="n"/>
      <c r="B525" s="250" t="n"/>
      <c r="C525" s="250" t="n"/>
      <c r="D525" s="250" t="n"/>
      <c r="E525" s="250" t="n"/>
      <c r="F525" s="250" t="n"/>
      <c r="G525" s="250" t="n"/>
      <c r="H525" s="250" t="n"/>
      <c r="I525" s="250" t="n"/>
      <c r="J525" s="250" t="n"/>
      <c r="K525" s="250" t="n"/>
      <c r="L525" s="250" t="n"/>
      <c r="M525" s="250" t="n"/>
      <c r="N525" s="250" t="n"/>
      <c r="O525" s="250" t="n"/>
      <c r="P525" s="250" t="n"/>
      <c r="Q525" s="250" t="n"/>
      <c r="R525" s="250" t="n"/>
      <c r="S525" s="250" t="n"/>
      <c r="T525" s="250" t="n"/>
      <c r="U525" s="250" t="n"/>
      <c r="V525" s="250" t="n"/>
      <c r="W525" s="250" t="n"/>
      <c r="X525" s="250" t="n"/>
      <c r="Y525" s="250" t="n"/>
      <c r="Z525" s="250" t="n"/>
    </row>
    <row r="526">
      <c r="A526" s="250" t="n"/>
      <c r="B526" s="250" t="n"/>
      <c r="C526" s="250" t="n"/>
      <c r="D526" s="250" t="n"/>
      <c r="E526" s="250" t="n"/>
      <c r="F526" s="250" t="n"/>
      <c r="G526" s="250" t="n"/>
      <c r="H526" s="250" t="n"/>
      <c r="I526" s="250" t="n"/>
      <c r="J526" s="250" t="n"/>
      <c r="K526" s="250" t="n"/>
      <c r="L526" s="250" t="n"/>
      <c r="M526" s="250" t="n"/>
      <c r="N526" s="250" t="n"/>
      <c r="O526" s="250" t="n"/>
      <c r="P526" s="250" t="n"/>
      <c r="Q526" s="250" t="n"/>
      <c r="R526" s="250" t="n"/>
      <c r="S526" s="250" t="n"/>
      <c r="T526" s="250" t="n"/>
      <c r="U526" s="250" t="n"/>
      <c r="V526" s="250" t="n"/>
      <c r="W526" s="250" t="n"/>
      <c r="X526" s="250" t="n"/>
      <c r="Y526" s="250" t="n"/>
      <c r="Z526" s="250" t="n"/>
    </row>
    <row r="527">
      <c r="A527" s="250" t="n"/>
      <c r="B527" s="250" t="n"/>
      <c r="C527" s="250" t="n"/>
      <c r="D527" s="250" t="n"/>
      <c r="E527" s="250" t="n"/>
      <c r="F527" s="250" t="n"/>
      <c r="G527" s="250" t="n"/>
      <c r="H527" s="250" t="n"/>
      <c r="I527" s="250" t="n"/>
      <c r="J527" s="250" t="n"/>
      <c r="K527" s="250" t="n"/>
      <c r="L527" s="250" t="n"/>
      <c r="M527" s="250" t="n"/>
      <c r="N527" s="250" t="n"/>
      <c r="O527" s="250" t="n"/>
      <c r="P527" s="250" t="n"/>
      <c r="Q527" s="250" t="n"/>
      <c r="R527" s="250" t="n"/>
      <c r="S527" s="250" t="n"/>
      <c r="T527" s="250" t="n"/>
      <c r="U527" s="250" t="n"/>
      <c r="V527" s="250" t="n"/>
      <c r="W527" s="250" t="n"/>
      <c r="X527" s="250" t="n"/>
      <c r="Y527" s="250" t="n"/>
      <c r="Z527" s="250" t="n"/>
    </row>
    <row r="528">
      <c r="A528" s="250" t="n"/>
      <c r="B528" s="250" t="n"/>
      <c r="C528" s="250" t="n"/>
      <c r="D528" s="250" t="n"/>
      <c r="E528" s="250" t="n"/>
      <c r="F528" s="250" t="n"/>
      <c r="G528" s="250" t="n"/>
      <c r="H528" s="250" t="n"/>
      <c r="I528" s="250" t="n"/>
      <c r="J528" s="250" t="n"/>
      <c r="K528" s="250" t="n"/>
      <c r="L528" s="250" t="n"/>
      <c r="M528" s="250" t="n"/>
      <c r="N528" s="250" t="n"/>
      <c r="O528" s="250" t="n"/>
      <c r="P528" s="250" t="n"/>
      <c r="Q528" s="250" t="n"/>
      <c r="R528" s="250" t="n"/>
      <c r="S528" s="250" t="n"/>
      <c r="T528" s="250" t="n"/>
      <c r="U528" s="250" t="n"/>
      <c r="V528" s="250" t="n"/>
      <c r="W528" s="250" t="n"/>
      <c r="X528" s="250" t="n"/>
      <c r="Y528" s="250" t="n"/>
      <c r="Z528" s="250" t="n"/>
    </row>
    <row r="529">
      <c r="A529" s="250" t="n"/>
      <c r="B529" s="250" t="n"/>
      <c r="C529" s="250" t="n"/>
      <c r="D529" s="250" t="n"/>
      <c r="E529" s="250" t="n"/>
      <c r="F529" s="250" t="n"/>
      <c r="G529" s="250" t="n"/>
      <c r="H529" s="250" t="n"/>
      <c r="I529" s="250" t="n"/>
      <c r="J529" s="250" t="n"/>
      <c r="K529" s="250" t="n"/>
      <c r="L529" s="250" t="n"/>
      <c r="M529" s="250" t="n"/>
      <c r="N529" s="250" t="n"/>
      <c r="O529" s="250" t="n"/>
      <c r="P529" s="250" t="n"/>
      <c r="Q529" s="250" t="n"/>
      <c r="R529" s="250" t="n"/>
      <c r="S529" s="250" t="n"/>
      <c r="T529" s="250" t="n"/>
      <c r="U529" s="250" t="n"/>
      <c r="V529" s="250" t="n"/>
      <c r="W529" s="250" t="n"/>
      <c r="X529" s="250" t="n"/>
      <c r="Y529" s="250" t="n"/>
      <c r="Z529" s="250" t="n"/>
    </row>
    <row r="530">
      <c r="A530" s="250" t="n"/>
      <c r="B530" s="250" t="n"/>
      <c r="C530" s="250" t="n"/>
      <c r="D530" s="250" t="n"/>
      <c r="E530" s="250" t="n"/>
      <c r="F530" s="250" t="n"/>
      <c r="G530" s="250" t="n"/>
      <c r="H530" s="250" t="n"/>
      <c r="I530" s="250" t="n"/>
      <c r="J530" s="250" t="n"/>
      <c r="K530" s="250" t="n"/>
      <c r="L530" s="250" t="n"/>
      <c r="M530" s="250" t="n"/>
      <c r="N530" s="250" t="n"/>
      <c r="O530" s="250" t="n"/>
      <c r="P530" s="250" t="n"/>
      <c r="Q530" s="250" t="n"/>
      <c r="R530" s="250" t="n"/>
      <c r="S530" s="250" t="n"/>
      <c r="T530" s="250" t="n"/>
      <c r="U530" s="250" t="n"/>
      <c r="V530" s="250" t="n"/>
      <c r="W530" s="250" t="n"/>
      <c r="X530" s="250" t="n"/>
      <c r="Y530" s="250" t="n"/>
      <c r="Z530" s="250" t="n"/>
    </row>
    <row r="531">
      <c r="A531" s="250" t="n"/>
      <c r="B531" s="250" t="n"/>
      <c r="C531" s="250" t="n"/>
      <c r="D531" s="250" t="n"/>
      <c r="E531" s="250" t="n"/>
      <c r="F531" s="250" t="n"/>
      <c r="G531" s="250" t="n"/>
      <c r="H531" s="250" t="n"/>
      <c r="I531" s="250" t="n"/>
      <c r="J531" s="250" t="n"/>
      <c r="K531" s="250" t="n"/>
      <c r="L531" s="250" t="n"/>
      <c r="M531" s="250" t="n"/>
      <c r="N531" s="250" t="n"/>
      <c r="O531" s="250" t="n"/>
      <c r="P531" s="250" t="n"/>
      <c r="Q531" s="250" t="n"/>
      <c r="R531" s="250" t="n"/>
      <c r="S531" s="250" t="n"/>
      <c r="T531" s="250" t="n"/>
      <c r="U531" s="250" t="n"/>
      <c r="V531" s="250" t="n"/>
      <c r="W531" s="250" t="n"/>
      <c r="X531" s="250" t="n"/>
      <c r="Y531" s="250" t="n"/>
      <c r="Z531" s="250" t="n"/>
    </row>
    <row r="532">
      <c r="A532" s="250" t="n"/>
      <c r="B532" s="250" t="n"/>
      <c r="C532" s="250" t="n"/>
      <c r="D532" s="250" t="n"/>
      <c r="E532" s="250" t="n"/>
      <c r="F532" s="250" t="n"/>
      <c r="G532" s="250" t="n"/>
      <c r="H532" s="250" t="n"/>
      <c r="I532" s="250" t="n"/>
      <c r="J532" s="250" t="n"/>
      <c r="K532" s="250" t="n"/>
      <c r="L532" s="250" t="n"/>
      <c r="M532" s="250" t="n"/>
      <c r="N532" s="250" t="n"/>
      <c r="O532" s="250" t="n"/>
      <c r="P532" s="250" t="n"/>
      <c r="Q532" s="250" t="n"/>
      <c r="R532" s="250" t="n"/>
      <c r="S532" s="250" t="n"/>
      <c r="T532" s="250" t="n"/>
      <c r="U532" s="250" t="n"/>
      <c r="V532" s="250" t="n"/>
      <c r="W532" s="250" t="n"/>
      <c r="X532" s="250" t="n"/>
      <c r="Y532" s="250" t="n"/>
      <c r="Z532" s="250" t="n"/>
    </row>
    <row r="533">
      <c r="A533" s="250" t="n"/>
      <c r="B533" s="250" t="n"/>
      <c r="C533" s="250" t="n"/>
      <c r="D533" s="250" t="n"/>
      <c r="E533" s="250" t="n"/>
      <c r="F533" s="250" t="n"/>
      <c r="G533" s="250" t="n"/>
      <c r="H533" s="250" t="n"/>
      <c r="I533" s="250" t="n"/>
      <c r="J533" s="250" t="n"/>
      <c r="K533" s="250" t="n"/>
      <c r="L533" s="250" t="n"/>
      <c r="M533" s="250" t="n"/>
      <c r="N533" s="250" t="n"/>
      <c r="O533" s="250" t="n"/>
      <c r="P533" s="250" t="n"/>
      <c r="Q533" s="250" t="n"/>
      <c r="R533" s="250" t="n"/>
      <c r="S533" s="250" t="n"/>
      <c r="T533" s="250" t="n"/>
      <c r="U533" s="250" t="n"/>
      <c r="V533" s="250" t="n"/>
      <c r="W533" s="250" t="n"/>
      <c r="X533" s="250" t="n"/>
      <c r="Y533" s="250" t="n"/>
      <c r="Z533" s="250" t="n"/>
    </row>
    <row r="534">
      <c r="A534" s="250" t="n"/>
      <c r="B534" s="250" t="n"/>
      <c r="C534" s="250" t="n"/>
      <c r="D534" s="250" t="n"/>
      <c r="E534" s="250" t="n"/>
      <c r="F534" s="250" t="n"/>
      <c r="G534" s="250" t="n"/>
      <c r="H534" s="250" t="n"/>
      <c r="I534" s="250" t="n"/>
      <c r="J534" s="250" t="n"/>
      <c r="K534" s="250" t="n"/>
      <c r="L534" s="250" t="n"/>
      <c r="M534" s="250" t="n"/>
      <c r="N534" s="250" t="n"/>
      <c r="O534" s="250" t="n"/>
      <c r="P534" s="250" t="n"/>
      <c r="Q534" s="250" t="n"/>
      <c r="R534" s="250" t="n"/>
      <c r="S534" s="250" t="n"/>
      <c r="T534" s="250" t="n"/>
      <c r="U534" s="250" t="n"/>
      <c r="V534" s="250" t="n"/>
      <c r="W534" s="250" t="n"/>
      <c r="X534" s="250" t="n"/>
      <c r="Y534" s="250" t="n"/>
      <c r="Z534" s="250" t="n"/>
    </row>
    <row r="535">
      <c r="A535" s="250" t="n"/>
      <c r="B535" s="250" t="n"/>
      <c r="C535" s="250" t="n"/>
      <c r="D535" s="250" t="n"/>
      <c r="E535" s="250" t="n"/>
      <c r="F535" s="250" t="n"/>
      <c r="G535" s="250" t="n"/>
      <c r="H535" s="250" t="n"/>
      <c r="I535" s="250" t="n"/>
      <c r="J535" s="250" t="n"/>
      <c r="K535" s="250" t="n"/>
      <c r="L535" s="250" t="n"/>
      <c r="M535" s="250" t="n"/>
      <c r="N535" s="250" t="n"/>
      <c r="O535" s="250" t="n"/>
      <c r="P535" s="250" t="n"/>
      <c r="Q535" s="250" t="n"/>
      <c r="R535" s="250" t="n"/>
      <c r="S535" s="250" t="n"/>
      <c r="T535" s="250" t="n"/>
      <c r="U535" s="250" t="n"/>
      <c r="V535" s="250" t="n"/>
      <c r="W535" s="250" t="n"/>
      <c r="X535" s="250" t="n"/>
      <c r="Y535" s="250" t="n"/>
      <c r="Z535" s="250" t="n"/>
    </row>
    <row r="536">
      <c r="A536" s="250" t="n"/>
      <c r="B536" s="250" t="n"/>
      <c r="C536" s="250" t="n"/>
      <c r="D536" s="250" t="n"/>
      <c r="E536" s="250" t="n"/>
      <c r="F536" s="250" t="n"/>
      <c r="G536" s="250" t="n"/>
      <c r="H536" s="250" t="n"/>
      <c r="I536" s="250" t="n"/>
      <c r="J536" s="250" t="n"/>
      <c r="K536" s="250" t="n"/>
      <c r="L536" s="250" t="n"/>
      <c r="M536" s="250" t="n"/>
      <c r="N536" s="250" t="n"/>
      <c r="O536" s="250" t="n"/>
      <c r="P536" s="250" t="n"/>
      <c r="Q536" s="250" t="n"/>
      <c r="R536" s="250" t="n"/>
      <c r="S536" s="250" t="n"/>
      <c r="T536" s="250" t="n"/>
      <c r="U536" s="250" t="n"/>
      <c r="V536" s="250" t="n"/>
      <c r="W536" s="250" t="n"/>
      <c r="X536" s="250" t="n"/>
      <c r="Y536" s="250" t="n"/>
      <c r="Z536" s="250" t="n"/>
    </row>
    <row r="537">
      <c r="A537" s="250" t="n"/>
      <c r="B537" s="250" t="n"/>
      <c r="C537" s="250" t="n"/>
      <c r="D537" s="250" t="n"/>
      <c r="E537" s="250" t="n"/>
      <c r="F537" s="250" t="n"/>
      <c r="G537" s="250" t="n"/>
      <c r="H537" s="250" t="n"/>
      <c r="I537" s="250" t="n"/>
      <c r="J537" s="250" t="n"/>
      <c r="K537" s="250" t="n"/>
      <c r="L537" s="250" t="n"/>
      <c r="M537" s="250" t="n"/>
      <c r="N537" s="250" t="n"/>
      <c r="O537" s="250" t="n"/>
      <c r="P537" s="250" t="n"/>
      <c r="Q537" s="250" t="n"/>
      <c r="R537" s="250" t="n"/>
      <c r="S537" s="250" t="n"/>
      <c r="T537" s="250" t="n"/>
      <c r="U537" s="250" t="n"/>
      <c r="V537" s="250" t="n"/>
      <c r="W537" s="250" t="n"/>
      <c r="X537" s="250" t="n"/>
      <c r="Y537" s="250" t="n"/>
      <c r="Z537" s="250" t="n"/>
    </row>
    <row r="538">
      <c r="A538" s="250" t="n"/>
      <c r="B538" s="250" t="n"/>
      <c r="C538" s="250" t="n"/>
      <c r="D538" s="250" t="n"/>
      <c r="E538" s="250" t="n"/>
      <c r="F538" s="250" t="n"/>
      <c r="G538" s="250" t="n"/>
      <c r="H538" s="250" t="n"/>
      <c r="I538" s="250" t="n"/>
      <c r="J538" s="250" t="n"/>
      <c r="K538" s="250" t="n"/>
      <c r="L538" s="250" t="n"/>
      <c r="M538" s="250" t="n"/>
      <c r="N538" s="250" t="n"/>
      <c r="O538" s="250" t="n"/>
      <c r="P538" s="250" t="n"/>
      <c r="Q538" s="250" t="n"/>
      <c r="R538" s="250" t="n"/>
      <c r="S538" s="250" t="n"/>
      <c r="T538" s="250" t="n"/>
      <c r="U538" s="250" t="n"/>
      <c r="V538" s="250" t="n"/>
      <c r="W538" s="250" t="n"/>
      <c r="X538" s="250" t="n"/>
      <c r="Y538" s="250" t="n"/>
      <c r="Z538" s="250" t="n"/>
    </row>
    <row r="539">
      <c r="A539" s="250" t="n"/>
      <c r="B539" s="250" t="n"/>
      <c r="C539" s="250" t="n"/>
      <c r="D539" s="250" t="n"/>
      <c r="E539" s="250" t="n"/>
      <c r="F539" s="250" t="n"/>
      <c r="G539" s="250" t="n"/>
      <c r="H539" s="250" t="n"/>
      <c r="I539" s="250" t="n"/>
      <c r="J539" s="250" t="n"/>
      <c r="K539" s="250" t="n"/>
      <c r="L539" s="250" t="n"/>
      <c r="M539" s="250" t="n"/>
      <c r="N539" s="250" t="n"/>
      <c r="O539" s="250" t="n"/>
      <c r="P539" s="250" t="n"/>
      <c r="Q539" s="250" t="n"/>
      <c r="R539" s="250" t="n"/>
      <c r="S539" s="250" t="n"/>
      <c r="T539" s="250" t="n"/>
      <c r="U539" s="250" t="n"/>
      <c r="V539" s="250" t="n"/>
      <c r="W539" s="250" t="n"/>
      <c r="X539" s="250" t="n"/>
      <c r="Y539" s="250" t="n"/>
      <c r="Z539" s="250" t="n"/>
    </row>
    <row r="540">
      <c r="A540" s="250" t="n"/>
      <c r="B540" s="250" t="n"/>
      <c r="C540" s="250" t="n"/>
      <c r="D540" s="250" t="n"/>
      <c r="E540" s="250" t="n"/>
      <c r="F540" s="250" t="n"/>
      <c r="G540" s="250" t="n"/>
      <c r="H540" s="250" t="n"/>
      <c r="I540" s="250" t="n"/>
      <c r="J540" s="250" t="n"/>
      <c r="K540" s="250" t="n"/>
      <c r="L540" s="250" t="n"/>
      <c r="M540" s="250" t="n"/>
      <c r="N540" s="250" t="n"/>
      <c r="O540" s="250" t="n"/>
      <c r="P540" s="250" t="n"/>
      <c r="Q540" s="250" t="n"/>
      <c r="R540" s="250" t="n"/>
      <c r="S540" s="250" t="n"/>
      <c r="T540" s="250" t="n"/>
      <c r="U540" s="250" t="n"/>
      <c r="V540" s="250" t="n"/>
      <c r="W540" s="250" t="n"/>
      <c r="X540" s="250" t="n"/>
      <c r="Y540" s="250" t="n"/>
      <c r="Z540" s="250" t="n"/>
    </row>
    <row r="541">
      <c r="A541" s="250" t="n"/>
      <c r="B541" s="250" t="n"/>
      <c r="C541" s="250" t="n"/>
      <c r="D541" s="250" t="n"/>
      <c r="E541" s="250" t="n"/>
      <c r="F541" s="250" t="n"/>
      <c r="G541" s="250" t="n"/>
      <c r="H541" s="250" t="n"/>
      <c r="I541" s="250" t="n"/>
      <c r="J541" s="250" t="n"/>
      <c r="K541" s="250" t="n"/>
      <c r="L541" s="250" t="n"/>
      <c r="M541" s="250" t="n"/>
      <c r="N541" s="250" t="n"/>
      <c r="O541" s="250" t="n"/>
      <c r="P541" s="250" t="n"/>
      <c r="Q541" s="250" t="n"/>
      <c r="R541" s="250" t="n"/>
      <c r="S541" s="250" t="n"/>
      <c r="T541" s="250" t="n"/>
      <c r="U541" s="250" t="n"/>
      <c r="V541" s="250" t="n"/>
      <c r="W541" s="250" t="n"/>
      <c r="X541" s="250" t="n"/>
      <c r="Y541" s="250" t="n"/>
      <c r="Z541" s="250" t="n"/>
    </row>
    <row r="542">
      <c r="A542" s="250" t="n"/>
      <c r="B542" s="250" t="n"/>
      <c r="C542" s="250" t="n"/>
      <c r="D542" s="250" t="n"/>
      <c r="E542" s="250" t="n"/>
      <c r="F542" s="250" t="n"/>
      <c r="G542" s="250" t="n"/>
      <c r="H542" s="250" t="n"/>
      <c r="I542" s="250" t="n"/>
      <c r="J542" s="250" t="n"/>
      <c r="K542" s="250" t="n"/>
      <c r="L542" s="250" t="n"/>
      <c r="M542" s="250" t="n"/>
      <c r="N542" s="250" t="n"/>
      <c r="O542" s="250" t="n"/>
      <c r="P542" s="250" t="n"/>
      <c r="Q542" s="250" t="n"/>
      <c r="R542" s="250" t="n"/>
      <c r="S542" s="250" t="n"/>
      <c r="T542" s="250" t="n"/>
      <c r="U542" s="250" t="n"/>
      <c r="V542" s="250" t="n"/>
      <c r="W542" s="250" t="n"/>
      <c r="X542" s="250" t="n"/>
      <c r="Y542" s="250" t="n"/>
      <c r="Z542" s="250" t="n"/>
    </row>
    <row r="543">
      <c r="A543" s="250" t="n"/>
      <c r="B543" s="250" t="n"/>
      <c r="C543" s="250" t="n"/>
      <c r="D543" s="250" t="n"/>
      <c r="E543" s="250" t="n"/>
      <c r="F543" s="250" t="n"/>
      <c r="G543" s="250" t="n"/>
      <c r="H543" s="250" t="n"/>
      <c r="I543" s="250" t="n"/>
      <c r="J543" s="250" t="n"/>
      <c r="K543" s="250" t="n"/>
      <c r="L543" s="250" t="n"/>
      <c r="M543" s="250" t="n"/>
      <c r="N543" s="250" t="n"/>
      <c r="O543" s="250" t="n"/>
      <c r="P543" s="250" t="n"/>
      <c r="Q543" s="250" t="n"/>
      <c r="R543" s="250" t="n"/>
      <c r="S543" s="250" t="n"/>
      <c r="T543" s="250" t="n"/>
      <c r="U543" s="250" t="n"/>
      <c r="V543" s="250" t="n"/>
      <c r="W543" s="250" t="n"/>
      <c r="X543" s="250" t="n"/>
      <c r="Y543" s="250" t="n"/>
      <c r="Z543" s="250" t="n"/>
    </row>
    <row r="544">
      <c r="A544" s="250" t="n"/>
      <c r="B544" s="250" t="n"/>
      <c r="C544" s="250" t="n"/>
      <c r="D544" s="250" t="n"/>
      <c r="E544" s="250" t="n"/>
      <c r="F544" s="250" t="n"/>
      <c r="G544" s="250" t="n"/>
      <c r="H544" s="250" t="n"/>
      <c r="I544" s="250" t="n"/>
      <c r="J544" s="250" t="n"/>
      <c r="K544" s="250" t="n"/>
      <c r="L544" s="250" t="n"/>
      <c r="M544" s="250" t="n"/>
      <c r="N544" s="250" t="n"/>
      <c r="O544" s="250" t="n"/>
      <c r="P544" s="250" t="n"/>
      <c r="Q544" s="250" t="n"/>
      <c r="R544" s="250" t="n"/>
      <c r="S544" s="250" t="n"/>
      <c r="T544" s="250" t="n"/>
      <c r="U544" s="250" t="n"/>
      <c r="V544" s="250" t="n"/>
      <c r="W544" s="250" t="n"/>
      <c r="X544" s="250" t="n"/>
      <c r="Y544" s="250" t="n"/>
      <c r="Z544" s="250" t="n"/>
    </row>
    <row r="545">
      <c r="A545" s="250" t="n"/>
      <c r="B545" s="250" t="n"/>
      <c r="C545" s="250" t="n"/>
      <c r="D545" s="250" t="n"/>
      <c r="E545" s="250" t="n"/>
      <c r="F545" s="250" t="n"/>
      <c r="G545" s="250" t="n"/>
      <c r="H545" s="250" t="n"/>
      <c r="I545" s="250" t="n"/>
      <c r="J545" s="250" t="n"/>
      <c r="K545" s="250" t="n"/>
      <c r="L545" s="250" t="n"/>
      <c r="M545" s="250" t="n"/>
      <c r="N545" s="250" t="n"/>
      <c r="O545" s="250" t="n"/>
      <c r="P545" s="250" t="n"/>
      <c r="Q545" s="250" t="n"/>
      <c r="R545" s="250" t="n"/>
      <c r="S545" s="250" t="n"/>
      <c r="T545" s="250" t="n"/>
      <c r="U545" s="250" t="n"/>
      <c r="V545" s="250" t="n"/>
      <c r="W545" s="250" t="n"/>
      <c r="X545" s="250" t="n"/>
      <c r="Y545" s="250" t="n"/>
      <c r="Z545" s="250" t="n"/>
    </row>
    <row r="546">
      <c r="A546" s="250" t="n"/>
      <c r="B546" s="250" t="n"/>
      <c r="C546" s="250" t="n"/>
      <c r="D546" s="250" t="n"/>
      <c r="E546" s="250" t="n"/>
      <c r="F546" s="250" t="n"/>
      <c r="G546" s="250" t="n"/>
      <c r="H546" s="250" t="n"/>
      <c r="I546" s="250" t="n"/>
      <c r="J546" s="250" t="n"/>
      <c r="K546" s="250" t="n"/>
      <c r="L546" s="250" t="n"/>
      <c r="M546" s="250" t="n"/>
      <c r="N546" s="250" t="n"/>
      <c r="O546" s="250" t="n"/>
      <c r="P546" s="250" t="n"/>
      <c r="Q546" s="250" t="n"/>
      <c r="R546" s="250" t="n"/>
      <c r="S546" s="250" t="n"/>
      <c r="T546" s="250" t="n"/>
      <c r="U546" s="250" t="n"/>
      <c r="V546" s="250" t="n"/>
      <c r="W546" s="250" t="n"/>
      <c r="X546" s="250" t="n"/>
      <c r="Y546" s="250" t="n"/>
      <c r="Z546" s="250" t="n"/>
    </row>
    <row r="547">
      <c r="A547" s="250" t="n"/>
      <c r="B547" s="250" t="n"/>
      <c r="C547" s="250" t="n"/>
      <c r="D547" s="250" t="n"/>
      <c r="E547" s="250" t="n"/>
      <c r="F547" s="250" t="n"/>
      <c r="G547" s="250" t="n"/>
      <c r="H547" s="250" t="n"/>
      <c r="I547" s="250" t="n"/>
      <c r="J547" s="250" t="n"/>
      <c r="K547" s="250" t="n"/>
      <c r="L547" s="250" t="n"/>
      <c r="M547" s="250" t="n"/>
      <c r="N547" s="250" t="n"/>
      <c r="O547" s="250" t="n"/>
      <c r="P547" s="250" t="n"/>
      <c r="Q547" s="250" t="n"/>
      <c r="R547" s="250" t="n"/>
      <c r="S547" s="250" t="n"/>
      <c r="T547" s="250" t="n"/>
      <c r="U547" s="250" t="n"/>
      <c r="V547" s="250" t="n"/>
      <c r="W547" s="250" t="n"/>
      <c r="X547" s="250" t="n"/>
      <c r="Y547" s="250" t="n"/>
      <c r="Z547" s="250" t="n"/>
    </row>
    <row r="548">
      <c r="A548" s="250" t="n"/>
      <c r="B548" s="250" t="n"/>
      <c r="C548" s="250" t="n"/>
      <c r="D548" s="250" t="n"/>
      <c r="E548" s="250" t="n"/>
      <c r="F548" s="250" t="n"/>
      <c r="G548" s="250" t="n"/>
      <c r="H548" s="250" t="n"/>
      <c r="I548" s="250" t="n"/>
      <c r="J548" s="250" t="n"/>
      <c r="K548" s="250" t="n"/>
      <c r="L548" s="250" t="n"/>
      <c r="M548" s="250" t="n"/>
      <c r="N548" s="250" t="n"/>
      <c r="O548" s="250" t="n"/>
      <c r="P548" s="250" t="n"/>
      <c r="Q548" s="250" t="n"/>
      <c r="R548" s="250" t="n"/>
      <c r="S548" s="250" t="n"/>
      <c r="T548" s="250" t="n"/>
      <c r="U548" s="250" t="n"/>
      <c r="V548" s="250" t="n"/>
      <c r="W548" s="250" t="n"/>
      <c r="X548" s="250" t="n"/>
      <c r="Y548" s="250" t="n"/>
      <c r="Z548" s="250" t="n"/>
    </row>
    <row r="549">
      <c r="A549" s="250" t="n"/>
      <c r="B549" s="250" t="n"/>
      <c r="C549" s="250" t="n"/>
      <c r="D549" s="250" t="n"/>
      <c r="E549" s="250" t="n"/>
      <c r="F549" s="250" t="n"/>
      <c r="G549" s="250" t="n"/>
      <c r="H549" s="250" t="n"/>
      <c r="I549" s="250" t="n"/>
      <c r="J549" s="250" t="n"/>
      <c r="K549" s="250" t="n"/>
      <c r="L549" s="250" t="n"/>
      <c r="M549" s="250" t="n"/>
      <c r="N549" s="250" t="n"/>
      <c r="O549" s="250" t="n"/>
      <c r="P549" s="250" t="n"/>
      <c r="Q549" s="250" t="n"/>
      <c r="R549" s="250" t="n"/>
      <c r="S549" s="250" t="n"/>
      <c r="T549" s="250" t="n"/>
      <c r="U549" s="250" t="n"/>
      <c r="V549" s="250" t="n"/>
      <c r="W549" s="250" t="n"/>
      <c r="X549" s="250" t="n"/>
      <c r="Y549" s="250" t="n"/>
      <c r="Z549" s="250" t="n"/>
    </row>
    <row r="550">
      <c r="A550" s="250" t="n"/>
      <c r="B550" s="250" t="n"/>
      <c r="C550" s="250" t="n"/>
      <c r="D550" s="250" t="n"/>
      <c r="E550" s="250" t="n"/>
      <c r="F550" s="250" t="n"/>
      <c r="G550" s="250" t="n"/>
      <c r="H550" s="250" t="n"/>
      <c r="I550" s="250" t="n"/>
      <c r="J550" s="250" t="n"/>
      <c r="K550" s="250" t="n"/>
      <c r="L550" s="250" t="n"/>
      <c r="M550" s="250" t="n"/>
      <c r="N550" s="250" t="n"/>
      <c r="O550" s="250" t="n"/>
      <c r="P550" s="250" t="n"/>
      <c r="Q550" s="250" t="n"/>
      <c r="R550" s="250" t="n"/>
      <c r="S550" s="250" t="n"/>
      <c r="T550" s="250" t="n"/>
      <c r="U550" s="250" t="n"/>
      <c r="V550" s="250" t="n"/>
      <c r="W550" s="250" t="n"/>
      <c r="X550" s="250" t="n"/>
      <c r="Y550" s="250" t="n"/>
      <c r="Z550" s="250" t="n"/>
    </row>
    <row r="551">
      <c r="A551" s="250" t="n"/>
      <c r="B551" s="250" t="n"/>
      <c r="C551" s="250" t="n"/>
      <c r="D551" s="250" t="n"/>
      <c r="E551" s="250" t="n"/>
      <c r="F551" s="250" t="n"/>
      <c r="G551" s="250" t="n"/>
      <c r="H551" s="250" t="n"/>
      <c r="I551" s="250" t="n"/>
      <c r="J551" s="250" t="n"/>
      <c r="K551" s="250" t="n"/>
      <c r="L551" s="250" t="n"/>
      <c r="M551" s="250" t="n"/>
      <c r="N551" s="250" t="n"/>
      <c r="O551" s="250" t="n"/>
      <c r="P551" s="250" t="n"/>
      <c r="Q551" s="250" t="n"/>
      <c r="R551" s="250" t="n"/>
      <c r="S551" s="250" t="n"/>
      <c r="T551" s="250" t="n"/>
      <c r="U551" s="250" t="n"/>
      <c r="V551" s="250" t="n"/>
      <c r="W551" s="250" t="n"/>
      <c r="X551" s="250" t="n"/>
      <c r="Y551" s="250" t="n"/>
      <c r="Z551" s="250" t="n"/>
    </row>
    <row r="552">
      <c r="A552" s="250" t="n"/>
      <c r="B552" s="250" t="n"/>
      <c r="C552" s="250" t="n"/>
      <c r="D552" s="250" t="n"/>
      <c r="E552" s="250" t="n"/>
      <c r="F552" s="250" t="n"/>
      <c r="G552" s="250" t="n"/>
      <c r="H552" s="250" t="n"/>
      <c r="I552" s="250" t="n"/>
      <c r="J552" s="250" t="n"/>
      <c r="K552" s="250" t="n"/>
      <c r="L552" s="250" t="n"/>
      <c r="M552" s="250" t="n"/>
      <c r="N552" s="250" t="n"/>
      <c r="O552" s="250" t="n"/>
      <c r="P552" s="250" t="n"/>
      <c r="Q552" s="250" t="n"/>
      <c r="R552" s="250" t="n"/>
      <c r="S552" s="250" t="n"/>
      <c r="T552" s="250" t="n"/>
      <c r="U552" s="250" t="n"/>
      <c r="V552" s="250" t="n"/>
      <c r="W552" s="250" t="n"/>
      <c r="X552" s="250" t="n"/>
      <c r="Y552" s="250" t="n"/>
      <c r="Z552" s="250" t="n"/>
    </row>
    <row r="553">
      <c r="A553" s="250" t="n"/>
      <c r="B553" s="250" t="n"/>
      <c r="C553" s="250" t="n"/>
      <c r="D553" s="250" t="n"/>
      <c r="E553" s="250" t="n"/>
      <c r="F553" s="250" t="n"/>
      <c r="G553" s="250" t="n"/>
      <c r="H553" s="250" t="n"/>
      <c r="I553" s="250" t="n"/>
      <c r="J553" s="250" t="n"/>
      <c r="K553" s="250" t="n"/>
      <c r="L553" s="250" t="n"/>
      <c r="M553" s="250" t="n"/>
      <c r="N553" s="250" t="n"/>
      <c r="O553" s="250" t="n"/>
      <c r="P553" s="250" t="n"/>
      <c r="Q553" s="250" t="n"/>
      <c r="R553" s="250" t="n"/>
      <c r="S553" s="250" t="n"/>
      <c r="T553" s="250" t="n"/>
      <c r="U553" s="250" t="n"/>
      <c r="V553" s="250" t="n"/>
      <c r="W553" s="250" t="n"/>
      <c r="X553" s="250" t="n"/>
      <c r="Y553" s="250" t="n"/>
      <c r="Z553" s="250" t="n"/>
    </row>
    <row r="554">
      <c r="A554" s="250" t="n"/>
      <c r="B554" s="250" t="n"/>
      <c r="C554" s="250" t="n"/>
      <c r="D554" s="250" t="n"/>
      <c r="E554" s="250" t="n"/>
      <c r="F554" s="250" t="n"/>
      <c r="G554" s="250" t="n"/>
      <c r="H554" s="250" t="n"/>
      <c r="I554" s="250" t="n"/>
      <c r="J554" s="250" t="n"/>
      <c r="K554" s="250" t="n"/>
      <c r="L554" s="250" t="n"/>
      <c r="M554" s="250" t="n"/>
      <c r="N554" s="250" t="n"/>
      <c r="O554" s="250" t="n"/>
      <c r="P554" s="250" t="n"/>
      <c r="Q554" s="250" t="n"/>
      <c r="R554" s="250" t="n"/>
      <c r="S554" s="250" t="n"/>
      <c r="T554" s="250" t="n"/>
      <c r="U554" s="250" t="n"/>
      <c r="V554" s="250" t="n"/>
      <c r="W554" s="250" t="n"/>
      <c r="X554" s="250" t="n"/>
      <c r="Y554" s="250" t="n"/>
      <c r="Z554" s="250" t="n"/>
    </row>
    <row r="555">
      <c r="A555" s="250" t="n"/>
      <c r="B555" s="250" t="n"/>
      <c r="C555" s="250" t="n"/>
      <c r="D555" s="250" t="n"/>
      <c r="E555" s="250" t="n"/>
      <c r="F555" s="250" t="n"/>
      <c r="G555" s="250" t="n"/>
      <c r="H555" s="250" t="n"/>
      <c r="I555" s="250" t="n"/>
      <c r="J555" s="250" t="n"/>
      <c r="K555" s="250" t="n"/>
      <c r="L555" s="250" t="n"/>
      <c r="M555" s="250" t="n"/>
      <c r="N555" s="250" t="n"/>
      <c r="O555" s="250" t="n"/>
      <c r="P555" s="250" t="n"/>
      <c r="Q555" s="250" t="n"/>
      <c r="R555" s="250" t="n"/>
      <c r="S555" s="250" t="n"/>
      <c r="T555" s="250" t="n"/>
      <c r="U555" s="250" t="n"/>
      <c r="V555" s="250" t="n"/>
      <c r="W555" s="250" t="n"/>
      <c r="X555" s="250" t="n"/>
      <c r="Y555" s="250" t="n"/>
      <c r="Z555" s="250" t="n"/>
    </row>
    <row r="556">
      <c r="A556" s="250" t="n"/>
      <c r="B556" s="250" t="n"/>
      <c r="C556" s="250" t="n"/>
      <c r="D556" s="250" t="n"/>
      <c r="E556" s="250" t="n"/>
      <c r="F556" s="250" t="n"/>
      <c r="G556" s="250" t="n"/>
      <c r="H556" s="250" t="n"/>
      <c r="I556" s="250" t="n"/>
      <c r="J556" s="250" t="n"/>
      <c r="K556" s="250" t="n"/>
      <c r="L556" s="250" t="n"/>
      <c r="M556" s="250" t="n"/>
      <c r="N556" s="250" t="n"/>
      <c r="O556" s="250" t="n"/>
      <c r="P556" s="250" t="n"/>
      <c r="Q556" s="250" t="n"/>
      <c r="R556" s="250" t="n"/>
      <c r="S556" s="250" t="n"/>
      <c r="T556" s="250" t="n"/>
      <c r="U556" s="250" t="n"/>
      <c r="V556" s="250" t="n"/>
      <c r="W556" s="250" t="n"/>
      <c r="X556" s="250" t="n"/>
      <c r="Y556" s="250" t="n"/>
      <c r="Z556" s="250" t="n"/>
    </row>
    <row r="557">
      <c r="A557" s="250" t="n"/>
      <c r="B557" s="250" t="n"/>
      <c r="C557" s="250" t="n"/>
      <c r="D557" s="250" t="n"/>
      <c r="E557" s="250" t="n"/>
      <c r="F557" s="250" t="n"/>
      <c r="G557" s="250" t="n"/>
      <c r="H557" s="250" t="n"/>
      <c r="I557" s="250" t="n"/>
      <c r="J557" s="250" t="n"/>
      <c r="K557" s="250" t="n"/>
      <c r="L557" s="250" t="n"/>
      <c r="M557" s="250" t="n"/>
      <c r="N557" s="250" t="n"/>
      <c r="O557" s="250" t="n"/>
      <c r="P557" s="250" t="n"/>
      <c r="Q557" s="250" t="n"/>
      <c r="R557" s="250" t="n"/>
      <c r="S557" s="250" t="n"/>
      <c r="T557" s="250" t="n"/>
      <c r="U557" s="250" t="n"/>
      <c r="V557" s="250" t="n"/>
      <c r="W557" s="250" t="n"/>
      <c r="X557" s="250" t="n"/>
      <c r="Y557" s="250" t="n"/>
      <c r="Z557" s="250" t="n"/>
    </row>
    <row r="558">
      <c r="A558" s="250" t="n"/>
      <c r="B558" s="250" t="n"/>
      <c r="C558" s="250" t="n"/>
      <c r="D558" s="250" t="n"/>
      <c r="E558" s="250" t="n"/>
      <c r="F558" s="250" t="n"/>
      <c r="G558" s="250" t="n"/>
      <c r="H558" s="250" t="n"/>
      <c r="I558" s="250" t="n"/>
      <c r="J558" s="250" t="n"/>
      <c r="K558" s="250" t="n"/>
      <c r="L558" s="250" t="n"/>
      <c r="M558" s="250" t="n"/>
      <c r="N558" s="250" t="n"/>
      <c r="O558" s="250" t="n"/>
      <c r="P558" s="250" t="n"/>
      <c r="Q558" s="250" t="n"/>
      <c r="R558" s="250" t="n"/>
      <c r="S558" s="250" t="n"/>
      <c r="T558" s="250" t="n"/>
      <c r="U558" s="250" t="n"/>
      <c r="V558" s="250" t="n"/>
      <c r="W558" s="250" t="n"/>
      <c r="X558" s="250" t="n"/>
      <c r="Y558" s="250" t="n"/>
      <c r="Z558" s="250" t="n"/>
    </row>
    <row r="559">
      <c r="A559" s="250" t="n"/>
      <c r="B559" s="250" t="n"/>
      <c r="C559" s="250" t="n"/>
      <c r="D559" s="250" t="n"/>
      <c r="E559" s="250" t="n"/>
      <c r="F559" s="250" t="n"/>
      <c r="G559" s="250" t="n"/>
      <c r="H559" s="250" t="n"/>
      <c r="I559" s="250" t="n"/>
      <c r="J559" s="250" t="n"/>
      <c r="K559" s="250" t="n"/>
      <c r="L559" s="250" t="n"/>
      <c r="M559" s="250" t="n"/>
      <c r="N559" s="250" t="n"/>
      <c r="O559" s="250" t="n"/>
      <c r="P559" s="250" t="n"/>
      <c r="Q559" s="250" t="n"/>
      <c r="R559" s="250" t="n"/>
      <c r="S559" s="250" t="n"/>
      <c r="T559" s="250" t="n"/>
      <c r="U559" s="250" t="n"/>
      <c r="V559" s="250" t="n"/>
      <c r="W559" s="250" t="n"/>
      <c r="X559" s="250" t="n"/>
      <c r="Y559" s="250" t="n"/>
      <c r="Z559" s="250" t="n"/>
    </row>
    <row r="560">
      <c r="A560" s="250" t="n"/>
      <c r="B560" s="250" t="n"/>
      <c r="C560" s="250" t="n"/>
      <c r="D560" s="250" t="n"/>
      <c r="E560" s="250" t="n"/>
      <c r="F560" s="250" t="n"/>
      <c r="G560" s="250" t="n"/>
      <c r="H560" s="250" t="n"/>
      <c r="I560" s="250" t="n"/>
      <c r="J560" s="250" t="n"/>
      <c r="K560" s="250" t="n"/>
      <c r="L560" s="250" t="n"/>
      <c r="M560" s="250" t="n"/>
      <c r="N560" s="250" t="n"/>
      <c r="O560" s="250" t="n"/>
      <c r="P560" s="250" t="n"/>
      <c r="Q560" s="250" t="n"/>
      <c r="R560" s="250" t="n"/>
      <c r="S560" s="250" t="n"/>
      <c r="T560" s="250" t="n"/>
      <c r="U560" s="250" t="n"/>
      <c r="V560" s="250" t="n"/>
      <c r="W560" s="250" t="n"/>
      <c r="X560" s="250" t="n"/>
      <c r="Y560" s="250" t="n"/>
      <c r="Z560" s="250" t="n"/>
    </row>
    <row r="561">
      <c r="A561" s="250" t="n"/>
      <c r="B561" s="250" t="n"/>
      <c r="C561" s="250" t="n"/>
      <c r="D561" s="250" t="n"/>
      <c r="E561" s="250" t="n"/>
      <c r="F561" s="250" t="n"/>
      <c r="G561" s="250" t="n"/>
      <c r="H561" s="250" t="n"/>
      <c r="I561" s="250" t="n"/>
      <c r="J561" s="250" t="n"/>
      <c r="K561" s="250" t="n"/>
      <c r="L561" s="250" t="n"/>
      <c r="M561" s="250" t="n"/>
      <c r="N561" s="250" t="n"/>
      <c r="O561" s="250" t="n"/>
      <c r="P561" s="250" t="n"/>
      <c r="Q561" s="250" t="n"/>
      <c r="R561" s="250" t="n"/>
      <c r="S561" s="250" t="n"/>
      <c r="T561" s="250" t="n"/>
      <c r="U561" s="250" t="n"/>
      <c r="V561" s="250" t="n"/>
      <c r="W561" s="250" t="n"/>
      <c r="X561" s="250" t="n"/>
      <c r="Y561" s="250" t="n"/>
      <c r="Z561" s="250" t="n"/>
    </row>
    <row r="562">
      <c r="A562" s="250" t="n"/>
      <c r="B562" s="250" t="n"/>
      <c r="C562" s="250" t="n"/>
      <c r="D562" s="250" t="n"/>
      <c r="E562" s="250" t="n"/>
      <c r="F562" s="250" t="n"/>
      <c r="G562" s="250" t="n"/>
      <c r="H562" s="250" t="n"/>
      <c r="I562" s="250" t="n"/>
      <c r="J562" s="250" t="n"/>
      <c r="K562" s="250" t="n"/>
      <c r="L562" s="250" t="n"/>
      <c r="M562" s="250" t="n"/>
      <c r="N562" s="250" t="n"/>
      <c r="O562" s="250" t="n"/>
      <c r="P562" s="250" t="n"/>
      <c r="Q562" s="250" t="n"/>
      <c r="R562" s="250" t="n"/>
      <c r="S562" s="250" t="n"/>
      <c r="T562" s="250" t="n"/>
      <c r="U562" s="250" t="n"/>
      <c r="V562" s="250" t="n"/>
      <c r="W562" s="250" t="n"/>
      <c r="X562" s="250" t="n"/>
      <c r="Y562" s="250" t="n"/>
      <c r="Z562" s="250" t="n"/>
    </row>
    <row r="563">
      <c r="A563" s="250" t="n"/>
      <c r="B563" s="250" t="n"/>
      <c r="C563" s="250" t="n"/>
      <c r="D563" s="250" t="n"/>
      <c r="E563" s="250" t="n"/>
      <c r="F563" s="250" t="n"/>
      <c r="G563" s="250" t="n"/>
      <c r="H563" s="250" t="n"/>
      <c r="I563" s="250" t="n"/>
      <c r="J563" s="250" t="n"/>
      <c r="K563" s="250" t="n"/>
      <c r="L563" s="250" t="n"/>
      <c r="M563" s="250" t="n"/>
      <c r="N563" s="250" t="n"/>
      <c r="O563" s="250" t="n"/>
      <c r="P563" s="250" t="n"/>
      <c r="Q563" s="250" t="n"/>
      <c r="R563" s="250" t="n"/>
      <c r="S563" s="250" t="n"/>
      <c r="T563" s="250" t="n"/>
      <c r="U563" s="250" t="n"/>
      <c r="V563" s="250" t="n"/>
      <c r="W563" s="250" t="n"/>
      <c r="X563" s="250" t="n"/>
      <c r="Y563" s="250" t="n"/>
      <c r="Z563" s="250" t="n"/>
    </row>
    <row r="564">
      <c r="A564" s="250" t="n"/>
      <c r="B564" s="250" t="n"/>
      <c r="C564" s="250" t="n"/>
      <c r="D564" s="250" t="n"/>
      <c r="E564" s="250" t="n"/>
      <c r="F564" s="250" t="n"/>
      <c r="G564" s="250" t="n"/>
      <c r="H564" s="250" t="n"/>
      <c r="I564" s="250" t="n"/>
      <c r="J564" s="250" t="n"/>
      <c r="K564" s="250" t="n"/>
      <c r="L564" s="250" t="n"/>
      <c r="M564" s="250" t="n"/>
      <c r="N564" s="250" t="n"/>
      <c r="O564" s="250" t="n"/>
      <c r="P564" s="250" t="n"/>
      <c r="Q564" s="250" t="n"/>
      <c r="R564" s="250" t="n"/>
      <c r="S564" s="250" t="n"/>
      <c r="T564" s="250" t="n"/>
      <c r="U564" s="250" t="n"/>
      <c r="V564" s="250" t="n"/>
      <c r="W564" s="250" t="n"/>
      <c r="X564" s="250" t="n"/>
      <c r="Y564" s="250" t="n"/>
      <c r="Z564" s="250" t="n"/>
    </row>
    <row r="565">
      <c r="A565" s="250" t="n"/>
      <c r="B565" s="250" t="n"/>
      <c r="C565" s="250" t="n"/>
      <c r="D565" s="250" t="n"/>
      <c r="E565" s="250" t="n"/>
      <c r="F565" s="250" t="n"/>
      <c r="G565" s="250" t="n"/>
      <c r="H565" s="250" t="n"/>
      <c r="I565" s="250" t="n"/>
      <c r="J565" s="250" t="n"/>
      <c r="K565" s="250" t="n"/>
      <c r="L565" s="250" t="n"/>
      <c r="M565" s="250" t="n"/>
      <c r="N565" s="250" t="n"/>
      <c r="O565" s="250" t="n"/>
      <c r="P565" s="250" t="n"/>
      <c r="Q565" s="250" t="n"/>
      <c r="R565" s="250" t="n"/>
      <c r="S565" s="250" t="n"/>
      <c r="T565" s="250" t="n"/>
      <c r="U565" s="250" t="n"/>
      <c r="V565" s="250" t="n"/>
      <c r="W565" s="250" t="n"/>
      <c r="X565" s="250" t="n"/>
      <c r="Y565" s="250" t="n"/>
      <c r="Z565" s="250" t="n"/>
    </row>
    <row r="566">
      <c r="A566" s="250" t="n"/>
      <c r="B566" s="250" t="n"/>
      <c r="C566" s="250" t="n"/>
      <c r="D566" s="250" t="n"/>
      <c r="E566" s="250" t="n"/>
      <c r="F566" s="250" t="n"/>
      <c r="G566" s="250" t="n"/>
      <c r="H566" s="250" t="n"/>
      <c r="I566" s="250" t="n"/>
      <c r="J566" s="250" t="n"/>
      <c r="K566" s="250" t="n"/>
      <c r="L566" s="250" t="n"/>
      <c r="M566" s="250" t="n"/>
      <c r="N566" s="250" t="n"/>
      <c r="O566" s="250" t="n"/>
      <c r="P566" s="250" t="n"/>
      <c r="Q566" s="250" t="n"/>
      <c r="R566" s="250" t="n"/>
      <c r="S566" s="250" t="n"/>
      <c r="T566" s="250" t="n"/>
      <c r="U566" s="250" t="n"/>
      <c r="V566" s="250" t="n"/>
      <c r="W566" s="250" t="n"/>
      <c r="X566" s="250" t="n"/>
      <c r="Y566" s="250" t="n"/>
      <c r="Z566" s="250" t="n"/>
    </row>
    <row r="567">
      <c r="A567" s="250" t="n"/>
      <c r="B567" s="250" t="n"/>
      <c r="C567" s="250" t="n"/>
      <c r="D567" s="250" t="n"/>
      <c r="E567" s="250" t="n"/>
      <c r="F567" s="250" t="n"/>
      <c r="G567" s="250" t="n"/>
      <c r="H567" s="250" t="n"/>
      <c r="I567" s="250" t="n"/>
      <c r="J567" s="250" t="n"/>
      <c r="K567" s="250" t="n"/>
      <c r="L567" s="250" t="n"/>
      <c r="M567" s="250" t="n"/>
      <c r="N567" s="250" t="n"/>
      <c r="O567" s="250" t="n"/>
      <c r="P567" s="250" t="n"/>
      <c r="Q567" s="250" t="n"/>
      <c r="R567" s="250" t="n"/>
      <c r="S567" s="250" t="n"/>
      <c r="T567" s="250" t="n"/>
      <c r="U567" s="250" t="n"/>
      <c r="V567" s="250" t="n"/>
      <c r="W567" s="250" t="n"/>
      <c r="X567" s="250" t="n"/>
      <c r="Y567" s="250" t="n"/>
      <c r="Z567" s="250" t="n"/>
    </row>
    <row r="568">
      <c r="A568" s="250" t="n"/>
      <c r="B568" s="250" t="n"/>
      <c r="C568" s="250" t="n"/>
      <c r="D568" s="250" t="n"/>
      <c r="E568" s="250" t="n"/>
      <c r="F568" s="250" t="n"/>
      <c r="G568" s="250" t="n"/>
      <c r="H568" s="250" t="n"/>
      <c r="I568" s="250" t="n"/>
      <c r="J568" s="250" t="n"/>
      <c r="K568" s="250" t="n"/>
      <c r="L568" s="250" t="n"/>
      <c r="M568" s="250" t="n"/>
      <c r="N568" s="250" t="n"/>
      <c r="O568" s="250" t="n"/>
      <c r="P568" s="250" t="n"/>
      <c r="Q568" s="250" t="n"/>
      <c r="R568" s="250" t="n"/>
      <c r="S568" s="250" t="n"/>
      <c r="T568" s="250" t="n"/>
      <c r="U568" s="250" t="n"/>
      <c r="V568" s="250" t="n"/>
      <c r="W568" s="250" t="n"/>
      <c r="X568" s="250" t="n"/>
      <c r="Y568" s="250" t="n"/>
      <c r="Z568" s="250" t="n"/>
    </row>
    <row r="569">
      <c r="A569" s="250" t="n"/>
      <c r="B569" s="250" t="n"/>
      <c r="C569" s="250" t="n"/>
      <c r="D569" s="250" t="n"/>
      <c r="E569" s="250" t="n"/>
      <c r="F569" s="250" t="n"/>
      <c r="G569" s="250" t="n"/>
      <c r="H569" s="250" t="n"/>
      <c r="I569" s="250" t="n"/>
      <c r="J569" s="250" t="n"/>
      <c r="K569" s="250" t="n"/>
      <c r="L569" s="250" t="n"/>
      <c r="M569" s="250" t="n"/>
      <c r="N569" s="250" t="n"/>
      <c r="O569" s="250" t="n"/>
      <c r="P569" s="250" t="n"/>
      <c r="Q569" s="250" t="n"/>
      <c r="R569" s="250" t="n"/>
      <c r="S569" s="250" t="n"/>
      <c r="T569" s="250" t="n"/>
      <c r="U569" s="250" t="n"/>
      <c r="V569" s="250" t="n"/>
      <c r="W569" s="250" t="n"/>
      <c r="X569" s="250" t="n"/>
      <c r="Y569" s="250" t="n"/>
      <c r="Z569" s="250" t="n"/>
    </row>
    <row r="570">
      <c r="A570" s="250" t="n"/>
      <c r="B570" s="250" t="n"/>
      <c r="C570" s="250" t="n"/>
      <c r="D570" s="250" t="n"/>
      <c r="E570" s="250" t="n"/>
      <c r="F570" s="250" t="n"/>
      <c r="G570" s="250" t="n"/>
      <c r="H570" s="250" t="n"/>
      <c r="I570" s="250" t="n"/>
      <c r="J570" s="250" t="n"/>
      <c r="K570" s="250" t="n"/>
      <c r="L570" s="250" t="n"/>
      <c r="M570" s="250" t="n"/>
      <c r="N570" s="250" t="n"/>
      <c r="O570" s="250" t="n"/>
      <c r="P570" s="250" t="n"/>
      <c r="Q570" s="250" t="n"/>
      <c r="R570" s="250" t="n"/>
      <c r="S570" s="250" t="n"/>
      <c r="T570" s="250" t="n"/>
      <c r="U570" s="250" t="n"/>
      <c r="V570" s="250" t="n"/>
      <c r="W570" s="250" t="n"/>
      <c r="X570" s="250" t="n"/>
      <c r="Y570" s="250" t="n"/>
      <c r="Z570" s="250" t="n"/>
    </row>
    <row r="571">
      <c r="A571" s="250" t="n"/>
      <c r="B571" s="250" t="n"/>
      <c r="C571" s="250" t="n"/>
      <c r="D571" s="250" t="n"/>
      <c r="E571" s="250" t="n"/>
      <c r="F571" s="250" t="n"/>
      <c r="G571" s="250" t="n"/>
      <c r="H571" s="250" t="n"/>
      <c r="I571" s="250" t="n"/>
      <c r="J571" s="250" t="n"/>
      <c r="K571" s="250" t="n"/>
      <c r="L571" s="250" t="n"/>
      <c r="M571" s="250" t="n"/>
      <c r="N571" s="250" t="n"/>
      <c r="O571" s="250" t="n"/>
      <c r="P571" s="250" t="n"/>
      <c r="Q571" s="250" t="n"/>
      <c r="R571" s="250" t="n"/>
      <c r="S571" s="250" t="n"/>
      <c r="T571" s="250" t="n"/>
      <c r="U571" s="250" t="n"/>
      <c r="V571" s="250" t="n"/>
      <c r="W571" s="250" t="n"/>
      <c r="X571" s="250" t="n"/>
      <c r="Y571" s="250" t="n"/>
      <c r="Z571" s="250" t="n"/>
    </row>
    <row r="572">
      <c r="A572" s="250" t="n"/>
      <c r="B572" s="250" t="n"/>
      <c r="C572" s="250" t="n"/>
      <c r="D572" s="250" t="n"/>
      <c r="E572" s="250" t="n"/>
      <c r="F572" s="250" t="n"/>
      <c r="G572" s="250" t="n"/>
      <c r="H572" s="250" t="n"/>
      <c r="I572" s="250" t="n"/>
      <c r="J572" s="250" t="n"/>
      <c r="K572" s="250" t="n"/>
      <c r="L572" s="250" t="n"/>
      <c r="M572" s="250" t="n"/>
      <c r="N572" s="250" t="n"/>
      <c r="O572" s="250" t="n"/>
      <c r="P572" s="250" t="n"/>
      <c r="Q572" s="250" t="n"/>
      <c r="R572" s="250" t="n"/>
      <c r="S572" s="250" t="n"/>
      <c r="T572" s="250" t="n"/>
      <c r="U572" s="250" t="n"/>
      <c r="V572" s="250" t="n"/>
      <c r="W572" s="250" t="n"/>
      <c r="X572" s="250" t="n"/>
      <c r="Y572" s="250" t="n"/>
      <c r="Z572" s="250" t="n"/>
    </row>
    <row r="573">
      <c r="A573" s="250" t="n"/>
      <c r="B573" s="250" t="n"/>
      <c r="C573" s="250" t="n"/>
      <c r="D573" s="250" t="n"/>
      <c r="E573" s="250" t="n"/>
      <c r="F573" s="250" t="n"/>
      <c r="G573" s="250" t="n"/>
      <c r="H573" s="250" t="n"/>
      <c r="I573" s="250" t="n"/>
      <c r="J573" s="250" t="n"/>
      <c r="K573" s="250" t="n"/>
      <c r="L573" s="250" t="n"/>
      <c r="M573" s="250" t="n"/>
      <c r="N573" s="250" t="n"/>
      <c r="O573" s="250" t="n"/>
      <c r="P573" s="250" t="n"/>
      <c r="Q573" s="250" t="n"/>
      <c r="R573" s="250" t="n"/>
      <c r="S573" s="250" t="n"/>
      <c r="T573" s="250" t="n"/>
      <c r="U573" s="250" t="n"/>
      <c r="V573" s="250" t="n"/>
      <c r="W573" s="250" t="n"/>
      <c r="X573" s="250" t="n"/>
      <c r="Y573" s="250" t="n"/>
      <c r="Z573" s="250" t="n"/>
    </row>
    <row r="574">
      <c r="A574" s="250" t="n"/>
      <c r="B574" s="250" t="n"/>
      <c r="C574" s="250" t="n"/>
      <c r="D574" s="250" t="n"/>
      <c r="E574" s="250" t="n"/>
      <c r="F574" s="250" t="n"/>
      <c r="G574" s="250" t="n"/>
      <c r="H574" s="250" t="n"/>
      <c r="I574" s="250" t="n"/>
      <c r="J574" s="250" t="n"/>
      <c r="K574" s="250" t="n"/>
      <c r="L574" s="250" t="n"/>
      <c r="M574" s="250" t="n"/>
      <c r="N574" s="250" t="n"/>
      <c r="O574" s="250" t="n"/>
      <c r="P574" s="250" t="n"/>
      <c r="Q574" s="250" t="n"/>
      <c r="R574" s="250" t="n"/>
      <c r="S574" s="250" t="n"/>
      <c r="T574" s="250" t="n"/>
      <c r="U574" s="250" t="n"/>
      <c r="V574" s="250" t="n"/>
      <c r="W574" s="250" t="n"/>
      <c r="X574" s="250" t="n"/>
      <c r="Y574" s="250" t="n"/>
      <c r="Z574" s="250" t="n"/>
    </row>
    <row r="575">
      <c r="A575" s="250" t="n"/>
      <c r="B575" s="250" t="n"/>
      <c r="C575" s="250" t="n"/>
      <c r="D575" s="250" t="n"/>
      <c r="E575" s="250" t="n"/>
      <c r="F575" s="250" t="n"/>
      <c r="G575" s="250" t="n"/>
      <c r="H575" s="250" t="n"/>
      <c r="I575" s="250" t="n"/>
      <c r="J575" s="250" t="n"/>
      <c r="K575" s="250" t="n"/>
      <c r="L575" s="250" t="n"/>
      <c r="M575" s="250" t="n"/>
      <c r="N575" s="250" t="n"/>
      <c r="O575" s="250" t="n"/>
      <c r="P575" s="250" t="n"/>
      <c r="Q575" s="250" t="n"/>
      <c r="R575" s="250" t="n"/>
      <c r="S575" s="250" t="n"/>
      <c r="T575" s="250" t="n"/>
      <c r="U575" s="250" t="n"/>
      <c r="V575" s="250" t="n"/>
      <c r="W575" s="250" t="n"/>
      <c r="X575" s="250" t="n"/>
      <c r="Y575" s="250" t="n"/>
      <c r="Z575" s="250" t="n"/>
    </row>
    <row r="576">
      <c r="A576" s="250" t="n"/>
      <c r="B576" s="250" t="n"/>
      <c r="C576" s="250" t="n"/>
      <c r="D576" s="250" t="n"/>
      <c r="E576" s="250" t="n"/>
      <c r="F576" s="250" t="n"/>
      <c r="G576" s="250" t="n"/>
      <c r="H576" s="250" t="n"/>
      <c r="I576" s="250" t="n"/>
      <c r="J576" s="250" t="n"/>
      <c r="K576" s="250" t="n"/>
      <c r="L576" s="250" t="n"/>
      <c r="M576" s="250" t="n"/>
      <c r="N576" s="250" t="n"/>
      <c r="O576" s="250" t="n"/>
      <c r="P576" s="250" t="n"/>
      <c r="Q576" s="250" t="n"/>
      <c r="R576" s="250" t="n"/>
      <c r="S576" s="250" t="n"/>
      <c r="T576" s="250" t="n"/>
      <c r="U576" s="250" t="n"/>
      <c r="V576" s="250" t="n"/>
      <c r="W576" s="250" t="n"/>
      <c r="X576" s="250" t="n"/>
      <c r="Y576" s="250" t="n"/>
      <c r="Z576" s="250" t="n"/>
    </row>
    <row r="577">
      <c r="A577" s="250" t="n"/>
      <c r="B577" s="250" t="n"/>
      <c r="C577" s="250" t="n"/>
      <c r="D577" s="250" t="n"/>
      <c r="E577" s="250" t="n"/>
      <c r="F577" s="250" t="n"/>
      <c r="G577" s="250" t="n"/>
      <c r="H577" s="250" t="n"/>
      <c r="I577" s="250" t="n"/>
      <c r="J577" s="250" t="n"/>
      <c r="K577" s="250" t="n"/>
      <c r="L577" s="250" t="n"/>
      <c r="M577" s="250" t="n"/>
      <c r="N577" s="250" t="n"/>
      <c r="O577" s="250" t="n"/>
      <c r="P577" s="250" t="n"/>
      <c r="Q577" s="250" t="n"/>
      <c r="R577" s="250" t="n"/>
      <c r="S577" s="250" t="n"/>
      <c r="T577" s="250" t="n"/>
      <c r="U577" s="250" t="n"/>
      <c r="V577" s="250" t="n"/>
      <c r="W577" s="250" t="n"/>
      <c r="X577" s="250" t="n"/>
      <c r="Y577" s="250" t="n"/>
      <c r="Z577" s="250" t="n"/>
    </row>
    <row r="578">
      <c r="A578" s="250" t="n"/>
      <c r="B578" s="250" t="n"/>
      <c r="C578" s="250" t="n"/>
      <c r="D578" s="250" t="n"/>
      <c r="E578" s="250" t="n"/>
      <c r="F578" s="250" t="n"/>
      <c r="G578" s="250" t="n"/>
      <c r="H578" s="250" t="n"/>
      <c r="I578" s="250" t="n"/>
      <c r="J578" s="250" t="n"/>
      <c r="K578" s="250" t="n"/>
      <c r="L578" s="250" t="n"/>
      <c r="M578" s="250" t="n"/>
      <c r="N578" s="250" t="n"/>
      <c r="O578" s="250" t="n"/>
      <c r="P578" s="250" t="n"/>
      <c r="Q578" s="250" t="n"/>
      <c r="R578" s="250" t="n"/>
      <c r="S578" s="250" t="n"/>
      <c r="T578" s="250" t="n"/>
      <c r="U578" s="250" t="n"/>
      <c r="V578" s="250" t="n"/>
      <c r="W578" s="250" t="n"/>
      <c r="X578" s="250" t="n"/>
      <c r="Y578" s="250" t="n"/>
      <c r="Z578" s="250" t="n"/>
    </row>
    <row r="579">
      <c r="A579" s="250" t="n"/>
      <c r="B579" s="250" t="n"/>
      <c r="C579" s="250" t="n"/>
      <c r="D579" s="250" t="n"/>
      <c r="E579" s="250" t="n"/>
      <c r="F579" s="250" t="n"/>
      <c r="G579" s="250" t="n"/>
      <c r="H579" s="250" t="n"/>
      <c r="I579" s="250" t="n"/>
      <c r="J579" s="250" t="n"/>
      <c r="K579" s="250" t="n"/>
      <c r="L579" s="250" t="n"/>
      <c r="M579" s="250" t="n"/>
      <c r="N579" s="250" t="n"/>
      <c r="O579" s="250" t="n"/>
      <c r="P579" s="250" t="n"/>
      <c r="Q579" s="250" t="n"/>
      <c r="R579" s="250" t="n"/>
      <c r="S579" s="250" t="n"/>
      <c r="T579" s="250" t="n"/>
      <c r="U579" s="250" t="n"/>
      <c r="V579" s="250" t="n"/>
      <c r="W579" s="250" t="n"/>
      <c r="X579" s="250" t="n"/>
      <c r="Y579" s="250" t="n"/>
      <c r="Z579" s="250" t="n"/>
    </row>
    <row r="580">
      <c r="A580" s="250" t="n"/>
      <c r="B580" s="250" t="n"/>
      <c r="C580" s="250" t="n"/>
      <c r="D580" s="250" t="n"/>
      <c r="E580" s="250" t="n"/>
      <c r="F580" s="250" t="n"/>
      <c r="G580" s="250" t="n"/>
      <c r="H580" s="250" t="n"/>
      <c r="I580" s="250" t="n"/>
      <c r="J580" s="250" t="n"/>
      <c r="K580" s="250" t="n"/>
      <c r="L580" s="250" t="n"/>
      <c r="M580" s="250" t="n"/>
      <c r="N580" s="250" t="n"/>
      <c r="O580" s="250" t="n"/>
      <c r="P580" s="250" t="n"/>
      <c r="Q580" s="250" t="n"/>
      <c r="R580" s="250" t="n"/>
      <c r="S580" s="250" t="n"/>
      <c r="T580" s="250" t="n"/>
      <c r="U580" s="250" t="n"/>
      <c r="V580" s="250" t="n"/>
      <c r="W580" s="250" t="n"/>
      <c r="X580" s="250" t="n"/>
      <c r="Y580" s="250" t="n"/>
      <c r="Z580" s="250" t="n"/>
    </row>
    <row r="581">
      <c r="A581" s="250" t="n"/>
      <c r="B581" s="250" t="n"/>
      <c r="C581" s="250" t="n"/>
      <c r="D581" s="250" t="n"/>
      <c r="E581" s="250" t="n"/>
      <c r="F581" s="250" t="n"/>
      <c r="G581" s="250" t="n"/>
      <c r="H581" s="250" t="n"/>
      <c r="I581" s="250" t="n"/>
      <c r="J581" s="250" t="n"/>
      <c r="K581" s="250" t="n"/>
      <c r="L581" s="250" t="n"/>
      <c r="M581" s="250" t="n"/>
      <c r="N581" s="250" t="n"/>
      <c r="O581" s="250" t="n"/>
      <c r="P581" s="250" t="n"/>
      <c r="Q581" s="250" t="n"/>
      <c r="R581" s="250" t="n"/>
      <c r="S581" s="250" t="n"/>
      <c r="T581" s="250" t="n"/>
      <c r="U581" s="250" t="n"/>
      <c r="V581" s="250" t="n"/>
      <c r="W581" s="250" t="n"/>
      <c r="X581" s="250" t="n"/>
      <c r="Y581" s="250" t="n"/>
      <c r="Z581" s="250" t="n"/>
    </row>
    <row r="582">
      <c r="A582" s="250" t="n"/>
      <c r="B582" s="250" t="n"/>
      <c r="C582" s="250" t="n"/>
      <c r="D582" s="250" t="n"/>
      <c r="E582" s="250" t="n"/>
      <c r="F582" s="250" t="n"/>
      <c r="G582" s="250" t="n"/>
      <c r="H582" s="250" t="n"/>
      <c r="I582" s="250" t="n"/>
      <c r="J582" s="250" t="n"/>
      <c r="K582" s="250" t="n"/>
      <c r="L582" s="250" t="n"/>
      <c r="M582" s="250" t="n"/>
      <c r="N582" s="250" t="n"/>
      <c r="O582" s="250" t="n"/>
      <c r="P582" s="250" t="n"/>
      <c r="Q582" s="250" t="n"/>
      <c r="R582" s="250" t="n"/>
      <c r="S582" s="250" t="n"/>
      <c r="T582" s="250" t="n"/>
      <c r="U582" s="250" t="n"/>
      <c r="V582" s="250" t="n"/>
      <c r="W582" s="250" t="n"/>
      <c r="X582" s="250" t="n"/>
      <c r="Y582" s="250" t="n"/>
      <c r="Z582" s="250" t="n"/>
    </row>
    <row r="583">
      <c r="A583" s="250" t="n"/>
      <c r="B583" s="250" t="n"/>
      <c r="C583" s="250" t="n"/>
      <c r="D583" s="250" t="n"/>
      <c r="E583" s="250" t="n"/>
      <c r="F583" s="250" t="n"/>
      <c r="G583" s="250" t="n"/>
      <c r="H583" s="250" t="n"/>
      <c r="I583" s="250" t="n"/>
      <c r="J583" s="250" t="n"/>
      <c r="K583" s="250" t="n"/>
      <c r="L583" s="250" t="n"/>
      <c r="M583" s="250" t="n"/>
      <c r="N583" s="250" t="n"/>
      <c r="O583" s="250" t="n"/>
      <c r="P583" s="250" t="n"/>
      <c r="Q583" s="250" t="n"/>
      <c r="R583" s="250" t="n"/>
      <c r="S583" s="250" t="n"/>
      <c r="T583" s="250" t="n"/>
      <c r="U583" s="250" t="n"/>
      <c r="V583" s="250" t="n"/>
      <c r="W583" s="250" t="n"/>
      <c r="X583" s="250" t="n"/>
      <c r="Y583" s="250" t="n"/>
      <c r="Z583" s="250" t="n"/>
    </row>
    <row r="584">
      <c r="A584" s="250" t="n"/>
      <c r="B584" s="250" t="n"/>
      <c r="C584" s="250" t="n"/>
      <c r="D584" s="250" t="n"/>
      <c r="E584" s="250" t="n"/>
      <c r="F584" s="250" t="n"/>
      <c r="G584" s="250" t="n"/>
      <c r="H584" s="250" t="n"/>
      <c r="I584" s="250" t="n"/>
      <c r="J584" s="250" t="n"/>
      <c r="K584" s="250" t="n"/>
      <c r="L584" s="250" t="n"/>
      <c r="M584" s="250" t="n"/>
      <c r="N584" s="250" t="n"/>
      <c r="O584" s="250" t="n"/>
      <c r="P584" s="250" t="n"/>
      <c r="Q584" s="250" t="n"/>
      <c r="R584" s="250" t="n"/>
      <c r="S584" s="250" t="n"/>
      <c r="T584" s="250" t="n"/>
      <c r="U584" s="250" t="n"/>
      <c r="V584" s="250" t="n"/>
      <c r="W584" s="250" t="n"/>
      <c r="X584" s="250" t="n"/>
      <c r="Y584" s="250" t="n"/>
      <c r="Z584" s="250" t="n"/>
    </row>
    <row r="585">
      <c r="A585" s="250" t="n"/>
      <c r="B585" s="250" t="n"/>
      <c r="C585" s="250" t="n"/>
      <c r="D585" s="250" t="n"/>
      <c r="E585" s="250" t="n"/>
      <c r="F585" s="250" t="n"/>
      <c r="G585" s="250" t="n"/>
      <c r="H585" s="250" t="n"/>
      <c r="I585" s="250" t="n"/>
      <c r="J585" s="250" t="n"/>
      <c r="K585" s="250" t="n"/>
      <c r="L585" s="250" t="n"/>
      <c r="M585" s="250" t="n"/>
      <c r="N585" s="250" t="n"/>
      <c r="O585" s="250" t="n"/>
      <c r="P585" s="250" t="n"/>
      <c r="Q585" s="250" t="n"/>
      <c r="R585" s="250" t="n"/>
      <c r="S585" s="250" t="n"/>
      <c r="T585" s="250" t="n"/>
      <c r="U585" s="250" t="n"/>
      <c r="V585" s="250" t="n"/>
      <c r="W585" s="250" t="n"/>
      <c r="X585" s="250" t="n"/>
      <c r="Y585" s="250" t="n"/>
      <c r="Z585" s="250" t="n"/>
    </row>
    <row r="586">
      <c r="A586" s="250" t="n"/>
      <c r="B586" s="250" t="n"/>
      <c r="C586" s="250" t="n"/>
      <c r="D586" s="250" t="n"/>
      <c r="E586" s="250" t="n"/>
      <c r="F586" s="250" t="n"/>
      <c r="G586" s="250" t="n"/>
      <c r="H586" s="250" t="n"/>
      <c r="I586" s="250" t="n"/>
      <c r="J586" s="250" t="n"/>
      <c r="K586" s="250" t="n"/>
      <c r="L586" s="250" t="n"/>
      <c r="M586" s="250" t="n"/>
      <c r="N586" s="250" t="n"/>
      <c r="O586" s="250" t="n"/>
      <c r="P586" s="250" t="n"/>
      <c r="Q586" s="250" t="n"/>
      <c r="R586" s="250" t="n"/>
      <c r="S586" s="250" t="n"/>
      <c r="T586" s="250" t="n"/>
      <c r="U586" s="250" t="n"/>
      <c r="V586" s="250" t="n"/>
      <c r="W586" s="250" t="n"/>
      <c r="X586" s="250" t="n"/>
      <c r="Y586" s="250" t="n"/>
      <c r="Z586" s="250" t="n"/>
    </row>
    <row r="587">
      <c r="A587" s="250" t="n"/>
      <c r="B587" s="250" t="n"/>
      <c r="C587" s="250" t="n"/>
      <c r="D587" s="250" t="n"/>
      <c r="E587" s="250" t="n"/>
      <c r="F587" s="250" t="n"/>
      <c r="G587" s="250" t="n"/>
      <c r="H587" s="250" t="n"/>
      <c r="I587" s="250" t="n"/>
      <c r="J587" s="250" t="n"/>
      <c r="K587" s="250" t="n"/>
      <c r="L587" s="250" t="n"/>
      <c r="M587" s="250" t="n"/>
      <c r="N587" s="250" t="n"/>
      <c r="O587" s="250" t="n"/>
      <c r="P587" s="250" t="n"/>
      <c r="Q587" s="250" t="n"/>
      <c r="R587" s="250" t="n"/>
      <c r="S587" s="250" t="n"/>
      <c r="T587" s="250" t="n"/>
      <c r="U587" s="250" t="n"/>
      <c r="V587" s="250" t="n"/>
      <c r="W587" s="250" t="n"/>
      <c r="X587" s="250" t="n"/>
      <c r="Y587" s="250" t="n"/>
      <c r="Z587" s="250" t="n"/>
    </row>
    <row r="588">
      <c r="A588" s="250" t="n"/>
      <c r="B588" s="250" t="n"/>
      <c r="C588" s="250" t="n"/>
      <c r="D588" s="250" t="n"/>
      <c r="E588" s="250" t="n"/>
      <c r="F588" s="250" t="n"/>
      <c r="G588" s="250" t="n"/>
      <c r="H588" s="250" t="n"/>
      <c r="I588" s="250" t="n"/>
      <c r="J588" s="250" t="n"/>
      <c r="K588" s="250" t="n"/>
      <c r="L588" s="250" t="n"/>
      <c r="M588" s="250" t="n"/>
      <c r="N588" s="250" t="n"/>
      <c r="O588" s="250" t="n"/>
      <c r="P588" s="250" t="n"/>
      <c r="Q588" s="250" t="n"/>
      <c r="R588" s="250" t="n"/>
      <c r="S588" s="250" t="n"/>
      <c r="T588" s="250" t="n"/>
      <c r="U588" s="250" t="n"/>
      <c r="V588" s="250" t="n"/>
      <c r="W588" s="250" t="n"/>
      <c r="X588" s="250" t="n"/>
      <c r="Y588" s="250" t="n"/>
      <c r="Z588" s="250" t="n"/>
    </row>
    <row r="589">
      <c r="A589" s="250" t="n"/>
      <c r="B589" s="250" t="n"/>
      <c r="C589" s="250" t="n"/>
      <c r="D589" s="250" t="n"/>
      <c r="E589" s="250" t="n"/>
      <c r="F589" s="250" t="n"/>
      <c r="G589" s="250" t="n"/>
      <c r="H589" s="250" t="n"/>
      <c r="I589" s="250" t="n"/>
      <c r="J589" s="250" t="n"/>
      <c r="K589" s="250" t="n"/>
      <c r="L589" s="250" t="n"/>
      <c r="M589" s="250" t="n"/>
      <c r="N589" s="250" t="n"/>
      <c r="O589" s="250" t="n"/>
      <c r="P589" s="250" t="n"/>
      <c r="Q589" s="250" t="n"/>
      <c r="R589" s="250" t="n"/>
      <c r="S589" s="250" t="n"/>
      <c r="T589" s="250" t="n"/>
      <c r="U589" s="250" t="n"/>
      <c r="V589" s="250" t="n"/>
      <c r="W589" s="250" t="n"/>
      <c r="X589" s="250" t="n"/>
      <c r="Y589" s="250" t="n"/>
      <c r="Z589" s="250" t="n"/>
    </row>
    <row r="590">
      <c r="A590" s="250" t="n"/>
      <c r="B590" s="250" t="n"/>
      <c r="C590" s="250" t="n"/>
      <c r="D590" s="250" t="n"/>
      <c r="E590" s="250" t="n"/>
      <c r="F590" s="250" t="n"/>
      <c r="G590" s="250" t="n"/>
      <c r="H590" s="250" t="n"/>
      <c r="I590" s="250" t="n"/>
      <c r="J590" s="250" t="n"/>
      <c r="K590" s="250" t="n"/>
      <c r="L590" s="250" t="n"/>
      <c r="M590" s="250" t="n"/>
      <c r="N590" s="250" t="n"/>
      <c r="O590" s="250" t="n"/>
      <c r="P590" s="250" t="n"/>
      <c r="Q590" s="250" t="n"/>
      <c r="R590" s="250" t="n"/>
      <c r="S590" s="250" t="n"/>
      <c r="T590" s="250" t="n"/>
      <c r="U590" s="250" t="n"/>
      <c r="V590" s="250" t="n"/>
      <c r="W590" s="250" t="n"/>
      <c r="X590" s="250" t="n"/>
      <c r="Y590" s="250" t="n"/>
      <c r="Z590" s="250" t="n"/>
    </row>
    <row r="591">
      <c r="A591" s="250" t="n"/>
      <c r="B591" s="250" t="n"/>
      <c r="C591" s="250" t="n"/>
      <c r="D591" s="250" t="n"/>
      <c r="E591" s="250" t="n"/>
      <c r="F591" s="250" t="n"/>
      <c r="G591" s="250" t="n"/>
      <c r="H591" s="250" t="n"/>
      <c r="I591" s="250" t="n"/>
      <c r="J591" s="250" t="n"/>
      <c r="K591" s="250" t="n"/>
      <c r="L591" s="250" t="n"/>
      <c r="M591" s="250" t="n"/>
      <c r="N591" s="250" t="n"/>
      <c r="O591" s="250" t="n"/>
      <c r="P591" s="250" t="n"/>
      <c r="Q591" s="250" t="n"/>
      <c r="R591" s="250" t="n"/>
      <c r="S591" s="250" t="n"/>
      <c r="T591" s="250" t="n"/>
      <c r="U591" s="250" t="n"/>
      <c r="V591" s="250" t="n"/>
      <c r="W591" s="250" t="n"/>
      <c r="X591" s="250" t="n"/>
      <c r="Y591" s="250" t="n"/>
      <c r="Z591" s="250" t="n"/>
    </row>
    <row r="592">
      <c r="A592" s="250" t="n"/>
      <c r="B592" s="250" t="n"/>
      <c r="C592" s="250" t="n"/>
      <c r="D592" s="250" t="n"/>
      <c r="E592" s="250" t="n"/>
      <c r="F592" s="250" t="n"/>
      <c r="G592" s="250" t="n"/>
      <c r="H592" s="250" t="n"/>
      <c r="I592" s="250" t="n"/>
      <c r="J592" s="250" t="n"/>
      <c r="K592" s="250" t="n"/>
      <c r="L592" s="250" t="n"/>
      <c r="M592" s="250" t="n"/>
      <c r="N592" s="250" t="n"/>
      <c r="O592" s="250" t="n"/>
      <c r="P592" s="250" t="n"/>
      <c r="Q592" s="250" t="n"/>
      <c r="R592" s="250" t="n"/>
      <c r="S592" s="250" t="n"/>
      <c r="T592" s="250" t="n"/>
      <c r="U592" s="250" t="n"/>
      <c r="V592" s="250" t="n"/>
      <c r="W592" s="250" t="n"/>
      <c r="X592" s="250" t="n"/>
      <c r="Y592" s="250" t="n"/>
      <c r="Z592" s="250" t="n"/>
    </row>
    <row r="593">
      <c r="A593" s="250" t="n"/>
      <c r="B593" s="250" t="n"/>
      <c r="C593" s="250" t="n"/>
      <c r="D593" s="250" t="n"/>
      <c r="E593" s="250" t="n"/>
      <c r="F593" s="250" t="n"/>
      <c r="G593" s="250" t="n"/>
      <c r="H593" s="250" t="n"/>
      <c r="I593" s="250" t="n"/>
      <c r="J593" s="250" t="n"/>
      <c r="K593" s="250" t="n"/>
      <c r="L593" s="250" t="n"/>
      <c r="M593" s="250" t="n"/>
      <c r="N593" s="250" t="n"/>
      <c r="O593" s="250" t="n"/>
      <c r="P593" s="250" t="n"/>
      <c r="Q593" s="250" t="n"/>
      <c r="R593" s="250" t="n"/>
      <c r="S593" s="250" t="n"/>
      <c r="T593" s="250" t="n"/>
      <c r="U593" s="250" t="n"/>
      <c r="V593" s="250" t="n"/>
      <c r="W593" s="250" t="n"/>
      <c r="X593" s="250" t="n"/>
      <c r="Y593" s="250" t="n"/>
      <c r="Z593" s="250" t="n"/>
    </row>
    <row r="594">
      <c r="A594" s="250" t="n"/>
      <c r="B594" s="250" t="n"/>
      <c r="C594" s="250" t="n"/>
      <c r="D594" s="250" t="n"/>
      <c r="E594" s="250" t="n"/>
      <c r="F594" s="250" t="n"/>
      <c r="G594" s="250" t="n"/>
      <c r="H594" s="250" t="n"/>
      <c r="I594" s="250" t="n"/>
      <c r="J594" s="250" t="n"/>
      <c r="K594" s="250" t="n"/>
      <c r="L594" s="250" t="n"/>
      <c r="M594" s="250" t="n"/>
      <c r="N594" s="250" t="n"/>
      <c r="O594" s="250" t="n"/>
      <c r="P594" s="250" t="n"/>
      <c r="Q594" s="250" t="n"/>
      <c r="R594" s="250" t="n"/>
      <c r="S594" s="250" t="n"/>
      <c r="T594" s="250" t="n"/>
      <c r="U594" s="250" t="n"/>
      <c r="V594" s="250" t="n"/>
      <c r="W594" s="250" t="n"/>
      <c r="X594" s="250" t="n"/>
      <c r="Y594" s="250" t="n"/>
      <c r="Z594" s="250" t="n"/>
    </row>
    <row r="595">
      <c r="A595" s="250" t="n"/>
      <c r="B595" s="250" t="n"/>
      <c r="C595" s="250" t="n"/>
      <c r="D595" s="250" t="n"/>
      <c r="E595" s="250" t="n"/>
      <c r="F595" s="250" t="n"/>
      <c r="G595" s="250" t="n"/>
      <c r="H595" s="250" t="n"/>
      <c r="I595" s="250" t="n"/>
      <c r="J595" s="250" t="n"/>
      <c r="K595" s="250" t="n"/>
      <c r="L595" s="250" t="n"/>
      <c r="M595" s="250" t="n"/>
      <c r="N595" s="250" t="n"/>
      <c r="O595" s="250" t="n"/>
      <c r="P595" s="250" t="n"/>
      <c r="Q595" s="250" t="n"/>
      <c r="R595" s="250" t="n"/>
      <c r="S595" s="250" t="n"/>
      <c r="T595" s="250" t="n"/>
      <c r="U595" s="250" t="n"/>
      <c r="V595" s="250" t="n"/>
      <c r="W595" s="250" t="n"/>
      <c r="X595" s="250" t="n"/>
      <c r="Y595" s="250" t="n"/>
      <c r="Z595" s="250" t="n"/>
    </row>
    <row r="596">
      <c r="A596" s="250" t="n"/>
      <c r="B596" s="250" t="n"/>
      <c r="C596" s="250" t="n"/>
      <c r="D596" s="250" t="n"/>
      <c r="E596" s="250" t="n"/>
      <c r="F596" s="250" t="n"/>
      <c r="G596" s="250" t="n"/>
      <c r="H596" s="250" t="n"/>
      <c r="I596" s="250" t="n"/>
      <c r="J596" s="250" t="n"/>
      <c r="K596" s="250" t="n"/>
      <c r="L596" s="250" t="n"/>
      <c r="M596" s="250" t="n"/>
      <c r="N596" s="250" t="n"/>
      <c r="O596" s="250" t="n"/>
      <c r="P596" s="250" t="n"/>
      <c r="Q596" s="250" t="n"/>
      <c r="R596" s="250" t="n"/>
      <c r="S596" s="250" t="n"/>
      <c r="T596" s="250" t="n"/>
      <c r="U596" s="250" t="n"/>
      <c r="V596" s="250" t="n"/>
      <c r="W596" s="250" t="n"/>
      <c r="X596" s="250" t="n"/>
      <c r="Y596" s="250" t="n"/>
      <c r="Z596" s="250" t="n"/>
    </row>
    <row r="597">
      <c r="A597" s="250" t="n"/>
      <c r="B597" s="250" t="n"/>
      <c r="C597" s="250" t="n"/>
      <c r="D597" s="250" t="n"/>
      <c r="E597" s="250" t="n"/>
      <c r="F597" s="250" t="n"/>
      <c r="G597" s="250" t="n"/>
      <c r="H597" s="250" t="n"/>
      <c r="I597" s="250" t="n"/>
      <c r="J597" s="250" t="n"/>
      <c r="K597" s="250" t="n"/>
      <c r="L597" s="250" t="n"/>
      <c r="M597" s="250" t="n"/>
      <c r="N597" s="250" t="n"/>
      <c r="O597" s="250" t="n"/>
      <c r="P597" s="250" t="n"/>
      <c r="Q597" s="250" t="n"/>
      <c r="R597" s="250" t="n"/>
      <c r="S597" s="250" t="n"/>
      <c r="T597" s="250" t="n"/>
      <c r="U597" s="250" t="n"/>
      <c r="V597" s="250" t="n"/>
      <c r="W597" s="250" t="n"/>
      <c r="X597" s="250" t="n"/>
      <c r="Y597" s="250" t="n"/>
      <c r="Z597" s="250" t="n"/>
    </row>
    <row r="598">
      <c r="A598" s="250" t="n"/>
      <c r="B598" s="250" t="n"/>
      <c r="C598" s="250" t="n"/>
      <c r="D598" s="250" t="n"/>
      <c r="E598" s="250" t="n"/>
      <c r="F598" s="250" t="n"/>
      <c r="G598" s="250" t="n"/>
      <c r="H598" s="250" t="n"/>
      <c r="I598" s="250" t="n"/>
      <c r="J598" s="250" t="n"/>
      <c r="K598" s="250" t="n"/>
      <c r="L598" s="250" t="n"/>
      <c r="M598" s="250" t="n"/>
      <c r="N598" s="250" t="n"/>
      <c r="O598" s="250" t="n"/>
      <c r="P598" s="250" t="n"/>
      <c r="Q598" s="250" t="n"/>
      <c r="R598" s="250" t="n"/>
      <c r="S598" s="250" t="n"/>
      <c r="T598" s="250" t="n"/>
      <c r="U598" s="250" t="n"/>
      <c r="V598" s="250" t="n"/>
      <c r="W598" s="250" t="n"/>
      <c r="X598" s="250" t="n"/>
      <c r="Y598" s="250" t="n"/>
      <c r="Z598" s="250" t="n"/>
    </row>
    <row r="599">
      <c r="A599" s="250" t="n"/>
      <c r="B599" s="250" t="n"/>
      <c r="C599" s="250" t="n"/>
      <c r="D599" s="250" t="n"/>
      <c r="E599" s="250" t="n"/>
      <c r="F599" s="250" t="n"/>
      <c r="G599" s="250" t="n"/>
      <c r="H599" s="250" t="n"/>
      <c r="I599" s="250" t="n"/>
      <c r="J599" s="250" t="n"/>
      <c r="K599" s="250" t="n"/>
      <c r="L599" s="250" t="n"/>
      <c r="M599" s="250" t="n"/>
      <c r="N599" s="250" t="n"/>
      <c r="O599" s="250" t="n"/>
      <c r="P599" s="250" t="n"/>
      <c r="Q599" s="250" t="n"/>
      <c r="R599" s="250" t="n"/>
      <c r="S599" s="250" t="n"/>
      <c r="T599" s="250" t="n"/>
      <c r="U599" s="250" t="n"/>
      <c r="V599" s="250" t="n"/>
      <c r="W599" s="250" t="n"/>
      <c r="X599" s="250" t="n"/>
      <c r="Y599" s="250" t="n"/>
      <c r="Z599" s="250" t="n"/>
    </row>
    <row r="600">
      <c r="A600" s="250" t="n"/>
      <c r="B600" s="250" t="n"/>
      <c r="C600" s="250" t="n"/>
      <c r="D600" s="250" t="n"/>
      <c r="E600" s="250" t="n"/>
      <c r="F600" s="250" t="n"/>
      <c r="G600" s="250" t="n"/>
      <c r="H600" s="250" t="n"/>
      <c r="I600" s="250" t="n"/>
      <c r="J600" s="250" t="n"/>
      <c r="K600" s="250" t="n"/>
      <c r="L600" s="250" t="n"/>
      <c r="M600" s="250" t="n"/>
      <c r="N600" s="250" t="n"/>
      <c r="O600" s="250" t="n"/>
      <c r="P600" s="250" t="n"/>
      <c r="Q600" s="250" t="n"/>
      <c r="R600" s="250" t="n"/>
      <c r="S600" s="250" t="n"/>
      <c r="T600" s="250" t="n"/>
      <c r="U600" s="250" t="n"/>
      <c r="V600" s="250" t="n"/>
      <c r="W600" s="250" t="n"/>
      <c r="X600" s="250" t="n"/>
      <c r="Y600" s="250" t="n"/>
      <c r="Z600" s="250" t="n"/>
    </row>
    <row r="601">
      <c r="A601" s="250" t="n"/>
      <c r="B601" s="250" t="n"/>
      <c r="C601" s="250" t="n"/>
      <c r="D601" s="250" t="n"/>
      <c r="E601" s="250" t="n"/>
      <c r="F601" s="250" t="n"/>
      <c r="G601" s="250" t="n"/>
      <c r="H601" s="250" t="n"/>
      <c r="I601" s="250" t="n"/>
      <c r="J601" s="250" t="n"/>
      <c r="K601" s="250" t="n"/>
      <c r="L601" s="250" t="n"/>
      <c r="M601" s="250" t="n"/>
      <c r="N601" s="250" t="n"/>
      <c r="O601" s="250" t="n"/>
      <c r="P601" s="250" t="n"/>
      <c r="Q601" s="250" t="n"/>
      <c r="R601" s="250" t="n"/>
      <c r="S601" s="250" t="n"/>
      <c r="T601" s="250" t="n"/>
      <c r="U601" s="250" t="n"/>
      <c r="V601" s="250" t="n"/>
      <c r="W601" s="250" t="n"/>
      <c r="X601" s="250" t="n"/>
      <c r="Y601" s="250" t="n"/>
      <c r="Z601" s="250" t="n"/>
    </row>
    <row r="602">
      <c r="A602" s="250" t="n"/>
      <c r="B602" s="250" t="n"/>
      <c r="C602" s="250" t="n"/>
      <c r="D602" s="250" t="n"/>
      <c r="E602" s="250" t="n"/>
      <c r="F602" s="250" t="n"/>
      <c r="G602" s="250" t="n"/>
      <c r="H602" s="250" t="n"/>
      <c r="I602" s="250" t="n"/>
      <c r="J602" s="250" t="n"/>
      <c r="K602" s="250" t="n"/>
      <c r="L602" s="250" t="n"/>
      <c r="M602" s="250" t="n"/>
      <c r="N602" s="250" t="n"/>
      <c r="O602" s="250" t="n"/>
      <c r="P602" s="250" t="n"/>
      <c r="Q602" s="250" t="n"/>
      <c r="R602" s="250" t="n"/>
      <c r="S602" s="250" t="n"/>
      <c r="T602" s="250" t="n"/>
      <c r="U602" s="250" t="n"/>
      <c r="V602" s="250" t="n"/>
      <c r="W602" s="250" t="n"/>
      <c r="X602" s="250" t="n"/>
      <c r="Y602" s="250" t="n"/>
      <c r="Z602" s="250" t="n"/>
    </row>
    <row r="603">
      <c r="A603" s="250" t="n"/>
      <c r="B603" s="250" t="n"/>
      <c r="C603" s="250" t="n"/>
      <c r="D603" s="250" t="n"/>
      <c r="E603" s="250" t="n"/>
      <c r="F603" s="250" t="n"/>
      <c r="G603" s="250" t="n"/>
      <c r="H603" s="250" t="n"/>
      <c r="I603" s="250" t="n"/>
      <c r="J603" s="250" t="n"/>
      <c r="K603" s="250" t="n"/>
      <c r="L603" s="250" t="n"/>
      <c r="M603" s="250" t="n"/>
      <c r="N603" s="250" t="n"/>
      <c r="O603" s="250" t="n"/>
      <c r="P603" s="250" t="n"/>
      <c r="Q603" s="250" t="n"/>
      <c r="R603" s="250" t="n"/>
      <c r="S603" s="250" t="n"/>
      <c r="T603" s="250" t="n"/>
      <c r="U603" s="250" t="n"/>
      <c r="V603" s="250" t="n"/>
      <c r="W603" s="250" t="n"/>
      <c r="X603" s="250" t="n"/>
      <c r="Y603" s="250" t="n"/>
      <c r="Z603" s="250" t="n"/>
    </row>
    <row r="604">
      <c r="A604" s="250" t="n"/>
      <c r="B604" s="250" t="n"/>
      <c r="C604" s="250" t="n"/>
      <c r="D604" s="250" t="n"/>
      <c r="E604" s="250" t="n"/>
      <c r="F604" s="250" t="n"/>
      <c r="G604" s="250" t="n"/>
      <c r="H604" s="250" t="n"/>
      <c r="I604" s="250" t="n"/>
      <c r="J604" s="250" t="n"/>
      <c r="K604" s="250" t="n"/>
      <c r="L604" s="250" t="n"/>
      <c r="M604" s="250" t="n"/>
      <c r="N604" s="250" t="n"/>
      <c r="O604" s="250" t="n"/>
      <c r="P604" s="250" t="n"/>
      <c r="Q604" s="250" t="n"/>
      <c r="R604" s="250" t="n"/>
      <c r="S604" s="250" t="n"/>
      <c r="T604" s="250" t="n"/>
      <c r="U604" s="250" t="n"/>
      <c r="V604" s="250" t="n"/>
      <c r="W604" s="250" t="n"/>
      <c r="X604" s="250" t="n"/>
      <c r="Y604" s="250" t="n"/>
      <c r="Z604" s="250" t="n"/>
    </row>
    <row r="605">
      <c r="A605" s="250" t="n"/>
      <c r="B605" s="250" t="n"/>
      <c r="C605" s="250" t="n"/>
      <c r="D605" s="250" t="n"/>
      <c r="E605" s="250" t="n"/>
      <c r="F605" s="250" t="n"/>
      <c r="G605" s="250" t="n"/>
      <c r="H605" s="250" t="n"/>
      <c r="I605" s="250" t="n"/>
      <c r="J605" s="250" t="n"/>
      <c r="K605" s="250" t="n"/>
      <c r="L605" s="250" t="n"/>
      <c r="M605" s="250" t="n"/>
      <c r="N605" s="250" t="n"/>
      <c r="O605" s="250" t="n"/>
      <c r="P605" s="250" t="n"/>
      <c r="Q605" s="250" t="n"/>
      <c r="R605" s="250" t="n"/>
      <c r="S605" s="250" t="n"/>
      <c r="T605" s="250" t="n"/>
      <c r="U605" s="250" t="n"/>
      <c r="V605" s="250" t="n"/>
      <c r="W605" s="250" t="n"/>
      <c r="X605" s="250" t="n"/>
      <c r="Y605" s="250" t="n"/>
      <c r="Z605" s="250" t="n"/>
    </row>
    <row r="606">
      <c r="A606" s="250" t="n"/>
      <c r="B606" s="250" t="n"/>
      <c r="C606" s="250" t="n"/>
      <c r="D606" s="250" t="n"/>
      <c r="E606" s="250" t="n"/>
      <c r="F606" s="250" t="n"/>
      <c r="G606" s="250" t="n"/>
      <c r="H606" s="250" t="n"/>
      <c r="I606" s="250" t="n"/>
      <c r="J606" s="250" t="n"/>
      <c r="K606" s="250" t="n"/>
      <c r="L606" s="250" t="n"/>
      <c r="M606" s="250" t="n"/>
      <c r="N606" s="250" t="n"/>
      <c r="O606" s="250" t="n"/>
      <c r="P606" s="250" t="n"/>
      <c r="Q606" s="250" t="n"/>
      <c r="R606" s="250" t="n"/>
      <c r="S606" s="250" t="n"/>
      <c r="T606" s="250" t="n"/>
      <c r="U606" s="250" t="n"/>
      <c r="V606" s="250" t="n"/>
      <c r="W606" s="250" t="n"/>
      <c r="X606" s="250" t="n"/>
      <c r="Y606" s="250" t="n"/>
      <c r="Z606" s="250" t="n"/>
    </row>
    <row r="607">
      <c r="A607" s="250" t="n"/>
      <c r="B607" s="250" t="n"/>
      <c r="C607" s="250" t="n"/>
      <c r="D607" s="250" t="n"/>
      <c r="E607" s="250" t="n"/>
      <c r="F607" s="250" t="n"/>
      <c r="G607" s="250" t="n"/>
      <c r="H607" s="250" t="n"/>
      <c r="I607" s="250" t="n"/>
      <c r="J607" s="250" t="n"/>
      <c r="K607" s="250" t="n"/>
      <c r="L607" s="250" t="n"/>
      <c r="M607" s="250" t="n"/>
      <c r="N607" s="250" t="n"/>
      <c r="O607" s="250" t="n"/>
      <c r="P607" s="250" t="n"/>
      <c r="Q607" s="250" t="n"/>
      <c r="R607" s="250" t="n"/>
      <c r="S607" s="250" t="n"/>
      <c r="T607" s="250" t="n"/>
      <c r="U607" s="250" t="n"/>
      <c r="V607" s="250" t="n"/>
      <c r="W607" s="250" t="n"/>
      <c r="X607" s="250" t="n"/>
      <c r="Y607" s="250" t="n"/>
      <c r="Z607" s="250" t="n"/>
    </row>
    <row r="608">
      <c r="A608" s="250" t="n"/>
      <c r="B608" s="250" t="n"/>
      <c r="C608" s="250" t="n"/>
      <c r="D608" s="250" t="n"/>
      <c r="E608" s="250" t="n"/>
      <c r="F608" s="250" t="n"/>
      <c r="G608" s="250" t="n"/>
      <c r="H608" s="250" t="n"/>
      <c r="I608" s="250" t="n"/>
      <c r="J608" s="250" t="n"/>
      <c r="K608" s="250" t="n"/>
      <c r="L608" s="250" t="n"/>
      <c r="M608" s="250" t="n"/>
      <c r="N608" s="250" t="n"/>
      <c r="O608" s="250" t="n"/>
      <c r="P608" s="250" t="n"/>
      <c r="Q608" s="250" t="n"/>
      <c r="R608" s="250" t="n"/>
      <c r="S608" s="250" t="n"/>
      <c r="T608" s="250" t="n"/>
      <c r="U608" s="250" t="n"/>
      <c r="V608" s="250" t="n"/>
      <c r="W608" s="250" t="n"/>
      <c r="X608" s="250" t="n"/>
      <c r="Y608" s="250" t="n"/>
      <c r="Z608" s="250" t="n"/>
    </row>
    <row r="609">
      <c r="A609" s="250" t="n"/>
      <c r="B609" s="250" t="n"/>
      <c r="C609" s="250" t="n"/>
      <c r="D609" s="250" t="n"/>
      <c r="E609" s="250" t="n"/>
      <c r="F609" s="250" t="n"/>
      <c r="G609" s="250" t="n"/>
      <c r="H609" s="250" t="n"/>
      <c r="I609" s="250" t="n"/>
      <c r="J609" s="250" t="n"/>
      <c r="K609" s="250" t="n"/>
      <c r="L609" s="250" t="n"/>
      <c r="M609" s="250" t="n"/>
      <c r="N609" s="250" t="n"/>
      <c r="O609" s="250" t="n"/>
      <c r="P609" s="250" t="n"/>
      <c r="Q609" s="250" t="n"/>
      <c r="R609" s="250" t="n"/>
      <c r="S609" s="250" t="n"/>
      <c r="T609" s="250" t="n"/>
      <c r="U609" s="250" t="n"/>
      <c r="V609" s="250" t="n"/>
      <c r="W609" s="250" t="n"/>
      <c r="X609" s="250" t="n"/>
      <c r="Y609" s="250" t="n"/>
      <c r="Z609" s="250" t="n"/>
    </row>
    <row r="610">
      <c r="A610" s="250" t="n"/>
      <c r="B610" s="250" t="n"/>
      <c r="C610" s="250" t="n"/>
      <c r="D610" s="250" t="n"/>
      <c r="E610" s="250" t="n"/>
      <c r="F610" s="250" t="n"/>
      <c r="G610" s="250" t="n"/>
      <c r="H610" s="250" t="n"/>
      <c r="I610" s="250" t="n"/>
      <c r="J610" s="250" t="n"/>
      <c r="K610" s="250" t="n"/>
      <c r="L610" s="250" t="n"/>
      <c r="M610" s="250" t="n"/>
      <c r="N610" s="250" t="n"/>
      <c r="O610" s="250" t="n"/>
      <c r="P610" s="250" t="n"/>
      <c r="Q610" s="250" t="n"/>
      <c r="R610" s="250" t="n"/>
      <c r="S610" s="250" t="n"/>
      <c r="T610" s="250" t="n"/>
      <c r="U610" s="250" t="n"/>
      <c r="V610" s="250" t="n"/>
      <c r="W610" s="250" t="n"/>
      <c r="X610" s="250" t="n"/>
      <c r="Y610" s="250" t="n"/>
      <c r="Z610" s="250" t="n"/>
    </row>
    <row r="611">
      <c r="A611" s="250" t="n"/>
      <c r="B611" s="250" t="n"/>
      <c r="C611" s="250" t="n"/>
      <c r="D611" s="250" t="n"/>
      <c r="E611" s="250" t="n"/>
      <c r="F611" s="250" t="n"/>
      <c r="G611" s="250" t="n"/>
      <c r="H611" s="250" t="n"/>
      <c r="I611" s="250" t="n"/>
      <c r="J611" s="250" t="n"/>
      <c r="K611" s="250" t="n"/>
      <c r="L611" s="250" t="n"/>
      <c r="M611" s="250" t="n"/>
      <c r="N611" s="250" t="n"/>
      <c r="O611" s="250" t="n"/>
      <c r="P611" s="250" t="n"/>
      <c r="Q611" s="250" t="n"/>
      <c r="R611" s="250" t="n"/>
      <c r="S611" s="250" t="n"/>
      <c r="T611" s="250" t="n"/>
      <c r="U611" s="250" t="n"/>
      <c r="V611" s="250" t="n"/>
      <c r="W611" s="250" t="n"/>
      <c r="X611" s="250" t="n"/>
      <c r="Y611" s="250" t="n"/>
      <c r="Z611" s="250" t="n"/>
    </row>
    <row r="612">
      <c r="A612" s="250" t="n"/>
      <c r="B612" s="250" t="n"/>
      <c r="C612" s="250" t="n"/>
      <c r="D612" s="250" t="n"/>
      <c r="E612" s="250" t="n"/>
      <c r="F612" s="250" t="n"/>
      <c r="G612" s="250" t="n"/>
      <c r="H612" s="250" t="n"/>
      <c r="I612" s="250" t="n"/>
      <c r="J612" s="250" t="n"/>
      <c r="K612" s="250" t="n"/>
      <c r="L612" s="250" t="n"/>
      <c r="M612" s="250" t="n"/>
      <c r="N612" s="250" t="n"/>
      <c r="O612" s="250" t="n"/>
      <c r="P612" s="250" t="n"/>
      <c r="Q612" s="250" t="n"/>
      <c r="R612" s="250" t="n"/>
      <c r="S612" s="250" t="n"/>
      <c r="T612" s="250" t="n"/>
      <c r="U612" s="250" t="n"/>
      <c r="V612" s="250" t="n"/>
      <c r="W612" s="250" t="n"/>
      <c r="X612" s="250" t="n"/>
      <c r="Y612" s="250" t="n"/>
      <c r="Z612" s="250" t="n"/>
    </row>
    <row r="613">
      <c r="A613" s="250" t="n"/>
      <c r="B613" s="250" t="n"/>
      <c r="C613" s="250" t="n"/>
      <c r="D613" s="250" t="n"/>
      <c r="E613" s="250" t="n"/>
      <c r="F613" s="250" t="n"/>
      <c r="G613" s="250" t="n"/>
      <c r="H613" s="250" t="n"/>
      <c r="I613" s="250" t="n"/>
      <c r="J613" s="250" t="n"/>
      <c r="K613" s="250" t="n"/>
      <c r="L613" s="250" t="n"/>
      <c r="M613" s="250" t="n"/>
      <c r="N613" s="250" t="n"/>
      <c r="O613" s="250" t="n"/>
      <c r="P613" s="250" t="n"/>
      <c r="Q613" s="250" t="n"/>
      <c r="R613" s="250" t="n"/>
      <c r="S613" s="250" t="n"/>
      <c r="T613" s="250" t="n"/>
      <c r="U613" s="250" t="n"/>
      <c r="V613" s="250" t="n"/>
      <c r="W613" s="250" t="n"/>
      <c r="X613" s="250" t="n"/>
      <c r="Y613" s="250" t="n"/>
      <c r="Z613" s="250" t="n"/>
    </row>
    <row r="614">
      <c r="A614" s="250" t="n"/>
      <c r="B614" s="250" t="n"/>
      <c r="C614" s="250" t="n"/>
      <c r="D614" s="250" t="n"/>
      <c r="E614" s="250" t="n"/>
      <c r="F614" s="250" t="n"/>
      <c r="G614" s="250" t="n"/>
      <c r="H614" s="250" t="n"/>
      <c r="I614" s="250" t="n"/>
      <c r="J614" s="250" t="n"/>
      <c r="K614" s="250" t="n"/>
      <c r="L614" s="250" t="n"/>
      <c r="M614" s="250" t="n"/>
      <c r="N614" s="250" t="n"/>
      <c r="O614" s="250" t="n"/>
      <c r="P614" s="250" t="n"/>
      <c r="Q614" s="250" t="n"/>
      <c r="R614" s="250" t="n"/>
      <c r="S614" s="250" t="n"/>
      <c r="T614" s="250" t="n"/>
      <c r="U614" s="250" t="n"/>
      <c r="V614" s="250" t="n"/>
      <c r="W614" s="250" t="n"/>
      <c r="X614" s="250" t="n"/>
      <c r="Y614" s="250" t="n"/>
      <c r="Z614" s="250" t="n"/>
    </row>
    <row r="615">
      <c r="A615" s="250" t="n"/>
      <c r="B615" s="250" t="n"/>
      <c r="C615" s="250" t="n"/>
      <c r="D615" s="250" t="n"/>
      <c r="E615" s="250" t="n"/>
      <c r="F615" s="250" t="n"/>
      <c r="G615" s="250" t="n"/>
      <c r="H615" s="250" t="n"/>
      <c r="I615" s="250" t="n"/>
      <c r="J615" s="250" t="n"/>
      <c r="K615" s="250" t="n"/>
      <c r="L615" s="250" t="n"/>
      <c r="M615" s="250" t="n"/>
      <c r="N615" s="250" t="n"/>
      <c r="O615" s="250" t="n"/>
      <c r="P615" s="250" t="n"/>
      <c r="Q615" s="250" t="n"/>
      <c r="R615" s="250" t="n"/>
      <c r="S615" s="250" t="n"/>
      <c r="T615" s="250" t="n"/>
      <c r="U615" s="250" t="n"/>
      <c r="V615" s="250" t="n"/>
      <c r="W615" s="250" t="n"/>
      <c r="X615" s="250" t="n"/>
      <c r="Y615" s="250" t="n"/>
      <c r="Z615" s="250" t="n"/>
    </row>
    <row r="616">
      <c r="A616" s="250" t="n"/>
      <c r="B616" s="250" t="n"/>
      <c r="C616" s="250" t="n"/>
      <c r="D616" s="250" t="n"/>
      <c r="E616" s="250" t="n"/>
      <c r="F616" s="250" t="n"/>
      <c r="G616" s="250" t="n"/>
      <c r="H616" s="250" t="n"/>
      <c r="I616" s="250" t="n"/>
      <c r="J616" s="250" t="n"/>
      <c r="K616" s="250" t="n"/>
      <c r="L616" s="250" t="n"/>
      <c r="M616" s="250" t="n"/>
      <c r="N616" s="250" t="n"/>
      <c r="O616" s="250" t="n"/>
      <c r="P616" s="250" t="n"/>
      <c r="Q616" s="250" t="n"/>
      <c r="R616" s="250" t="n"/>
      <c r="S616" s="250" t="n"/>
      <c r="T616" s="250" t="n"/>
      <c r="U616" s="250" t="n"/>
      <c r="V616" s="250" t="n"/>
      <c r="W616" s="250" t="n"/>
      <c r="X616" s="250" t="n"/>
      <c r="Y616" s="250" t="n"/>
      <c r="Z616" s="250" t="n"/>
    </row>
    <row r="617">
      <c r="A617" s="250" t="n"/>
      <c r="B617" s="250" t="n"/>
      <c r="C617" s="250" t="n"/>
      <c r="D617" s="250" t="n"/>
      <c r="E617" s="250" t="n"/>
      <c r="F617" s="250" t="n"/>
      <c r="G617" s="250" t="n"/>
      <c r="H617" s="250" t="n"/>
      <c r="I617" s="250" t="n"/>
      <c r="J617" s="250" t="n"/>
      <c r="K617" s="250" t="n"/>
      <c r="L617" s="250" t="n"/>
      <c r="M617" s="250" t="n"/>
      <c r="N617" s="250" t="n"/>
      <c r="O617" s="250" t="n"/>
      <c r="P617" s="250" t="n"/>
      <c r="Q617" s="250" t="n"/>
      <c r="R617" s="250" t="n"/>
      <c r="S617" s="250" t="n"/>
      <c r="T617" s="250" t="n"/>
      <c r="U617" s="250" t="n"/>
      <c r="V617" s="250" t="n"/>
      <c r="W617" s="250" t="n"/>
      <c r="X617" s="250" t="n"/>
      <c r="Y617" s="250" t="n"/>
      <c r="Z617" s="250" t="n"/>
    </row>
    <row r="618">
      <c r="A618" s="250" t="n"/>
      <c r="B618" s="250" t="n"/>
      <c r="C618" s="250" t="n"/>
      <c r="D618" s="250" t="n"/>
      <c r="E618" s="250" t="n"/>
      <c r="F618" s="250" t="n"/>
      <c r="G618" s="250" t="n"/>
      <c r="H618" s="250" t="n"/>
      <c r="I618" s="250" t="n"/>
      <c r="J618" s="250" t="n"/>
      <c r="K618" s="250" t="n"/>
      <c r="L618" s="250" t="n"/>
      <c r="M618" s="250" t="n"/>
      <c r="N618" s="250" t="n"/>
      <c r="O618" s="250" t="n"/>
      <c r="P618" s="250" t="n"/>
      <c r="Q618" s="250" t="n"/>
      <c r="R618" s="250" t="n"/>
      <c r="S618" s="250" t="n"/>
      <c r="T618" s="250" t="n"/>
      <c r="U618" s="250" t="n"/>
      <c r="V618" s="250" t="n"/>
      <c r="W618" s="250" t="n"/>
      <c r="X618" s="250" t="n"/>
      <c r="Y618" s="250" t="n"/>
      <c r="Z618" s="250" t="n"/>
    </row>
    <row r="619">
      <c r="A619" s="250" t="n"/>
      <c r="B619" s="250" t="n"/>
      <c r="C619" s="250" t="n"/>
      <c r="D619" s="250" t="n"/>
      <c r="E619" s="250" t="n"/>
      <c r="F619" s="250" t="n"/>
      <c r="G619" s="250" t="n"/>
      <c r="H619" s="250" t="n"/>
      <c r="I619" s="250" t="n"/>
      <c r="J619" s="250" t="n"/>
      <c r="K619" s="250" t="n"/>
      <c r="L619" s="250" t="n"/>
      <c r="M619" s="250" t="n"/>
      <c r="N619" s="250" t="n"/>
      <c r="O619" s="250" t="n"/>
      <c r="P619" s="250" t="n"/>
      <c r="Q619" s="250" t="n"/>
      <c r="R619" s="250" t="n"/>
      <c r="S619" s="250" t="n"/>
      <c r="T619" s="250" t="n"/>
      <c r="U619" s="250" t="n"/>
      <c r="V619" s="250" t="n"/>
      <c r="W619" s="250" t="n"/>
      <c r="X619" s="250" t="n"/>
      <c r="Y619" s="250" t="n"/>
      <c r="Z619" s="250" t="n"/>
    </row>
    <row r="620">
      <c r="A620" s="250" t="n"/>
      <c r="B620" s="250" t="n"/>
      <c r="C620" s="250" t="n"/>
      <c r="D620" s="250" t="n"/>
      <c r="E620" s="250" t="n"/>
      <c r="F620" s="250" t="n"/>
      <c r="G620" s="250" t="n"/>
      <c r="H620" s="250" t="n"/>
      <c r="I620" s="250" t="n"/>
      <c r="J620" s="250" t="n"/>
      <c r="K620" s="250" t="n"/>
      <c r="L620" s="250" t="n"/>
      <c r="M620" s="250" t="n"/>
      <c r="N620" s="250" t="n"/>
      <c r="O620" s="250" t="n"/>
      <c r="P620" s="250" t="n"/>
      <c r="Q620" s="250" t="n"/>
      <c r="R620" s="250" t="n"/>
      <c r="S620" s="250" t="n"/>
      <c r="T620" s="250" t="n"/>
      <c r="U620" s="250" t="n"/>
      <c r="V620" s="250" t="n"/>
      <c r="W620" s="250" t="n"/>
      <c r="X620" s="250" t="n"/>
      <c r="Y620" s="250" t="n"/>
      <c r="Z620" s="250" t="n"/>
    </row>
    <row r="621">
      <c r="A621" s="250" t="n"/>
      <c r="B621" s="250" t="n"/>
      <c r="C621" s="250" t="n"/>
      <c r="D621" s="250" t="n"/>
      <c r="E621" s="250" t="n"/>
      <c r="F621" s="250" t="n"/>
      <c r="G621" s="250" t="n"/>
      <c r="H621" s="250" t="n"/>
      <c r="I621" s="250" t="n"/>
      <c r="J621" s="250" t="n"/>
      <c r="K621" s="250" t="n"/>
      <c r="L621" s="250" t="n"/>
      <c r="M621" s="250" t="n"/>
      <c r="N621" s="250" t="n"/>
      <c r="O621" s="250" t="n"/>
      <c r="P621" s="250" t="n"/>
      <c r="Q621" s="250" t="n"/>
      <c r="R621" s="250" t="n"/>
      <c r="S621" s="250" t="n"/>
      <c r="T621" s="250" t="n"/>
      <c r="U621" s="250" t="n"/>
      <c r="V621" s="250" t="n"/>
      <c r="W621" s="250" t="n"/>
      <c r="X621" s="250" t="n"/>
      <c r="Y621" s="250" t="n"/>
      <c r="Z621" s="250" t="n"/>
    </row>
    <row r="622">
      <c r="A622" s="250" t="n"/>
      <c r="B622" s="250" t="n"/>
      <c r="C622" s="250" t="n"/>
      <c r="D622" s="250" t="n"/>
      <c r="E622" s="250" t="n"/>
      <c r="F622" s="250" t="n"/>
      <c r="G622" s="250" t="n"/>
      <c r="H622" s="250" t="n"/>
      <c r="I622" s="250" t="n"/>
      <c r="J622" s="250" t="n"/>
      <c r="K622" s="250" t="n"/>
      <c r="L622" s="250" t="n"/>
      <c r="M622" s="250" t="n"/>
      <c r="N622" s="250" t="n"/>
      <c r="O622" s="250" t="n"/>
      <c r="P622" s="250" t="n"/>
      <c r="Q622" s="250" t="n"/>
      <c r="R622" s="250" t="n"/>
      <c r="S622" s="250" t="n"/>
      <c r="T622" s="250" t="n"/>
      <c r="U622" s="250" t="n"/>
      <c r="V622" s="250" t="n"/>
      <c r="W622" s="250" t="n"/>
      <c r="X622" s="250" t="n"/>
      <c r="Y622" s="250" t="n"/>
      <c r="Z622" s="250" t="n"/>
    </row>
    <row r="623">
      <c r="A623" s="250" t="n"/>
      <c r="B623" s="250" t="n"/>
      <c r="C623" s="250" t="n"/>
      <c r="D623" s="250" t="n"/>
      <c r="E623" s="250" t="n"/>
      <c r="F623" s="250" t="n"/>
      <c r="G623" s="250" t="n"/>
      <c r="H623" s="250" t="n"/>
      <c r="I623" s="250" t="n"/>
      <c r="J623" s="250" t="n"/>
      <c r="K623" s="250" t="n"/>
      <c r="L623" s="250" t="n"/>
      <c r="M623" s="250" t="n"/>
      <c r="N623" s="250" t="n"/>
      <c r="O623" s="250" t="n"/>
      <c r="P623" s="250" t="n"/>
      <c r="Q623" s="250" t="n"/>
      <c r="R623" s="250" t="n"/>
      <c r="S623" s="250" t="n"/>
      <c r="T623" s="250" t="n"/>
      <c r="U623" s="250" t="n"/>
      <c r="V623" s="250" t="n"/>
      <c r="W623" s="250" t="n"/>
      <c r="X623" s="250" t="n"/>
      <c r="Y623" s="250" t="n"/>
      <c r="Z623" s="250" t="n"/>
    </row>
    <row r="624">
      <c r="A624" s="250" t="n"/>
      <c r="B624" s="250" t="n"/>
      <c r="C624" s="250" t="n"/>
      <c r="D624" s="250" t="n"/>
      <c r="E624" s="250" t="n"/>
      <c r="F624" s="250" t="n"/>
      <c r="G624" s="250" t="n"/>
      <c r="H624" s="250" t="n"/>
      <c r="I624" s="250" t="n"/>
      <c r="J624" s="250" t="n"/>
      <c r="K624" s="250" t="n"/>
      <c r="L624" s="250" t="n"/>
      <c r="M624" s="250" t="n"/>
      <c r="N624" s="250" t="n"/>
      <c r="O624" s="250" t="n"/>
      <c r="P624" s="250" t="n"/>
      <c r="Q624" s="250" t="n"/>
      <c r="R624" s="250" t="n"/>
      <c r="S624" s="250" t="n"/>
      <c r="T624" s="250" t="n"/>
      <c r="U624" s="250" t="n"/>
      <c r="V624" s="250" t="n"/>
      <c r="W624" s="250" t="n"/>
      <c r="X624" s="250" t="n"/>
      <c r="Y624" s="250" t="n"/>
      <c r="Z624" s="250" t="n"/>
    </row>
    <row r="625">
      <c r="A625" s="250" t="n"/>
      <c r="B625" s="250" t="n"/>
      <c r="C625" s="250" t="n"/>
      <c r="D625" s="250" t="n"/>
      <c r="E625" s="250" t="n"/>
      <c r="F625" s="250" t="n"/>
      <c r="G625" s="250" t="n"/>
      <c r="H625" s="250" t="n"/>
      <c r="I625" s="250" t="n"/>
      <c r="J625" s="250" t="n"/>
      <c r="K625" s="250" t="n"/>
      <c r="L625" s="250" t="n"/>
      <c r="M625" s="250" t="n"/>
      <c r="N625" s="250" t="n"/>
      <c r="O625" s="250" t="n"/>
      <c r="P625" s="250" t="n"/>
      <c r="Q625" s="250" t="n"/>
      <c r="R625" s="250" t="n"/>
      <c r="S625" s="250" t="n"/>
      <c r="T625" s="250" t="n"/>
      <c r="U625" s="250" t="n"/>
      <c r="V625" s="250" t="n"/>
      <c r="W625" s="250" t="n"/>
      <c r="X625" s="250" t="n"/>
      <c r="Y625" s="250" t="n"/>
      <c r="Z625" s="250" t="n"/>
    </row>
    <row r="626">
      <c r="A626" s="250" t="n"/>
      <c r="B626" s="250" t="n"/>
      <c r="C626" s="250" t="n"/>
      <c r="D626" s="250" t="n"/>
      <c r="E626" s="250" t="n"/>
      <c r="F626" s="250" t="n"/>
      <c r="G626" s="250" t="n"/>
      <c r="H626" s="250" t="n"/>
      <c r="I626" s="250" t="n"/>
      <c r="J626" s="250" t="n"/>
      <c r="K626" s="250" t="n"/>
      <c r="L626" s="250" t="n"/>
      <c r="M626" s="250" t="n"/>
      <c r="N626" s="250" t="n"/>
      <c r="O626" s="250" t="n"/>
      <c r="P626" s="250" t="n"/>
      <c r="Q626" s="250" t="n"/>
      <c r="R626" s="250" t="n"/>
      <c r="S626" s="250" t="n"/>
      <c r="T626" s="250" t="n"/>
      <c r="U626" s="250" t="n"/>
      <c r="V626" s="250" t="n"/>
      <c r="W626" s="250" t="n"/>
      <c r="X626" s="250" t="n"/>
      <c r="Y626" s="250" t="n"/>
      <c r="Z626" s="250" t="n"/>
    </row>
    <row r="627">
      <c r="A627" s="250" t="n"/>
      <c r="B627" s="250" t="n"/>
      <c r="C627" s="250" t="n"/>
      <c r="D627" s="250" t="n"/>
      <c r="E627" s="250" t="n"/>
      <c r="F627" s="250" t="n"/>
      <c r="G627" s="250" t="n"/>
      <c r="H627" s="250" t="n"/>
      <c r="I627" s="250" t="n"/>
      <c r="J627" s="250" t="n"/>
      <c r="K627" s="250" t="n"/>
      <c r="L627" s="250" t="n"/>
      <c r="M627" s="250" t="n"/>
      <c r="N627" s="250" t="n"/>
      <c r="O627" s="250" t="n"/>
      <c r="P627" s="250" t="n"/>
      <c r="Q627" s="250" t="n"/>
      <c r="R627" s="250" t="n"/>
      <c r="S627" s="250" t="n"/>
      <c r="T627" s="250" t="n"/>
      <c r="U627" s="250" t="n"/>
      <c r="V627" s="250" t="n"/>
      <c r="W627" s="250" t="n"/>
      <c r="X627" s="250" t="n"/>
      <c r="Y627" s="250" t="n"/>
      <c r="Z627" s="250" t="n"/>
    </row>
    <row r="628">
      <c r="A628" s="250" t="n"/>
      <c r="B628" s="250" t="n"/>
      <c r="C628" s="250" t="n"/>
      <c r="D628" s="250" t="n"/>
      <c r="E628" s="250" t="n"/>
      <c r="F628" s="250" t="n"/>
      <c r="G628" s="250" t="n"/>
      <c r="H628" s="250" t="n"/>
      <c r="I628" s="250" t="n"/>
      <c r="J628" s="250" t="n"/>
      <c r="K628" s="250" t="n"/>
      <c r="L628" s="250" t="n"/>
      <c r="M628" s="250" t="n"/>
      <c r="N628" s="250" t="n"/>
      <c r="O628" s="250" t="n"/>
      <c r="P628" s="250" t="n"/>
      <c r="Q628" s="250" t="n"/>
      <c r="R628" s="250" t="n"/>
      <c r="S628" s="250" t="n"/>
      <c r="T628" s="250" t="n"/>
      <c r="U628" s="250" t="n"/>
      <c r="V628" s="250" t="n"/>
      <c r="W628" s="250" t="n"/>
      <c r="X628" s="250" t="n"/>
      <c r="Y628" s="250" t="n"/>
      <c r="Z628" s="250" t="n"/>
    </row>
    <row r="629">
      <c r="A629" s="250" t="n"/>
      <c r="B629" s="250" t="n"/>
      <c r="C629" s="250" t="n"/>
      <c r="D629" s="250" t="n"/>
      <c r="E629" s="250" t="n"/>
      <c r="F629" s="250" t="n"/>
      <c r="G629" s="250" t="n"/>
      <c r="H629" s="250" t="n"/>
      <c r="I629" s="250" t="n"/>
      <c r="J629" s="250" t="n"/>
      <c r="K629" s="250" t="n"/>
      <c r="L629" s="250" t="n"/>
      <c r="M629" s="250" t="n"/>
      <c r="N629" s="250" t="n"/>
      <c r="O629" s="250" t="n"/>
      <c r="P629" s="250" t="n"/>
      <c r="Q629" s="250" t="n"/>
      <c r="R629" s="250" t="n"/>
      <c r="S629" s="250" t="n"/>
      <c r="T629" s="250" t="n"/>
      <c r="U629" s="250" t="n"/>
      <c r="V629" s="250" t="n"/>
      <c r="W629" s="250" t="n"/>
      <c r="X629" s="250" t="n"/>
      <c r="Y629" s="250" t="n"/>
      <c r="Z629" s="250" t="n"/>
    </row>
    <row r="630">
      <c r="A630" s="250" t="n"/>
      <c r="B630" s="250" t="n"/>
      <c r="C630" s="250" t="n"/>
      <c r="D630" s="250" t="n"/>
      <c r="E630" s="250" t="n"/>
      <c r="F630" s="250" t="n"/>
      <c r="G630" s="250" t="n"/>
      <c r="H630" s="250" t="n"/>
      <c r="I630" s="250" t="n"/>
      <c r="J630" s="250" t="n"/>
      <c r="K630" s="250" t="n"/>
      <c r="L630" s="250" t="n"/>
      <c r="M630" s="250" t="n"/>
      <c r="N630" s="250" t="n"/>
      <c r="O630" s="250" t="n"/>
      <c r="P630" s="250" t="n"/>
      <c r="Q630" s="250" t="n"/>
      <c r="R630" s="250" t="n"/>
      <c r="S630" s="250" t="n"/>
      <c r="T630" s="250" t="n"/>
      <c r="U630" s="250" t="n"/>
      <c r="V630" s="250" t="n"/>
      <c r="W630" s="250" t="n"/>
      <c r="X630" s="250" t="n"/>
      <c r="Y630" s="250" t="n"/>
      <c r="Z630" s="250" t="n"/>
    </row>
    <row r="631">
      <c r="A631" s="250" t="n"/>
      <c r="B631" s="250" t="n"/>
      <c r="C631" s="250" t="n"/>
      <c r="D631" s="250" t="n"/>
      <c r="E631" s="250" t="n"/>
      <c r="F631" s="250" t="n"/>
      <c r="G631" s="250" t="n"/>
      <c r="H631" s="250" t="n"/>
      <c r="I631" s="250" t="n"/>
      <c r="J631" s="250" t="n"/>
      <c r="K631" s="250" t="n"/>
      <c r="L631" s="250" t="n"/>
      <c r="M631" s="250" t="n"/>
      <c r="N631" s="250" t="n"/>
      <c r="O631" s="250" t="n"/>
      <c r="P631" s="250" t="n"/>
      <c r="Q631" s="250" t="n"/>
      <c r="R631" s="250" t="n"/>
      <c r="S631" s="250" t="n"/>
      <c r="T631" s="250" t="n"/>
      <c r="U631" s="250" t="n"/>
      <c r="V631" s="250" t="n"/>
      <c r="W631" s="250" t="n"/>
      <c r="X631" s="250" t="n"/>
      <c r="Y631" s="250" t="n"/>
      <c r="Z631" s="250" t="n"/>
    </row>
    <row r="632">
      <c r="A632" s="250" t="n"/>
      <c r="B632" s="250" t="n"/>
      <c r="C632" s="250" t="n"/>
      <c r="D632" s="250" t="n"/>
      <c r="E632" s="250" t="n"/>
      <c r="F632" s="250" t="n"/>
      <c r="G632" s="250" t="n"/>
      <c r="H632" s="250" t="n"/>
      <c r="I632" s="250" t="n"/>
      <c r="J632" s="250" t="n"/>
      <c r="K632" s="250" t="n"/>
      <c r="L632" s="250" t="n"/>
      <c r="M632" s="250" t="n"/>
      <c r="N632" s="250" t="n"/>
      <c r="O632" s="250" t="n"/>
      <c r="P632" s="250" t="n"/>
      <c r="Q632" s="250" t="n"/>
      <c r="R632" s="250" t="n"/>
      <c r="S632" s="250" t="n"/>
      <c r="T632" s="250" t="n"/>
      <c r="U632" s="250" t="n"/>
      <c r="V632" s="250" t="n"/>
      <c r="W632" s="250" t="n"/>
      <c r="X632" s="250" t="n"/>
      <c r="Y632" s="250" t="n"/>
      <c r="Z632" s="250" t="n"/>
    </row>
    <row r="633">
      <c r="A633" s="250" t="n"/>
      <c r="B633" s="250" t="n"/>
      <c r="C633" s="250" t="n"/>
      <c r="D633" s="250" t="n"/>
      <c r="E633" s="250" t="n"/>
      <c r="F633" s="250" t="n"/>
      <c r="G633" s="250" t="n"/>
      <c r="H633" s="250" t="n"/>
      <c r="I633" s="250" t="n"/>
      <c r="J633" s="250" t="n"/>
      <c r="K633" s="250" t="n"/>
      <c r="L633" s="250" t="n"/>
      <c r="M633" s="250" t="n"/>
      <c r="N633" s="250" t="n"/>
      <c r="O633" s="250" t="n"/>
      <c r="P633" s="250" t="n"/>
      <c r="Q633" s="250" t="n"/>
      <c r="R633" s="250" t="n"/>
      <c r="S633" s="250" t="n"/>
      <c r="T633" s="250" t="n"/>
      <c r="U633" s="250" t="n"/>
      <c r="V633" s="250" t="n"/>
      <c r="W633" s="250" t="n"/>
      <c r="X633" s="250" t="n"/>
      <c r="Y633" s="250" t="n"/>
      <c r="Z633" s="250" t="n"/>
    </row>
    <row r="634">
      <c r="A634" s="250" t="n"/>
      <c r="B634" s="250" t="n"/>
      <c r="C634" s="250" t="n"/>
      <c r="D634" s="250" t="n"/>
      <c r="E634" s="250" t="n"/>
      <c r="F634" s="250" t="n"/>
      <c r="G634" s="250" t="n"/>
      <c r="H634" s="250" t="n"/>
      <c r="I634" s="250" t="n"/>
      <c r="J634" s="250" t="n"/>
      <c r="K634" s="250" t="n"/>
      <c r="L634" s="250" t="n"/>
      <c r="M634" s="250" t="n"/>
      <c r="N634" s="250" t="n"/>
      <c r="O634" s="250" t="n"/>
      <c r="P634" s="250" t="n"/>
      <c r="Q634" s="250" t="n"/>
      <c r="R634" s="250" t="n"/>
      <c r="S634" s="250" t="n"/>
      <c r="T634" s="250" t="n"/>
      <c r="U634" s="250" t="n"/>
      <c r="V634" s="250" t="n"/>
      <c r="W634" s="250" t="n"/>
      <c r="X634" s="250" t="n"/>
      <c r="Y634" s="250" t="n"/>
      <c r="Z634" s="250" t="n"/>
    </row>
    <row r="635">
      <c r="A635" s="250" t="n"/>
      <c r="B635" s="250" t="n"/>
      <c r="C635" s="250" t="n"/>
      <c r="D635" s="250" t="n"/>
      <c r="E635" s="250" t="n"/>
      <c r="F635" s="250" t="n"/>
      <c r="G635" s="250" t="n"/>
      <c r="H635" s="250" t="n"/>
      <c r="I635" s="250" t="n"/>
      <c r="J635" s="250" t="n"/>
      <c r="K635" s="250" t="n"/>
      <c r="L635" s="250" t="n"/>
      <c r="M635" s="250" t="n"/>
      <c r="N635" s="250" t="n"/>
      <c r="O635" s="250" t="n"/>
      <c r="P635" s="250" t="n"/>
      <c r="Q635" s="250" t="n"/>
      <c r="R635" s="250" t="n"/>
      <c r="S635" s="250" t="n"/>
      <c r="T635" s="250" t="n"/>
      <c r="U635" s="250" t="n"/>
      <c r="V635" s="250" t="n"/>
      <c r="W635" s="250" t="n"/>
      <c r="X635" s="250" t="n"/>
      <c r="Y635" s="250" t="n"/>
      <c r="Z635" s="250" t="n"/>
    </row>
    <row r="636">
      <c r="A636" s="250" t="n"/>
      <c r="B636" s="250" t="n"/>
      <c r="C636" s="250" t="n"/>
      <c r="D636" s="250" t="n"/>
      <c r="E636" s="250" t="n"/>
      <c r="F636" s="250" t="n"/>
      <c r="G636" s="250" t="n"/>
      <c r="H636" s="250" t="n"/>
      <c r="I636" s="250" t="n"/>
      <c r="J636" s="250" t="n"/>
      <c r="K636" s="250" t="n"/>
      <c r="L636" s="250" t="n"/>
      <c r="M636" s="250" t="n"/>
      <c r="N636" s="250" t="n"/>
      <c r="O636" s="250" t="n"/>
      <c r="P636" s="250" t="n"/>
      <c r="Q636" s="250" t="n"/>
      <c r="R636" s="250" t="n"/>
      <c r="S636" s="250" t="n"/>
      <c r="T636" s="250" t="n"/>
      <c r="U636" s="250" t="n"/>
      <c r="V636" s="250" t="n"/>
      <c r="W636" s="250" t="n"/>
      <c r="X636" s="250" t="n"/>
      <c r="Y636" s="250" t="n"/>
      <c r="Z636" s="250" t="n"/>
    </row>
    <row r="637">
      <c r="A637" s="250" t="n"/>
      <c r="B637" s="250" t="n"/>
      <c r="C637" s="250" t="n"/>
      <c r="D637" s="250" t="n"/>
      <c r="E637" s="250" t="n"/>
      <c r="F637" s="250" t="n"/>
      <c r="G637" s="250" t="n"/>
      <c r="H637" s="250" t="n"/>
      <c r="I637" s="250" t="n"/>
      <c r="J637" s="250" t="n"/>
      <c r="K637" s="250" t="n"/>
      <c r="L637" s="250" t="n"/>
      <c r="M637" s="250" t="n"/>
      <c r="N637" s="250" t="n"/>
      <c r="O637" s="250" t="n"/>
      <c r="P637" s="250" t="n"/>
      <c r="Q637" s="250" t="n"/>
      <c r="R637" s="250" t="n"/>
      <c r="S637" s="250" t="n"/>
      <c r="T637" s="250" t="n"/>
      <c r="U637" s="250" t="n"/>
      <c r="V637" s="250" t="n"/>
      <c r="W637" s="250" t="n"/>
      <c r="X637" s="250" t="n"/>
      <c r="Y637" s="250" t="n"/>
      <c r="Z637" s="250" t="n"/>
    </row>
    <row r="638">
      <c r="A638" s="250" t="n"/>
      <c r="B638" s="250" t="n"/>
      <c r="C638" s="250" t="n"/>
      <c r="D638" s="250" t="n"/>
      <c r="E638" s="250" t="n"/>
      <c r="F638" s="250" t="n"/>
      <c r="G638" s="250" t="n"/>
      <c r="H638" s="250" t="n"/>
      <c r="I638" s="250" t="n"/>
      <c r="J638" s="250" t="n"/>
      <c r="K638" s="250" t="n"/>
      <c r="L638" s="250" t="n"/>
      <c r="M638" s="250" t="n"/>
      <c r="N638" s="250" t="n"/>
      <c r="O638" s="250" t="n"/>
      <c r="P638" s="250" t="n"/>
      <c r="Q638" s="250" t="n"/>
      <c r="R638" s="250" t="n"/>
      <c r="S638" s="250" t="n"/>
      <c r="T638" s="250" t="n"/>
      <c r="U638" s="250" t="n"/>
      <c r="V638" s="250" t="n"/>
      <c r="W638" s="250" t="n"/>
      <c r="X638" s="250" t="n"/>
      <c r="Y638" s="250" t="n"/>
      <c r="Z638" s="250" t="n"/>
    </row>
    <row r="639">
      <c r="A639" s="250" t="n"/>
      <c r="B639" s="250" t="n"/>
      <c r="C639" s="250" t="n"/>
      <c r="D639" s="250" t="n"/>
      <c r="E639" s="250" t="n"/>
      <c r="F639" s="250" t="n"/>
      <c r="G639" s="250" t="n"/>
      <c r="H639" s="250" t="n"/>
      <c r="I639" s="250" t="n"/>
      <c r="J639" s="250" t="n"/>
      <c r="K639" s="250" t="n"/>
      <c r="L639" s="250" t="n"/>
      <c r="M639" s="250" t="n"/>
      <c r="N639" s="250" t="n"/>
      <c r="O639" s="250" t="n"/>
      <c r="P639" s="250" t="n"/>
      <c r="Q639" s="250" t="n"/>
      <c r="R639" s="250" t="n"/>
      <c r="S639" s="250" t="n"/>
      <c r="T639" s="250" t="n"/>
      <c r="U639" s="250" t="n"/>
      <c r="V639" s="250" t="n"/>
      <c r="W639" s="250" t="n"/>
      <c r="X639" s="250" t="n"/>
      <c r="Y639" s="250" t="n"/>
      <c r="Z639" s="250" t="n"/>
    </row>
    <row r="640">
      <c r="A640" s="250" t="n"/>
      <c r="B640" s="250" t="n"/>
      <c r="C640" s="250" t="n"/>
      <c r="D640" s="250" t="n"/>
      <c r="E640" s="250" t="n"/>
      <c r="F640" s="250" t="n"/>
      <c r="G640" s="250" t="n"/>
      <c r="H640" s="250" t="n"/>
      <c r="I640" s="250" t="n"/>
      <c r="J640" s="250" t="n"/>
      <c r="K640" s="250" t="n"/>
      <c r="L640" s="250" t="n"/>
      <c r="M640" s="250" t="n"/>
      <c r="N640" s="250" t="n"/>
      <c r="O640" s="250" t="n"/>
      <c r="P640" s="250" t="n"/>
      <c r="Q640" s="250" t="n"/>
      <c r="R640" s="250" t="n"/>
      <c r="S640" s="250" t="n"/>
      <c r="T640" s="250" t="n"/>
      <c r="U640" s="250" t="n"/>
      <c r="V640" s="250" t="n"/>
      <c r="W640" s="250" t="n"/>
      <c r="X640" s="250" t="n"/>
      <c r="Y640" s="250" t="n"/>
      <c r="Z640" s="250" t="n"/>
    </row>
    <row r="641">
      <c r="A641" s="250" t="n"/>
      <c r="B641" s="250" t="n"/>
      <c r="C641" s="250" t="n"/>
      <c r="D641" s="250" t="n"/>
      <c r="E641" s="250" t="n"/>
      <c r="F641" s="250" t="n"/>
      <c r="G641" s="250" t="n"/>
      <c r="H641" s="250" t="n"/>
      <c r="I641" s="250" t="n"/>
      <c r="J641" s="250" t="n"/>
      <c r="K641" s="250" t="n"/>
      <c r="L641" s="250" t="n"/>
      <c r="M641" s="250" t="n"/>
      <c r="N641" s="250" t="n"/>
      <c r="O641" s="250" t="n"/>
      <c r="P641" s="250" t="n"/>
      <c r="Q641" s="250" t="n"/>
      <c r="R641" s="250" t="n"/>
      <c r="S641" s="250" t="n"/>
      <c r="T641" s="250" t="n"/>
      <c r="U641" s="250" t="n"/>
      <c r="V641" s="250" t="n"/>
      <c r="W641" s="250" t="n"/>
      <c r="X641" s="250" t="n"/>
      <c r="Y641" s="250" t="n"/>
      <c r="Z641" s="250" t="n"/>
    </row>
    <row r="642">
      <c r="A642" s="250" t="n"/>
      <c r="B642" s="250" t="n"/>
      <c r="C642" s="250" t="n"/>
      <c r="D642" s="250" t="n"/>
      <c r="E642" s="250" t="n"/>
      <c r="F642" s="250" t="n"/>
      <c r="G642" s="250" t="n"/>
      <c r="H642" s="250" t="n"/>
      <c r="I642" s="250" t="n"/>
      <c r="J642" s="250" t="n"/>
      <c r="K642" s="250" t="n"/>
      <c r="L642" s="250" t="n"/>
      <c r="M642" s="250" t="n"/>
      <c r="N642" s="250" t="n"/>
      <c r="O642" s="250" t="n"/>
      <c r="P642" s="250" t="n"/>
      <c r="Q642" s="250" t="n"/>
      <c r="R642" s="250" t="n"/>
      <c r="S642" s="250" t="n"/>
      <c r="T642" s="250" t="n"/>
      <c r="U642" s="250" t="n"/>
      <c r="V642" s="250" t="n"/>
      <c r="W642" s="250" t="n"/>
      <c r="X642" s="250" t="n"/>
      <c r="Y642" s="250" t="n"/>
      <c r="Z642" s="250" t="n"/>
    </row>
    <row r="643">
      <c r="A643" s="250" t="n"/>
      <c r="B643" s="250" t="n"/>
      <c r="C643" s="250" t="n"/>
      <c r="D643" s="250" t="n"/>
      <c r="E643" s="250" t="n"/>
      <c r="F643" s="250" t="n"/>
      <c r="G643" s="250" t="n"/>
      <c r="H643" s="250" t="n"/>
      <c r="I643" s="250" t="n"/>
      <c r="J643" s="250" t="n"/>
      <c r="K643" s="250" t="n"/>
      <c r="L643" s="250" t="n"/>
      <c r="M643" s="250" t="n"/>
      <c r="N643" s="250" t="n"/>
      <c r="O643" s="250" t="n"/>
      <c r="P643" s="250" t="n"/>
      <c r="Q643" s="250" t="n"/>
      <c r="R643" s="250" t="n"/>
      <c r="S643" s="250" t="n"/>
      <c r="T643" s="250" t="n"/>
      <c r="U643" s="250" t="n"/>
      <c r="V643" s="250" t="n"/>
      <c r="W643" s="250" t="n"/>
      <c r="X643" s="250" t="n"/>
      <c r="Y643" s="250" t="n"/>
      <c r="Z643" s="250" t="n"/>
    </row>
    <row r="644">
      <c r="A644" s="250" t="n"/>
      <c r="B644" s="250" t="n"/>
      <c r="C644" s="250" t="n"/>
      <c r="D644" s="250" t="n"/>
      <c r="E644" s="250" t="n"/>
      <c r="F644" s="250" t="n"/>
      <c r="G644" s="250" t="n"/>
      <c r="H644" s="250" t="n"/>
      <c r="I644" s="250" t="n"/>
      <c r="J644" s="250" t="n"/>
      <c r="K644" s="250" t="n"/>
      <c r="L644" s="250" t="n"/>
      <c r="M644" s="250" t="n"/>
      <c r="N644" s="250" t="n"/>
      <c r="O644" s="250" t="n"/>
      <c r="P644" s="250" t="n"/>
      <c r="Q644" s="250" t="n"/>
      <c r="R644" s="250" t="n"/>
      <c r="S644" s="250" t="n"/>
      <c r="T644" s="250" t="n"/>
      <c r="U644" s="250" t="n"/>
      <c r="V644" s="250" t="n"/>
      <c r="W644" s="250" t="n"/>
      <c r="X644" s="250" t="n"/>
      <c r="Y644" s="250" t="n"/>
      <c r="Z644" s="250" t="n"/>
    </row>
    <row r="645">
      <c r="A645" s="250" t="n"/>
      <c r="B645" s="250" t="n"/>
      <c r="C645" s="250" t="n"/>
      <c r="D645" s="250" t="n"/>
      <c r="E645" s="250" t="n"/>
      <c r="F645" s="250" t="n"/>
      <c r="G645" s="250" t="n"/>
      <c r="H645" s="250" t="n"/>
      <c r="I645" s="250" t="n"/>
      <c r="J645" s="250" t="n"/>
      <c r="K645" s="250" t="n"/>
      <c r="L645" s="250" t="n"/>
      <c r="M645" s="250" t="n"/>
      <c r="N645" s="250" t="n"/>
      <c r="O645" s="250" t="n"/>
      <c r="P645" s="250" t="n"/>
      <c r="Q645" s="250" t="n"/>
      <c r="R645" s="250" t="n"/>
      <c r="S645" s="250" t="n"/>
      <c r="T645" s="250" t="n"/>
      <c r="U645" s="250" t="n"/>
      <c r="V645" s="250" t="n"/>
      <c r="W645" s="250" t="n"/>
      <c r="X645" s="250" t="n"/>
      <c r="Y645" s="250" t="n"/>
      <c r="Z645" s="250" t="n"/>
    </row>
    <row r="646">
      <c r="A646" s="250" t="n"/>
      <c r="B646" s="250" t="n"/>
      <c r="C646" s="250" t="n"/>
      <c r="D646" s="250" t="n"/>
      <c r="E646" s="250" t="n"/>
      <c r="F646" s="250" t="n"/>
      <c r="G646" s="250" t="n"/>
      <c r="H646" s="250" t="n"/>
      <c r="I646" s="250" t="n"/>
      <c r="J646" s="250" t="n"/>
      <c r="K646" s="250" t="n"/>
      <c r="L646" s="250" t="n"/>
      <c r="M646" s="250" t="n"/>
      <c r="N646" s="250" t="n"/>
      <c r="O646" s="250" t="n"/>
      <c r="P646" s="250" t="n"/>
      <c r="Q646" s="250" t="n"/>
      <c r="R646" s="250" t="n"/>
      <c r="S646" s="250" t="n"/>
      <c r="T646" s="250" t="n"/>
      <c r="U646" s="250" t="n"/>
      <c r="V646" s="250" t="n"/>
      <c r="W646" s="250" t="n"/>
      <c r="X646" s="250" t="n"/>
      <c r="Y646" s="250" t="n"/>
      <c r="Z646" s="250" t="n"/>
    </row>
    <row r="647">
      <c r="A647" s="250" t="n"/>
      <c r="B647" s="250" t="n"/>
      <c r="C647" s="250" t="n"/>
      <c r="D647" s="250" t="n"/>
      <c r="E647" s="250" t="n"/>
      <c r="F647" s="250" t="n"/>
      <c r="G647" s="250" t="n"/>
      <c r="H647" s="250" t="n"/>
      <c r="I647" s="250" t="n"/>
      <c r="J647" s="250" t="n"/>
      <c r="K647" s="250" t="n"/>
      <c r="L647" s="250" t="n"/>
      <c r="M647" s="250" t="n"/>
      <c r="N647" s="250" t="n"/>
      <c r="O647" s="250" t="n"/>
      <c r="P647" s="250" t="n"/>
      <c r="Q647" s="250" t="n"/>
      <c r="R647" s="250" t="n"/>
      <c r="S647" s="250" t="n"/>
      <c r="T647" s="250" t="n"/>
      <c r="U647" s="250" t="n"/>
      <c r="V647" s="250" t="n"/>
      <c r="W647" s="250" t="n"/>
      <c r="X647" s="250" t="n"/>
      <c r="Y647" s="250" t="n"/>
      <c r="Z647" s="250" t="n"/>
    </row>
    <row r="648">
      <c r="A648" s="250" t="n"/>
      <c r="B648" s="250" t="n"/>
      <c r="C648" s="250" t="n"/>
      <c r="D648" s="250" t="n"/>
      <c r="E648" s="250" t="n"/>
      <c r="F648" s="250" t="n"/>
      <c r="G648" s="250" t="n"/>
      <c r="H648" s="250" t="n"/>
      <c r="I648" s="250" t="n"/>
      <c r="J648" s="250" t="n"/>
      <c r="K648" s="250" t="n"/>
      <c r="L648" s="250" t="n"/>
      <c r="M648" s="250" t="n"/>
      <c r="N648" s="250" t="n"/>
      <c r="O648" s="250" t="n"/>
      <c r="P648" s="250" t="n"/>
      <c r="Q648" s="250" t="n"/>
      <c r="R648" s="250" t="n"/>
      <c r="S648" s="250" t="n"/>
      <c r="T648" s="250" t="n"/>
      <c r="U648" s="250" t="n"/>
      <c r="V648" s="250" t="n"/>
      <c r="W648" s="250" t="n"/>
      <c r="X648" s="250" t="n"/>
      <c r="Y648" s="250" t="n"/>
      <c r="Z648" s="250" t="n"/>
    </row>
    <row r="649">
      <c r="A649" s="250" t="n"/>
      <c r="B649" s="250" t="n"/>
      <c r="C649" s="250" t="n"/>
      <c r="D649" s="250" t="n"/>
      <c r="E649" s="250" t="n"/>
      <c r="F649" s="250" t="n"/>
      <c r="G649" s="250" t="n"/>
      <c r="H649" s="250" t="n"/>
      <c r="I649" s="250" t="n"/>
      <c r="J649" s="250" t="n"/>
      <c r="K649" s="250" t="n"/>
      <c r="L649" s="250" t="n"/>
      <c r="M649" s="250" t="n"/>
      <c r="N649" s="250" t="n"/>
      <c r="O649" s="250" t="n"/>
      <c r="P649" s="250" t="n"/>
      <c r="Q649" s="250" t="n"/>
      <c r="R649" s="250" t="n"/>
      <c r="S649" s="250" t="n"/>
      <c r="T649" s="250" t="n"/>
      <c r="U649" s="250" t="n"/>
      <c r="V649" s="250" t="n"/>
      <c r="W649" s="250" t="n"/>
      <c r="X649" s="250" t="n"/>
      <c r="Y649" s="250" t="n"/>
      <c r="Z649" s="250" t="n"/>
    </row>
    <row r="650">
      <c r="A650" s="250" t="n"/>
      <c r="B650" s="250" t="n"/>
      <c r="C650" s="250" t="n"/>
      <c r="D650" s="250" t="n"/>
      <c r="E650" s="250" t="n"/>
      <c r="F650" s="250" t="n"/>
      <c r="G650" s="250" t="n"/>
      <c r="H650" s="250" t="n"/>
      <c r="I650" s="250" t="n"/>
      <c r="J650" s="250" t="n"/>
      <c r="K650" s="250" t="n"/>
      <c r="L650" s="250" t="n"/>
      <c r="M650" s="250" t="n"/>
      <c r="N650" s="250" t="n"/>
      <c r="O650" s="250" t="n"/>
      <c r="P650" s="250" t="n"/>
      <c r="Q650" s="250" t="n"/>
      <c r="R650" s="250" t="n"/>
      <c r="S650" s="250" t="n"/>
      <c r="T650" s="250" t="n"/>
      <c r="U650" s="250" t="n"/>
      <c r="V650" s="250" t="n"/>
      <c r="W650" s="250" t="n"/>
      <c r="X650" s="250" t="n"/>
      <c r="Y650" s="250" t="n"/>
      <c r="Z650" s="250" t="n"/>
    </row>
    <row r="651">
      <c r="A651" s="250" t="n"/>
      <c r="B651" s="250" t="n"/>
      <c r="C651" s="250" t="n"/>
      <c r="D651" s="250" t="n"/>
      <c r="E651" s="250" t="n"/>
      <c r="F651" s="250" t="n"/>
      <c r="G651" s="250" t="n"/>
      <c r="H651" s="250" t="n"/>
      <c r="I651" s="250" t="n"/>
      <c r="J651" s="250" t="n"/>
      <c r="K651" s="250" t="n"/>
      <c r="L651" s="250" t="n"/>
      <c r="M651" s="250" t="n"/>
      <c r="N651" s="250" t="n"/>
      <c r="O651" s="250" t="n"/>
      <c r="P651" s="250" t="n"/>
      <c r="Q651" s="250" t="n"/>
      <c r="R651" s="250" t="n"/>
      <c r="S651" s="250" t="n"/>
      <c r="T651" s="250" t="n"/>
      <c r="U651" s="250" t="n"/>
      <c r="V651" s="250" t="n"/>
      <c r="W651" s="250" t="n"/>
      <c r="X651" s="250" t="n"/>
      <c r="Y651" s="250" t="n"/>
      <c r="Z651" s="250" t="n"/>
    </row>
    <row r="652">
      <c r="A652" s="250" t="n"/>
      <c r="B652" s="250" t="n"/>
      <c r="C652" s="250" t="n"/>
      <c r="D652" s="250" t="n"/>
      <c r="E652" s="250" t="n"/>
      <c r="F652" s="250" t="n"/>
      <c r="G652" s="250" t="n"/>
      <c r="H652" s="250" t="n"/>
      <c r="I652" s="250" t="n"/>
      <c r="J652" s="250" t="n"/>
      <c r="K652" s="250" t="n"/>
      <c r="L652" s="250" t="n"/>
      <c r="M652" s="250" t="n"/>
      <c r="N652" s="250" t="n"/>
      <c r="O652" s="250" t="n"/>
      <c r="P652" s="250" t="n"/>
      <c r="Q652" s="250" t="n"/>
      <c r="R652" s="250" t="n"/>
      <c r="S652" s="250" t="n"/>
      <c r="T652" s="250" t="n"/>
      <c r="U652" s="250" t="n"/>
      <c r="V652" s="250" t="n"/>
      <c r="W652" s="250" t="n"/>
      <c r="X652" s="250" t="n"/>
      <c r="Y652" s="250" t="n"/>
      <c r="Z652" s="250" t="n"/>
    </row>
    <row r="653">
      <c r="A653" s="250" t="n"/>
      <c r="B653" s="250" t="n"/>
      <c r="C653" s="250" t="n"/>
      <c r="D653" s="250" t="n"/>
      <c r="E653" s="250" t="n"/>
      <c r="F653" s="250" t="n"/>
      <c r="G653" s="250" t="n"/>
      <c r="H653" s="250" t="n"/>
      <c r="I653" s="250" t="n"/>
      <c r="J653" s="250" t="n"/>
      <c r="K653" s="250" t="n"/>
      <c r="L653" s="250" t="n"/>
      <c r="M653" s="250" t="n"/>
      <c r="N653" s="250" t="n"/>
      <c r="O653" s="250" t="n"/>
      <c r="P653" s="250" t="n"/>
      <c r="Q653" s="250" t="n"/>
      <c r="R653" s="250" t="n"/>
      <c r="S653" s="250" t="n"/>
      <c r="T653" s="250" t="n"/>
      <c r="U653" s="250" t="n"/>
      <c r="V653" s="250" t="n"/>
      <c r="W653" s="250" t="n"/>
      <c r="X653" s="250" t="n"/>
      <c r="Y653" s="250" t="n"/>
      <c r="Z653" s="250" t="n"/>
    </row>
    <row r="654">
      <c r="A654" s="250" t="n"/>
      <c r="B654" s="250" t="n"/>
      <c r="C654" s="250" t="n"/>
      <c r="D654" s="250" t="n"/>
      <c r="E654" s="250" t="n"/>
      <c r="F654" s="250" t="n"/>
      <c r="G654" s="250" t="n"/>
      <c r="H654" s="250" t="n"/>
      <c r="I654" s="250" t="n"/>
      <c r="J654" s="250" t="n"/>
      <c r="K654" s="250" t="n"/>
      <c r="L654" s="250" t="n"/>
      <c r="M654" s="250" t="n"/>
      <c r="N654" s="250" t="n"/>
      <c r="O654" s="250" t="n"/>
      <c r="P654" s="250" t="n"/>
      <c r="Q654" s="250" t="n"/>
      <c r="R654" s="250" t="n"/>
      <c r="S654" s="250" t="n"/>
      <c r="T654" s="250" t="n"/>
      <c r="U654" s="250" t="n"/>
      <c r="V654" s="250" t="n"/>
      <c r="W654" s="250" t="n"/>
      <c r="X654" s="250" t="n"/>
      <c r="Y654" s="250" t="n"/>
      <c r="Z654" s="250" t="n"/>
    </row>
    <row r="655">
      <c r="A655" s="250" t="n"/>
      <c r="B655" s="250" t="n"/>
      <c r="C655" s="250" t="n"/>
      <c r="D655" s="250" t="n"/>
      <c r="E655" s="250" t="n"/>
      <c r="F655" s="250" t="n"/>
      <c r="G655" s="250" t="n"/>
      <c r="H655" s="250" t="n"/>
      <c r="I655" s="250" t="n"/>
      <c r="J655" s="250" t="n"/>
      <c r="K655" s="250" t="n"/>
      <c r="L655" s="250" t="n"/>
      <c r="M655" s="250" t="n"/>
      <c r="N655" s="250" t="n"/>
      <c r="O655" s="250" t="n"/>
      <c r="P655" s="250" t="n"/>
      <c r="Q655" s="250" t="n"/>
      <c r="R655" s="250" t="n"/>
      <c r="S655" s="250" t="n"/>
      <c r="T655" s="250" t="n"/>
      <c r="U655" s="250" t="n"/>
      <c r="V655" s="250" t="n"/>
      <c r="W655" s="250" t="n"/>
      <c r="X655" s="250" t="n"/>
      <c r="Y655" s="250" t="n"/>
      <c r="Z655" s="250" t="n"/>
    </row>
    <row r="656">
      <c r="A656" s="250" t="n"/>
      <c r="B656" s="250" t="n"/>
      <c r="C656" s="250" t="n"/>
      <c r="D656" s="250" t="n"/>
      <c r="E656" s="250" t="n"/>
      <c r="F656" s="250" t="n"/>
      <c r="G656" s="250" t="n"/>
      <c r="H656" s="250" t="n"/>
      <c r="I656" s="250" t="n"/>
      <c r="J656" s="250" t="n"/>
      <c r="K656" s="250" t="n"/>
      <c r="L656" s="250" t="n"/>
      <c r="M656" s="250" t="n"/>
      <c r="N656" s="250" t="n"/>
      <c r="O656" s="250" t="n"/>
      <c r="P656" s="250" t="n"/>
      <c r="Q656" s="250" t="n"/>
      <c r="R656" s="250" t="n"/>
      <c r="S656" s="250" t="n"/>
      <c r="T656" s="250" t="n"/>
      <c r="U656" s="250" t="n"/>
      <c r="V656" s="250" t="n"/>
      <c r="W656" s="250" t="n"/>
      <c r="X656" s="250" t="n"/>
      <c r="Y656" s="250" t="n"/>
      <c r="Z656" s="250" t="n"/>
    </row>
    <row r="657">
      <c r="A657" s="250" t="n"/>
      <c r="B657" s="250" t="n"/>
      <c r="C657" s="250" t="n"/>
      <c r="D657" s="250" t="n"/>
      <c r="E657" s="250" t="n"/>
      <c r="F657" s="250" t="n"/>
      <c r="G657" s="250" t="n"/>
      <c r="H657" s="250" t="n"/>
      <c r="I657" s="250" t="n"/>
      <c r="J657" s="250" t="n"/>
      <c r="K657" s="250" t="n"/>
      <c r="L657" s="250" t="n"/>
      <c r="M657" s="250" t="n"/>
      <c r="N657" s="250" t="n"/>
      <c r="O657" s="250" t="n"/>
      <c r="P657" s="250" t="n"/>
      <c r="Q657" s="250" t="n"/>
      <c r="R657" s="250" t="n"/>
      <c r="S657" s="250" t="n"/>
      <c r="T657" s="250" t="n"/>
      <c r="U657" s="250" t="n"/>
      <c r="V657" s="250" t="n"/>
      <c r="W657" s="250" t="n"/>
      <c r="X657" s="250" t="n"/>
      <c r="Y657" s="250" t="n"/>
      <c r="Z657" s="250" t="n"/>
    </row>
    <row r="658">
      <c r="A658" s="250" t="n"/>
      <c r="B658" s="250" t="n"/>
      <c r="C658" s="250" t="n"/>
      <c r="D658" s="250" t="n"/>
      <c r="E658" s="250" t="n"/>
      <c r="F658" s="250" t="n"/>
      <c r="G658" s="250" t="n"/>
      <c r="H658" s="250" t="n"/>
      <c r="I658" s="250" t="n"/>
      <c r="J658" s="250" t="n"/>
      <c r="K658" s="250" t="n"/>
      <c r="L658" s="250" t="n"/>
      <c r="M658" s="250" t="n"/>
      <c r="N658" s="250" t="n"/>
      <c r="O658" s="250" t="n"/>
      <c r="P658" s="250" t="n"/>
      <c r="Q658" s="250" t="n"/>
      <c r="R658" s="250" t="n"/>
      <c r="S658" s="250" t="n"/>
      <c r="T658" s="250" t="n"/>
      <c r="U658" s="250" t="n"/>
      <c r="V658" s="250" t="n"/>
      <c r="W658" s="250" t="n"/>
      <c r="X658" s="250" t="n"/>
      <c r="Y658" s="250" t="n"/>
      <c r="Z658" s="250" t="n"/>
    </row>
    <row r="659">
      <c r="A659" s="250" t="n"/>
      <c r="B659" s="250" t="n"/>
      <c r="C659" s="250" t="n"/>
      <c r="D659" s="250" t="n"/>
      <c r="E659" s="250" t="n"/>
      <c r="F659" s="250" t="n"/>
      <c r="G659" s="250" t="n"/>
      <c r="H659" s="250" t="n"/>
      <c r="I659" s="250" t="n"/>
      <c r="J659" s="250" t="n"/>
      <c r="K659" s="250" t="n"/>
      <c r="L659" s="250" t="n"/>
      <c r="M659" s="250" t="n"/>
      <c r="N659" s="250" t="n"/>
      <c r="O659" s="250" t="n"/>
      <c r="P659" s="250" t="n"/>
      <c r="Q659" s="250" t="n"/>
      <c r="R659" s="250" t="n"/>
      <c r="S659" s="250" t="n"/>
      <c r="T659" s="250" t="n"/>
      <c r="U659" s="250" t="n"/>
      <c r="V659" s="250" t="n"/>
      <c r="W659" s="250" t="n"/>
      <c r="X659" s="250" t="n"/>
      <c r="Y659" s="250" t="n"/>
      <c r="Z659" s="250" t="n"/>
    </row>
    <row r="660">
      <c r="A660" s="250" t="n"/>
      <c r="B660" s="250" t="n"/>
      <c r="C660" s="250" t="n"/>
      <c r="D660" s="250" t="n"/>
      <c r="E660" s="250" t="n"/>
      <c r="F660" s="250" t="n"/>
      <c r="G660" s="250" t="n"/>
      <c r="H660" s="250" t="n"/>
      <c r="I660" s="250" t="n"/>
      <c r="J660" s="250" t="n"/>
      <c r="K660" s="250" t="n"/>
      <c r="L660" s="250" t="n"/>
      <c r="M660" s="250" t="n"/>
      <c r="N660" s="250" t="n"/>
      <c r="O660" s="250" t="n"/>
      <c r="P660" s="250" t="n"/>
      <c r="Q660" s="250" t="n"/>
      <c r="R660" s="250" t="n"/>
      <c r="S660" s="250" t="n"/>
      <c r="T660" s="250" t="n"/>
      <c r="U660" s="250" t="n"/>
      <c r="V660" s="250" t="n"/>
      <c r="W660" s="250" t="n"/>
      <c r="X660" s="250" t="n"/>
      <c r="Y660" s="250" t="n"/>
      <c r="Z660" s="250" t="n"/>
    </row>
    <row r="661">
      <c r="A661" s="250" t="n"/>
      <c r="B661" s="250" t="n"/>
      <c r="C661" s="250" t="n"/>
      <c r="D661" s="250" t="n"/>
      <c r="E661" s="250" t="n"/>
      <c r="F661" s="250" t="n"/>
      <c r="G661" s="250" t="n"/>
      <c r="H661" s="250" t="n"/>
      <c r="I661" s="250" t="n"/>
      <c r="J661" s="250" t="n"/>
      <c r="K661" s="250" t="n"/>
      <c r="L661" s="250" t="n"/>
      <c r="M661" s="250" t="n"/>
      <c r="N661" s="250" t="n"/>
      <c r="O661" s="250" t="n"/>
      <c r="P661" s="250" t="n"/>
      <c r="Q661" s="250" t="n"/>
      <c r="R661" s="250" t="n"/>
      <c r="S661" s="250" t="n"/>
      <c r="T661" s="250" t="n"/>
      <c r="U661" s="250" t="n"/>
      <c r="V661" s="250" t="n"/>
      <c r="W661" s="250" t="n"/>
      <c r="X661" s="250" t="n"/>
      <c r="Y661" s="250" t="n"/>
      <c r="Z661" s="250" t="n"/>
    </row>
    <row r="662">
      <c r="A662" s="250" t="n"/>
      <c r="B662" s="250" t="n"/>
      <c r="C662" s="250" t="n"/>
      <c r="D662" s="250" t="n"/>
      <c r="E662" s="250" t="n"/>
      <c r="F662" s="250" t="n"/>
      <c r="G662" s="250" t="n"/>
      <c r="H662" s="250" t="n"/>
      <c r="I662" s="250" t="n"/>
      <c r="J662" s="250" t="n"/>
      <c r="K662" s="250" t="n"/>
      <c r="L662" s="250" t="n"/>
      <c r="M662" s="250" t="n"/>
      <c r="N662" s="250" t="n"/>
      <c r="O662" s="250" t="n"/>
      <c r="P662" s="250" t="n"/>
      <c r="Q662" s="250" t="n"/>
      <c r="R662" s="250" t="n"/>
      <c r="S662" s="250" t="n"/>
      <c r="T662" s="250" t="n"/>
      <c r="U662" s="250" t="n"/>
      <c r="V662" s="250" t="n"/>
      <c r="W662" s="250" t="n"/>
      <c r="X662" s="250" t="n"/>
      <c r="Y662" s="250" t="n"/>
      <c r="Z662" s="250" t="n"/>
    </row>
    <row r="663">
      <c r="A663" s="250" t="n"/>
      <c r="B663" s="250" t="n"/>
      <c r="C663" s="250" t="n"/>
      <c r="D663" s="250" t="n"/>
      <c r="E663" s="250" t="n"/>
      <c r="F663" s="250" t="n"/>
      <c r="G663" s="250" t="n"/>
      <c r="H663" s="250" t="n"/>
      <c r="I663" s="250" t="n"/>
      <c r="J663" s="250" t="n"/>
      <c r="K663" s="250" t="n"/>
      <c r="L663" s="250" t="n"/>
      <c r="M663" s="250" t="n"/>
      <c r="N663" s="250" t="n"/>
      <c r="O663" s="250" t="n"/>
      <c r="P663" s="250" t="n"/>
      <c r="Q663" s="250" t="n"/>
      <c r="R663" s="250" t="n"/>
      <c r="S663" s="250" t="n"/>
      <c r="T663" s="250" t="n"/>
      <c r="U663" s="250" t="n"/>
      <c r="V663" s="250" t="n"/>
      <c r="W663" s="250" t="n"/>
      <c r="X663" s="250" t="n"/>
      <c r="Y663" s="250" t="n"/>
      <c r="Z663" s="250" t="n"/>
    </row>
    <row r="664">
      <c r="A664" s="250" t="n"/>
      <c r="B664" s="250" t="n"/>
      <c r="C664" s="250" t="n"/>
      <c r="D664" s="250" t="n"/>
      <c r="E664" s="250" t="n"/>
      <c r="F664" s="250" t="n"/>
      <c r="G664" s="250" t="n"/>
      <c r="H664" s="250" t="n"/>
      <c r="I664" s="250" t="n"/>
      <c r="J664" s="250" t="n"/>
      <c r="K664" s="250" t="n"/>
      <c r="L664" s="250" t="n"/>
      <c r="M664" s="250" t="n"/>
      <c r="N664" s="250" t="n"/>
      <c r="O664" s="250" t="n"/>
      <c r="P664" s="250" t="n"/>
      <c r="Q664" s="250" t="n"/>
      <c r="R664" s="250" t="n"/>
      <c r="S664" s="250" t="n"/>
      <c r="T664" s="250" t="n"/>
      <c r="U664" s="250" t="n"/>
      <c r="V664" s="250" t="n"/>
      <c r="W664" s="250" t="n"/>
      <c r="X664" s="250" t="n"/>
      <c r="Y664" s="250" t="n"/>
      <c r="Z664" s="250" t="n"/>
    </row>
    <row r="665">
      <c r="A665" s="250" t="n"/>
      <c r="B665" s="250" t="n"/>
      <c r="C665" s="250" t="n"/>
      <c r="D665" s="250" t="n"/>
      <c r="E665" s="250" t="n"/>
      <c r="F665" s="250" t="n"/>
      <c r="G665" s="250" t="n"/>
      <c r="H665" s="250" t="n"/>
      <c r="I665" s="250" t="n"/>
      <c r="J665" s="250" t="n"/>
      <c r="K665" s="250" t="n"/>
      <c r="L665" s="250" t="n"/>
      <c r="M665" s="250" t="n"/>
      <c r="N665" s="250" t="n"/>
      <c r="O665" s="250" t="n"/>
      <c r="P665" s="250" t="n"/>
      <c r="Q665" s="250" t="n"/>
      <c r="R665" s="250" t="n"/>
      <c r="S665" s="250" t="n"/>
      <c r="T665" s="250" t="n"/>
      <c r="U665" s="250" t="n"/>
      <c r="V665" s="250" t="n"/>
      <c r="W665" s="250" t="n"/>
      <c r="X665" s="250" t="n"/>
      <c r="Y665" s="250" t="n"/>
      <c r="Z665" s="250" t="n"/>
    </row>
    <row r="666">
      <c r="A666" s="250" t="n"/>
      <c r="B666" s="250" t="n"/>
      <c r="C666" s="250" t="n"/>
      <c r="D666" s="250" t="n"/>
      <c r="E666" s="250" t="n"/>
      <c r="F666" s="250" t="n"/>
      <c r="G666" s="250" t="n"/>
      <c r="H666" s="250" t="n"/>
      <c r="I666" s="250" t="n"/>
      <c r="J666" s="250" t="n"/>
      <c r="K666" s="250" t="n"/>
      <c r="L666" s="250" t="n"/>
      <c r="M666" s="250" t="n"/>
      <c r="N666" s="250" t="n"/>
      <c r="O666" s="250" t="n"/>
      <c r="P666" s="250" t="n"/>
      <c r="Q666" s="250" t="n"/>
      <c r="R666" s="250" t="n"/>
      <c r="S666" s="250" t="n"/>
      <c r="T666" s="250" t="n"/>
      <c r="U666" s="250" t="n"/>
      <c r="V666" s="250" t="n"/>
      <c r="W666" s="250" t="n"/>
      <c r="X666" s="250" t="n"/>
      <c r="Y666" s="250" t="n"/>
      <c r="Z666" s="250" t="n"/>
    </row>
    <row r="667">
      <c r="A667" s="250" t="n"/>
      <c r="B667" s="250" t="n"/>
      <c r="C667" s="250" t="n"/>
      <c r="D667" s="250" t="n"/>
      <c r="E667" s="250" t="n"/>
      <c r="F667" s="250" t="n"/>
      <c r="G667" s="250" t="n"/>
      <c r="H667" s="250" t="n"/>
      <c r="I667" s="250" t="n"/>
      <c r="J667" s="250" t="n"/>
      <c r="K667" s="250" t="n"/>
      <c r="L667" s="250" t="n"/>
      <c r="M667" s="250" t="n"/>
      <c r="N667" s="250" t="n"/>
      <c r="O667" s="250" t="n"/>
      <c r="P667" s="250" t="n"/>
      <c r="Q667" s="250" t="n"/>
      <c r="R667" s="250" t="n"/>
      <c r="S667" s="250" t="n"/>
      <c r="T667" s="250" t="n"/>
      <c r="U667" s="250" t="n"/>
      <c r="V667" s="250" t="n"/>
      <c r="W667" s="250" t="n"/>
      <c r="X667" s="250" t="n"/>
      <c r="Y667" s="250" t="n"/>
      <c r="Z667" s="250" t="n"/>
    </row>
    <row r="668">
      <c r="A668" s="250" t="n"/>
      <c r="B668" s="250" t="n"/>
      <c r="C668" s="250" t="n"/>
      <c r="D668" s="250" t="n"/>
      <c r="E668" s="250" t="n"/>
      <c r="F668" s="250" t="n"/>
      <c r="G668" s="250" t="n"/>
      <c r="H668" s="250" t="n"/>
      <c r="I668" s="250" t="n"/>
      <c r="J668" s="250" t="n"/>
      <c r="K668" s="250" t="n"/>
      <c r="L668" s="250" t="n"/>
      <c r="M668" s="250" t="n"/>
      <c r="N668" s="250" t="n"/>
      <c r="O668" s="250" t="n"/>
      <c r="P668" s="250" t="n"/>
      <c r="Q668" s="250" t="n"/>
      <c r="R668" s="250" t="n"/>
      <c r="S668" s="250" t="n"/>
      <c r="T668" s="250" t="n"/>
      <c r="U668" s="250" t="n"/>
      <c r="V668" s="250" t="n"/>
      <c r="W668" s="250" t="n"/>
      <c r="X668" s="250" t="n"/>
      <c r="Y668" s="250" t="n"/>
      <c r="Z668" s="250" t="n"/>
    </row>
    <row r="669">
      <c r="A669" s="250" t="n"/>
      <c r="B669" s="250" t="n"/>
      <c r="C669" s="250" t="n"/>
      <c r="D669" s="250" t="n"/>
      <c r="E669" s="250" t="n"/>
      <c r="F669" s="250" t="n"/>
      <c r="G669" s="250" t="n"/>
      <c r="H669" s="250" t="n"/>
      <c r="I669" s="250" t="n"/>
      <c r="J669" s="250" t="n"/>
      <c r="K669" s="250" t="n"/>
      <c r="L669" s="250" t="n"/>
      <c r="M669" s="250" t="n"/>
      <c r="N669" s="250" t="n"/>
      <c r="O669" s="250" t="n"/>
      <c r="P669" s="250" t="n"/>
      <c r="Q669" s="250" t="n"/>
      <c r="R669" s="250" t="n"/>
      <c r="S669" s="250" t="n"/>
      <c r="T669" s="250" t="n"/>
      <c r="U669" s="250" t="n"/>
      <c r="V669" s="250" t="n"/>
      <c r="W669" s="250" t="n"/>
      <c r="X669" s="250" t="n"/>
      <c r="Y669" s="250" t="n"/>
      <c r="Z669" s="250" t="n"/>
    </row>
    <row r="670">
      <c r="A670" s="250" t="n"/>
      <c r="B670" s="250" t="n"/>
      <c r="C670" s="250" t="n"/>
      <c r="D670" s="250" t="n"/>
      <c r="E670" s="250" t="n"/>
      <c r="F670" s="250" t="n"/>
      <c r="G670" s="250" t="n"/>
      <c r="H670" s="250" t="n"/>
      <c r="I670" s="250" t="n"/>
      <c r="J670" s="250" t="n"/>
      <c r="K670" s="250" t="n"/>
      <c r="L670" s="250" t="n"/>
      <c r="M670" s="250" t="n"/>
      <c r="N670" s="250" t="n"/>
      <c r="O670" s="250" t="n"/>
      <c r="P670" s="250" t="n"/>
      <c r="Q670" s="250" t="n"/>
      <c r="R670" s="250" t="n"/>
      <c r="S670" s="250" t="n"/>
      <c r="T670" s="250" t="n"/>
      <c r="U670" s="250" t="n"/>
      <c r="V670" s="250" t="n"/>
      <c r="W670" s="250" t="n"/>
      <c r="X670" s="250" t="n"/>
      <c r="Y670" s="250" t="n"/>
      <c r="Z670" s="250" t="n"/>
    </row>
    <row r="671">
      <c r="A671" s="250" t="n"/>
      <c r="B671" s="250" t="n"/>
      <c r="C671" s="250" t="n"/>
      <c r="D671" s="250" t="n"/>
      <c r="E671" s="250" t="n"/>
      <c r="F671" s="250" t="n"/>
      <c r="G671" s="250" t="n"/>
      <c r="H671" s="250" t="n"/>
      <c r="I671" s="250" t="n"/>
      <c r="J671" s="250" t="n"/>
      <c r="K671" s="250" t="n"/>
      <c r="L671" s="250" t="n"/>
      <c r="M671" s="250" t="n"/>
      <c r="N671" s="250" t="n"/>
      <c r="O671" s="250" t="n"/>
      <c r="P671" s="250" t="n"/>
      <c r="Q671" s="250" t="n"/>
      <c r="R671" s="250" t="n"/>
      <c r="S671" s="250" t="n"/>
      <c r="T671" s="250" t="n"/>
      <c r="U671" s="250" t="n"/>
      <c r="V671" s="250" t="n"/>
      <c r="W671" s="250" t="n"/>
      <c r="X671" s="250" t="n"/>
      <c r="Y671" s="250" t="n"/>
      <c r="Z671" s="250" t="n"/>
    </row>
    <row r="672">
      <c r="A672" s="250" t="n"/>
      <c r="B672" s="250" t="n"/>
      <c r="C672" s="250" t="n"/>
      <c r="D672" s="250" t="n"/>
      <c r="E672" s="250" t="n"/>
      <c r="F672" s="250" t="n"/>
      <c r="G672" s="250" t="n"/>
      <c r="H672" s="250" t="n"/>
      <c r="I672" s="250" t="n"/>
      <c r="J672" s="250" t="n"/>
      <c r="K672" s="250" t="n"/>
      <c r="L672" s="250" t="n"/>
      <c r="M672" s="250" t="n"/>
      <c r="N672" s="250" t="n"/>
      <c r="O672" s="250" t="n"/>
      <c r="P672" s="250" t="n"/>
      <c r="Q672" s="250" t="n"/>
      <c r="R672" s="250" t="n"/>
      <c r="S672" s="250" t="n"/>
      <c r="T672" s="250" t="n"/>
      <c r="U672" s="250" t="n"/>
      <c r="V672" s="250" t="n"/>
      <c r="W672" s="250" t="n"/>
      <c r="X672" s="250" t="n"/>
      <c r="Y672" s="250" t="n"/>
      <c r="Z672" s="250" t="n"/>
    </row>
    <row r="673">
      <c r="A673" s="250" t="n"/>
      <c r="B673" s="250" t="n"/>
      <c r="C673" s="250" t="n"/>
      <c r="D673" s="250" t="n"/>
      <c r="E673" s="250" t="n"/>
      <c r="F673" s="250" t="n"/>
      <c r="G673" s="250" t="n"/>
      <c r="H673" s="250" t="n"/>
      <c r="I673" s="250" t="n"/>
      <c r="J673" s="250" t="n"/>
      <c r="K673" s="250" t="n"/>
      <c r="L673" s="250" t="n"/>
      <c r="M673" s="250" t="n"/>
      <c r="N673" s="250" t="n"/>
      <c r="O673" s="250" t="n"/>
      <c r="P673" s="250" t="n"/>
      <c r="Q673" s="250" t="n"/>
      <c r="R673" s="250" t="n"/>
      <c r="S673" s="250" t="n"/>
      <c r="T673" s="250" t="n"/>
      <c r="U673" s="250" t="n"/>
      <c r="V673" s="250" t="n"/>
      <c r="W673" s="250" t="n"/>
      <c r="X673" s="250" t="n"/>
      <c r="Y673" s="250" t="n"/>
      <c r="Z673" s="250" t="n"/>
    </row>
    <row r="674">
      <c r="A674" s="250" t="n"/>
      <c r="B674" s="250" t="n"/>
      <c r="C674" s="250" t="n"/>
      <c r="D674" s="250" t="n"/>
      <c r="E674" s="250" t="n"/>
      <c r="F674" s="250" t="n"/>
      <c r="G674" s="250" t="n"/>
      <c r="H674" s="250" t="n"/>
      <c r="I674" s="250" t="n"/>
      <c r="J674" s="250" t="n"/>
      <c r="K674" s="250" t="n"/>
      <c r="L674" s="250" t="n"/>
      <c r="M674" s="250" t="n"/>
      <c r="N674" s="250" t="n"/>
      <c r="O674" s="250" t="n"/>
      <c r="P674" s="250" t="n"/>
      <c r="Q674" s="250" t="n"/>
      <c r="R674" s="250" t="n"/>
      <c r="S674" s="250" t="n"/>
      <c r="T674" s="250" t="n"/>
      <c r="U674" s="250" t="n"/>
      <c r="V674" s="250" t="n"/>
      <c r="W674" s="250" t="n"/>
      <c r="X674" s="250" t="n"/>
      <c r="Y674" s="250" t="n"/>
      <c r="Z674" s="250" t="n"/>
    </row>
    <row r="675">
      <c r="A675" s="250" t="n"/>
      <c r="B675" s="250" t="n"/>
      <c r="C675" s="250" t="n"/>
      <c r="D675" s="250" t="n"/>
      <c r="E675" s="250" t="n"/>
      <c r="F675" s="250" t="n"/>
      <c r="G675" s="250" t="n"/>
      <c r="H675" s="250" t="n"/>
      <c r="I675" s="250" t="n"/>
      <c r="J675" s="250" t="n"/>
      <c r="K675" s="250" t="n"/>
      <c r="L675" s="250" t="n"/>
      <c r="M675" s="250" t="n"/>
      <c r="N675" s="250" t="n"/>
      <c r="O675" s="250" t="n"/>
      <c r="P675" s="250" t="n"/>
      <c r="Q675" s="250" t="n"/>
      <c r="R675" s="250" t="n"/>
      <c r="S675" s="250" t="n"/>
      <c r="T675" s="250" t="n"/>
      <c r="U675" s="250" t="n"/>
      <c r="V675" s="250" t="n"/>
      <c r="W675" s="250" t="n"/>
      <c r="X675" s="250" t="n"/>
      <c r="Y675" s="250" t="n"/>
      <c r="Z675" s="250" t="n"/>
    </row>
    <row r="676">
      <c r="A676" s="250" t="n"/>
      <c r="B676" s="250" t="n"/>
      <c r="C676" s="250" t="n"/>
      <c r="D676" s="250" t="n"/>
      <c r="E676" s="250" t="n"/>
      <c r="F676" s="250" t="n"/>
      <c r="G676" s="250" t="n"/>
      <c r="H676" s="250" t="n"/>
      <c r="I676" s="250" t="n"/>
      <c r="J676" s="250" t="n"/>
      <c r="K676" s="250" t="n"/>
      <c r="L676" s="250" t="n"/>
      <c r="M676" s="250" t="n"/>
      <c r="N676" s="250" t="n"/>
      <c r="O676" s="250" t="n"/>
      <c r="P676" s="250" t="n"/>
      <c r="Q676" s="250" t="n"/>
      <c r="R676" s="250" t="n"/>
      <c r="S676" s="250" t="n"/>
      <c r="T676" s="250" t="n"/>
      <c r="U676" s="250" t="n"/>
      <c r="V676" s="250" t="n"/>
      <c r="W676" s="250" t="n"/>
      <c r="X676" s="250" t="n"/>
      <c r="Y676" s="250" t="n"/>
      <c r="Z676" s="250" t="n"/>
    </row>
    <row r="677">
      <c r="A677" s="250" t="n"/>
      <c r="B677" s="250" t="n"/>
      <c r="C677" s="250" t="n"/>
      <c r="D677" s="250" t="n"/>
      <c r="E677" s="250" t="n"/>
      <c r="F677" s="250" t="n"/>
      <c r="G677" s="250" t="n"/>
      <c r="H677" s="250" t="n"/>
      <c r="I677" s="250" t="n"/>
      <c r="J677" s="250" t="n"/>
      <c r="K677" s="250" t="n"/>
      <c r="L677" s="250" t="n"/>
      <c r="M677" s="250" t="n"/>
      <c r="N677" s="250" t="n"/>
      <c r="O677" s="250" t="n"/>
      <c r="P677" s="250" t="n"/>
      <c r="Q677" s="250" t="n"/>
      <c r="R677" s="250" t="n"/>
      <c r="S677" s="250" t="n"/>
      <c r="T677" s="250" t="n"/>
      <c r="U677" s="250" t="n"/>
      <c r="V677" s="250" t="n"/>
      <c r="W677" s="250" t="n"/>
      <c r="X677" s="250" t="n"/>
      <c r="Y677" s="250" t="n"/>
      <c r="Z677" s="250" t="n"/>
    </row>
    <row r="678">
      <c r="A678" s="250" t="n"/>
      <c r="B678" s="250" t="n"/>
      <c r="C678" s="250" t="n"/>
      <c r="D678" s="250" t="n"/>
      <c r="E678" s="250" t="n"/>
      <c r="F678" s="250" t="n"/>
      <c r="G678" s="250" t="n"/>
      <c r="H678" s="250" t="n"/>
      <c r="I678" s="250" t="n"/>
      <c r="J678" s="250" t="n"/>
      <c r="K678" s="250" t="n"/>
      <c r="L678" s="250" t="n"/>
      <c r="M678" s="250" t="n"/>
      <c r="N678" s="250" t="n"/>
      <c r="O678" s="250" t="n"/>
      <c r="P678" s="250" t="n"/>
      <c r="Q678" s="250" t="n"/>
      <c r="R678" s="250" t="n"/>
      <c r="S678" s="250" t="n"/>
      <c r="T678" s="250" t="n"/>
      <c r="U678" s="250" t="n"/>
      <c r="V678" s="250" t="n"/>
      <c r="W678" s="250" t="n"/>
      <c r="X678" s="250" t="n"/>
      <c r="Y678" s="250" t="n"/>
      <c r="Z678" s="250" t="n"/>
    </row>
    <row r="679">
      <c r="A679" s="250" t="n"/>
      <c r="B679" s="250" t="n"/>
      <c r="C679" s="250" t="n"/>
      <c r="D679" s="250" t="n"/>
      <c r="E679" s="250" t="n"/>
      <c r="F679" s="250" t="n"/>
      <c r="G679" s="250" t="n"/>
      <c r="H679" s="250" t="n"/>
      <c r="I679" s="250" t="n"/>
      <c r="J679" s="250" t="n"/>
      <c r="K679" s="250" t="n"/>
      <c r="L679" s="250" t="n"/>
      <c r="M679" s="250" t="n"/>
      <c r="N679" s="250" t="n"/>
      <c r="O679" s="250" t="n"/>
      <c r="P679" s="250" t="n"/>
      <c r="Q679" s="250" t="n"/>
      <c r="R679" s="250" t="n"/>
      <c r="S679" s="250" t="n"/>
      <c r="T679" s="250" t="n"/>
      <c r="U679" s="250" t="n"/>
      <c r="V679" s="250" t="n"/>
      <c r="W679" s="250" t="n"/>
      <c r="X679" s="250" t="n"/>
      <c r="Y679" s="250" t="n"/>
      <c r="Z679" s="250" t="n"/>
    </row>
    <row r="680">
      <c r="A680" s="250" t="n"/>
      <c r="B680" s="250" t="n"/>
      <c r="C680" s="250" t="n"/>
      <c r="D680" s="250" t="n"/>
      <c r="E680" s="250" t="n"/>
      <c r="F680" s="250" t="n"/>
      <c r="G680" s="250" t="n"/>
      <c r="H680" s="250" t="n"/>
      <c r="I680" s="250" t="n"/>
      <c r="J680" s="250" t="n"/>
      <c r="K680" s="250" t="n"/>
      <c r="L680" s="250" t="n"/>
      <c r="M680" s="250" t="n"/>
      <c r="N680" s="250" t="n"/>
      <c r="O680" s="250" t="n"/>
      <c r="P680" s="250" t="n"/>
      <c r="Q680" s="250" t="n"/>
      <c r="R680" s="250" t="n"/>
      <c r="S680" s="250" t="n"/>
      <c r="T680" s="250" t="n"/>
      <c r="U680" s="250" t="n"/>
      <c r="V680" s="250" t="n"/>
      <c r="W680" s="250" t="n"/>
      <c r="X680" s="250" t="n"/>
      <c r="Y680" s="250" t="n"/>
      <c r="Z680" s="250" t="n"/>
    </row>
    <row r="681">
      <c r="A681" s="250" t="n"/>
      <c r="B681" s="250" t="n"/>
      <c r="C681" s="250" t="n"/>
      <c r="D681" s="250" t="n"/>
      <c r="E681" s="250" t="n"/>
      <c r="F681" s="250" t="n"/>
      <c r="G681" s="250" t="n"/>
      <c r="H681" s="250" t="n"/>
      <c r="I681" s="250" t="n"/>
      <c r="J681" s="250" t="n"/>
      <c r="K681" s="250" t="n"/>
      <c r="L681" s="250" t="n"/>
      <c r="M681" s="250" t="n"/>
      <c r="N681" s="250" t="n"/>
      <c r="O681" s="250" t="n"/>
      <c r="P681" s="250" t="n"/>
      <c r="Q681" s="250" t="n"/>
      <c r="R681" s="250" t="n"/>
      <c r="S681" s="250" t="n"/>
      <c r="T681" s="250" t="n"/>
      <c r="U681" s="250" t="n"/>
      <c r="V681" s="250" t="n"/>
      <c r="W681" s="250" t="n"/>
      <c r="X681" s="250" t="n"/>
      <c r="Y681" s="250" t="n"/>
      <c r="Z681" s="250" t="n"/>
    </row>
    <row r="682">
      <c r="A682" s="250" t="n"/>
      <c r="B682" s="250" t="n"/>
      <c r="C682" s="250" t="n"/>
      <c r="D682" s="250" t="n"/>
      <c r="E682" s="250" t="n"/>
      <c r="F682" s="250" t="n"/>
      <c r="G682" s="250" t="n"/>
      <c r="H682" s="250" t="n"/>
      <c r="I682" s="250" t="n"/>
      <c r="J682" s="250" t="n"/>
      <c r="K682" s="250" t="n"/>
      <c r="L682" s="250" t="n"/>
      <c r="M682" s="250" t="n"/>
      <c r="N682" s="250" t="n"/>
      <c r="O682" s="250" t="n"/>
      <c r="P682" s="250" t="n"/>
      <c r="Q682" s="250" t="n"/>
      <c r="R682" s="250" t="n"/>
      <c r="S682" s="250" t="n"/>
      <c r="T682" s="250" t="n"/>
      <c r="U682" s="250" t="n"/>
      <c r="V682" s="250" t="n"/>
      <c r="W682" s="250" t="n"/>
      <c r="X682" s="250" t="n"/>
      <c r="Y682" s="250" t="n"/>
      <c r="Z682" s="250" t="n"/>
    </row>
    <row r="683">
      <c r="A683" s="250" t="n"/>
      <c r="B683" s="250" t="n"/>
      <c r="C683" s="250" t="n"/>
      <c r="D683" s="250" t="n"/>
      <c r="E683" s="250" t="n"/>
      <c r="F683" s="250" t="n"/>
      <c r="G683" s="250" t="n"/>
      <c r="H683" s="250" t="n"/>
      <c r="I683" s="250" t="n"/>
      <c r="J683" s="250" t="n"/>
      <c r="K683" s="250" t="n"/>
      <c r="L683" s="250" t="n"/>
      <c r="M683" s="250" t="n"/>
      <c r="N683" s="250" t="n"/>
      <c r="O683" s="250" t="n"/>
      <c r="P683" s="250" t="n"/>
      <c r="Q683" s="250" t="n"/>
      <c r="R683" s="250" t="n"/>
      <c r="S683" s="250" t="n"/>
      <c r="T683" s="250" t="n"/>
      <c r="U683" s="250" t="n"/>
      <c r="V683" s="250" t="n"/>
      <c r="W683" s="250" t="n"/>
      <c r="X683" s="250" t="n"/>
      <c r="Y683" s="250" t="n"/>
      <c r="Z683" s="250" t="n"/>
    </row>
    <row r="684">
      <c r="A684" s="250" t="n"/>
      <c r="B684" s="250" t="n"/>
      <c r="C684" s="250" t="n"/>
      <c r="D684" s="250" t="n"/>
      <c r="E684" s="250" t="n"/>
      <c r="F684" s="250" t="n"/>
      <c r="G684" s="250" t="n"/>
      <c r="H684" s="250" t="n"/>
      <c r="I684" s="250" t="n"/>
      <c r="J684" s="250" t="n"/>
      <c r="K684" s="250" t="n"/>
      <c r="L684" s="250" t="n"/>
      <c r="M684" s="250" t="n"/>
      <c r="N684" s="250" t="n"/>
      <c r="O684" s="250" t="n"/>
      <c r="P684" s="250" t="n"/>
      <c r="Q684" s="250" t="n"/>
      <c r="R684" s="250" t="n"/>
      <c r="S684" s="250" t="n"/>
      <c r="T684" s="250" t="n"/>
      <c r="U684" s="250" t="n"/>
      <c r="V684" s="250" t="n"/>
      <c r="W684" s="250" t="n"/>
      <c r="X684" s="250" t="n"/>
      <c r="Y684" s="250" t="n"/>
      <c r="Z684" s="250" t="n"/>
    </row>
    <row r="685">
      <c r="A685" s="250" t="n"/>
      <c r="B685" s="250" t="n"/>
      <c r="C685" s="250" t="n"/>
      <c r="D685" s="250" t="n"/>
      <c r="E685" s="250" t="n"/>
      <c r="F685" s="250" t="n"/>
      <c r="G685" s="250" t="n"/>
      <c r="H685" s="250" t="n"/>
      <c r="I685" s="250" t="n"/>
      <c r="J685" s="250" t="n"/>
      <c r="K685" s="250" t="n"/>
      <c r="L685" s="250" t="n"/>
      <c r="M685" s="250" t="n"/>
      <c r="N685" s="250" t="n"/>
      <c r="O685" s="250" t="n"/>
      <c r="P685" s="250" t="n"/>
      <c r="Q685" s="250" t="n"/>
      <c r="R685" s="250" t="n"/>
      <c r="S685" s="250" t="n"/>
      <c r="T685" s="250" t="n"/>
      <c r="U685" s="250" t="n"/>
      <c r="V685" s="250" t="n"/>
      <c r="W685" s="250" t="n"/>
      <c r="X685" s="250" t="n"/>
      <c r="Y685" s="250" t="n"/>
      <c r="Z685" s="250" t="n"/>
    </row>
    <row r="686">
      <c r="A686" s="250" t="n"/>
      <c r="B686" s="250" t="n"/>
      <c r="C686" s="250" t="n"/>
      <c r="D686" s="250" t="n"/>
      <c r="E686" s="250" t="n"/>
      <c r="F686" s="250" t="n"/>
      <c r="G686" s="250" t="n"/>
      <c r="H686" s="250" t="n"/>
      <c r="I686" s="250" t="n"/>
      <c r="J686" s="250" t="n"/>
      <c r="K686" s="250" t="n"/>
      <c r="L686" s="250" t="n"/>
      <c r="M686" s="250" t="n"/>
      <c r="N686" s="250" t="n"/>
      <c r="O686" s="250" t="n"/>
      <c r="P686" s="250" t="n"/>
      <c r="Q686" s="250" t="n"/>
      <c r="R686" s="250" t="n"/>
      <c r="S686" s="250" t="n"/>
      <c r="T686" s="250" t="n"/>
      <c r="U686" s="250" t="n"/>
      <c r="V686" s="250" t="n"/>
      <c r="W686" s="250" t="n"/>
      <c r="X686" s="250" t="n"/>
      <c r="Y686" s="250" t="n"/>
      <c r="Z686" s="250" t="n"/>
    </row>
    <row r="687">
      <c r="A687" s="250" t="n"/>
      <c r="B687" s="250" t="n"/>
      <c r="C687" s="250" t="n"/>
      <c r="D687" s="250" t="n"/>
      <c r="E687" s="250" t="n"/>
      <c r="F687" s="250" t="n"/>
      <c r="G687" s="250" t="n"/>
      <c r="H687" s="250" t="n"/>
      <c r="I687" s="250" t="n"/>
      <c r="J687" s="250" t="n"/>
      <c r="K687" s="250" t="n"/>
      <c r="L687" s="250" t="n"/>
      <c r="M687" s="250" t="n"/>
      <c r="N687" s="250" t="n"/>
      <c r="O687" s="250" t="n"/>
      <c r="P687" s="250" t="n"/>
      <c r="Q687" s="250" t="n"/>
      <c r="R687" s="250" t="n"/>
      <c r="S687" s="250" t="n"/>
      <c r="T687" s="250" t="n"/>
      <c r="U687" s="250" t="n"/>
      <c r="V687" s="250" t="n"/>
      <c r="W687" s="250" t="n"/>
      <c r="X687" s="250" t="n"/>
      <c r="Y687" s="250" t="n"/>
      <c r="Z687" s="250" t="n"/>
    </row>
    <row r="688">
      <c r="A688" s="250" t="n"/>
      <c r="B688" s="250" t="n"/>
      <c r="C688" s="250" t="n"/>
      <c r="D688" s="250" t="n"/>
      <c r="E688" s="250" t="n"/>
      <c r="F688" s="250" t="n"/>
      <c r="G688" s="250" t="n"/>
      <c r="H688" s="250" t="n"/>
      <c r="I688" s="250" t="n"/>
      <c r="J688" s="250" t="n"/>
      <c r="K688" s="250" t="n"/>
      <c r="L688" s="250" t="n"/>
      <c r="M688" s="250" t="n"/>
      <c r="N688" s="250" t="n"/>
      <c r="O688" s="250" t="n"/>
      <c r="P688" s="250" t="n"/>
      <c r="Q688" s="250" t="n"/>
      <c r="R688" s="250" t="n"/>
      <c r="S688" s="250" t="n"/>
      <c r="T688" s="250" t="n"/>
      <c r="U688" s="250" t="n"/>
      <c r="V688" s="250" t="n"/>
      <c r="W688" s="250" t="n"/>
      <c r="X688" s="250" t="n"/>
      <c r="Y688" s="250" t="n"/>
      <c r="Z688" s="250" t="n"/>
    </row>
    <row r="689">
      <c r="A689" s="250" t="n"/>
      <c r="B689" s="250" t="n"/>
      <c r="C689" s="250" t="n"/>
      <c r="D689" s="250" t="n"/>
      <c r="E689" s="250" t="n"/>
      <c r="F689" s="250" t="n"/>
      <c r="G689" s="250" t="n"/>
      <c r="H689" s="250" t="n"/>
      <c r="I689" s="250" t="n"/>
      <c r="J689" s="250" t="n"/>
      <c r="K689" s="250" t="n"/>
      <c r="L689" s="250" t="n"/>
      <c r="M689" s="250" t="n"/>
      <c r="N689" s="250" t="n"/>
      <c r="O689" s="250" t="n"/>
      <c r="P689" s="250" t="n"/>
      <c r="Q689" s="250" t="n"/>
      <c r="R689" s="250" t="n"/>
      <c r="S689" s="250" t="n"/>
      <c r="T689" s="250" t="n"/>
      <c r="U689" s="250" t="n"/>
      <c r="V689" s="250" t="n"/>
      <c r="W689" s="250" t="n"/>
      <c r="X689" s="250" t="n"/>
      <c r="Y689" s="250" t="n"/>
      <c r="Z689" s="250" t="n"/>
    </row>
    <row r="690">
      <c r="A690" s="250" t="n"/>
      <c r="B690" s="250" t="n"/>
      <c r="C690" s="250" t="n"/>
      <c r="D690" s="250" t="n"/>
      <c r="E690" s="250" t="n"/>
      <c r="F690" s="250" t="n"/>
      <c r="G690" s="250" t="n"/>
      <c r="H690" s="250" t="n"/>
      <c r="I690" s="250" t="n"/>
      <c r="J690" s="250" t="n"/>
      <c r="K690" s="250" t="n"/>
      <c r="L690" s="250" t="n"/>
      <c r="M690" s="250" t="n"/>
      <c r="N690" s="250" t="n"/>
      <c r="O690" s="250" t="n"/>
      <c r="P690" s="250" t="n"/>
      <c r="Q690" s="250" t="n"/>
      <c r="R690" s="250" t="n"/>
      <c r="S690" s="250" t="n"/>
      <c r="T690" s="250" t="n"/>
      <c r="U690" s="250" t="n"/>
      <c r="V690" s="250" t="n"/>
      <c r="W690" s="250" t="n"/>
      <c r="X690" s="250" t="n"/>
      <c r="Y690" s="250" t="n"/>
      <c r="Z690" s="250" t="n"/>
    </row>
    <row r="691">
      <c r="A691" s="250" t="n"/>
      <c r="B691" s="250" t="n"/>
      <c r="C691" s="250" t="n"/>
      <c r="D691" s="250" t="n"/>
      <c r="E691" s="250" t="n"/>
      <c r="F691" s="250" t="n"/>
      <c r="G691" s="250" t="n"/>
      <c r="H691" s="250" t="n"/>
      <c r="I691" s="250" t="n"/>
      <c r="J691" s="250" t="n"/>
      <c r="K691" s="250" t="n"/>
      <c r="L691" s="250" t="n"/>
      <c r="M691" s="250" t="n"/>
      <c r="N691" s="250" t="n"/>
      <c r="O691" s="250" t="n"/>
      <c r="P691" s="250" t="n"/>
      <c r="Q691" s="250" t="n"/>
      <c r="R691" s="250" t="n"/>
      <c r="S691" s="250" t="n"/>
      <c r="T691" s="250" t="n"/>
      <c r="U691" s="250" t="n"/>
      <c r="V691" s="250" t="n"/>
      <c r="W691" s="250" t="n"/>
      <c r="X691" s="250" t="n"/>
      <c r="Y691" s="250" t="n"/>
      <c r="Z691" s="250" t="n"/>
    </row>
    <row r="692">
      <c r="A692" s="250" t="n"/>
      <c r="B692" s="250" t="n"/>
      <c r="C692" s="250" t="n"/>
      <c r="D692" s="250" t="n"/>
      <c r="E692" s="250" t="n"/>
      <c r="F692" s="250" t="n"/>
      <c r="G692" s="250" t="n"/>
      <c r="H692" s="250" t="n"/>
      <c r="I692" s="250" t="n"/>
      <c r="J692" s="250" t="n"/>
      <c r="K692" s="250" t="n"/>
      <c r="L692" s="250" t="n"/>
      <c r="M692" s="250" t="n"/>
      <c r="N692" s="250" t="n"/>
      <c r="O692" s="250" t="n"/>
      <c r="P692" s="250" t="n"/>
      <c r="Q692" s="250" t="n"/>
      <c r="R692" s="250" t="n"/>
      <c r="S692" s="250" t="n"/>
      <c r="T692" s="250" t="n"/>
      <c r="U692" s="250" t="n"/>
      <c r="V692" s="250" t="n"/>
      <c r="W692" s="250" t="n"/>
      <c r="X692" s="250" t="n"/>
      <c r="Y692" s="250" t="n"/>
      <c r="Z692" s="250" t="n"/>
    </row>
    <row r="693">
      <c r="A693" s="250" t="n"/>
      <c r="B693" s="250" t="n"/>
      <c r="C693" s="250" t="n"/>
      <c r="D693" s="250" t="n"/>
      <c r="E693" s="250" t="n"/>
      <c r="F693" s="250" t="n"/>
      <c r="G693" s="250" t="n"/>
      <c r="H693" s="250" t="n"/>
      <c r="I693" s="250" t="n"/>
      <c r="J693" s="250" t="n"/>
      <c r="K693" s="250" t="n"/>
      <c r="L693" s="250" t="n"/>
      <c r="M693" s="250" t="n"/>
      <c r="N693" s="250" t="n"/>
      <c r="O693" s="250" t="n"/>
      <c r="P693" s="250" t="n"/>
      <c r="Q693" s="250" t="n"/>
      <c r="R693" s="250" t="n"/>
      <c r="S693" s="250" t="n"/>
      <c r="T693" s="250" t="n"/>
      <c r="U693" s="250" t="n"/>
      <c r="V693" s="250" t="n"/>
      <c r="W693" s="250" t="n"/>
      <c r="X693" s="250" t="n"/>
      <c r="Y693" s="250" t="n"/>
      <c r="Z693" s="250" t="n"/>
    </row>
    <row r="694">
      <c r="A694" s="250" t="n"/>
      <c r="B694" s="250" t="n"/>
      <c r="C694" s="250" t="n"/>
      <c r="D694" s="250" t="n"/>
      <c r="E694" s="250" t="n"/>
      <c r="F694" s="250" t="n"/>
      <c r="G694" s="250" t="n"/>
      <c r="H694" s="250" t="n"/>
      <c r="I694" s="250" t="n"/>
      <c r="J694" s="250" t="n"/>
      <c r="K694" s="250" t="n"/>
      <c r="L694" s="250" t="n"/>
      <c r="M694" s="250" t="n"/>
      <c r="N694" s="250" t="n"/>
      <c r="O694" s="250" t="n"/>
      <c r="P694" s="250" t="n"/>
      <c r="Q694" s="250" t="n"/>
      <c r="R694" s="250" t="n"/>
      <c r="S694" s="250" t="n"/>
      <c r="T694" s="250" t="n"/>
      <c r="U694" s="250" t="n"/>
      <c r="V694" s="250" t="n"/>
      <c r="W694" s="250" t="n"/>
      <c r="X694" s="250" t="n"/>
      <c r="Y694" s="250" t="n"/>
      <c r="Z694" s="250" t="n"/>
    </row>
    <row r="695">
      <c r="A695" s="250" t="n"/>
      <c r="B695" s="250" t="n"/>
      <c r="C695" s="250" t="n"/>
      <c r="D695" s="250" t="n"/>
      <c r="E695" s="250" t="n"/>
      <c r="F695" s="250" t="n"/>
      <c r="G695" s="250" t="n"/>
      <c r="H695" s="250" t="n"/>
      <c r="I695" s="250" t="n"/>
      <c r="J695" s="250" t="n"/>
      <c r="K695" s="250" t="n"/>
      <c r="L695" s="250" t="n"/>
      <c r="M695" s="250" t="n"/>
      <c r="N695" s="250" t="n"/>
      <c r="O695" s="250" t="n"/>
      <c r="P695" s="250" t="n"/>
      <c r="Q695" s="250" t="n"/>
      <c r="R695" s="250" t="n"/>
      <c r="S695" s="250" t="n"/>
      <c r="T695" s="250" t="n"/>
      <c r="U695" s="250" t="n"/>
      <c r="V695" s="250" t="n"/>
      <c r="W695" s="250" t="n"/>
      <c r="X695" s="250" t="n"/>
      <c r="Y695" s="250" t="n"/>
      <c r="Z695" s="250" t="n"/>
    </row>
    <row r="696">
      <c r="A696" s="250" t="n"/>
      <c r="B696" s="250" t="n"/>
      <c r="C696" s="250" t="n"/>
      <c r="D696" s="250" t="n"/>
      <c r="E696" s="250" t="n"/>
      <c r="F696" s="250" t="n"/>
      <c r="G696" s="250" t="n"/>
      <c r="H696" s="250" t="n"/>
      <c r="I696" s="250" t="n"/>
      <c r="J696" s="250" t="n"/>
      <c r="K696" s="250" t="n"/>
      <c r="L696" s="250" t="n"/>
      <c r="M696" s="250" t="n"/>
      <c r="N696" s="250" t="n"/>
      <c r="O696" s="250" t="n"/>
      <c r="P696" s="250" t="n"/>
      <c r="Q696" s="250" t="n"/>
      <c r="R696" s="250" t="n"/>
      <c r="S696" s="250" t="n"/>
      <c r="T696" s="250" t="n"/>
      <c r="U696" s="250" t="n"/>
      <c r="V696" s="250" t="n"/>
      <c r="W696" s="250" t="n"/>
      <c r="X696" s="250" t="n"/>
      <c r="Y696" s="250" t="n"/>
      <c r="Z696" s="250" t="n"/>
    </row>
    <row r="697">
      <c r="A697" s="250" t="n"/>
      <c r="B697" s="250" t="n"/>
      <c r="C697" s="250" t="n"/>
      <c r="D697" s="250" t="n"/>
      <c r="E697" s="250" t="n"/>
      <c r="F697" s="250" t="n"/>
      <c r="G697" s="250" t="n"/>
      <c r="H697" s="250" t="n"/>
      <c r="I697" s="250" t="n"/>
      <c r="J697" s="250" t="n"/>
      <c r="K697" s="250" t="n"/>
      <c r="L697" s="250" t="n"/>
      <c r="M697" s="250" t="n"/>
      <c r="N697" s="250" t="n"/>
      <c r="O697" s="250" t="n"/>
      <c r="P697" s="250" t="n"/>
      <c r="Q697" s="250" t="n"/>
      <c r="R697" s="250" t="n"/>
      <c r="S697" s="250" t="n"/>
      <c r="T697" s="250" t="n"/>
      <c r="U697" s="250" t="n"/>
      <c r="V697" s="250" t="n"/>
      <c r="W697" s="250" t="n"/>
      <c r="X697" s="250" t="n"/>
      <c r="Y697" s="250" t="n"/>
      <c r="Z697" s="250" t="n"/>
    </row>
    <row r="698">
      <c r="A698" s="250" t="n"/>
      <c r="B698" s="250" t="n"/>
      <c r="C698" s="250" t="n"/>
      <c r="D698" s="250" t="n"/>
      <c r="E698" s="250" t="n"/>
      <c r="F698" s="250" t="n"/>
      <c r="G698" s="250" t="n"/>
      <c r="H698" s="250" t="n"/>
      <c r="I698" s="250" t="n"/>
      <c r="J698" s="250" t="n"/>
      <c r="K698" s="250" t="n"/>
      <c r="L698" s="250" t="n"/>
      <c r="M698" s="250" t="n"/>
      <c r="N698" s="250" t="n"/>
      <c r="O698" s="250" t="n"/>
      <c r="P698" s="250" t="n"/>
      <c r="Q698" s="250" t="n"/>
      <c r="R698" s="250" t="n"/>
      <c r="S698" s="250" t="n"/>
      <c r="T698" s="250" t="n"/>
      <c r="U698" s="250" t="n"/>
      <c r="V698" s="250" t="n"/>
      <c r="W698" s="250" t="n"/>
      <c r="X698" s="250" t="n"/>
      <c r="Y698" s="250" t="n"/>
      <c r="Z698" s="250" t="n"/>
    </row>
    <row r="699">
      <c r="A699" s="250" t="n"/>
      <c r="B699" s="250" t="n"/>
      <c r="C699" s="250" t="n"/>
      <c r="D699" s="250" t="n"/>
      <c r="E699" s="250" t="n"/>
      <c r="F699" s="250" t="n"/>
      <c r="G699" s="250" t="n"/>
      <c r="H699" s="250" t="n"/>
      <c r="I699" s="250" t="n"/>
      <c r="J699" s="250" t="n"/>
      <c r="K699" s="250" t="n"/>
      <c r="L699" s="250" t="n"/>
      <c r="M699" s="250" t="n"/>
      <c r="N699" s="250" t="n"/>
      <c r="O699" s="250" t="n"/>
      <c r="P699" s="250" t="n"/>
      <c r="Q699" s="250" t="n"/>
      <c r="R699" s="250" t="n"/>
      <c r="S699" s="250" t="n"/>
      <c r="T699" s="250" t="n"/>
      <c r="U699" s="250" t="n"/>
      <c r="V699" s="250" t="n"/>
      <c r="W699" s="250" t="n"/>
      <c r="X699" s="250" t="n"/>
      <c r="Y699" s="250" t="n"/>
      <c r="Z699" s="250" t="n"/>
    </row>
    <row r="700">
      <c r="A700" s="250" t="n"/>
      <c r="B700" s="250" t="n"/>
      <c r="C700" s="250" t="n"/>
      <c r="D700" s="250" t="n"/>
      <c r="E700" s="250" t="n"/>
      <c r="F700" s="250" t="n"/>
      <c r="G700" s="250" t="n"/>
      <c r="H700" s="250" t="n"/>
      <c r="I700" s="250" t="n"/>
      <c r="J700" s="250" t="n"/>
      <c r="K700" s="250" t="n"/>
      <c r="L700" s="250" t="n"/>
      <c r="M700" s="250" t="n"/>
      <c r="N700" s="250" t="n"/>
      <c r="O700" s="250" t="n"/>
      <c r="P700" s="250" t="n"/>
      <c r="Q700" s="250" t="n"/>
      <c r="R700" s="250" t="n"/>
      <c r="S700" s="250" t="n"/>
      <c r="T700" s="250" t="n"/>
      <c r="U700" s="250" t="n"/>
      <c r="V700" s="250" t="n"/>
      <c r="W700" s="250" t="n"/>
      <c r="X700" s="250" t="n"/>
      <c r="Y700" s="250" t="n"/>
      <c r="Z700" s="250" t="n"/>
    </row>
    <row r="701">
      <c r="A701" s="250" t="n"/>
      <c r="B701" s="250" t="n"/>
      <c r="C701" s="250" t="n"/>
      <c r="D701" s="250" t="n"/>
      <c r="E701" s="250" t="n"/>
      <c r="F701" s="250" t="n"/>
      <c r="G701" s="250" t="n"/>
      <c r="H701" s="250" t="n"/>
      <c r="I701" s="250" t="n"/>
      <c r="J701" s="250" t="n"/>
      <c r="K701" s="250" t="n"/>
      <c r="L701" s="250" t="n"/>
      <c r="M701" s="250" t="n"/>
      <c r="N701" s="250" t="n"/>
      <c r="O701" s="250" t="n"/>
      <c r="P701" s="250" t="n"/>
      <c r="Q701" s="250" t="n"/>
      <c r="R701" s="250" t="n"/>
      <c r="S701" s="250" t="n"/>
      <c r="T701" s="250" t="n"/>
      <c r="U701" s="250" t="n"/>
      <c r="V701" s="250" t="n"/>
      <c r="W701" s="250" t="n"/>
      <c r="X701" s="250" t="n"/>
      <c r="Y701" s="250" t="n"/>
      <c r="Z701" s="250" t="n"/>
    </row>
    <row r="702">
      <c r="A702" s="250" t="n"/>
      <c r="B702" s="250" t="n"/>
      <c r="C702" s="250" t="n"/>
      <c r="D702" s="250" t="n"/>
      <c r="E702" s="250" t="n"/>
      <c r="F702" s="250" t="n"/>
      <c r="G702" s="250" t="n"/>
      <c r="H702" s="250" t="n"/>
      <c r="I702" s="250" t="n"/>
      <c r="J702" s="250" t="n"/>
      <c r="K702" s="250" t="n"/>
      <c r="L702" s="250" t="n"/>
      <c r="M702" s="250" t="n"/>
      <c r="N702" s="250" t="n"/>
      <c r="O702" s="250" t="n"/>
      <c r="P702" s="250" t="n"/>
      <c r="Q702" s="250" t="n"/>
      <c r="R702" s="250" t="n"/>
      <c r="S702" s="250" t="n"/>
      <c r="T702" s="250" t="n"/>
      <c r="U702" s="250" t="n"/>
      <c r="V702" s="250" t="n"/>
      <c r="W702" s="250" t="n"/>
      <c r="X702" s="250" t="n"/>
      <c r="Y702" s="250" t="n"/>
      <c r="Z702" s="250" t="n"/>
    </row>
    <row r="703">
      <c r="A703" s="250" t="n"/>
      <c r="B703" s="250" t="n"/>
      <c r="C703" s="250" t="n"/>
      <c r="D703" s="250" t="n"/>
      <c r="E703" s="250" t="n"/>
      <c r="F703" s="250" t="n"/>
      <c r="G703" s="250" t="n"/>
      <c r="H703" s="250" t="n"/>
      <c r="I703" s="250" t="n"/>
      <c r="J703" s="250" t="n"/>
      <c r="K703" s="250" t="n"/>
      <c r="L703" s="250" t="n"/>
      <c r="M703" s="250" t="n"/>
      <c r="N703" s="250" t="n"/>
      <c r="O703" s="250" t="n"/>
      <c r="P703" s="250" t="n"/>
      <c r="Q703" s="250" t="n"/>
      <c r="R703" s="250" t="n"/>
      <c r="S703" s="250" t="n"/>
      <c r="T703" s="250" t="n"/>
      <c r="U703" s="250" t="n"/>
      <c r="V703" s="250" t="n"/>
      <c r="W703" s="250" t="n"/>
      <c r="X703" s="250" t="n"/>
      <c r="Y703" s="250" t="n"/>
      <c r="Z703" s="250" t="n"/>
    </row>
    <row r="704">
      <c r="A704" s="250" t="n"/>
      <c r="B704" s="250" t="n"/>
      <c r="C704" s="250" t="n"/>
      <c r="D704" s="250" t="n"/>
      <c r="E704" s="250" t="n"/>
      <c r="F704" s="250" t="n"/>
      <c r="G704" s="250" t="n"/>
      <c r="H704" s="250" t="n"/>
      <c r="I704" s="250" t="n"/>
      <c r="J704" s="250" t="n"/>
      <c r="K704" s="250" t="n"/>
      <c r="L704" s="250" t="n"/>
      <c r="M704" s="250" t="n"/>
      <c r="N704" s="250" t="n"/>
      <c r="O704" s="250" t="n"/>
      <c r="P704" s="250" t="n"/>
      <c r="Q704" s="250" t="n"/>
      <c r="R704" s="250" t="n"/>
      <c r="S704" s="250" t="n"/>
      <c r="T704" s="250" t="n"/>
      <c r="U704" s="250" t="n"/>
      <c r="V704" s="250" t="n"/>
      <c r="W704" s="250" t="n"/>
      <c r="X704" s="250" t="n"/>
      <c r="Y704" s="250" t="n"/>
      <c r="Z704" s="250" t="n"/>
    </row>
    <row r="705">
      <c r="A705" s="250" t="n"/>
      <c r="B705" s="250" t="n"/>
      <c r="C705" s="250" t="n"/>
      <c r="D705" s="250" t="n"/>
      <c r="E705" s="250" t="n"/>
      <c r="F705" s="250" t="n"/>
      <c r="G705" s="250" t="n"/>
      <c r="H705" s="250" t="n"/>
      <c r="I705" s="250" t="n"/>
      <c r="J705" s="250" t="n"/>
      <c r="K705" s="250" t="n"/>
      <c r="L705" s="250" t="n"/>
      <c r="M705" s="250" t="n"/>
      <c r="N705" s="250" t="n"/>
      <c r="O705" s="250" t="n"/>
      <c r="P705" s="250" t="n"/>
      <c r="Q705" s="250" t="n"/>
      <c r="R705" s="250" t="n"/>
      <c r="S705" s="250" t="n"/>
      <c r="T705" s="250" t="n"/>
      <c r="U705" s="250" t="n"/>
      <c r="V705" s="250" t="n"/>
      <c r="W705" s="250" t="n"/>
      <c r="X705" s="250" t="n"/>
      <c r="Y705" s="250" t="n"/>
      <c r="Z705" s="250" t="n"/>
    </row>
    <row r="706">
      <c r="A706" s="250" t="n"/>
      <c r="B706" s="250" t="n"/>
      <c r="C706" s="250" t="n"/>
      <c r="D706" s="250" t="n"/>
      <c r="E706" s="250" t="n"/>
      <c r="F706" s="250" t="n"/>
      <c r="G706" s="250" t="n"/>
      <c r="H706" s="250" t="n"/>
      <c r="I706" s="250" t="n"/>
      <c r="J706" s="250" t="n"/>
      <c r="K706" s="250" t="n"/>
      <c r="L706" s="250" t="n"/>
      <c r="M706" s="250" t="n"/>
      <c r="N706" s="250" t="n"/>
      <c r="O706" s="250" t="n"/>
      <c r="P706" s="250" t="n"/>
      <c r="Q706" s="250" t="n"/>
      <c r="R706" s="250" t="n"/>
      <c r="S706" s="250" t="n"/>
      <c r="T706" s="250" t="n"/>
      <c r="U706" s="250" t="n"/>
      <c r="V706" s="250" t="n"/>
      <c r="W706" s="250" t="n"/>
      <c r="X706" s="250" t="n"/>
      <c r="Y706" s="250" t="n"/>
      <c r="Z706" s="250" t="n"/>
    </row>
    <row r="707">
      <c r="A707" s="250" t="n"/>
      <c r="B707" s="250" t="n"/>
      <c r="C707" s="250" t="n"/>
      <c r="D707" s="250" t="n"/>
      <c r="E707" s="250" t="n"/>
      <c r="F707" s="250" t="n"/>
      <c r="G707" s="250" t="n"/>
      <c r="H707" s="250" t="n"/>
      <c r="I707" s="250" t="n"/>
      <c r="J707" s="250" t="n"/>
      <c r="K707" s="250" t="n"/>
      <c r="L707" s="250" t="n"/>
      <c r="M707" s="250" t="n"/>
      <c r="N707" s="250" t="n"/>
      <c r="O707" s="250" t="n"/>
      <c r="P707" s="250" t="n"/>
      <c r="Q707" s="250" t="n"/>
      <c r="R707" s="250" t="n"/>
      <c r="S707" s="250" t="n"/>
      <c r="T707" s="250" t="n"/>
      <c r="U707" s="250" t="n"/>
      <c r="V707" s="250" t="n"/>
      <c r="W707" s="250" t="n"/>
      <c r="X707" s="250" t="n"/>
      <c r="Y707" s="250" t="n"/>
      <c r="Z707" s="250" t="n"/>
    </row>
    <row r="708">
      <c r="A708" s="250" t="n"/>
      <c r="B708" s="250" t="n"/>
      <c r="C708" s="250" t="n"/>
      <c r="D708" s="250" t="n"/>
      <c r="E708" s="250" t="n"/>
      <c r="F708" s="250" t="n"/>
      <c r="G708" s="250" t="n"/>
      <c r="H708" s="250" t="n"/>
      <c r="I708" s="250" t="n"/>
      <c r="J708" s="250" t="n"/>
      <c r="K708" s="250" t="n"/>
      <c r="L708" s="250" t="n"/>
      <c r="M708" s="250" t="n"/>
      <c r="N708" s="250" t="n"/>
      <c r="O708" s="250" t="n"/>
      <c r="P708" s="250" t="n"/>
      <c r="Q708" s="250" t="n"/>
      <c r="R708" s="250" t="n"/>
      <c r="S708" s="250" t="n"/>
      <c r="T708" s="250" t="n"/>
      <c r="U708" s="250" t="n"/>
      <c r="V708" s="250" t="n"/>
      <c r="W708" s="250" t="n"/>
      <c r="X708" s="250" t="n"/>
      <c r="Y708" s="250" t="n"/>
      <c r="Z708" s="250" t="n"/>
    </row>
    <row r="709">
      <c r="A709" s="250" t="n"/>
      <c r="B709" s="250" t="n"/>
      <c r="C709" s="250" t="n"/>
      <c r="D709" s="250" t="n"/>
      <c r="E709" s="250" t="n"/>
      <c r="F709" s="250" t="n"/>
      <c r="G709" s="250" t="n"/>
      <c r="H709" s="250" t="n"/>
      <c r="I709" s="250" t="n"/>
      <c r="J709" s="250" t="n"/>
      <c r="K709" s="250" t="n"/>
      <c r="L709" s="250" t="n"/>
      <c r="M709" s="250" t="n"/>
      <c r="N709" s="250" t="n"/>
      <c r="O709" s="250" t="n"/>
      <c r="P709" s="250" t="n"/>
      <c r="Q709" s="250" t="n"/>
      <c r="R709" s="250" t="n"/>
      <c r="S709" s="250" t="n"/>
      <c r="T709" s="250" t="n"/>
      <c r="U709" s="250" t="n"/>
      <c r="V709" s="250" t="n"/>
      <c r="W709" s="250" t="n"/>
      <c r="X709" s="250" t="n"/>
      <c r="Y709" s="250" t="n"/>
      <c r="Z709" s="250" t="n"/>
    </row>
    <row r="710">
      <c r="A710" s="250" t="n"/>
      <c r="B710" s="250" t="n"/>
      <c r="C710" s="250" t="n"/>
      <c r="D710" s="250" t="n"/>
      <c r="E710" s="250" t="n"/>
      <c r="F710" s="250" t="n"/>
      <c r="G710" s="250" t="n"/>
      <c r="H710" s="250" t="n"/>
      <c r="I710" s="250" t="n"/>
      <c r="J710" s="250" t="n"/>
      <c r="K710" s="250" t="n"/>
      <c r="L710" s="250" t="n"/>
      <c r="M710" s="250" t="n"/>
      <c r="N710" s="250" t="n"/>
      <c r="O710" s="250" t="n"/>
      <c r="P710" s="250" t="n"/>
      <c r="Q710" s="250" t="n"/>
      <c r="R710" s="250" t="n"/>
      <c r="S710" s="250" t="n"/>
      <c r="T710" s="250" t="n"/>
      <c r="U710" s="250" t="n"/>
      <c r="V710" s="250" t="n"/>
      <c r="W710" s="250" t="n"/>
      <c r="X710" s="250" t="n"/>
      <c r="Y710" s="250" t="n"/>
      <c r="Z710" s="250" t="n"/>
    </row>
    <row r="711">
      <c r="A711" s="250" t="n"/>
      <c r="B711" s="250" t="n"/>
      <c r="C711" s="250" t="n"/>
      <c r="D711" s="250" t="n"/>
      <c r="E711" s="250" t="n"/>
      <c r="F711" s="250" t="n"/>
      <c r="G711" s="250" t="n"/>
      <c r="H711" s="250" t="n"/>
      <c r="I711" s="250" t="n"/>
      <c r="J711" s="250" t="n"/>
      <c r="K711" s="250" t="n"/>
      <c r="L711" s="250" t="n"/>
      <c r="M711" s="250" t="n"/>
      <c r="N711" s="250" t="n"/>
      <c r="O711" s="250" t="n"/>
      <c r="P711" s="250" t="n"/>
      <c r="Q711" s="250" t="n"/>
      <c r="R711" s="250" t="n"/>
      <c r="S711" s="250" t="n"/>
      <c r="T711" s="250" t="n"/>
      <c r="U711" s="250" t="n"/>
      <c r="V711" s="250" t="n"/>
      <c r="W711" s="250" t="n"/>
      <c r="X711" s="250" t="n"/>
      <c r="Y711" s="250" t="n"/>
      <c r="Z711" s="250" t="n"/>
    </row>
    <row r="712">
      <c r="A712" s="250" t="n"/>
      <c r="B712" s="250" t="n"/>
      <c r="C712" s="250" t="n"/>
      <c r="D712" s="250" t="n"/>
      <c r="E712" s="250" t="n"/>
      <c r="F712" s="250" t="n"/>
      <c r="G712" s="250" t="n"/>
      <c r="H712" s="250" t="n"/>
      <c r="I712" s="250" t="n"/>
      <c r="J712" s="250" t="n"/>
      <c r="K712" s="250" t="n"/>
      <c r="L712" s="250" t="n"/>
      <c r="M712" s="250" t="n"/>
      <c r="N712" s="250" t="n"/>
      <c r="O712" s="250" t="n"/>
      <c r="P712" s="250" t="n"/>
      <c r="Q712" s="250" t="n"/>
      <c r="R712" s="250" t="n"/>
      <c r="S712" s="250" t="n"/>
      <c r="T712" s="250" t="n"/>
      <c r="U712" s="250" t="n"/>
      <c r="V712" s="250" t="n"/>
      <c r="W712" s="250" t="n"/>
      <c r="X712" s="250" t="n"/>
      <c r="Y712" s="250" t="n"/>
      <c r="Z712" s="250" t="n"/>
    </row>
    <row r="713">
      <c r="A713" s="250" t="n"/>
      <c r="B713" s="250" t="n"/>
      <c r="C713" s="250" t="n"/>
      <c r="D713" s="250" t="n"/>
      <c r="E713" s="250" t="n"/>
      <c r="F713" s="250" t="n"/>
      <c r="G713" s="250" t="n"/>
      <c r="H713" s="250" t="n"/>
      <c r="I713" s="250" t="n"/>
      <c r="J713" s="250" t="n"/>
      <c r="K713" s="250" t="n"/>
      <c r="L713" s="250" t="n"/>
      <c r="M713" s="250" t="n"/>
      <c r="N713" s="250" t="n"/>
      <c r="O713" s="250" t="n"/>
      <c r="P713" s="250" t="n"/>
      <c r="Q713" s="250" t="n"/>
      <c r="R713" s="250" t="n"/>
      <c r="S713" s="250" t="n"/>
      <c r="T713" s="250" t="n"/>
      <c r="U713" s="250" t="n"/>
      <c r="V713" s="250" t="n"/>
      <c r="W713" s="250" t="n"/>
      <c r="X713" s="250" t="n"/>
      <c r="Y713" s="250" t="n"/>
      <c r="Z713" s="250" t="n"/>
    </row>
    <row r="714">
      <c r="A714" s="250" t="n"/>
      <c r="B714" s="250" t="n"/>
      <c r="C714" s="250" t="n"/>
      <c r="D714" s="250" t="n"/>
      <c r="E714" s="250" t="n"/>
      <c r="F714" s="250" t="n"/>
      <c r="G714" s="250" t="n"/>
      <c r="H714" s="250" t="n"/>
      <c r="I714" s="250" t="n"/>
      <c r="J714" s="250" t="n"/>
      <c r="K714" s="250" t="n"/>
      <c r="L714" s="250" t="n"/>
      <c r="M714" s="250" t="n"/>
      <c r="N714" s="250" t="n"/>
      <c r="O714" s="250" t="n"/>
      <c r="P714" s="250" t="n"/>
      <c r="Q714" s="250" t="n"/>
      <c r="R714" s="250" t="n"/>
      <c r="S714" s="250" t="n"/>
      <c r="T714" s="250" t="n"/>
      <c r="U714" s="250" t="n"/>
      <c r="V714" s="250" t="n"/>
      <c r="W714" s="250" t="n"/>
      <c r="X714" s="250" t="n"/>
      <c r="Y714" s="250" t="n"/>
      <c r="Z714" s="250" t="n"/>
    </row>
    <row r="715">
      <c r="A715" s="250" t="n"/>
      <c r="B715" s="250" t="n"/>
      <c r="C715" s="250" t="n"/>
      <c r="D715" s="250" t="n"/>
      <c r="E715" s="250" t="n"/>
      <c r="F715" s="250" t="n"/>
      <c r="G715" s="250" t="n"/>
      <c r="H715" s="250" t="n"/>
      <c r="I715" s="250" t="n"/>
      <c r="J715" s="250" t="n"/>
      <c r="K715" s="250" t="n"/>
      <c r="L715" s="250" t="n"/>
      <c r="M715" s="250" t="n"/>
      <c r="N715" s="250" t="n"/>
      <c r="O715" s="250" t="n"/>
      <c r="P715" s="250" t="n"/>
      <c r="Q715" s="250" t="n"/>
      <c r="R715" s="250" t="n"/>
      <c r="S715" s="250" t="n"/>
      <c r="T715" s="250" t="n"/>
      <c r="U715" s="250" t="n"/>
      <c r="V715" s="250" t="n"/>
      <c r="W715" s="250" t="n"/>
      <c r="X715" s="250" t="n"/>
      <c r="Y715" s="250" t="n"/>
      <c r="Z715" s="250" t="n"/>
    </row>
    <row r="716">
      <c r="A716" s="250" t="n"/>
      <c r="B716" s="250" t="n"/>
      <c r="C716" s="250" t="n"/>
      <c r="D716" s="250" t="n"/>
      <c r="E716" s="250" t="n"/>
      <c r="F716" s="250" t="n"/>
      <c r="G716" s="250" t="n"/>
      <c r="H716" s="250" t="n"/>
      <c r="I716" s="250" t="n"/>
      <c r="J716" s="250" t="n"/>
      <c r="K716" s="250" t="n"/>
      <c r="L716" s="250" t="n"/>
      <c r="M716" s="250" t="n"/>
      <c r="N716" s="250" t="n"/>
      <c r="O716" s="250" t="n"/>
      <c r="P716" s="250" t="n"/>
      <c r="Q716" s="250" t="n"/>
      <c r="R716" s="250" t="n"/>
      <c r="S716" s="250" t="n"/>
      <c r="T716" s="250" t="n"/>
      <c r="U716" s="250" t="n"/>
      <c r="V716" s="250" t="n"/>
      <c r="W716" s="250" t="n"/>
      <c r="X716" s="250" t="n"/>
      <c r="Y716" s="250" t="n"/>
      <c r="Z716" s="250" t="n"/>
    </row>
    <row r="717">
      <c r="A717" s="250" t="n"/>
      <c r="B717" s="250" t="n"/>
      <c r="C717" s="250" t="n"/>
      <c r="D717" s="250" t="n"/>
      <c r="E717" s="250" t="n"/>
      <c r="F717" s="250" t="n"/>
      <c r="G717" s="250" t="n"/>
      <c r="H717" s="250" t="n"/>
      <c r="I717" s="250" t="n"/>
      <c r="J717" s="250" t="n"/>
      <c r="K717" s="250" t="n"/>
      <c r="L717" s="250" t="n"/>
      <c r="M717" s="250" t="n"/>
      <c r="N717" s="250" t="n"/>
      <c r="O717" s="250" t="n"/>
      <c r="P717" s="250" t="n"/>
      <c r="Q717" s="250" t="n"/>
      <c r="R717" s="250" t="n"/>
      <c r="S717" s="250" t="n"/>
      <c r="T717" s="250" t="n"/>
      <c r="U717" s="250" t="n"/>
      <c r="V717" s="250" t="n"/>
      <c r="W717" s="250" t="n"/>
      <c r="X717" s="250" t="n"/>
      <c r="Y717" s="250" t="n"/>
      <c r="Z717" s="250" t="n"/>
    </row>
    <row r="718">
      <c r="A718" s="250" t="n"/>
      <c r="B718" s="250" t="n"/>
      <c r="C718" s="250" t="n"/>
      <c r="D718" s="250" t="n"/>
      <c r="E718" s="250" t="n"/>
      <c r="F718" s="250" t="n"/>
      <c r="G718" s="250" t="n"/>
      <c r="H718" s="250" t="n"/>
      <c r="I718" s="250" t="n"/>
      <c r="J718" s="250" t="n"/>
      <c r="K718" s="250" t="n"/>
      <c r="L718" s="250" t="n"/>
      <c r="M718" s="250" t="n"/>
      <c r="N718" s="250" t="n"/>
      <c r="O718" s="250" t="n"/>
      <c r="P718" s="250" t="n"/>
      <c r="Q718" s="250" t="n"/>
      <c r="R718" s="250" t="n"/>
      <c r="S718" s="250" t="n"/>
      <c r="T718" s="250" t="n"/>
      <c r="U718" s="250" t="n"/>
      <c r="V718" s="250" t="n"/>
      <c r="W718" s="250" t="n"/>
      <c r="X718" s="250" t="n"/>
      <c r="Y718" s="250" t="n"/>
      <c r="Z718" s="250" t="n"/>
    </row>
    <row r="719">
      <c r="A719" s="250" t="n"/>
      <c r="B719" s="250" t="n"/>
      <c r="C719" s="250" t="n"/>
      <c r="D719" s="250" t="n"/>
      <c r="E719" s="250" t="n"/>
      <c r="F719" s="250" t="n"/>
      <c r="G719" s="250" t="n"/>
      <c r="H719" s="250" t="n"/>
      <c r="I719" s="250" t="n"/>
      <c r="J719" s="250" t="n"/>
      <c r="K719" s="250" t="n"/>
      <c r="L719" s="250" t="n"/>
      <c r="M719" s="250" t="n"/>
      <c r="N719" s="250" t="n"/>
      <c r="O719" s="250" t="n"/>
      <c r="P719" s="250" t="n"/>
      <c r="Q719" s="250" t="n"/>
      <c r="R719" s="250" t="n"/>
      <c r="S719" s="250" t="n"/>
      <c r="T719" s="250" t="n"/>
      <c r="U719" s="250" t="n"/>
      <c r="V719" s="250" t="n"/>
      <c r="W719" s="250" t="n"/>
      <c r="X719" s="250" t="n"/>
      <c r="Y719" s="250" t="n"/>
      <c r="Z719" s="250" t="n"/>
    </row>
    <row r="720">
      <c r="A720" s="250" t="n"/>
      <c r="B720" s="250" t="n"/>
      <c r="C720" s="250" t="n"/>
      <c r="D720" s="250" t="n"/>
      <c r="E720" s="250" t="n"/>
      <c r="F720" s="250" t="n"/>
      <c r="G720" s="250" t="n"/>
      <c r="H720" s="250" t="n"/>
      <c r="I720" s="250" t="n"/>
      <c r="J720" s="250" t="n"/>
      <c r="K720" s="250" t="n"/>
      <c r="L720" s="250" t="n"/>
      <c r="M720" s="250" t="n"/>
      <c r="N720" s="250" t="n"/>
      <c r="O720" s="250" t="n"/>
      <c r="P720" s="250" t="n"/>
      <c r="Q720" s="250" t="n"/>
      <c r="R720" s="250" t="n"/>
      <c r="S720" s="250" t="n"/>
      <c r="T720" s="250" t="n"/>
      <c r="U720" s="250" t="n"/>
      <c r="V720" s="250" t="n"/>
      <c r="W720" s="250" t="n"/>
      <c r="X720" s="250" t="n"/>
      <c r="Y720" s="250" t="n"/>
      <c r="Z720" s="250" t="n"/>
    </row>
    <row r="721">
      <c r="A721" s="250" t="n"/>
      <c r="B721" s="250" t="n"/>
      <c r="C721" s="250" t="n"/>
      <c r="D721" s="250" t="n"/>
      <c r="E721" s="250" t="n"/>
      <c r="F721" s="250" t="n"/>
      <c r="G721" s="250" t="n"/>
      <c r="H721" s="250" t="n"/>
      <c r="I721" s="250" t="n"/>
      <c r="J721" s="250" t="n"/>
      <c r="K721" s="250" t="n"/>
      <c r="L721" s="250" t="n"/>
      <c r="M721" s="250" t="n"/>
      <c r="N721" s="250" t="n"/>
      <c r="O721" s="250" t="n"/>
      <c r="P721" s="250" t="n"/>
      <c r="Q721" s="250" t="n"/>
      <c r="R721" s="250" t="n"/>
      <c r="S721" s="250" t="n"/>
      <c r="T721" s="250" t="n"/>
      <c r="U721" s="250" t="n"/>
      <c r="V721" s="250" t="n"/>
      <c r="W721" s="250" t="n"/>
      <c r="X721" s="250" t="n"/>
      <c r="Y721" s="250" t="n"/>
      <c r="Z721" s="250" t="n"/>
    </row>
    <row r="722">
      <c r="A722" s="250" t="n"/>
      <c r="B722" s="250" t="n"/>
      <c r="C722" s="250" t="n"/>
      <c r="D722" s="250" t="n"/>
      <c r="E722" s="250" t="n"/>
      <c r="F722" s="250" t="n"/>
      <c r="G722" s="250" t="n"/>
      <c r="H722" s="250" t="n"/>
      <c r="I722" s="250" t="n"/>
      <c r="J722" s="250" t="n"/>
      <c r="K722" s="250" t="n"/>
      <c r="L722" s="250" t="n"/>
      <c r="M722" s="250" t="n"/>
      <c r="N722" s="250" t="n"/>
      <c r="O722" s="250" t="n"/>
      <c r="P722" s="250" t="n"/>
      <c r="Q722" s="250" t="n"/>
      <c r="R722" s="250" t="n"/>
      <c r="S722" s="250" t="n"/>
      <c r="T722" s="250" t="n"/>
      <c r="U722" s="250" t="n"/>
      <c r="V722" s="250" t="n"/>
      <c r="W722" s="250" t="n"/>
      <c r="X722" s="250" t="n"/>
      <c r="Y722" s="250" t="n"/>
      <c r="Z722" s="250" t="n"/>
    </row>
    <row r="723">
      <c r="A723" s="250" t="n"/>
      <c r="B723" s="250" t="n"/>
      <c r="C723" s="250" t="n"/>
      <c r="D723" s="250" t="n"/>
      <c r="E723" s="250" t="n"/>
      <c r="F723" s="250" t="n"/>
      <c r="G723" s="250" t="n"/>
      <c r="H723" s="250" t="n"/>
      <c r="I723" s="250" t="n"/>
      <c r="J723" s="250" t="n"/>
      <c r="K723" s="250" t="n"/>
      <c r="L723" s="250" t="n"/>
      <c r="M723" s="250" t="n"/>
      <c r="N723" s="250" t="n"/>
      <c r="O723" s="250" t="n"/>
      <c r="P723" s="250" t="n"/>
      <c r="Q723" s="250" t="n"/>
      <c r="R723" s="250" t="n"/>
      <c r="S723" s="250" t="n"/>
      <c r="T723" s="250" t="n"/>
      <c r="U723" s="250" t="n"/>
      <c r="V723" s="250" t="n"/>
      <c r="W723" s="250" t="n"/>
      <c r="X723" s="250" t="n"/>
      <c r="Y723" s="250" t="n"/>
      <c r="Z723" s="250" t="n"/>
    </row>
    <row r="724">
      <c r="A724" s="250" t="n"/>
      <c r="B724" s="250" t="n"/>
      <c r="C724" s="250" t="n"/>
      <c r="D724" s="250" t="n"/>
      <c r="E724" s="250" t="n"/>
      <c r="F724" s="250" t="n"/>
      <c r="G724" s="250" t="n"/>
      <c r="H724" s="250" t="n"/>
      <c r="I724" s="250" t="n"/>
      <c r="J724" s="250" t="n"/>
      <c r="K724" s="250" t="n"/>
      <c r="L724" s="250" t="n"/>
      <c r="M724" s="250" t="n"/>
      <c r="N724" s="250" t="n"/>
      <c r="O724" s="250" t="n"/>
      <c r="P724" s="250" t="n"/>
      <c r="Q724" s="250" t="n"/>
      <c r="R724" s="250" t="n"/>
      <c r="S724" s="250" t="n"/>
      <c r="T724" s="250" t="n"/>
      <c r="U724" s="250" t="n"/>
      <c r="V724" s="250" t="n"/>
      <c r="W724" s="250" t="n"/>
      <c r="X724" s="250" t="n"/>
      <c r="Y724" s="250" t="n"/>
      <c r="Z724" s="250" t="n"/>
    </row>
    <row r="725">
      <c r="A725" s="250" t="n"/>
      <c r="B725" s="250" t="n"/>
      <c r="C725" s="250" t="n"/>
      <c r="D725" s="250" t="n"/>
      <c r="E725" s="250" t="n"/>
      <c r="F725" s="250" t="n"/>
      <c r="G725" s="250" t="n"/>
      <c r="H725" s="250" t="n"/>
      <c r="I725" s="250" t="n"/>
      <c r="J725" s="250" t="n"/>
      <c r="K725" s="250" t="n"/>
      <c r="L725" s="250" t="n"/>
      <c r="M725" s="250" t="n"/>
      <c r="N725" s="250" t="n"/>
      <c r="O725" s="250" t="n"/>
      <c r="P725" s="250" t="n"/>
      <c r="Q725" s="250" t="n"/>
      <c r="R725" s="250" t="n"/>
      <c r="S725" s="250" t="n"/>
      <c r="T725" s="250" t="n"/>
      <c r="U725" s="250" t="n"/>
      <c r="V725" s="250" t="n"/>
      <c r="W725" s="250" t="n"/>
      <c r="X725" s="250" t="n"/>
      <c r="Y725" s="250" t="n"/>
      <c r="Z725" s="250" t="n"/>
    </row>
    <row r="726">
      <c r="A726" s="250" t="n"/>
      <c r="B726" s="250" t="n"/>
      <c r="C726" s="250" t="n"/>
      <c r="D726" s="250" t="n"/>
      <c r="E726" s="250" t="n"/>
      <c r="F726" s="250" t="n"/>
      <c r="G726" s="250" t="n"/>
      <c r="H726" s="250" t="n"/>
      <c r="I726" s="250" t="n"/>
      <c r="J726" s="250" t="n"/>
      <c r="K726" s="250" t="n"/>
      <c r="L726" s="250" t="n"/>
      <c r="M726" s="250" t="n"/>
      <c r="N726" s="250" t="n"/>
      <c r="O726" s="250" t="n"/>
      <c r="P726" s="250" t="n"/>
      <c r="Q726" s="250" t="n"/>
      <c r="R726" s="250" t="n"/>
      <c r="S726" s="250" t="n"/>
      <c r="T726" s="250" t="n"/>
      <c r="U726" s="250" t="n"/>
      <c r="V726" s="250" t="n"/>
      <c r="W726" s="250" t="n"/>
      <c r="X726" s="250" t="n"/>
      <c r="Y726" s="250" t="n"/>
      <c r="Z726" s="250" t="n"/>
    </row>
    <row r="727">
      <c r="A727" s="250" t="n"/>
      <c r="B727" s="250" t="n"/>
      <c r="C727" s="250" t="n"/>
      <c r="D727" s="250" t="n"/>
      <c r="E727" s="250" t="n"/>
      <c r="F727" s="250" t="n"/>
      <c r="G727" s="250" t="n"/>
      <c r="H727" s="250" t="n"/>
      <c r="I727" s="250" t="n"/>
      <c r="J727" s="250" t="n"/>
      <c r="K727" s="250" t="n"/>
      <c r="L727" s="250" t="n"/>
      <c r="M727" s="250" t="n"/>
      <c r="N727" s="250" t="n"/>
      <c r="O727" s="250" t="n"/>
      <c r="P727" s="250" t="n"/>
      <c r="Q727" s="250" t="n"/>
      <c r="R727" s="250" t="n"/>
      <c r="S727" s="250" t="n"/>
      <c r="T727" s="250" t="n"/>
      <c r="U727" s="250" t="n"/>
      <c r="V727" s="250" t="n"/>
      <c r="W727" s="250" t="n"/>
      <c r="X727" s="250" t="n"/>
      <c r="Y727" s="250" t="n"/>
      <c r="Z727" s="250" t="n"/>
    </row>
    <row r="728">
      <c r="A728" s="250" t="n"/>
      <c r="B728" s="250" t="n"/>
      <c r="C728" s="250" t="n"/>
      <c r="D728" s="250" t="n"/>
      <c r="E728" s="250" t="n"/>
      <c r="F728" s="250" t="n"/>
      <c r="G728" s="250" t="n"/>
      <c r="H728" s="250" t="n"/>
      <c r="I728" s="250" t="n"/>
      <c r="J728" s="250" t="n"/>
      <c r="K728" s="250" t="n"/>
      <c r="L728" s="250" t="n"/>
      <c r="M728" s="250" t="n"/>
      <c r="N728" s="250" t="n"/>
      <c r="O728" s="250" t="n"/>
      <c r="P728" s="250" t="n"/>
      <c r="Q728" s="250" t="n"/>
      <c r="R728" s="250" t="n"/>
      <c r="S728" s="250" t="n"/>
      <c r="T728" s="250" t="n"/>
      <c r="U728" s="250" t="n"/>
      <c r="V728" s="250" t="n"/>
      <c r="W728" s="250" t="n"/>
      <c r="X728" s="250" t="n"/>
      <c r="Y728" s="250" t="n"/>
      <c r="Z728" s="250" t="n"/>
    </row>
    <row r="729">
      <c r="A729" s="250" t="n"/>
      <c r="B729" s="250" t="n"/>
      <c r="C729" s="250" t="n"/>
      <c r="D729" s="250" t="n"/>
      <c r="E729" s="250" t="n"/>
      <c r="F729" s="250" t="n"/>
      <c r="G729" s="250" t="n"/>
      <c r="H729" s="250" t="n"/>
      <c r="I729" s="250" t="n"/>
      <c r="J729" s="250" t="n"/>
      <c r="K729" s="250" t="n"/>
      <c r="L729" s="250" t="n"/>
      <c r="M729" s="250" t="n"/>
      <c r="N729" s="250" t="n"/>
      <c r="O729" s="250" t="n"/>
      <c r="P729" s="250" t="n"/>
      <c r="Q729" s="250" t="n"/>
      <c r="R729" s="250" t="n"/>
      <c r="S729" s="250" t="n"/>
      <c r="T729" s="250" t="n"/>
      <c r="U729" s="250" t="n"/>
      <c r="V729" s="250" t="n"/>
      <c r="W729" s="250" t="n"/>
      <c r="X729" s="250" t="n"/>
      <c r="Y729" s="250" t="n"/>
      <c r="Z729" s="250" t="n"/>
    </row>
    <row r="730">
      <c r="A730" s="250" t="n"/>
      <c r="B730" s="250" t="n"/>
      <c r="C730" s="250" t="n"/>
      <c r="D730" s="250" t="n"/>
      <c r="E730" s="250" t="n"/>
      <c r="F730" s="250" t="n"/>
      <c r="G730" s="250" t="n"/>
      <c r="H730" s="250" t="n"/>
      <c r="I730" s="250" t="n"/>
      <c r="J730" s="250" t="n"/>
      <c r="K730" s="250" t="n"/>
      <c r="L730" s="250" t="n"/>
      <c r="M730" s="250" t="n"/>
      <c r="N730" s="250" t="n"/>
      <c r="O730" s="250" t="n"/>
      <c r="P730" s="250" t="n"/>
      <c r="Q730" s="250" t="n"/>
      <c r="R730" s="250" t="n"/>
      <c r="S730" s="250" t="n"/>
      <c r="T730" s="250" t="n"/>
      <c r="U730" s="250" t="n"/>
      <c r="V730" s="250" t="n"/>
      <c r="W730" s="250" t="n"/>
      <c r="X730" s="250" t="n"/>
      <c r="Y730" s="250" t="n"/>
      <c r="Z730" s="250" t="n"/>
    </row>
    <row r="731">
      <c r="A731" s="250" t="n"/>
      <c r="B731" s="250" t="n"/>
      <c r="C731" s="250" t="n"/>
      <c r="D731" s="250" t="n"/>
      <c r="E731" s="250" t="n"/>
      <c r="F731" s="250" t="n"/>
      <c r="G731" s="250" t="n"/>
      <c r="H731" s="250" t="n"/>
      <c r="I731" s="250" t="n"/>
      <c r="J731" s="250" t="n"/>
      <c r="K731" s="250" t="n"/>
      <c r="L731" s="250" t="n"/>
      <c r="M731" s="250" t="n"/>
      <c r="N731" s="250" t="n"/>
      <c r="O731" s="250" t="n"/>
      <c r="P731" s="250" t="n"/>
      <c r="Q731" s="250" t="n"/>
      <c r="R731" s="250" t="n"/>
      <c r="S731" s="250" t="n"/>
      <c r="T731" s="250" t="n"/>
      <c r="U731" s="250" t="n"/>
      <c r="V731" s="250" t="n"/>
      <c r="W731" s="250" t="n"/>
      <c r="X731" s="250" t="n"/>
      <c r="Y731" s="250" t="n"/>
      <c r="Z731" s="250" t="n"/>
    </row>
    <row r="732">
      <c r="A732" s="250" t="n"/>
      <c r="B732" s="250" t="n"/>
      <c r="C732" s="250" t="n"/>
      <c r="D732" s="250" t="n"/>
      <c r="E732" s="250" t="n"/>
      <c r="F732" s="250" t="n"/>
      <c r="G732" s="250" t="n"/>
      <c r="H732" s="250" t="n"/>
      <c r="I732" s="250" t="n"/>
      <c r="J732" s="250" t="n"/>
      <c r="K732" s="250" t="n"/>
      <c r="L732" s="250" t="n"/>
      <c r="M732" s="250" t="n"/>
      <c r="N732" s="250" t="n"/>
      <c r="O732" s="250" t="n"/>
      <c r="P732" s="250" t="n"/>
      <c r="Q732" s="250" t="n"/>
      <c r="R732" s="250" t="n"/>
      <c r="S732" s="250" t="n"/>
      <c r="T732" s="250" t="n"/>
      <c r="U732" s="250" t="n"/>
      <c r="V732" s="250" t="n"/>
      <c r="W732" s="250" t="n"/>
      <c r="X732" s="250" t="n"/>
      <c r="Y732" s="250" t="n"/>
      <c r="Z732" s="250" t="n"/>
    </row>
    <row r="733">
      <c r="A733" s="250" t="n"/>
      <c r="B733" s="250" t="n"/>
      <c r="C733" s="250" t="n"/>
      <c r="D733" s="250" t="n"/>
      <c r="E733" s="250" t="n"/>
      <c r="F733" s="250" t="n"/>
      <c r="G733" s="250" t="n"/>
      <c r="H733" s="250" t="n"/>
      <c r="I733" s="250" t="n"/>
      <c r="J733" s="250" t="n"/>
      <c r="K733" s="250" t="n"/>
      <c r="L733" s="250" t="n"/>
      <c r="M733" s="250" t="n"/>
      <c r="N733" s="250" t="n"/>
      <c r="O733" s="250" t="n"/>
      <c r="P733" s="250" t="n"/>
      <c r="Q733" s="250" t="n"/>
      <c r="R733" s="250" t="n"/>
      <c r="S733" s="250" t="n"/>
      <c r="T733" s="250" t="n"/>
      <c r="U733" s="250" t="n"/>
      <c r="V733" s="250" t="n"/>
      <c r="W733" s="250" t="n"/>
      <c r="X733" s="250" t="n"/>
      <c r="Y733" s="250" t="n"/>
      <c r="Z733" s="250" t="n"/>
    </row>
    <row r="734">
      <c r="A734" s="250" t="n"/>
      <c r="B734" s="250" t="n"/>
      <c r="C734" s="250" t="n"/>
      <c r="D734" s="250" t="n"/>
      <c r="E734" s="250" t="n"/>
      <c r="F734" s="250" t="n"/>
      <c r="G734" s="250" t="n"/>
      <c r="H734" s="250" t="n"/>
      <c r="I734" s="250" t="n"/>
      <c r="J734" s="250" t="n"/>
      <c r="K734" s="250" t="n"/>
      <c r="L734" s="250" t="n"/>
      <c r="M734" s="250" t="n"/>
      <c r="N734" s="250" t="n"/>
      <c r="O734" s="250" t="n"/>
      <c r="P734" s="250" t="n"/>
      <c r="Q734" s="250" t="n"/>
      <c r="R734" s="250" t="n"/>
      <c r="S734" s="250" t="n"/>
      <c r="T734" s="250" t="n"/>
      <c r="U734" s="250" t="n"/>
      <c r="V734" s="250" t="n"/>
      <c r="W734" s="250" t="n"/>
      <c r="X734" s="250" t="n"/>
      <c r="Y734" s="250" t="n"/>
      <c r="Z734" s="250" t="n"/>
    </row>
    <row r="735">
      <c r="A735" s="250" t="n"/>
      <c r="B735" s="250" t="n"/>
      <c r="C735" s="250" t="n"/>
      <c r="D735" s="250" t="n"/>
      <c r="E735" s="250" t="n"/>
      <c r="F735" s="250" t="n"/>
      <c r="G735" s="250" t="n"/>
      <c r="H735" s="250" t="n"/>
      <c r="I735" s="250" t="n"/>
      <c r="J735" s="250" t="n"/>
      <c r="K735" s="250" t="n"/>
      <c r="L735" s="250" t="n"/>
      <c r="M735" s="250" t="n"/>
      <c r="N735" s="250" t="n"/>
      <c r="O735" s="250" t="n"/>
      <c r="P735" s="250" t="n"/>
      <c r="Q735" s="250" t="n"/>
      <c r="R735" s="250" t="n"/>
      <c r="S735" s="250" t="n"/>
      <c r="T735" s="250" t="n"/>
      <c r="U735" s="250" t="n"/>
      <c r="V735" s="250" t="n"/>
      <c r="W735" s="250" t="n"/>
      <c r="X735" s="250" t="n"/>
      <c r="Y735" s="250" t="n"/>
      <c r="Z735" s="250" t="n"/>
    </row>
    <row r="736">
      <c r="A736" s="250" t="n"/>
      <c r="B736" s="250" t="n"/>
      <c r="C736" s="250" t="n"/>
      <c r="D736" s="250" t="n"/>
      <c r="E736" s="250" t="n"/>
      <c r="F736" s="250" t="n"/>
      <c r="G736" s="250" t="n"/>
      <c r="H736" s="250" t="n"/>
      <c r="I736" s="250" t="n"/>
      <c r="J736" s="250" t="n"/>
      <c r="K736" s="250" t="n"/>
      <c r="L736" s="250" t="n"/>
      <c r="M736" s="250" t="n"/>
      <c r="N736" s="250" t="n"/>
      <c r="O736" s="250" t="n"/>
      <c r="P736" s="250" t="n"/>
      <c r="Q736" s="250" t="n"/>
      <c r="R736" s="250" t="n"/>
      <c r="S736" s="250" t="n"/>
      <c r="T736" s="250" t="n"/>
      <c r="U736" s="250" t="n"/>
      <c r="V736" s="250" t="n"/>
      <c r="W736" s="250" t="n"/>
      <c r="X736" s="250" t="n"/>
      <c r="Y736" s="250" t="n"/>
      <c r="Z736" s="250" t="n"/>
    </row>
    <row r="737">
      <c r="A737" s="250" t="n"/>
      <c r="B737" s="250" t="n"/>
      <c r="C737" s="250" t="n"/>
      <c r="D737" s="250" t="n"/>
      <c r="E737" s="250" t="n"/>
      <c r="F737" s="250" t="n"/>
      <c r="G737" s="250" t="n"/>
      <c r="H737" s="250" t="n"/>
      <c r="I737" s="250" t="n"/>
      <c r="J737" s="250" t="n"/>
      <c r="K737" s="250" t="n"/>
      <c r="L737" s="250" t="n"/>
      <c r="M737" s="250" t="n"/>
      <c r="N737" s="250" t="n"/>
      <c r="O737" s="250" t="n"/>
      <c r="P737" s="250" t="n"/>
      <c r="Q737" s="250" t="n"/>
      <c r="R737" s="250" t="n"/>
      <c r="S737" s="250" t="n"/>
      <c r="T737" s="250" t="n"/>
      <c r="U737" s="250" t="n"/>
      <c r="V737" s="250" t="n"/>
      <c r="W737" s="250" t="n"/>
      <c r="X737" s="250" t="n"/>
      <c r="Y737" s="250" t="n"/>
      <c r="Z737" s="250" t="n"/>
    </row>
    <row r="738">
      <c r="A738" s="250" t="n"/>
      <c r="B738" s="250" t="n"/>
      <c r="C738" s="250" t="n"/>
      <c r="D738" s="250" t="n"/>
      <c r="E738" s="250" t="n"/>
      <c r="F738" s="250" t="n"/>
      <c r="G738" s="250" t="n"/>
      <c r="H738" s="250" t="n"/>
      <c r="I738" s="250" t="n"/>
      <c r="J738" s="250" t="n"/>
      <c r="K738" s="250" t="n"/>
      <c r="L738" s="250" t="n"/>
      <c r="M738" s="250" t="n"/>
      <c r="N738" s="250" t="n"/>
      <c r="O738" s="250" t="n"/>
      <c r="P738" s="250" t="n"/>
      <c r="Q738" s="250" t="n"/>
      <c r="R738" s="250" t="n"/>
      <c r="S738" s="250" t="n"/>
      <c r="T738" s="250" t="n"/>
      <c r="U738" s="250" t="n"/>
      <c r="V738" s="250" t="n"/>
      <c r="W738" s="250" t="n"/>
      <c r="X738" s="250" t="n"/>
      <c r="Y738" s="250" t="n"/>
      <c r="Z738" s="250" t="n"/>
    </row>
    <row r="739">
      <c r="A739" s="250" t="n"/>
      <c r="B739" s="250" t="n"/>
      <c r="C739" s="250" t="n"/>
      <c r="D739" s="250" t="n"/>
      <c r="E739" s="250" t="n"/>
      <c r="F739" s="250" t="n"/>
      <c r="G739" s="250" t="n"/>
      <c r="H739" s="250" t="n"/>
      <c r="I739" s="250" t="n"/>
      <c r="J739" s="250" t="n"/>
      <c r="K739" s="250" t="n"/>
      <c r="L739" s="250" t="n"/>
      <c r="M739" s="250" t="n"/>
      <c r="N739" s="250" t="n"/>
      <c r="O739" s="250" t="n"/>
      <c r="P739" s="250" t="n"/>
      <c r="Q739" s="250" t="n"/>
      <c r="R739" s="250" t="n"/>
      <c r="S739" s="250" t="n"/>
      <c r="T739" s="250" t="n"/>
      <c r="U739" s="250" t="n"/>
      <c r="V739" s="250" t="n"/>
      <c r="W739" s="250" t="n"/>
      <c r="X739" s="250" t="n"/>
      <c r="Y739" s="250" t="n"/>
      <c r="Z739" s="250" t="n"/>
    </row>
    <row r="740">
      <c r="A740" s="250" t="n"/>
      <c r="B740" s="250" t="n"/>
      <c r="C740" s="250" t="n"/>
      <c r="D740" s="250" t="n"/>
      <c r="E740" s="250" t="n"/>
      <c r="F740" s="250" t="n"/>
      <c r="G740" s="250" t="n"/>
      <c r="H740" s="250" t="n"/>
      <c r="I740" s="250" t="n"/>
      <c r="J740" s="250" t="n"/>
      <c r="K740" s="250" t="n"/>
      <c r="L740" s="250" t="n"/>
      <c r="M740" s="250" t="n"/>
      <c r="N740" s="250" t="n"/>
      <c r="O740" s="250" t="n"/>
      <c r="P740" s="250" t="n"/>
      <c r="Q740" s="250" t="n"/>
      <c r="R740" s="250" t="n"/>
      <c r="S740" s="250" t="n"/>
      <c r="T740" s="250" t="n"/>
      <c r="U740" s="250" t="n"/>
      <c r="V740" s="250" t="n"/>
      <c r="W740" s="250" t="n"/>
      <c r="X740" s="250" t="n"/>
      <c r="Y740" s="250" t="n"/>
      <c r="Z740" s="250" t="n"/>
    </row>
    <row r="741">
      <c r="A741" s="250" t="n"/>
      <c r="B741" s="250" t="n"/>
      <c r="C741" s="250" t="n"/>
      <c r="D741" s="250" t="n"/>
      <c r="E741" s="250" t="n"/>
      <c r="F741" s="250" t="n"/>
      <c r="G741" s="250" t="n"/>
      <c r="H741" s="250" t="n"/>
      <c r="I741" s="250" t="n"/>
      <c r="J741" s="250" t="n"/>
      <c r="K741" s="250" t="n"/>
      <c r="L741" s="250" t="n"/>
      <c r="M741" s="250" t="n"/>
      <c r="N741" s="250" t="n"/>
      <c r="O741" s="250" t="n"/>
      <c r="P741" s="250" t="n"/>
      <c r="Q741" s="250" t="n"/>
      <c r="R741" s="250" t="n"/>
      <c r="S741" s="250" t="n"/>
      <c r="T741" s="250" t="n"/>
      <c r="U741" s="250" t="n"/>
      <c r="V741" s="250" t="n"/>
      <c r="W741" s="250" t="n"/>
      <c r="X741" s="250" t="n"/>
      <c r="Y741" s="250" t="n"/>
      <c r="Z741" s="250" t="n"/>
    </row>
    <row r="742">
      <c r="A742" s="250" t="n"/>
      <c r="B742" s="250" t="n"/>
      <c r="C742" s="250" t="n"/>
      <c r="D742" s="250" t="n"/>
      <c r="E742" s="250" t="n"/>
      <c r="F742" s="250" t="n"/>
      <c r="G742" s="250" t="n"/>
      <c r="H742" s="250" t="n"/>
      <c r="I742" s="250" t="n"/>
      <c r="J742" s="250" t="n"/>
      <c r="K742" s="250" t="n"/>
      <c r="L742" s="250" t="n"/>
      <c r="M742" s="250" t="n"/>
      <c r="N742" s="250" t="n"/>
      <c r="O742" s="250" t="n"/>
      <c r="P742" s="250" t="n"/>
      <c r="Q742" s="250" t="n"/>
      <c r="R742" s="250" t="n"/>
      <c r="S742" s="250" t="n"/>
      <c r="T742" s="250" t="n"/>
      <c r="U742" s="250" t="n"/>
      <c r="V742" s="250" t="n"/>
      <c r="W742" s="250" t="n"/>
      <c r="X742" s="250" t="n"/>
      <c r="Y742" s="250" t="n"/>
      <c r="Z742" s="250" t="n"/>
    </row>
    <row r="743">
      <c r="A743" s="250" t="n"/>
      <c r="B743" s="250" t="n"/>
      <c r="C743" s="250" t="n"/>
      <c r="D743" s="250" t="n"/>
      <c r="E743" s="250" t="n"/>
      <c r="F743" s="250" t="n"/>
      <c r="G743" s="250" t="n"/>
      <c r="H743" s="250" t="n"/>
      <c r="I743" s="250" t="n"/>
      <c r="J743" s="250" t="n"/>
      <c r="K743" s="250" t="n"/>
      <c r="L743" s="250" t="n"/>
      <c r="M743" s="250" t="n"/>
      <c r="N743" s="250" t="n"/>
      <c r="O743" s="250" t="n"/>
      <c r="P743" s="250" t="n"/>
      <c r="Q743" s="250" t="n"/>
      <c r="R743" s="250" t="n"/>
      <c r="S743" s="250" t="n"/>
      <c r="T743" s="250" t="n"/>
      <c r="U743" s="250" t="n"/>
      <c r="V743" s="250" t="n"/>
      <c r="W743" s="250" t="n"/>
      <c r="X743" s="250" t="n"/>
      <c r="Y743" s="250" t="n"/>
      <c r="Z743" s="250" t="n"/>
    </row>
    <row r="744">
      <c r="A744" s="250" t="n"/>
      <c r="B744" s="250" t="n"/>
      <c r="C744" s="250" t="n"/>
      <c r="D744" s="250" t="n"/>
      <c r="E744" s="250" t="n"/>
      <c r="F744" s="250" t="n"/>
      <c r="G744" s="250" t="n"/>
      <c r="H744" s="250" t="n"/>
      <c r="I744" s="250" t="n"/>
      <c r="J744" s="250" t="n"/>
      <c r="K744" s="250" t="n"/>
      <c r="L744" s="250" t="n"/>
      <c r="M744" s="250" t="n"/>
      <c r="N744" s="250" t="n"/>
      <c r="O744" s="250" t="n"/>
      <c r="P744" s="250" t="n"/>
      <c r="Q744" s="250" t="n"/>
      <c r="R744" s="250" t="n"/>
      <c r="S744" s="250" t="n"/>
      <c r="T744" s="250" t="n"/>
      <c r="U744" s="250" t="n"/>
      <c r="V744" s="250" t="n"/>
      <c r="W744" s="250" t="n"/>
      <c r="X744" s="250" t="n"/>
      <c r="Y744" s="250" t="n"/>
      <c r="Z744" s="250" t="n"/>
    </row>
    <row r="745">
      <c r="A745" s="250" t="n"/>
      <c r="B745" s="250" t="n"/>
      <c r="C745" s="250" t="n"/>
      <c r="D745" s="250" t="n"/>
      <c r="E745" s="250" t="n"/>
      <c r="F745" s="250" t="n"/>
      <c r="G745" s="250" t="n"/>
      <c r="H745" s="250" t="n"/>
      <c r="I745" s="250" t="n"/>
      <c r="J745" s="250" t="n"/>
      <c r="K745" s="250" t="n"/>
      <c r="L745" s="250" t="n"/>
      <c r="M745" s="250" t="n"/>
      <c r="N745" s="250" t="n"/>
      <c r="O745" s="250" t="n"/>
      <c r="P745" s="250" t="n"/>
      <c r="Q745" s="250" t="n"/>
      <c r="R745" s="250" t="n"/>
      <c r="S745" s="250" t="n"/>
      <c r="T745" s="250" t="n"/>
      <c r="U745" s="250" t="n"/>
      <c r="V745" s="250" t="n"/>
      <c r="W745" s="250" t="n"/>
      <c r="X745" s="250" t="n"/>
      <c r="Y745" s="250" t="n"/>
      <c r="Z745" s="250" t="n"/>
    </row>
    <row r="746">
      <c r="A746" s="250" t="n"/>
      <c r="B746" s="250" t="n"/>
      <c r="C746" s="250" t="n"/>
      <c r="D746" s="250" t="n"/>
      <c r="E746" s="250" t="n"/>
      <c r="F746" s="250" t="n"/>
      <c r="G746" s="250" t="n"/>
      <c r="H746" s="250" t="n"/>
      <c r="I746" s="250" t="n"/>
      <c r="J746" s="250" t="n"/>
      <c r="K746" s="250" t="n"/>
      <c r="L746" s="250" t="n"/>
      <c r="M746" s="250" t="n"/>
      <c r="N746" s="250" t="n"/>
      <c r="O746" s="250" t="n"/>
      <c r="P746" s="250" t="n"/>
      <c r="Q746" s="250" t="n"/>
      <c r="R746" s="250" t="n"/>
      <c r="S746" s="250" t="n"/>
      <c r="T746" s="250" t="n"/>
      <c r="U746" s="250" t="n"/>
      <c r="V746" s="250" t="n"/>
      <c r="W746" s="250" t="n"/>
      <c r="X746" s="250" t="n"/>
      <c r="Y746" s="250" t="n"/>
      <c r="Z746" s="250" t="n"/>
    </row>
    <row r="747">
      <c r="A747" s="250" t="n"/>
      <c r="B747" s="250" t="n"/>
      <c r="C747" s="250" t="n"/>
      <c r="D747" s="250" t="n"/>
      <c r="E747" s="250" t="n"/>
      <c r="F747" s="250" t="n"/>
      <c r="G747" s="250" t="n"/>
      <c r="H747" s="250" t="n"/>
      <c r="I747" s="250" t="n"/>
      <c r="J747" s="250" t="n"/>
      <c r="K747" s="250" t="n"/>
      <c r="L747" s="250" t="n"/>
      <c r="M747" s="250" t="n"/>
      <c r="N747" s="250" t="n"/>
      <c r="O747" s="250" t="n"/>
      <c r="P747" s="250" t="n"/>
      <c r="Q747" s="250" t="n"/>
      <c r="R747" s="250" t="n"/>
      <c r="S747" s="250" t="n"/>
      <c r="T747" s="250" t="n"/>
      <c r="U747" s="250" t="n"/>
      <c r="V747" s="250" t="n"/>
      <c r="W747" s="250" t="n"/>
      <c r="X747" s="250" t="n"/>
      <c r="Y747" s="250" t="n"/>
      <c r="Z747" s="250" t="n"/>
    </row>
    <row r="748">
      <c r="A748" s="250" t="n"/>
      <c r="B748" s="250" t="n"/>
      <c r="C748" s="250" t="n"/>
      <c r="D748" s="250" t="n"/>
      <c r="E748" s="250" t="n"/>
      <c r="F748" s="250" t="n"/>
      <c r="G748" s="250" t="n"/>
      <c r="H748" s="250" t="n"/>
      <c r="I748" s="250" t="n"/>
      <c r="J748" s="250" t="n"/>
      <c r="K748" s="250" t="n"/>
      <c r="L748" s="250" t="n"/>
      <c r="M748" s="250" t="n"/>
      <c r="N748" s="250" t="n"/>
      <c r="O748" s="250" t="n"/>
      <c r="P748" s="250" t="n"/>
      <c r="Q748" s="250" t="n"/>
      <c r="R748" s="250" t="n"/>
      <c r="S748" s="250" t="n"/>
      <c r="T748" s="250" t="n"/>
      <c r="U748" s="250" t="n"/>
      <c r="V748" s="250" t="n"/>
      <c r="W748" s="250" t="n"/>
      <c r="X748" s="250" t="n"/>
      <c r="Y748" s="250" t="n"/>
      <c r="Z748" s="250" t="n"/>
    </row>
    <row r="749">
      <c r="A749" s="250" t="n"/>
      <c r="B749" s="250" t="n"/>
      <c r="C749" s="250" t="n"/>
      <c r="D749" s="250" t="n"/>
      <c r="E749" s="250" t="n"/>
      <c r="F749" s="250" t="n"/>
      <c r="G749" s="250" t="n"/>
      <c r="H749" s="250" t="n"/>
      <c r="I749" s="250" t="n"/>
      <c r="J749" s="250" t="n"/>
      <c r="K749" s="250" t="n"/>
      <c r="L749" s="250" t="n"/>
      <c r="M749" s="250" t="n"/>
      <c r="N749" s="250" t="n"/>
      <c r="O749" s="250" t="n"/>
      <c r="P749" s="250" t="n"/>
      <c r="Q749" s="250" t="n"/>
      <c r="R749" s="250" t="n"/>
      <c r="S749" s="250" t="n"/>
      <c r="T749" s="250" t="n"/>
      <c r="U749" s="250" t="n"/>
      <c r="V749" s="250" t="n"/>
      <c r="W749" s="250" t="n"/>
      <c r="X749" s="250" t="n"/>
      <c r="Y749" s="250" t="n"/>
      <c r="Z749" s="250" t="n"/>
    </row>
    <row r="750">
      <c r="A750" s="250" t="n"/>
      <c r="B750" s="250" t="n"/>
      <c r="C750" s="250" t="n"/>
      <c r="D750" s="250" t="n"/>
      <c r="E750" s="250" t="n"/>
      <c r="F750" s="250" t="n"/>
      <c r="G750" s="250" t="n"/>
      <c r="H750" s="250" t="n"/>
      <c r="I750" s="250" t="n"/>
      <c r="J750" s="250" t="n"/>
      <c r="K750" s="250" t="n"/>
      <c r="L750" s="250" t="n"/>
      <c r="M750" s="250" t="n"/>
      <c r="N750" s="250" t="n"/>
      <c r="O750" s="250" t="n"/>
      <c r="P750" s="250" t="n"/>
      <c r="Q750" s="250" t="n"/>
      <c r="R750" s="250" t="n"/>
      <c r="S750" s="250" t="n"/>
      <c r="T750" s="250" t="n"/>
      <c r="U750" s="250" t="n"/>
      <c r="V750" s="250" t="n"/>
      <c r="W750" s="250" t="n"/>
      <c r="X750" s="250" t="n"/>
      <c r="Y750" s="250" t="n"/>
      <c r="Z750" s="250" t="n"/>
    </row>
    <row r="751">
      <c r="A751" s="250" t="n"/>
      <c r="B751" s="250" t="n"/>
      <c r="C751" s="250" t="n"/>
      <c r="D751" s="250" t="n"/>
      <c r="E751" s="250" t="n"/>
      <c r="F751" s="250" t="n"/>
      <c r="G751" s="250" t="n"/>
      <c r="H751" s="250" t="n"/>
      <c r="I751" s="250" t="n"/>
      <c r="J751" s="250" t="n"/>
      <c r="K751" s="250" t="n"/>
      <c r="L751" s="250" t="n"/>
      <c r="M751" s="250" t="n"/>
      <c r="N751" s="250" t="n"/>
      <c r="O751" s="250" t="n"/>
      <c r="P751" s="250" t="n"/>
      <c r="Q751" s="250" t="n"/>
      <c r="R751" s="250" t="n"/>
      <c r="S751" s="250" t="n"/>
      <c r="T751" s="250" t="n"/>
      <c r="U751" s="250" t="n"/>
      <c r="V751" s="250" t="n"/>
      <c r="W751" s="250" t="n"/>
      <c r="X751" s="250" t="n"/>
      <c r="Y751" s="250" t="n"/>
      <c r="Z751" s="250" t="n"/>
    </row>
    <row r="752">
      <c r="A752" s="250" t="n"/>
      <c r="B752" s="250" t="n"/>
      <c r="C752" s="250" t="n"/>
      <c r="D752" s="250" t="n"/>
      <c r="E752" s="250" t="n"/>
      <c r="F752" s="250" t="n"/>
      <c r="G752" s="250" t="n"/>
      <c r="H752" s="250" t="n"/>
      <c r="I752" s="250" t="n"/>
      <c r="J752" s="250" t="n"/>
      <c r="K752" s="250" t="n"/>
      <c r="L752" s="250" t="n"/>
      <c r="M752" s="250" t="n"/>
      <c r="N752" s="250" t="n"/>
      <c r="O752" s="250" t="n"/>
      <c r="P752" s="250" t="n"/>
      <c r="Q752" s="250" t="n"/>
      <c r="R752" s="250" t="n"/>
      <c r="S752" s="250" t="n"/>
      <c r="T752" s="250" t="n"/>
      <c r="U752" s="250" t="n"/>
      <c r="V752" s="250" t="n"/>
      <c r="W752" s="250" t="n"/>
      <c r="X752" s="250" t="n"/>
      <c r="Y752" s="250" t="n"/>
      <c r="Z752" s="250" t="n"/>
    </row>
    <row r="753">
      <c r="A753" s="250" t="n"/>
      <c r="B753" s="250" t="n"/>
      <c r="C753" s="250" t="n"/>
      <c r="D753" s="250" t="n"/>
      <c r="E753" s="250" t="n"/>
      <c r="F753" s="250" t="n"/>
      <c r="G753" s="250" t="n"/>
      <c r="H753" s="250" t="n"/>
      <c r="I753" s="250" t="n"/>
      <c r="J753" s="250" t="n"/>
      <c r="K753" s="250" t="n"/>
      <c r="L753" s="250" t="n"/>
      <c r="M753" s="250" t="n"/>
      <c r="N753" s="250" t="n"/>
      <c r="O753" s="250" t="n"/>
      <c r="P753" s="250" t="n"/>
      <c r="Q753" s="250" t="n"/>
      <c r="R753" s="250" t="n"/>
      <c r="S753" s="250" t="n"/>
      <c r="T753" s="250" t="n"/>
      <c r="U753" s="250" t="n"/>
      <c r="V753" s="250" t="n"/>
      <c r="W753" s="250" t="n"/>
      <c r="X753" s="250" t="n"/>
      <c r="Y753" s="250" t="n"/>
      <c r="Z753" s="250" t="n"/>
    </row>
    <row r="754">
      <c r="A754" s="250" t="n"/>
      <c r="B754" s="250" t="n"/>
      <c r="C754" s="250" t="n"/>
      <c r="D754" s="250" t="n"/>
      <c r="E754" s="250" t="n"/>
      <c r="F754" s="250" t="n"/>
      <c r="G754" s="250" t="n"/>
      <c r="H754" s="250" t="n"/>
      <c r="I754" s="250" t="n"/>
      <c r="J754" s="250" t="n"/>
      <c r="K754" s="250" t="n"/>
      <c r="L754" s="250" t="n"/>
      <c r="M754" s="250" t="n"/>
      <c r="N754" s="250" t="n"/>
      <c r="O754" s="250" t="n"/>
      <c r="P754" s="250" t="n"/>
      <c r="Q754" s="250" t="n"/>
      <c r="R754" s="250" t="n"/>
      <c r="S754" s="250" t="n"/>
      <c r="T754" s="250" t="n"/>
      <c r="U754" s="250" t="n"/>
      <c r="V754" s="250" t="n"/>
      <c r="W754" s="250" t="n"/>
      <c r="X754" s="250" t="n"/>
      <c r="Y754" s="250" t="n"/>
      <c r="Z754" s="250" t="n"/>
    </row>
    <row r="755">
      <c r="A755" s="250" t="n"/>
      <c r="B755" s="250" t="n"/>
      <c r="C755" s="250" t="n"/>
      <c r="D755" s="250" t="n"/>
      <c r="E755" s="250" t="n"/>
      <c r="F755" s="250" t="n"/>
      <c r="G755" s="250" t="n"/>
      <c r="H755" s="250" t="n"/>
      <c r="I755" s="250" t="n"/>
      <c r="J755" s="250" t="n"/>
      <c r="K755" s="250" t="n"/>
      <c r="L755" s="250" t="n"/>
      <c r="M755" s="250" t="n"/>
      <c r="N755" s="250" t="n"/>
      <c r="O755" s="250" t="n"/>
      <c r="P755" s="250" t="n"/>
      <c r="Q755" s="250" t="n"/>
      <c r="R755" s="250" t="n"/>
      <c r="S755" s="250" t="n"/>
      <c r="T755" s="250" t="n"/>
      <c r="U755" s="250" t="n"/>
      <c r="V755" s="250" t="n"/>
      <c r="W755" s="250" t="n"/>
      <c r="X755" s="250" t="n"/>
      <c r="Y755" s="250" t="n"/>
      <c r="Z755" s="250" t="n"/>
    </row>
    <row r="756">
      <c r="A756" s="250" t="n"/>
      <c r="B756" s="250" t="n"/>
      <c r="C756" s="250" t="n"/>
      <c r="D756" s="250" t="n"/>
      <c r="E756" s="250" t="n"/>
      <c r="F756" s="250" t="n"/>
      <c r="G756" s="250" t="n"/>
      <c r="H756" s="250" t="n"/>
      <c r="I756" s="250" t="n"/>
      <c r="J756" s="250" t="n"/>
      <c r="K756" s="250" t="n"/>
      <c r="L756" s="250" t="n"/>
      <c r="M756" s="250" t="n"/>
      <c r="N756" s="250" t="n"/>
      <c r="O756" s="250" t="n"/>
      <c r="P756" s="250" t="n"/>
      <c r="Q756" s="250" t="n"/>
      <c r="R756" s="250" t="n"/>
      <c r="S756" s="250" t="n"/>
      <c r="T756" s="250" t="n"/>
      <c r="U756" s="250" t="n"/>
      <c r="V756" s="250" t="n"/>
      <c r="W756" s="250" t="n"/>
      <c r="X756" s="250" t="n"/>
      <c r="Y756" s="250" t="n"/>
      <c r="Z756" s="250" t="n"/>
    </row>
    <row r="757">
      <c r="A757" s="250" t="n"/>
      <c r="B757" s="250" t="n"/>
      <c r="C757" s="250" t="n"/>
      <c r="D757" s="250" t="n"/>
      <c r="E757" s="250" t="n"/>
      <c r="F757" s="250" t="n"/>
      <c r="G757" s="250" t="n"/>
      <c r="H757" s="250" t="n"/>
      <c r="I757" s="250" t="n"/>
      <c r="J757" s="250" t="n"/>
      <c r="K757" s="250" t="n"/>
      <c r="L757" s="250" t="n"/>
      <c r="M757" s="250" t="n"/>
      <c r="N757" s="250" t="n"/>
      <c r="O757" s="250" t="n"/>
      <c r="P757" s="250" t="n"/>
      <c r="Q757" s="250" t="n"/>
      <c r="R757" s="250" t="n"/>
      <c r="S757" s="250" t="n"/>
      <c r="T757" s="250" t="n"/>
      <c r="U757" s="250" t="n"/>
      <c r="V757" s="250" t="n"/>
      <c r="W757" s="250" t="n"/>
      <c r="X757" s="250" t="n"/>
      <c r="Y757" s="250" t="n"/>
      <c r="Z757" s="250" t="n"/>
    </row>
    <row r="758">
      <c r="A758" s="250" t="n"/>
      <c r="B758" s="250" t="n"/>
      <c r="C758" s="250" t="n"/>
      <c r="D758" s="250" t="n"/>
      <c r="E758" s="250" t="n"/>
      <c r="F758" s="250" t="n"/>
      <c r="G758" s="250" t="n"/>
      <c r="H758" s="250" t="n"/>
      <c r="I758" s="250" t="n"/>
      <c r="J758" s="250" t="n"/>
      <c r="K758" s="250" t="n"/>
      <c r="L758" s="250" t="n"/>
      <c r="M758" s="250" t="n"/>
      <c r="N758" s="250" t="n"/>
      <c r="O758" s="250" t="n"/>
      <c r="P758" s="250" t="n"/>
      <c r="Q758" s="250" t="n"/>
      <c r="R758" s="250" t="n"/>
      <c r="S758" s="250" t="n"/>
      <c r="T758" s="250" t="n"/>
      <c r="U758" s="250" t="n"/>
      <c r="V758" s="250" t="n"/>
      <c r="W758" s="250" t="n"/>
      <c r="X758" s="250" t="n"/>
      <c r="Y758" s="250" t="n"/>
      <c r="Z758" s="250" t="n"/>
    </row>
    <row r="759">
      <c r="A759" s="250" t="n"/>
      <c r="B759" s="250" t="n"/>
      <c r="C759" s="250" t="n"/>
      <c r="D759" s="250" t="n"/>
      <c r="E759" s="250" t="n"/>
      <c r="F759" s="250" t="n"/>
      <c r="G759" s="250" t="n"/>
      <c r="H759" s="250" t="n"/>
      <c r="I759" s="250" t="n"/>
      <c r="J759" s="250" t="n"/>
      <c r="K759" s="250" t="n"/>
      <c r="L759" s="250" t="n"/>
      <c r="M759" s="250" t="n"/>
      <c r="N759" s="250" t="n"/>
      <c r="O759" s="250" t="n"/>
      <c r="P759" s="250" t="n"/>
      <c r="Q759" s="250" t="n"/>
      <c r="R759" s="250" t="n"/>
      <c r="S759" s="250" t="n"/>
      <c r="T759" s="250" t="n"/>
      <c r="U759" s="250" t="n"/>
      <c r="V759" s="250" t="n"/>
      <c r="W759" s="250" t="n"/>
      <c r="X759" s="250" t="n"/>
      <c r="Y759" s="250" t="n"/>
      <c r="Z759" s="250" t="n"/>
    </row>
    <row r="760">
      <c r="A760" s="250" t="n"/>
      <c r="B760" s="250" t="n"/>
      <c r="C760" s="250" t="n"/>
      <c r="D760" s="250" t="n"/>
      <c r="E760" s="250" t="n"/>
      <c r="F760" s="250" t="n"/>
      <c r="G760" s="250" t="n"/>
      <c r="H760" s="250" t="n"/>
      <c r="I760" s="250" t="n"/>
      <c r="J760" s="250" t="n"/>
      <c r="K760" s="250" t="n"/>
      <c r="L760" s="250" t="n"/>
      <c r="M760" s="250" t="n"/>
      <c r="N760" s="250" t="n"/>
      <c r="O760" s="250" t="n"/>
      <c r="P760" s="250" t="n"/>
      <c r="Q760" s="250" t="n"/>
      <c r="R760" s="250" t="n"/>
      <c r="S760" s="250" t="n"/>
      <c r="T760" s="250" t="n"/>
      <c r="U760" s="250" t="n"/>
      <c r="V760" s="250" t="n"/>
      <c r="W760" s="250" t="n"/>
      <c r="X760" s="250" t="n"/>
      <c r="Y760" s="250" t="n"/>
      <c r="Z760" s="250" t="n"/>
    </row>
    <row r="761">
      <c r="A761" s="250" t="n"/>
      <c r="B761" s="250" t="n"/>
      <c r="C761" s="250" t="n"/>
      <c r="D761" s="250" t="n"/>
      <c r="E761" s="250" t="n"/>
      <c r="F761" s="250" t="n"/>
      <c r="G761" s="250" t="n"/>
      <c r="H761" s="250" t="n"/>
      <c r="I761" s="250" t="n"/>
      <c r="J761" s="250" t="n"/>
      <c r="K761" s="250" t="n"/>
      <c r="L761" s="250" t="n"/>
      <c r="M761" s="250" t="n"/>
      <c r="N761" s="250" t="n"/>
      <c r="O761" s="250" t="n"/>
      <c r="P761" s="250" t="n"/>
      <c r="Q761" s="250" t="n"/>
      <c r="R761" s="250" t="n"/>
      <c r="S761" s="250" t="n"/>
      <c r="T761" s="250" t="n"/>
      <c r="U761" s="250" t="n"/>
      <c r="V761" s="250" t="n"/>
      <c r="W761" s="250" t="n"/>
      <c r="X761" s="250" t="n"/>
      <c r="Y761" s="250" t="n"/>
      <c r="Z761" s="250" t="n"/>
    </row>
    <row r="762">
      <c r="A762" s="250" t="n"/>
      <c r="B762" s="250" t="n"/>
      <c r="C762" s="250" t="n"/>
      <c r="D762" s="250" t="n"/>
      <c r="E762" s="250" t="n"/>
      <c r="F762" s="250" t="n"/>
      <c r="G762" s="250" t="n"/>
      <c r="H762" s="250" t="n"/>
      <c r="I762" s="250" t="n"/>
      <c r="J762" s="250" t="n"/>
      <c r="K762" s="250" t="n"/>
      <c r="L762" s="250" t="n"/>
      <c r="M762" s="250" t="n"/>
      <c r="N762" s="250" t="n"/>
      <c r="O762" s="250" t="n"/>
      <c r="P762" s="250" t="n"/>
      <c r="Q762" s="250" t="n"/>
      <c r="R762" s="250" t="n"/>
      <c r="S762" s="250" t="n"/>
      <c r="T762" s="250" t="n"/>
      <c r="U762" s="250" t="n"/>
      <c r="V762" s="250" t="n"/>
      <c r="W762" s="250" t="n"/>
      <c r="X762" s="250" t="n"/>
      <c r="Y762" s="250" t="n"/>
      <c r="Z762" s="250" t="n"/>
    </row>
    <row r="763">
      <c r="A763" s="250" t="n"/>
      <c r="B763" s="250" t="n"/>
      <c r="C763" s="250" t="n"/>
      <c r="D763" s="250" t="n"/>
      <c r="E763" s="250" t="n"/>
      <c r="F763" s="250" t="n"/>
      <c r="G763" s="250" t="n"/>
      <c r="H763" s="250" t="n"/>
      <c r="I763" s="250" t="n"/>
      <c r="J763" s="250" t="n"/>
      <c r="K763" s="250" t="n"/>
      <c r="L763" s="250" t="n"/>
      <c r="M763" s="250" t="n"/>
      <c r="N763" s="250" t="n"/>
      <c r="O763" s="250" t="n"/>
      <c r="P763" s="250" t="n"/>
      <c r="Q763" s="250" t="n"/>
      <c r="R763" s="250" t="n"/>
      <c r="S763" s="250" t="n"/>
      <c r="T763" s="250" t="n"/>
      <c r="U763" s="250" t="n"/>
      <c r="V763" s="250" t="n"/>
      <c r="W763" s="250" t="n"/>
      <c r="X763" s="250" t="n"/>
      <c r="Y763" s="250" t="n"/>
      <c r="Z763" s="250" t="n"/>
    </row>
    <row r="764">
      <c r="A764" s="250" t="n"/>
      <c r="B764" s="250" t="n"/>
      <c r="C764" s="250" t="n"/>
      <c r="D764" s="250" t="n"/>
      <c r="E764" s="250" t="n"/>
      <c r="F764" s="250" t="n"/>
      <c r="G764" s="250" t="n"/>
      <c r="H764" s="250" t="n"/>
      <c r="I764" s="250" t="n"/>
      <c r="J764" s="250" t="n"/>
      <c r="K764" s="250" t="n"/>
      <c r="L764" s="250" t="n"/>
      <c r="M764" s="250" t="n"/>
      <c r="N764" s="250" t="n"/>
      <c r="O764" s="250" t="n"/>
      <c r="P764" s="250" t="n"/>
      <c r="Q764" s="250" t="n"/>
      <c r="R764" s="250" t="n"/>
      <c r="S764" s="250" t="n"/>
      <c r="T764" s="250" t="n"/>
      <c r="U764" s="250" t="n"/>
      <c r="V764" s="250" t="n"/>
      <c r="W764" s="250" t="n"/>
      <c r="X764" s="250" t="n"/>
      <c r="Y764" s="250" t="n"/>
      <c r="Z764" s="250" t="n"/>
    </row>
    <row r="765">
      <c r="A765" s="250" t="n"/>
      <c r="B765" s="250" t="n"/>
      <c r="C765" s="250" t="n"/>
      <c r="D765" s="250" t="n"/>
      <c r="E765" s="250" t="n"/>
      <c r="F765" s="250" t="n"/>
      <c r="G765" s="250" t="n"/>
      <c r="H765" s="250" t="n"/>
      <c r="I765" s="250" t="n"/>
      <c r="J765" s="250" t="n"/>
      <c r="K765" s="250" t="n"/>
      <c r="L765" s="250" t="n"/>
      <c r="M765" s="250" t="n"/>
      <c r="N765" s="250" t="n"/>
      <c r="O765" s="250" t="n"/>
      <c r="P765" s="250" t="n"/>
      <c r="Q765" s="250" t="n"/>
      <c r="R765" s="250" t="n"/>
      <c r="S765" s="250" t="n"/>
      <c r="T765" s="250" t="n"/>
      <c r="U765" s="250" t="n"/>
      <c r="V765" s="250" t="n"/>
      <c r="W765" s="250" t="n"/>
      <c r="X765" s="250" t="n"/>
      <c r="Y765" s="250" t="n"/>
      <c r="Z765" s="250" t="n"/>
    </row>
    <row r="766">
      <c r="A766" s="250" t="n"/>
      <c r="B766" s="250" t="n"/>
      <c r="C766" s="250" t="n"/>
      <c r="D766" s="250" t="n"/>
      <c r="E766" s="250" t="n"/>
      <c r="F766" s="250" t="n"/>
      <c r="G766" s="250" t="n"/>
      <c r="H766" s="250" t="n"/>
      <c r="I766" s="250" t="n"/>
      <c r="J766" s="250" t="n"/>
      <c r="K766" s="250" t="n"/>
      <c r="L766" s="250" t="n"/>
      <c r="M766" s="250" t="n"/>
      <c r="N766" s="250" t="n"/>
      <c r="O766" s="250" t="n"/>
      <c r="P766" s="250" t="n"/>
      <c r="Q766" s="250" t="n"/>
      <c r="R766" s="250" t="n"/>
      <c r="S766" s="250" t="n"/>
      <c r="T766" s="250" t="n"/>
      <c r="U766" s="250" t="n"/>
      <c r="V766" s="250" t="n"/>
      <c r="W766" s="250" t="n"/>
      <c r="X766" s="250" t="n"/>
      <c r="Y766" s="250" t="n"/>
      <c r="Z766" s="250" t="n"/>
    </row>
    <row r="767">
      <c r="A767" s="250" t="n"/>
      <c r="B767" s="250" t="n"/>
      <c r="C767" s="250" t="n"/>
      <c r="D767" s="250" t="n"/>
      <c r="E767" s="250" t="n"/>
      <c r="F767" s="250" t="n"/>
      <c r="G767" s="250" t="n"/>
      <c r="H767" s="250" t="n"/>
      <c r="I767" s="250" t="n"/>
      <c r="J767" s="250" t="n"/>
      <c r="K767" s="250" t="n"/>
      <c r="L767" s="250" t="n"/>
      <c r="M767" s="250" t="n"/>
      <c r="N767" s="250" t="n"/>
      <c r="O767" s="250" t="n"/>
      <c r="P767" s="250" t="n"/>
      <c r="Q767" s="250" t="n"/>
      <c r="R767" s="250" t="n"/>
      <c r="S767" s="250" t="n"/>
      <c r="T767" s="250" t="n"/>
      <c r="U767" s="250" t="n"/>
      <c r="V767" s="250" t="n"/>
      <c r="W767" s="250" t="n"/>
      <c r="X767" s="250" t="n"/>
      <c r="Y767" s="250" t="n"/>
      <c r="Z767" s="250" t="n"/>
    </row>
    <row r="768">
      <c r="A768" s="250" t="n"/>
      <c r="B768" s="250" t="n"/>
      <c r="C768" s="250" t="n"/>
      <c r="D768" s="250" t="n"/>
      <c r="E768" s="250" t="n"/>
      <c r="F768" s="250" t="n"/>
      <c r="G768" s="250" t="n"/>
      <c r="H768" s="250" t="n"/>
      <c r="I768" s="250" t="n"/>
      <c r="J768" s="250" t="n"/>
      <c r="K768" s="250" t="n"/>
      <c r="L768" s="250" t="n"/>
      <c r="M768" s="250" t="n"/>
      <c r="N768" s="250" t="n"/>
      <c r="O768" s="250" t="n"/>
      <c r="P768" s="250" t="n"/>
      <c r="Q768" s="250" t="n"/>
      <c r="R768" s="250" t="n"/>
      <c r="S768" s="250" t="n"/>
      <c r="T768" s="250" t="n"/>
      <c r="U768" s="250" t="n"/>
      <c r="V768" s="250" t="n"/>
      <c r="W768" s="250" t="n"/>
      <c r="X768" s="250" t="n"/>
      <c r="Y768" s="250" t="n"/>
      <c r="Z768" s="250" t="n"/>
    </row>
    <row r="769">
      <c r="A769" s="250" t="n"/>
      <c r="B769" s="250" t="n"/>
      <c r="C769" s="250" t="n"/>
      <c r="D769" s="250" t="n"/>
      <c r="E769" s="250" t="n"/>
      <c r="F769" s="250" t="n"/>
      <c r="G769" s="250" t="n"/>
      <c r="H769" s="250" t="n"/>
      <c r="I769" s="250" t="n"/>
      <c r="J769" s="250" t="n"/>
      <c r="K769" s="250" t="n"/>
      <c r="L769" s="250" t="n"/>
      <c r="M769" s="250" t="n"/>
      <c r="N769" s="250" t="n"/>
      <c r="O769" s="250" t="n"/>
      <c r="P769" s="250" t="n"/>
      <c r="Q769" s="250" t="n"/>
      <c r="R769" s="250" t="n"/>
      <c r="S769" s="250" t="n"/>
      <c r="T769" s="250" t="n"/>
      <c r="U769" s="250" t="n"/>
      <c r="V769" s="250" t="n"/>
      <c r="W769" s="250" t="n"/>
      <c r="X769" s="250" t="n"/>
      <c r="Y769" s="250" t="n"/>
      <c r="Z769" s="250" t="n"/>
    </row>
    <row r="770">
      <c r="A770" s="250" t="n"/>
      <c r="B770" s="250" t="n"/>
      <c r="C770" s="250" t="n"/>
      <c r="D770" s="250" t="n"/>
      <c r="E770" s="250" t="n"/>
      <c r="F770" s="250" t="n"/>
      <c r="G770" s="250" t="n"/>
      <c r="H770" s="250" t="n"/>
      <c r="I770" s="250" t="n"/>
      <c r="J770" s="250" t="n"/>
      <c r="K770" s="250" t="n"/>
      <c r="L770" s="250" t="n"/>
      <c r="M770" s="250" t="n"/>
      <c r="N770" s="250" t="n"/>
      <c r="O770" s="250" t="n"/>
      <c r="P770" s="250" t="n"/>
      <c r="Q770" s="250" t="n"/>
      <c r="R770" s="250" t="n"/>
      <c r="S770" s="250" t="n"/>
      <c r="T770" s="250" t="n"/>
      <c r="U770" s="250" t="n"/>
      <c r="V770" s="250" t="n"/>
      <c r="W770" s="250" t="n"/>
      <c r="X770" s="250" t="n"/>
      <c r="Y770" s="250" t="n"/>
      <c r="Z770" s="250" t="n"/>
    </row>
    <row r="771">
      <c r="A771" s="250" t="n"/>
      <c r="B771" s="250" t="n"/>
      <c r="C771" s="250" t="n"/>
      <c r="D771" s="250" t="n"/>
      <c r="E771" s="250" t="n"/>
      <c r="F771" s="250" t="n"/>
      <c r="G771" s="250" t="n"/>
      <c r="H771" s="250" t="n"/>
      <c r="I771" s="250" t="n"/>
      <c r="J771" s="250" t="n"/>
      <c r="K771" s="250" t="n"/>
      <c r="L771" s="250" t="n"/>
      <c r="M771" s="250" t="n"/>
      <c r="N771" s="250" t="n"/>
      <c r="O771" s="250" t="n"/>
      <c r="P771" s="250" t="n"/>
      <c r="Q771" s="250" t="n"/>
      <c r="R771" s="250" t="n"/>
      <c r="S771" s="250" t="n"/>
      <c r="T771" s="250" t="n"/>
      <c r="U771" s="250" t="n"/>
      <c r="V771" s="250" t="n"/>
      <c r="W771" s="250" t="n"/>
      <c r="X771" s="250" t="n"/>
      <c r="Y771" s="250" t="n"/>
      <c r="Z771" s="250" t="n"/>
    </row>
    <row r="772">
      <c r="A772" s="250" t="n"/>
      <c r="B772" s="250" t="n"/>
      <c r="C772" s="250" t="n"/>
      <c r="D772" s="250" t="n"/>
      <c r="E772" s="250" t="n"/>
      <c r="F772" s="250" t="n"/>
      <c r="G772" s="250" t="n"/>
      <c r="H772" s="250" t="n"/>
      <c r="I772" s="250" t="n"/>
      <c r="J772" s="250" t="n"/>
      <c r="K772" s="250" t="n"/>
      <c r="L772" s="250" t="n"/>
      <c r="M772" s="250" t="n"/>
      <c r="N772" s="250" t="n"/>
      <c r="O772" s="250" t="n"/>
      <c r="P772" s="250" t="n"/>
      <c r="Q772" s="250" t="n"/>
      <c r="R772" s="250" t="n"/>
      <c r="S772" s="250" t="n"/>
      <c r="T772" s="250" t="n"/>
      <c r="U772" s="250" t="n"/>
      <c r="V772" s="250" t="n"/>
      <c r="W772" s="250" t="n"/>
      <c r="X772" s="250" t="n"/>
      <c r="Y772" s="250" t="n"/>
      <c r="Z772" s="250" t="n"/>
    </row>
    <row r="773">
      <c r="A773" s="250" t="n"/>
      <c r="B773" s="250" t="n"/>
      <c r="C773" s="250" t="n"/>
      <c r="D773" s="250" t="n"/>
      <c r="E773" s="250" t="n"/>
      <c r="F773" s="250" t="n"/>
      <c r="G773" s="250" t="n"/>
      <c r="H773" s="250" t="n"/>
      <c r="I773" s="250" t="n"/>
      <c r="J773" s="250" t="n"/>
      <c r="K773" s="250" t="n"/>
      <c r="L773" s="250" t="n"/>
      <c r="M773" s="250" t="n"/>
      <c r="N773" s="250" t="n"/>
      <c r="O773" s="250" t="n"/>
      <c r="P773" s="250" t="n"/>
      <c r="Q773" s="250" t="n"/>
      <c r="R773" s="250" t="n"/>
      <c r="S773" s="250" t="n"/>
      <c r="T773" s="250" t="n"/>
      <c r="U773" s="250" t="n"/>
      <c r="V773" s="250" t="n"/>
      <c r="W773" s="250" t="n"/>
      <c r="X773" s="250" t="n"/>
      <c r="Y773" s="250" t="n"/>
      <c r="Z773" s="250" t="n"/>
    </row>
    <row r="774">
      <c r="A774" s="250" t="n"/>
      <c r="B774" s="250" t="n"/>
      <c r="C774" s="250" t="n"/>
      <c r="D774" s="250" t="n"/>
      <c r="E774" s="250" t="n"/>
      <c r="F774" s="250" t="n"/>
      <c r="G774" s="250" t="n"/>
      <c r="H774" s="250" t="n"/>
      <c r="I774" s="250" t="n"/>
      <c r="J774" s="250" t="n"/>
      <c r="K774" s="250" t="n"/>
      <c r="L774" s="250" t="n"/>
      <c r="M774" s="250" t="n"/>
      <c r="N774" s="250" t="n"/>
      <c r="O774" s="250" t="n"/>
      <c r="P774" s="250" t="n"/>
      <c r="Q774" s="250" t="n"/>
      <c r="R774" s="250" t="n"/>
      <c r="S774" s="250" t="n"/>
      <c r="T774" s="250" t="n"/>
      <c r="U774" s="250" t="n"/>
      <c r="V774" s="250" t="n"/>
      <c r="W774" s="250" t="n"/>
      <c r="X774" s="250" t="n"/>
      <c r="Y774" s="250" t="n"/>
      <c r="Z774" s="250" t="n"/>
    </row>
    <row r="775">
      <c r="A775" s="250" t="n"/>
      <c r="B775" s="250" t="n"/>
      <c r="C775" s="250" t="n"/>
      <c r="D775" s="250" t="n"/>
      <c r="E775" s="250" t="n"/>
      <c r="F775" s="250" t="n"/>
      <c r="G775" s="250" t="n"/>
      <c r="H775" s="250" t="n"/>
      <c r="I775" s="250" t="n"/>
      <c r="J775" s="250" t="n"/>
      <c r="K775" s="250" t="n"/>
      <c r="L775" s="250" t="n"/>
      <c r="M775" s="250" t="n"/>
      <c r="N775" s="250" t="n"/>
      <c r="O775" s="250" t="n"/>
      <c r="P775" s="250" t="n"/>
      <c r="Q775" s="250" t="n"/>
      <c r="R775" s="250" t="n"/>
      <c r="S775" s="250" t="n"/>
      <c r="T775" s="250" t="n"/>
      <c r="U775" s="250" t="n"/>
      <c r="V775" s="250" t="n"/>
      <c r="W775" s="250" t="n"/>
      <c r="X775" s="250" t="n"/>
      <c r="Y775" s="250" t="n"/>
      <c r="Z775" s="250" t="n"/>
    </row>
    <row r="776">
      <c r="A776" s="250" t="n"/>
      <c r="B776" s="250" t="n"/>
      <c r="C776" s="250" t="n"/>
      <c r="D776" s="250" t="n"/>
      <c r="E776" s="250" t="n"/>
      <c r="F776" s="250" t="n"/>
      <c r="G776" s="250" t="n"/>
      <c r="H776" s="250" t="n"/>
      <c r="I776" s="250" t="n"/>
      <c r="J776" s="250" t="n"/>
      <c r="K776" s="250" t="n"/>
      <c r="L776" s="250" t="n"/>
      <c r="M776" s="250" t="n"/>
      <c r="N776" s="250" t="n"/>
      <c r="O776" s="250" t="n"/>
      <c r="P776" s="250" t="n"/>
      <c r="Q776" s="250" t="n"/>
      <c r="R776" s="250" t="n"/>
      <c r="S776" s="250" t="n"/>
      <c r="T776" s="250" t="n"/>
      <c r="U776" s="250" t="n"/>
      <c r="V776" s="250" t="n"/>
      <c r="W776" s="250" t="n"/>
      <c r="X776" s="250" t="n"/>
      <c r="Y776" s="250" t="n"/>
      <c r="Z776" s="250" t="n"/>
    </row>
    <row r="777">
      <c r="A777" s="250" t="n"/>
      <c r="B777" s="250" t="n"/>
      <c r="C777" s="250" t="n"/>
      <c r="D777" s="250" t="n"/>
      <c r="E777" s="250" t="n"/>
      <c r="F777" s="250" t="n"/>
      <c r="G777" s="250" t="n"/>
      <c r="H777" s="250" t="n"/>
      <c r="I777" s="250" t="n"/>
      <c r="J777" s="250" t="n"/>
      <c r="K777" s="250" t="n"/>
      <c r="L777" s="250" t="n"/>
      <c r="M777" s="250" t="n"/>
      <c r="N777" s="250" t="n"/>
      <c r="O777" s="250" t="n"/>
      <c r="P777" s="250" t="n"/>
      <c r="Q777" s="250" t="n"/>
      <c r="R777" s="250" t="n"/>
      <c r="S777" s="250" t="n"/>
      <c r="T777" s="250" t="n"/>
      <c r="U777" s="250" t="n"/>
      <c r="V777" s="250" t="n"/>
      <c r="W777" s="250" t="n"/>
      <c r="X777" s="250" t="n"/>
      <c r="Y777" s="250" t="n"/>
      <c r="Z777" s="250" t="n"/>
    </row>
    <row r="778">
      <c r="A778" s="250" t="n"/>
      <c r="B778" s="250" t="n"/>
      <c r="C778" s="250" t="n"/>
      <c r="D778" s="250" t="n"/>
      <c r="E778" s="250" t="n"/>
      <c r="F778" s="250" t="n"/>
      <c r="G778" s="250" t="n"/>
      <c r="H778" s="250" t="n"/>
      <c r="I778" s="250" t="n"/>
      <c r="J778" s="250" t="n"/>
      <c r="K778" s="250" t="n"/>
      <c r="L778" s="250" t="n"/>
      <c r="M778" s="250" t="n"/>
      <c r="N778" s="250" t="n"/>
      <c r="O778" s="250" t="n"/>
      <c r="P778" s="250" t="n"/>
      <c r="Q778" s="250" t="n"/>
      <c r="R778" s="250" t="n"/>
      <c r="S778" s="250" t="n"/>
      <c r="T778" s="250" t="n"/>
      <c r="U778" s="250" t="n"/>
      <c r="V778" s="250" t="n"/>
      <c r="W778" s="250" t="n"/>
      <c r="X778" s="250" t="n"/>
      <c r="Y778" s="250" t="n"/>
      <c r="Z778" s="250" t="n"/>
    </row>
    <row r="779">
      <c r="A779" s="250" t="n"/>
      <c r="B779" s="250" t="n"/>
      <c r="C779" s="250" t="n"/>
      <c r="D779" s="250" t="n"/>
      <c r="E779" s="250" t="n"/>
      <c r="F779" s="250" t="n"/>
      <c r="G779" s="250" t="n"/>
      <c r="H779" s="250" t="n"/>
      <c r="I779" s="250" t="n"/>
      <c r="J779" s="250" t="n"/>
      <c r="K779" s="250" t="n"/>
      <c r="L779" s="250" t="n"/>
      <c r="M779" s="250" t="n"/>
      <c r="N779" s="250" t="n"/>
      <c r="O779" s="250" t="n"/>
      <c r="P779" s="250" t="n"/>
      <c r="Q779" s="250" t="n"/>
      <c r="R779" s="250" t="n"/>
      <c r="S779" s="250" t="n"/>
      <c r="T779" s="250" t="n"/>
      <c r="U779" s="250" t="n"/>
      <c r="V779" s="250" t="n"/>
      <c r="W779" s="250" t="n"/>
      <c r="X779" s="250" t="n"/>
      <c r="Y779" s="250" t="n"/>
      <c r="Z779" s="250" t="n"/>
    </row>
    <row r="780">
      <c r="A780" s="250" t="n"/>
      <c r="B780" s="250" t="n"/>
      <c r="C780" s="250" t="n"/>
      <c r="D780" s="250" t="n"/>
      <c r="E780" s="250" t="n"/>
      <c r="F780" s="250" t="n"/>
      <c r="G780" s="250" t="n"/>
      <c r="H780" s="250" t="n"/>
      <c r="I780" s="250" t="n"/>
      <c r="J780" s="250" t="n"/>
      <c r="K780" s="250" t="n"/>
      <c r="L780" s="250" t="n"/>
      <c r="M780" s="250" t="n"/>
      <c r="N780" s="250" t="n"/>
      <c r="O780" s="250" t="n"/>
      <c r="P780" s="250" t="n"/>
      <c r="Q780" s="250" t="n"/>
      <c r="R780" s="250" t="n"/>
      <c r="S780" s="250" t="n"/>
      <c r="T780" s="250" t="n"/>
      <c r="U780" s="250" t="n"/>
      <c r="V780" s="250" t="n"/>
      <c r="W780" s="250" t="n"/>
      <c r="X780" s="250" t="n"/>
      <c r="Y780" s="250" t="n"/>
      <c r="Z780" s="250" t="n"/>
    </row>
    <row r="781">
      <c r="A781" s="250" t="n"/>
      <c r="B781" s="250" t="n"/>
      <c r="C781" s="250" t="n"/>
      <c r="D781" s="250" t="n"/>
      <c r="E781" s="250" t="n"/>
      <c r="F781" s="250" t="n"/>
      <c r="G781" s="250" t="n"/>
      <c r="H781" s="250" t="n"/>
      <c r="I781" s="250" t="n"/>
      <c r="J781" s="250" t="n"/>
      <c r="K781" s="250" t="n"/>
      <c r="L781" s="250" t="n"/>
      <c r="M781" s="250" t="n"/>
      <c r="N781" s="250" t="n"/>
      <c r="O781" s="250" t="n"/>
      <c r="P781" s="250" t="n"/>
      <c r="Q781" s="250" t="n"/>
      <c r="R781" s="250" t="n"/>
      <c r="S781" s="250" t="n"/>
      <c r="T781" s="250" t="n"/>
      <c r="U781" s="250" t="n"/>
      <c r="V781" s="250" t="n"/>
      <c r="W781" s="250" t="n"/>
      <c r="X781" s="250" t="n"/>
      <c r="Y781" s="250" t="n"/>
      <c r="Z781" s="250" t="n"/>
    </row>
    <row r="782">
      <c r="A782" s="250" t="n"/>
      <c r="B782" s="250" t="n"/>
      <c r="C782" s="250" t="n"/>
      <c r="D782" s="250" t="n"/>
      <c r="E782" s="250" t="n"/>
      <c r="F782" s="250" t="n"/>
      <c r="G782" s="250" t="n"/>
      <c r="H782" s="250" t="n"/>
      <c r="I782" s="250" t="n"/>
      <c r="J782" s="250" t="n"/>
      <c r="K782" s="250" t="n"/>
      <c r="L782" s="250" t="n"/>
      <c r="M782" s="250" t="n"/>
      <c r="N782" s="250" t="n"/>
      <c r="O782" s="250" t="n"/>
      <c r="P782" s="250" t="n"/>
      <c r="Q782" s="250" t="n"/>
      <c r="R782" s="250" t="n"/>
      <c r="S782" s="250" t="n"/>
      <c r="T782" s="250" t="n"/>
      <c r="U782" s="250" t="n"/>
      <c r="V782" s="250" t="n"/>
      <c r="W782" s="250" t="n"/>
      <c r="X782" s="250" t="n"/>
      <c r="Y782" s="250" t="n"/>
      <c r="Z782" s="250" t="n"/>
    </row>
    <row r="783">
      <c r="A783" s="250" t="n"/>
      <c r="B783" s="250" t="n"/>
      <c r="C783" s="250" t="n"/>
      <c r="D783" s="250" t="n"/>
      <c r="E783" s="250" t="n"/>
      <c r="F783" s="250" t="n"/>
      <c r="G783" s="250" t="n"/>
      <c r="H783" s="250" t="n"/>
      <c r="I783" s="250" t="n"/>
      <c r="J783" s="250" t="n"/>
      <c r="K783" s="250" t="n"/>
      <c r="L783" s="250" t="n"/>
      <c r="M783" s="250" t="n"/>
      <c r="N783" s="250" t="n"/>
      <c r="O783" s="250" t="n"/>
      <c r="P783" s="250" t="n"/>
      <c r="Q783" s="250" t="n"/>
      <c r="R783" s="250" t="n"/>
      <c r="S783" s="250" t="n"/>
      <c r="T783" s="250" t="n"/>
      <c r="U783" s="250" t="n"/>
      <c r="V783" s="250" t="n"/>
      <c r="W783" s="250" t="n"/>
      <c r="X783" s="250" t="n"/>
      <c r="Y783" s="250" t="n"/>
      <c r="Z783" s="250" t="n"/>
    </row>
    <row r="784">
      <c r="A784" s="250" t="n"/>
      <c r="B784" s="250" t="n"/>
      <c r="C784" s="250" t="n"/>
      <c r="D784" s="250" t="n"/>
      <c r="E784" s="250" t="n"/>
      <c r="F784" s="250" t="n"/>
      <c r="G784" s="250" t="n"/>
      <c r="H784" s="250" t="n"/>
      <c r="I784" s="250" t="n"/>
      <c r="J784" s="250" t="n"/>
      <c r="K784" s="250" t="n"/>
      <c r="L784" s="250" t="n"/>
      <c r="M784" s="250" t="n"/>
      <c r="N784" s="250" t="n"/>
      <c r="O784" s="250" t="n"/>
      <c r="P784" s="250" t="n"/>
      <c r="Q784" s="250" t="n"/>
      <c r="R784" s="250" t="n"/>
      <c r="S784" s="250" t="n"/>
      <c r="T784" s="250" t="n"/>
      <c r="U784" s="250" t="n"/>
      <c r="V784" s="250" t="n"/>
      <c r="W784" s="250" t="n"/>
      <c r="X784" s="250" t="n"/>
      <c r="Y784" s="250" t="n"/>
      <c r="Z784" s="250" t="n"/>
    </row>
    <row r="785">
      <c r="A785" s="250" t="n"/>
      <c r="B785" s="250" t="n"/>
      <c r="C785" s="250" t="n"/>
      <c r="D785" s="250" t="n"/>
      <c r="E785" s="250" t="n"/>
      <c r="F785" s="250" t="n"/>
      <c r="G785" s="250" t="n"/>
      <c r="H785" s="250" t="n"/>
      <c r="I785" s="250" t="n"/>
      <c r="J785" s="250" t="n"/>
      <c r="K785" s="250" t="n"/>
      <c r="L785" s="250" t="n"/>
      <c r="M785" s="250" t="n"/>
      <c r="N785" s="250" t="n"/>
      <c r="O785" s="250" t="n"/>
      <c r="P785" s="250" t="n"/>
      <c r="Q785" s="250" t="n"/>
      <c r="R785" s="250" t="n"/>
      <c r="S785" s="250" t="n"/>
      <c r="T785" s="250" t="n"/>
      <c r="U785" s="250" t="n"/>
      <c r="V785" s="250" t="n"/>
      <c r="W785" s="250" t="n"/>
      <c r="X785" s="250" t="n"/>
      <c r="Y785" s="250" t="n"/>
      <c r="Z785" s="250" t="n"/>
    </row>
    <row r="786">
      <c r="A786" s="250" t="n"/>
      <c r="B786" s="250" t="n"/>
      <c r="C786" s="250" t="n"/>
      <c r="D786" s="250" t="n"/>
      <c r="E786" s="250" t="n"/>
      <c r="F786" s="250" t="n"/>
      <c r="G786" s="250" t="n"/>
      <c r="H786" s="250" t="n"/>
      <c r="I786" s="250" t="n"/>
      <c r="J786" s="250" t="n"/>
      <c r="K786" s="250" t="n"/>
      <c r="L786" s="250" t="n"/>
      <c r="M786" s="250" t="n"/>
      <c r="N786" s="250" t="n"/>
      <c r="O786" s="250" t="n"/>
      <c r="P786" s="250" t="n"/>
      <c r="Q786" s="250" t="n"/>
      <c r="R786" s="250" t="n"/>
      <c r="S786" s="250" t="n"/>
      <c r="T786" s="250" t="n"/>
      <c r="U786" s="250" t="n"/>
      <c r="V786" s="250" t="n"/>
      <c r="W786" s="250" t="n"/>
      <c r="X786" s="250" t="n"/>
      <c r="Y786" s="250" t="n"/>
      <c r="Z786" s="250" t="n"/>
    </row>
    <row r="787">
      <c r="A787" s="250" t="n"/>
      <c r="B787" s="250" t="n"/>
      <c r="C787" s="250" t="n"/>
      <c r="D787" s="250" t="n"/>
      <c r="E787" s="250" t="n"/>
      <c r="F787" s="250" t="n"/>
      <c r="G787" s="250" t="n"/>
      <c r="H787" s="250" t="n"/>
      <c r="I787" s="250" t="n"/>
      <c r="J787" s="250" t="n"/>
      <c r="K787" s="250" t="n"/>
      <c r="L787" s="250" t="n"/>
      <c r="M787" s="250" t="n"/>
      <c r="N787" s="250" t="n"/>
      <c r="O787" s="250" t="n"/>
      <c r="P787" s="250" t="n"/>
      <c r="Q787" s="250" t="n"/>
      <c r="R787" s="250" t="n"/>
      <c r="S787" s="250" t="n"/>
      <c r="T787" s="250" t="n"/>
      <c r="U787" s="250" t="n"/>
      <c r="V787" s="250" t="n"/>
      <c r="W787" s="250" t="n"/>
      <c r="X787" s="250" t="n"/>
      <c r="Y787" s="250" t="n"/>
      <c r="Z787" s="250" t="n"/>
    </row>
    <row r="788">
      <c r="A788" s="250" t="n"/>
      <c r="B788" s="250" t="n"/>
      <c r="C788" s="250" t="n"/>
      <c r="D788" s="250" t="n"/>
      <c r="E788" s="250" t="n"/>
      <c r="F788" s="250" t="n"/>
      <c r="G788" s="250" t="n"/>
      <c r="H788" s="250" t="n"/>
      <c r="I788" s="250" t="n"/>
      <c r="J788" s="250" t="n"/>
      <c r="K788" s="250" t="n"/>
      <c r="L788" s="250" t="n"/>
      <c r="M788" s="250" t="n"/>
      <c r="N788" s="250" t="n"/>
      <c r="O788" s="250" t="n"/>
      <c r="P788" s="250" t="n"/>
      <c r="Q788" s="250" t="n"/>
      <c r="R788" s="250" t="n"/>
      <c r="S788" s="250" t="n"/>
      <c r="T788" s="250" t="n"/>
      <c r="U788" s="250" t="n"/>
      <c r="V788" s="250" t="n"/>
      <c r="W788" s="250" t="n"/>
      <c r="X788" s="250" t="n"/>
      <c r="Y788" s="250" t="n"/>
      <c r="Z788" s="250" t="n"/>
    </row>
    <row r="789">
      <c r="A789" s="250" t="n"/>
      <c r="B789" s="250" t="n"/>
      <c r="C789" s="250" t="n"/>
      <c r="D789" s="250" t="n"/>
      <c r="E789" s="250" t="n"/>
      <c r="F789" s="250" t="n"/>
      <c r="G789" s="250" t="n"/>
      <c r="H789" s="250" t="n"/>
      <c r="I789" s="250" t="n"/>
      <c r="J789" s="250" t="n"/>
      <c r="K789" s="250" t="n"/>
      <c r="L789" s="250" t="n"/>
      <c r="M789" s="250" t="n"/>
      <c r="N789" s="250" t="n"/>
      <c r="O789" s="250" t="n"/>
      <c r="P789" s="250" t="n"/>
      <c r="Q789" s="250" t="n"/>
      <c r="R789" s="250" t="n"/>
      <c r="S789" s="250" t="n"/>
      <c r="T789" s="250" t="n"/>
      <c r="U789" s="250" t="n"/>
      <c r="V789" s="250" t="n"/>
      <c r="W789" s="250" t="n"/>
      <c r="X789" s="250" t="n"/>
      <c r="Y789" s="250" t="n"/>
      <c r="Z789" s="250" t="n"/>
    </row>
    <row r="790">
      <c r="A790" s="250" t="n"/>
      <c r="B790" s="250" t="n"/>
      <c r="C790" s="250" t="n"/>
      <c r="D790" s="250" t="n"/>
      <c r="E790" s="250" t="n"/>
      <c r="F790" s="250" t="n"/>
      <c r="G790" s="250" t="n"/>
      <c r="H790" s="250" t="n"/>
      <c r="I790" s="250" t="n"/>
      <c r="J790" s="250" t="n"/>
      <c r="K790" s="250" t="n"/>
      <c r="L790" s="250" t="n"/>
      <c r="M790" s="250" t="n"/>
      <c r="N790" s="250" t="n"/>
      <c r="O790" s="250" t="n"/>
      <c r="P790" s="250" t="n"/>
      <c r="Q790" s="250" t="n"/>
      <c r="R790" s="250" t="n"/>
      <c r="S790" s="250" t="n"/>
      <c r="T790" s="250" t="n"/>
      <c r="U790" s="250" t="n"/>
      <c r="V790" s="250" t="n"/>
      <c r="W790" s="250" t="n"/>
      <c r="X790" s="250" t="n"/>
      <c r="Y790" s="250" t="n"/>
      <c r="Z790" s="250" t="n"/>
    </row>
    <row r="791">
      <c r="A791" s="250" t="n"/>
      <c r="B791" s="250" t="n"/>
      <c r="C791" s="250" t="n"/>
      <c r="D791" s="250" t="n"/>
      <c r="E791" s="250" t="n"/>
      <c r="F791" s="250" t="n"/>
      <c r="G791" s="250" t="n"/>
      <c r="H791" s="250" t="n"/>
      <c r="I791" s="250" t="n"/>
      <c r="J791" s="250" t="n"/>
      <c r="K791" s="250" t="n"/>
      <c r="L791" s="250" t="n"/>
      <c r="M791" s="250" t="n"/>
      <c r="N791" s="250" t="n"/>
      <c r="O791" s="250" t="n"/>
      <c r="P791" s="250" t="n"/>
      <c r="Q791" s="250" t="n"/>
      <c r="R791" s="250" t="n"/>
      <c r="S791" s="250" t="n"/>
      <c r="T791" s="250" t="n"/>
      <c r="U791" s="250" t="n"/>
      <c r="V791" s="250" t="n"/>
      <c r="W791" s="250" t="n"/>
      <c r="X791" s="250" t="n"/>
      <c r="Y791" s="250" t="n"/>
      <c r="Z791" s="250" t="n"/>
    </row>
    <row r="792">
      <c r="A792" s="250" t="n"/>
      <c r="B792" s="250" t="n"/>
      <c r="C792" s="250" t="n"/>
      <c r="D792" s="250" t="n"/>
      <c r="E792" s="250" t="n"/>
      <c r="F792" s="250" t="n"/>
      <c r="G792" s="250" t="n"/>
      <c r="H792" s="250" t="n"/>
      <c r="I792" s="250" t="n"/>
      <c r="J792" s="250" t="n"/>
      <c r="K792" s="250" t="n"/>
      <c r="L792" s="250" t="n"/>
      <c r="M792" s="250" t="n"/>
      <c r="N792" s="250" t="n"/>
      <c r="O792" s="250" t="n"/>
      <c r="P792" s="250" t="n"/>
      <c r="Q792" s="250" t="n"/>
      <c r="R792" s="250" t="n"/>
      <c r="S792" s="250" t="n"/>
      <c r="T792" s="250" t="n"/>
      <c r="U792" s="250" t="n"/>
      <c r="V792" s="250" t="n"/>
      <c r="W792" s="250" t="n"/>
      <c r="X792" s="250" t="n"/>
      <c r="Y792" s="250" t="n"/>
      <c r="Z792" s="250" t="n"/>
    </row>
    <row r="793">
      <c r="A793" s="250" t="n"/>
      <c r="B793" s="250" t="n"/>
      <c r="C793" s="250" t="n"/>
      <c r="D793" s="250" t="n"/>
      <c r="E793" s="250" t="n"/>
      <c r="F793" s="250" t="n"/>
      <c r="G793" s="250" t="n"/>
      <c r="H793" s="250" t="n"/>
      <c r="I793" s="250" t="n"/>
      <c r="J793" s="250" t="n"/>
      <c r="K793" s="250" t="n"/>
      <c r="L793" s="250" t="n"/>
      <c r="M793" s="250" t="n"/>
      <c r="N793" s="250" t="n"/>
      <c r="O793" s="250" t="n"/>
      <c r="P793" s="250" t="n"/>
      <c r="Q793" s="250" t="n"/>
      <c r="R793" s="250" t="n"/>
      <c r="S793" s="250" t="n"/>
      <c r="T793" s="250" t="n"/>
      <c r="U793" s="250" t="n"/>
      <c r="V793" s="250" t="n"/>
      <c r="W793" s="250" t="n"/>
      <c r="X793" s="250" t="n"/>
      <c r="Y793" s="250" t="n"/>
      <c r="Z793" s="250" t="n"/>
    </row>
    <row r="794">
      <c r="A794" s="250" t="n"/>
      <c r="B794" s="250" t="n"/>
      <c r="C794" s="250" t="n"/>
      <c r="D794" s="250" t="n"/>
      <c r="E794" s="250" t="n"/>
      <c r="F794" s="250" t="n"/>
      <c r="G794" s="250" t="n"/>
      <c r="H794" s="250" t="n"/>
      <c r="I794" s="250" t="n"/>
      <c r="J794" s="250" t="n"/>
      <c r="K794" s="250" t="n"/>
      <c r="L794" s="250" t="n"/>
      <c r="M794" s="250" t="n"/>
      <c r="N794" s="250" t="n"/>
      <c r="O794" s="250" t="n"/>
      <c r="P794" s="250" t="n"/>
      <c r="Q794" s="250" t="n"/>
      <c r="R794" s="250" t="n"/>
      <c r="S794" s="250" t="n"/>
      <c r="T794" s="250" t="n"/>
      <c r="U794" s="250" t="n"/>
      <c r="V794" s="250" t="n"/>
      <c r="W794" s="250" t="n"/>
      <c r="X794" s="250" t="n"/>
      <c r="Y794" s="250" t="n"/>
      <c r="Z794" s="250" t="n"/>
    </row>
    <row r="795">
      <c r="A795" s="250" t="n"/>
      <c r="B795" s="250" t="n"/>
      <c r="C795" s="250" t="n"/>
      <c r="D795" s="250" t="n"/>
      <c r="E795" s="250" t="n"/>
      <c r="F795" s="250" t="n"/>
      <c r="G795" s="250" t="n"/>
      <c r="H795" s="250" t="n"/>
      <c r="I795" s="250" t="n"/>
      <c r="J795" s="250" t="n"/>
      <c r="K795" s="250" t="n"/>
      <c r="L795" s="250" t="n"/>
      <c r="M795" s="250" t="n"/>
      <c r="N795" s="250" t="n"/>
      <c r="O795" s="250" t="n"/>
      <c r="P795" s="250" t="n"/>
      <c r="Q795" s="250" t="n"/>
      <c r="R795" s="250" t="n"/>
      <c r="S795" s="250" t="n"/>
      <c r="T795" s="250" t="n"/>
      <c r="U795" s="250" t="n"/>
      <c r="V795" s="250" t="n"/>
      <c r="W795" s="250" t="n"/>
      <c r="X795" s="250" t="n"/>
      <c r="Y795" s="250" t="n"/>
      <c r="Z795" s="250" t="n"/>
    </row>
    <row r="796">
      <c r="A796" s="250" t="n"/>
      <c r="B796" s="250" t="n"/>
      <c r="C796" s="250" t="n"/>
      <c r="D796" s="250" t="n"/>
      <c r="E796" s="250" t="n"/>
      <c r="F796" s="250" t="n"/>
      <c r="G796" s="250" t="n"/>
      <c r="H796" s="250" t="n"/>
      <c r="I796" s="250" t="n"/>
      <c r="J796" s="250" t="n"/>
      <c r="K796" s="250" t="n"/>
      <c r="L796" s="250" t="n"/>
      <c r="M796" s="250" t="n"/>
      <c r="N796" s="250" t="n"/>
      <c r="O796" s="250" t="n"/>
      <c r="P796" s="250" t="n"/>
      <c r="Q796" s="250" t="n"/>
      <c r="R796" s="250" t="n"/>
      <c r="S796" s="250" t="n"/>
      <c r="T796" s="250" t="n"/>
      <c r="U796" s="250" t="n"/>
      <c r="V796" s="250" t="n"/>
      <c r="W796" s="250" t="n"/>
      <c r="X796" s="250" t="n"/>
      <c r="Y796" s="250" t="n"/>
      <c r="Z796" s="250" t="n"/>
    </row>
    <row r="797">
      <c r="A797" s="250" t="n"/>
      <c r="B797" s="250" t="n"/>
      <c r="C797" s="250" t="n"/>
      <c r="D797" s="250" t="n"/>
      <c r="E797" s="250" t="n"/>
      <c r="F797" s="250" t="n"/>
      <c r="G797" s="250" t="n"/>
      <c r="H797" s="250" t="n"/>
      <c r="I797" s="250" t="n"/>
      <c r="J797" s="250" t="n"/>
      <c r="K797" s="250" t="n"/>
      <c r="L797" s="250" t="n"/>
      <c r="M797" s="250" t="n"/>
      <c r="N797" s="250" t="n"/>
      <c r="O797" s="250" t="n"/>
      <c r="P797" s="250" t="n"/>
      <c r="Q797" s="250" t="n"/>
      <c r="R797" s="250" t="n"/>
      <c r="S797" s="250" t="n"/>
      <c r="T797" s="250" t="n"/>
      <c r="U797" s="250" t="n"/>
      <c r="V797" s="250" t="n"/>
      <c r="W797" s="250" t="n"/>
      <c r="X797" s="250" t="n"/>
      <c r="Y797" s="250" t="n"/>
      <c r="Z797" s="250" t="n"/>
    </row>
    <row r="798">
      <c r="A798" s="250" t="n"/>
      <c r="B798" s="250" t="n"/>
      <c r="C798" s="250" t="n"/>
      <c r="D798" s="250" t="n"/>
      <c r="E798" s="250" t="n"/>
      <c r="F798" s="250" t="n"/>
      <c r="G798" s="250" t="n"/>
      <c r="H798" s="250" t="n"/>
      <c r="I798" s="250" t="n"/>
      <c r="J798" s="250" t="n"/>
      <c r="K798" s="250" t="n"/>
      <c r="L798" s="250" t="n"/>
      <c r="M798" s="250" t="n"/>
      <c r="N798" s="250" t="n"/>
      <c r="O798" s="250" t="n"/>
      <c r="P798" s="250" t="n"/>
      <c r="Q798" s="250" t="n"/>
      <c r="R798" s="250" t="n"/>
      <c r="S798" s="250" t="n"/>
      <c r="T798" s="250" t="n"/>
      <c r="U798" s="250" t="n"/>
      <c r="V798" s="250" t="n"/>
      <c r="W798" s="250" t="n"/>
      <c r="X798" s="250" t="n"/>
      <c r="Y798" s="250" t="n"/>
      <c r="Z798" s="250" t="n"/>
    </row>
    <row r="799">
      <c r="A799" s="250" t="n"/>
      <c r="B799" s="250" t="n"/>
      <c r="C799" s="250" t="n"/>
      <c r="D799" s="250" t="n"/>
      <c r="E799" s="250" t="n"/>
      <c r="F799" s="250" t="n"/>
      <c r="G799" s="250" t="n"/>
      <c r="H799" s="250" t="n"/>
      <c r="I799" s="250" t="n"/>
      <c r="J799" s="250" t="n"/>
      <c r="K799" s="250" t="n"/>
      <c r="L799" s="250" t="n"/>
      <c r="M799" s="250" t="n"/>
      <c r="N799" s="250" t="n"/>
      <c r="O799" s="250" t="n"/>
      <c r="P799" s="250" t="n"/>
      <c r="Q799" s="250" t="n"/>
      <c r="R799" s="250" t="n"/>
      <c r="S799" s="250" t="n"/>
      <c r="T799" s="250" t="n"/>
      <c r="U799" s="250" t="n"/>
      <c r="V799" s="250" t="n"/>
      <c r="W799" s="250" t="n"/>
      <c r="X799" s="250" t="n"/>
      <c r="Y799" s="250" t="n"/>
      <c r="Z799" s="250" t="n"/>
    </row>
    <row r="800">
      <c r="A800" s="250" t="n"/>
      <c r="B800" s="250" t="n"/>
      <c r="C800" s="250" t="n"/>
      <c r="D800" s="250" t="n"/>
      <c r="E800" s="250" t="n"/>
      <c r="F800" s="250" t="n"/>
      <c r="G800" s="250" t="n"/>
      <c r="H800" s="250" t="n"/>
      <c r="I800" s="250" t="n"/>
      <c r="J800" s="250" t="n"/>
      <c r="K800" s="250" t="n"/>
      <c r="L800" s="250" t="n"/>
      <c r="M800" s="250" t="n"/>
      <c r="N800" s="250" t="n"/>
      <c r="O800" s="250" t="n"/>
      <c r="P800" s="250" t="n"/>
      <c r="Q800" s="250" t="n"/>
      <c r="R800" s="250" t="n"/>
      <c r="S800" s="250" t="n"/>
      <c r="T800" s="250" t="n"/>
      <c r="U800" s="250" t="n"/>
      <c r="V800" s="250" t="n"/>
      <c r="W800" s="250" t="n"/>
      <c r="X800" s="250" t="n"/>
      <c r="Y800" s="250" t="n"/>
      <c r="Z800" s="250" t="n"/>
    </row>
    <row r="801">
      <c r="A801" s="250" t="n"/>
      <c r="B801" s="250" t="n"/>
      <c r="C801" s="250" t="n"/>
      <c r="D801" s="250" t="n"/>
      <c r="E801" s="250" t="n"/>
      <c r="F801" s="250" t="n"/>
      <c r="G801" s="250" t="n"/>
      <c r="H801" s="250" t="n"/>
      <c r="I801" s="250" t="n"/>
      <c r="J801" s="250" t="n"/>
      <c r="K801" s="250" t="n"/>
      <c r="L801" s="250" t="n"/>
      <c r="M801" s="250" t="n"/>
      <c r="N801" s="250" t="n"/>
      <c r="O801" s="250" t="n"/>
      <c r="P801" s="250" t="n"/>
      <c r="Q801" s="250" t="n"/>
      <c r="R801" s="250" t="n"/>
      <c r="S801" s="250" t="n"/>
      <c r="T801" s="250" t="n"/>
      <c r="U801" s="250" t="n"/>
      <c r="V801" s="250" t="n"/>
      <c r="W801" s="250" t="n"/>
      <c r="X801" s="250" t="n"/>
      <c r="Y801" s="250" t="n"/>
      <c r="Z801" s="250" t="n"/>
    </row>
    <row r="802">
      <c r="A802" s="250" t="n"/>
      <c r="B802" s="250" t="n"/>
      <c r="C802" s="250" t="n"/>
      <c r="D802" s="250" t="n"/>
      <c r="E802" s="250" t="n"/>
      <c r="F802" s="250" t="n"/>
      <c r="G802" s="250" t="n"/>
      <c r="H802" s="250" t="n"/>
      <c r="I802" s="250" t="n"/>
      <c r="J802" s="250" t="n"/>
      <c r="K802" s="250" t="n"/>
      <c r="L802" s="250" t="n"/>
      <c r="M802" s="250" t="n"/>
      <c r="N802" s="250" t="n"/>
      <c r="O802" s="250" t="n"/>
      <c r="P802" s="250" t="n"/>
      <c r="Q802" s="250" t="n"/>
      <c r="R802" s="250" t="n"/>
      <c r="S802" s="250" t="n"/>
      <c r="T802" s="250" t="n"/>
      <c r="U802" s="250" t="n"/>
      <c r="V802" s="250" t="n"/>
      <c r="W802" s="250" t="n"/>
      <c r="X802" s="250" t="n"/>
      <c r="Y802" s="250" t="n"/>
      <c r="Z802" s="250" t="n"/>
    </row>
    <row r="803">
      <c r="A803" s="250" t="n"/>
      <c r="B803" s="250" t="n"/>
      <c r="C803" s="250" t="n"/>
      <c r="D803" s="250" t="n"/>
      <c r="E803" s="250" t="n"/>
      <c r="F803" s="250" t="n"/>
      <c r="G803" s="250" t="n"/>
      <c r="H803" s="250" t="n"/>
      <c r="I803" s="250" t="n"/>
      <c r="J803" s="250" t="n"/>
      <c r="K803" s="250" t="n"/>
      <c r="L803" s="250" t="n"/>
      <c r="M803" s="250" t="n"/>
      <c r="N803" s="250" t="n"/>
      <c r="O803" s="250" t="n"/>
      <c r="P803" s="250" t="n"/>
      <c r="Q803" s="250" t="n"/>
      <c r="R803" s="250" t="n"/>
      <c r="S803" s="250" t="n"/>
      <c r="T803" s="250" t="n"/>
      <c r="U803" s="250" t="n"/>
      <c r="V803" s="250" t="n"/>
      <c r="W803" s="250" t="n"/>
      <c r="X803" s="250" t="n"/>
      <c r="Y803" s="250" t="n"/>
      <c r="Z803" s="250" t="n"/>
    </row>
    <row r="804">
      <c r="A804" s="250" t="n"/>
      <c r="B804" s="250" t="n"/>
      <c r="C804" s="250" t="n"/>
      <c r="D804" s="250" t="n"/>
      <c r="E804" s="250" t="n"/>
      <c r="F804" s="250" t="n"/>
      <c r="G804" s="250" t="n"/>
      <c r="H804" s="250" t="n"/>
      <c r="I804" s="250" t="n"/>
      <c r="J804" s="250" t="n"/>
      <c r="K804" s="250" t="n"/>
      <c r="L804" s="250" t="n"/>
      <c r="M804" s="250" t="n"/>
      <c r="N804" s="250" t="n"/>
      <c r="O804" s="250" t="n"/>
      <c r="P804" s="250" t="n"/>
      <c r="Q804" s="250" t="n"/>
      <c r="R804" s="250" t="n"/>
      <c r="S804" s="250" t="n"/>
      <c r="T804" s="250" t="n"/>
      <c r="U804" s="250" t="n"/>
      <c r="V804" s="250" t="n"/>
      <c r="W804" s="250" t="n"/>
      <c r="X804" s="250" t="n"/>
      <c r="Y804" s="250" t="n"/>
      <c r="Z804" s="250" t="n"/>
    </row>
    <row r="805">
      <c r="A805" s="250" t="n"/>
      <c r="B805" s="250" t="n"/>
      <c r="C805" s="250" t="n"/>
      <c r="D805" s="250" t="n"/>
      <c r="E805" s="250" t="n"/>
      <c r="F805" s="250" t="n"/>
      <c r="G805" s="250" t="n"/>
      <c r="H805" s="250" t="n"/>
      <c r="I805" s="250" t="n"/>
      <c r="J805" s="250" t="n"/>
      <c r="K805" s="250" t="n"/>
      <c r="L805" s="250" t="n"/>
      <c r="M805" s="250" t="n"/>
      <c r="N805" s="250" t="n"/>
      <c r="O805" s="250" t="n"/>
      <c r="P805" s="250" t="n"/>
      <c r="Q805" s="250" t="n"/>
      <c r="R805" s="250" t="n"/>
      <c r="S805" s="250" t="n"/>
      <c r="T805" s="250" t="n"/>
      <c r="U805" s="250" t="n"/>
      <c r="V805" s="250" t="n"/>
      <c r="W805" s="250" t="n"/>
      <c r="X805" s="250" t="n"/>
      <c r="Y805" s="250" t="n"/>
      <c r="Z805" s="250" t="n"/>
    </row>
    <row r="806">
      <c r="A806" s="250" t="n"/>
      <c r="B806" s="250" t="n"/>
      <c r="C806" s="250" t="n"/>
      <c r="D806" s="250" t="n"/>
      <c r="E806" s="250" t="n"/>
      <c r="F806" s="250" t="n"/>
      <c r="G806" s="250" t="n"/>
      <c r="H806" s="250" t="n"/>
      <c r="I806" s="250" t="n"/>
      <c r="J806" s="250" t="n"/>
      <c r="K806" s="250" t="n"/>
      <c r="L806" s="250" t="n"/>
      <c r="M806" s="250" t="n"/>
      <c r="N806" s="250" t="n"/>
      <c r="O806" s="250" t="n"/>
      <c r="P806" s="250" t="n"/>
      <c r="Q806" s="250" t="n"/>
      <c r="R806" s="250" t="n"/>
      <c r="S806" s="250" t="n"/>
      <c r="T806" s="250" t="n"/>
      <c r="U806" s="250" t="n"/>
      <c r="V806" s="250" t="n"/>
      <c r="W806" s="250" t="n"/>
      <c r="X806" s="250" t="n"/>
      <c r="Y806" s="250" t="n"/>
      <c r="Z806" s="250" t="n"/>
    </row>
    <row r="807">
      <c r="A807" s="250" t="n"/>
      <c r="B807" s="250" t="n"/>
      <c r="C807" s="250" t="n"/>
      <c r="D807" s="250" t="n"/>
      <c r="E807" s="250" t="n"/>
      <c r="F807" s="250" t="n"/>
      <c r="G807" s="250" t="n"/>
      <c r="H807" s="250" t="n"/>
      <c r="I807" s="250" t="n"/>
      <c r="J807" s="250" t="n"/>
      <c r="K807" s="250" t="n"/>
      <c r="L807" s="250" t="n"/>
      <c r="M807" s="250" t="n"/>
      <c r="N807" s="250" t="n"/>
      <c r="O807" s="250" t="n"/>
      <c r="P807" s="250" t="n"/>
      <c r="Q807" s="250" t="n"/>
      <c r="R807" s="250" t="n"/>
      <c r="S807" s="250" t="n"/>
      <c r="T807" s="250" t="n"/>
      <c r="U807" s="250" t="n"/>
      <c r="V807" s="250" t="n"/>
      <c r="W807" s="250" t="n"/>
      <c r="X807" s="250" t="n"/>
      <c r="Y807" s="250" t="n"/>
      <c r="Z807" s="250" t="n"/>
    </row>
    <row r="808">
      <c r="A808" s="250" t="n"/>
      <c r="B808" s="250" t="n"/>
      <c r="C808" s="250" t="n"/>
      <c r="D808" s="250" t="n"/>
      <c r="E808" s="250" t="n"/>
      <c r="F808" s="250" t="n"/>
      <c r="G808" s="250" t="n"/>
      <c r="H808" s="250" t="n"/>
      <c r="I808" s="250" t="n"/>
      <c r="J808" s="250" t="n"/>
      <c r="K808" s="250" t="n"/>
      <c r="L808" s="250" t="n"/>
      <c r="M808" s="250" t="n"/>
      <c r="N808" s="250" t="n"/>
      <c r="O808" s="250" t="n"/>
      <c r="P808" s="250" t="n"/>
      <c r="Q808" s="250" t="n"/>
      <c r="R808" s="250" t="n"/>
      <c r="S808" s="250" t="n"/>
      <c r="T808" s="250" t="n"/>
      <c r="U808" s="250" t="n"/>
      <c r="V808" s="250" t="n"/>
      <c r="W808" s="250" t="n"/>
      <c r="X808" s="250" t="n"/>
      <c r="Y808" s="250" t="n"/>
      <c r="Z808" s="250" t="n"/>
    </row>
    <row r="809">
      <c r="A809" s="250" t="n"/>
      <c r="B809" s="250" t="n"/>
      <c r="C809" s="250" t="n"/>
      <c r="D809" s="250" t="n"/>
      <c r="E809" s="250" t="n"/>
      <c r="F809" s="250" t="n"/>
      <c r="G809" s="250" t="n"/>
      <c r="H809" s="250" t="n"/>
      <c r="I809" s="250" t="n"/>
      <c r="J809" s="250" t="n"/>
      <c r="K809" s="250" t="n"/>
      <c r="L809" s="250" t="n"/>
      <c r="M809" s="250" t="n"/>
      <c r="N809" s="250" t="n"/>
      <c r="O809" s="250" t="n"/>
      <c r="P809" s="250" t="n"/>
      <c r="Q809" s="250" t="n"/>
      <c r="R809" s="250" t="n"/>
      <c r="S809" s="250" t="n"/>
      <c r="T809" s="250" t="n"/>
      <c r="U809" s="250" t="n"/>
      <c r="V809" s="250" t="n"/>
      <c r="W809" s="250" t="n"/>
      <c r="X809" s="250" t="n"/>
      <c r="Y809" s="250" t="n"/>
      <c r="Z809" s="250" t="n"/>
    </row>
    <row r="810">
      <c r="A810" s="250" t="n"/>
      <c r="B810" s="250" t="n"/>
      <c r="C810" s="250" t="n"/>
      <c r="D810" s="250" t="n"/>
      <c r="E810" s="250" t="n"/>
      <c r="F810" s="250" t="n"/>
      <c r="G810" s="250" t="n"/>
      <c r="H810" s="250" t="n"/>
      <c r="I810" s="250" t="n"/>
      <c r="J810" s="250" t="n"/>
      <c r="K810" s="250" t="n"/>
      <c r="L810" s="250" t="n"/>
      <c r="M810" s="250" t="n"/>
      <c r="N810" s="250" t="n"/>
      <c r="O810" s="250" t="n"/>
      <c r="P810" s="250" t="n"/>
      <c r="Q810" s="250" t="n"/>
      <c r="R810" s="250" t="n"/>
      <c r="S810" s="250" t="n"/>
      <c r="T810" s="250" t="n"/>
      <c r="U810" s="250" t="n"/>
      <c r="V810" s="250" t="n"/>
      <c r="W810" s="250" t="n"/>
      <c r="X810" s="250" t="n"/>
      <c r="Y810" s="250" t="n"/>
      <c r="Z810" s="250" t="n"/>
    </row>
    <row r="811">
      <c r="A811" s="250" t="n"/>
      <c r="B811" s="250" t="n"/>
      <c r="C811" s="250" t="n"/>
      <c r="D811" s="250" t="n"/>
      <c r="E811" s="250" t="n"/>
      <c r="F811" s="250" t="n"/>
      <c r="G811" s="250" t="n"/>
      <c r="H811" s="250" t="n"/>
      <c r="I811" s="250" t="n"/>
      <c r="J811" s="250" t="n"/>
      <c r="K811" s="250" t="n"/>
      <c r="L811" s="250" t="n"/>
      <c r="M811" s="250" t="n"/>
      <c r="N811" s="250" t="n"/>
      <c r="O811" s="250" t="n"/>
      <c r="P811" s="250" t="n"/>
      <c r="Q811" s="250" t="n"/>
      <c r="R811" s="250" t="n"/>
      <c r="S811" s="250" t="n"/>
      <c r="T811" s="250" t="n"/>
      <c r="U811" s="250" t="n"/>
      <c r="V811" s="250" t="n"/>
      <c r="W811" s="250" t="n"/>
      <c r="X811" s="250" t="n"/>
      <c r="Y811" s="250" t="n"/>
      <c r="Z811" s="250" t="n"/>
    </row>
    <row r="812">
      <c r="A812" s="250" t="n"/>
      <c r="B812" s="250" t="n"/>
      <c r="C812" s="250" t="n"/>
      <c r="D812" s="250" t="n"/>
      <c r="E812" s="250" t="n"/>
      <c r="F812" s="250" t="n"/>
      <c r="G812" s="250" t="n"/>
      <c r="H812" s="250" t="n"/>
      <c r="I812" s="250" t="n"/>
      <c r="J812" s="250" t="n"/>
      <c r="K812" s="250" t="n"/>
      <c r="L812" s="250" t="n"/>
      <c r="M812" s="250" t="n"/>
      <c r="N812" s="250" t="n"/>
      <c r="O812" s="250" t="n"/>
      <c r="P812" s="250" t="n"/>
      <c r="Q812" s="250" t="n"/>
      <c r="R812" s="250" t="n"/>
      <c r="S812" s="250" t="n"/>
      <c r="T812" s="250" t="n"/>
      <c r="U812" s="250" t="n"/>
      <c r="V812" s="250" t="n"/>
      <c r="W812" s="250" t="n"/>
      <c r="X812" s="250" t="n"/>
      <c r="Y812" s="250" t="n"/>
      <c r="Z812" s="250" t="n"/>
    </row>
    <row r="813">
      <c r="A813" s="250" t="n"/>
      <c r="B813" s="250" t="n"/>
      <c r="C813" s="250" t="n"/>
      <c r="D813" s="250" t="n"/>
      <c r="E813" s="250" t="n"/>
      <c r="F813" s="250" t="n"/>
      <c r="G813" s="250" t="n"/>
      <c r="H813" s="250" t="n"/>
      <c r="I813" s="250" t="n"/>
      <c r="J813" s="250" t="n"/>
      <c r="K813" s="250" t="n"/>
      <c r="L813" s="250" t="n"/>
      <c r="M813" s="250" t="n"/>
      <c r="N813" s="250" t="n"/>
      <c r="O813" s="250" t="n"/>
      <c r="P813" s="250" t="n"/>
      <c r="Q813" s="250" t="n"/>
      <c r="R813" s="250" t="n"/>
      <c r="S813" s="250" t="n"/>
      <c r="T813" s="250" t="n"/>
      <c r="U813" s="250" t="n"/>
      <c r="V813" s="250" t="n"/>
      <c r="W813" s="250" t="n"/>
      <c r="X813" s="250" t="n"/>
      <c r="Y813" s="250" t="n"/>
      <c r="Z813" s="250" t="n"/>
    </row>
    <row r="814">
      <c r="A814" s="250" t="n"/>
      <c r="B814" s="250" t="n"/>
      <c r="C814" s="250" t="n"/>
      <c r="D814" s="250" t="n"/>
      <c r="E814" s="250" t="n"/>
      <c r="F814" s="250" t="n"/>
      <c r="G814" s="250" t="n"/>
      <c r="H814" s="250" t="n"/>
      <c r="I814" s="250" t="n"/>
      <c r="J814" s="250" t="n"/>
      <c r="K814" s="250" t="n"/>
      <c r="L814" s="250" t="n"/>
      <c r="M814" s="250" t="n"/>
      <c r="N814" s="250" t="n"/>
      <c r="O814" s="250" t="n"/>
      <c r="P814" s="250" t="n"/>
      <c r="Q814" s="250" t="n"/>
      <c r="R814" s="250" t="n"/>
      <c r="S814" s="250" t="n"/>
      <c r="T814" s="250" t="n"/>
      <c r="U814" s="250" t="n"/>
      <c r="V814" s="250" t="n"/>
      <c r="W814" s="250" t="n"/>
      <c r="X814" s="250" t="n"/>
      <c r="Y814" s="250" t="n"/>
      <c r="Z814" s="250" t="n"/>
    </row>
    <row r="815">
      <c r="A815" s="250" t="n"/>
      <c r="B815" s="250" t="n"/>
      <c r="C815" s="250" t="n"/>
      <c r="D815" s="250" t="n"/>
      <c r="E815" s="250" t="n"/>
      <c r="F815" s="250" t="n"/>
      <c r="G815" s="250" t="n"/>
      <c r="H815" s="250" t="n"/>
      <c r="I815" s="250" t="n"/>
      <c r="J815" s="250" t="n"/>
      <c r="K815" s="250" t="n"/>
      <c r="L815" s="250" t="n"/>
      <c r="M815" s="250" t="n"/>
      <c r="N815" s="250" t="n"/>
      <c r="O815" s="250" t="n"/>
      <c r="P815" s="250" t="n"/>
      <c r="Q815" s="250" t="n"/>
      <c r="R815" s="250" t="n"/>
      <c r="S815" s="250" t="n"/>
      <c r="T815" s="250" t="n"/>
      <c r="U815" s="250" t="n"/>
      <c r="V815" s="250" t="n"/>
      <c r="W815" s="250" t="n"/>
      <c r="X815" s="250" t="n"/>
      <c r="Y815" s="250" t="n"/>
      <c r="Z815" s="250" t="n"/>
    </row>
    <row r="816">
      <c r="A816" s="250" t="n"/>
      <c r="B816" s="250" t="n"/>
      <c r="C816" s="250" t="n"/>
      <c r="D816" s="250" t="n"/>
      <c r="E816" s="250" t="n"/>
      <c r="F816" s="250" t="n"/>
      <c r="G816" s="250" t="n"/>
      <c r="H816" s="250" t="n"/>
      <c r="I816" s="250" t="n"/>
      <c r="J816" s="250" t="n"/>
      <c r="K816" s="250" t="n"/>
      <c r="L816" s="250" t="n"/>
      <c r="M816" s="250" t="n"/>
      <c r="N816" s="250" t="n"/>
      <c r="O816" s="250" t="n"/>
      <c r="P816" s="250" t="n"/>
      <c r="Q816" s="250" t="n"/>
      <c r="R816" s="250" t="n"/>
      <c r="S816" s="250" t="n"/>
      <c r="T816" s="250" t="n"/>
      <c r="U816" s="250" t="n"/>
      <c r="V816" s="250" t="n"/>
      <c r="W816" s="250" t="n"/>
      <c r="X816" s="250" t="n"/>
      <c r="Y816" s="250" t="n"/>
      <c r="Z816" s="250" t="n"/>
    </row>
    <row r="817">
      <c r="A817" s="250" t="n"/>
      <c r="B817" s="250" t="n"/>
      <c r="C817" s="250" t="n"/>
      <c r="D817" s="250" t="n"/>
      <c r="E817" s="250" t="n"/>
      <c r="F817" s="250" t="n"/>
      <c r="G817" s="250" t="n"/>
      <c r="H817" s="250" t="n"/>
      <c r="I817" s="250" t="n"/>
      <c r="J817" s="250" t="n"/>
      <c r="K817" s="250" t="n"/>
      <c r="L817" s="250" t="n"/>
      <c r="M817" s="250" t="n"/>
      <c r="N817" s="250" t="n"/>
      <c r="O817" s="250" t="n"/>
      <c r="P817" s="250" t="n"/>
      <c r="Q817" s="250" t="n"/>
      <c r="R817" s="250" t="n"/>
      <c r="S817" s="250" t="n"/>
      <c r="T817" s="250" t="n"/>
      <c r="U817" s="250" t="n"/>
      <c r="V817" s="250" t="n"/>
      <c r="W817" s="250" t="n"/>
      <c r="X817" s="250" t="n"/>
      <c r="Y817" s="250" t="n"/>
      <c r="Z817" s="250" t="n"/>
    </row>
    <row r="818">
      <c r="A818" s="250" t="n"/>
      <c r="B818" s="250" t="n"/>
      <c r="C818" s="250" t="n"/>
      <c r="D818" s="250" t="n"/>
      <c r="E818" s="250" t="n"/>
      <c r="F818" s="250" t="n"/>
      <c r="G818" s="250" t="n"/>
      <c r="H818" s="250" t="n"/>
      <c r="I818" s="250" t="n"/>
      <c r="J818" s="250" t="n"/>
      <c r="K818" s="250" t="n"/>
      <c r="L818" s="250" t="n"/>
      <c r="M818" s="250" t="n"/>
      <c r="N818" s="250" t="n"/>
      <c r="O818" s="250" t="n"/>
      <c r="P818" s="250" t="n"/>
      <c r="Q818" s="250" t="n"/>
      <c r="R818" s="250" t="n"/>
      <c r="S818" s="250" t="n"/>
      <c r="T818" s="250" t="n"/>
      <c r="U818" s="250" t="n"/>
      <c r="V818" s="250" t="n"/>
      <c r="W818" s="250" t="n"/>
      <c r="X818" s="250" t="n"/>
      <c r="Y818" s="250" t="n"/>
      <c r="Z818" s="250" t="n"/>
    </row>
    <row r="819">
      <c r="A819" s="250" t="n"/>
      <c r="B819" s="250" t="n"/>
      <c r="C819" s="250" t="n"/>
      <c r="D819" s="250" t="n"/>
      <c r="E819" s="250" t="n"/>
      <c r="F819" s="250" t="n"/>
      <c r="G819" s="250" t="n"/>
      <c r="H819" s="250" t="n"/>
      <c r="I819" s="250" t="n"/>
      <c r="J819" s="250" t="n"/>
      <c r="K819" s="250" t="n"/>
      <c r="L819" s="250" t="n"/>
      <c r="M819" s="250" t="n"/>
      <c r="N819" s="250" t="n"/>
      <c r="O819" s="250" t="n"/>
      <c r="P819" s="250" t="n"/>
      <c r="Q819" s="250" t="n"/>
      <c r="R819" s="250" t="n"/>
      <c r="S819" s="250" t="n"/>
      <c r="T819" s="250" t="n"/>
      <c r="U819" s="250" t="n"/>
      <c r="V819" s="250" t="n"/>
      <c r="W819" s="250" t="n"/>
      <c r="X819" s="250" t="n"/>
      <c r="Y819" s="250" t="n"/>
      <c r="Z819" s="250" t="n"/>
    </row>
    <row r="820">
      <c r="A820" s="250" t="n"/>
      <c r="B820" s="250" t="n"/>
      <c r="C820" s="250" t="n"/>
      <c r="D820" s="250" t="n"/>
      <c r="E820" s="250" t="n"/>
      <c r="F820" s="250" t="n"/>
      <c r="G820" s="250" t="n"/>
      <c r="H820" s="250" t="n"/>
      <c r="I820" s="250" t="n"/>
      <c r="J820" s="250" t="n"/>
      <c r="K820" s="250" t="n"/>
      <c r="L820" s="250" t="n"/>
      <c r="M820" s="250" t="n"/>
      <c r="N820" s="250" t="n"/>
      <c r="O820" s="250" t="n"/>
      <c r="P820" s="250" t="n"/>
      <c r="Q820" s="250" t="n"/>
      <c r="R820" s="250" t="n"/>
      <c r="S820" s="250" t="n"/>
      <c r="T820" s="250" t="n"/>
      <c r="U820" s="250" t="n"/>
      <c r="V820" s="250" t="n"/>
      <c r="W820" s="250" t="n"/>
      <c r="X820" s="250" t="n"/>
      <c r="Y820" s="250" t="n"/>
      <c r="Z820" s="250" t="n"/>
    </row>
    <row r="821">
      <c r="A821" s="250" t="n"/>
      <c r="B821" s="250" t="n"/>
      <c r="C821" s="250" t="n"/>
      <c r="D821" s="250" t="n"/>
      <c r="E821" s="250" t="n"/>
      <c r="F821" s="250" t="n"/>
      <c r="G821" s="250" t="n"/>
      <c r="H821" s="250" t="n"/>
      <c r="I821" s="250" t="n"/>
      <c r="J821" s="250" t="n"/>
      <c r="K821" s="250" t="n"/>
      <c r="L821" s="250" t="n"/>
      <c r="M821" s="250" t="n"/>
      <c r="N821" s="250" t="n"/>
      <c r="O821" s="250" t="n"/>
      <c r="P821" s="250" t="n"/>
      <c r="Q821" s="250" t="n"/>
      <c r="R821" s="250" t="n"/>
      <c r="S821" s="250" t="n"/>
      <c r="T821" s="250" t="n"/>
      <c r="U821" s="250" t="n"/>
      <c r="V821" s="250" t="n"/>
      <c r="W821" s="250" t="n"/>
      <c r="X821" s="250" t="n"/>
      <c r="Y821" s="250" t="n"/>
      <c r="Z821" s="250" t="n"/>
    </row>
    <row r="822">
      <c r="A822" s="250" t="n"/>
      <c r="B822" s="250" t="n"/>
      <c r="C822" s="250" t="n"/>
      <c r="D822" s="250" t="n"/>
      <c r="E822" s="250" t="n"/>
      <c r="F822" s="250" t="n"/>
      <c r="G822" s="250" t="n"/>
      <c r="H822" s="250" t="n"/>
      <c r="I822" s="250" t="n"/>
      <c r="J822" s="250" t="n"/>
      <c r="K822" s="250" t="n"/>
      <c r="L822" s="250" t="n"/>
      <c r="M822" s="250" t="n"/>
      <c r="N822" s="250" t="n"/>
      <c r="O822" s="250" t="n"/>
      <c r="P822" s="250" t="n"/>
      <c r="Q822" s="250" t="n"/>
      <c r="R822" s="250" t="n"/>
      <c r="S822" s="250" t="n"/>
      <c r="T822" s="250" t="n"/>
      <c r="U822" s="250" t="n"/>
      <c r="V822" s="250" t="n"/>
      <c r="W822" s="250" t="n"/>
      <c r="X822" s="250" t="n"/>
      <c r="Y822" s="250" t="n"/>
      <c r="Z822" s="250" t="n"/>
    </row>
    <row r="823">
      <c r="A823" s="250" t="n"/>
      <c r="B823" s="250" t="n"/>
      <c r="C823" s="250" t="n"/>
      <c r="D823" s="250" t="n"/>
      <c r="E823" s="250" t="n"/>
      <c r="F823" s="250" t="n"/>
      <c r="G823" s="250" t="n"/>
      <c r="H823" s="250" t="n"/>
      <c r="I823" s="250" t="n"/>
      <c r="J823" s="250" t="n"/>
      <c r="K823" s="250" t="n"/>
      <c r="L823" s="250" t="n"/>
      <c r="M823" s="250" t="n"/>
      <c r="N823" s="250" t="n"/>
      <c r="O823" s="250" t="n"/>
      <c r="P823" s="250" t="n"/>
      <c r="Q823" s="250" t="n"/>
      <c r="R823" s="250" t="n"/>
      <c r="S823" s="250" t="n"/>
      <c r="T823" s="250" t="n"/>
      <c r="U823" s="250" t="n"/>
      <c r="V823" s="250" t="n"/>
      <c r="W823" s="250" t="n"/>
      <c r="X823" s="250" t="n"/>
      <c r="Y823" s="250" t="n"/>
      <c r="Z823" s="250" t="n"/>
    </row>
    <row r="824">
      <c r="A824" s="250" t="n"/>
      <c r="B824" s="250" t="n"/>
      <c r="C824" s="250" t="n"/>
      <c r="D824" s="250" t="n"/>
      <c r="E824" s="250" t="n"/>
      <c r="F824" s="250" t="n"/>
      <c r="G824" s="250" t="n"/>
      <c r="H824" s="250" t="n"/>
      <c r="I824" s="250" t="n"/>
      <c r="J824" s="250" t="n"/>
      <c r="K824" s="250" t="n"/>
      <c r="L824" s="250" t="n"/>
      <c r="M824" s="250" t="n"/>
      <c r="N824" s="250" t="n"/>
      <c r="O824" s="250" t="n"/>
      <c r="P824" s="250" t="n"/>
      <c r="Q824" s="250" t="n"/>
      <c r="R824" s="250" t="n"/>
      <c r="S824" s="250" t="n"/>
      <c r="T824" s="250" t="n"/>
      <c r="U824" s="250" t="n"/>
      <c r="V824" s="250" t="n"/>
      <c r="W824" s="250" t="n"/>
      <c r="X824" s="250" t="n"/>
      <c r="Y824" s="250" t="n"/>
      <c r="Z824" s="250" t="n"/>
    </row>
    <row r="825">
      <c r="A825" s="250" t="n"/>
      <c r="B825" s="250" t="n"/>
      <c r="C825" s="250" t="n"/>
      <c r="D825" s="250" t="n"/>
      <c r="E825" s="250" t="n"/>
      <c r="F825" s="250" t="n"/>
      <c r="G825" s="250" t="n"/>
      <c r="H825" s="250" t="n"/>
      <c r="I825" s="250" t="n"/>
      <c r="J825" s="250" t="n"/>
      <c r="K825" s="250" t="n"/>
      <c r="L825" s="250" t="n"/>
      <c r="M825" s="250" t="n"/>
      <c r="N825" s="250" t="n"/>
      <c r="O825" s="250" t="n"/>
      <c r="P825" s="250" t="n"/>
      <c r="Q825" s="250" t="n"/>
      <c r="R825" s="250" t="n"/>
      <c r="S825" s="250" t="n"/>
      <c r="T825" s="250" t="n"/>
      <c r="U825" s="250" t="n"/>
      <c r="V825" s="250" t="n"/>
      <c r="W825" s="250" t="n"/>
      <c r="X825" s="250" t="n"/>
      <c r="Y825" s="250" t="n"/>
      <c r="Z825" s="250" t="n"/>
    </row>
    <row r="826">
      <c r="A826" s="250" t="n"/>
      <c r="B826" s="250" t="n"/>
      <c r="C826" s="250" t="n"/>
      <c r="D826" s="250" t="n"/>
      <c r="E826" s="250" t="n"/>
      <c r="F826" s="250" t="n"/>
      <c r="G826" s="250" t="n"/>
      <c r="H826" s="250" t="n"/>
      <c r="I826" s="250" t="n"/>
      <c r="J826" s="250" t="n"/>
      <c r="K826" s="250" t="n"/>
      <c r="L826" s="250" t="n"/>
      <c r="M826" s="250" t="n"/>
      <c r="N826" s="250" t="n"/>
      <c r="O826" s="250" t="n"/>
      <c r="P826" s="250" t="n"/>
      <c r="Q826" s="250" t="n"/>
      <c r="R826" s="250" t="n"/>
      <c r="S826" s="250" t="n"/>
      <c r="T826" s="250" t="n"/>
      <c r="U826" s="250" t="n"/>
      <c r="V826" s="250" t="n"/>
      <c r="W826" s="250" t="n"/>
      <c r="X826" s="250" t="n"/>
      <c r="Y826" s="250" t="n"/>
      <c r="Z826" s="250" t="n"/>
    </row>
    <row r="827">
      <c r="A827" s="250" t="n"/>
      <c r="B827" s="250" t="n"/>
      <c r="C827" s="250" t="n"/>
      <c r="D827" s="250" t="n"/>
      <c r="E827" s="250" t="n"/>
      <c r="F827" s="250" t="n"/>
      <c r="G827" s="250" t="n"/>
      <c r="H827" s="250" t="n"/>
      <c r="I827" s="250" t="n"/>
      <c r="J827" s="250" t="n"/>
      <c r="K827" s="250" t="n"/>
      <c r="L827" s="250" t="n"/>
      <c r="M827" s="250" t="n"/>
      <c r="N827" s="250" t="n"/>
      <c r="O827" s="250" t="n"/>
      <c r="P827" s="250" t="n"/>
      <c r="Q827" s="250" t="n"/>
      <c r="R827" s="250" t="n"/>
      <c r="S827" s="250" t="n"/>
      <c r="T827" s="250" t="n"/>
      <c r="U827" s="250" t="n"/>
      <c r="V827" s="250" t="n"/>
      <c r="W827" s="250" t="n"/>
      <c r="X827" s="250" t="n"/>
      <c r="Y827" s="250" t="n"/>
      <c r="Z827" s="250" t="n"/>
    </row>
    <row r="828">
      <c r="A828" s="250" t="n"/>
      <c r="B828" s="250" t="n"/>
      <c r="C828" s="250" t="n"/>
      <c r="D828" s="250" t="n"/>
      <c r="E828" s="250" t="n"/>
      <c r="F828" s="250" t="n"/>
      <c r="G828" s="250" t="n"/>
      <c r="H828" s="250" t="n"/>
      <c r="I828" s="250" t="n"/>
      <c r="J828" s="250" t="n"/>
      <c r="K828" s="250" t="n"/>
      <c r="L828" s="250" t="n"/>
      <c r="M828" s="250" t="n"/>
      <c r="N828" s="250" t="n"/>
      <c r="O828" s="250" t="n"/>
      <c r="P828" s="250" t="n"/>
      <c r="Q828" s="250" t="n"/>
      <c r="R828" s="250" t="n"/>
      <c r="S828" s="250" t="n"/>
      <c r="T828" s="250" t="n"/>
      <c r="U828" s="250" t="n"/>
      <c r="V828" s="250" t="n"/>
      <c r="W828" s="250" t="n"/>
      <c r="X828" s="250" t="n"/>
      <c r="Y828" s="250" t="n"/>
      <c r="Z828" s="250" t="n"/>
    </row>
    <row r="829">
      <c r="A829" s="250" t="n"/>
      <c r="B829" s="250" t="n"/>
      <c r="C829" s="250" t="n"/>
      <c r="D829" s="250" t="n"/>
      <c r="E829" s="250" t="n"/>
      <c r="F829" s="250" t="n"/>
      <c r="G829" s="250" t="n"/>
      <c r="H829" s="250" t="n"/>
      <c r="I829" s="250" t="n"/>
      <c r="J829" s="250" t="n"/>
      <c r="K829" s="250" t="n"/>
      <c r="L829" s="250" t="n"/>
      <c r="M829" s="250" t="n"/>
      <c r="N829" s="250" t="n"/>
      <c r="O829" s="250" t="n"/>
      <c r="P829" s="250" t="n"/>
      <c r="Q829" s="250" t="n"/>
      <c r="R829" s="250" t="n"/>
      <c r="S829" s="250" t="n"/>
      <c r="T829" s="250" t="n"/>
      <c r="U829" s="250" t="n"/>
      <c r="V829" s="250" t="n"/>
      <c r="W829" s="250" t="n"/>
      <c r="X829" s="250" t="n"/>
      <c r="Y829" s="250" t="n"/>
      <c r="Z829" s="250" t="n"/>
    </row>
    <row r="830">
      <c r="A830" s="250" t="n"/>
      <c r="B830" s="250" t="n"/>
      <c r="C830" s="250" t="n"/>
      <c r="D830" s="250" t="n"/>
      <c r="E830" s="250" t="n"/>
      <c r="F830" s="250" t="n"/>
      <c r="G830" s="250" t="n"/>
      <c r="H830" s="250" t="n"/>
      <c r="I830" s="250" t="n"/>
      <c r="J830" s="250" t="n"/>
      <c r="K830" s="250" t="n"/>
      <c r="L830" s="250" t="n"/>
      <c r="M830" s="250" t="n"/>
      <c r="N830" s="250" t="n"/>
      <c r="O830" s="250" t="n"/>
      <c r="P830" s="250" t="n"/>
      <c r="Q830" s="250" t="n"/>
      <c r="R830" s="250" t="n"/>
      <c r="S830" s="250" t="n"/>
      <c r="T830" s="250" t="n"/>
      <c r="U830" s="250" t="n"/>
      <c r="V830" s="250" t="n"/>
      <c r="W830" s="250" t="n"/>
      <c r="X830" s="250" t="n"/>
      <c r="Y830" s="250" t="n"/>
      <c r="Z830" s="250" t="n"/>
    </row>
    <row r="831">
      <c r="A831" s="250" t="n"/>
      <c r="B831" s="250" t="n"/>
      <c r="C831" s="250" t="n"/>
      <c r="D831" s="250" t="n"/>
      <c r="E831" s="250" t="n"/>
      <c r="F831" s="250" t="n"/>
      <c r="G831" s="250" t="n"/>
      <c r="H831" s="250" t="n"/>
      <c r="I831" s="250" t="n"/>
      <c r="J831" s="250" t="n"/>
      <c r="K831" s="250" t="n"/>
      <c r="L831" s="250" t="n"/>
      <c r="M831" s="250" t="n"/>
      <c r="N831" s="250" t="n"/>
      <c r="O831" s="250" t="n"/>
      <c r="P831" s="250" t="n"/>
      <c r="Q831" s="250" t="n"/>
      <c r="R831" s="250" t="n"/>
      <c r="S831" s="250" t="n"/>
      <c r="T831" s="250" t="n"/>
      <c r="U831" s="250" t="n"/>
      <c r="V831" s="250" t="n"/>
      <c r="W831" s="250" t="n"/>
      <c r="X831" s="250" t="n"/>
      <c r="Y831" s="250" t="n"/>
      <c r="Z831" s="250" t="n"/>
    </row>
    <row r="832">
      <c r="A832" s="250" t="n"/>
      <c r="B832" s="250" t="n"/>
      <c r="C832" s="250" t="n"/>
      <c r="D832" s="250" t="n"/>
      <c r="E832" s="250" t="n"/>
      <c r="F832" s="250" t="n"/>
      <c r="G832" s="250" t="n"/>
      <c r="H832" s="250" t="n"/>
      <c r="I832" s="250" t="n"/>
      <c r="J832" s="250" t="n"/>
      <c r="K832" s="250" t="n"/>
      <c r="L832" s="250" t="n"/>
      <c r="M832" s="250" t="n"/>
      <c r="N832" s="250" t="n"/>
      <c r="O832" s="250" t="n"/>
      <c r="P832" s="250" t="n"/>
      <c r="Q832" s="250" t="n"/>
      <c r="R832" s="250" t="n"/>
      <c r="S832" s="250" t="n"/>
      <c r="T832" s="250" t="n"/>
      <c r="U832" s="250" t="n"/>
      <c r="V832" s="250" t="n"/>
      <c r="W832" s="250" t="n"/>
      <c r="X832" s="250" t="n"/>
      <c r="Y832" s="250" t="n"/>
      <c r="Z832" s="250" t="n"/>
    </row>
    <row r="833">
      <c r="A833" s="250" t="n"/>
      <c r="B833" s="250" t="n"/>
      <c r="C833" s="250" t="n"/>
      <c r="D833" s="250" t="n"/>
      <c r="E833" s="250" t="n"/>
      <c r="F833" s="250" t="n"/>
      <c r="G833" s="250" t="n"/>
      <c r="H833" s="250" t="n"/>
      <c r="I833" s="250" t="n"/>
      <c r="J833" s="250" t="n"/>
      <c r="K833" s="250" t="n"/>
      <c r="L833" s="250" t="n"/>
      <c r="M833" s="250" t="n"/>
      <c r="N833" s="250" t="n"/>
      <c r="O833" s="250" t="n"/>
      <c r="P833" s="250" t="n"/>
      <c r="Q833" s="250" t="n"/>
      <c r="R833" s="250" t="n"/>
      <c r="S833" s="250" t="n"/>
      <c r="T833" s="250" t="n"/>
      <c r="U833" s="250" t="n"/>
      <c r="V833" s="250" t="n"/>
      <c r="W833" s="250" t="n"/>
      <c r="X833" s="250" t="n"/>
      <c r="Y833" s="250" t="n"/>
      <c r="Z833" s="250" t="n"/>
    </row>
    <row r="834">
      <c r="A834" s="250" t="n"/>
      <c r="B834" s="250" t="n"/>
      <c r="C834" s="250" t="n"/>
      <c r="D834" s="250" t="n"/>
      <c r="E834" s="250" t="n"/>
      <c r="F834" s="250" t="n"/>
      <c r="G834" s="250" t="n"/>
      <c r="H834" s="250" t="n"/>
      <c r="I834" s="250" t="n"/>
      <c r="J834" s="250" t="n"/>
      <c r="K834" s="250" t="n"/>
      <c r="L834" s="250" t="n"/>
      <c r="M834" s="250" t="n"/>
      <c r="N834" s="250" t="n"/>
      <c r="O834" s="250" t="n"/>
      <c r="P834" s="250" t="n"/>
      <c r="Q834" s="250" t="n"/>
      <c r="R834" s="250" t="n"/>
      <c r="S834" s="250" t="n"/>
      <c r="T834" s="250" t="n"/>
      <c r="U834" s="250" t="n"/>
      <c r="V834" s="250" t="n"/>
      <c r="W834" s="250" t="n"/>
      <c r="X834" s="250" t="n"/>
      <c r="Y834" s="250" t="n"/>
      <c r="Z834" s="250" t="n"/>
    </row>
    <row r="835">
      <c r="A835" s="250" t="n"/>
      <c r="B835" s="250" t="n"/>
      <c r="C835" s="250" t="n"/>
      <c r="D835" s="250" t="n"/>
      <c r="E835" s="250" t="n"/>
      <c r="F835" s="250" t="n"/>
      <c r="G835" s="250" t="n"/>
      <c r="H835" s="250" t="n"/>
      <c r="I835" s="250" t="n"/>
      <c r="J835" s="250" t="n"/>
      <c r="K835" s="250" t="n"/>
      <c r="L835" s="250" t="n"/>
      <c r="M835" s="250" t="n"/>
      <c r="N835" s="250" t="n"/>
      <c r="O835" s="250" t="n"/>
      <c r="P835" s="250" t="n"/>
      <c r="Q835" s="250" t="n"/>
      <c r="R835" s="250" t="n"/>
      <c r="S835" s="250" t="n"/>
      <c r="T835" s="250" t="n"/>
      <c r="U835" s="250" t="n"/>
      <c r="V835" s="250" t="n"/>
      <c r="W835" s="250" t="n"/>
      <c r="X835" s="250" t="n"/>
      <c r="Y835" s="250" t="n"/>
      <c r="Z835" s="250" t="n"/>
    </row>
    <row r="836">
      <c r="A836" s="250" t="n"/>
      <c r="B836" s="250" t="n"/>
      <c r="C836" s="250" t="n"/>
      <c r="D836" s="250" t="n"/>
      <c r="E836" s="250" t="n"/>
      <c r="F836" s="250" t="n"/>
      <c r="G836" s="250" t="n"/>
      <c r="H836" s="250" t="n"/>
      <c r="I836" s="250" t="n"/>
      <c r="J836" s="250" t="n"/>
      <c r="K836" s="250" t="n"/>
      <c r="L836" s="250" t="n"/>
      <c r="M836" s="250" t="n"/>
      <c r="N836" s="250" t="n"/>
      <c r="O836" s="250" t="n"/>
      <c r="P836" s="250" t="n"/>
      <c r="Q836" s="250" t="n"/>
      <c r="R836" s="250" t="n"/>
      <c r="S836" s="250" t="n"/>
      <c r="T836" s="250" t="n"/>
      <c r="U836" s="250" t="n"/>
      <c r="V836" s="250" t="n"/>
      <c r="W836" s="250" t="n"/>
      <c r="X836" s="250" t="n"/>
      <c r="Y836" s="250" t="n"/>
      <c r="Z836" s="250" t="n"/>
    </row>
    <row r="837">
      <c r="A837" s="250" t="n"/>
      <c r="B837" s="250" t="n"/>
      <c r="C837" s="250" t="n"/>
      <c r="D837" s="250" t="n"/>
      <c r="E837" s="250" t="n"/>
      <c r="F837" s="250" t="n"/>
      <c r="G837" s="250" t="n"/>
      <c r="H837" s="250" t="n"/>
      <c r="I837" s="250" t="n"/>
      <c r="J837" s="250" t="n"/>
      <c r="K837" s="250" t="n"/>
      <c r="L837" s="250" t="n"/>
      <c r="M837" s="250" t="n"/>
      <c r="N837" s="250" t="n"/>
      <c r="O837" s="250" t="n"/>
      <c r="P837" s="250" t="n"/>
      <c r="Q837" s="250" t="n"/>
      <c r="R837" s="250" t="n"/>
      <c r="S837" s="250" t="n"/>
      <c r="T837" s="250" t="n"/>
      <c r="U837" s="250" t="n"/>
      <c r="V837" s="250" t="n"/>
      <c r="W837" s="250" t="n"/>
      <c r="X837" s="250" t="n"/>
      <c r="Y837" s="250" t="n"/>
      <c r="Z837" s="250" t="n"/>
    </row>
    <row r="838">
      <c r="A838" s="250" t="n"/>
      <c r="B838" s="250" t="n"/>
      <c r="C838" s="250" t="n"/>
      <c r="D838" s="250" t="n"/>
      <c r="E838" s="250" t="n"/>
      <c r="F838" s="250" t="n"/>
      <c r="G838" s="250" t="n"/>
      <c r="H838" s="250" t="n"/>
      <c r="I838" s="250" t="n"/>
      <c r="J838" s="250" t="n"/>
      <c r="K838" s="250" t="n"/>
      <c r="L838" s="250" t="n"/>
      <c r="M838" s="250" t="n"/>
      <c r="N838" s="250" t="n"/>
      <c r="O838" s="250" t="n"/>
      <c r="P838" s="250" t="n"/>
      <c r="Q838" s="250" t="n"/>
      <c r="R838" s="250" t="n"/>
      <c r="S838" s="250" t="n"/>
      <c r="T838" s="250" t="n"/>
      <c r="U838" s="250" t="n"/>
      <c r="V838" s="250" t="n"/>
      <c r="W838" s="250" t="n"/>
      <c r="X838" s="250" t="n"/>
      <c r="Y838" s="250" t="n"/>
      <c r="Z838" s="250" t="n"/>
    </row>
    <row r="839">
      <c r="A839" s="250" t="n"/>
      <c r="B839" s="250" t="n"/>
      <c r="C839" s="250" t="n"/>
      <c r="D839" s="250" t="n"/>
      <c r="E839" s="250" t="n"/>
      <c r="F839" s="250" t="n"/>
      <c r="G839" s="250" t="n"/>
      <c r="H839" s="250" t="n"/>
      <c r="I839" s="250" t="n"/>
      <c r="J839" s="250" t="n"/>
      <c r="K839" s="250" t="n"/>
      <c r="L839" s="250" t="n"/>
      <c r="M839" s="250" t="n"/>
      <c r="N839" s="250" t="n"/>
      <c r="O839" s="250" t="n"/>
      <c r="P839" s="250" t="n"/>
      <c r="Q839" s="250" t="n"/>
      <c r="R839" s="250" t="n"/>
      <c r="S839" s="250" t="n"/>
      <c r="T839" s="250" t="n"/>
      <c r="U839" s="250" t="n"/>
      <c r="V839" s="250" t="n"/>
      <c r="W839" s="250" t="n"/>
      <c r="X839" s="250" t="n"/>
      <c r="Y839" s="250" t="n"/>
      <c r="Z839" s="250" t="n"/>
    </row>
    <row r="840">
      <c r="A840" s="250" t="n"/>
      <c r="B840" s="250" t="n"/>
      <c r="C840" s="250" t="n"/>
      <c r="D840" s="250" t="n"/>
      <c r="E840" s="250" t="n"/>
      <c r="F840" s="250" t="n"/>
      <c r="G840" s="250" t="n"/>
      <c r="H840" s="250" t="n"/>
      <c r="I840" s="250" t="n"/>
      <c r="J840" s="250" t="n"/>
      <c r="K840" s="250" t="n"/>
      <c r="L840" s="250" t="n"/>
      <c r="M840" s="250" t="n"/>
      <c r="N840" s="250" t="n"/>
      <c r="O840" s="250" t="n"/>
      <c r="P840" s="250" t="n"/>
      <c r="Q840" s="250" t="n"/>
      <c r="R840" s="250" t="n"/>
      <c r="S840" s="250" t="n"/>
      <c r="T840" s="250" t="n"/>
      <c r="U840" s="250" t="n"/>
      <c r="V840" s="250" t="n"/>
      <c r="W840" s="250" t="n"/>
      <c r="X840" s="250" t="n"/>
      <c r="Y840" s="250" t="n"/>
      <c r="Z840" s="250" t="n"/>
    </row>
    <row r="841">
      <c r="A841" s="250" t="n"/>
      <c r="B841" s="250" t="n"/>
      <c r="C841" s="250" t="n"/>
      <c r="D841" s="250" t="n"/>
      <c r="E841" s="250" t="n"/>
      <c r="F841" s="250" t="n"/>
      <c r="G841" s="250" t="n"/>
      <c r="H841" s="250" t="n"/>
      <c r="I841" s="250" t="n"/>
      <c r="J841" s="250" t="n"/>
      <c r="K841" s="250" t="n"/>
      <c r="L841" s="250" t="n"/>
      <c r="M841" s="250" t="n"/>
      <c r="N841" s="250" t="n"/>
      <c r="O841" s="250" t="n"/>
      <c r="P841" s="250" t="n"/>
      <c r="Q841" s="250" t="n"/>
      <c r="R841" s="250" t="n"/>
      <c r="S841" s="250" t="n"/>
      <c r="T841" s="250" t="n"/>
      <c r="U841" s="250" t="n"/>
      <c r="V841" s="250" t="n"/>
      <c r="W841" s="250" t="n"/>
      <c r="X841" s="250" t="n"/>
      <c r="Y841" s="250" t="n"/>
      <c r="Z841" s="250" t="n"/>
    </row>
    <row r="842">
      <c r="A842" s="250" t="n"/>
      <c r="B842" s="250" t="n"/>
      <c r="C842" s="250" t="n"/>
      <c r="D842" s="250" t="n"/>
      <c r="E842" s="250" t="n"/>
      <c r="F842" s="250" t="n"/>
      <c r="G842" s="250" t="n"/>
      <c r="H842" s="250" t="n"/>
      <c r="I842" s="250" t="n"/>
      <c r="J842" s="250" t="n"/>
      <c r="K842" s="250" t="n"/>
      <c r="L842" s="250" t="n"/>
      <c r="M842" s="250" t="n"/>
      <c r="N842" s="250" t="n"/>
      <c r="O842" s="250" t="n"/>
      <c r="P842" s="250" t="n"/>
      <c r="Q842" s="250" t="n"/>
      <c r="R842" s="250" t="n"/>
      <c r="S842" s="250" t="n"/>
      <c r="T842" s="250" t="n"/>
      <c r="U842" s="250" t="n"/>
      <c r="V842" s="250" t="n"/>
      <c r="W842" s="250" t="n"/>
      <c r="X842" s="250" t="n"/>
      <c r="Y842" s="250" t="n"/>
      <c r="Z842" s="250" t="n"/>
    </row>
    <row r="843">
      <c r="A843" s="250" t="n"/>
      <c r="B843" s="250" t="n"/>
      <c r="C843" s="250" t="n"/>
      <c r="D843" s="250" t="n"/>
      <c r="E843" s="250" t="n"/>
      <c r="F843" s="250" t="n"/>
      <c r="G843" s="250" t="n"/>
      <c r="H843" s="250" t="n"/>
      <c r="I843" s="250" t="n"/>
      <c r="J843" s="250" t="n"/>
      <c r="K843" s="250" t="n"/>
      <c r="L843" s="250" t="n"/>
      <c r="M843" s="250" t="n"/>
      <c r="N843" s="250" t="n"/>
      <c r="O843" s="250" t="n"/>
      <c r="P843" s="250" t="n"/>
      <c r="Q843" s="250" t="n"/>
      <c r="R843" s="250" t="n"/>
      <c r="S843" s="250" t="n"/>
      <c r="T843" s="250" t="n"/>
      <c r="U843" s="250" t="n"/>
      <c r="V843" s="250" t="n"/>
      <c r="W843" s="250" t="n"/>
      <c r="X843" s="250" t="n"/>
      <c r="Y843" s="250" t="n"/>
      <c r="Z843" s="250" t="n"/>
    </row>
    <row r="844">
      <c r="A844" s="250" t="n"/>
      <c r="B844" s="250" t="n"/>
      <c r="C844" s="250" t="n"/>
      <c r="D844" s="250" t="n"/>
      <c r="E844" s="250" t="n"/>
      <c r="F844" s="250" t="n"/>
      <c r="G844" s="250" t="n"/>
      <c r="H844" s="250" t="n"/>
      <c r="I844" s="250" t="n"/>
      <c r="J844" s="250" t="n"/>
      <c r="K844" s="250" t="n"/>
      <c r="L844" s="250" t="n"/>
      <c r="M844" s="250" t="n"/>
      <c r="N844" s="250" t="n"/>
      <c r="O844" s="250" t="n"/>
      <c r="P844" s="250" t="n"/>
      <c r="Q844" s="250" t="n"/>
      <c r="R844" s="250" t="n"/>
      <c r="S844" s="250" t="n"/>
      <c r="T844" s="250" t="n"/>
      <c r="U844" s="250" t="n"/>
      <c r="V844" s="250" t="n"/>
      <c r="W844" s="250" t="n"/>
      <c r="X844" s="250" t="n"/>
      <c r="Y844" s="250" t="n"/>
      <c r="Z844" s="250" t="n"/>
    </row>
    <row r="845">
      <c r="A845" s="250" t="n"/>
      <c r="B845" s="250" t="n"/>
      <c r="C845" s="250" t="n"/>
      <c r="D845" s="250" t="n"/>
      <c r="E845" s="250" t="n"/>
      <c r="F845" s="250" t="n"/>
      <c r="G845" s="250" t="n"/>
      <c r="H845" s="250" t="n"/>
      <c r="I845" s="250" t="n"/>
      <c r="J845" s="250" t="n"/>
      <c r="K845" s="250" t="n"/>
      <c r="L845" s="250" t="n"/>
      <c r="M845" s="250" t="n"/>
      <c r="N845" s="250" t="n"/>
      <c r="O845" s="250" t="n"/>
      <c r="P845" s="250" t="n"/>
      <c r="Q845" s="250" t="n"/>
      <c r="R845" s="250" t="n"/>
      <c r="S845" s="250" t="n"/>
      <c r="T845" s="250" t="n"/>
      <c r="U845" s="250" t="n"/>
      <c r="V845" s="250" t="n"/>
      <c r="W845" s="250" t="n"/>
      <c r="X845" s="250" t="n"/>
      <c r="Y845" s="250" t="n"/>
      <c r="Z845" s="250" t="n"/>
    </row>
    <row r="846">
      <c r="A846" s="250" t="n"/>
      <c r="B846" s="250" t="n"/>
      <c r="C846" s="250" t="n"/>
      <c r="D846" s="250" t="n"/>
      <c r="E846" s="250" t="n"/>
      <c r="F846" s="250" t="n"/>
      <c r="G846" s="250" t="n"/>
      <c r="H846" s="250" t="n"/>
      <c r="I846" s="250" t="n"/>
      <c r="J846" s="250" t="n"/>
      <c r="K846" s="250" t="n"/>
      <c r="L846" s="250" t="n"/>
      <c r="M846" s="250" t="n"/>
      <c r="N846" s="250" t="n"/>
      <c r="O846" s="250" t="n"/>
      <c r="P846" s="250" t="n"/>
      <c r="Q846" s="250" t="n"/>
      <c r="R846" s="250" t="n"/>
      <c r="S846" s="250" t="n"/>
      <c r="T846" s="250" t="n"/>
      <c r="U846" s="250" t="n"/>
      <c r="V846" s="250" t="n"/>
      <c r="W846" s="250" t="n"/>
      <c r="X846" s="250" t="n"/>
      <c r="Y846" s="250" t="n"/>
      <c r="Z846" s="250" t="n"/>
    </row>
    <row r="847">
      <c r="A847" s="250" t="n"/>
      <c r="B847" s="250" t="n"/>
      <c r="C847" s="250" t="n"/>
      <c r="D847" s="250" t="n"/>
      <c r="E847" s="250" t="n"/>
      <c r="F847" s="250" t="n"/>
      <c r="G847" s="250" t="n"/>
      <c r="H847" s="250" t="n"/>
      <c r="I847" s="250" t="n"/>
      <c r="J847" s="250" t="n"/>
      <c r="K847" s="250" t="n"/>
      <c r="L847" s="250" t="n"/>
      <c r="M847" s="250" t="n"/>
      <c r="N847" s="250" t="n"/>
      <c r="O847" s="250" t="n"/>
      <c r="P847" s="250" t="n"/>
      <c r="Q847" s="250" t="n"/>
      <c r="R847" s="250" t="n"/>
      <c r="S847" s="250" t="n"/>
      <c r="T847" s="250" t="n"/>
      <c r="U847" s="250" t="n"/>
      <c r="V847" s="250" t="n"/>
      <c r="W847" s="250" t="n"/>
      <c r="X847" s="250" t="n"/>
      <c r="Y847" s="250" t="n"/>
      <c r="Z847" s="250" t="n"/>
    </row>
    <row r="848">
      <c r="A848" s="250" t="n"/>
      <c r="B848" s="250" t="n"/>
      <c r="C848" s="250" t="n"/>
      <c r="D848" s="250" t="n"/>
      <c r="E848" s="250" t="n"/>
      <c r="F848" s="250" t="n"/>
      <c r="G848" s="250" t="n"/>
      <c r="H848" s="250" t="n"/>
      <c r="I848" s="250" t="n"/>
      <c r="J848" s="250" t="n"/>
      <c r="K848" s="250" t="n"/>
      <c r="L848" s="250" t="n"/>
      <c r="M848" s="250" t="n"/>
      <c r="N848" s="250" t="n"/>
      <c r="O848" s="250" t="n"/>
      <c r="P848" s="250" t="n"/>
      <c r="Q848" s="250" t="n"/>
      <c r="R848" s="250" t="n"/>
      <c r="S848" s="250" t="n"/>
      <c r="T848" s="250" t="n"/>
      <c r="U848" s="250" t="n"/>
      <c r="V848" s="250" t="n"/>
      <c r="W848" s="250" t="n"/>
      <c r="X848" s="250" t="n"/>
      <c r="Y848" s="250" t="n"/>
      <c r="Z848" s="250" t="n"/>
    </row>
    <row r="849">
      <c r="A849" s="250" t="n"/>
      <c r="B849" s="250" t="n"/>
      <c r="C849" s="250" t="n"/>
      <c r="D849" s="250" t="n"/>
      <c r="E849" s="250" t="n"/>
      <c r="F849" s="250" t="n"/>
      <c r="G849" s="250" t="n"/>
      <c r="H849" s="250" t="n"/>
      <c r="I849" s="250" t="n"/>
      <c r="J849" s="250" t="n"/>
      <c r="K849" s="250" t="n"/>
      <c r="L849" s="250" t="n"/>
      <c r="M849" s="250" t="n"/>
      <c r="N849" s="250" t="n"/>
      <c r="O849" s="250" t="n"/>
      <c r="P849" s="250" t="n"/>
      <c r="Q849" s="250" t="n"/>
      <c r="R849" s="250" t="n"/>
      <c r="S849" s="250" t="n"/>
      <c r="T849" s="250" t="n"/>
      <c r="U849" s="250" t="n"/>
      <c r="V849" s="250" t="n"/>
      <c r="W849" s="250" t="n"/>
      <c r="X849" s="250" t="n"/>
      <c r="Y849" s="250" t="n"/>
      <c r="Z849" s="250" t="n"/>
    </row>
    <row r="850">
      <c r="A850" s="250" t="n"/>
      <c r="B850" s="250" t="n"/>
      <c r="C850" s="250" t="n"/>
      <c r="D850" s="250" t="n"/>
      <c r="E850" s="250" t="n"/>
      <c r="F850" s="250" t="n"/>
      <c r="G850" s="250" t="n"/>
      <c r="H850" s="250" t="n"/>
      <c r="I850" s="250" t="n"/>
      <c r="J850" s="250" t="n"/>
      <c r="K850" s="250" t="n"/>
      <c r="L850" s="250" t="n"/>
      <c r="M850" s="250" t="n"/>
      <c r="N850" s="250" t="n"/>
      <c r="O850" s="250" t="n"/>
      <c r="P850" s="250" t="n"/>
      <c r="Q850" s="250" t="n"/>
      <c r="R850" s="250" t="n"/>
      <c r="S850" s="250" t="n"/>
      <c r="T850" s="250" t="n"/>
      <c r="U850" s="250" t="n"/>
      <c r="V850" s="250" t="n"/>
      <c r="W850" s="250" t="n"/>
      <c r="X850" s="250" t="n"/>
      <c r="Y850" s="250" t="n"/>
      <c r="Z850" s="250" t="n"/>
    </row>
    <row r="851">
      <c r="A851" s="250" t="n"/>
      <c r="B851" s="250" t="n"/>
      <c r="C851" s="250" t="n"/>
      <c r="D851" s="250" t="n"/>
      <c r="E851" s="250" t="n"/>
      <c r="F851" s="250" t="n"/>
      <c r="G851" s="250" t="n"/>
      <c r="H851" s="250" t="n"/>
      <c r="I851" s="250" t="n"/>
      <c r="J851" s="250" t="n"/>
      <c r="K851" s="250" t="n"/>
      <c r="L851" s="250" t="n"/>
      <c r="M851" s="250" t="n"/>
      <c r="N851" s="250" t="n"/>
      <c r="O851" s="250" t="n"/>
      <c r="P851" s="250" t="n"/>
      <c r="Q851" s="250" t="n"/>
      <c r="R851" s="250" t="n"/>
      <c r="S851" s="250" t="n"/>
      <c r="T851" s="250" t="n"/>
      <c r="U851" s="250" t="n"/>
      <c r="V851" s="250" t="n"/>
      <c r="W851" s="250" t="n"/>
      <c r="X851" s="250" t="n"/>
      <c r="Y851" s="250" t="n"/>
      <c r="Z851" s="250" t="n"/>
    </row>
    <row r="852">
      <c r="A852" s="250" t="n"/>
      <c r="B852" s="250" t="n"/>
      <c r="C852" s="250" t="n"/>
      <c r="D852" s="250" t="n"/>
      <c r="E852" s="250" t="n"/>
      <c r="F852" s="250" t="n"/>
      <c r="G852" s="250" t="n"/>
      <c r="H852" s="250" t="n"/>
      <c r="I852" s="250" t="n"/>
      <c r="J852" s="250" t="n"/>
      <c r="K852" s="250" t="n"/>
      <c r="L852" s="250" t="n"/>
      <c r="M852" s="250" t="n"/>
      <c r="N852" s="250" t="n"/>
      <c r="O852" s="250" t="n"/>
      <c r="P852" s="250" t="n"/>
      <c r="Q852" s="250" t="n"/>
      <c r="R852" s="250" t="n"/>
      <c r="S852" s="250" t="n"/>
      <c r="T852" s="250" t="n"/>
      <c r="U852" s="250" t="n"/>
      <c r="V852" s="250" t="n"/>
      <c r="W852" s="250" t="n"/>
      <c r="X852" s="250" t="n"/>
      <c r="Y852" s="250" t="n"/>
      <c r="Z852" s="250" t="n"/>
    </row>
    <row r="853">
      <c r="A853" s="250" t="n"/>
      <c r="B853" s="250" t="n"/>
      <c r="C853" s="250" t="n"/>
      <c r="D853" s="250" t="n"/>
      <c r="E853" s="250" t="n"/>
      <c r="F853" s="250" t="n"/>
      <c r="G853" s="250" t="n"/>
      <c r="H853" s="250" t="n"/>
      <c r="I853" s="250" t="n"/>
      <c r="J853" s="250" t="n"/>
      <c r="K853" s="250" t="n"/>
      <c r="L853" s="250" t="n"/>
      <c r="M853" s="250" t="n"/>
      <c r="N853" s="250" t="n"/>
      <c r="O853" s="250" t="n"/>
      <c r="P853" s="250" t="n"/>
      <c r="Q853" s="250" t="n"/>
      <c r="R853" s="250" t="n"/>
      <c r="S853" s="250" t="n"/>
      <c r="T853" s="250" t="n"/>
      <c r="U853" s="250" t="n"/>
      <c r="V853" s="250" t="n"/>
      <c r="W853" s="250" t="n"/>
      <c r="X853" s="250" t="n"/>
      <c r="Y853" s="250" t="n"/>
      <c r="Z853" s="250" t="n"/>
    </row>
    <row r="854">
      <c r="A854" s="250" t="n"/>
      <c r="B854" s="250" t="n"/>
      <c r="C854" s="250" t="n"/>
      <c r="D854" s="250" t="n"/>
      <c r="E854" s="250" t="n"/>
      <c r="F854" s="250" t="n"/>
      <c r="G854" s="250" t="n"/>
      <c r="H854" s="250" t="n"/>
      <c r="I854" s="250" t="n"/>
      <c r="J854" s="250" t="n"/>
      <c r="K854" s="250" t="n"/>
      <c r="L854" s="250" t="n"/>
      <c r="M854" s="250" t="n"/>
      <c r="N854" s="250" t="n"/>
      <c r="O854" s="250" t="n"/>
      <c r="P854" s="250" t="n"/>
      <c r="Q854" s="250" t="n"/>
      <c r="R854" s="250" t="n"/>
      <c r="S854" s="250" t="n"/>
      <c r="T854" s="250" t="n"/>
      <c r="U854" s="250" t="n"/>
      <c r="V854" s="250" t="n"/>
      <c r="W854" s="250" t="n"/>
      <c r="X854" s="250" t="n"/>
      <c r="Y854" s="250" t="n"/>
      <c r="Z854" s="250" t="n"/>
    </row>
    <row r="855">
      <c r="A855" s="250" t="n"/>
      <c r="B855" s="250" t="n"/>
      <c r="C855" s="250" t="n"/>
      <c r="D855" s="250" t="n"/>
      <c r="E855" s="250" t="n"/>
      <c r="F855" s="250" t="n"/>
      <c r="G855" s="250" t="n"/>
      <c r="H855" s="250" t="n"/>
      <c r="I855" s="250" t="n"/>
      <c r="J855" s="250" t="n"/>
      <c r="K855" s="250" t="n"/>
      <c r="L855" s="250" t="n"/>
      <c r="M855" s="250" t="n"/>
      <c r="N855" s="250" t="n"/>
      <c r="O855" s="250" t="n"/>
      <c r="P855" s="250" t="n"/>
      <c r="Q855" s="250" t="n"/>
      <c r="R855" s="250" t="n"/>
      <c r="S855" s="250" t="n"/>
      <c r="T855" s="250" t="n"/>
      <c r="U855" s="250" t="n"/>
      <c r="V855" s="250" t="n"/>
      <c r="W855" s="250" t="n"/>
      <c r="X855" s="250" t="n"/>
      <c r="Y855" s="250" t="n"/>
      <c r="Z855" s="250" t="n"/>
    </row>
    <row r="856">
      <c r="A856" s="250" t="n"/>
      <c r="B856" s="250" t="n"/>
      <c r="C856" s="250" t="n"/>
      <c r="D856" s="250" t="n"/>
      <c r="E856" s="250" t="n"/>
      <c r="F856" s="250" t="n"/>
      <c r="G856" s="250" t="n"/>
      <c r="H856" s="250" t="n"/>
      <c r="I856" s="250" t="n"/>
      <c r="J856" s="250" t="n"/>
      <c r="K856" s="250" t="n"/>
      <c r="L856" s="250" t="n"/>
      <c r="M856" s="250" t="n"/>
      <c r="N856" s="250" t="n"/>
      <c r="O856" s="250" t="n"/>
      <c r="P856" s="250" t="n"/>
      <c r="Q856" s="250" t="n"/>
      <c r="R856" s="250" t="n"/>
      <c r="S856" s="250" t="n"/>
      <c r="T856" s="250" t="n"/>
      <c r="U856" s="250" t="n"/>
      <c r="V856" s="250" t="n"/>
      <c r="W856" s="250" t="n"/>
      <c r="X856" s="250" t="n"/>
      <c r="Y856" s="250" t="n"/>
      <c r="Z856" s="250" t="n"/>
    </row>
    <row r="857">
      <c r="A857" s="250" t="n"/>
      <c r="B857" s="250" t="n"/>
      <c r="C857" s="250" t="n"/>
      <c r="D857" s="250" t="n"/>
      <c r="E857" s="250" t="n"/>
      <c r="F857" s="250" t="n"/>
      <c r="G857" s="250" t="n"/>
      <c r="H857" s="250" t="n"/>
      <c r="I857" s="250" t="n"/>
      <c r="J857" s="250" t="n"/>
      <c r="K857" s="250" t="n"/>
      <c r="L857" s="250" t="n"/>
      <c r="M857" s="250" t="n"/>
      <c r="N857" s="250" t="n"/>
      <c r="O857" s="250" t="n"/>
      <c r="P857" s="250" t="n"/>
      <c r="Q857" s="250" t="n"/>
      <c r="R857" s="250" t="n"/>
      <c r="S857" s="250" t="n"/>
      <c r="T857" s="250" t="n"/>
      <c r="U857" s="250" t="n"/>
      <c r="V857" s="250" t="n"/>
      <c r="W857" s="250" t="n"/>
      <c r="X857" s="250" t="n"/>
      <c r="Y857" s="250" t="n"/>
      <c r="Z857" s="250" t="n"/>
    </row>
    <row r="858">
      <c r="A858" s="250" t="n"/>
      <c r="B858" s="250" t="n"/>
      <c r="C858" s="250" t="n"/>
      <c r="D858" s="250" t="n"/>
      <c r="E858" s="250" t="n"/>
      <c r="F858" s="250" t="n"/>
      <c r="G858" s="250" t="n"/>
      <c r="H858" s="250" t="n"/>
      <c r="I858" s="250" t="n"/>
      <c r="J858" s="250" t="n"/>
      <c r="K858" s="250" t="n"/>
      <c r="L858" s="250" t="n"/>
      <c r="M858" s="250" t="n"/>
      <c r="N858" s="250" t="n"/>
      <c r="O858" s="250" t="n"/>
      <c r="P858" s="250" t="n"/>
      <c r="Q858" s="250" t="n"/>
      <c r="R858" s="250" t="n"/>
      <c r="S858" s="250" t="n"/>
      <c r="T858" s="250" t="n"/>
      <c r="U858" s="250" t="n"/>
      <c r="V858" s="250" t="n"/>
      <c r="W858" s="250" t="n"/>
      <c r="X858" s="250" t="n"/>
      <c r="Y858" s="250" t="n"/>
      <c r="Z858" s="250" t="n"/>
    </row>
    <row r="859">
      <c r="A859" s="250" t="n"/>
      <c r="B859" s="250" t="n"/>
      <c r="C859" s="250" t="n"/>
      <c r="D859" s="250" t="n"/>
      <c r="E859" s="250" t="n"/>
      <c r="F859" s="250" t="n"/>
      <c r="G859" s="250" t="n"/>
      <c r="H859" s="250" t="n"/>
      <c r="I859" s="250" t="n"/>
      <c r="J859" s="250" t="n"/>
      <c r="K859" s="250" t="n"/>
      <c r="L859" s="250" t="n"/>
      <c r="M859" s="250" t="n"/>
      <c r="N859" s="250" t="n"/>
      <c r="O859" s="250" t="n"/>
      <c r="P859" s="250" t="n"/>
      <c r="Q859" s="250" t="n"/>
      <c r="R859" s="250" t="n"/>
      <c r="S859" s="250" t="n"/>
      <c r="T859" s="250" t="n"/>
      <c r="U859" s="250" t="n"/>
      <c r="V859" s="250" t="n"/>
      <c r="W859" s="250" t="n"/>
      <c r="X859" s="250" t="n"/>
      <c r="Y859" s="250" t="n"/>
      <c r="Z859" s="250" t="n"/>
    </row>
    <row r="860">
      <c r="A860" s="250" t="n"/>
      <c r="B860" s="250" t="n"/>
      <c r="C860" s="250" t="n"/>
      <c r="D860" s="250" t="n"/>
      <c r="E860" s="250" t="n"/>
      <c r="F860" s="250" t="n"/>
      <c r="G860" s="250" t="n"/>
      <c r="H860" s="250" t="n"/>
      <c r="I860" s="250" t="n"/>
      <c r="J860" s="250" t="n"/>
      <c r="K860" s="250" t="n"/>
      <c r="L860" s="250" t="n"/>
      <c r="M860" s="250" t="n"/>
      <c r="N860" s="250" t="n"/>
      <c r="O860" s="250" t="n"/>
      <c r="P860" s="250" t="n"/>
      <c r="Q860" s="250" t="n"/>
      <c r="R860" s="250" t="n"/>
      <c r="S860" s="250" t="n"/>
      <c r="T860" s="250" t="n"/>
      <c r="U860" s="250" t="n"/>
      <c r="V860" s="250" t="n"/>
      <c r="W860" s="250" t="n"/>
      <c r="X860" s="250" t="n"/>
      <c r="Y860" s="250" t="n"/>
      <c r="Z860" s="250" t="n"/>
    </row>
    <row r="861">
      <c r="A861" s="250" t="n"/>
      <c r="B861" s="250" t="n"/>
      <c r="C861" s="250" t="n"/>
      <c r="D861" s="250" t="n"/>
      <c r="E861" s="250" t="n"/>
      <c r="F861" s="250" t="n"/>
      <c r="G861" s="250" t="n"/>
      <c r="H861" s="250" t="n"/>
      <c r="I861" s="250" t="n"/>
      <c r="J861" s="250" t="n"/>
      <c r="K861" s="250" t="n"/>
      <c r="L861" s="250" t="n"/>
      <c r="M861" s="250" t="n"/>
      <c r="N861" s="250" t="n"/>
      <c r="O861" s="250" t="n"/>
      <c r="P861" s="250" t="n"/>
      <c r="Q861" s="250" t="n"/>
      <c r="R861" s="250" t="n"/>
      <c r="S861" s="250" t="n"/>
      <c r="T861" s="250" t="n"/>
      <c r="U861" s="250" t="n"/>
      <c r="V861" s="250" t="n"/>
      <c r="W861" s="250" t="n"/>
      <c r="X861" s="250" t="n"/>
      <c r="Y861" s="250" t="n"/>
      <c r="Z861" s="250" t="n"/>
    </row>
    <row r="862">
      <c r="A862" s="250" t="n"/>
      <c r="B862" s="250" t="n"/>
      <c r="C862" s="250" t="n"/>
      <c r="D862" s="250" t="n"/>
      <c r="E862" s="250" t="n"/>
      <c r="F862" s="250" t="n"/>
      <c r="G862" s="250" t="n"/>
      <c r="H862" s="250" t="n"/>
      <c r="I862" s="250" t="n"/>
      <c r="J862" s="250" t="n"/>
      <c r="K862" s="250" t="n"/>
      <c r="L862" s="250" t="n"/>
      <c r="M862" s="250" t="n"/>
      <c r="N862" s="250" t="n"/>
      <c r="O862" s="250" t="n"/>
      <c r="P862" s="250" t="n"/>
      <c r="Q862" s="250" t="n"/>
      <c r="R862" s="250" t="n"/>
      <c r="S862" s="250" t="n"/>
      <c r="T862" s="250" t="n"/>
      <c r="U862" s="250" t="n"/>
      <c r="V862" s="250" t="n"/>
      <c r="W862" s="250" t="n"/>
      <c r="X862" s="250" t="n"/>
      <c r="Y862" s="250" t="n"/>
      <c r="Z862" s="250" t="n"/>
    </row>
    <row r="863">
      <c r="A863" s="250" t="n"/>
      <c r="B863" s="250" t="n"/>
      <c r="C863" s="250" t="n"/>
      <c r="D863" s="250" t="n"/>
      <c r="E863" s="250" t="n"/>
      <c r="F863" s="250" t="n"/>
      <c r="G863" s="250" t="n"/>
      <c r="H863" s="250" t="n"/>
      <c r="I863" s="250" t="n"/>
      <c r="J863" s="250" t="n"/>
      <c r="K863" s="250" t="n"/>
      <c r="L863" s="250" t="n"/>
      <c r="M863" s="250" t="n"/>
      <c r="N863" s="250" t="n"/>
      <c r="O863" s="250" t="n"/>
      <c r="P863" s="250" t="n"/>
      <c r="Q863" s="250" t="n"/>
      <c r="R863" s="250" t="n"/>
      <c r="S863" s="250" t="n"/>
      <c r="T863" s="250" t="n"/>
      <c r="U863" s="250" t="n"/>
      <c r="V863" s="250" t="n"/>
      <c r="W863" s="250" t="n"/>
      <c r="X863" s="250" t="n"/>
      <c r="Y863" s="250" t="n"/>
      <c r="Z863" s="250" t="n"/>
    </row>
    <row r="864">
      <c r="A864" s="250" t="n"/>
      <c r="B864" s="250" t="n"/>
      <c r="C864" s="250" t="n"/>
      <c r="D864" s="250" t="n"/>
      <c r="E864" s="250" t="n"/>
      <c r="F864" s="250" t="n"/>
      <c r="G864" s="250" t="n"/>
      <c r="H864" s="250" t="n"/>
      <c r="I864" s="250" t="n"/>
      <c r="J864" s="250" t="n"/>
      <c r="K864" s="250" t="n"/>
      <c r="L864" s="250" t="n"/>
      <c r="M864" s="250" t="n"/>
      <c r="N864" s="250" t="n"/>
      <c r="O864" s="250" t="n"/>
      <c r="P864" s="250" t="n"/>
      <c r="Q864" s="250" t="n"/>
      <c r="R864" s="250" t="n"/>
      <c r="S864" s="250" t="n"/>
      <c r="T864" s="250" t="n"/>
      <c r="U864" s="250" t="n"/>
      <c r="V864" s="250" t="n"/>
      <c r="W864" s="250" t="n"/>
      <c r="X864" s="250" t="n"/>
      <c r="Y864" s="250" t="n"/>
      <c r="Z864" s="250" t="n"/>
    </row>
    <row r="865">
      <c r="A865" s="250" t="n"/>
      <c r="B865" s="250" t="n"/>
      <c r="C865" s="250" t="n"/>
      <c r="D865" s="250" t="n"/>
      <c r="E865" s="250" t="n"/>
      <c r="F865" s="250" t="n"/>
      <c r="G865" s="250" t="n"/>
      <c r="H865" s="250" t="n"/>
      <c r="I865" s="250" t="n"/>
      <c r="J865" s="250" t="n"/>
      <c r="K865" s="250" t="n"/>
      <c r="L865" s="250" t="n"/>
      <c r="M865" s="250" t="n"/>
      <c r="N865" s="250" t="n"/>
      <c r="O865" s="250" t="n"/>
      <c r="P865" s="250" t="n"/>
      <c r="Q865" s="250" t="n"/>
      <c r="R865" s="250" t="n"/>
      <c r="S865" s="250" t="n"/>
      <c r="T865" s="250" t="n"/>
      <c r="U865" s="250" t="n"/>
      <c r="V865" s="250" t="n"/>
      <c r="W865" s="250" t="n"/>
      <c r="X865" s="250" t="n"/>
      <c r="Y865" s="250" t="n"/>
      <c r="Z865" s="250" t="n"/>
    </row>
    <row r="866">
      <c r="A866" s="250" t="n"/>
      <c r="B866" s="250" t="n"/>
      <c r="C866" s="250" t="n"/>
      <c r="D866" s="250" t="n"/>
      <c r="E866" s="250" t="n"/>
      <c r="F866" s="250" t="n"/>
      <c r="G866" s="250" t="n"/>
      <c r="H866" s="250" t="n"/>
      <c r="I866" s="250" t="n"/>
      <c r="J866" s="250" t="n"/>
      <c r="K866" s="250" t="n"/>
      <c r="L866" s="250" t="n"/>
      <c r="M866" s="250" t="n"/>
      <c r="N866" s="250" t="n"/>
      <c r="O866" s="250" t="n"/>
      <c r="P866" s="250" t="n"/>
      <c r="Q866" s="250" t="n"/>
      <c r="R866" s="250" t="n"/>
      <c r="S866" s="250" t="n"/>
      <c r="T866" s="250" t="n"/>
      <c r="U866" s="250" t="n"/>
      <c r="V866" s="250" t="n"/>
      <c r="W866" s="250" t="n"/>
      <c r="X866" s="250" t="n"/>
      <c r="Y866" s="250" t="n"/>
      <c r="Z866" s="250" t="n"/>
    </row>
    <row r="867">
      <c r="A867" s="250" t="n"/>
      <c r="B867" s="250" t="n"/>
      <c r="C867" s="250" t="n"/>
      <c r="D867" s="250" t="n"/>
      <c r="E867" s="250" t="n"/>
      <c r="F867" s="250" t="n"/>
      <c r="G867" s="250" t="n"/>
      <c r="H867" s="250" t="n"/>
      <c r="I867" s="250" t="n"/>
      <c r="J867" s="250" t="n"/>
      <c r="K867" s="250" t="n"/>
      <c r="L867" s="250" t="n"/>
      <c r="M867" s="250" t="n"/>
      <c r="N867" s="250" t="n"/>
      <c r="O867" s="250" t="n"/>
      <c r="P867" s="250" t="n"/>
      <c r="Q867" s="250" t="n"/>
      <c r="R867" s="250" t="n"/>
      <c r="S867" s="250" t="n"/>
      <c r="T867" s="250" t="n"/>
      <c r="U867" s="250" t="n"/>
      <c r="V867" s="250" t="n"/>
      <c r="W867" s="250" t="n"/>
      <c r="X867" s="250" t="n"/>
      <c r="Y867" s="250" t="n"/>
      <c r="Z867" s="250" t="n"/>
    </row>
    <row r="868">
      <c r="A868" s="250" t="n"/>
      <c r="B868" s="250" t="n"/>
      <c r="C868" s="250" t="n"/>
      <c r="D868" s="250" t="n"/>
      <c r="E868" s="250" t="n"/>
      <c r="F868" s="250" t="n"/>
      <c r="G868" s="250" t="n"/>
      <c r="H868" s="250" t="n"/>
      <c r="I868" s="250" t="n"/>
      <c r="J868" s="250" t="n"/>
      <c r="K868" s="250" t="n"/>
      <c r="L868" s="250" t="n"/>
      <c r="M868" s="250" t="n"/>
      <c r="N868" s="250" t="n"/>
      <c r="O868" s="250" t="n"/>
      <c r="P868" s="250" t="n"/>
      <c r="Q868" s="250" t="n"/>
      <c r="R868" s="250" t="n"/>
      <c r="S868" s="250" t="n"/>
      <c r="T868" s="250" t="n"/>
      <c r="U868" s="250" t="n"/>
      <c r="V868" s="250" t="n"/>
      <c r="W868" s="250" t="n"/>
      <c r="X868" s="250" t="n"/>
      <c r="Y868" s="250" t="n"/>
      <c r="Z868" s="250" t="n"/>
    </row>
    <row r="869">
      <c r="A869" s="250" t="n"/>
      <c r="B869" s="250" t="n"/>
      <c r="C869" s="250" t="n"/>
      <c r="D869" s="250" t="n"/>
      <c r="E869" s="250" t="n"/>
      <c r="F869" s="250" t="n"/>
      <c r="G869" s="250" t="n"/>
      <c r="H869" s="250" t="n"/>
      <c r="I869" s="250" t="n"/>
      <c r="J869" s="250" t="n"/>
      <c r="K869" s="250" t="n"/>
      <c r="L869" s="250" t="n"/>
      <c r="M869" s="250" t="n"/>
      <c r="N869" s="250" t="n"/>
      <c r="O869" s="250" t="n"/>
      <c r="P869" s="250" t="n"/>
      <c r="Q869" s="250" t="n"/>
      <c r="R869" s="250" t="n"/>
      <c r="S869" s="250" t="n"/>
      <c r="T869" s="250" t="n"/>
      <c r="U869" s="250" t="n"/>
      <c r="V869" s="250" t="n"/>
      <c r="W869" s="250" t="n"/>
      <c r="X869" s="250" t="n"/>
      <c r="Y869" s="250" t="n"/>
      <c r="Z869" s="250" t="n"/>
    </row>
    <row r="870">
      <c r="A870" s="250" t="n"/>
      <c r="B870" s="250" t="n"/>
      <c r="C870" s="250" t="n"/>
      <c r="D870" s="250" t="n"/>
      <c r="E870" s="250" t="n"/>
      <c r="F870" s="250" t="n"/>
      <c r="G870" s="250" t="n"/>
      <c r="H870" s="250" t="n"/>
      <c r="I870" s="250" t="n"/>
      <c r="J870" s="250" t="n"/>
      <c r="K870" s="250" t="n"/>
      <c r="L870" s="250" t="n"/>
      <c r="M870" s="250" t="n"/>
      <c r="N870" s="250" t="n"/>
      <c r="O870" s="250" t="n"/>
      <c r="P870" s="250" t="n"/>
      <c r="Q870" s="250" t="n"/>
      <c r="R870" s="250" t="n"/>
      <c r="S870" s="250" t="n"/>
      <c r="T870" s="250" t="n"/>
      <c r="U870" s="250" t="n"/>
      <c r="V870" s="250" t="n"/>
      <c r="W870" s="250" t="n"/>
      <c r="X870" s="250" t="n"/>
      <c r="Y870" s="250" t="n"/>
      <c r="Z870" s="250" t="n"/>
    </row>
    <row r="871">
      <c r="A871" s="250" t="n"/>
      <c r="B871" s="250" t="n"/>
      <c r="C871" s="250" t="n"/>
      <c r="D871" s="250" t="n"/>
      <c r="E871" s="250" t="n"/>
      <c r="F871" s="250" t="n"/>
      <c r="G871" s="250" t="n"/>
      <c r="H871" s="250" t="n"/>
      <c r="I871" s="250" t="n"/>
      <c r="J871" s="250" t="n"/>
      <c r="K871" s="250" t="n"/>
      <c r="L871" s="250" t="n"/>
      <c r="M871" s="250" t="n"/>
      <c r="N871" s="250" t="n"/>
      <c r="O871" s="250" t="n"/>
      <c r="P871" s="250" t="n"/>
      <c r="Q871" s="250" t="n"/>
      <c r="R871" s="250" t="n"/>
      <c r="S871" s="250" t="n"/>
      <c r="T871" s="250" t="n"/>
      <c r="U871" s="250" t="n"/>
      <c r="V871" s="250" t="n"/>
      <c r="W871" s="250" t="n"/>
      <c r="X871" s="250" t="n"/>
      <c r="Y871" s="250" t="n"/>
      <c r="Z871" s="250" t="n"/>
    </row>
    <row r="872">
      <c r="A872" s="250" t="n"/>
      <c r="B872" s="250" t="n"/>
      <c r="C872" s="250" t="n"/>
      <c r="D872" s="250" t="n"/>
      <c r="E872" s="250" t="n"/>
      <c r="F872" s="250" t="n"/>
      <c r="G872" s="250" t="n"/>
      <c r="H872" s="250" t="n"/>
      <c r="I872" s="250" t="n"/>
      <c r="J872" s="250" t="n"/>
      <c r="K872" s="250" t="n"/>
      <c r="L872" s="250" t="n"/>
      <c r="M872" s="250" t="n"/>
      <c r="N872" s="250" t="n"/>
      <c r="O872" s="250" t="n"/>
      <c r="P872" s="250" t="n"/>
      <c r="Q872" s="250" t="n"/>
      <c r="R872" s="250" t="n"/>
      <c r="S872" s="250" t="n"/>
      <c r="T872" s="250" t="n"/>
      <c r="U872" s="250" t="n"/>
      <c r="V872" s="250" t="n"/>
      <c r="W872" s="250" t="n"/>
      <c r="X872" s="250" t="n"/>
      <c r="Y872" s="250" t="n"/>
      <c r="Z872" s="250" t="n"/>
    </row>
    <row r="873">
      <c r="A873" s="250" t="n"/>
      <c r="B873" s="250" t="n"/>
      <c r="C873" s="250" t="n"/>
      <c r="D873" s="250" t="n"/>
      <c r="E873" s="250" t="n"/>
      <c r="F873" s="250" t="n"/>
      <c r="G873" s="250" t="n"/>
      <c r="H873" s="250" t="n"/>
      <c r="I873" s="250" t="n"/>
      <c r="J873" s="250" t="n"/>
      <c r="K873" s="250" t="n"/>
      <c r="L873" s="250" t="n"/>
      <c r="M873" s="250" t="n"/>
      <c r="N873" s="250" t="n"/>
      <c r="O873" s="250" t="n"/>
      <c r="P873" s="250" t="n"/>
      <c r="Q873" s="250" t="n"/>
      <c r="R873" s="250" t="n"/>
      <c r="S873" s="250" t="n"/>
      <c r="T873" s="250" t="n"/>
      <c r="U873" s="250" t="n"/>
      <c r="V873" s="250" t="n"/>
      <c r="W873" s="250" t="n"/>
      <c r="X873" s="250" t="n"/>
      <c r="Y873" s="250" t="n"/>
      <c r="Z873" s="250" t="n"/>
    </row>
    <row r="874">
      <c r="A874" s="250" t="n"/>
      <c r="B874" s="250" t="n"/>
      <c r="C874" s="250" t="n"/>
      <c r="D874" s="250" t="n"/>
      <c r="E874" s="250" t="n"/>
      <c r="F874" s="250" t="n"/>
      <c r="G874" s="250" t="n"/>
      <c r="H874" s="250" t="n"/>
      <c r="I874" s="250" t="n"/>
      <c r="J874" s="250" t="n"/>
      <c r="K874" s="250" t="n"/>
      <c r="L874" s="250" t="n"/>
      <c r="M874" s="250" t="n"/>
      <c r="N874" s="250" t="n"/>
      <c r="O874" s="250" t="n"/>
      <c r="P874" s="250" t="n"/>
      <c r="Q874" s="250" t="n"/>
      <c r="R874" s="250" t="n"/>
      <c r="S874" s="250" t="n"/>
      <c r="T874" s="250" t="n"/>
      <c r="U874" s="250" t="n"/>
      <c r="V874" s="250" t="n"/>
      <c r="W874" s="250" t="n"/>
      <c r="X874" s="250" t="n"/>
      <c r="Y874" s="250" t="n"/>
      <c r="Z874" s="250" t="n"/>
    </row>
    <row r="875">
      <c r="A875" s="250" t="n"/>
      <c r="B875" s="250" t="n"/>
      <c r="C875" s="250" t="n"/>
      <c r="D875" s="250" t="n"/>
      <c r="E875" s="250" t="n"/>
      <c r="F875" s="250" t="n"/>
      <c r="G875" s="250" t="n"/>
      <c r="H875" s="250" t="n"/>
      <c r="I875" s="250" t="n"/>
      <c r="J875" s="250" t="n"/>
      <c r="K875" s="250" t="n"/>
      <c r="L875" s="250" t="n"/>
      <c r="M875" s="250" t="n"/>
      <c r="N875" s="250" t="n"/>
      <c r="O875" s="250" t="n"/>
      <c r="P875" s="250" t="n"/>
      <c r="Q875" s="250" t="n"/>
      <c r="R875" s="250" t="n"/>
      <c r="S875" s="250" t="n"/>
      <c r="T875" s="250" t="n"/>
      <c r="U875" s="250" t="n"/>
      <c r="V875" s="250" t="n"/>
      <c r="W875" s="250" t="n"/>
      <c r="X875" s="250" t="n"/>
      <c r="Y875" s="250" t="n"/>
      <c r="Z875" s="250" t="n"/>
    </row>
    <row r="876">
      <c r="A876" s="250" t="n"/>
      <c r="B876" s="250" t="n"/>
      <c r="C876" s="250" t="n"/>
      <c r="D876" s="250" t="n"/>
      <c r="E876" s="250" t="n"/>
      <c r="F876" s="250" t="n"/>
      <c r="G876" s="250" t="n"/>
      <c r="H876" s="250" t="n"/>
      <c r="I876" s="250" t="n"/>
      <c r="J876" s="250" t="n"/>
      <c r="K876" s="250" t="n"/>
      <c r="L876" s="250" t="n"/>
      <c r="M876" s="250" t="n"/>
      <c r="N876" s="250" t="n"/>
      <c r="O876" s="250" t="n"/>
      <c r="P876" s="250" t="n"/>
      <c r="Q876" s="250" t="n"/>
      <c r="R876" s="250" t="n"/>
      <c r="S876" s="250" t="n"/>
      <c r="T876" s="250" t="n"/>
      <c r="U876" s="250" t="n"/>
      <c r="V876" s="250" t="n"/>
      <c r="W876" s="250" t="n"/>
      <c r="X876" s="250" t="n"/>
      <c r="Y876" s="250" t="n"/>
      <c r="Z876" s="250" t="n"/>
    </row>
    <row r="877">
      <c r="A877" s="250" t="n"/>
      <c r="B877" s="250" t="n"/>
      <c r="C877" s="250" t="n"/>
      <c r="D877" s="250" t="n"/>
      <c r="E877" s="250" t="n"/>
      <c r="F877" s="250" t="n"/>
      <c r="G877" s="250" t="n"/>
      <c r="H877" s="250" t="n"/>
      <c r="I877" s="250" t="n"/>
      <c r="J877" s="250" t="n"/>
      <c r="K877" s="250" t="n"/>
      <c r="L877" s="250" t="n"/>
      <c r="M877" s="250" t="n"/>
      <c r="N877" s="250" t="n"/>
      <c r="O877" s="250" t="n"/>
      <c r="P877" s="250" t="n"/>
      <c r="Q877" s="250" t="n"/>
      <c r="R877" s="250" t="n"/>
      <c r="S877" s="250" t="n"/>
      <c r="T877" s="250" t="n"/>
      <c r="U877" s="250" t="n"/>
      <c r="V877" s="250" t="n"/>
      <c r="W877" s="250" t="n"/>
      <c r="X877" s="250" t="n"/>
      <c r="Y877" s="250" t="n"/>
      <c r="Z877" s="250" t="n"/>
    </row>
    <row r="878">
      <c r="A878" s="250" t="n"/>
      <c r="B878" s="250" t="n"/>
      <c r="C878" s="250" t="n"/>
      <c r="D878" s="250" t="n"/>
      <c r="E878" s="250" t="n"/>
      <c r="F878" s="250" t="n"/>
      <c r="G878" s="250" t="n"/>
      <c r="H878" s="250" t="n"/>
      <c r="I878" s="250" t="n"/>
      <c r="J878" s="250" t="n"/>
      <c r="K878" s="250" t="n"/>
      <c r="L878" s="250" t="n"/>
      <c r="M878" s="250" t="n"/>
      <c r="N878" s="250" t="n"/>
      <c r="O878" s="250" t="n"/>
      <c r="P878" s="250" t="n"/>
      <c r="Q878" s="250" t="n"/>
      <c r="R878" s="250" t="n"/>
      <c r="S878" s="250" t="n"/>
      <c r="T878" s="250" t="n"/>
      <c r="U878" s="250" t="n"/>
      <c r="V878" s="250" t="n"/>
      <c r="W878" s="250" t="n"/>
      <c r="X878" s="250" t="n"/>
      <c r="Y878" s="250" t="n"/>
      <c r="Z878" s="250" t="n"/>
    </row>
    <row r="879">
      <c r="A879" s="250" t="n"/>
      <c r="B879" s="250" t="n"/>
      <c r="C879" s="250" t="n"/>
      <c r="D879" s="250" t="n"/>
      <c r="E879" s="250" t="n"/>
      <c r="F879" s="250" t="n"/>
      <c r="G879" s="250" t="n"/>
      <c r="H879" s="250" t="n"/>
      <c r="I879" s="250" t="n"/>
      <c r="J879" s="250" t="n"/>
      <c r="K879" s="250" t="n"/>
      <c r="L879" s="250" t="n"/>
      <c r="M879" s="250" t="n"/>
      <c r="N879" s="250" t="n"/>
      <c r="O879" s="250" t="n"/>
      <c r="P879" s="250" t="n"/>
      <c r="Q879" s="250" t="n"/>
      <c r="R879" s="250" t="n"/>
      <c r="S879" s="250" t="n"/>
      <c r="T879" s="250" t="n"/>
      <c r="U879" s="250" t="n"/>
      <c r="V879" s="250" t="n"/>
      <c r="W879" s="250" t="n"/>
      <c r="X879" s="250" t="n"/>
      <c r="Y879" s="250" t="n"/>
      <c r="Z879" s="250" t="n"/>
    </row>
    <row r="880">
      <c r="A880" s="250" t="n"/>
      <c r="B880" s="250" t="n"/>
      <c r="C880" s="250" t="n"/>
      <c r="D880" s="250" t="n"/>
      <c r="E880" s="250" t="n"/>
      <c r="F880" s="250" t="n"/>
      <c r="G880" s="250" t="n"/>
      <c r="H880" s="250" t="n"/>
      <c r="I880" s="250" t="n"/>
      <c r="J880" s="250" t="n"/>
      <c r="K880" s="250" t="n"/>
      <c r="L880" s="250" t="n"/>
      <c r="M880" s="250" t="n"/>
      <c r="N880" s="250" t="n"/>
      <c r="O880" s="250" t="n"/>
      <c r="P880" s="250" t="n"/>
      <c r="Q880" s="250" t="n"/>
      <c r="R880" s="250" t="n"/>
      <c r="S880" s="250" t="n"/>
      <c r="T880" s="250" t="n"/>
      <c r="U880" s="250" t="n"/>
      <c r="V880" s="250" t="n"/>
      <c r="W880" s="250" t="n"/>
      <c r="X880" s="250" t="n"/>
      <c r="Y880" s="250" t="n"/>
      <c r="Z880" s="250" t="n"/>
    </row>
    <row r="881">
      <c r="A881" s="250" t="n"/>
      <c r="B881" s="250" t="n"/>
      <c r="C881" s="250" t="n"/>
      <c r="D881" s="250" t="n"/>
      <c r="E881" s="250" t="n"/>
      <c r="F881" s="250" t="n"/>
      <c r="G881" s="250" t="n"/>
      <c r="H881" s="250" t="n"/>
      <c r="I881" s="250" t="n"/>
      <c r="J881" s="250" t="n"/>
      <c r="K881" s="250" t="n"/>
      <c r="L881" s="250" t="n"/>
      <c r="M881" s="250" t="n"/>
      <c r="N881" s="250" t="n"/>
      <c r="O881" s="250" t="n"/>
      <c r="P881" s="250" t="n"/>
      <c r="Q881" s="250" t="n"/>
      <c r="R881" s="250" t="n"/>
      <c r="S881" s="250" t="n"/>
      <c r="T881" s="250" t="n"/>
      <c r="U881" s="250" t="n"/>
      <c r="V881" s="250" t="n"/>
      <c r="W881" s="250" t="n"/>
      <c r="X881" s="250" t="n"/>
      <c r="Y881" s="250" t="n"/>
      <c r="Z881" s="250" t="n"/>
    </row>
    <row r="882">
      <c r="A882" s="250" t="n"/>
      <c r="B882" s="250" t="n"/>
      <c r="C882" s="250" t="n"/>
      <c r="D882" s="250" t="n"/>
      <c r="E882" s="250" t="n"/>
      <c r="F882" s="250" t="n"/>
      <c r="G882" s="250" t="n"/>
      <c r="H882" s="250" t="n"/>
      <c r="I882" s="250" t="n"/>
      <c r="J882" s="250" t="n"/>
      <c r="K882" s="250" t="n"/>
      <c r="L882" s="250" t="n"/>
      <c r="M882" s="250" t="n"/>
      <c r="N882" s="250" t="n"/>
      <c r="O882" s="250" t="n"/>
      <c r="P882" s="250" t="n"/>
      <c r="Q882" s="250" t="n"/>
      <c r="R882" s="250" t="n"/>
      <c r="S882" s="250" t="n"/>
      <c r="T882" s="250" t="n"/>
      <c r="U882" s="250" t="n"/>
      <c r="V882" s="250" t="n"/>
      <c r="W882" s="250" t="n"/>
      <c r="X882" s="250" t="n"/>
      <c r="Y882" s="250" t="n"/>
      <c r="Z882" s="250" t="n"/>
    </row>
    <row r="883">
      <c r="A883" s="250" t="n"/>
      <c r="B883" s="250" t="n"/>
      <c r="C883" s="250" t="n"/>
      <c r="D883" s="250" t="n"/>
      <c r="E883" s="250" t="n"/>
      <c r="F883" s="250" t="n"/>
      <c r="G883" s="250" t="n"/>
      <c r="H883" s="250" t="n"/>
      <c r="I883" s="250" t="n"/>
      <c r="J883" s="250" t="n"/>
      <c r="K883" s="250" t="n"/>
      <c r="L883" s="250" t="n"/>
      <c r="M883" s="250" t="n"/>
      <c r="N883" s="250" t="n"/>
      <c r="O883" s="250" t="n"/>
      <c r="P883" s="250" t="n"/>
      <c r="Q883" s="250" t="n"/>
      <c r="R883" s="250" t="n"/>
      <c r="S883" s="250" t="n"/>
      <c r="T883" s="250" t="n"/>
      <c r="U883" s="250" t="n"/>
      <c r="V883" s="250" t="n"/>
      <c r="W883" s="250" t="n"/>
      <c r="X883" s="250" t="n"/>
      <c r="Y883" s="250" t="n"/>
      <c r="Z883" s="250" t="n"/>
    </row>
    <row r="884">
      <c r="A884" s="250" t="n"/>
      <c r="B884" s="250" t="n"/>
      <c r="C884" s="250" t="n"/>
      <c r="D884" s="250" t="n"/>
      <c r="E884" s="250" t="n"/>
      <c r="F884" s="250" t="n"/>
      <c r="G884" s="250" t="n"/>
      <c r="H884" s="250" t="n"/>
      <c r="I884" s="250" t="n"/>
      <c r="J884" s="250" t="n"/>
      <c r="K884" s="250" t="n"/>
      <c r="L884" s="250" t="n"/>
      <c r="M884" s="250" t="n"/>
      <c r="N884" s="250" t="n"/>
      <c r="O884" s="250" t="n"/>
      <c r="P884" s="250" t="n"/>
      <c r="Q884" s="250" t="n"/>
      <c r="R884" s="250" t="n"/>
      <c r="S884" s="250" t="n"/>
      <c r="T884" s="250" t="n"/>
      <c r="U884" s="250" t="n"/>
      <c r="V884" s="250" t="n"/>
      <c r="W884" s="250" t="n"/>
      <c r="X884" s="250" t="n"/>
      <c r="Y884" s="250" t="n"/>
      <c r="Z884" s="250" t="n"/>
    </row>
    <row r="885">
      <c r="A885" s="250" t="n"/>
      <c r="B885" s="250" t="n"/>
      <c r="C885" s="250" t="n"/>
      <c r="D885" s="250" t="n"/>
      <c r="E885" s="250" t="n"/>
      <c r="F885" s="250" t="n"/>
      <c r="G885" s="250" t="n"/>
      <c r="H885" s="250" t="n"/>
      <c r="I885" s="250" t="n"/>
      <c r="J885" s="250" t="n"/>
      <c r="K885" s="250" t="n"/>
      <c r="L885" s="250" t="n"/>
      <c r="M885" s="250" t="n"/>
      <c r="N885" s="250" t="n"/>
      <c r="O885" s="250" t="n"/>
      <c r="P885" s="250" t="n"/>
      <c r="Q885" s="250" t="n"/>
      <c r="R885" s="250" t="n"/>
      <c r="S885" s="250" t="n"/>
      <c r="T885" s="250" t="n"/>
      <c r="U885" s="250" t="n"/>
      <c r="V885" s="250" t="n"/>
      <c r="W885" s="250" t="n"/>
      <c r="X885" s="250" t="n"/>
      <c r="Y885" s="250" t="n"/>
      <c r="Z885" s="250" t="n"/>
    </row>
    <row r="886">
      <c r="A886" s="250" t="n"/>
      <c r="B886" s="250" t="n"/>
      <c r="C886" s="250" t="n"/>
      <c r="D886" s="250" t="n"/>
      <c r="E886" s="250" t="n"/>
      <c r="F886" s="250" t="n"/>
      <c r="G886" s="250" t="n"/>
      <c r="H886" s="250" t="n"/>
      <c r="I886" s="250" t="n"/>
      <c r="J886" s="250" t="n"/>
      <c r="K886" s="250" t="n"/>
      <c r="L886" s="250" t="n"/>
      <c r="M886" s="250" t="n"/>
      <c r="N886" s="250" t="n"/>
      <c r="O886" s="250" t="n"/>
      <c r="P886" s="250" t="n"/>
      <c r="Q886" s="250" t="n"/>
      <c r="R886" s="250" t="n"/>
      <c r="S886" s="250" t="n"/>
      <c r="T886" s="250" t="n"/>
      <c r="U886" s="250" t="n"/>
      <c r="V886" s="250" t="n"/>
      <c r="W886" s="250" t="n"/>
      <c r="X886" s="250" t="n"/>
      <c r="Y886" s="250" t="n"/>
      <c r="Z886" s="250" t="n"/>
    </row>
    <row r="887">
      <c r="A887" s="250" t="n"/>
      <c r="B887" s="250" t="n"/>
      <c r="C887" s="250" t="n"/>
      <c r="D887" s="250" t="n"/>
      <c r="E887" s="250" t="n"/>
      <c r="F887" s="250" t="n"/>
      <c r="G887" s="250" t="n"/>
      <c r="H887" s="250" t="n"/>
      <c r="I887" s="250" t="n"/>
      <c r="J887" s="250" t="n"/>
      <c r="K887" s="250" t="n"/>
      <c r="L887" s="250" t="n"/>
      <c r="M887" s="250" t="n"/>
      <c r="N887" s="250" t="n"/>
      <c r="O887" s="250" t="n"/>
      <c r="P887" s="250" t="n"/>
      <c r="Q887" s="250" t="n"/>
      <c r="R887" s="250" t="n"/>
      <c r="S887" s="250" t="n"/>
      <c r="T887" s="250" t="n"/>
      <c r="U887" s="250" t="n"/>
      <c r="V887" s="250" t="n"/>
      <c r="W887" s="250" t="n"/>
      <c r="X887" s="250" t="n"/>
      <c r="Y887" s="250" t="n"/>
      <c r="Z887" s="250" t="n"/>
    </row>
    <row r="888">
      <c r="A888" s="250" t="n"/>
      <c r="B888" s="250" t="n"/>
      <c r="C888" s="250" t="n"/>
      <c r="D888" s="250" t="n"/>
      <c r="E888" s="250" t="n"/>
      <c r="F888" s="250" t="n"/>
      <c r="G888" s="250" t="n"/>
      <c r="H888" s="250" t="n"/>
      <c r="I888" s="250" t="n"/>
      <c r="J888" s="250" t="n"/>
      <c r="K888" s="250" t="n"/>
      <c r="L888" s="250" t="n"/>
      <c r="M888" s="250" t="n"/>
      <c r="N888" s="250" t="n"/>
      <c r="O888" s="250" t="n"/>
      <c r="P888" s="250" t="n"/>
      <c r="Q888" s="250" t="n"/>
      <c r="R888" s="250" t="n"/>
      <c r="S888" s="250" t="n"/>
      <c r="T888" s="250" t="n"/>
      <c r="U888" s="250" t="n"/>
      <c r="V888" s="250" t="n"/>
      <c r="W888" s="250" t="n"/>
      <c r="X888" s="250" t="n"/>
      <c r="Y888" s="250" t="n"/>
      <c r="Z888" s="250" t="n"/>
    </row>
    <row r="889">
      <c r="A889" s="250" t="n"/>
      <c r="B889" s="250" t="n"/>
      <c r="C889" s="250" t="n"/>
      <c r="D889" s="250" t="n"/>
      <c r="E889" s="250" t="n"/>
      <c r="F889" s="250" t="n"/>
      <c r="G889" s="250" t="n"/>
      <c r="H889" s="250" t="n"/>
      <c r="I889" s="250" t="n"/>
      <c r="J889" s="250" t="n"/>
      <c r="K889" s="250" t="n"/>
      <c r="L889" s="250" t="n"/>
      <c r="M889" s="250" t="n"/>
      <c r="N889" s="250" t="n"/>
      <c r="O889" s="250" t="n"/>
      <c r="P889" s="250" t="n"/>
      <c r="Q889" s="250" t="n"/>
      <c r="R889" s="250" t="n"/>
      <c r="S889" s="250" t="n"/>
      <c r="T889" s="250" t="n"/>
      <c r="U889" s="250" t="n"/>
      <c r="V889" s="250" t="n"/>
      <c r="W889" s="250" t="n"/>
      <c r="X889" s="250" t="n"/>
      <c r="Y889" s="250" t="n"/>
      <c r="Z889" s="250" t="n"/>
    </row>
    <row r="890">
      <c r="A890" s="250" t="n"/>
      <c r="B890" s="250" t="n"/>
      <c r="C890" s="250" t="n"/>
      <c r="D890" s="250" t="n"/>
      <c r="E890" s="250" t="n"/>
      <c r="F890" s="250" t="n"/>
      <c r="G890" s="250" t="n"/>
      <c r="H890" s="250" t="n"/>
      <c r="I890" s="250" t="n"/>
      <c r="J890" s="250" t="n"/>
      <c r="K890" s="250" t="n"/>
      <c r="L890" s="250" t="n"/>
      <c r="M890" s="250" t="n"/>
      <c r="N890" s="250" t="n"/>
      <c r="O890" s="250" t="n"/>
      <c r="P890" s="250" t="n"/>
      <c r="Q890" s="250" t="n"/>
      <c r="R890" s="250" t="n"/>
      <c r="S890" s="250" t="n"/>
      <c r="T890" s="250" t="n"/>
      <c r="U890" s="250" t="n"/>
      <c r="V890" s="250" t="n"/>
      <c r="W890" s="250" t="n"/>
      <c r="X890" s="250" t="n"/>
      <c r="Y890" s="250" t="n"/>
      <c r="Z890" s="250" t="n"/>
    </row>
    <row r="891">
      <c r="A891" s="250" t="n"/>
      <c r="B891" s="250" t="n"/>
      <c r="C891" s="250" t="n"/>
      <c r="D891" s="250" t="n"/>
      <c r="E891" s="250" t="n"/>
      <c r="F891" s="250" t="n"/>
      <c r="G891" s="250" t="n"/>
      <c r="H891" s="250" t="n"/>
      <c r="I891" s="250" t="n"/>
      <c r="J891" s="250" t="n"/>
      <c r="K891" s="250" t="n"/>
      <c r="L891" s="250" t="n"/>
      <c r="M891" s="250" t="n"/>
      <c r="N891" s="250" t="n"/>
      <c r="O891" s="250" t="n"/>
      <c r="P891" s="250" t="n"/>
      <c r="Q891" s="250" t="n"/>
      <c r="R891" s="250" t="n"/>
      <c r="S891" s="250" t="n"/>
      <c r="T891" s="250" t="n"/>
      <c r="U891" s="250" t="n"/>
      <c r="V891" s="250" t="n"/>
      <c r="W891" s="250" t="n"/>
      <c r="X891" s="250" t="n"/>
      <c r="Y891" s="250" t="n"/>
      <c r="Z891" s="250" t="n"/>
    </row>
    <row r="892">
      <c r="A892" s="250" t="n"/>
      <c r="B892" s="250" t="n"/>
      <c r="C892" s="250" t="n"/>
      <c r="D892" s="250" t="n"/>
      <c r="E892" s="250" t="n"/>
      <c r="F892" s="250" t="n"/>
      <c r="G892" s="250" t="n"/>
      <c r="H892" s="250" t="n"/>
      <c r="I892" s="250" t="n"/>
      <c r="J892" s="250" t="n"/>
      <c r="K892" s="250" t="n"/>
      <c r="L892" s="250" t="n"/>
      <c r="M892" s="250" t="n"/>
      <c r="N892" s="250" t="n"/>
      <c r="O892" s="250" t="n"/>
      <c r="P892" s="250" t="n"/>
      <c r="Q892" s="250" t="n"/>
      <c r="R892" s="250" t="n"/>
      <c r="S892" s="250" t="n"/>
      <c r="T892" s="250" t="n"/>
      <c r="U892" s="250" t="n"/>
      <c r="V892" s="250" t="n"/>
      <c r="W892" s="250" t="n"/>
      <c r="X892" s="250" t="n"/>
      <c r="Y892" s="250" t="n"/>
      <c r="Z892" s="250" t="n"/>
    </row>
    <row r="893">
      <c r="A893" s="250" t="n"/>
      <c r="B893" s="250" t="n"/>
      <c r="C893" s="250" t="n"/>
      <c r="D893" s="250" t="n"/>
      <c r="E893" s="250" t="n"/>
      <c r="F893" s="250" t="n"/>
      <c r="G893" s="250" t="n"/>
      <c r="H893" s="250" t="n"/>
      <c r="I893" s="250" t="n"/>
      <c r="J893" s="250" t="n"/>
      <c r="K893" s="250" t="n"/>
      <c r="L893" s="250" t="n"/>
      <c r="M893" s="250" t="n"/>
      <c r="N893" s="250" t="n"/>
      <c r="O893" s="250" t="n"/>
      <c r="P893" s="250" t="n"/>
      <c r="Q893" s="250" t="n"/>
      <c r="R893" s="250" t="n"/>
      <c r="S893" s="250" t="n"/>
      <c r="T893" s="250" t="n"/>
      <c r="U893" s="250" t="n"/>
      <c r="V893" s="250" t="n"/>
      <c r="W893" s="250" t="n"/>
      <c r="X893" s="250" t="n"/>
      <c r="Y893" s="250" t="n"/>
      <c r="Z893" s="250" t="n"/>
    </row>
    <row r="894">
      <c r="A894" s="250" t="n"/>
      <c r="B894" s="250" t="n"/>
      <c r="C894" s="250" t="n"/>
      <c r="D894" s="250" t="n"/>
      <c r="E894" s="250" t="n"/>
      <c r="F894" s="250" t="n"/>
      <c r="G894" s="250" t="n"/>
      <c r="H894" s="250" t="n"/>
      <c r="I894" s="250" t="n"/>
      <c r="J894" s="250" t="n"/>
      <c r="K894" s="250" t="n"/>
      <c r="L894" s="250" t="n"/>
      <c r="M894" s="250" t="n"/>
      <c r="N894" s="250" t="n"/>
      <c r="O894" s="250" t="n"/>
      <c r="P894" s="250" t="n"/>
      <c r="Q894" s="250" t="n"/>
      <c r="R894" s="250" t="n"/>
      <c r="S894" s="250" t="n"/>
      <c r="T894" s="250" t="n"/>
      <c r="U894" s="250" t="n"/>
      <c r="V894" s="250" t="n"/>
      <c r="W894" s="250" t="n"/>
      <c r="X894" s="250" t="n"/>
      <c r="Y894" s="250" t="n"/>
      <c r="Z894" s="250" t="n"/>
    </row>
    <row r="895">
      <c r="A895" s="250" t="n"/>
      <c r="B895" s="250" t="n"/>
      <c r="C895" s="250" t="n"/>
      <c r="D895" s="250" t="n"/>
      <c r="E895" s="250" t="n"/>
      <c r="F895" s="250" t="n"/>
      <c r="G895" s="250" t="n"/>
      <c r="H895" s="250" t="n"/>
      <c r="I895" s="250" t="n"/>
      <c r="J895" s="250" t="n"/>
      <c r="K895" s="250" t="n"/>
      <c r="L895" s="250" t="n"/>
      <c r="M895" s="250" t="n"/>
      <c r="N895" s="250" t="n"/>
      <c r="O895" s="250" t="n"/>
      <c r="P895" s="250" t="n"/>
      <c r="Q895" s="250" t="n"/>
      <c r="R895" s="250" t="n"/>
      <c r="S895" s="250" t="n"/>
      <c r="T895" s="250" t="n"/>
      <c r="U895" s="250" t="n"/>
      <c r="V895" s="250" t="n"/>
      <c r="W895" s="250" t="n"/>
      <c r="X895" s="250" t="n"/>
      <c r="Y895" s="250" t="n"/>
      <c r="Z895" s="250" t="n"/>
    </row>
    <row r="896">
      <c r="A896" s="250" t="n"/>
      <c r="B896" s="250" t="n"/>
      <c r="C896" s="250" t="n"/>
      <c r="D896" s="250" t="n"/>
      <c r="E896" s="250" t="n"/>
      <c r="F896" s="250" t="n"/>
      <c r="G896" s="250" t="n"/>
      <c r="H896" s="250" t="n"/>
      <c r="I896" s="250" t="n"/>
      <c r="J896" s="250" t="n"/>
      <c r="K896" s="250" t="n"/>
      <c r="L896" s="250" t="n"/>
      <c r="M896" s="250" t="n"/>
      <c r="N896" s="250" t="n"/>
      <c r="O896" s="250" t="n"/>
      <c r="P896" s="250" t="n"/>
      <c r="Q896" s="250" t="n"/>
      <c r="R896" s="250" t="n"/>
      <c r="S896" s="250" t="n"/>
      <c r="T896" s="250" t="n"/>
      <c r="U896" s="250" t="n"/>
      <c r="V896" s="250" t="n"/>
      <c r="W896" s="250" t="n"/>
      <c r="X896" s="250" t="n"/>
      <c r="Y896" s="250" t="n"/>
      <c r="Z896" s="250" t="n"/>
    </row>
    <row r="897">
      <c r="A897" s="250" t="n"/>
      <c r="B897" s="250" t="n"/>
      <c r="C897" s="250" t="n"/>
      <c r="D897" s="250" t="n"/>
      <c r="E897" s="250" t="n"/>
      <c r="F897" s="250" t="n"/>
      <c r="G897" s="250" t="n"/>
      <c r="H897" s="250" t="n"/>
      <c r="I897" s="250" t="n"/>
      <c r="J897" s="250" t="n"/>
      <c r="K897" s="250" t="n"/>
      <c r="L897" s="250" t="n"/>
      <c r="M897" s="250" t="n"/>
      <c r="N897" s="250" t="n"/>
      <c r="O897" s="250" t="n"/>
      <c r="P897" s="250" t="n"/>
      <c r="Q897" s="250" t="n"/>
      <c r="R897" s="250" t="n"/>
      <c r="S897" s="250" t="n"/>
      <c r="T897" s="250" t="n"/>
      <c r="U897" s="250" t="n"/>
      <c r="V897" s="250" t="n"/>
      <c r="W897" s="250" t="n"/>
      <c r="X897" s="250" t="n"/>
      <c r="Y897" s="250" t="n"/>
      <c r="Z897" s="250" t="n"/>
    </row>
    <row r="898">
      <c r="A898" s="250" t="n"/>
      <c r="B898" s="250" t="n"/>
      <c r="C898" s="250" t="n"/>
      <c r="D898" s="250" t="n"/>
      <c r="E898" s="250" t="n"/>
      <c r="F898" s="250" t="n"/>
      <c r="G898" s="250" t="n"/>
      <c r="H898" s="250" t="n"/>
      <c r="I898" s="250" t="n"/>
      <c r="J898" s="250" t="n"/>
      <c r="K898" s="250" t="n"/>
      <c r="L898" s="250" t="n"/>
      <c r="M898" s="250" t="n"/>
      <c r="N898" s="250" t="n"/>
      <c r="O898" s="250" t="n"/>
      <c r="P898" s="250" t="n"/>
      <c r="Q898" s="250" t="n"/>
      <c r="R898" s="250" t="n"/>
      <c r="S898" s="250" t="n"/>
      <c r="T898" s="250" t="n"/>
      <c r="U898" s="250" t="n"/>
      <c r="V898" s="250" t="n"/>
      <c r="W898" s="250" t="n"/>
      <c r="X898" s="250" t="n"/>
      <c r="Y898" s="250" t="n"/>
      <c r="Z898" s="250" t="n"/>
    </row>
    <row r="899">
      <c r="A899" s="250" t="n"/>
      <c r="B899" s="250" t="n"/>
      <c r="C899" s="250" t="n"/>
      <c r="D899" s="250" t="n"/>
      <c r="E899" s="250" t="n"/>
      <c r="F899" s="250" t="n"/>
      <c r="G899" s="250" t="n"/>
      <c r="H899" s="250" t="n"/>
      <c r="I899" s="250" t="n"/>
      <c r="J899" s="250" t="n"/>
      <c r="K899" s="250" t="n"/>
      <c r="L899" s="250" t="n"/>
      <c r="M899" s="250" t="n"/>
      <c r="N899" s="250" t="n"/>
      <c r="O899" s="250" t="n"/>
      <c r="P899" s="250" t="n"/>
      <c r="Q899" s="250" t="n"/>
      <c r="R899" s="250" t="n"/>
      <c r="S899" s="250" t="n"/>
      <c r="T899" s="250" t="n"/>
      <c r="U899" s="250" t="n"/>
      <c r="V899" s="250" t="n"/>
      <c r="W899" s="250" t="n"/>
      <c r="X899" s="250" t="n"/>
      <c r="Y899" s="250" t="n"/>
      <c r="Z899" s="250" t="n"/>
    </row>
    <row r="900">
      <c r="A900" s="250" t="n"/>
      <c r="B900" s="250" t="n"/>
      <c r="C900" s="250" t="n"/>
      <c r="D900" s="250" t="n"/>
      <c r="E900" s="250" t="n"/>
      <c r="F900" s="250" t="n"/>
      <c r="G900" s="250" t="n"/>
      <c r="H900" s="250" t="n"/>
      <c r="I900" s="250" t="n"/>
      <c r="J900" s="250" t="n"/>
      <c r="K900" s="250" t="n"/>
      <c r="L900" s="250" t="n"/>
      <c r="M900" s="250" t="n"/>
      <c r="N900" s="250" t="n"/>
      <c r="O900" s="250" t="n"/>
      <c r="P900" s="250" t="n"/>
      <c r="Q900" s="250" t="n"/>
      <c r="R900" s="250" t="n"/>
      <c r="S900" s="250" t="n"/>
      <c r="T900" s="250" t="n"/>
      <c r="U900" s="250" t="n"/>
      <c r="V900" s="250" t="n"/>
      <c r="W900" s="250" t="n"/>
      <c r="X900" s="250" t="n"/>
      <c r="Y900" s="250" t="n"/>
      <c r="Z900" s="250" t="n"/>
    </row>
    <row r="901">
      <c r="A901" s="250" t="n"/>
      <c r="B901" s="250" t="n"/>
      <c r="C901" s="250" t="n"/>
      <c r="D901" s="250" t="n"/>
      <c r="E901" s="250" t="n"/>
      <c r="F901" s="250" t="n"/>
      <c r="G901" s="250" t="n"/>
      <c r="H901" s="250" t="n"/>
      <c r="I901" s="250" t="n"/>
      <c r="J901" s="250" t="n"/>
      <c r="K901" s="250" t="n"/>
      <c r="L901" s="250" t="n"/>
      <c r="M901" s="250" t="n"/>
      <c r="N901" s="250" t="n"/>
      <c r="O901" s="250" t="n"/>
      <c r="P901" s="250" t="n"/>
      <c r="Q901" s="250" t="n"/>
      <c r="R901" s="250" t="n"/>
      <c r="S901" s="250" t="n"/>
      <c r="T901" s="250" t="n"/>
      <c r="U901" s="250" t="n"/>
      <c r="V901" s="250" t="n"/>
      <c r="W901" s="250" t="n"/>
      <c r="X901" s="250" t="n"/>
      <c r="Y901" s="250" t="n"/>
      <c r="Z901" s="250" t="n"/>
    </row>
    <row r="902">
      <c r="A902" s="250" t="n"/>
      <c r="B902" s="250" t="n"/>
      <c r="C902" s="250" t="n"/>
      <c r="D902" s="250" t="n"/>
      <c r="E902" s="250" t="n"/>
      <c r="F902" s="250" t="n"/>
      <c r="G902" s="250" t="n"/>
      <c r="H902" s="250" t="n"/>
      <c r="I902" s="250" t="n"/>
      <c r="J902" s="250" t="n"/>
      <c r="K902" s="250" t="n"/>
      <c r="L902" s="250" t="n"/>
      <c r="M902" s="250" t="n"/>
      <c r="N902" s="250" t="n"/>
      <c r="O902" s="250" t="n"/>
      <c r="P902" s="250" t="n"/>
      <c r="Q902" s="250" t="n"/>
      <c r="R902" s="250" t="n"/>
      <c r="S902" s="250" t="n"/>
      <c r="T902" s="250" t="n"/>
      <c r="U902" s="250" t="n"/>
      <c r="V902" s="250" t="n"/>
      <c r="W902" s="250" t="n"/>
      <c r="X902" s="250" t="n"/>
      <c r="Y902" s="250" t="n"/>
      <c r="Z902" s="250" t="n"/>
    </row>
    <row r="903">
      <c r="A903" s="250" t="n"/>
      <c r="B903" s="250" t="n"/>
      <c r="C903" s="250" t="n"/>
      <c r="D903" s="250" t="n"/>
      <c r="E903" s="250" t="n"/>
      <c r="F903" s="250" t="n"/>
      <c r="G903" s="250" t="n"/>
      <c r="H903" s="250" t="n"/>
      <c r="I903" s="250" t="n"/>
      <c r="J903" s="250" t="n"/>
      <c r="K903" s="250" t="n"/>
      <c r="L903" s="250" t="n"/>
      <c r="M903" s="250" t="n"/>
      <c r="N903" s="250" t="n"/>
      <c r="O903" s="250" t="n"/>
      <c r="P903" s="250" t="n"/>
      <c r="Q903" s="250" t="n"/>
      <c r="R903" s="250" t="n"/>
      <c r="S903" s="250" t="n"/>
      <c r="T903" s="250" t="n"/>
      <c r="U903" s="250" t="n"/>
      <c r="V903" s="250" t="n"/>
      <c r="W903" s="250" t="n"/>
      <c r="X903" s="250" t="n"/>
      <c r="Y903" s="250" t="n"/>
      <c r="Z903" s="250" t="n"/>
    </row>
    <row r="904">
      <c r="A904" s="250" t="n"/>
      <c r="B904" s="250" t="n"/>
      <c r="C904" s="250" t="n"/>
      <c r="D904" s="250" t="n"/>
      <c r="E904" s="250" t="n"/>
      <c r="F904" s="250" t="n"/>
      <c r="G904" s="250" t="n"/>
      <c r="H904" s="250" t="n"/>
      <c r="I904" s="250" t="n"/>
      <c r="J904" s="250" t="n"/>
      <c r="K904" s="250" t="n"/>
      <c r="L904" s="250" t="n"/>
      <c r="M904" s="250" t="n"/>
      <c r="N904" s="250" t="n"/>
      <c r="O904" s="250" t="n"/>
      <c r="P904" s="250" t="n"/>
      <c r="Q904" s="250" t="n"/>
      <c r="R904" s="250" t="n"/>
      <c r="S904" s="250" t="n"/>
      <c r="T904" s="250" t="n"/>
      <c r="U904" s="250" t="n"/>
      <c r="V904" s="250" t="n"/>
      <c r="W904" s="250" t="n"/>
      <c r="X904" s="250" t="n"/>
      <c r="Y904" s="250" t="n"/>
      <c r="Z904" s="250" t="n"/>
    </row>
    <row r="905">
      <c r="A905" s="250" t="n"/>
      <c r="B905" s="250" t="n"/>
      <c r="C905" s="250" t="n"/>
      <c r="D905" s="250" t="n"/>
      <c r="E905" s="250" t="n"/>
      <c r="F905" s="250" t="n"/>
      <c r="G905" s="250" t="n"/>
      <c r="H905" s="250" t="n"/>
      <c r="I905" s="250" t="n"/>
      <c r="J905" s="250" t="n"/>
      <c r="K905" s="250" t="n"/>
      <c r="L905" s="250" t="n"/>
      <c r="M905" s="250" t="n"/>
      <c r="N905" s="250" t="n"/>
      <c r="O905" s="250" t="n"/>
      <c r="P905" s="250" t="n"/>
      <c r="Q905" s="250" t="n"/>
      <c r="R905" s="250" t="n"/>
      <c r="S905" s="250" t="n"/>
      <c r="T905" s="250" t="n"/>
      <c r="U905" s="250" t="n"/>
      <c r="V905" s="250" t="n"/>
      <c r="W905" s="250" t="n"/>
      <c r="X905" s="250" t="n"/>
      <c r="Y905" s="250" t="n"/>
      <c r="Z905" s="250" t="n"/>
    </row>
    <row r="906">
      <c r="A906" s="250" t="n"/>
      <c r="B906" s="250" t="n"/>
      <c r="C906" s="250" t="n"/>
      <c r="D906" s="250" t="n"/>
      <c r="E906" s="250" t="n"/>
      <c r="F906" s="250" t="n"/>
      <c r="G906" s="250" t="n"/>
      <c r="H906" s="250" t="n"/>
      <c r="I906" s="250" t="n"/>
      <c r="J906" s="250" t="n"/>
      <c r="K906" s="250" t="n"/>
      <c r="L906" s="250" t="n"/>
      <c r="M906" s="250" t="n"/>
      <c r="N906" s="250" t="n"/>
      <c r="O906" s="250" t="n"/>
      <c r="P906" s="250" t="n"/>
      <c r="Q906" s="250" t="n"/>
      <c r="R906" s="250" t="n"/>
      <c r="S906" s="250" t="n"/>
      <c r="T906" s="250" t="n"/>
      <c r="U906" s="250" t="n"/>
      <c r="V906" s="250" t="n"/>
      <c r="W906" s="250" t="n"/>
      <c r="X906" s="250" t="n"/>
      <c r="Y906" s="250" t="n"/>
      <c r="Z906" s="250" t="n"/>
    </row>
    <row r="907">
      <c r="A907" s="250" t="n"/>
      <c r="B907" s="250" t="n"/>
      <c r="C907" s="250" t="n"/>
      <c r="D907" s="250" t="n"/>
      <c r="E907" s="250" t="n"/>
      <c r="F907" s="250" t="n"/>
      <c r="G907" s="250" t="n"/>
      <c r="H907" s="250" t="n"/>
      <c r="I907" s="250" t="n"/>
      <c r="J907" s="250" t="n"/>
      <c r="K907" s="250" t="n"/>
      <c r="L907" s="250" t="n"/>
      <c r="M907" s="250" t="n"/>
      <c r="N907" s="250" t="n"/>
      <c r="O907" s="250" t="n"/>
      <c r="P907" s="250" t="n"/>
      <c r="Q907" s="250" t="n"/>
      <c r="R907" s="250" t="n"/>
      <c r="S907" s="250" t="n"/>
      <c r="T907" s="250" t="n"/>
      <c r="U907" s="250" t="n"/>
      <c r="V907" s="250" t="n"/>
      <c r="W907" s="250" t="n"/>
      <c r="X907" s="250" t="n"/>
      <c r="Y907" s="250" t="n"/>
      <c r="Z907" s="250" t="n"/>
    </row>
    <row r="908">
      <c r="A908" s="250" t="n"/>
      <c r="B908" s="250" t="n"/>
      <c r="C908" s="250" t="n"/>
      <c r="D908" s="250" t="n"/>
      <c r="E908" s="250" t="n"/>
      <c r="F908" s="250" t="n"/>
      <c r="G908" s="250" t="n"/>
      <c r="H908" s="250" t="n"/>
      <c r="I908" s="250" t="n"/>
      <c r="J908" s="250" t="n"/>
      <c r="K908" s="250" t="n"/>
      <c r="L908" s="250" t="n"/>
      <c r="M908" s="250" t="n"/>
      <c r="N908" s="250" t="n"/>
      <c r="O908" s="250" t="n"/>
      <c r="P908" s="250" t="n"/>
      <c r="Q908" s="250" t="n"/>
      <c r="R908" s="250" t="n"/>
      <c r="S908" s="250" t="n"/>
      <c r="T908" s="250" t="n"/>
      <c r="U908" s="250" t="n"/>
      <c r="V908" s="250" t="n"/>
      <c r="W908" s="250" t="n"/>
      <c r="X908" s="250" t="n"/>
      <c r="Y908" s="250" t="n"/>
      <c r="Z908" s="250" t="n"/>
    </row>
    <row r="909">
      <c r="A909" s="250" t="n"/>
      <c r="B909" s="250" t="n"/>
      <c r="C909" s="250" t="n"/>
      <c r="D909" s="250" t="n"/>
      <c r="E909" s="250" t="n"/>
      <c r="F909" s="250" t="n"/>
      <c r="G909" s="250" t="n"/>
      <c r="H909" s="250" t="n"/>
      <c r="I909" s="250" t="n"/>
      <c r="J909" s="250" t="n"/>
      <c r="K909" s="250" t="n"/>
      <c r="L909" s="250" t="n"/>
      <c r="M909" s="250" t="n"/>
      <c r="N909" s="250" t="n"/>
      <c r="O909" s="250" t="n"/>
      <c r="P909" s="250" t="n"/>
      <c r="Q909" s="250" t="n"/>
      <c r="R909" s="250" t="n"/>
      <c r="S909" s="250" t="n"/>
      <c r="T909" s="250" t="n"/>
      <c r="U909" s="250" t="n"/>
      <c r="V909" s="250" t="n"/>
      <c r="W909" s="250" t="n"/>
      <c r="X909" s="250" t="n"/>
      <c r="Y909" s="250" t="n"/>
      <c r="Z909" s="250" t="n"/>
    </row>
    <row r="910">
      <c r="A910" s="250" t="n"/>
      <c r="B910" s="250" t="n"/>
      <c r="C910" s="250" t="n"/>
      <c r="D910" s="250" t="n"/>
      <c r="E910" s="250" t="n"/>
      <c r="F910" s="250" t="n"/>
      <c r="G910" s="250" t="n"/>
      <c r="H910" s="250" t="n"/>
      <c r="I910" s="250" t="n"/>
      <c r="J910" s="250" t="n"/>
      <c r="K910" s="250" t="n"/>
      <c r="L910" s="250" t="n"/>
      <c r="M910" s="250" t="n"/>
      <c r="N910" s="250" t="n"/>
      <c r="O910" s="250" t="n"/>
      <c r="P910" s="250" t="n"/>
      <c r="Q910" s="250" t="n"/>
      <c r="R910" s="250" t="n"/>
      <c r="S910" s="250" t="n"/>
      <c r="T910" s="250" t="n"/>
      <c r="U910" s="250" t="n"/>
      <c r="V910" s="250" t="n"/>
      <c r="W910" s="250" t="n"/>
      <c r="X910" s="250" t="n"/>
      <c r="Y910" s="250" t="n"/>
      <c r="Z910" s="250" t="n"/>
    </row>
    <row r="911">
      <c r="A911" s="250" t="n"/>
      <c r="B911" s="250" t="n"/>
      <c r="C911" s="250" t="n"/>
      <c r="D911" s="250" t="n"/>
      <c r="E911" s="250" t="n"/>
      <c r="F911" s="250" t="n"/>
      <c r="G911" s="250" t="n"/>
      <c r="H911" s="250" t="n"/>
      <c r="I911" s="250" t="n"/>
      <c r="J911" s="250" t="n"/>
      <c r="K911" s="250" t="n"/>
      <c r="L911" s="250" t="n"/>
      <c r="M911" s="250" t="n"/>
      <c r="N911" s="250" t="n"/>
      <c r="O911" s="250" t="n"/>
      <c r="P911" s="250" t="n"/>
      <c r="Q911" s="250" t="n"/>
      <c r="R911" s="250" t="n"/>
      <c r="S911" s="250" t="n"/>
      <c r="T911" s="250" t="n"/>
      <c r="U911" s="250" t="n"/>
      <c r="V911" s="250" t="n"/>
      <c r="W911" s="250" t="n"/>
      <c r="X911" s="250" t="n"/>
      <c r="Y911" s="250" t="n"/>
      <c r="Z911" s="250" t="n"/>
    </row>
    <row r="912">
      <c r="A912" s="250" t="n"/>
      <c r="B912" s="250" t="n"/>
      <c r="C912" s="250" t="n"/>
      <c r="D912" s="250" t="n"/>
      <c r="E912" s="250" t="n"/>
      <c r="F912" s="250" t="n"/>
      <c r="G912" s="250" t="n"/>
      <c r="H912" s="250" t="n"/>
      <c r="I912" s="250" t="n"/>
      <c r="J912" s="250" t="n"/>
      <c r="K912" s="250" t="n"/>
      <c r="L912" s="250" t="n"/>
      <c r="M912" s="250" t="n"/>
      <c r="N912" s="250" t="n"/>
      <c r="O912" s="250" t="n"/>
      <c r="P912" s="250" t="n"/>
      <c r="Q912" s="250" t="n"/>
      <c r="R912" s="250" t="n"/>
      <c r="S912" s="250" t="n"/>
      <c r="T912" s="250" t="n"/>
      <c r="U912" s="250" t="n"/>
      <c r="V912" s="250" t="n"/>
      <c r="W912" s="250" t="n"/>
      <c r="X912" s="250" t="n"/>
      <c r="Y912" s="250" t="n"/>
      <c r="Z912" s="250" t="n"/>
    </row>
    <row r="913">
      <c r="A913" s="250" t="n"/>
      <c r="B913" s="250" t="n"/>
      <c r="C913" s="250" t="n"/>
      <c r="D913" s="250" t="n"/>
      <c r="E913" s="250" t="n"/>
      <c r="F913" s="250" t="n"/>
      <c r="G913" s="250" t="n"/>
      <c r="H913" s="250" t="n"/>
      <c r="I913" s="250" t="n"/>
      <c r="J913" s="250" t="n"/>
      <c r="K913" s="250" t="n"/>
      <c r="L913" s="250" t="n"/>
      <c r="M913" s="250" t="n"/>
      <c r="N913" s="250" t="n"/>
      <c r="O913" s="250" t="n"/>
      <c r="P913" s="250" t="n"/>
      <c r="Q913" s="250" t="n"/>
      <c r="R913" s="250" t="n"/>
      <c r="S913" s="250" t="n"/>
      <c r="T913" s="250" t="n"/>
      <c r="U913" s="250" t="n"/>
      <c r="V913" s="250" t="n"/>
      <c r="W913" s="250" t="n"/>
      <c r="X913" s="250" t="n"/>
      <c r="Y913" s="250" t="n"/>
      <c r="Z913" s="250" t="n"/>
    </row>
    <row r="914">
      <c r="A914" s="250" t="n"/>
      <c r="B914" s="250" t="n"/>
      <c r="C914" s="250" t="n"/>
      <c r="D914" s="250" t="n"/>
      <c r="E914" s="250" t="n"/>
      <c r="F914" s="250" t="n"/>
      <c r="G914" s="250" t="n"/>
      <c r="H914" s="250" t="n"/>
      <c r="I914" s="250" t="n"/>
      <c r="J914" s="250" t="n"/>
      <c r="K914" s="250" t="n"/>
      <c r="L914" s="250" t="n"/>
      <c r="M914" s="250" t="n"/>
      <c r="N914" s="250" t="n"/>
      <c r="O914" s="250" t="n"/>
      <c r="P914" s="250" t="n"/>
      <c r="Q914" s="250" t="n"/>
      <c r="R914" s="250" t="n"/>
      <c r="S914" s="250" t="n"/>
      <c r="T914" s="250" t="n"/>
      <c r="U914" s="250" t="n"/>
      <c r="V914" s="250" t="n"/>
      <c r="W914" s="250" t="n"/>
      <c r="X914" s="250" t="n"/>
      <c r="Y914" s="250" t="n"/>
      <c r="Z914" s="250" t="n"/>
    </row>
    <row r="915">
      <c r="A915" s="250" t="n"/>
      <c r="B915" s="250" t="n"/>
      <c r="C915" s="250" t="n"/>
      <c r="D915" s="250" t="n"/>
      <c r="E915" s="250" t="n"/>
      <c r="F915" s="250" t="n"/>
      <c r="G915" s="250" t="n"/>
      <c r="H915" s="250" t="n"/>
      <c r="I915" s="250" t="n"/>
      <c r="J915" s="250" t="n"/>
      <c r="K915" s="250" t="n"/>
      <c r="L915" s="250" t="n"/>
      <c r="M915" s="250" t="n"/>
      <c r="N915" s="250" t="n"/>
      <c r="O915" s="250" t="n"/>
      <c r="P915" s="250" t="n"/>
      <c r="Q915" s="250" t="n"/>
      <c r="R915" s="250" t="n"/>
      <c r="S915" s="250" t="n"/>
      <c r="T915" s="250" t="n"/>
      <c r="U915" s="250" t="n"/>
      <c r="V915" s="250" t="n"/>
      <c r="W915" s="250" t="n"/>
      <c r="X915" s="250" t="n"/>
      <c r="Y915" s="250" t="n"/>
      <c r="Z915" s="250" t="n"/>
    </row>
    <row r="916">
      <c r="A916" s="250" t="n"/>
      <c r="B916" s="250" t="n"/>
      <c r="C916" s="250" t="n"/>
      <c r="D916" s="250" t="n"/>
      <c r="E916" s="250" t="n"/>
      <c r="F916" s="250" t="n"/>
      <c r="G916" s="250" t="n"/>
      <c r="H916" s="250" t="n"/>
      <c r="I916" s="250" t="n"/>
      <c r="J916" s="250" t="n"/>
      <c r="K916" s="250" t="n"/>
      <c r="L916" s="250" t="n"/>
      <c r="M916" s="250" t="n"/>
      <c r="N916" s="250" t="n"/>
      <c r="O916" s="250" t="n"/>
      <c r="P916" s="250" t="n"/>
      <c r="Q916" s="250" t="n"/>
      <c r="R916" s="250" t="n"/>
      <c r="S916" s="250" t="n"/>
      <c r="T916" s="250" t="n"/>
      <c r="U916" s="250" t="n"/>
      <c r="V916" s="250" t="n"/>
      <c r="W916" s="250" t="n"/>
      <c r="X916" s="250" t="n"/>
      <c r="Y916" s="250" t="n"/>
      <c r="Z916" s="250" t="n"/>
    </row>
    <row r="917">
      <c r="A917" s="250" t="n"/>
      <c r="B917" s="250" t="n"/>
      <c r="C917" s="250" t="n"/>
      <c r="D917" s="250" t="n"/>
      <c r="E917" s="250" t="n"/>
      <c r="F917" s="250" t="n"/>
      <c r="G917" s="250" t="n"/>
      <c r="H917" s="250" t="n"/>
      <c r="I917" s="250" t="n"/>
      <c r="J917" s="250" t="n"/>
      <c r="K917" s="250" t="n"/>
      <c r="L917" s="250" t="n"/>
      <c r="M917" s="250" t="n"/>
      <c r="N917" s="250" t="n"/>
      <c r="O917" s="250" t="n"/>
      <c r="P917" s="250" t="n"/>
      <c r="Q917" s="250" t="n"/>
      <c r="R917" s="250" t="n"/>
      <c r="S917" s="250" t="n"/>
      <c r="T917" s="250" t="n"/>
      <c r="U917" s="250" t="n"/>
      <c r="V917" s="250" t="n"/>
      <c r="W917" s="250" t="n"/>
      <c r="X917" s="250" t="n"/>
      <c r="Y917" s="250" t="n"/>
      <c r="Z917" s="250" t="n"/>
    </row>
    <row r="918">
      <c r="A918" s="250" t="n"/>
      <c r="B918" s="250" t="n"/>
      <c r="C918" s="250" t="n"/>
      <c r="D918" s="250" t="n"/>
      <c r="E918" s="250" t="n"/>
      <c r="F918" s="250" t="n"/>
      <c r="G918" s="250" t="n"/>
      <c r="H918" s="250" t="n"/>
      <c r="I918" s="250" t="n"/>
      <c r="J918" s="250" t="n"/>
      <c r="K918" s="250" t="n"/>
      <c r="L918" s="250" t="n"/>
      <c r="M918" s="250" t="n"/>
      <c r="N918" s="250" t="n"/>
      <c r="O918" s="250" t="n"/>
      <c r="P918" s="250" t="n"/>
      <c r="Q918" s="250" t="n"/>
      <c r="R918" s="250" t="n"/>
      <c r="S918" s="250" t="n"/>
      <c r="T918" s="250" t="n"/>
      <c r="U918" s="250" t="n"/>
      <c r="V918" s="250" t="n"/>
      <c r="W918" s="250" t="n"/>
      <c r="X918" s="250" t="n"/>
      <c r="Y918" s="250" t="n"/>
      <c r="Z918" s="250" t="n"/>
    </row>
    <row r="919">
      <c r="A919" s="250" t="n"/>
      <c r="B919" s="250" t="n"/>
      <c r="C919" s="250" t="n"/>
      <c r="D919" s="250" t="n"/>
      <c r="E919" s="250" t="n"/>
      <c r="F919" s="250" t="n"/>
      <c r="G919" s="250" t="n"/>
      <c r="H919" s="250" t="n"/>
      <c r="I919" s="250" t="n"/>
      <c r="J919" s="250" t="n"/>
      <c r="K919" s="250" t="n"/>
      <c r="L919" s="250" t="n"/>
      <c r="M919" s="250" t="n"/>
      <c r="N919" s="250" t="n"/>
      <c r="O919" s="250" t="n"/>
      <c r="P919" s="250" t="n"/>
      <c r="Q919" s="250" t="n"/>
      <c r="R919" s="250" t="n"/>
      <c r="S919" s="250" t="n"/>
      <c r="T919" s="250" t="n"/>
      <c r="U919" s="250" t="n"/>
      <c r="V919" s="250" t="n"/>
      <c r="W919" s="250" t="n"/>
      <c r="X919" s="250" t="n"/>
      <c r="Y919" s="250" t="n"/>
      <c r="Z919" s="250" t="n"/>
    </row>
    <row r="920">
      <c r="A920" s="250" t="n"/>
      <c r="B920" s="250" t="n"/>
      <c r="C920" s="250" t="n"/>
      <c r="D920" s="250" t="n"/>
      <c r="E920" s="250" t="n"/>
      <c r="F920" s="250" t="n"/>
      <c r="G920" s="250" t="n"/>
      <c r="H920" s="250" t="n"/>
      <c r="I920" s="250" t="n"/>
      <c r="J920" s="250" t="n"/>
      <c r="K920" s="250" t="n"/>
      <c r="L920" s="250" t="n"/>
      <c r="M920" s="250" t="n"/>
      <c r="N920" s="250" t="n"/>
      <c r="O920" s="250" t="n"/>
      <c r="P920" s="250" t="n"/>
      <c r="Q920" s="250" t="n"/>
      <c r="R920" s="250" t="n"/>
      <c r="S920" s="250" t="n"/>
      <c r="T920" s="250" t="n"/>
      <c r="U920" s="250" t="n"/>
      <c r="V920" s="250" t="n"/>
      <c r="W920" s="250" t="n"/>
      <c r="X920" s="250" t="n"/>
      <c r="Y920" s="250" t="n"/>
      <c r="Z920" s="250" t="n"/>
    </row>
    <row r="921">
      <c r="A921" s="250" t="n"/>
      <c r="B921" s="250" t="n"/>
      <c r="C921" s="250" t="n"/>
      <c r="D921" s="250" t="n"/>
      <c r="E921" s="250" t="n"/>
      <c r="F921" s="250" t="n"/>
      <c r="G921" s="250" t="n"/>
      <c r="H921" s="250" t="n"/>
      <c r="I921" s="250" t="n"/>
      <c r="J921" s="250" t="n"/>
      <c r="K921" s="250" t="n"/>
      <c r="L921" s="250" t="n"/>
      <c r="M921" s="250" t="n"/>
      <c r="N921" s="250" t="n"/>
      <c r="O921" s="250" t="n"/>
      <c r="P921" s="250" t="n"/>
      <c r="Q921" s="250" t="n"/>
      <c r="R921" s="250" t="n"/>
      <c r="S921" s="250" t="n"/>
      <c r="T921" s="250" t="n"/>
      <c r="U921" s="250" t="n"/>
      <c r="V921" s="250" t="n"/>
      <c r="W921" s="250" t="n"/>
      <c r="X921" s="250" t="n"/>
      <c r="Y921" s="250" t="n"/>
      <c r="Z921" s="250" t="n"/>
    </row>
    <row r="922">
      <c r="A922" s="250" t="n"/>
      <c r="B922" s="250" t="n"/>
      <c r="C922" s="250" t="n"/>
      <c r="D922" s="250" t="n"/>
      <c r="E922" s="250" t="n"/>
      <c r="F922" s="250" t="n"/>
      <c r="G922" s="250" t="n"/>
      <c r="H922" s="250" t="n"/>
      <c r="I922" s="250" t="n"/>
      <c r="J922" s="250" t="n"/>
      <c r="K922" s="250" t="n"/>
      <c r="L922" s="250" t="n"/>
      <c r="M922" s="250" t="n"/>
      <c r="N922" s="250" t="n"/>
      <c r="O922" s="250" t="n"/>
      <c r="P922" s="250" t="n"/>
      <c r="Q922" s="250" t="n"/>
      <c r="R922" s="250" t="n"/>
      <c r="S922" s="250" t="n"/>
      <c r="T922" s="250" t="n"/>
      <c r="U922" s="250" t="n"/>
      <c r="V922" s="250" t="n"/>
      <c r="W922" s="250" t="n"/>
      <c r="X922" s="250" t="n"/>
      <c r="Y922" s="250" t="n"/>
      <c r="Z922" s="250" t="n"/>
    </row>
    <row r="923">
      <c r="A923" s="250" t="n"/>
      <c r="B923" s="250" t="n"/>
      <c r="C923" s="250" t="n"/>
      <c r="D923" s="250" t="n"/>
      <c r="E923" s="250" t="n"/>
      <c r="F923" s="250" t="n"/>
      <c r="G923" s="250" t="n"/>
      <c r="H923" s="250" t="n"/>
      <c r="I923" s="250" t="n"/>
      <c r="J923" s="250" t="n"/>
      <c r="K923" s="250" t="n"/>
      <c r="L923" s="250" t="n"/>
      <c r="M923" s="250" t="n"/>
      <c r="N923" s="250" t="n"/>
      <c r="O923" s="250" t="n"/>
      <c r="P923" s="250" t="n"/>
      <c r="Q923" s="250" t="n"/>
      <c r="R923" s="250" t="n"/>
      <c r="S923" s="250" t="n"/>
      <c r="T923" s="250" t="n"/>
      <c r="U923" s="250" t="n"/>
      <c r="V923" s="250" t="n"/>
      <c r="W923" s="250" t="n"/>
      <c r="X923" s="250" t="n"/>
      <c r="Y923" s="250" t="n"/>
      <c r="Z923" s="250" t="n"/>
    </row>
    <row r="924">
      <c r="A924" s="250" t="n"/>
      <c r="B924" s="250" t="n"/>
      <c r="C924" s="250" t="n"/>
      <c r="D924" s="250" t="n"/>
      <c r="E924" s="250" t="n"/>
      <c r="F924" s="250" t="n"/>
      <c r="G924" s="250" t="n"/>
      <c r="H924" s="250" t="n"/>
      <c r="I924" s="250" t="n"/>
      <c r="J924" s="250" t="n"/>
      <c r="K924" s="250" t="n"/>
      <c r="L924" s="250" t="n"/>
      <c r="M924" s="250" t="n"/>
      <c r="N924" s="250" t="n"/>
      <c r="O924" s="250" t="n"/>
      <c r="P924" s="250" t="n"/>
      <c r="Q924" s="250" t="n"/>
      <c r="R924" s="250" t="n"/>
      <c r="S924" s="250" t="n"/>
      <c r="T924" s="250" t="n"/>
      <c r="U924" s="250" t="n"/>
      <c r="V924" s="250" t="n"/>
      <c r="W924" s="250" t="n"/>
      <c r="X924" s="250" t="n"/>
      <c r="Y924" s="250" t="n"/>
      <c r="Z924" s="250" t="n"/>
    </row>
    <row r="925">
      <c r="A925" s="250" t="n"/>
      <c r="B925" s="250" t="n"/>
      <c r="C925" s="250" t="n"/>
      <c r="D925" s="250" t="n"/>
      <c r="E925" s="250" t="n"/>
      <c r="F925" s="250" t="n"/>
      <c r="G925" s="250" t="n"/>
      <c r="H925" s="250" t="n"/>
      <c r="I925" s="250" t="n"/>
      <c r="J925" s="250" t="n"/>
      <c r="K925" s="250" t="n"/>
      <c r="L925" s="250" t="n"/>
      <c r="M925" s="250" t="n"/>
      <c r="N925" s="250" t="n"/>
      <c r="O925" s="250" t="n"/>
      <c r="P925" s="250" t="n"/>
      <c r="Q925" s="250" t="n"/>
      <c r="R925" s="250" t="n"/>
      <c r="S925" s="250" t="n"/>
      <c r="T925" s="250" t="n"/>
      <c r="U925" s="250" t="n"/>
      <c r="V925" s="250" t="n"/>
      <c r="W925" s="250" t="n"/>
      <c r="X925" s="250" t="n"/>
      <c r="Y925" s="250" t="n"/>
      <c r="Z925" s="250" t="n"/>
    </row>
    <row r="926">
      <c r="A926" s="250" t="n"/>
      <c r="B926" s="250" t="n"/>
      <c r="C926" s="250" t="n"/>
      <c r="D926" s="250" t="n"/>
      <c r="E926" s="250" t="n"/>
      <c r="F926" s="250" t="n"/>
      <c r="G926" s="250" t="n"/>
      <c r="H926" s="250" t="n"/>
      <c r="I926" s="250" t="n"/>
      <c r="J926" s="250" t="n"/>
      <c r="K926" s="250" t="n"/>
      <c r="L926" s="250" t="n"/>
      <c r="M926" s="250" t="n"/>
      <c r="N926" s="250" t="n"/>
      <c r="O926" s="250" t="n"/>
      <c r="P926" s="250" t="n"/>
      <c r="Q926" s="250" t="n"/>
      <c r="R926" s="250" t="n"/>
      <c r="S926" s="250" t="n"/>
      <c r="T926" s="250" t="n"/>
      <c r="U926" s="250" t="n"/>
      <c r="V926" s="250" t="n"/>
      <c r="W926" s="250" t="n"/>
      <c r="X926" s="250" t="n"/>
      <c r="Y926" s="250" t="n"/>
      <c r="Z926" s="250" t="n"/>
    </row>
    <row r="927">
      <c r="A927" s="250" t="n"/>
      <c r="B927" s="250" t="n"/>
      <c r="C927" s="250" t="n"/>
      <c r="D927" s="250" t="n"/>
      <c r="E927" s="250" t="n"/>
      <c r="F927" s="250" t="n"/>
      <c r="G927" s="250" t="n"/>
      <c r="H927" s="250" t="n"/>
      <c r="I927" s="250" t="n"/>
      <c r="J927" s="250" t="n"/>
      <c r="K927" s="250" t="n"/>
      <c r="L927" s="250" t="n"/>
      <c r="M927" s="250" t="n"/>
      <c r="N927" s="250" t="n"/>
      <c r="O927" s="250" t="n"/>
      <c r="P927" s="250" t="n"/>
      <c r="Q927" s="250" t="n"/>
      <c r="R927" s="250" t="n"/>
      <c r="S927" s="250" t="n"/>
      <c r="T927" s="250" t="n"/>
      <c r="U927" s="250" t="n"/>
      <c r="V927" s="250" t="n"/>
      <c r="W927" s="250" t="n"/>
      <c r="X927" s="250" t="n"/>
      <c r="Y927" s="250" t="n"/>
      <c r="Z927" s="250" t="n"/>
    </row>
    <row r="928">
      <c r="A928" s="250" t="n"/>
      <c r="B928" s="250" t="n"/>
      <c r="C928" s="250" t="n"/>
      <c r="D928" s="250" t="n"/>
      <c r="E928" s="250" t="n"/>
      <c r="F928" s="250" t="n"/>
      <c r="G928" s="250" t="n"/>
      <c r="H928" s="250" t="n"/>
      <c r="I928" s="250" t="n"/>
      <c r="J928" s="250" t="n"/>
      <c r="K928" s="250" t="n"/>
      <c r="L928" s="250" t="n"/>
      <c r="M928" s="250" t="n"/>
      <c r="N928" s="250" t="n"/>
      <c r="O928" s="250" t="n"/>
      <c r="P928" s="250" t="n"/>
      <c r="Q928" s="250" t="n"/>
      <c r="R928" s="250" t="n"/>
      <c r="S928" s="250" t="n"/>
      <c r="T928" s="250" t="n"/>
      <c r="U928" s="250" t="n"/>
      <c r="V928" s="250" t="n"/>
      <c r="W928" s="250" t="n"/>
      <c r="X928" s="250" t="n"/>
      <c r="Y928" s="250" t="n"/>
      <c r="Z928" s="250" t="n"/>
    </row>
    <row r="929">
      <c r="A929" s="250" t="n"/>
      <c r="B929" s="250" t="n"/>
      <c r="C929" s="250" t="n"/>
      <c r="D929" s="250" t="n"/>
      <c r="E929" s="250" t="n"/>
      <c r="F929" s="250" t="n"/>
      <c r="G929" s="250" t="n"/>
      <c r="H929" s="250" t="n"/>
      <c r="I929" s="250" t="n"/>
      <c r="J929" s="250" t="n"/>
      <c r="K929" s="250" t="n"/>
      <c r="L929" s="250" t="n"/>
      <c r="M929" s="250" t="n"/>
      <c r="N929" s="250" t="n"/>
      <c r="O929" s="250" t="n"/>
      <c r="P929" s="250" t="n"/>
      <c r="Q929" s="250" t="n"/>
      <c r="R929" s="250" t="n"/>
      <c r="S929" s="250" t="n"/>
      <c r="T929" s="250" t="n"/>
      <c r="U929" s="250" t="n"/>
      <c r="V929" s="250" t="n"/>
      <c r="W929" s="250" t="n"/>
      <c r="X929" s="250" t="n"/>
      <c r="Y929" s="250" t="n"/>
      <c r="Z929" s="250" t="n"/>
    </row>
    <row r="930">
      <c r="A930" s="250" t="n"/>
      <c r="B930" s="250" t="n"/>
      <c r="C930" s="250" t="n"/>
      <c r="D930" s="250" t="n"/>
      <c r="E930" s="250" t="n"/>
      <c r="F930" s="250" t="n"/>
      <c r="G930" s="250" t="n"/>
      <c r="H930" s="250" t="n"/>
      <c r="I930" s="250" t="n"/>
      <c r="J930" s="250" t="n"/>
      <c r="K930" s="250" t="n"/>
      <c r="L930" s="250" t="n"/>
      <c r="M930" s="250" t="n"/>
      <c r="N930" s="250" t="n"/>
      <c r="O930" s="250" t="n"/>
      <c r="P930" s="250" t="n"/>
      <c r="Q930" s="250" t="n"/>
      <c r="R930" s="250" t="n"/>
      <c r="S930" s="250" t="n"/>
      <c r="T930" s="250" t="n"/>
      <c r="U930" s="250" t="n"/>
      <c r="V930" s="250" t="n"/>
      <c r="W930" s="250" t="n"/>
      <c r="X930" s="250" t="n"/>
      <c r="Y930" s="250" t="n"/>
      <c r="Z930" s="250" t="n"/>
    </row>
    <row r="931">
      <c r="A931" s="250" t="n"/>
      <c r="B931" s="250" t="n"/>
      <c r="C931" s="250" t="n"/>
      <c r="D931" s="250" t="n"/>
      <c r="E931" s="250" t="n"/>
      <c r="F931" s="250" t="n"/>
      <c r="G931" s="250" t="n"/>
      <c r="H931" s="250" t="n"/>
      <c r="I931" s="250" t="n"/>
      <c r="J931" s="250" t="n"/>
      <c r="K931" s="250" t="n"/>
      <c r="L931" s="250" t="n"/>
      <c r="M931" s="250" t="n"/>
      <c r="N931" s="250" t="n"/>
      <c r="O931" s="250" t="n"/>
      <c r="P931" s="250" t="n"/>
      <c r="Q931" s="250" t="n"/>
      <c r="R931" s="250" t="n"/>
      <c r="S931" s="250" t="n"/>
      <c r="T931" s="250" t="n"/>
      <c r="U931" s="250" t="n"/>
      <c r="V931" s="250" t="n"/>
      <c r="W931" s="250" t="n"/>
      <c r="X931" s="250" t="n"/>
      <c r="Y931" s="250" t="n"/>
      <c r="Z931" s="250" t="n"/>
    </row>
    <row r="932">
      <c r="A932" s="250" t="n"/>
      <c r="B932" s="250" t="n"/>
      <c r="C932" s="250" t="n"/>
      <c r="D932" s="250" t="n"/>
      <c r="E932" s="250" t="n"/>
      <c r="F932" s="250" t="n"/>
      <c r="G932" s="250" t="n"/>
      <c r="H932" s="250" t="n"/>
      <c r="I932" s="250" t="n"/>
      <c r="J932" s="250" t="n"/>
      <c r="K932" s="250" t="n"/>
      <c r="L932" s="250" t="n"/>
      <c r="M932" s="250" t="n"/>
      <c r="N932" s="250" t="n"/>
      <c r="O932" s="250" t="n"/>
      <c r="P932" s="250" t="n"/>
      <c r="Q932" s="250" t="n"/>
      <c r="R932" s="250" t="n"/>
      <c r="S932" s="250" t="n"/>
      <c r="T932" s="250" t="n"/>
      <c r="U932" s="250" t="n"/>
      <c r="V932" s="250" t="n"/>
      <c r="W932" s="250" t="n"/>
      <c r="X932" s="250" t="n"/>
      <c r="Y932" s="250" t="n"/>
      <c r="Z932" s="250" t="n"/>
    </row>
    <row r="933">
      <c r="A933" s="250" t="n"/>
      <c r="B933" s="250" t="n"/>
      <c r="C933" s="250" t="n"/>
      <c r="D933" s="250" t="n"/>
      <c r="E933" s="250" t="n"/>
      <c r="F933" s="250" t="n"/>
      <c r="G933" s="250" t="n"/>
      <c r="H933" s="250" t="n"/>
      <c r="I933" s="250" t="n"/>
      <c r="J933" s="250" t="n"/>
      <c r="K933" s="250" t="n"/>
      <c r="L933" s="250" t="n"/>
      <c r="M933" s="250" t="n"/>
      <c r="N933" s="250" t="n"/>
      <c r="O933" s="250" t="n"/>
      <c r="P933" s="250" t="n"/>
      <c r="Q933" s="250" t="n"/>
      <c r="R933" s="250" t="n"/>
      <c r="S933" s="250" t="n"/>
      <c r="T933" s="250" t="n"/>
      <c r="U933" s="250" t="n"/>
      <c r="V933" s="250" t="n"/>
      <c r="W933" s="250" t="n"/>
      <c r="X933" s="250" t="n"/>
      <c r="Y933" s="250" t="n"/>
      <c r="Z933" s="250" t="n"/>
    </row>
    <row r="934">
      <c r="A934" s="250" t="n"/>
      <c r="B934" s="250" t="n"/>
      <c r="C934" s="250" t="n"/>
      <c r="D934" s="250" t="n"/>
      <c r="E934" s="250" t="n"/>
      <c r="F934" s="250" t="n"/>
      <c r="G934" s="250" t="n"/>
      <c r="H934" s="250" t="n"/>
      <c r="I934" s="250" t="n"/>
      <c r="J934" s="250" t="n"/>
      <c r="K934" s="250" t="n"/>
      <c r="L934" s="250" t="n"/>
      <c r="M934" s="250" t="n"/>
      <c r="N934" s="250" t="n"/>
      <c r="O934" s="250" t="n"/>
      <c r="P934" s="250" t="n"/>
      <c r="Q934" s="250" t="n"/>
      <c r="R934" s="250" t="n"/>
      <c r="S934" s="250" t="n"/>
      <c r="T934" s="250" t="n"/>
      <c r="U934" s="250" t="n"/>
      <c r="V934" s="250" t="n"/>
      <c r="W934" s="250" t="n"/>
      <c r="X934" s="250" t="n"/>
      <c r="Y934" s="250" t="n"/>
      <c r="Z934" s="250" t="n"/>
    </row>
    <row r="935">
      <c r="A935" s="250" t="n"/>
      <c r="B935" s="250" t="n"/>
      <c r="C935" s="250" t="n"/>
      <c r="D935" s="250" t="n"/>
      <c r="E935" s="250" t="n"/>
      <c r="F935" s="250" t="n"/>
      <c r="G935" s="250" t="n"/>
      <c r="H935" s="250" t="n"/>
      <c r="I935" s="250" t="n"/>
      <c r="J935" s="250" t="n"/>
      <c r="K935" s="250" t="n"/>
      <c r="L935" s="250" t="n"/>
      <c r="M935" s="250" t="n"/>
      <c r="N935" s="250" t="n"/>
      <c r="O935" s="250" t="n"/>
      <c r="P935" s="250" t="n"/>
      <c r="Q935" s="250" t="n"/>
      <c r="R935" s="250" t="n"/>
      <c r="S935" s="250" t="n"/>
      <c r="T935" s="250" t="n"/>
      <c r="U935" s="250" t="n"/>
      <c r="V935" s="250" t="n"/>
      <c r="W935" s="250" t="n"/>
      <c r="X935" s="250" t="n"/>
      <c r="Y935" s="250" t="n"/>
      <c r="Z935" s="250" t="n"/>
    </row>
    <row r="936">
      <c r="A936" s="250" t="n"/>
      <c r="B936" s="250" t="n"/>
      <c r="C936" s="250" t="n"/>
      <c r="D936" s="250" t="n"/>
      <c r="E936" s="250" t="n"/>
      <c r="F936" s="250" t="n"/>
      <c r="G936" s="250" t="n"/>
      <c r="H936" s="250" t="n"/>
      <c r="I936" s="250" t="n"/>
      <c r="J936" s="250" t="n"/>
      <c r="K936" s="250" t="n"/>
      <c r="L936" s="250" t="n"/>
      <c r="M936" s="250" t="n"/>
      <c r="N936" s="250" t="n"/>
      <c r="O936" s="250" t="n"/>
      <c r="P936" s="250" t="n"/>
      <c r="Q936" s="250" t="n"/>
      <c r="R936" s="250" t="n"/>
      <c r="S936" s="250" t="n"/>
      <c r="T936" s="250" t="n"/>
      <c r="U936" s="250" t="n"/>
      <c r="V936" s="250" t="n"/>
      <c r="W936" s="250" t="n"/>
      <c r="X936" s="250" t="n"/>
      <c r="Y936" s="250" t="n"/>
      <c r="Z936" s="250" t="n"/>
    </row>
    <row r="937">
      <c r="A937" s="250" t="n"/>
      <c r="B937" s="250" t="n"/>
      <c r="C937" s="250" t="n"/>
      <c r="D937" s="250" t="n"/>
      <c r="E937" s="250" t="n"/>
      <c r="F937" s="250" t="n"/>
      <c r="G937" s="250" t="n"/>
      <c r="H937" s="250" t="n"/>
      <c r="I937" s="250" t="n"/>
      <c r="J937" s="250" t="n"/>
      <c r="K937" s="250" t="n"/>
      <c r="L937" s="250" t="n"/>
      <c r="M937" s="250" t="n"/>
      <c r="N937" s="250" t="n"/>
      <c r="O937" s="250" t="n"/>
      <c r="P937" s="250" t="n"/>
      <c r="Q937" s="250" t="n"/>
      <c r="R937" s="250" t="n"/>
      <c r="S937" s="250" t="n"/>
      <c r="T937" s="250" t="n"/>
      <c r="U937" s="250" t="n"/>
      <c r="V937" s="250" t="n"/>
      <c r="W937" s="250" t="n"/>
      <c r="X937" s="250" t="n"/>
      <c r="Y937" s="250" t="n"/>
      <c r="Z937" s="250" t="n"/>
    </row>
    <row r="938">
      <c r="A938" s="250" t="n"/>
      <c r="B938" s="250" t="n"/>
      <c r="C938" s="250" t="n"/>
      <c r="D938" s="250" t="n"/>
      <c r="E938" s="250" t="n"/>
      <c r="F938" s="250" t="n"/>
      <c r="G938" s="250" t="n"/>
      <c r="H938" s="250" t="n"/>
      <c r="I938" s="250" t="n"/>
      <c r="J938" s="250" t="n"/>
      <c r="K938" s="250" t="n"/>
      <c r="L938" s="250" t="n"/>
      <c r="M938" s="250" t="n"/>
      <c r="N938" s="250" t="n"/>
      <c r="O938" s="250" t="n"/>
      <c r="P938" s="250" t="n"/>
      <c r="Q938" s="250" t="n"/>
      <c r="R938" s="250" t="n"/>
      <c r="S938" s="250" t="n"/>
      <c r="T938" s="250" t="n"/>
      <c r="U938" s="250" t="n"/>
      <c r="V938" s="250" t="n"/>
      <c r="W938" s="250" t="n"/>
      <c r="X938" s="250" t="n"/>
      <c r="Y938" s="250" t="n"/>
      <c r="Z938" s="250" t="n"/>
    </row>
    <row r="939">
      <c r="A939" s="250" t="n"/>
      <c r="B939" s="250" t="n"/>
      <c r="C939" s="250" t="n"/>
      <c r="D939" s="250" t="n"/>
      <c r="E939" s="250" t="n"/>
      <c r="F939" s="250" t="n"/>
      <c r="G939" s="250" t="n"/>
      <c r="H939" s="250" t="n"/>
      <c r="I939" s="250" t="n"/>
      <c r="J939" s="250" t="n"/>
      <c r="K939" s="250" t="n"/>
      <c r="L939" s="250" t="n"/>
      <c r="M939" s="250" t="n"/>
      <c r="N939" s="250" t="n"/>
      <c r="O939" s="250" t="n"/>
      <c r="P939" s="250" t="n"/>
      <c r="Q939" s="250" t="n"/>
      <c r="R939" s="250" t="n"/>
      <c r="S939" s="250" t="n"/>
      <c r="T939" s="250" t="n"/>
      <c r="U939" s="250" t="n"/>
      <c r="V939" s="250" t="n"/>
      <c r="W939" s="250" t="n"/>
      <c r="X939" s="250" t="n"/>
      <c r="Y939" s="250" t="n"/>
      <c r="Z939" s="250" t="n"/>
    </row>
    <row r="940">
      <c r="A940" s="250" t="n"/>
      <c r="B940" s="250" t="n"/>
      <c r="C940" s="250" t="n"/>
      <c r="D940" s="250" t="n"/>
      <c r="E940" s="250" t="n"/>
      <c r="F940" s="250" t="n"/>
      <c r="G940" s="250" t="n"/>
      <c r="H940" s="250" t="n"/>
      <c r="I940" s="250" t="n"/>
      <c r="J940" s="250" t="n"/>
      <c r="K940" s="250" t="n"/>
      <c r="L940" s="250" t="n"/>
      <c r="M940" s="250" t="n"/>
      <c r="N940" s="250" t="n"/>
      <c r="O940" s="250" t="n"/>
      <c r="P940" s="250" t="n"/>
      <c r="Q940" s="250" t="n"/>
      <c r="R940" s="250" t="n"/>
      <c r="S940" s="250" t="n"/>
      <c r="T940" s="250" t="n"/>
      <c r="U940" s="250" t="n"/>
      <c r="V940" s="250" t="n"/>
      <c r="W940" s="250" t="n"/>
      <c r="X940" s="250" t="n"/>
      <c r="Y940" s="250" t="n"/>
      <c r="Z940" s="250" t="n"/>
    </row>
    <row r="941">
      <c r="A941" s="250" t="n"/>
      <c r="B941" s="250" t="n"/>
      <c r="C941" s="250" t="n"/>
      <c r="D941" s="250" t="n"/>
      <c r="E941" s="250" t="n"/>
      <c r="F941" s="250" t="n"/>
      <c r="G941" s="250" t="n"/>
      <c r="H941" s="250" t="n"/>
      <c r="I941" s="250" t="n"/>
      <c r="J941" s="250" t="n"/>
      <c r="K941" s="250" t="n"/>
      <c r="L941" s="250" t="n"/>
      <c r="M941" s="250" t="n"/>
      <c r="N941" s="250" t="n"/>
      <c r="O941" s="250" t="n"/>
      <c r="P941" s="250" t="n"/>
      <c r="Q941" s="250" t="n"/>
      <c r="R941" s="250" t="n"/>
      <c r="S941" s="250" t="n"/>
      <c r="T941" s="250" t="n"/>
      <c r="U941" s="250" t="n"/>
      <c r="V941" s="250" t="n"/>
      <c r="W941" s="250" t="n"/>
      <c r="X941" s="250" t="n"/>
      <c r="Y941" s="250" t="n"/>
      <c r="Z941" s="250" t="n"/>
    </row>
    <row r="942">
      <c r="A942" s="250" t="n"/>
      <c r="B942" s="250" t="n"/>
      <c r="C942" s="250" t="n"/>
      <c r="D942" s="250" t="n"/>
      <c r="E942" s="250" t="n"/>
      <c r="F942" s="250" t="n"/>
      <c r="G942" s="250" t="n"/>
      <c r="H942" s="250" t="n"/>
      <c r="I942" s="250" t="n"/>
      <c r="J942" s="250" t="n"/>
      <c r="K942" s="250" t="n"/>
      <c r="L942" s="250" t="n"/>
      <c r="M942" s="250" t="n"/>
      <c r="N942" s="250" t="n"/>
      <c r="O942" s="250" t="n"/>
      <c r="P942" s="250" t="n"/>
      <c r="Q942" s="250" t="n"/>
      <c r="R942" s="250" t="n"/>
      <c r="S942" s="250" t="n"/>
      <c r="T942" s="250" t="n"/>
      <c r="U942" s="250" t="n"/>
      <c r="V942" s="250" t="n"/>
      <c r="W942" s="250" t="n"/>
      <c r="X942" s="250" t="n"/>
      <c r="Y942" s="250" t="n"/>
      <c r="Z942" s="250" t="n"/>
    </row>
    <row r="943">
      <c r="A943" s="250" t="n"/>
      <c r="B943" s="250" t="n"/>
      <c r="C943" s="250" t="n"/>
      <c r="D943" s="250" t="n"/>
      <c r="E943" s="250" t="n"/>
      <c r="F943" s="250" t="n"/>
      <c r="G943" s="250" t="n"/>
      <c r="H943" s="250" t="n"/>
      <c r="I943" s="250" t="n"/>
      <c r="J943" s="250" t="n"/>
      <c r="K943" s="250" t="n"/>
      <c r="L943" s="250" t="n"/>
      <c r="M943" s="250" t="n"/>
      <c r="N943" s="250" t="n"/>
      <c r="O943" s="250" t="n"/>
      <c r="P943" s="250" t="n"/>
      <c r="Q943" s="250" t="n"/>
      <c r="R943" s="250" t="n"/>
      <c r="S943" s="250" t="n"/>
      <c r="T943" s="250" t="n"/>
      <c r="U943" s="250" t="n"/>
      <c r="V943" s="250" t="n"/>
      <c r="W943" s="250" t="n"/>
      <c r="X943" s="250" t="n"/>
      <c r="Y943" s="250" t="n"/>
      <c r="Z943" s="250" t="n"/>
    </row>
    <row r="944">
      <c r="A944" s="250" t="n"/>
      <c r="B944" s="250" t="n"/>
      <c r="C944" s="250" t="n"/>
      <c r="D944" s="250" t="n"/>
      <c r="E944" s="250" t="n"/>
      <c r="F944" s="250" t="n"/>
      <c r="G944" s="250" t="n"/>
      <c r="H944" s="250" t="n"/>
      <c r="I944" s="250" t="n"/>
      <c r="J944" s="250" t="n"/>
      <c r="K944" s="250" t="n"/>
      <c r="L944" s="250" t="n"/>
      <c r="M944" s="250" t="n"/>
      <c r="N944" s="250" t="n"/>
      <c r="O944" s="250" t="n"/>
      <c r="P944" s="250" t="n"/>
      <c r="Q944" s="250" t="n"/>
      <c r="R944" s="250" t="n"/>
      <c r="S944" s="250" t="n"/>
      <c r="T944" s="250" t="n"/>
      <c r="U944" s="250" t="n"/>
      <c r="V944" s="250" t="n"/>
      <c r="W944" s="250" t="n"/>
      <c r="X944" s="250" t="n"/>
      <c r="Y944" s="250" t="n"/>
      <c r="Z944" s="250" t="n"/>
    </row>
    <row r="945">
      <c r="A945" s="250" t="n"/>
      <c r="B945" s="250" t="n"/>
      <c r="C945" s="250" t="n"/>
      <c r="D945" s="250" t="n"/>
      <c r="E945" s="250" t="n"/>
      <c r="F945" s="250" t="n"/>
      <c r="G945" s="250" t="n"/>
      <c r="H945" s="250" t="n"/>
      <c r="I945" s="250" t="n"/>
      <c r="J945" s="250" t="n"/>
      <c r="K945" s="250" t="n"/>
      <c r="L945" s="250" t="n"/>
      <c r="M945" s="250" t="n"/>
      <c r="N945" s="250" t="n"/>
      <c r="O945" s="250" t="n"/>
      <c r="P945" s="250" t="n"/>
      <c r="Q945" s="250" t="n"/>
      <c r="R945" s="250" t="n"/>
      <c r="S945" s="250" t="n"/>
      <c r="T945" s="250" t="n"/>
      <c r="U945" s="250" t="n"/>
      <c r="V945" s="250" t="n"/>
      <c r="W945" s="250" t="n"/>
      <c r="X945" s="250" t="n"/>
      <c r="Y945" s="250" t="n"/>
      <c r="Z945" s="250" t="n"/>
    </row>
    <row r="946">
      <c r="A946" s="250" t="n"/>
      <c r="B946" s="250" t="n"/>
      <c r="C946" s="250" t="n"/>
      <c r="D946" s="250" t="n"/>
      <c r="E946" s="250" t="n"/>
      <c r="F946" s="250" t="n"/>
      <c r="G946" s="250" t="n"/>
      <c r="H946" s="250" t="n"/>
      <c r="I946" s="250" t="n"/>
      <c r="J946" s="250" t="n"/>
      <c r="K946" s="250" t="n"/>
      <c r="L946" s="250" t="n"/>
      <c r="M946" s="250" t="n"/>
      <c r="N946" s="250" t="n"/>
      <c r="O946" s="250" t="n"/>
      <c r="P946" s="250" t="n"/>
      <c r="Q946" s="250" t="n"/>
      <c r="R946" s="250" t="n"/>
      <c r="S946" s="250" t="n"/>
      <c r="T946" s="250" t="n"/>
      <c r="U946" s="250" t="n"/>
      <c r="V946" s="250" t="n"/>
      <c r="W946" s="250" t="n"/>
      <c r="X946" s="250" t="n"/>
      <c r="Y946" s="250" t="n"/>
      <c r="Z946" s="250" t="n"/>
    </row>
    <row r="947">
      <c r="A947" s="250" t="n"/>
      <c r="B947" s="250" t="n"/>
      <c r="C947" s="250" t="n"/>
      <c r="D947" s="250" t="n"/>
      <c r="E947" s="250" t="n"/>
      <c r="F947" s="250" t="n"/>
      <c r="G947" s="250" t="n"/>
      <c r="H947" s="250" t="n"/>
      <c r="I947" s="250" t="n"/>
      <c r="J947" s="250" t="n"/>
      <c r="K947" s="250" t="n"/>
      <c r="L947" s="250" t="n"/>
      <c r="M947" s="250" t="n"/>
      <c r="N947" s="250" t="n"/>
      <c r="O947" s="250" t="n"/>
      <c r="P947" s="250" t="n"/>
      <c r="Q947" s="250" t="n"/>
      <c r="R947" s="250" t="n"/>
      <c r="S947" s="250" t="n"/>
      <c r="T947" s="250" t="n"/>
      <c r="U947" s="250" t="n"/>
      <c r="V947" s="250" t="n"/>
      <c r="W947" s="250" t="n"/>
      <c r="X947" s="250" t="n"/>
      <c r="Y947" s="250" t="n"/>
      <c r="Z947" s="250" t="n"/>
    </row>
    <row r="948">
      <c r="A948" s="250" t="n"/>
      <c r="B948" s="250" t="n"/>
      <c r="C948" s="250" t="n"/>
      <c r="D948" s="250" t="n"/>
      <c r="E948" s="250" t="n"/>
      <c r="F948" s="250" t="n"/>
      <c r="G948" s="250" t="n"/>
      <c r="H948" s="250" t="n"/>
      <c r="I948" s="250" t="n"/>
      <c r="J948" s="250" t="n"/>
      <c r="K948" s="250" t="n"/>
      <c r="L948" s="250" t="n"/>
      <c r="M948" s="250" t="n"/>
      <c r="N948" s="250" t="n"/>
      <c r="O948" s="250" t="n"/>
      <c r="P948" s="250" t="n"/>
      <c r="Q948" s="250" t="n"/>
      <c r="R948" s="250" t="n"/>
      <c r="S948" s="250" t="n"/>
      <c r="T948" s="250" t="n"/>
      <c r="U948" s="250" t="n"/>
      <c r="V948" s="250" t="n"/>
      <c r="W948" s="250" t="n"/>
      <c r="X948" s="250" t="n"/>
      <c r="Y948" s="250" t="n"/>
      <c r="Z948" s="250" t="n"/>
    </row>
    <row r="949">
      <c r="A949" s="250" t="n"/>
      <c r="B949" s="250" t="n"/>
      <c r="C949" s="250" t="n"/>
      <c r="D949" s="250" t="n"/>
      <c r="E949" s="250" t="n"/>
      <c r="F949" s="250" t="n"/>
      <c r="G949" s="250" t="n"/>
      <c r="H949" s="250" t="n"/>
      <c r="I949" s="250" t="n"/>
      <c r="J949" s="250" t="n"/>
      <c r="K949" s="250" t="n"/>
      <c r="L949" s="250" t="n"/>
      <c r="M949" s="250" t="n"/>
      <c r="N949" s="250" t="n"/>
      <c r="O949" s="250" t="n"/>
      <c r="P949" s="250" t="n"/>
      <c r="Q949" s="250" t="n"/>
      <c r="R949" s="250" t="n"/>
      <c r="S949" s="250" t="n"/>
      <c r="T949" s="250" t="n"/>
      <c r="U949" s="250" t="n"/>
      <c r="V949" s="250" t="n"/>
      <c r="W949" s="250" t="n"/>
      <c r="X949" s="250" t="n"/>
      <c r="Y949" s="250" t="n"/>
      <c r="Z949" s="250" t="n"/>
    </row>
    <row r="950">
      <c r="A950" s="250" t="n"/>
      <c r="B950" s="250" t="n"/>
      <c r="C950" s="250" t="n"/>
      <c r="D950" s="250" t="n"/>
      <c r="E950" s="250" t="n"/>
      <c r="F950" s="250" t="n"/>
      <c r="G950" s="250" t="n"/>
      <c r="H950" s="250" t="n"/>
      <c r="I950" s="250" t="n"/>
      <c r="J950" s="250" t="n"/>
      <c r="K950" s="250" t="n"/>
      <c r="L950" s="250" t="n"/>
      <c r="M950" s="250" t="n"/>
      <c r="N950" s="250" t="n"/>
      <c r="O950" s="250" t="n"/>
      <c r="P950" s="250" t="n"/>
      <c r="Q950" s="250" t="n"/>
      <c r="R950" s="250" t="n"/>
      <c r="S950" s="250" t="n"/>
      <c r="T950" s="250" t="n"/>
      <c r="U950" s="250" t="n"/>
      <c r="V950" s="250" t="n"/>
      <c r="W950" s="250" t="n"/>
      <c r="X950" s="250" t="n"/>
      <c r="Y950" s="250" t="n"/>
      <c r="Z950" s="250" t="n"/>
    </row>
    <row r="951">
      <c r="A951" s="250" t="n"/>
      <c r="B951" s="250" t="n"/>
      <c r="C951" s="250" t="n"/>
      <c r="D951" s="250" t="n"/>
      <c r="E951" s="250" t="n"/>
      <c r="F951" s="250" t="n"/>
      <c r="G951" s="250" t="n"/>
      <c r="H951" s="250" t="n"/>
      <c r="I951" s="250" t="n"/>
      <c r="J951" s="250" t="n"/>
      <c r="K951" s="250" t="n"/>
      <c r="L951" s="250" t="n"/>
      <c r="M951" s="250" t="n"/>
      <c r="N951" s="250" t="n"/>
      <c r="O951" s="250" t="n"/>
      <c r="P951" s="250" t="n"/>
      <c r="Q951" s="250" t="n"/>
      <c r="R951" s="250" t="n"/>
      <c r="S951" s="250" t="n"/>
      <c r="T951" s="250" t="n"/>
      <c r="U951" s="250" t="n"/>
      <c r="V951" s="250" t="n"/>
      <c r="W951" s="250" t="n"/>
      <c r="X951" s="250" t="n"/>
      <c r="Y951" s="250" t="n"/>
      <c r="Z951" s="250" t="n"/>
    </row>
    <row r="952">
      <c r="A952" s="250" t="n"/>
      <c r="B952" s="250" t="n"/>
      <c r="C952" s="250" t="n"/>
      <c r="D952" s="250" t="n"/>
      <c r="E952" s="250" t="n"/>
      <c r="F952" s="250" t="n"/>
      <c r="G952" s="250" t="n"/>
      <c r="H952" s="250" t="n"/>
      <c r="I952" s="250" t="n"/>
      <c r="J952" s="250" t="n"/>
      <c r="K952" s="250" t="n"/>
      <c r="L952" s="250" t="n"/>
      <c r="M952" s="250" t="n"/>
      <c r="N952" s="250" t="n"/>
      <c r="O952" s="250" t="n"/>
      <c r="P952" s="250" t="n"/>
      <c r="Q952" s="250" t="n"/>
      <c r="R952" s="250" t="n"/>
      <c r="S952" s="250" t="n"/>
      <c r="T952" s="250" t="n"/>
      <c r="U952" s="250" t="n"/>
      <c r="V952" s="250" t="n"/>
      <c r="W952" s="250" t="n"/>
      <c r="X952" s="250" t="n"/>
      <c r="Y952" s="250" t="n"/>
      <c r="Z952" s="250" t="n"/>
    </row>
    <row r="953">
      <c r="A953" s="250" t="n"/>
      <c r="B953" s="250" t="n"/>
      <c r="C953" s="250" t="n"/>
      <c r="D953" s="250" t="n"/>
      <c r="E953" s="250" t="n"/>
      <c r="F953" s="250" t="n"/>
      <c r="G953" s="250" t="n"/>
      <c r="H953" s="250" t="n"/>
      <c r="I953" s="250" t="n"/>
      <c r="J953" s="250" t="n"/>
      <c r="K953" s="250" t="n"/>
      <c r="L953" s="250" t="n"/>
      <c r="M953" s="250" t="n"/>
      <c r="N953" s="250" t="n"/>
      <c r="O953" s="250" t="n"/>
      <c r="P953" s="250" t="n"/>
      <c r="Q953" s="250" t="n"/>
      <c r="R953" s="250" t="n"/>
      <c r="S953" s="250" t="n"/>
      <c r="T953" s="250" t="n"/>
      <c r="U953" s="250" t="n"/>
      <c r="V953" s="250" t="n"/>
      <c r="W953" s="250" t="n"/>
      <c r="X953" s="250" t="n"/>
      <c r="Y953" s="250" t="n"/>
      <c r="Z953" s="250" t="n"/>
    </row>
    <row r="954">
      <c r="A954" s="250" t="n"/>
      <c r="B954" s="250" t="n"/>
      <c r="C954" s="250" t="n"/>
      <c r="D954" s="250" t="n"/>
      <c r="E954" s="250" t="n"/>
      <c r="F954" s="250" t="n"/>
      <c r="G954" s="250" t="n"/>
      <c r="H954" s="250" t="n"/>
      <c r="I954" s="250" t="n"/>
      <c r="J954" s="250" t="n"/>
      <c r="K954" s="250" t="n"/>
      <c r="L954" s="250" t="n"/>
      <c r="M954" s="250" t="n"/>
      <c r="N954" s="250" t="n"/>
      <c r="O954" s="250" t="n"/>
      <c r="P954" s="250" t="n"/>
      <c r="Q954" s="250" t="n"/>
      <c r="R954" s="250" t="n"/>
      <c r="S954" s="250" t="n"/>
      <c r="T954" s="250" t="n"/>
      <c r="U954" s="250" t="n"/>
      <c r="V954" s="250" t="n"/>
      <c r="W954" s="250" t="n"/>
      <c r="X954" s="250" t="n"/>
      <c r="Y954" s="250" t="n"/>
      <c r="Z954" s="250" t="n"/>
    </row>
    <row r="955">
      <c r="A955" s="250" t="n"/>
      <c r="B955" s="250" t="n"/>
      <c r="C955" s="250" t="n"/>
      <c r="D955" s="250" t="n"/>
      <c r="E955" s="250" t="n"/>
      <c r="F955" s="250" t="n"/>
      <c r="G955" s="250" t="n"/>
      <c r="H955" s="250" t="n"/>
      <c r="I955" s="250" t="n"/>
      <c r="J955" s="250" t="n"/>
      <c r="K955" s="250" t="n"/>
      <c r="L955" s="250" t="n"/>
      <c r="M955" s="250" t="n"/>
      <c r="N955" s="250" t="n"/>
      <c r="O955" s="250" t="n"/>
      <c r="P955" s="250" t="n"/>
      <c r="Q955" s="250" t="n"/>
      <c r="R955" s="250" t="n"/>
      <c r="S955" s="250" t="n"/>
      <c r="T955" s="250" t="n"/>
      <c r="U955" s="250" t="n"/>
      <c r="V955" s="250" t="n"/>
      <c r="W955" s="250" t="n"/>
      <c r="X955" s="250" t="n"/>
      <c r="Y955" s="250" t="n"/>
      <c r="Z955" s="250" t="n"/>
    </row>
    <row r="956">
      <c r="A956" s="250" t="n"/>
      <c r="B956" s="250" t="n"/>
      <c r="C956" s="250" t="n"/>
      <c r="D956" s="250" t="n"/>
      <c r="E956" s="250" t="n"/>
      <c r="F956" s="250" t="n"/>
      <c r="G956" s="250" t="n"/>
      <c r="H956" s="250" t="n"/>
      <c r="I956" s="250" t="n"/>
      <c r="J956" s="250" t="n"/>
      <c r="K956" s="250" t="n"/>
      <c r="L956" s="250" t="n"/>
      <c r="M956" s="250" t="n"/>
      <c r="N956" s="250" t="n"/>
      <c r="O956" s="250" t="n"/>
      <c r="P956" s="250" t="n"/>
      <c r="Q956" s="250" t="n"/>
      <c r="R956" s="250" t="n"/>
      <c r="S956" s="250" t="n"/>
      <c r="T956" s="250" t="n"/>
      <c r="U956" s="250" t="n"/>
      <c r="V956" s="250" t="n"/>
      <c r="W956" s="250" t="n"/>
      <c r="X956" s="250" t="n"/>
      <c r="Y956" s="250" t="n"/>
      <c r="Z956" s="250" t="n"/>
    </row>
    <row r="957">
      <c r="A957" s="250" t="n"/>
      <c r="B957" s="250" t="n"/>
      <c r="C957" s="250" t="n"/>
      <c r="D957" s="250" t="n"/>
      <c r="E957" s="250" t="n"/>
      <c r="F957" s="250" t="n"/>
      <c r="G957" s="250" t="n"/>
      <c r="H957" s="250" t="n"/>
      <c r="I957" s="250" t="n"/>
      <c r="J957" s="250" t="n"/>
      <c r="K957" s="250" t="n"/>
      <c r="L957" s="250" t="n"/>
      <c r="M957" s="250" t="n"/>
      <c r="N957" s="250" t="n"/>
      <c r="O957" s="250" t="n"/>
      <c r="P957" s="250" t="n"/>
      <c r="Q957" s="250" t="n"/>
      <c r="R957" s="250" t="n"/>
      <c r="S957" s="250" t="n"/>
      <c r="T957" s="250" t="n"/>
      <c r="U957" s="250" t="n"/>
      <c r="V957" s="250" t="n"/>
      <c r="W957" s="250" t="n"/>
      <c r="X957" s="250" t="n"/>
      <c r="Y957" s="250" t="n"/>
      <c r="Z957" s="250" t="n"/>
    </row>
    <row r="958">
      <c r="A958" s="250" t="n"/>
      <c r="B958" s="250" t="n"/>
      <c r="C958" s="250" t="n"/>
      <c r="D958" s="250" t="n"/>
      <c r="E958" s="250" t="n"/>
      <c r="F958" s="250" t="n"/>
      <c r="G958" s="250" t="n"/>
      <c r="H958" s="250" t="n"/>
      <c r="I958" s="250" t="n"/>
      <c r="J958" s="250" t="n"/>
      <c r="K958" s="250" t="n"/>
      <c r="L958" s="250" t="n"/>
      <c r="M958" s="250" t="n"/>
      <c r="N958" s="250" t="n"/>
      <c r="O958" s="250" t="n"/>
      <c r="P958" s="250" t="n"/>
      <c r="Q958" s="250" t="n"/>
      <c r="R958" s="250" t="n"/>
      <c r="S958" s="250" t="n"/>
      <c r="T958" s="250" t="n"/>
      <c r="U958" s="250" t="n"/>
      <c r="V958" s="250" t="n"/>
      <c r="W958" s="250" t="n"/>
      <c r="X958" s="250" t="n"/>
      <c r="Y958" s="250" t="n"/>
      <c r="Z958" s="250" t="n"/>
    </row>
    <row r="959">
      <c r="A959" s="250" t="n"/>
      <c r="B959" s="250" t="n"/>
      <c r="C959" s="250" t="n"/>
      <c r="D959" s="250" t="n"/>
      <c r="E959" s="250" t="n"/>
      <c r="F959" s="250" t="n"/>
      <c r="G959" s="250" t="n"/>
      <c r="H959" s="250" t="n"/>
      <c r="I959" s="250" t="n"/>
      <c r="J959" s="250" t="n"/>
      <c r="K959" s="250" t="n"/>
      <c r="L959" s="250" t="n"/>
      <c r="M959" s="250" t="n"/>
      <c r="N959" s="250" t="n"/>
      <c r="O959" s="250" t="n"/>
      <c r="P959" s="250" t="n"/>
      <c r="Q959" s="250" t="n"/>
      <c r="R959" s="250" t="n"/>
      <c r="S959" s="250" t="n"/>
      <c r="T959" s="250" t="n"/>
      <c r="U959" s="250" t="n"/>
      <c r="V959" s="250" t="n"/>
      <c r="W959" s="250" t="n"/>
      <c r="X959" s="250" t="n"/>
      <c r="Y959" s="250" t="n"/>
      <c r="Z959" s="250" t="n"/>
    </row>
    <row r="960">
      <c r="A960" s="250" t="n"/>
      <c r="B960" s="250" t="n"/>
      <c r="C960" s="250" t="n"/>
      <c r="D960" s="250" t="n"/>
      <c r="E960" s="250" t="n"/>
      <c r="F960" s="250" t="n"/>
      <c r="G960" s="250" t="n"/>
      <c r="H960" s="250" t="n"/>
      <c r="I960" s="250" t="n"/>
      <c r="J960" s="250" t="n"/>
      <c r="K960" s="250" t="n"/>
      <c r="L960" s="250" t="n"/>
      <c r="M960" s="250" t="n"/>
      <c r="N960" s="250" t="n"/>
      <c r="O960" s="250" t="n"/>
      <c r="P960" s="250" t="n"/>
      <c r="Q960" s="250" t="n"/>
      <c r="R960" s="250" t="n"/>
      <c r="S960" s="250" t="n"/>
      <c r="T960" s="250" t="n"/>
      <c r="U960" s="250" t="n"/>
      <c r="V960" s="250" t="n"/>
      <c r="W960" s="250" t="n"/>
      <c r="X960" s="250" t="n"/>
      <c r="Y960" s="250" t="n"/>
      <c r="Z960" s="250" t="n"/>
    </row>
    <row r="961">
      <c r="A961" s="250" t="n"/>
      <c r="B961" s="250" t="n"/>
      <c r="C961" s="250" t="n"/>
      <c r="D961" s="250" t="n"/>
      <c r="E961" s="250" t="n"/>
      <c r="F961" s="250" t="n"/>
      <c r="G961" s="250" t="n"/>
      <c r="H961" s="250" t="n"/>
      <c r="I961" s="250" t="n"/>
      <c r="J961" s="250" t="n"/>
      <c r="K961" s="250" t="n"/>
      <c r="L961" s="250" t="n"/>
      <c r="M961" s="250" t="n"/>
      <c r="N961" s="250" t="n"/>
      <c r="O961" s="250" t="n"/>
      <c r="P961" s="250" t="n"/>
      <c r="Q961" s="250" t="n"/>
      <c r="R961" s="250" t="n"/>
      <c r="S961" s="250" t="n"/>
      <c r="T961" s="250" t="n"/>
      <c r="U961" s="250" t="n"/>
      <c r="V961" s="250" t="n"/>
      <c r="W961" s="250" t="n"/>
      <c r="X961" s="250" t="n"/>
      <c r="Y961" s="250" t="n"/>
      <c r="Z961" s="250" t="n"/>
    </row>
    <row r="962">
      <c r="A962" s="250" t="n"/>
      <c r="B962" s="250" t="n"/>
      <c r="C962" s="250" t="n"/>
      <c r="D962" s="250" t="n"/>
      <c r="E962" s="250" t="n"/>
      <c r="F962" s="250" t="n"/>
      <c r="G962" s="250" t="n"/>
      <c r="H962" s="250" t="n"/>
      <c r="I962" s="250" t="n"/>
      <c r="J962" s="250" t="n"/>
      <c r="K962" s="250" t="n"/>
      <c r="L962" s="250" t="n"/>
      <c r="M962" s="250" t="n"/>
      <c r="N962" s="250" t="n"/>
      <c r="O962" s="250" t="n"/>
      <c r="P962" s="250" t="n"/>
      <c r="Q962" s="250" t="n"/>
      <c r="R962" s="250" t="n"/>
      <c r="S962" s="250" t="n"/>
      <c r="T962" s="250" t="n"/>
      <c r="U962" s="250" t="n"/>
      <c r="V962" s="250" t="n"/>
      <c r="W962" s="250" t="n"/>
      <c r="X962" s="250" t="n"/>
      <c r="Y962" s="250" t="n"/>
      <c r="Z962" s="250" t="n"/>
    </row>
    <row r="963">
      <c r="A963" s="250" t="n"/>
      <c r="B963" s="250" t="n"/>
      <c r="C963" s="250" t="n"/>
      <c r="D963" s="250" t="n"/>
      <c r="E963" s="250" t="n"/>
      <c r="F963" s="250" t="n"/>
      <c r="G963" s="250" t="n"/>
      <c r="H963" s="250" t="n"/>
      <c r="I963" s="250" t="n"/>
      <c r="J963" s="250" t="n"/>
      <c r="K963" s="250" t="n"/>
      <c r="L963" s="250" t="n"/>
      <c r="M963" s="250" t="n"/>
      <c r="N963" s="250" t="n"/>
      <c r="O963" s="250" t="n"/>
      <c r="P963" s="250" t="n"/>
      <c r="Q963" s="250" t="n"/>
      <c r="R963" s="250" t="n"/>
      <c r="S963" s="250" t="n"/>
      <c r="T963" s="250" t="n"/>
      <c r="U963" s="250" t="n"/>
      <c r="V963" s="250" t="n"/>
      <c r="W963" s="250" t="n"/>
      <c r="X963" s="250" t="n"/>
      <c r="Y963" s="250" t="n"/>
      <c r="Z963" s="250" t="n"/>
    </row>
    <row r="964">
      <c r="A964" s="250" t="n"/>
      <c r="B964" s="250" t="n"/>
      <c r="C964" s="250" t="n"/>
      <c r="D964" s="250" t="n"/>
      <c r="E964" s="250" t="n"/>
      <c r="F964" s="250" t="n"/>
      <c r="G964" s="250" t="n"/>
      <c r="H964" s="250" t="n"/>
      <c r="I964" s="250" t="n"/>
      <c r="J964" s="250" t="n"/>
      <c r="K964" s="250" t="n"/>
      <c r="L964" s="250" t="n"/>
      <c r="M964" s="250" t="n"/>
      <c r="N964" s="250" t="n"/>
      <c r="O964" s="250" t="n"/>
      <c r="P964" s="250" t="n"/>
      <c r="Q964" s="250" t="n"/>
      <c r="R964" s="250" t="n"/>
      <c r="S964" s="250" t="n"/>
      <c r="T964" s="250" t="n"/>
      <c r="U964" s="250" t="n"/>
      <c r="V964" s="250" t="n"/>
      <c r="W964" s="250" t="n"/>
      <c r="X964" s="250" t="n"/>
      <c r="Y964" s="250" t="n"/>
      <c r="Z964" s="250" t="n"/>
    </row>
    <row r="965">
      <c r="A965" s="250" t="n"/>
      <c r="B965" s="250" t="n"/>
      <c r="C965" s="250" t="n"/>
      <c r="D965" s="250" t="n"/>
      <c r="E965" s="250" t="n"/>
      <c r="F965" s="250" t="n"/>
      <c r="G965" s="250" t="n"/>
      <c r="H965" s="250" t="n"/>
      <c r="I965" s="250" t="n"/>
      <c r="J965" s="250" t="n"/>
      <c r="K965" s="250" t="n"/>
      <c r="L965" s="250" t="n"/>
      <c r="M965" s="250" t="n"/>
      <c r="N965" s="250" t="n"/>
      <c r="O965" s="250" t="n"/>
      <c r="P965" s="250" t="n"/>
      <c r="Q965" s="250" t="n"/>
      <c r="R965" s="250" t="n"/>
      <c r="S965" s="250" t="n"/>
      <c r="T965" s="250" t="n"/>
      <c r="U965" s="250" t="n"/>
      <c r="V965" s="250" t="n"/>
      <c r="W965" s="250" t="n"/>
      <c r="X965" s="250" t="n"/>
      <c r="Y965" s="250" t="n"/>
      <c r="Z965" s="250" t="n"/>
    </row>
    <row r="966">
      <c r="A966" s="250" t="n"/>
      <c r="B966" s="250" t="n"/>
      <c r="C966" s="250" t="n"/>
      <c r="D966" s="250" t="n"/>
      <c r="E966" s="250" t="n"/>
      <c r="F966" s="250" t="n"/>
      <c r="G966" s="250" t="n"/>
      <c r="H966" s="250" t="n"/>
      <c r="I966" s="250" t="n"/>
      <c r="J966" s="250" t="n"/>
      <c r="K966" s="250" t="n"/>
      <c r="L966" s="250" t="n"/>
      <c r="M966" s="250" t="n"/>
      <c r="N966" s="250" t="n"/>
      <c r="O966" s="250" t="n"/>
      <c r="P966" s="250" t="n"/>
      <c r="Q966" s="250" t="n"/>
      <c r="R966" s="250" t="n"/>
      <c r="S966" s="250" t="n"/>
      <c r="T966" s="250" t="n"/>
      <c r="U966" s="250" t="n"/>
      <c r="V966" s="250" t="n"/>
      <c r="W966" s="250" t="n"/>
      <c r="X966" s="250" t="n"/>
      <c r="Y966" s="250" t="n"/>
      <c r="Z966" s="250" t="n"/>
    </row>
    <row r="967">
      <c r="A967" s="250" t="n"/>
      <c r="B967" s="250" t="n"/>
      <c r="C967" s="250" t="n"/>
      <c r="D967" s="250" t="n"/>
      <c r="E967" s="250" t="n"/>
      <c r="F967" s="250" t="n"/>
      <c r="G967" s="250" t="n"/>
      <c r="H967" s="250" t="n"/>
      <c r="I967" s="250" t="n"/>
      <c r="J967" s="250" t="n"/>
      <c r="K967" s="250" t="n"/>
      <c r="L967" s="250" t="n"/>
      <c r="M967" s="250" t="n"/>
      <c r="N967" s="250" t="n"/>
      <c r="O967" s="250" t="n"/>
      <c r="P967" s="250" t="n"/>
      <c r="Q967" s="250" t="n"/>
      <c r="R967" s="250" t="n"/>
      <c r="S967" s="250" t="n"/>
      <c r="T967" s="250" t="n"/>
      <c r="U967" s="250" t="n"/>
      <c r="V967" s="250" t="n"/>
      <c r="W967" s="250" t="n"/>
      <c r="X967" s="250" t="n"/>
      <c r="Y967" s="250" t="n"/>
      <c r="Z967" s="250" t="n"/>
    </row>
    <row r="968">
      <c r="A968" s="250" t="n"/>
      <c r="B968" s="250" t="n"/>
      <c r="C968" s="250" t="n"/>
      <c r="D968" s="250" t="n"/>
      <c r="E968" s="250" t="n"/>
      <c r="F968" s="250" t="n"/>
      <c r="G968" s="250" t="n"/>
      <c r="H968" s="250" t="n"/>
      <c r="I968" s="250" t="n"/>
      <c r="J968" s="250" t="n"/>
      <c r="K968" s="250" t="n"/>
      <c r="L968" s="250" t="n"/>
      <c r="M968" s="250" t="n"/>
      <c r="N968" s="250" t="n"/>
      <c r="O968" s="250" t="n"/>
      <c r="P968" s="250" t="n"/>
      <c r="Q968" s="250" t="n"/>
      <c r="R968" s="250" t="n"/>
      <c r="S968" s="250" t="n"/>
      <c r="T968" s="250" t="n"/>
      <c r="U968" s="250" t="n"/>
      <c r="V968" s="250" t="n"/>
      <c r="W968" s="250" t="n"/>
      <c r="X968" s="250" t="n"/>
      <c r="Y968" s="250" t="n"/>
      <c r="Z968" s="250" t="n"/>
    </row>
    <row r="969">
      <c r="A969" s="250" t="n"/>
      <c r="B969" s="250" t="n"/>
      <c r="C969" s="250" t="n"/>
      <c r="D969" s="250" t="n"/>
      <c r="E969" s="250" t="n"/>
      <c r="F969" s="250" t="n"/>
      <c r="G969" s="250" t="n"/>
      <c r="H969" s="250" t="n"/>
      <c r="I969" s="250" t="n"/>
      <c r="J969" s="250" t="n"/>
      <c r="K969" s="250" t="n"/>
      <c r="L969" s="250" t="n"/>
      <c r="M969" s="250" t="n"/>
      <c r="N969" s="250" t="n"/>
      <c r="O969" s="250" t="n"/>
      <c r="P969" s="250" t="n"/>
      <c r="Q969" s="250" t="n"/>
      <c r="R969" s="250" t="n"/>
      <c r="S969" s="250" t="n"/>
      <c r="T969" s="250" t="n"/>
      <c r="U969" s="250" t="n"/>
      <c r="V969" s="250" t="n"/>
      <c r="W969" s="250" t="n"/>
      <c r="X969" s="250" t="n"/>
      <c r="Y969" s="250" t="n"/>
      <c r="Z969" s="250" t="n"/>
    </row>
    <row r="970">
      <c r="A970" s="250" t="n"/>
      <c r="B970" s="250" t="n"/>
      <c r="C970" s="250" t="n"/>
      <c r="D970" s="250" t="n"/>
      <c r="E970" s="250" t="n"/>
      <c r="F970" s="250" t="n"/>
      <c r="G970" s="250" t="n"/>
      <c r="H970" s="250" t="n"/>
      <c r="I970" s="250" t="n"/>
      <c r="J970" s="250" t="n"/>
      <c r="K970" s="250" t="n"/>
      <c r="L970" s="250" t="n"/>
      <c r="M970" s="250" t="n"/>
      <c r="N970" s="250" t="n"/>
      <c r="O970" s="250" t="n"/>
      <c r="P970" s="250" t="n"/>
      <c r="Q970" s="250" t="n"/>
      <c r="R970" s="250" t="n"/>
      <c r="S970" s="250" t="n"/>
      <c r="T970" s="250" t="n"/>
      <c r="U970" s="250" t="n"/>
      <c r="V970" s="250" t="n"/>
      <c r="W970" s="250" t="n"/>
      <c r="X970" s="250" t="n"/>
      <c r="Y970" s="250" t="n"/>
      <c r="Z970" s="250" t="n"/>
    </row>
    <row r="971">
      <c r="A971" s="250" t="n"/>
      <c r="B971" s="250" t="n"/>
      <c r="C971" s="250" t="n"/>
      <c r="D971" s="250" t="n"/>
      <c r="E971" s="250" t="n"/>
      <c r="F971" s="250" t="n"/>
      <c r="G971" s="250" t="n"/>
      <c r="H971" s="250" t="n"/>
      <c r="I971" s="250" t="n"/>
      <c r="J971" s="250" t="n"/>
      <c r="K971" s="250" t="n"/>
      <c r="L971" s="250" t="n"/>
      <c r="M971" s="250" t="n"/>
      <c r="N971" s="250" t="n"/>
      <c r="O971" s="250" t="n"/>
      <c r="P971" s="250" t="n"/>
      <c r="Q971" s="250" t="n"/>
      <c r="R971" s="250" t="n"/>
      <c r="S971" s="250" t="n"/>
      <c r="T971" s="250" t="n"/>
      <c r="U971" s="250" t="n"/>
      <c r="V971" s="250" t="n"/>
      <c r="W971" s="250" t="n"/>
      <c r="X971" s="250" t="n"/>
      <c r="Y971" s="250" t="n"/>
      <c r="Z971" s="250" t="n"/>
    </row>
    <row r="972">
      <c r="A972" s="250" t="n"/>
      <c r="B972" s="250" t="n"/>
      <c r="C972" s="250" t="n"/>
      <c r="D972" s="250" t="n"/>
      <c r="E972" s="250" t="n"/>
      <c r="F972" s="250" t="n"/>
      <c r="G972" s="250" t="n"/>
      <c r="H972" s="250" t="n"/>
      <c r="I972" s="250" t="n"/>
      <c r="J972" s="250" t="n"/>
      <c r="K972" s="250" t="n"/>
      <c r="L972" s="250" t="n"/>
      <c r="M972" s="250" t="n"/>
      <c r="N972" s="250" t="n"/>
      <c r="O972" s="250" t="n"/>
      <c r="P972" s="250" t="n"/>
      <c r="Q972" s="250" t="n"/>
      <c r="R972" s="250" t="n"/>
      <c r="S972" s="250" t="n"/>
      <c r="T972" s="250" t="n"/>
      <c r="U972" s="250" t="n"/>
      <c r="V972" s="250" t="n"/>
      <c r="W972" s="250" t="n"/>
      <c r="X972" s="250" t="n"/>
      <c r="Y972" s="250" t="n"/>
      <c r="Z972" s="250" t="n"/>
    </row>
    <row r="973">
      <c r="A973" s="250" t="n"/>
      <c r="B973" s="250" t="n"/>
      <c r="C973" s="250" t="n"/>
      <c r="D973" s="250" t="n"/>
      <c r="E973" s="250" t="n"/>
      <c r="F973" s="250" t="n"/>
      <c r="G973" s="250" t="n"/>
      <c r="H973" s="250" t="n"/>
      <c r="I973" s="250" t="n"/>
      <c r="J973" s="250" t="n"/>
      <c r="K973" s="250" t="n"/>
      <c r="L973" s="250" t="n"/>
      <c r="M973" s="250" t="n"/>
      <c r="N973" s="250" t="n"/>
      <c r="O973" s="250" t="n"/>
      <c r="P973" s="250" t="n"/>
      <c r="Q973" s="250" t="n"/>
      <c r="R973" s="250" t="n"/>
      <c r="S973" s="250" t="n"/>
      <c r="T973" s="250" t="n"/>
      <c r="U973" s="250" t="n"/>
      <c r="V973" s="250" t="n"/>
      <c r="W973" s="250" t="n"/>
      <c r="X973" s="250" t="n"/>
      <c r="Y973" s="250" t="n"/>
      <c r="Z973" s="250" t="n"/>
    </row>
    <row r="974">
      <c r="A974" s="250" t="n"/>
      <c r="B974" s="250" t="n"/>
      <c r="C974" s="250" t="n"/>
      <c r="D974" s="250" t="n"/>
      <c r="E974" s="250" t="n"/>
      <c r="F974" s="250" t="n"/>
      <c r="G974" s="250" t="n"/>
      <c r="H974" s="250" t="n"/>
      <c r="I974" s="250" t="n"/>
      <c r="J974" s="250" t="n"/>
      <c r="K974" s="250" t="n"/>
      <c r="L974" s="250" t="n"/>
      <c r="M974" s="250" t="n"/>
      <c r="N974" s="250" t="n"/>
      <c r="O974" s="250" t="n"/>
      <c r="P974" s="250" t="n"/>
      <c r="Q974" s="250" t="n"/>
      <c r="R974" s="250" t="n"/>
      <c r="S974" s="250" t="n"/>
      <c r="T974" s="250" t="n"/>
      <c r="U974" s="250" t="n"/>
      <c r="V974" s="250" t="n"/>
      <c r="W974" s="250" t="n"/>
      <c r="X974" s="250" t="n"/>
      <c r="Y974" s="250" t="n"/>
      <c r="Z974" s="250" t="n"/>
    </row>
    <row r="975">
      <c r="A975" s="250" t="n"/>
      <c r="B975" s="250" t="n"/>
      <c r="C975" s="250" t="n"/>
      <c r="D975" s="250" t="n"/>
      <c r="E975" s="250" t="n"/>
      <c r="F975" s="250" t="n"/>
      <c r="G975" s="250" t="n"/>
      <c r="H975" s="250" t="n"/>
      <c r="I975" s="250" t="n"/>
      <c r="J975" s="250" t="n"/>
      <c r="K975" s="250" t="n"/>
      <c r="L975" s="250" t="n"/>
      <c r="M975" s="250" t="n"/>
      <c r="N975" s="250" t="n"/>
      <c r="O975" s="250" t="n"/>
      <c r="P975" s="250" t="n"/>
      <c r="Q975" s="250" t="n"/>
      <c r="R975" s="250" t="n"/>
      <c r="S975" s="250" t="n"/>
      <c r="T975" s="250" t="n"/>
      <c r="U975" s="250" t="n"/>
      <c r="V975" s="250" t="n"/>
      <c r="W975" s="250" t="n"/>
      <c r="X975" s="250" t="n"/>
      <c r="Y975" s="250" t="n"/>
      <c r="Z975" s="250" t="n"/>
    </row>
    <row r="976">
      <c r="A976" s="250" t="n"/>
      <c r="B976" s="250" t="n"/>
      <c r="C976" s="250" t="n"/>
      <c r="D976" s="250" t="n"/>
      <c r="E976" s="250" t="n"/>
      <c r="F976" s="250" t="n"/>
      <c r="G976" s="250" t="n"/>
      <c r="H976" s="250" t="n"/>
      <c r="I976" s="250" t="n"/>
      <c r="J976" s="250" t="n"/>
      <c r="K976" s="250" t="n"/>
      <c r="L976" s="250" t="n"/>
      <c r="M976" s="250" t="n"/>
      <c r="N976" s="250" t="n"/>
      <c r="O976" s="250" t="n"/>
      <c r="P976" s="250" t="n"/>
      <c r="Q976" s="250" t="n"/>
      <c r="R976" s="250" t="n"/>
      <c r="S976" s="250" t="n"/>
      <c r="T976" s="250" t="n"/>
      <c r="U976" s="250" t="n"/>
      <c r="V976" s="250" t="n"/>
      <c r="W976" s="250" t="n"/>
      <c r="X976" s="250" t="n"/>
      <c r="Y976" s="250" t="n"/>
      <c r="Z976" s="250" t="n"/>
    </row>
    <row r="977">
      <c r="A977" s="250" t="n"/>
      <c r="B977" s="250" t="n"/>
      <c r="C977" s="250" t="n"/>
      <c r="D977" s="250" t="n"/>
      <c r="E977" s="250" t="n"/>
      <c r="F977" s="250" t="n"/>
      <c r="G977" s="250" t="n"/>
      <c r="H977" s="250" t="n"/>
      <c r="I977" s="250" t="n"/>
      <c r="J977" s="250" t="n"/>
      <c r="K977" s="250" t="n"/>
      <c r="L977" s="250" t="n"/>
      <c r="M977" s="250" t="n"/>
      <c r="N977" s="250" t="n"/>
      <c r="O977" s="250" t="n"/>
      <c r="P977" s="250" t="n"/>
      <c r="Q977" s="250" t="n"/>
      <c r="R977" s="250" t="n"/>
      <c r="S977" s="250" t="n"/>
      <c r="T977" s="250" t="n"/>
      <c r="U977" s="250" t="n"/>
      <c r="V977" s="250" t="n"/>
      <c r="W977" s="250" t="n"/>
      <c r="X977" s="250" t="n"/>
      <c r="Y977" s="250" t="n"/>
      <c r="Z977" s="250" t="n"/>
    </row>
    <row r="978">
      <c r="A978" s="250" t="n"/>
      <c r="B978" s="250" t="n"/>
      <c r="C978" s="250" t="n"/>
      <c r="D978" s="250" t="n"/>
      <c r="E978" s="250" t="n"/>
      <c r="F978" s="250" t="n"/>
      <c r="G978" s="250" t="n"/>
      <c r="H978" s="250" t="n"/>
      <c r="I978" s="250" t="n"/>
      <c r="J978" s="250" t="n"/>
      <c r="K978" s="250" t="n"/>
      <c r="L978" s="250" t="n"/>
      <c r="M978" s="250" t="n"/>
      <c r="N978" s="250" t="n"/>
      <c r="O978" s="250" t="n"/>
      <c r="P978" s="250" t="n"/>
      <c r="Q978" s="250" t="n"/>
      <c r="R978" s="250" t="n"/>
      <c r="S978" s="250" t="n"/>
      <c r="T978" s="250" t="n"/>
      <c r="U978" s="250" t="n"/>
      <c r="V978" s="250" t="n"/>
      <c r="W978" s="250" t="n"/>
      <c r="X978" s="250" t="n"/>
      <c r="Y978" s="250" t="n"/>
      <c r="Z978" s="250" t="n"/>
    </row>
    <row r="979">
      <c r="A979" s="250" t="n"/>
      <c r="B979" s="250" t="n"/>
      <c r="C979" s="250" t="n"/>
      <c r="D979" s="250" t="n"/>
      <c r="E979" s="250" t="n"/>
      <c r="F979" s="250" t="n"/>
      <c r="G979" s="250" t="n"/>
      <c r="H979" s="250" t="n"/>
      <c r="I979" s="250" t="n"/>
      <c r="J979" s="250" t="n"/>
      <c r="K979" s="250" t="n"/>
      <c r="L979" s="250" t="n"/>
      <c r="M979" s="250" t="n"/>
      <c r="N979" s="250" t="n"/>
      <c r="O979" s="250" t="n"/>
      <c r="P979" s="250" t="n"/>
      <c r="Q979" s="250" t="n"/>
      <c r="R979" s="250" t="n"/>
      <c r="S979" s="250" t="n"/>
      <c r="T979" s="250" t="n"/>
      <c r="U979" s="250" t="n"/>
      <c r="V979" s="250" t="n"/>
      <c r="W979" s="250" t="n"/>
      <c r="X979" s="250" t="n"/>
      <c r="Y979" s="250" t="n"/>
      <c r="Z979" s="250" t="n"/>
    </row>
    <row r="980">
      <c r="A980" s="250" t="n"/>
      <c r="B980" s="250" t="n"/>
      <c r="C980" s="250" t="n"/>
      <c r="D980" s="250" t="n"/>
      <c r="E980" s="250" t="n"/>
      <c r="F980" s="250" t="n"/>
      <c r="G980" s="250" t="n"/>
      <c r="H980" s="250" t="n"/>
      <c r="I980" s="250" t="n"/>
      <c r="J980" s="250" t="n"/>
      <c r="K980" s="250" t="n"/>
      <c r="L980" s="250" t="n"/>
      <c r="M980" s="250" t="n"/>
      <c r="N980" s="250" t="n"/>
      <c r="O980" s="250" t="n"/>
      <c r="P980" s="250" t="n"/>
      <c r="Q980" s="250" t="n"/>
      <c r="R980" s="250" t="n"/>
      <c r="S980" s="250" t="n"/>
      <c r="T980" s="250" t="n"/>
      <c r="U980" s="250" t="n"/>
      <c r="V980" s="250" t="n"/>
      <c r="W980" s="250" t="n"/>
      <c r="X980" s="250" t="n"/>
      <c r="Y980" s="250" t="n"/>
      <c r="Z980" s="250" t="n"/>
    </row>
    <row r="981">
      <c r="A981" s="250" t="n"/>
      <c r="B981" s="250" t="n"/>
      <c r="C981" s="250" t="n"/>
      <c r="D981" s="250" t="n"/>
      <c r="E981" s="250" t="n"/>
      <c r="F981" s="250" t="n"/>
      <c r="G981" s="250" t="n"/>
      <c r="H981" s="250" t="n"/>
      <c r="I981" s="250" t="n"/>
      <c r="J981" s="250" t="n"/>
      <c r="K981" s="250" t="n"/>
      <c r="L981" s="250" t="n"/>
      <c r="M981" s="250" t="n"/>
      <c r="N981" s="250" t="n"/>
      <c r="O981" s="250" t="n"/>
      <c r="P981" s="250" t="n"/>
      <c r="Q981" s="250" t="n"/>
      <c r="R981" s="250" t="n"/>
      <c r="S981" s="250" t="n"/>
      <c r="T981" s="250" t="n"/>
      <c r="U981" s="250" t="n"/>
      <c r="V981" s="250" t="n"/>
      <c r="W981" s="250" t="n"/>
      <c r="X981" s="250" t="n"/>
      <c r="Y981" s="250" t="n"/>
      <c r="Z981" s="250" t="n"/>
    </row>
    <row r="982">
      <c r="A982" s="250" t="n"/>
      <c r="B982" s="250" t="n"/>
      <c r="C982" s="250" t="n"/>
      <c r="D982" s="250" t="n"/>
      <c r="E982" s="250" t="n"/>
      <c r="F982" s="250" t="n"/>
      <c r="G982" s="250" t="n"/>
      <c r="H982" s="250" t="n"/>
      <c r="I982" s="250" t="n"/>
      <c r="J982" s="250" t="n"/>
      <c r="K982" s="250" t="n"/>
      <c r="L982" s="250" t="n"/>
      <c r="M982" s="250" t="n"/>
      <c r="N982" s="250" t="n"/>
      <c r="O982" s="250" t="n"/>
      <c r="P982" s="250" t="n"/>
      <c r="Q982" s="250" t="n"/>
      <c r="R982" s="250" t="n"/>
      <c r="S982" s="250" t="n"/>
      <c r="T982" s="250" t="n"/>
      <c r="U982" s="250" t="n"/>
      <c r="V982" s="250" t="n"/>
      <c r="W982" s="250" t="n"/>
      <c r="X982" s="250" t="n"/>
      <c r="Y982" s="250" t="n"/>
      <c r="Z982" s="250" t="n"/>
    </row>
    <row r="983">
      <c r="A983" s="250" t="n"/>
      <c r="B983" s="250" t="n"/>
      <c r="C983" s="250" t="n"/>
      <c r="D983" s="250" t="n"/>
      <c r="E983" s="250" t="n"/>
      <c r="F983" s="250" t="n"/>
      <c r="G983" s="250" t="n"/>
      <c r="H983" s="250" t="n"/>
      <c r="I983" s="250" t="n"/>
      <c r="J983" s="250" t="n"/>
      <c r="K983" s="250" t="n"/>
      <c r="L983" s="250" t="n"/>
      <c r="M983" s="250" t="n"/>
      <c r="N983" s="250" t="n"/>
      <c r="O983" s="250" t="n"/>
      <c r="P983" s="250" t="n"/>
      <c r="Q983" s="250" t="n"/>
      <c r="R983" s="250" t="n"/>
      <c r="S983" s="250" t="n"/>
      <c r="T983" s="250" t="n"/>
      <c r="U983" s="250" t="n"/>
      <c r="V983" s="250" t="n"/>
      <c r="W983" s="250" t="n"/>
      <c r="X983" s="250" t="n"/>
      <c r="Y983" s="250" t="n"/>
      <c r="Z983" s="250" t="n"/>
    </row>
    <row r="984">
      <c r="A984" s="250" t="n"/>
      <c r="B984" s="250" t="n"/>
      <c r="C984" s="250" t="n"/>
      <c r="D984" s="250" t="n"/>
      <c r="E984" s="250" t="n"/>
      <c r="F984" s="250" t="n"/>
      <c r="G984" s="250" t="n"/>
      <c r="H984" s="250" t="n"/>
      <c r="I984" s="250" t="n"/>
      <c r="J984" s="250" t="n"/>
      <c r="K984" s="250" t="n"/>
      <c r="L984" s="250" t="n"/>
      <c r="M984" s="250" t="n"/>
      <c r="N984" s="250" t="n"/>
      <c r="O984" s="250" t="n"/>
      <c r="P984" s="250" t="n"/>
      <c r="Q984" s="250" t="n"/>
      <c r="R984" s="250" t="n"/>
      <c r="S984" s="250" t="n"/>
      <c r="T984" s="250" t="n"/>
      <c r="U984" s="250" t="n"/>
      <c r="V984" s="250" t="n"/>
      <c r="W984" s="250" t="n"/>
      <c r="X984" s="250" t="n"/>
      <c r="Y984" s="250" t="n"/>
      <c r="Z984" s="250" t="n"/>
    </row>
    <row r="985">
      <c r="A985" s="250" t="n"/>
      <c r="B985" s="250" t="n"/>
      <c r="C985" s="250" t="n"/>
      <c r="D985" s="250" t="n"/>
      <c r="E985" s="250" t="n"/>
      <c r="F985" s="250" t="n"/>
      <c r="G985" s="250" t="n"/>
      <c r="H985" s="250" t="n"/>
      <c r="I985" s="250" t="n"/>
      <c r="J985" s="250" t="n"/>
      <c r="K985" s="250" t="n"/>
      <c r="L985" s="250" t="n"/>
      <c r="M985" s="250" t="n"/>
      <c r="N985" s="250" t="n"/>
      <c r="O985" s="250" t="n"/>
      <c r="P985" s="250" t="n"/>
      <c r="Q985" s="250" t="n"/>
      <c r="R985" s="250" t="n"/>
      <c r="S985" s="250" t="n"/>
      <c r="T985" s="250" t="n"/>
      <c r="U985" s="250" t="n"/>
      <c r="V985" s="250" t="n"/>
      <c r="W985" s="250" t="n"/>
      <c r="X985" s="250" t="n"/>
      <c r="Y985" s="250" t="n"/>
      <c r="Z985" s="250" t="n"/>
    </row>
    <row r="986">
      <c r="A986" s="250" t="n"/>
      <c r="B986" s="250" t="n"/>
      <c r="C986" s="250" t="n"/>
      <c r="D986" s="250" t="n"/>
      <c r="E986" s="250" t="n"/>
      <c r="F986" s="250" t="n"/>
      <c r="G986" s="250" t="n"/>
      <c r="H986" s="250" t="n"/>
      <c r="I986" s="250" t="n"/>
      <c r="J986" s="250" t="n"/>
      <c r="K986" s="250" t="n"/>
      <c r="L986" s="250" t="n"/>
      <c r="M986" s="250" t="n"/>
      <c r="N986" s="250" t="n"/>
      <c r="O986" s="250" t="n"/>
      <c r="P986" s="250" t="n"/>
      <c r="Q986" s="250" t="n"/>
      <c r="R986" s="250" t="n"/>
      <c r="S986" s="250" t="n"/>
      <c r="T986" s="250" t="n"/>
      <c r="U986" s="250" t="n"/>
      <c r="V986" s="250" t="n"/>
      <c r="W986" s="250" t="n"/>
      <c r="X986" s="250" t="n"/>
      <c r="Y986" s="250" t="n"/>
      <c r="Z986" s="250" t="n"/>
    </row>
    <row r="987">
      <c r="A987" s="250" t="n"/>
      <c r="B987" s="250" t="n"/>
      <c r="C987" s="250" t="n"/>
      <c r="D987" s="250" t="n"/>
      <c r="E987" s="250" t="n"/>
      <c r="F987" s="250" t="n"/>
      <c r="G987" s="250" t="n"/>
      <c r="H987" s="250" t="n"/>
      <c r="I987" s="250" t="n"/>
      <c r="J987" s="250" t="n"/>
      <c r="K987" s="250" t="n"/>
      <c r="L987" s="250" t="n"/>
      <c r="M987" s="250" t="n"/>
      <c r="N987" s="250" t="n"/>
      <c r="O987" s="250" t="n"/>
      <c r="P987" s="250" t="n"/>
      <c r="Q987" s="250" t="n"/>
      <c r="R987" s="250" t="n"/>
      <c r="S987" s="250" t="n"/>
      <c r="T987" s="250" t="n"/>
      <c r="U987" s="250" t="n"/>
      <c r="V987" s="250" t="n"/>
      <c r="W987" s="250" t="n"/>
      <c r="X987" s="250" t="n"/>
      <c r="Y987" s="250" t="n"/>
      <c r="Z987" s="250" t="n"/>
    </row>
    <row r="988">
      <c r="A988" s="250" t="n"/>
      <c r="B988" s="250" t="n"/>
      <c r="C988" s="250" t="n"/>
      <c r="D988" s="250" t="n"/>
      <c r="E988" s="250" t="n"/>
      <c r="F988" s="250" t="n"/>
      <c r="G988" s="250" t="n"/>
      <c r="H988" s="250" t="n"/>
      <c r="I988" s="250" t="n"/>
      <c r="J988" s="250" t="n"/>
      <c r="K988" s="250" t="n"/>
      <c r="L988" s="250" t="n"/>
      <c r="M988" s="250" t="n"/>
      <c r="N988" s="250" t="n"/>
      <c r="O988" s="250" t="n"/>
      <c r="P988" s="250" t="n"/>
      <c r="Q988" s="250" t="n"/>
      <c r="R988" s="250" t="n"/>
      <c r="S988" s="250" t="n"/>
      <c r="T988" s="250" t="n"/>
      <c r="U988" s="250" t="n"/>
      <c r="V988" s="250" t="n"/>
      <c r="W988" s="250" t="n"/>
      <c r="X988" s="250" t="n"/>
      <c r="Y988" s="250" t="n"/>
      <c r="Z988" s="250" t="n"/>
    </row>
    <row r="989">
      <c r="A989" s="250" t="n"/>
      <c r="B989" s="250" t="n"/>
      <c r="C989" s="250" t="n"/>
      <c r="D989" s="250" t="n"/>
      <c r="E989" s="250" t="n"/>
      <c r="F989" s="250" t="n"/>
      <c r="G989" s="250" t="n"/>
      <c r="H989" s="250" t="n"/>
      <c r="I989" s="250" t="n"/>
      <c r="J989" s="250" t="n"/>
      <c r="K989" s="250" t="n"/>
      <c r="L989" s="250" t="n"/>
      <c r="M989" s="250" t="n"/>
      <c r="N989" s="250" t="n"/>
      <c r="O989" s="250" t="n"/>
      <c r="P989" s="250" t="n"/>
      <c r="Q989" s="250" t="n"/>
      <c r="R989" s="250" t="n"/>
      <c r="S989" s="250" t="n"/>
      <c r="T989" s="250" t="n"/>
      <c r="U989" s="250" t="n"/>
      <c r="V989" s="250" t="n"/>
      <c r="W989" s="250" t="n"/>
      <c r="X989" s="250" t="n"/>
      <c r="Y989" s="250" t="n"/>
      <c r="Z989" s="250" t="n"/>
    </row>
    <row r="990">
      <c r="A990" s="250" t="n"/>
      <c r="B990" s="250" t="n"/>
      <c r="C990" s="250" t="n"/>
      <c r="D990" s="250" t="n"/>
      <c r="E990" s="250" t="n"/>
      <c r="F990" s="250" t="n"/>
      <c r="G990" s="250" t="n"/>
      <c r="H990" s="250" t="n"/>
      <c r="I990" s="250" t="n"/>
      <c r="J990" s="250" t="n"/>
      <c r="K990" s="250" t="n"/>
      <c r="L990" s="250" t="n"/>
      <c r="M990" s="250" t="n"/>
      <c r="N990" s="250" t="n"/>
      <c r="O990" s="250" t="n"/>
      <c r="P990" s="250" t="n"/>
      <c r="Q990" s="250" t="n"/>
      <c r="R990" s="250" t="n"/>
      <c r="S990" s="250" t="n"/>
      <c r="T990" s="250" t="n"/>
      <c r="U990" s="250" t="n"/>
      <c r="V990" s="250" t="n"/>
      <c r="W990" s="250" t="n"/>
      <c r="X990" s="250" t="n"/>
      <c r="Y990" s="250" t="n"/>
      <c r="Z990" s="250" t="n"/>
    </row>
    <row r="991">
      <c r="A991" s="250" t="n"/>
      <c r="B991" s="250" t="n"/>
      <c r="C991" s="250" t="n"/>
      <c r="D991" s="250" t="n"/>
      <c r="E991" s="250" t="n"/>
      <c r="F991" s="250" t="n"/>
      <c r="G991" s="250" t="n"/>
      <c r="H991" s="250" t="n"/>
      <c r="I991" s="250" t="n"/>
      <c r="J991" s="250" t="n"/>
      <c r="K991" s="250" t="n"/>
      <c r="L991" s="250" t="n"/>
      <c r="M991" s="250" t="n"/>
      <c r="N991" s="250" t="n"/>
      <c r="O991" s="250" t="n"/>
      <c r="P991" s="250" t="n"/>
      <c r="Q991" s="250" t="n"/>
      <c r="R991" s="250" t="n"/>
      <c r="S991" s="250" t="n"/>
      <c r="T991" s="250" t="n"/>
      <c r="U991" s="250" t="n"/>
      <c r="V991" s="250" t="n"/>
      <c r="W991" s="250" t="n"/>
      <c r="X991" s="250" t="n"/>
      <c r="Y991" s="250" t="n"/>
      <c r="Z991" s="250" t="n"/>
    </row>
    <row r="992">
      <c r="A992" s="250" t="n"/>
      <c r="B992" s="250" t="n"/>
      <c r="C992" s="250" t="n"/>
      <c r="D992" s="250" t="n"/>
      <c r="E992" s="250" t="n"/>
      <c r="F992" s="250" t="n"/>
      <c r="G992" s="250" t="n"/>
      <c r="H992" s="250" t="n"/>
      <c r="I992" s="250" t="n"/>
      <c r="J992" s="250" t="n"/>
      <c r="K992" s="250" t="n"/>
      <c r="L992" s="250" t="n"/>
      <c r="M992" s="250" t="n"/>
      <c r="N992" s="250" t="n"/>
      <c r="O992" s="250" t="n"/>
      <c r="P992" s="250" t="n"/>
      <c r="Q992" s="250" t="n"/>
      <c r="R992" s="250" t="n"/>
      <c r="S992" s="250" t="n"/>
      <c r="T992" s="250" t="n"/>
      <c r="U992" s="250" t="n"/>
      <c r="V992" s="250" t="n"/>
      <c r="W992" s="250" t="n"/>
      <c r="X992" s="250" t="n"/>
      <c r="Y992" s="250" t="n"/>
      <c r="Z992" s="250" t="n"/>
    </row>
    <row r="993">
      <c r="A993" s="250" t="n"/>
      <c r="B993" s="250" t="n"/>
      <c r="C993" s="250" t="n"/>
      <c r="D993" s="250" t="n"/>
      <c r="E993" s="250" t="n"/>
      <c r="F993" s="250" t="n"/>
      <c r="G993" s="250" t="n"/>
      <c r="H993" s="250" t="n"/>
      <c r="I993" s="250" t="n"/>
      <c r="J993" s="250" t="n"/>
      <c r="K993" s="250" t="n"/>
      <c r="L993" s="250" t="n"/>
      <c r="M993" s="250" t="n"/>
      <c r="N993" s="250" t="n"/>
      <c r="O993" s="250" t="n"/>
      <c r="P993" s="250" t="n"/>
      <c r="Q993" s="250" t="n"/>
      <c r="R993" s="250" t="n"/>
      <c r="S993" s="250" t="n"/>
      <c r="T993" s="250" t="n"/>
      <c r="U993" s="250" t="n"/>
      <c r="V993" s="250" t="n"/>
      <c r="W993" s="250" t="n"/>
      <c r="X993" s="250" t="n"/>
      <c r="Y993" s="250" t="n"/>
      <c r="Z993" s="250" t="n"/>
    </row>
    <row r="994">
      <c r="A994" s="250" t="n"/>
      <c r="B994" s="250" t="n"/>
      <c r="C994" s="250" t="n"/>
      <c r="D994" s="250" t="n"/>
      <c r="E994" s="250" t="n"/>
      <c r="F994" s="250" t="n"/>
      <c r="G994" s="250" t="n"/>
      <c r="H994" s="250" t="n"/>
      <c r="I994" s="250" t="n"/>
      <c r="J994" s="250" t="n"/>
      <c r="K994" s="250" t="n"/>
      <c r="L994" s="250" t="n"/>
      <c r="M994" s="250" t="n"/>
      <c r="N994" s="250" t="n"/>
      <c r="O994" s="250" t="n"/>
      <c r="P994" s="250" t="n"/>
      <c r="Q994" s="250" t="n"/>
      <c r="R994" s="250" t="n"/>
      <c r="S994" s="250" t="n"/>
      <c r="T994" s="250" t="n"/>
      <c r="U994" s="250" t="n"/>
      <c r="V994" s="250" t="n"/>
      <c r="W994" s="250" t="n"/>
      <c r="X994" s="250" t="n"/>
      <c r="Y994" s="250" t="n"/>
      <c r="Z994" s="250" t="n"/>
    </row>
    <row r="995">
      <c r="A995" s="250" t="n"/>
      <c r="B995" s="250" t="n"/>
      <c r="C995" s="250" t="n"/>
      <c r="D995" s="250" t="n"/>
      <c r="E995" s="250" t="n"/>
      <c r="F995" s="250" t="n"/>
      <c r="G995" s="250" t="n"/>
      <c r="H995" s="250" t="n"/>
      <c r="I995" s="250" t="n"/>
      <c r="J995" s="250" t="n"/>
      <c r="K995" s="250" t="n"/>
      <c r="L995" s="250" t="n"/>
      <c r="M995" s="250" t="n"/>
      <c r="N995" s="250" t="n"/>
      <c r="O995" s="250" t="n"/>
      <c r="P995" s="250" t="n"/>
      <c r="Q995" s="250" t="n"/>
      <c r="R995" s="250" t="n"/>
      <c r="S995" s="250" t="n"/>
      <c r="T995" s="250" t="n"/>
      <c r="U995" s="250" t="n"/>
      <c r="V995" s="250" t="n"/>
      <c r="W995" s="250" t="n"/>
      <c r="X995" s="250" t="n"/>
      <c r="Y995" s="250" t="n"/>
      <c r="Z995" s="250" t="n"/>
    </row>
    <row r="996">
      <c r="A996" s="250" t="n"/>
      <c r="B996" s="250" t="n"/>
      <c r="C996" s="250" t="n"/>
      <c r="D996" s="250" t="n"/>
      <c r="E996" s="250" t="n"/>
      <c r="F996" s="250" t="n"/>
      <c r="G996" s="250" t="n"/>
      <c r="H996" s="250" t="n"/>
      <c r="I996" s="250" t="n"/>
      <c r="J996" s="250" t="n"/>
      <c r="K996" s="250" t="n"/>
      <c r="L996" s="250" t="n"/>
      <c r="M996" s="250" t="n"/>
      <c r="N996" s="250" t="n"/>
      <c r="O996" s="250" t="n"/>
      <c r="P996" s="250" t="n"/>
      <c r="Q996" s="250" t="n"/>
      <c r="R996" s="250" t="n"/>
      <c r="S996" s="250" t="n"/>
      <c r="T996" s="250" t="n"/>
      <c r="U996" s="250" t="n"/>
      <c r="V996" s="250" t="n"/>
      <c r="W996" s="250" t="n"/>
      <c r="X996" s="250" t="n"/>
      <c r="Y996" s="250" t="n"/>
      <c r="Z996" s="250" t="n"/>
    </row>
    <row r="997">
      <c r="A997" s="250" t="n"/>
      <c r="B997" s="250" t="n"/>
      <c r="C997" s="250" t="n"/>
      <c r="D997" s="250" t="n"/>
      <c r="E997" s="250" t="n"/>
      <c r="F997" s="250" t="n"/>
      <c r="G997" s="250" t="n"/>
      <c r="H997" s="250" t="n"/>
      <c r="I997" s="250" t="n"/>
      <c r="J997" s="250" t="n"/>
      <c r="K997" s="250" t="n"/>
      <c r="L997" s="250" t="n"/>
      <c r="M997" s="250" t="n"/>
      <c r="N997" s="250" t="n"/>
      <c r="O997" s="250" t="n"/>
      <c r="P997" s="250" t="n"/>
      <c r="Q997" s="250" t="n"/>
      <c r="R997" s="250" t="n"/>
      <c r="S997" s="250" t="n"/>
      <c r="T997" s="250" t="n"/>
      <c r="U997" s="250" t="n"/>
      <c r="V997" s="250" t="n"/>
      <c r="W997" s="250" t="n"/>
      <c r="X997" s="250" t="n"/>
      <c r="Y997" s="250" t="n"/>
      <c r="Z997" s="250" t="n"/>
    </row>
    <row r="998">
      <c r="A998" s="250" t="n"/>
      <c r="B998" s="250" t="n"/>
      <c r="C998" s="250" t="n"/>
      <c r="D998" s="250" t="n"/>
      <c r="E998" s="250" t="n"/>
      <c r="F998" s="250" t="n"/>
      <c r="G998" s="250" t="n"/>
      <c r="H998" s="250" t="n"/>
      <c r="I998" s="250" t="n"/>
      <c r="J998" s="250" t="n"/>
      <c r="K998" s="250" t="n"/>
      <c r="L998" s="250" t="n"/>
      <c r="M998" s="250" t="n"/>
      <c r="N998" s="250" t="n"/>
      <c r="O998" s="250" t="n"/>
      <c r="P998" s="250" t="n"/>
      <c r="Q998" s="250" t="n"/>
      <c r="R998" s="250" t="n"/>
      <c r="S998" s="250" t="n"/>
      <c r="T998" s="250" t="n"/>
      <c r="U998" s="250" t="n"/>
      <c r="V998" s="250" t="n"/>
      <c r="W998" s="250" t="n"/>
      <c r="X998" s="250" t="n"/>
      <c r="Y998" s="250" t="n"/>
      <c r="Z998" s="250" t="n"/>
    </row>
    <row r="999">
      <c r="A999" s="250" t="n"/>
      <c r="B999" s="250" t="n"/>
      <c r="C999" s="250" t="n"/>
      <c r="D999" s="250" t="n"/>
      <c r="E999" s="250" t="n"/>
      <c r="F999" s="250" t="n"/>
      <c r="G999" s="250" t="n"/>
      <c r="H999" s="250" t="n"/>
      <c r="I999" s="250" t="n"/>
      <c r="J999" s="250" t="n"/>
      <c r="K999" s="250" t="n"/>
      <c r="L999" s="250" t="n"/>
      <c r="M999" s="250" t="n"/>
      <c r="N999" s="250" t="n"/>
      <c r="O999" s="250" t="n"/>
      <c r="P999" s="250" t="n"/>
      <c r="Q999" s="250" t="n"/>
      <c r="R999" s="250" t="n"/>
      <c r="S999" s="250" t="n"/>
      <c r="T999" s="250" t="n"/>
      <c r="U999" s="250" t="n"/>
      <c r="V999" s="250" t="n"/>
      <c r="W999" s="250" t="n"/>
      <c r="X999" s="250" t="n"/>
      <c r="Y999" s="250" t="n"/>
      <c r="Z999" s="250" t="n"/>
    </row>
    <row r="1000">
      <c r="A1000" s="250" t="n"/>
      <c r="B1000" s="250" t="n"/>
      <c r="C1000" s="250" t="n"/>
      <c r="D1000" s="250" t="n"/>
      <c r="E1000" s="250" t="n"/>
      <c r="F1000" s="250" t="n"/>
      <c r="G1000" s="250" t="n"/>
      <c r="H1000" s="250" t="n"/>
      <c r="I1000" s="250" t="n"/>
      <c r="J1000" s="250" t="n"/>
      <c r="K1000" s="250" t="n"/>
      <c r="L1000" s="250" t="n"/>
      <c r="M1000" s="250" t="n"/>
      <c r="N1000" s="250" t="n"/>
      <c r="O1000" s="250" t="n"/>
      <c r="P1000" s="250" t="n"/>
      <c r="Q1000" s="250" t="n"/>
      <c r="R1000" s="250" t="n"/>
      <c r="S1000" s="250" t="n"/>
      <c r="T1000" s="250" t="n"/>
      <c r="U1000" s="250" t="n"/>
      <c r="V1000" s="250" t="n"/>
      <c r="W1000" s="250" t="n"/>
      <c r="X1000" s="250" t="n"/>
      <c r="Y1000" s="250" t="n"/>
      <c r="Z1000" s="250" t="n"/>
    </row>
  </sheetData>
  <dataValidations count="1">
    <dataValidation sqref="D4:D20 I4:I60 N4:N36" showDropDown="0" showInputMessage="0" showErrorMessage="1" allowBlank="1" type="list">
      <formula1>'アイテムID_管理'!$H:H</formula1>
    </dataValidation>
  </dataValidations>
  <pageMargins left="0.75" right="0.75" top="1" bottom="1" header="0.5" footer="0.5"/>
</worksheet>
</file>

<file path=xl/worksheets/sheet11.xml><?xml version="1.0" encoding="utf-8"?>
<worksheet xmlns="http://schemas.openxmlformats.org/spreadsheetml/2006/main">
  <sheetPr>
    <tabColor rgb="FFFF0000"/>
    <outlinePr summaryBelow="0" summaryRight="0"/>
    <pageSetUpPr/>
  </sheetPr>
  <dimension ref="A1:A1"/>
  <sheetViews>
    <sheetView workbookViewId="0">
      <selection activeCell="A1" sqref="A1"/>
    </sheetView>
  </sheetViews>
  <sheetFormatPr baseColWidth="8" defaultColWidth="12.63" defaultRowHeight="15.75" customHeight="1"/>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2.63" defaultRowHeight="15.75" customHeight="1"/>
  <cols>
    <col width="3.13" customWidth="1" style="482" min="1" max="1"/>
  </cols>
  <sheetData>
    <row r="1">
      <c r="A1" s="334" t="n"/>
      <c r="B1" s="334" t="n"/>
      <c r="C1" s="334" t="n"/>
      <c r="D1" s="334" t="n"/>
      <c r="E1" s="334" t="n"/>
      <c r="F1" s="334" t="n"/>
      <c r="G1" s="334" t="n"/>
      <c r="H1" s="334" t="n"/>
      <c r="I1" s="334" t="n"/>
      <c r="J1" s="334" t="n"/>
    </row>
    <row r="2">
      <c r="A2" s="334" t="n"/>
      <c r="B2" s="298" t="inlineStr">
        <is>
          <t>要求スタミナ</t>
        </is>
      </c>
      <c r="C2" s="563" t="inlineStr">
        <is>
          <t>メイン</t>
        </is>
      </c>
      <c r="D2" s="564" t="n"/>
      <c r="E2" s="565" t="n"/>
      <c r="F2" s="566" t="inlineStr">
        <is>
          <t>イベント</t>
        </is>
      </c>
      <c r="G2" s="564" t="n"/>
      <c r="H2" s="564" t="n"/>
      <c r="I2" s="564" t="n"/>
      <c r="J2" s="565" t="n"/>
    </row>
    <row r="3">
      <c r="A3" s="334" t="n"/>
      <c r="B3" s="303" t="n">
        <v>1</v>
      </c>
      <c r="C3" s="304" t="n"/>
      <c r="D3" s="305" t="n"/>
      <c r="E3" s="306" t="n"/>
      <c r="F3" s="307" t="inlineStr">
        <is>
          <t>1日1回</t>
        </is>
      </c>
      <c r="G3" s="308" t="n"/>
      <c r="H3" s="308" t="n"/>
      <c r="I3" s="309" t="n"/>
      <c r="J3" s="310" t="n"/>
    </row>
    <row r="4">
      <c r="A4" s="334" t="n"/>
      <c r="B4" s="311" t="n">
        <v>5</v>
      </c>
      <c r="C4" s="312" t="inlineStr">
        <is>
          <t>メインNormal1~3</t>
        </is>
      </c>
      <c r="D4" s="313" t="n"/>
      <c r="E4" s="314" t="n"/>
      <c r="F4" s="315" t="n"/>
      <c r="G4" s="313" t="n"/>
      <c r="H4" s="313" t="n"/>
      <c r="I4" s="313" t="n"/>
      <c r="J4" s="314" t="n"/>
    </row>
    <row r="5">
      <c r="A5" s="334" t="n"/>
      <c r="B5" s="311" t="n">
        <v>10</v>
      </c>
      <c r="C5" s="312" t="inlineStr">
        <is>
          <t>メインNormal4~6</t>
        </is>
      </c>
      <c r="D5" s="313" t="n"/>
      <c r="E5" s="314" t="n"/>
      <c r="F5" s="312" t="inlineStr">
        <is>
          <t>SRキャラGET1</t>
        </is>
      </c>
      <c r="G5" s="316" t="inlineStr">
        <is>
          <t>SSRキャラGET1</t>
        </is>
      </c>
      <c r="H5" s="316" t="inlineStr">
        <is>
          <t>原画1-2</t>
        </is>
      </c>
      <c r="I5" s="316" t="inlineStr">
        <is>
          <t>スコチャレ1</t>
        </is>
      </c>
      <c r="J5" s="314" t="n"/>
    </row>
    <row r="6">
      <c r="A6" s="334" t="n"/>
      <c r="B6" s="311" t="n">
        <v>15</v>
      </c>
      <c r="C6" s="312" t="inlineStr">
        <is>
          <t>メインNormal7~10</t>
        </is>
      </c>
      <c r="D6" s="313" t="n"/>
      <c r="E6" s="314" t="n"/>
      <c r="F6" s="315" t="n"/>
      <c r="G6" s="313" t="n"/>
      <c r="H6" s="313" t="n"/>
      <c r="I6" s="316" t="inlineStr">
        <is>
          <t>スコチャレ2</t>
        </is>
      </c>
      <c r="J6" s="314" t="n"/>
    </row>
    <row r="7">
      <c r="A7" s="334" t="n"/>
      <c r="B7" s="311" t="n">
        <v>20</v>
      </c>
      <c r="C7" s="312" t="inlineStr">
        <is>
          <t>メインNormal11~14</t>
        </is>
      </c>
      <c r="D7" s="316" t="inlineStr">
        <is>
          <t>メインHard1-6</t>
        </is>
      </c>
      <c r="E7" s="314" t="n"/>
      <c r="F7" s="312" t="inlineStr">
        <is>
          <t>SRキャラGET2</t>
        </is>
      </c>
      <c r="G7" s="316" t="inlineStr">
        <is>
          <t>SSRキャラGET2</t>
        </is>
      </c>
      <c r="H7" s="316" t="inlineStr">
        <is>
          <t>原画3</t>
        </is>
      </c>
      <c r="I7" s="316" t="inlineStr">
        <is>
          <t>スコチャレ3</t>
        </is>
      </c>
      <c r="J7" s="314" t="n"/>
    </row>
    <row r="8">
      <c r="A8" s="334" t="n"/>
      <c r="B8" s="311" t="n">
        <v>25</v>
      </c>
      <c r="C8" s="312" t="inlineStr">
        <is>
          <t>メインNormal15~16</t>
        </is>
      </c>
      <c r="D8" s="313" t="n"/>
      <c r="E8" s="314" t="n"/>
      <c r="F8" s="315" t="n"/>
      <c r="G8" s="313" t="n"/>
      <c r="H8" s="313" t="n"/>
      <c r="I8" s="316" t="inlineStr">
        <is>
          <t>スコチャレ4</t>
        </is>
      </c>
      <c r="J8" s="314" t="n"/>
    </row>
    <row r="9">
      <c r="A9" s="334" t="n"/>
      <c r="B9" s="311" t="n">
        <v>30</v>
      </c>
      <c r="C9" s="315" t="n"/>
      <c r="D9" s="316" t="inlineStr">
        <is>
          <t>メインHard7-12</t>
        </is>
      </c>
      <c r="E9" s="317" t="inlineStr">
        <is>
          <t>メインVHard1-8</t>
        </is>
      </c>
      <c r="F9" s="312" t="inlineStr">
        <is>
          <t>SRキャラGET3</t>
        </is>
      </c>
      <c r="G9" s="313" t="n"/>
      <c r="H9" s="316" t="inlineStr">
        <is>
          <t>原画4</t>
        </is>
      </c>
      <c r="I9" s="316" t="inlineStr">
        <is>
          <t>スコチャレ5</t>
        </is>
      </c>
      <c r="J9" s="317" t="inlineStr">
        <is>
          <t>高難度1</t>
        </is>
      </c>
    </row>
    <row r="10">
      <c r="A10" s="334" t="n"/>
      <c r="B10" s="311" t="n">
        <v>35</v>
      </c>
      <c r="C10" s="315" t="n"/>
      <c r="D10" s="313" t="n"/>
      <c r="E10" s="314" t="n"/>
      <c r="F10" s="315" t="n"/>
      <c r="G10" s="313" t="n"/>
      <c r="H10" s="318" t="n"/>
      <c r="I10" s="318" t="n"/>
      <c r="J10" s="314" t="n"/>
    </row>
    <row r="11">
      <c r="A11" s="334" t="n"/>
      <c r="B11" s="311" t="n">
        <v>40</v>
      </c>
      <c r="C11" s="315" t="n"/>
      <c r="D11" s="316" t="inlineStr">
        <is>
          <t>メインHard13~16</t>
        </is>
      </c>
      <c r="E11" s="317" t="inlineStr">
        <is>
          <t>メインVHard9-16</t>
        </is>
      </c>
      <c r="F11" s="315" t="n"/>
      <c r="G11" s="316" t="inlineStr">
        <is>
          <t>SSRキャラGET3</t>
        </is>
      </c>
      <c r="H11" s="318" t="n"/>
      <c r="I11" s="318" t="n"/>
      <c r="J11" s="314" t="n"/>
    </row>
    <row r="12">
      <c r="A12" s="334" t="n"/>
      <c r="B12" s="311" t="n">
        <v>45</v>
      </c>
      <c r="C12" s="315" t="n"/>
      <c r="D12" s="313" t="n"/>
      <c r="E12" s="314" t="n"/>
      <c r="F12" s="315" t="n"/>
      <c r="G12" s="313" t="n"/>
      <c r="H12" s="318" t="n"/>
      <c r="I12" s="318" t="n"/>
      <c r="J12" s="314" t="n"/>
    </row>
    <row r="13">
      <c r="A13" s="334" t="n"/>
      <c r="B13" s="319" t="n">
        <v>50</v>
      </c>
      <c r="C13" s="320" t="n"/>
      <c r="D13" s="321" t="n"/>
      <c r="E13" s="322" t="n"/>
      <c r="F13" s="320" t="n"/>
      <c r="G13" s="321" t="n"/>
      <c r="H13" s="321" t="n"/>
      <c r="I13" s="321" t="n"/>
      <c r="J13" s="323" t="inlineStr">
        <is>
          <t>高難度2</t>
        </is>
      </c>
    </row>
  </sheetData>
  <mergeCells count="2">
    <mergeCell ref="C2:E2"/>
    <mergeCell ref="F2:J2"/>
  </mergeCell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2.13" customWidth="1" style="482" min="1" max="1"/>
    <col width="8.380000000000001" customWidth="1" style="482" min="2" max="2"/>
    <col width="15.63" customWidth="1" style="482" min="3" max="3"/>
    <col width="8.880000000000001" customWidth="1" style="482" min="4" max="7"/>
    <col width="19.75" customWidth="1" style="482" min="8" max="8"/>
  </cols>
  <sheetData>
    <row r="1">
      <c r="A1" s="325" t="inlineStr">
        <is>
          <t>行パターンID</t>
        </is>
      </c>
      <c r="B1" s="325" t="inlineStr">
        <is>
          <t>コマ数</t>
        </is>
      </c>
      <c r="C1" s="325" t="inlineStr">
        <is>
          <t>パターン</t>
        </is>
      </c>
      <c r="D1" s="325" t="inlineStr">
        <is>
          <t>コマ幅1</t>
        </is>
      </c>
      <c r="E1" s="325" t="inlineStr">
        <is>
          <t>コマ幅2</t>
        </is>
      </c>
      <c r="F1" s="325" t="inlineStr">
        <is>
          <t>コマ幅3</t>
        </is>
      </c>
      <c r="G1" s="325" t="inlineStr">
        <is>
          <t>コマ幅4</t>
        </is>
      </c>
      <c r="H1" s="325" t="inlineStr">
        <is>
          <t>使用可能デプロイ</t>
        </is>
      </c>
    </row>
    <row r="2">
      <c r="A2" s="327" t="n">
        <v>1</v>
      </c>
      <c r="B2" s="327" t="inlineStr">
        <is>
          <t>1コマ</t>
        </is>
      </c>
      <c r="C2" s="327" t="inlineStr">
        <is>
          <t>1コマのみ</t>
        </is>
      </c>
      <c r="D2" s="329" t="n">
        <v>1</v>
      </c>
      <c r="E2" s="329" t="n"/>
      <c r="F2" s="329" t="n"/>
      <c r="G2" s="329" t="n"/>
      <c r="H2" s="327" t="inlineStr">
        <is>
          <t>実装済み</t>
        </is>
      </c>
    </row>
    <row r="3">
      <c r="A3" s="327" t="n">
        <v>2</v>
      </c>
      <c r="B3" s="327" t="inlineStr">
        <is>
          <t>2コマ</t>
        </is>
      </c>
      <c r="C3" s="327" t="inlineStr">
        <is>
          <t>右ちょい長2コマ</t>
        </is>
      </c>
      <c r="D3" s="329" t="n">
        <v>0.6</v>
      </c>
      <c r="E3" s="329" t="n">
        <v>0.4</v>
      </c>
      <c r="F3" s="329" t="n"/>
      <c r="G3" s="329" t="n"/>
      <c r="H3" s="327" t="inlineStr">
        <is>
          <t>実装済み</t>
        </is>
      </c>
    </row>
    <row r="4">
      <c r="A4" s="327" t="n">
        <v>3</v>
      </c>
      <c r="B4" s="327" t="inlineStr">
        <is>
          <t>2コマ</t>
        </is>
      </c>
      <c r="C4" s="327" t="inlineStr">
        <is>
          <t>左ちょい長2コマ</t>
        </is>
      </c>
      <c r="D4" s="329" t="n">
        <v>0.4</v>
      </c>
      <c r="E4" s="329" t="n">
        <v>0.6</v>
      </c>
      <c r="F4" s="329" t="n"/>
      <c r="G4" s="329" t="n"/>
      <c r="H4" s="327" t="inlineStr">
        <is>
          <t>実装済み</t>
        </is>
      </c>
    </row>
    <row r="5">
      <c r="A5" s="327" t="n">
        <v>4</v>
      </c>
      <c r="B5" s="327" t="inlineStr">
        <is>
          <t>2コマ</t>
        </is>
      </c>
      <c r="C5" s="327" t="inlineStr">
        <is>
          <t>がっつり右長2コマ</t>
        </is>
      </c>
      <c r="D5" s="329" t="n">
        <v>0.75</v>
      </c>
      <c r="E5" s="330" t="n">
        <v>0.25</v>
      </c>
      <c r="F5" s="329" t="n"/>
      <c r="G5" s="329" t="n"/>
      <c r="H5" s="327" t="inlineStr">
        <is>
          <t>実装済み</t>
        </is>
      </c>
    </row>
    <row r="6">
      <c r="A6" s="327" t="n">
        <v>5</v>
      </c>
      <c r="B6" s="327" t="inlineStr">
        <is>
          <t>2コマ</t>
        </is>
      </c>
      <c r="C6" s="327" t="inlineStr">
        <is>
          <t>がっつり左長2コマ</t>
        </is>
      </c>
      <c r="D6" s="329" t="n">
        <v>0.25</v>
      </c>
      <c r="E6" s="329" t="n">
        <v>0.75</v>
      </c>
      <c r="F6" s="329" t="n"/>
      <c r="G6" s="329" t="n"/>
      <c r="H6" s="327" t="inlineStr">
        <is>
          <t>実装済み</t>
        </is>
      </c>
    </row>
    <row r="7">
      <c r="A7" s="327" t="n">
        <v>6</v>
      </c>
      <c r="B7" s="327" t="inlineStr">
        <is>
          <t>2コマ</t>
        </is>
      </c>
      <c r="C7" s="327" t="inlineStr">
        <is>
          <t>2等分</t>
        </is>
      </c>
      <c r="D7" s="329" t="n">
        <v>0.5</v>
      </c>
      <c r="E7" s="329" t="n">
        <v>0.5</v>
      </c>
      <c r="F7" s="329" t="n"/>
      <c r="G7" s="329" t="n"/>
      <c r="H7" s="327" t="inlineStr">
        <is>
          <t>実装済み</t>
        </is>
      </c>
    </row>
    <row r="8">
      <c r="A8" s="327" t="n">
        <v>7</v>
      </c>
      <c r="B8" s="327" t="inlineStr">
        <is>
          <t>3コマ</t>
        </is>
      </c>
      <c r="C8" s="327" t="inlineStr">
        <is>
          <t>3等分</t>
        </is>
      </c>
      <c r="D8" s="329" t="n">
        <v>0.33</v>
      </c>
      <c r="E8" s="329" t="n">
        <v>0.34</v>
      </c>
      <c r="F8" s="329" t="n">
        <v>0.33</v>
      </c>
      <c r="G8" s="329" t="n"/>
      <c r="H8" s="327" t="inlineStr">
        <is>
          <t>実装済み</t>
        </is>
      </c>
    </row>
    <row r="9">
      <c r="A9" s="327" t="n">
        <v>8</v>
      </c>
      <c r="B9" s="327" t="inlineStr">
        <is>
          <t>3コマ</t>
        </is>
      </c>
      <c r="C9" s="327" t="inlineStr">
        <is>
          <t>右広い</t>
        </is>
      </c>
      <c r="D9" s="329" t="n">
        <v>0.5</v>
      </c>
      <c r="E9" s="329" t="n">
        <v>0.25</v>
      </c>
      <c r="F9" s="329" t="n">
        <v>0.25</v>
      </c>
      <c r="G9" s="329" t="n"/>
      <c r="H9" s="327" t="inlineStr">
        <is>
          <t>実装済み</t>
        </is>
      </c>
    </row>
    <row r="10">
      <c r="A10" s="327" t="n">
        <v>9</v>
      </c>
      <c r="B10" s="327" t="inlineStr">
        <is>
          <t>3コマ</t>
        </is>
      </c>
      <c r="C10" s="327" t="inlineStr">
        <is>
          <t>中央広い</t>
        </is>
      </c>
      <c r="D10" s="329" t="n">
        <v>0.25</v>
      </c>
      <c r="E10" s="329" t="n">
        <v>0.5</v>
      </c>
      <c r="F10" s="329" t="n">
        <v>0.25</v>
      </c>
      <c r="G10" s="329" t="n"/>
      <c r="H10" s="327" t="inlineStr">
        <is>
          <t>実装済み</t>
        </is>
      </c>
    </row>
    <row r="11">
      <c r="A11" s="327" t="n">
        <v>10</v>
      </c>
      <c r="B11" s="327" t="inlineStr">
        <is>
          <t>3コマ</t>
        </is>
      </c>
      <c r="C11" s="327" t="inlineStr">
        <is>
          <t>左広い</t>
        </is>
      </c>
      <c r="D11" s="329" t="n">
        <v>0.25</v>
      </c>
      <c r="E11" s="329" t="n">
        <v>0.25</v>
      </c>
      <c r="F11" s="329" t="n">
        <v>0.5</v>
      </c>
      <c r="G11" s="329" t="n"/>
      <c r="H11" s="327" t="inlineStr">
        <is>
          <t>実装済み</t>
        </is>
      </c>
    </row>
    <row r="12">
      <c r="A12" s="327" t="n">
        <v>11</v>
      </c>
      <c r="B12" s="327" t="inlineStr">
        <is>
          <t>3コマ</t>
        </is>
      </c>
      <c r="C12" s="327" t="inlineStr">
        <is>
          <t>中央狭い</t>
        </is>
      </c>
      <c r="D12" s="329" t="n">
        <v>0.4</v>
      </c>
      <c r="E12" s="329" t="n">
        <v>0.2</v>
      </c>
      <c r="F12" s="329" t="n">
        <v>0.4</v>
      </c>
      <c r="G12" s="329" t="n"/>
      <c r="H12" s="327" t="inlineStr">
        <is>
          <t>実装済み</t>
        </is>
      </c>
    </row>
    <row r="13">
      <c r="A13" s="327" t="n">
        <v>12</v>
      </c>
      <c r="B13" s="327" t="inlineStr">
        <is>
          <t>4コマ</t>
        </is>
      </c>
      <c r="C13" s="327" t="inlineStr">
        <is>
          <t>4等分</t>
        </is>
      </c>
      <c r="D13" s="329" t="n">
        <v>0.25</v>
      </c>
      <c r="E13" s="329" t="n">
        <v>0.25</v>
      </c>
      <c r="F13" s="329" t="n">
        <v>0.25</v>
      </c>
      <c r="G13" s="329" t="n">
        <v>0.25</v>
      </c>
      <c r="H13" s="327" t="inlineStr">
        <is>
          <t>実装済み</t>
        </is>
      </c>
    </row>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B22"/>
  <sheetViews>
    <sheetView workbookViewId="0">
      <selection activeCell="A1" sqref="A1"/>
    </sheetView>
  </sheetViews>
  <sheetFormatPr baseColWidth="8" defaultColWidth="12.63" defaultRowHeight="15.75" customHeight="1"/>
  <cols>
    <col width="15.63" customWidth="1" style="482" min="1" max="1"/>
  </cols>
  <sheetData>
    <row r="1">
      <c r="A1" s="325" t="inlineStr">
        <is>
          <t>効果内容</t>
        </is>
      </c>
      <c r="B1" s="325" t="inlineStr">
        <is>
          <t>効果param</t>
        </is>
      </c>
    </row>
    <row r="2">
      <c r="A2" s="327" t="inlineStr">
        <is>
          <t>攻撃力upコマ</t>
        </is>
      </c>
      <c r="B2" s="327" t="inlineStr">
        <is>
          <t>AttackPowerUp</t>
        </is>
      </c>
    </row>
    <row r="3">
      <c r="A3" s="327" t="inlineStr">
        <is>
          <t>攻撃力downコマ</t>
        </is>
      </c>
      <c r="B3" s="327" t="inlineStr">
        <is>
          <t>AttackPowerDown</t>
        </is>
      </c>
    </row>
    <row r="4">
      <c r="A4" s="327" t="inlineStr">
        <is>
          <t>移動スピードupコマ</t>
        </is>
      </c>
      <c r="B4" s="327" t="inlineStr">
        <is>
          <t>MoveSpeedUp</t>
        </is>
      </c>
    </row>
    <row r="5">
      <c r="A5" s="327" t="inlineStr">
        <is>
          <t>ダメージコマ</t>
        </is>
      </c>
      <c r="B5" s="327" t="inlineStr">
        <is>
          <t>SlipDamage</t>
        </is>
      </c>
    </row>
    <row r="6">
      <c r="A6" s="327" t="inlineStr">
        <is>
          <t>突風コマ</t>
        </is>
      </c>
      <c r="B6" s="327" t="inlineStr">
        <is>
          <t>Gust</t>
        </is>
      </c>
    </row>
    <row r="7">
      <c r="A7" s="327" t="inlineStr">
        <is>
          <t>毒コマ</t>
        </is>
      </c>
      <c r="B7" s="327" t="inlineStr">
        <is>
          <t>Poison</t>
        </is>
      </c>
    </row>
    <row r="8">
      <c r="A8" s="327" t="inlineStr">
        <is>
          <t>暗闇コマ</t>
        </is>
      </c>
      <c r="B8" s="327" t="inlineStr">
        <is>
          <t>Darkness</t>
        </is>
      </c>
    </row>
    <row r="9">
      <c r="A9" s="334" t="inlineStr">
        <is>
          <t>火傷コマ</t>
        </is>
      </c>
      <c r="B9" s="334" t="inlineStr">
        <is>
          <t>Burn</t>
        </is>
      </c>
    </row>
    <row r="22">
      <c r="A22" s="327" t="n"/>
    </row>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T1000"/>
  <sheetViews>
    <sheetView workbookViewId="0">
      <selection activeCell="A1" sqref="A1"/>
    </sheetView>
  </sheetViews>
  <sheetFormatPr baseColWidth="8" defaultColWidth="12.63" defaultRowHeight="15.75" customHeight="1"/>
  <cols>
    <col width="15.63" customWidth="1" style="482" min="1" max="1"/>
    <col width="19.25" customWidth="1" style="482" min="2" max="2"/>
    <col width="6.13" customWidth="1" style="482" min="3" max="3"/>
    <col width="21" customWidth="1" style="482" min="4" max="4"/>
    <col width="14.38" customWidth="1" style="482" min="5" max="5"/>
    <col width="6.13" customWidth="1" style="482" min="6" max="6"/>
    <col width="21" customWidth="1" style="482" min="7" max="7"/>
    <col width="17.75" customWidth="1" style="482" min="8" max="8"/>
    <col width="6.13" customWidth="1" style="482" min="9" max="9"/>
    <col width="17.75" customWidth="1" style="482" min="10" max="20"/>
  </cols>
  <sheetData>
    <row r="1">
      <c r="A1" s="331" t="inlineStr">
        <is>
          <t>param</t>
        </is>
      </c>
      <c r="B1" s="331" t="inlineStr">
        <is>
          <t>出現トリガー説明</t>
        </is>
      </c>
      <c r="C1" s="334" t="n"/>
      <c r="D1" s="331" t="inlineStr">
        <is>
          <t>param</t>
        </is>
      </c>
      <c r="E1" s="331" t="inlineStr">
        <is>
          <t>登場内容</t>
        </is>
      </c>
      <c r="F1" s="334" t="n"/>
      <c r="G1" s="331" t="inlineStr">
        <is>
          <t>param</t>
        </is>
      </c>
      <c r="H1" s="332" t="inlineStr">
        <is>
          <t>歩き出し内容</t>
        </is>
      </c>
      <c r="I1" s="334" t="n"/>
      <c r="J1" s="331" t="inlineStr">
        <is>
          <t>param</t>
        </is>
      </c>
      <c r="K1" s="331" t="inlineStr">
        <is>
          <t>移動停止</t>
        </is>
      </c>
      <c r="L1" s="334" t="n"/>
      <c r="M1" s="333" t="inlineStr">
        <is>
          <t>transformationConditionType</t>
        </is>
      </c>
      <c r="N1" s="332" t="inlineStr">
        <is>
          <t>変身条件</t>
        </is>
      </c>
      <c r="O1" s="334" t="n"/>
      <c r="P1" s="333" t="inlineStr">
        <is>
          <t>aura_type</t>
        </is>
      </c>
      <c r="Q1" s="333" t="inlineStr">
        <is>
          <t>内容</t>
        </is>
      </c>
      <c r="R1" s="334" t="n"/>
      <c r="S1" s="333" t="inlineStr">
        <is>
          <t>death_type</t>
        </is>
      </c>
      <c r="T1" s="333" t="n"/>
    </row>
    <row r="2">
      <c r="A2" s="334" t="inlineStr">
        <is>
          <t>未入力</t>
        </is>
      </c>
      <c r="B2" s="334" t="n"/>
      <c r="C2" s="334" t="n"/>
      <c r="D2" s="334" t="inlineStr">
        <is>
          <t>None</t>
        </is>
      </c>
      <c r="E2" s="334" t="inlineStr">
        <is>
          <t>ノーマル</t>
        </is>
      </c>
      <c r="F2" s="334" t="n"/>
      <c r="G2" s="334" t="inlineStr">
        <is>
          <t>None</t>
        </is>
      </c>
      <c r="H2" s="334" t="inlineStr">
        <is>
          <t>なにもなし</t>
        </is>
      </c>
      <c r="I2" s="334" t="n"/>
      <c r="J2" s="334" t="inlineStr">
        <is>
          <t>None</t>
        </is>
      </c>
      <c r="K2" s="334" t="inlineStr">
        <is>
          <t>なにもなし</t>
        </is>
      </c>
      <c r="L2" s="334" t="n"/>
      <c r="M2" s="334" t="inlineStr">
        <is>
          <t>None</t>
        </is>
      </c>
      <c r="N2" s="334" t="inlineStr">
        <is>
          <t>なにもなし</t>
        </is>
      </c>
      <c r="O2" s="334" t="n"/>
      <c r="P2" s="334" t="inlineStr">
        <is>
          <t>Default</t>
        </is>
      </c>
      <c r="Q2" s="334" t="inlineStr">
        <is>
          <t>オーラなし</t>
        </is>
      </c>
      <c r="R2" s="334" t="n"/>
      <c r="S2" s="334" t="inlineStr">
        <is>
          <t>Normal</t>
        </is>
      </c>
      <c r="T2" s="334" t="inlineStr">
        <is>
          <t>通常死亡</t>
        </is>
      </c>
    </row>
    <row r="3">
      <c r="A3" s="334" t="inlineStr">
        <is>
          <t>ElapsedTime</t>
        </is>
      </c>
      <c r="B3" s="334" t="inlineStr">
        <is>
          <t>時間経過毎</t>
        </is>
      </c>
      <c r="C3" s="334" t="n"/>
      <c r="D3" s="334" t="inlineStr">
        <is>
          <t>Fall0</t>
        </is>
      </c>
      <c r="E3" s="334" t="inlineStr">
        <is>
          <t>高さ0登場</t>
        </is>
      </c>
      <c r="F3" s="334" t="n"/>
      <c r="G3" s="334" t="inlineStr">
        <is>
          <t>ElapsedTime</t>
        </is>
      </c>
      <c r="H3" s="334" t="inlineStr">
        <is>
          <t>時間経過歩き出し</t>
        </is>
      </c>
      <c r="I3" s="334" t="n"/>
      <c r="J3" s="334" t="inlineStr">
        <is>
          <t>ElapsedTime</t>
        </is>
      </c>
      <c r="K3" s="334" t="inlineStr">
        <is>
          <t>時間経過停止</t>
        </is>
      </c>
      <c r="L3" s="334" t="n"/>
      <c r="M3" s="334" t="inlineStr">
        <is>
          <t>HpPercentage</t>
        </is>
      </c>
      <c r="N3" s="334" t="inlineStr">
        <is>
          <t>HPパーセンテージ</t>
        </is>
      </c>
      <c r="O3" s="334" t="n"/>
      <c r="P3" s="334" t="inlineStr">
        <is>
          <t>Boss</t>
        </is>
      </c>
      <c r="Q3" s="334" t="inlineStr">
        <is>
          <t>通常ボスオーラ（※kindがbossの場合使用なし）</t>
        </is>
      </c>
      <c r="R3" s="334" t="n"/>
      <c r="S3" s="334" t="inlineStr">
        <is>
          <t>Escape</t>
        </is>
      </c>
      <c r="T3" s="334" t="inlineStr">
        <is>
          <t>撤退</t>
        </is>
      </c>
    </row>
    <row r="4">
      <c r="A4" s="334" t="inlineStr">
        <is>
          <t>OutpostDamage</t>
        </is>
      </c>
      <c r="B4" s="334" t="inlineStr">
        <is>
          <t>ゲートHPがn値削れたら</t>
        </is>
      </c>
      <c r="C4" s="334" t="n"/>
      <c r="D4" s="334" t="inlineStr">
        <is>
          <t>Fall</t>
        </is>
      </c>
      <c r="E4" s="334" t="inlineStr">
        <is>
          <t>落下登場</t>
        </is>
      </c>
      <c r="F4" s="334" t="n"/>
      <c r="G4" s="334" t="inlineStr">
        <is>
          <t>FoeEnterSameKoma</t>
        </is>
      </c>
      <c r="H4" s="334" t="inlineStr">
        <is>
          <t>自分のコマ侵入時</t>
        </is>
      </c>
      <c r="I4" s="334" t="n"/>
      <c r="J4" s="334" t="inlineStr">
        <is>
          <t>TargetPosition</t>
        </is>
      </c>
      <c r="K4" s="334" t="inlineStr">
        <is>
          <t>特定ポジションまで</t>
        </is>
      </c>
      <c r="L4" s="334" t="n"/>
      <c r="M4" s="334" t="inlineStr">
        <is>
          <t>StageTime</t>
        </is>
      </c>
      <c r="N4" s="334" t="inlineStr">
        <is>
          <t>バトル開始時間</t>
        </is>
      </c>
      <c r="O4" s="334" t="n"/>
      <c r="P4" s="334" t="inlineStr">
        <is>
          <t>AdventBoss1</t>
        </is>
      </c>
      <c r="Q4" s="334" t="inlineStr">
        <is>
          <t>降臨バトルオーラ1</t>
        </is>
      </c>
      <c r="R4" s="334" t="n"/>
      <c r="S4" s="334" t="n"/>
      <c r="T4" s="334" t="n"/>
    </row>
    <row r="5">
      <c r="A5" s="334" t="inlineStr">
        <is>
          <t>OutpostHpPercentage</t>
        </is>
      </c>
      <c r="B5" s="334" t="inlineStr">
        <is>
          <t>ゲートHPがn%削れたら</t>
        </is>
      </c>
      <c r="C5" s="334" t="n"/>
      <c r="D5" s="334" t="inlineStr">
        <is>
          <t>Fall4</t>
        </is>
      </c>
      <c r="E5" s="334" t="inlineStr">
        <is>
          <t>とても高いところから登場</t>
        </is>
      </c>
      <c r="F5" s="334" t="n"/>
      <c r="G5" s="334" t="inlineStr">
        <is>
          <t>EnterTargetKoma</t>
        </is>
      </c>
      <c r="H5" s="334" t="inlineStr">
        <is>
          <t>指定コマ侵入時</t>
        </is>
      </c>
      <c r="I5" s="334" t="n"/>
      <c r="J5" s="334" t="inlineStr">
        <is>
          <t>PassedKomaCount</t>
        </is>
      </c>
      <c r="K5" s="335" t="inlineStr">
        <is>
          <t>移動開始してからの移動したコマ数</t>
        </is>
      </c>
      <c r="L5" s="334" t="n"/>
      <c r="M5" s="334" t="n"/>
      <c r="N5" s="334" t="n"/>
      <c r="O5" s="334" t="n"/>
      <c r="P5" s="334" t="inlineStr">
        <is>
          <t>AdventBoss2</t>
        </is>
      </c>
      <c r="Q5" s="334" t="inlineStr">
        <is>
          <t>降臨バトルオーラ2</t>
        </is>
      </c>
      <c r="R5" s="334" t="n"/>
      <c r="S5" s="334" t="n"/>
      <c r="T5" s="334" t="n"/>
    </row>
    <row r="6">
      <c r="A6" s="334" t="inlineStr">
        <is>
          <t>InitialSummon</t>
        </is>
      </c>
      <c r="B6" s="334" t="inlineStr">
        <is>
          <t>nコマ目に配置指定</t>
        </is>
      </c>
      <c r="C6" s="334" t="n"/>
      <c r="D6" s="334" t="n"/>
      <c r="E6" s="334" t="n"/>
      <c r="F6" s="334" t="n"/>
      <c r="G6" s="334" t="inlineStr">
        <is>
          <t>Damage</t>
        </is>
      </c>
      <c r="H6" s="334" t="inlineStr">
        <is>
          <t>自身がダメージを受けたら</t>
        </is>
      </c>
      <c r="I6" s="334" t="n"/>
      <c r="J6" s="334" t="n"/>
      <c r="K6" s="334" t="n"/>
      <c r="L6" s="334" t="n"/>
      <c r="M6" s="334" t="n"/>
      <c r="N6" s="334" t="n"/>
      <c r="O6" s="334" t="n"/>
      <c r="P6" s="334" t="inlineStr">
        <is>
          <t>AdventBoss3</t>
        </is>
      </c>
      <c r="Q6" s="334" t="inlineStr">
        <is>
          <t>降臨バトルオーラ3</t>
        </is>
      </c>
      <c r="R6" s="334" t="n"/>
      <c r="S6" s="334" t="n"/>
      <c r="T6" s="334" t="n"/>
    </row>
    <row r="7">
      <c r="A7" s="334" t="inlineStr">
        <is>
          <t>EnterTargetKomaIndex</t>
        </is>
      </c>
      <c r="B7" s="334" t="inlineStr">
        <is>
          <t>nコマ目にキャラが侵入したら</t>
        </is>
      </c>
      <c r="C7" s="334" t="n"/>
      <c r="D7" s="334" t="n"/>
      <c r="E7" s="334" t="n"/>
      <c r="F7" s="334" t="n"/>
      <c r="G7" s="334" t="inlineStr">
        <is>
          <t>DeadFriendUnitCount</t>
        </is>
      </c>
      <c r="H7" s="334" t="inlineStr">
        <is>
          <t>ファントムがX体倒されたら</t>
        </is>
      </c>
      <c r="I7" s="334" t="n"/>
      <c r="J7" s="334" t="n"/>
      <c r="K7" s="334" t="n"/>
      <c r="L7" s="334" t="n"/>
      <c r="M7" s="334" t="n"/>
      <c r="N7" s="334" t="n"/>
      <c r="O7" s="334" t="n"/>
      <c r="P7" s="334" t="n"/>
      <c r="Q7" s="334" t="n"/>
      <c r="R7" s="334" t="n"/>
      <c r="S7" s="334" t="n"/>
      <c r="T7" s="334" t="n"/>
    </row>
    <row r="8">
      <c r="A8" s="334" t="inlineStr">
        <is>
          <t>DarknessKomaCleared</t>
        </is>
      </c>
      <c r="B8" s="334" t="inlineStr">
        <is>
          <t>nコマ目の暗闇コマが晴れたら</t>
        </is>
      </c>
      <c r="C8" s="334" t="n"/>
      <c r="D8" s="334" t="n"/>
      <c r="E8" s="334" t="n"/>
      <c r="F8" s="334" t="n"/>
      <c r="G8" s="334" t="n"/>
      <c r="H8" s="334" t="n"/>
      <c r="I8" s="334" t="n"/>
      <c r="J8" s="334" t="n"/>
      <c r="K8" s="334" t="n"/>
      <c r="L8" s="334" t="n"/>
      <c r="M8" s="334" t="n"/>
      <c r="N8" s="334" t="n"/>
      <c r="O8" s="334" t="n"/>
      <c r="P8" s="334" t="n"/>
      <c r="Q8" s="334" t="n"/>
      <c r="R8" s="334" t="n"/>
      <c r="S8" s="334" t="n"/>
      <c r="T8" s="334" t="n"/>
    </row>
    <row r="9">
      <c r="A9" s="334" t="inlineStr">
        <is>
          <t>FriendUnitDead</t>
        </is>
      </c>
      <c r="B9" s="334" t="inlineStr">
        <is>
          <t>sequence_element_id、「n」のエネミーが死んだら</t>
        </is>
      </c>
      <c r="C9" s="334" t="n"/>
      <c r="D9" s="334" t="n"/>
      <c r="E9" s="334" t="n"/>
      <c r="F9" s="334" t="n"/>
      <c r="G9" s="334" t="n"/>
      <c r="H9" s="334" t="n"/>
      <c r="I9" s="334" t="n"/>
      <c r="J9" s="334" t="n"/>
      <c r="K9" s="334" t="n"/>
      <c r="L9" s="334" t="n"/>
      <c r="M9" s="334" t="n"/>
      <c r="N9" s="334" t="n"/>
      <c r="O9" s="334" t="n"/>
      <c r="P9" s="334" t="n"/>
      <c r="Q9" s="334" t="n"/>
      <c r="R9" s="334" t="n"/>
      <c r="S9" s="334" t="n"/>
      <c r="T9" s="334" t="n"/>
    </row>
    <row r="10">
      <c r="A10" s="334" t="inlineStr">
        <is>
          <t>FriendUnitTransform</t>
        </is>
      </c>
      <c r="B10" s="334" t="inlineStr">
        <is>
          <t>sequence_element_id、「n」のエネミーが変身したら</t>
        </is>
      </c>
      <c r="C10" s="334" t="n"/>
      <c r="D10" s="334" t="n"/>
      <c r="E10" s="334" t="n"/>
      <c r="F10" s="334" t="n"/>
      <c r="G10" s="334" t="n"/>
      <c r="H10" s="334" t="n"/>
      <c r="I10" s="334" t="n"/>
      <c r="J10" s="334" t="n"/>
      <c r="K10" s="334" t="n"/>
      <c r="L10" s="334" t="n"/>
      <c r="M10" s="334" t="n"/>
      <c r="N10" s="334" t="n"/>
      <c r="O10" s="334" t="n"/>
      <c r="P10" s="334" t="n"/>
      <c r="Q10" s="334" t="n"/>
      <c r="R10" s="334" t="n"/>
      <c r="S10" s="334" t="n"/>
      <c r="T10" s="334" t="n"/>
    </row>
    <row r="11">
      <c r="A11" s="334" t="inlineStr">
        <is>
          <t>ElapsedTimeSinceSequenceGroupActivated</t>
        </is>
      </c>
      <c r="B11" s="334" t="inlineStr">
        <is>
          <t>sequence_group_id、「n」が活性化したら</t>
        </is>
      </c>
      <c r="C11" s="334" t="n"/>
      <c r="D11" s="334" t="n"/>
      <c r="E11" s="334" t="n"/>
      <c r="F11" s="334" t="n"/>
      <c r="G11" s="334" t="n"/>
      <c r="H11" s="334" t="n"/>
      <c r="I11" s="334" t="n"/>
      <c r="J11" s="334" t="n"/>
      <c r="K11" s="334" t="n"/>
      <c r="L11" s="334" t="n"/>
      <c r="M11" s="334" t="n"/>
      <c r="N11" s="334" t="n"/>
      <c r="O11" s="334" t="n"/>
      <c r="P11" s="334" t="n"/>
      <c r="Q11" s="334" t="n"/>
      <c r="R11" s="334" t="n"/>
      <c r="S11" s="334" t="n"/>
      <c r="T11" s="334" t="n"/>
    </row>
    <row r="12">
      <c r="A12" s="334" t="inlineStr">
        <is>
          <t>None</t>
        </is>
      </c>
      <c r="B12" s="334" t="n"/>
      <c r="C12" s="334" t="n"/>
      <c r="D12" s="334" t="n"/>
      <c r="E12" s="334" t="n"/>
      <c r="F12" s="334" t="n"/>
      <c r="G12" s="334" t="n"/>
      <c r="H12" s="334" t="n"/>
      <c r="I12" s="334" t="n"/>
      <c r="J12" s="334" t="n"/>
      <c r="K12" s="334" t="n"/>
      <c r="L12" s="334" t="n"/>
      <c r="M12" s="334" t="n"/>
      <c r="N12" s="334" t="n"/>
      <c r="O12" s="334" t="n"/>
      <c r="P12" s="334" t="n"/>
      <c r="Q12" s="334" t="n"/>
      <c r="R12" s="334" t="n"/>
      <c r="S12" s="334" t="n"/>
      <c r="T12" s="334" t="n"/>
    </row>
    <row r="13">
      <c r="A13" s="334" t="inlineStr">
        <is>
          <t>FriendUnitSummoned</t>
        </is>
      </c>
      <c r="B13" s="334" t="inlineStr">
        <is>
          <t>ユニットが召喚されたら</t>
        </is>
      </c>
      <c r="C13" s="334" t="n"/>
      <c r="D13" s="334" t="n"/>
      <c r="E13" s="334" t="n"/>
      <c r="F13" s="334" t="n"/>
      <c r="G13" s="334" t="n"/>
      <c r="H13" s="334" t="n"/>
      <c r="I13" s="334" t="n"/>
      <c r="J13" s="334" t="n"/>
      <c r="K13" s="334" t="n"/>
      <c r="L13" s="334" t="n"/>
      <c r="M13" s="334" t="n"/>
      <c r="N13" s="334" t="n"/>
      <c r="O13" s="334" t="n"/>
      <c r="P13" s="334" t="n"/>
      <c r="Q13" s="334" t="n"/>
      <c r="R13" s="334" t="n"/>
      <c r="S13" s="334" t="n"/>
      <c r="T13" s="334" t="n"/>
    </row>
    <row r="14">
      <c r="A14" s="334" t="n"/>
      <c r="B14" s="334" t="n"/>
      <c r="C14" s="334" t="n"/>
      <c r="D14" s="334" t="n"/>
      <c r="E14" s="334" t="n"/>
      <c r="F14" s="334" t="n"/>
      <c r="G14" s="334" t="n"/>
      <c r="H14" s="334" t="n"/>
      <c r="I14" s="334" t="n"/>
      <c r="J14" s="334" t="n"/>
      <c r="K14" s="334" t="n"/>
      <c r="L14" s="334" t="n"/>
      <c r="M14" s="334" t="n"/>
      <c r="N14" s="334" t="n"/>
      <c r="O14" s="334" t="n"/>
      <c r="P14" s="334" t="n"/>
      <c r="Q14" s="334" t="n"/>
      <c r="R14" s="334" t="n"/>
      <c r="S14" s="334" t="n"/>
      <c r="T14" s="334" t="n"/>
    </row>
    <row r="15">
      <c r="A15" s="334" t="n"/>
      <c r="B15" s="334" t="n"/>
      <c r="C15" s="334" t="n"/>
      <c r="D15" s="334" t="n"/>
      <c r="E15" s="334" t="n"/>
      <c r="F15" s="334" t="n"/>
      <c r="G15" s="334" t="n"/>
      <c r="H15" s="334" t="n"/>
      <c r="I15" s="334" t="n"/>
      <c r="J15" s="334" t="n"/>
      <c r="K15" s="334" t="n"/>
      <c r="L15" s="334" t="n"/>
      <c r="M15" s="334" t="n"/>
      <c r="N15" s="334" t="n"/>
      <c r="O15" s="334" t="n"/>
      <c r="P15" s="334" t="n"/>
      <c r="Q15" s="334" t="n"/>
      <c r="R15" s="334" t="n"/>
      <c r="S15" s="334" t="n"/>
      <c r="T15" s="334" t="n"/>
    </row>
    <row r="16">
      <c r="A16" s="334" t="n"/>
      <c r="B16" s="334" t="n"/>
      <c r="C16" s="334" t="n"/>
      <c r="D16" s="334" t="n"/>
      <c r="E16" s="334" t="n"/>
      <c r="F16" s="334" t="n"/>
      <c r="G16" s="334" t="n"/>
      <c r="H16" s="334" t="n"/>
      <c r="I16" s="334" t="n"/>
      <c r="J16" s="334" t="n"/>
      <c r="K16" s="334" t="n"/>
      <c r="L16" s="334" t="n"/>
      <c r="M16" s="334" t="n"/>
      <c r="N16" s="334" t="n"/>
      <c r="O16" s="334" t="n"/>
      <c r="P16" s="334" t="n"/>
      <c r="Q16" s="334" t="n"/>
      <c r="R16" s="334" t="n"/>
      <c r="S16" s="334" t="n"/>
      <c r="T16" s="334" t="n"/>
    </row>
    <row r="17">
      <c r="A17" s="334" t="n"/>
      <c r="B17" s="334" t="n"/>
      <c r="C17" s="334" t="n"/>
      <c r="D17" s="334" t="n"/>
      <c r="E17" s="334" t="n"/>
      <c r="F17" s="334" t="n"/>
      <c r="G17" s="334" t="n"/>
      <c r="H17" s="334" t="n"/>
      <c r="I17" s="334" t="n"/>
      <c r="J17" s="334" t="n"/>
      <c r="K17" s="334" t="n"/>
      <c r="L17" s="334" t="n"/>
      <c r="M17" s="334" t="n"/>
      <c r="N17" s="334" t="n"/>
      <c r="O17" s="334" t="n"/>
      <c r="P17" s="334" t="n"/>
      <c r="Q17" s="334" t="n"/>
      <c r="R17" s="334" t="n"/>
      <c r="S17" s="334" t="n"/>
      <c r="T17" s="334" t="n"/>
    </row>
    <row r="18">
      <c r="A18" s="334" t="n"/>
      <c r="B18" s="334" t="n"/>
      <c r="C18" s="334" t="n"/>
      <c r="D18" s="334" t="n"/>
      <c r="E18" s="334" t="n"/>
      <c r="F18" s="334" t="n"/>
      <c r="G18" s="334" t="n"/>
      <c r="H18" s="334" t="n"/>
      <c r="I18" s="334" t="n"/>
      <c r="J18" s="334" t="n"/>
      <c r="K18" s="334" t="n"/>
      <c r="L18" s="334" t="n"/>
      <c r="M18" s="334" t="n"/>
      <c r="N18" s="334" t="n"/>
      <c r="O18" s="334" t="n"/>
      <c r="P18" s="334" t="n"/>
      <c r="Q18" s="334" t="n"/>
      <c r="R18" s="334" t="n"/>
      <c r="S18" s="334" t="n"/>
      <c r="T18" s="334" t="n"/>
    </row>
    <row r="19">
      <c r="A19" s="334" t="n"/>
      <c r="B19" s="334" t="n"/>
      <c r="C19" s="334" t="n"/>
      <c r="D19" s="334" t="n"/>
      <c r="E19" s="334" t="n"/>
      <c r="F19" s="334" t="n"/>
      <c r="G19" s="334" t="n"/>
      <c r="H19" s="334" t="n"/>
      <c r="I19" s="334" t="n"/>
      <c r="J19" s="334" t="n"/>
      <c r="K19" s="334" t="n"/>
      <c r="L19" s="334" t="n"/>
      <c r="M19" s="334" t="n"/>
      <c r="N19" s="334" t="n"/>
      <c r="O19" s="334" t="n"/>
      <c r="P19" s="334" t="n"/>
      <c r="Q19" s="334" t="n"/>
      <c r="R19" s="334" t="n"/>
      <c r="S19" s="334" t="n"/>
      <c r="T19" s="334" t="n"/>
    </row>
    <row r="20">
      <c r="A20" s="334" t="n"/>
      <c r="B20" s="334" t="n"/>
      <c r="C20" s="334" t="n"/>
      <c r="D20" s="334" t="n"/>
      <c r="E20" s="334" t="n"/>
      <c r="F20" s="334" t="n"/>
      <c r="G20" s="334" t="n"/>
      <c r="H20" s="334" t="n"/>
      <c r="I20" s="334" t="n"/>
      <c r="J20" s="334" t="n"/>
      <c r="K20" s="334" t="n"/>
      <c r="L20" s="334" t="n"/>
      <c r="M20" s="334" t="n"/>
      <c r="N20" s="334" t="n"/>
      <c r="O20" s="334" t="n"/>
      <c r="P20" s="334" t="n"/>
      <c r="Q20" s="334" t="n"/>
      <c r="R20" s="334" t="n"/>
      <c r="S20" s="334" t="n"/>
      <c r="T20" s="334" t="n"/>
    </row>
    <row r="21">
      <c r="A21" s="334" t="n"/>
      <c r="B21" s="334" t="n"/>
      <c r="C21" s="334" t="n"/>
      <c r="D21" s="334" t="n"/>
      <c r="E21" s="334" t="n"/>
      <c r="F21" s="334" t="n"/>
      <c r="G21" s="334" t="n"/>
      <c r="H21" s="334" t="n"/>
      <c r="I21" s="334" t="n"/>
      <c r="J21" s="334" t="n"/>
      <c r="K21" s="334" t="n"/>
      <c r="L21" s="334" t="n"/>
      <c r="M21" s="334" t="n"/>
      <c r="N21" s="334" t="n"/>
      <c r="O21" s="334" t="n"/>
      <c r="P21" s="334" t="n"/>
      <c r="Q21" s="334" t="n"/>
      <c r="R21" s="334" t="n"/>
      <c r="S21" s="334" t="n"/>
      <c r="T21" s="334" t="n"/>
    </row>
    <row r="22">
      <c r="A22" s="334" t="n"/>
      <c r="B22" s="334" t="n"/>
      <c r="C22" s="334" t="n"/>
      <c r="D22" s="334" t="n"/>
      <c r="E22" s="334" t="n"/>
      <c r="F22" s="334" t="n"/>
      <c r="G22" s="334" t="n"/>
      <c r="H22" s="334" t="n"/>
      <c r="I22" s="334" t="n"/>
      <c r="J22" s="334" t="n"/>
      <c r="K22" s="334" t="n"/>
      <c r="L22" s="334" t="n"/>
      <c r="M22" s="334" t="n"/>
      <c r="N22" s="334" t="n"/>
      <c r="O22" s="334" t="n"/>
      <c r="P22" s="334" t="n"/>
      <c r="Q22" s="334" t="n"/>
      <c r="R22" s="334" t="n"/>
      <c r="S22" s="334" t="n"/>
      <c r="T22" s="334" t="n"/>
    </row>
    <row r="23">
      <c r="A23" s="334" t="n"/>
      <c r="B23" s="334" t="n"/>
      <c r="C23" s="334" t="n"/>
      <c r="D23" s="334" t="n"/>
      <c r="E23" s="334" t="n"/>
      <c r="F23" s="334" t="n"/>
      <c r="G23" s="334" t="n"/>
      <c r="H23" s="334" t="n"/>
      <c r="I23" s="334" t="n"/>
      <c r="J23" s="334" t="n"/>
      <c r="K23" s="334" t="n"/>
      <c r="L23" s="334" t="n"/>
      <c r="M23" s="334" t="n"/>
      <c r="N23" s="334" t="n"/>
      <c r="O23" s="334" t="n"/>
      <c r="P23" s="334" t="n"/>
      <c r="Q23" s="334" t="n"/>
      <c r="R23" s="334" t="n"/>
      <c r="S23" s="334" t="n"/>
      <c r="T23" s="334" t="n"/>
    </row>
    <row r="24">
      <c r="A24" s="334" t="n"/>
      <c r="B24" s="334" t="n"/>
      <c r="C24" s="334" t="n"/>
      <c r="D24" s="334" t="n"/>
      <c r="E24" s="334" t="n"/>
      <c r="F24" s="334" t="n"/>
      <c r="G24" s="334" t="n"/>
      <c r="H24" s="334" t="n"/>
      <c r="I24" s="334" t="n"/>
      <c r="J24" s="334" t="n"/>
      <c r="K24" s="334" t="n"/>
      <c r="L24" s="334" t="n"/>
      <c r="M24" s="334" t="n"/>
      <c r="N24" s="334" t="n"/>
      <c r="O24" s="334" t="n"/>
      <c r="P24" s="334" t="n"/>
      <c r="Q24" s="334" t="n"/>
      <c r="R24" s="334" t="n"/>
      <c r="S24" s="334" t="n"/>
      <c r="T24" s="334" t="n"/>
    </row>
    <row r="25">
      <c r="A25" s="334" t="n"/>
      <c r="B25" s="334" t="n"/>
      <c r="C25" s="334" t="n"/>
      <c r="D25" s="334" t="n"/>
      <c r="E25" s="334" t="n"/>
      <c r="F25" s="334" t="n"/>
      <c r="G25" s="334" t="n"/>
      <c r="H25" s="334" t="n"/>
      <c r="I25" s="334" t="n"/>
      <c r="J25" s="334" t="n"/>
      <c r="K25" s="334" t="n"/>
      <c r="L25" s="334" t="n"/>
      <c r="M25" s="334" t="n"/>
      <c r="N25" s="334" t="n"/>
      <c r="O25" s="334" t="n"/>
      <c r="P25" s="334" t="n"/>
      <c r="Q25" s="334" t="n"/>
      <c r="R25" s="334" t="n"/>
      <c r="S25" s="334" t="n"/>
      <c r="T25" s="334" t="n"/>
    </row>
    <row r="26">
      <c r="A26" s="334" t="n"/>
      <c r="B26" s="334" t="n"/>
      <c r="C26" s="334" t="n"/>
      <c r="D26" s="334" t="n"/>
      <c r="E26" s="334" t="n"/>
      <c r="F26" s="334" t="n"/>
      <c r="G26" s="334" t="n"/>
      <c r="H26" s="334" t="n"/>
      <c r="I26" s="334" t="n"/>
      <c r="J26" s="334" t="n"/>
      <c r="K26" s="334" t="n"/>
      <c r="L26" s="334" t="n"/>
      <c r="M26" s="334" t="n"/>
      <c r="N26" s="334" t="n"/>
      <c r="O26" s="334" t="n"/>
      <c r="P26" s="334" t="n"/>
      <c r="Q26" s="334" t="n"/>
      <c r="R26" s="334" t="n"/>
      <c r="S26" s="334" t="n"/>
      <c r="T26" s="334" t="n"/>
    </row>
    <row r="27">
      <c r="A27" s="334" t="n"/>
      <c r="B27" s="334" t="n"/>
      <c r="C27" s="334" t="n"/>
      <c r="D27" s="334" t="n"/>
      <c r="E27" s="334" t="n"/>
      <c r="F27" s="334" t="n"/>
      <c r="G27" s="334" t="n"/>
      <c r="H27" s="334" t="n"/>
      <c r="I27" s="334" t="n"/>
      <c r="J27" s="334" t="n"/>
      <c r="K27" s="334" t="n"/>
      <c r="L27" s="334" t="n"/>
      <c r="M27" s="334" t="n"/>
      <c r="N27" s="334" t="n"/>
      <c r="O27" s="334" t="n"/>
      <c r="P27" s="334" t="n"/>
      <c r="Q27" s="334" t="n"/>
      <c r="R27" s="334" t="n"/>
      <c r="S27" s="334" t="n"/>
      <c r="T27" s="334" t="n"/>
    </row>
    <row r="28">
      <c r="A28" s="334" t="n"/>
      <c r="B28" s="334" t="n"/>
      <c r="C28" s="334" t="n"/>
      <c r="D28" s="334" t="n"/>
      <c r="E28" s="334" t="n"/>
      <c r="F28" s="334" t="n"/>
      <c r="G28" s="334" t="n"/>
      <c r="H28" s="334" t="n"/>
      <c r="I28" s="334" t="n"/>
      <c r="J28" s="334" t="n"/>
      <c r="K28" s="334" t="n"/>
      <c r="L28" s="334" t="n"/>
      <c r="M28" s="334" t="n"/>
      <c r="N28" s="334" t="n"/>
      <c r="O28" s="334" t="n"/>
      <c r="P28" s="334" t="n"/>
      <c r="Q28" s="334" t="n"/>
      <c r="R28" s="334" t="n"/>
      <c r="S28" s="334" t="n"/>
      <c r="T28" s="334" t="n"/>
    </row>
    <row r="29">
      <c r="A29" s="334" t="n"/>
      <c r="B29" s="334" t="n"/>
      <c r="C29" s="334" t="n"/>
      <c r="D29" s="334" t="n"/>
      <c r="E29" s="334" t="n"/>
      <c r="F29" s="334" t="n"/>
      <c r="G29" s="334" t="n"/>
      <c r="H29" s="334" t="n"/>
      <c r="I29" s="334" t="n"/>
      <c r="J29" s="334" t="n"/>
      <c r="K29" s="334" t="n"/>
      <c r="L29" s="334" t="n"/>
      <c r="M29" s="334" t="n"/>
      <c r="N29" s="334" t="n"/>
      <c r="O29" s="334" t="n"/>
      <c r="P29" s="334" t="n"/>
      <c r="Q29" s="334" t="n"/>
      <c r="R29" s="334" t="n"/>
      <c r="S29" s="334" t="n"/>
      <c r="T29" s="334" t="n"/>
    </row>
    <row r="30">
      <c r="A30" s="334" t="n"/>
      <c r="B30" s="334" t="n"/>
      <c r="C30" s="334" t="n"/>
      <c r="D30" s="334" t="n"/>
      <c r="E30" s="334" t="n"/>
      <c r="F30" s="334" t="n"/>
      <c r="G30" s="334" t="n"/>
      <c r="H30" s="334" t="n"/>
      <c r="I30" s="334" t="n"/>
      <c r="J30" s="334" t="n"/>
      <c r="K30" s="334" t="n"/>
      <c r="L30" s="334" t="n"/>
      <c r="M30" s="334" t="n"/>
      <c r="N30" s="334" t="n"/>
      <c r="O30" s="334" t="n"/>
      <c r="P30" s="334" t="n"/>
      <c r="Q30" s="334" t="n"/>
      <c r="R30" s="334" t="n"/>
      <c r="S30" s="334" t="n"/>
      <c r="T30" s="334" t="n"/>
    </row>
    <row r="31">
      <c r="A31" s="334" t="n"/>
      <c r="B31" s="334" t="n"/>
      <c r="C31" s="334" t="n"/>
      <c r="D31" s="334" t="n"/>
      <c r="E31" s="334" t="n"/>
      <c r="F31" s="334" t="n"/>
      <c r="G31" s="334" t="n"/>
      <c r="H31" s="334" t="n"/>
      <c r="I31" s="334" t="n"/>
      <c r="J31" s="334" t="n"/>
      <c r="K31" s="334" t="n"/>
      <c r="L31" s="334" t="n"/>
      <c r="M31" s="334" t="n"/>
      <c r="N31" s="334" t="n"/>
      <c r="O31" s="334" t="n"/>
      <c r="P31" s="334" t="n"/>
      <c r="Q31" s="334" t="n"/>
      <c r="R31" s="334" t="n"/>
      <c r="S31" s="334" t="n"/>
      <c r="T31" s="334" t="n"/>
    </row>
    <row r="32">
      <c r="A32" s="334" t="n"/>
      <c r="B32" s="334" t="n"/>
      <c r="C32" s="334" t="n"/>
      <c r="D32" s="334" t="n"/>
      <c r="E32" s="334" t="n"/>
      <c r="F32" s="334" t="n"/>
      <c r="G32" s="334" t="n"/>
      <c r="H32" s="334" t="n"/>
      <c r="I32" s="334" t="n"/>
      <c r="J32" s="334" t="n"/>
      <c r="K32" s="334" t="n"/>
      <c r="L32" s="334" t="n"/>
      <c r="M32" s="334" t="n"/>
      <c r="N32" s="334" t="n"/>
      <c r="O32" s="334" t="n"/>
      <c r="P32" s="334" t="n"/>
      <c r="Q32" s="334" t="n"/>
      <c r="R32" s="334" t="n"/>
      <c r="S32" s="334" t="n"/>
      <c r="T32" s="334" t="n"/>
    </row>
    <row r="33">
      <c r="A33" s="334" t="n"/>
      <c r="B33" s="334" t="n"/>
      <c r="C33" s="334" t="n"/>
      <c r="D33" s="334" t="n"/>
      <c r="E33" s="334" t="n"/>
      <c r="F33" s="334" t="n"/>
      <c r="G33" s="334" t="n"/>
      <c r="H33" s="334" t="n"/>
      <c r="I33" s="334" t="n"/>
      <c r="J33" s="334" t="n"/>
      <c r="K33" s="334" t="n"/>
      <c r="L33" s="334" t="n"/>
      <c r="M33" s="334" t="n"/>
      <c r="N33" s="334" t="n"/>
      <c r="O33" s="334" t="n"/>
      <c r="P33" s="334" t="n"/>
      <c r="Q33" s="334" t="n"/>
      <c r="R33" s="334" t="n"/>
      <c r="S33" s="334" t="n"/>
      <c r="T33" s="334" t="n"/>
    </row>
    <row r="34">
      <c r="A34" s="334" t="n"/>
      <c r="B34" s="334" t="n"/>
      <c r="C34" s="334" t="n"/>
      <c r="D34" s="334" t="n"/>
      <c r="E34" s="334" t="n"/>
      <c r="F34" s="334" t="n"/>
      <c r="G34" s="334" t="n"/>
      <c r="H34" s="334" t="n"/>
      <c r="I34" s="334" t="n"/>
      <c r="J34" s="334" t="n"/>
      <c r="K34" s="334" t="n"/>
      <c r="L34" s="334" t="n"/>
      <c r="M34" s="334" t="n"/>
      <c r="N34" s="334" t="n"/>
      <c r="O34" s="334" t="n"/>
      <c r="P34" s="334" t="n"/>
      <c r="Q34" s="334" t="n"/>
      <c r="R34" s="334" t="n"/>
      <c r="S34" s="334" t="n"/>
      <c r="T34" s="334" t="n"/>
    </row>
    <row r="35">
      <c r="A35" s="334" t="n"/>
      <c r="B35" s="334" t="n"/>
      <c r="C35" s="334" t="n"/>
      <c r="D35" s="334" t="n"/>
      <c r="E35" s="334" t="n"/>
      <c r="F35" s="334" t="n"/>
      <c r="G35" s="334" t="n"/>
      <c r="H35" s="334" t="n"/>
      <c r="I35" s="334" t="n"/>
      <c r="J35" s="334" t="n"/>
      <c r="K35" s="334" t="n"/>
      <c r="L35" s="334" t="n"/>
      <c r="M35" s="334" t="n"/>
      <c r="N35" s="334" t="n"/>
      <c r="O35" s="334" t="n"/>
      <c r="P35" s="334" t="n"/>
      <c r="Q35" s="334" t="n"/>
      <c r="R35" s="334" t="n"/>
      <c r="S35" s="334" t="n"/>
      <c r="T35" s="334" t="n"/>
    </row>
    <row r="36">
      <c r="A36" s="334" t="n"/>
      <c r="B36" s="334" t="n"/>
      <c r="C36" s="334" t="n"/>
      <c r="D36" s="334" t="n"/>
      <c r="E36" s="334" t="n"/>
      <c r="F36" s="334" t="n"/>
      <c r="G36" s="334" t="n"/>
      <c r="H36" s="334" t="n"/>
      <c r="I36" s="334" t="n"/>
      <c r="J36" s="334" t="n"/>
      <c r="K36" s="334" t="n"/>
      <c r="L36" s="334" t="n"/>
      <c r="M36" s="334" t="n"/>
      <c r="N36" s="334" t="n"/>
      <c r="O36" s="334" t="n"/>
      <c r="P36" s="334" t="n"/>
      <c r="Q36" s="334" t="n"/>
      <c r="R36" s="334" t="n"/>
      <c r="S36" s="334" t="n"/>
      <c r="T36" s="334" t="n"/>
    </row>
    <row r="37">
      <c r="A37" s="334" t="n"/>
      <c r="B37" s="334" t="n"/>
      <c r="C37" s="334" t="n"/>
      <c r="D37" s="334" t="n"/>
      <c r="E37" s="334" t="n"/>
      <c r="F37" s="334" t="n"/>
      <c r="G37" s="334" t="n"/>
      <c r="H37" s="334" t="n"/>
      <c r="I37" s="334" t="n"/>
      <c r="J37" s="334" t="n"/>
      <c r="K37" s="334" t="n"/>
      <c r="L37" s="334" t="n"/>
      <c r="M37" s="334" t="n"/>
      <c r="N37" s="334" t="n"/>
      <c r="O37" s="334" t="n"/>
      <c r="P37" s="334" t="n"/>
      <c r="Q37" s="334" t="n"/>
      <c r="R37" s="334" t="n"/>
      <c r="S37" s="334" t="n"/>
      <c r="T37" s="334" t="n"/>
    </row>
    <row r="38">
      <c r="A38" s="334" t="n"/>
      <c r="B38" s="334" t="n"/>
      <c r="C38" s="334" t="n"/>
      <c r="D38" s="334" t="n"/>
      <c r="E38" s="334" t="n"/>
      <c r="F38" s="334" t="n"/>
      <c r="G38" s="334" t="n"/>
      <c r="H38" s="334" t="n"/>
      <c r="I38" s="334" t="n"/>
      <c r="J38" s="334" t="n"/>
      <c r="K38" s="334" t="n"/>
      <c r="L38" s="334" t="n"/>
      <c r="M38" s="334" t="n"/>
      <c r="N38" s="334" t="n"/>
      <c r="O38" s="334" t="n"/>
      <c r="P38" s="334" t="n"/>
      <c r="Q38" s="334" t="n"/>
      <c r="R38" s="334" t="n"/>
      <c r="S38" s="334" t="n"/>
      <c r="T38" s="334" t="n"/>
    </row>
    <row r="39">
      <c r="A39" s="334" t="n"/>
      <c r="B39" s="334" t="n"/>
      <c r="C39" s="334" t="n"/>
      <c r="D39" s="334" t="n"/>
      <c r="E39" s="334" t="n"/>
      <c r="F39" s="334" t="n"/>
      <c r="G39" s="334" t="n"/>
      <c r="H39" s="334" t="n"/>
      <c r="I39" s="334" t="n"/>
      <c r="J39" s="334" t="n"/>
      <c r="K39" s="334" t="n"/>
      <c r="L39" s="334" t="n"/>
      <c r="M39" s="334" t="n"/>
      <c r="N39" s="334" t="n"/>
      <c r="O39" s="334" t="n"/>
      <c r="P39" s="334" t="n"/>
      <c r="Q39" s="334" t="n"/>
      <c r="R39" s="334" t="n"/>
      <c r="S39" s="334" t="n"/>
      <c r="T39" s="334" t="n"/>
    </row>
    <row r="40">
      <c r="A40" s="334" t="n"/>
      <c r="B40" s="334" t="n"/>
      <c r="C40" s="334" t="n"/>
      <c r="D40" s="334" t="n"/>
      <c r="E40" s="334" t="n"/>
      <c r="F40" s="334" t="n"/>
      <c r="G40" s="334" t="n"/>
      <c r="H40" s="334" t="n"/>
      <c r="I40" s="334" t="n"/>
      <c r="J40" s="334" t="n"/>
      <c r="K40" s="334" t="n"/>
      <c r="L40" s="334" t="n"/>
      <c r="M40" s="334" t="n"/>
      <c r="N40" s="334" t="n"/>
      <c r="O40" s="334" t="n"/>
      <c r="P40" s="334" t="n"/>
      <c r="Q40" s="334" t="n"/>
      <c r="R40" s="334" t="n"/>
      <c r="S40" s="334" t="n"/>
      <c r="T40" s="334" t="n"/>
    </row>
    <row r="41">
      <c r="A41" s="334" t="n"/>
      <c r="B41" s="334" t="n"/>
      <c r="C41" s="334" t="n"/>
      <c r="D41" s="334" t="n"/>
      <c r="E41" s="334" t="n"/>
      <c r="F41" s="334" t="n"/>
      <c r="G41" s="334" t="n"/>
      <c r="H41" s="334" t="n"/>
      <c r="I41" s="334" t="n"/>
      <c r="J41" s="334" t="n"/>
      <c r="K41" s="334" t="n"/>
      <c r="L41" s="334" t="n"/>
      <c r="M41" s="334" t="n"/>
      <c r="N41" s="334" t="n"/>
      <c r="O41" s="334" t="n"/>
      <c r="P41" s="334" t="n"/>
      <c r="Q41" s="334" t="n"/>
      <c r="R41" s="334" t="n"/>
      <c r="S41" s="334" t="n"/>
      <c r="T41" s="334" t="n"/>
    </row>
    <row r="42">
      <c r="A42" s="334" t="n"/>
      <c r="B42" s="334" t="n"/>
      <c r="C42" s="334" t="n"/>
      <c r="D42" s="334" t="n"/>
      <c r="E42" s="334" t="n"/>
      <c r="F42" s="334" t="n"/>
      <c r="G42" s="334" t="n"/>
      <c r="H42" s="334" t="n"/>
      <c r="I42" s="334" t="n"/>
      <c r="J42" s="334" t="n"/>
      <c r="K42" s="334" t="n"/>
      <c r="L42" s="334" t="n"/>
      <c r="M42" s="334" t="n"/>
      <c r="N42" s="334" t="n"/>
      <c r="O42" s="334" t="n"/>
      <c r="P42" s="334" t="n"/>
      <c r="Q42" s="334" t="n"/>
      <c r="R42" s="334" t="n"/>
      <c r="S42" s="334" t="n"/>
      <c r="T42" s="334" t="n"/>
    </row>
    <row r="43">
      <c r="A43" s="334" t="n"/>
      <c r="B43" s="334" t="n"/>
      <c r="C43" s="334" t="n"/>
      <c r="D43" s="334" t="n"/>
      <c r="E43" s="334" t="n"/>
      <c r="F43" s="334" t="n"/>
      <c r="G43" s="334" t="n"/>
      <c r="H43" s="334" t="n"/>
      <c r="I43" s="334" t="n"/>
      <c r="J43" s="334" t="n"/>
      <c r="K43" s="334" t="n"/>
      <c r="L43" s="334" t="n"/>
      <c r="M43" s="334" t="n"/>
      <c r="N43" s="334" t="n"/>
      <c r="O43" s="334" t="n"/>
      <c r="P43" s="334" t="n"/>
      <c r="Q43" s="334" t="n"/>
      <c r="R43" s="334" t="n"/>
      <c r="S43" s="334" t="n"/>
      <c r="T43" s="334" t="n"/>
    </row>
    <row r="44">
      <c r="A44" s="334" t="n"/>
      <c r="B44" s="334" t="n"/>
      <c r="C44" s="334" t="n"/>
      <c r="D44" s="334" t="n"/>
      <c r="E44" s="334" t="n"/>
      <c r="F44" s="334" t="n"/>
      <c r="G44" s="334" t="n"/>
      <c r="H44" s="334" t="n"/>
      <c r="I44" s="334" t="n"/>
      <c r="J44" s="334" t="n"/>
      <c r="K44" s="334" t="n"/>
      <c r="L44" s="334" t="n"/>
      <c r="M44" s="334" t="n"/>
      <c r="N44" s="334" t="n"/>
      <c r="O44" s="334" t="n"/>
      <c r="P44" s="334" t="n"/>
      <c r="Q44" s="334" t="n"/>
      <c r="R44" s="334" t="n"/>
      <c r="S44" s="334" t="n"/>
      <c r="T44" s="334" t="n"/>
    </row>
    <row r="45">
      <c r="A45" s="334" t="n"/>
      <c r="B45" s="334" t="n"/>
      <c r="C45" s="334" t="n"/>
      <c r="D45" s="334" t="n"/>
      <c r="E45" s="334" t="n"/>
      <c r="F45" s="334" t="n"/>
      <c r="G45" s="334" t="n"/>
      <c r="H45" s="334" t="n"/>
      <c r="I45" s="334" t="n"/>
      <c r="J45" s="334" t="n"/>
      <c r="K45" s="334" t="n"/>
      <c r="L45" s="334" t="n"/>
      <c r="M45" s="334" t="n"/>
      <c r="N45" s="334" t="n"/>
      <c r="O45" s="334" t="n"/>
      <c r="P45" s="334" t="n"/>
      <c r="Q45" s="334" t="n"/>
      <c r="R45" s="334" t="n"/>
      <c r="S45" s="334" t="n"/>
      <c r="T45" s="334" t="n"/>
    </row>
    <row r="46">
      <c r="A46" s="334" t="n"/>
      <c r="B46" s="334" t="n"/>
      <c r="C46" s="334" t="n"/>
      <c r="D46" s="334" t="n"/>
      <c r="E46" s="334" t="n"/>
      <c r="F46" s="334" t="n"/>
      <c r="G46" s="334" t="n"/>
      <c r="H46" s="334" t="n"/>
      <c r="I46" s="334" t="n"/>
      <c r="J46" s="334" t="n"/>
      <c r="K46" s="334" t="n"/>
      <c r="L46" s="334" t="n"/>
      <c r="M46" s="334" t="n"/>
      <c r="N46" s="334" t="n"/>
      <c r="O46" s="334" t="n"/>
      <c r="P46" s="334" t="n"/>
      <c r="Q46" s="334" t="n"/>
      <c r="R46" s="334" t="n"/>
      <c r="S46" s="334" t="n"/>
      <c r="T46" s="334" t="n"/>
    </row>
    <row r="47">
      <c r="A47" s="334" t="n"/>
      <c r="B47" s="334" t="n"/>
      <c r="C47" s="334" t="n"/>
      <c r="D47" s="334" t="n"/>
      <c r="E47" s="334" t="n"/>
      <c r="F47" s="334" t="n"/>
      <c r="G47" s="334" t="n"/>
      <c r="H47" s="334" t="n"/>
      <c r="I47" s="334" t="n"/>
      <c r="J47" s="334" t="n"/>
      <c r="K47" s="334" t="n"/>
      <c r="L47" s="334" t="n"/>
      <c r="M47" s="334" t="n"/>
      <c r="N47" s="334" t="n"/>
      <c r="O47" s="334" t="n"/>
      <c r="P47" s="334" t="n"/>
      <c r="Q47" s="334" t="n"/>
      <c r="R47" s="334" t="n"/>
      <c r="S47" s="334" t="n"/>
      <c r="T47" s="334" t="n"/>
    </row>
    <row r="48">
      <c r="A48" s="334" t="n"/>
      <c r="B48" s="334" t="n"/>
      <c r="C48" s="334" t="n"/>
      <c r="D48" s="334" t="n"/>
      <c r="E48" s="334" t="n"/>
      <c r="F48" s="334" t="n"/>
      <c r="G48" s="334" t="n"/>
      <c r="H48" s="334" t="n"/>
      <c r="I48" s="334" t="n"/>
      <c r="J48" s="334" t="n"/>
      <c r="K48" s="334" t="n"/>
      <c r="L48" s="334" t="n"/>
      <c r="M48" s="334" t="n"/>
      <c r="N48" s="334" t="n"/>
      <c r="O48" s="334" t="n"/>
      <c r="P48" s="334" t="n"/>
      <c r="Q48" s="334" t="n"/>
      <c r="R48" s="334" t="n"/>
      <c r="S48" s="334" t="n"/>
      <c r="T48" s="334" t="n"/>
    </row>
    <row r="49">
      <c r="A49" s="334" t="n"/>
      <c r="B49" s="334" t="n"/>
      <c r="C49" s="334" t="n"/>
      <c r="D49" s="334" t="n"/>
      <c r="E49" s="334" t="n"/>
      <c r="F49" s="334" t="n"/>
      <c r="G49" s="334" t="n"/>
      <c r="H49" s="334" t="n"/>
      <c r="I49" s="334" t="n"/>
      <c r="J49" s="334" t="n"/>
      <c r="K49" s="334" t="n"/>
      <c r="L49" s="334" t="n"/>
      <c r="M49" s="334" t="n"/>
      <c r="N49" s="334" t="n"/>
      <c r="O49" s="334" t="n"/>
      <c r="P49" s="334" t="n"/>
      <c r="Q49" s="334" t="n"/>
      <c r="R49" s="334" t="n"/>
      <c r="S49" s="334" t="n"/>
      <c r="T49" s="334" t="n"/>
    </row>
    <row r="50">
      <c r="A50" s="334" t="n"/>
      <c r="B50" s="334" t="n"/>
      <c r="C50" s="334" t="n"/>
      <c r="D50" s="334" t="n"/>
      <c r="E50" s="334" t="n"/>
      <c r="F50" s="334" t="n"/>
      <c r="G50" s="334" t="n"/>
      <c r="H50" s="334" t="n"/>
      <c r="I50" s="334" t="n"/>
      <c r="J50" s="334" t="n"/>
      <c r="K50" s="334" t="n"/>
      <c r="L50" s="334" t="n"/>
      <c r="M50" s="334" t="n"/>
      <c r="N50" s="334" t="n"/>
      <c r="O50" s="334" t="n"/>
      <c r="P50" s="334" t="n"/>
      <c r="Q50" s="334" t="n"/>
      <c r="R50" s="334" t="n"/>
      <c r="S50" s="334" t="n"/>
      <c r="T50" s="334" t="n"/>
    </row>
    <row r="51">
      <c r="A51" s="334" t="n"/>
      <c r="B51" s="334" t="n"/>
      <c r="C51" s="334" t="n"/>
      <c r="D51" s="334" t="n"/>
      <c r="E51" s="334" t="n"/>
      <c r="F51" s="334" t="n"/>
      <c r="G51" s="334" t="n"/>
      <c r="H51" s="334" t="n"/>
      <c r="I51" s="334" t="n"/>
      <c r="J51" s="334" t="n"/>
      <c r="K51" s="334" t="n"/>
      <c r="L51" s="334" t="n"/>
      <c r="M51" s="334" t="n"/>
      <c r="N51" s="334" t="n"/>
      <c r="O51" s="334" t="n"/>
      <c r="P51" s="334" t="n"/>
      <c r="Q51" s="334" t="n"/>
      <c r="R51" s="334" t="n"/>
      <c r="S51" s="334" t="n"/>
      <c r="T51" s="334" t="n"/>
    </row>
    <row r="52">
      <c r="A52" s="334" t="n"/>
      <c r="B52" s="334" t="n"/>
      <c r="C52" s="334" t="n"/>
      <c r="D52" s="334" t="n"/>
      <c r="E52" s="334" t="n"/>
      <c r="F52" s="334" t="n"/>
      <c r="G52" s="334" t="n"/>
      <c r="H52" s="334" t="n"/>
      <c r="I52" s="334" t="n"/>
      <c r="J52" s="334" t="n"/>
      <c r="K52" s="334" t="n"/>
      <c r="L52" s="334" t="n"/>
      <c r="M52" s="334" t="n"/>
      <c r="N52" s="334" t="n"/>
      <c r="O52" s="334" t="n"/>
      <c r="P52" s="334" t="n"/>
      <c r="Q52" s="334" t="n"/>
      <c r="R52" s="334" t="n"/>
      <c r="S52" s="334" t="n"/>
      <c r="T52" s="334" t="n"/>
    </row>
    <row r="53">
      <c r="A53" s="334" t="n"/>
      <c r="B53" s="334" t="n"/>
      <c r="C53" s="334" t="n"/>
      <c r="D53" s="334" t="n"/>
      <c r="E53" s="334" t="n"/>
      <c r="F53" s="334" t="n"/>
      <c r="G53" s="334" t="n"/>
      <c r="H53" s="334" t="n"/>
      <c r="I53" s="334" t="n"/>
      <c r="J53" s="334" t="n"/>
      <c r="K53" s="334" t="n"/>
      <c r="L53" s="334" t="n"/>
      <c r="M53" s="334" t="n"/>
      <c r="N53" s="334" t="n"/>
      <c r="O53" s="334" t="n"/>
      <c r="P53" s="334" t="n"/>
      <c r="Q53" s="334" t="n"/>
      <c r="R53" s="334" t="n"/>
      <c r="S53" s="334" t="n"/>
      <c r="T53" s="334" t="n"/>
    </row>
    <row r="54">
      <c r="A54" s="334" t="n"/>
      <c r="B54" s="334" t="n"/>
      <c r="C54" s="334" t="n"/>
      <c r="D54" s="334" t="n"/>
      <c r="E54" s="334" t="n"/>
      <c r="F54" s="334" t="n"/>
      <c r="G54" s="334" t="n"/>
      <c r="H54" s="334" t="n"/>
      <c r="I54" s="334" t="n"/>
      <c r="J54" s="334" t="n"/>
      <c r="K54" s="334" t="n"/>
      <c r="L54" s="334" t="n"/>
      <c r="M54" s="334" t="n"/>
      <c r="N54" s="334" t="n"/>
      <c r="O54" s="334" t="n"/>
      <c r="P54" s="334" t="n"/>
      <c r="Q54" s="334" t="n"/>
      <c r="R54" s="334" t="n"/>
      <c r="S54" s="334" t="n"/>
      <c r="T54" s="334" t="n"/>
    </row>
    <row r="55">
      <c r="A55" s="334" t="n"/>
      <c r="B55" s="334" t="n"/>
      <c r="C55" s="334" t="n"/>
      <c r="D55" s="334" t="n"/>
      <c r="E55" s="334" t="n"/>
      <c r="F55" s="334" t="n"/>
      <c r="G55" s="334" t="n"/>
      <c r="H55" s="334" t="n"/>
      <c r="I55" s="334" t="n"/>
      <c r="J55" s="334" t="n"/>
      <c r="K55" s="334" t="n"/>
      <c r="L55" s="334" t="n"/>
      <c r="M55" s="334" t="n"/>
      <c r="N55" s="334" t="n"/>
      <c r="O55" s="334" t="n"/>
      <c r="P55" s="334" t="n"/>
      <c r="Q55" s="334" t="n"/>
      <c r="R55" s="334" t="n"/>
      <c r="S55" s="334" t="n"/>
      <c r="T55" s="334" t="n"/>
    </row>
    <row r="56">
      <c r="A56" s="334" t="n"/>
      <c r="B56" s="334" t="n"/>
      <c r="C56" s="334" t="n"/>
      <c r="D56" s="334" t="n"/>
      <c r="E56" s="334" t="n"/>
      <c r="F56" s="334" t="n"/>
      <c r="G56" s="334" t="n"/>
      <c r="H56" s="334" t="n"/>
      <c r="I56" s="334" t="n"/>
      <c r="J56" s="334" t="n"/>
      <c r="K56" s="334" t="n"/>
      <c r="L56" s="334" t="n"/>
      <c r="M56" s="334" t="n"/>
      <c r="N56" s="334" t="n"/>
      <c r="O56" s="334" t="n"/>
      <c r="P56" s="334" t="n"/>
      <c r="Q56" s="334" t="n"/>
      <c r="R56" s="334" t="n"/>
      <c r="S56" s="334" t="n"/>
      <c r="T56" s="334" t="n"/>
    </row>
    <row r="57">
      <c r="A57" s="334" t="n"/>
      <c r="B57" s="334" t="n"/>
      <c r="C57" s="334" t="n"/>
      <c r="D57" s="334" t="n"/>
      <c r="E57" s="334" t="n"/>
      <c r="F57" s="334" t="n"/>
      <c r="G57" s="334" t="n"/>
      <c r="H57" s="334" t="n"/>
      <c r="I57" s="334" t="n"/>
      <c r="J57" s="334" t="n"/>
      <c r="K57" s="334" t="n"/>
      <c r="L57" s="334" t="n"/>
      <c r="M57" s="334" t="n"/>
      <c r="N57" s="334" t="n"/>
      <c r="O57" s="334" t="n"/>
      <c r="P57" s="334" t="n"/>
      <c r="Q57" s="334" t="n"/>
      <c r="R57" s="334" t="n"/>
      <c r="S57" s="334" t="n"/>
      <c r="T57" s="334" t="n"/>
    </row>
    <row r="58">
      <c r="A58" s="334" t="n"/>
      <c r="B58" s="334" t="n"/>
      <c r="C58" s="334" t="n"/>
      <c r="D58" s="334" t="n"/>
      <c r="E58" s="334" t="n"/>
      <c r="F58" s="334" t="n"/>
      <c r="G58" s="334" t="n"/>
      <c r="H58" s="334" t="n"/>
      <c r="I58" s="334" t="n"/>
      <c r="J58" s="334" t="n"/>
      <c r="K58" s="334" t="n"/>
      <c r="L58" s="334" t="n"/>
      <c r="M58" s="334" t="n"/>
      <c r="N58" s="334" t="n"/>
      <c r="O58" s="334" t="n"/>
      <c r="P58" s="334" t="n"/>
      <c r="Q58" s="334" t="n"/>
      <c r="R58" s="334" t="n"/>
      <c r="S58" s="334" t="n"/>
      <c r="T58" s="334" t="n"/>
    </row>
    <row r="59">
      <c r="A59" s="334" t="n"/>
      <c r="B59" s="334" t="n"/>
      <c r="C59" s="334" t="n"/>
      <c r="D59" s="334" t="n"/>
      <c r="E59" s="334" t="n"/>
      <c r="F59" s="334" t="n"/>
      <c r="G59" s="334" t="n"/>
      <c r="H59" s="334" t="n"/>
      <c r="I59" s="334" t="n"/>
      <c r="J59" s="334" t="n"/>
      <c r="K59" s="334" t="n"/>
      <c r="L59" s="334" t="n"/>
      <c r="M59" s="334" t="n"/>
      <c r="N59" s="334" t="n"/>
      <c r="O59" s="334" t="n"/>
      <c r="P59" s="334" t="n"/>
      <c r="Q59" s="334" t="n"/>
      <c r="R59" s="334" t="n"/>
      <c r="S59" s="334" t="n"/>
      <c r="T59" s="334" t="n"/>
    </row>
    <row r="60">
      <c r="A60" s="334" t="n"/>
      <c r="B60" s="334" t="n"/>
      <c r="C60" s="334" t="n"/>
      <c r="D60" s="334" t="n"/>
      <c r="E60" s="334" t="n"/>
      <c r="F60" s="334" t="n"/>
      <c r="G60" s="334" t="n"/>
      <c r="H60" s="334" t="n"/>
      <c r="I60" s="334" t="n"/>
      <c r="J60" s="334" t="n"/>
      <c r="K60" s="334" t="n"/>
      <c r="L60" s="334" t="n"/>
      <c r="M60" s="334" t="n"/>
      <c r="N60" s="334" t="n"/>
      <c r="O60" s="334" t="n"/>
      <c r="P60" s="334" t="n"/>
      <c r="Q60" s="334" t="n"/>
      <c r="R60" s="334" t="n"/>
      <c r="S60" s="334" t="n"/>
      <c r="T60" s="334" t="n"/>
    </row>
    <row r="61">
      <c r="A61" s="334" t="n"/>
      <c r="B61" s="334" t="n"/>
      <c r="C61" s="334" t="n"/>
      <c r="D61" s="334" t="n"/>
      <c r="E61" s="334" t="n"/>
      <c r="F61" s="334" t="n"/>
      <c r="G61" s="334" t="n"/>
      <c r="H61" s="334" t="n"/>
      <c r="I61" s="334" t="n"/>
      <c r="J61" s="334" t="n"/>
      <c r="K61" s="334" t="n"/>
      <c r="L61" s="334" t="n"/>
      <c r="M61" s="334" t="n"/>
      <c r="N61" s="334" t="n"/>
      <c r="O61" s="334" t="n"/>
      <c r="P61" s="334" t="n"/>
      <c r="Q61" s="334" t="n"/>
      <c r="R61" s="334" t="n"/>
      <c r="S61" s="334" t="n"/>
      <c r="T61" s="334" t="n"/>
    </row>
    <row r="62">
      <c r="A62" s="334" t="n"/>
      <c r="B62" s="334" t="n"/>
      <c r="C62" s="334" t="n"/>
      <c r="D62" s="334" t="n"/>
      <c r="E62" s="334" t="n"/>
      <c r="F62" s="334" t="n"/>
      <c r="G62" s="334" t="n"/>
      <c r="H62" s="334" t="n"/>
      <c r="I62" s="334" t="n"/>
      <c r="J62" s="334" t="n"/>
      <c r="K62" s="334" t="n"/>
      <c r="L62" s="334" t="n"/>
      <c r="M62" s="334" t="n"/>
      <c r="N62" s="334" t="n"/>
      <c r="O62" s="334" t="n"/>
      <c r="P62" s="334" t="n"/>
      <c r="Q62" s="334" t="n"/>
      <c r="R62" s="334" t="n"/>
      <c r="S62" s="334" t="n"/>
      <c r="T62" s="334" t="n"/>
    </row>
    <row r="63">
      <c r="A63" s="334" t="n"/>
      <c r="B63" s="334" t="n"/>
      <c r="C63" s="334" t="n"/>
      <c r="D63" s="334" t="n"/>
      <c r="E63" s="334" t="n"/>
      <c r="F63" s="334" t="n"/>
      <c r="G63" s="334" t="n"/>
      <c r="H63" s="334" t="n"/>
      <c r="I63" s="334" t="n"/>
      <c r="J63" s="334" t="n"/>
      <c r="K63" s="334" t="n"/>
      <c r="L63" s="334" t="n"/>
      <c r="M63" s="334" t="n"/>
      <c r="N63" s="334" t="n"/>
      <c r="O63" s="334" t="n"/>
      <c r="P63" s="334" t="n"/>
      <c r="Q63" s="334" t="n"/>
      <c r="R63" s="334" t="n"/>
      <c r="S63" s="334" t="n"/>
      <c r="T63" s="334" t="n"/>
    </row>
    <row r="64">
      <c r="A64" s="334" t="n"/>
      <c r="B64" s="334" t="n"/>
      <c r="C64" s="334" t="n"/>
      <c r="D64" s="334" t="n"/>
      <c r="E64" s="334" t="n"/>
      <c r="F64" s="334" t="n"/>
      <c r="G64" s="334" t="n"/>
      <c r="H64" s="334" t="n"/>
      <c r="I64" s="334" t="n"/>
      <c r="J64" s="334" t="n"/>
      <c r="K64" s="334" t="n"/>
      <c r="L64" s="334" t="n"/>
      <c r="M64" s="334" t="n"/>
      <c r="N64" s="334" t="n"/>
      <c r="O64" s="334" t="n"/>
      <c r="P64" s="334" t="n"/>
      <c r="Q64" s="334" t="n"/>
      <c r="R64" s="334" t="n"/>
      <c r="S64" s="334" t="n"/>
      <c r="T64" s="334" t="n"/>
    </row>
    <row r="65">
      <c r="A65" s="334" t="n"/>
      <c r="B65" s="334" t="n"/>
      <c r="C65" s="334" t="n"/>
      <c r="D65" s="334" t="n"/>
      <c r="E65" s="334" t="n"/>
      <c r="F65" s="334" t="n"/>
      <c r="G65" s="334" t="n"/>
      <c r="H65" s="334" t="n"/>
      <c r="I65" s="334" t="n"/>
      <c r="J65" s="334" t="n"/>
      <c r="K65" s="334" t="n"/>
      <c r="L65" s="334" t="n"/>
      <c r="M65" s="334" t="n"/>
      <c r="N65" s="334" t="n"/>
      <c r="O65" s="334" t="n"/>
      <c r="P65" s="334" t="n"/>
      <c r="Q65" s="334" t="n"/>
      <c r="R65" s="334" t="n"/>
      <c r="S65" s="334" t="n"/>
      <c r="T65" s="334" t="n"/>
    </row>
    <row r="66">
      <c r="A66" s="334" t="n"/>
      <c r="B66" s="334" t="n"/>
      <c r="C66" s="334" t="n"/>
      <c r="D66" s="334" t="n"/>
      <c r="E66" s="334" t="n"/>
      <c r="F66" s="334" t="n"/>
      <c r="G66" s="334" t="n"/>
      <c r="H66" s="334" t="n"/>
      <c r="I66" s="334" t="n"/>
      <c r="J66" s="334" t="n"/>
      <c r="K66" s="334" t="n"/>
      <c r="L66" s="334" t="n"/>
      <c r="M66" s="334" t="n"/>
      <c r="N66" s="334" t="n"/>
      <c r="O66" s="334" t="n"/>
      <c r="P66" s="334" t="n"/>
      <c r="Q66" s="334" t="n"/>
      <c r="R66" s="334" t="n"/>
      <c r="S66" s="334" t="n"/>
      <c r="T66" s="334" t="n"/>
    </row>
    <row r="67">
      <c r="A67" s="334" t="n"/>
      <c r="B67" s="334" t="n"/>
      <c r="C67" s="334" t="n"/>
      <c r="D67" s="334" t="n"/>
      <c r="E67" s="334" t="n"/>
      <c r="F67" s="334" t="n"/>
      <c r="G67" s="334" t="n"/>
      <c r="H67" s="334" t="n"/>
      <c r="I67" s="334" t="n"/>
      <c r="J67" s="334" t="n"/>
      <c r="K67" s="334" t="n"/>
      <c r="L67" s="334" t="n"/>
      <c r="M67" s="334" t="n"/>
      <c r="N67" s="334" t="n"/>
      <c r="O67" s="334" t="n"/>
      <c r="P67" s="334" t="n"/>
      <c r="Q67" s="334" t="n"/>
      <c r="R67" s="334" t="n"/>
      <c r="S67" s="334" t="n"/>
      <c r="T67" s="334" t="n"/>
    </row>
    <row r="68">
      <c r="A68" s="334" t="n"/>
      <c r="B68" s="334" t="n"/>
      <c r="C68" s="334" t="n"/>
      <c r="D68" s="334" t="n"/>
      <c r="E68" s="334" t="n"/>
      <c r="F68" s="334" t="n"/>
      <c r="G68" s="334" t="n"/>
      <c r="H68" s="334" t="n"/>
      <c r="I68" s="334" t="n"/>
      <c r="J68" s="334" t="n"/>
      <c r="K68" s="334" t="n"/>
      <c r="L68" s="334" t="n"/>
      <c r="M68" s="334" t="n"/>
      <c r="N68" s="334" t="n"/>
      <c r="O68" s="334" t="n"/>
      <c r="P68" s="334" t="n"/>
      <c r="Q68" s="334" t="n"/>
      <c r="R68" s="334" t="n"/>
      <c r="S68" s="334" t="n"/>
      <c r="T68" s="334" t="n"/>
    </row>
    <row r="69">
      <c r="A69" s="334" t="n"/>
      <c r="B69" s="334" t="n"/>
      <c r="C69" s="334" t="n"/>
      <c r="D69" s="334" t="n"/>
      <c r="E69" s="334" t="n"/>
      <c r="F69" s="334" t="n"/>
      <c r="G69" s="334" t="n"/>
      <c r="H69" s="334" t="n"/>
      <c r="I69" s="334" t="n"/>
      <c r="J69" s="334" t="n"/>
      <c r="K69" s="334" t="n"/>
      <c r="L69" s="334" t="n"/>
      <c r="M69" s="334" t="n"/>
      <c r="N69" s="334" t="n"/>
      <c r="O69" s="334" t="n"/>
      <c r="P69" s="334" t="n"/>
      <c r="Q69" s="334" t="n"/>
      <c r="R69" s="334" t="n"/>
      <c r="S69" s="334" t="n"/>
      <c r="T69" s="334" t="n"/>
    </row>
    <row r="70">
      <c r="A70" s="334" t="n"/>
      <c r="B70" s="334" t="n"/>
      <c r="C70" s="334" t="n"/>
      <c r="D70" s="334" t="n"/>
      <c r="E70" s="334" t="n"/>
      <c r="F70" s="334" t="n"/>
      <c r="G70" s="334" t="n"/>
      <c r="H70" s="334" t="n"/>
      <c r="I70" s="334" t="n"/>
      <c r="J70" s="334" t="n"/>
      <c r="K70" s="334" t="n"/>
      <c r="L70" s="334" t="n"/>
      <c r="M70" s="334" t="n"/>
      <c r="N70" s="334" t="n"/>
      <c r="O70" s="334" t="n"/>
      <c r="P70" s="334" t="n"/>
      <c r="Q70" s="334" t="n"/>
      <c r="R70" s="334" t="n"/>
      <c r="S70" s="334" t="n"/>
      <c r="T70" s="334" t="n"/>
    </row>
    <row r="71">
      <c r="A71" s="334" t="n"/>
      <c r="B71" s="334" t="n"/>
      <c r="C71" s="334" t="n"/>
      <c r="D71" s="334" t="n"/>
      <c r="E71" s="334" t="n"/>
      <c r="F71" s="334" t="n"/>
      <c r="G71" s="334" t="n"/>
      <c r="H71" s="334" t="n"/>
      <c r="I71" s="334" t="n"/>
      <c r="J71" s="334" t="n"/>
      <c r="K71" s="334" t="n"/>
      <c r="L71" s="334" t="n"/>
      <c r="M71" s="334" t="n"/>
      <c r="N71" s="334" t="n"/>
      <c r="O71" s="334" t="n"/>
      <c r="P71" s="334" t="n"/>
      <c r="Q71" s="334" t="n"/>
      <c r="R71" s="334" t="n"/>
      <c r="S71" s="334" t="n"/>
      <c r="T71" s="334" t="n"/>
    </row>
    <row r="72">
      <c r="A72" s="334" t="n"/>
      <c r="B72" s="334" t="n"/>
      <c r="C72" s="334" t="n"/>
      <c r="D72" s="334" t="n"/>
      <c r="E72" s="334" t="n"/>
      <c r="F72" s="334" t="n"/>
      <c r="G72" s="334" t="n"/>
      <c r="H72" s="334" t="n"/>
      <c r="I72" s="334" t="n"/>
      <c r="J72" s="334" t="n"/>
      <c r="K72" s="334" t="n"/>
      <c r="L72" s="334" t="n"/>
      <c r="M72" s="334" t="n"/>
      <c r="N72" s="334" t="n"/>
      <c r="O72" s="334" t="n"/>
      <c r="P72" s="334" t="n"/>
      <c r="Q72" s="334" t="n"/>
      <c r="R72" s="334" t="n"/>
      <c r="S72" s="334" t="n"/>
      <c r="T72" s="334" t="n"/>
    </row>
    <row r="73">
      <c r="A73" s="334" t="n"/>
      <c r="B73" s="334" t="n"/>
      <c r="C73" s="334" t="n"/>
      <c r="D73" s="334" t="n"/>
      <c r="E73" s="334" t="n"/>
      <c r="F73" s="334" t="n"/>
      <c r="G73" s="334" t="n"/>
      <c r="H73" s="334" t="n"/>
      <c r="I73" s="334" t="n"/>
      <c r="J73" s="334" t="n"/>
      <c r="K73" s="334" t="n"/>
      <c r="L73" s="334" t="n"/>
      <c r="M73" s="334" t="n"/>
      <c r="N73" s="334" t="n"/>
      <c r="O73" s="334" t="n"/>
      <c r="P73" s="334" t="n"/>
      <c r="Q73" s="334" t="n"/>
      <c r="R73" s="334" t="n"/>
      <c r="S73" s="334" t="n"/>
      <c r="T73" s="334" t="n"/>
    </row>
    <row r="74">
      <c r="A74" s="334" t="n"/>
      <c r="B74" s="334" t="n"/>
      <c r="C74" s="334" t="n"/>
      <c r="D74" s="334" t="n"/>
      <c r="E74" s="334" t="n"/>
      <c r="F74" s="334" t="n"/>
      <c r="G74" s="334" t="n"/>
      <c r="H74" s="334" t="n"/>
      <c r="I74" s="334" t="n"/>
      <c r="J74" s="334" t="n"/>
      <c r="K74" s="334" t="n"/>
      <c r="L74" s="334" t="n"/>
      <c r="M74" s="334" t="n"/>
      <c r="N74" s="334" t="n"/>
      <c r="O74" s="334" t="n"/>
      <c r="P74" s="334" t="n"/>
      <c r="Q74" s="334" t="n"/>
      <c r="R74" s="334" t="n"/>
      <c r="S74" s="334" t="n"/>
      <c r="T74" s="334" t="n"/>
    </row>
    <row r="75">
      <c r="A75" s="334" t="n"/>
      <c r="B75" s="334" t="n"/>
      <c r="C75" s="334" t="n"/>
      <c r="D75" s="334" t="n"/>
      <c r="E75" s="334" t="n"/>
      <c r="F75" s="334" t="n"/>
      <c r="G75" s="334" t="n"/>
      <c r="H75" s="334" t="n"/>
      <c r="I75" s="334" t="n"/>
      <c r="J75" s="334" t="n"/>
      <c r="K75" s="334" t="n"/>
      <c r="L75" s="334" t="n"/>
      <c r="M75" s="334" t="n"/>
      <c r="N75" s="334" t="n"/>
      <c r="O75" s="334" t="n"/>
      <c r="P75" s="334" t="n"/>
      <c r="Q75" s="334" t="n"/>
      <c r="R75" s="334" t="n"/>
      <c r="S75" s="334" t="n"/>
      <c r="T75" s="334" t="n"/>
    </row>
    <row r="76">
      <c r="A76" s="334" t="n"/>
      <c r="B76" s="334" t="n"/>
      <c r="C76" s="334" t="n"/>
      <c r="D76" s="334" t="n"/>
      <c r="E76" s="334" t="n"/>
      <c r="F76" s="334" t="n"/>
      <c r="G76" s="334" t="n"/>
      <c r="H76" s="334" t="n"/>
      <c r="I76" s="334" t="n"/>
      <c r="J76" s="334" t="n"/>
      <c r="K76" s="334" t="n"/>
      <c r="L76" s="334" t="n"/>
      <c r="M76" s="334" t="n"/>
      <c r="N76" s="334" t="n"/>
      <c r="O76" s="334" t="n"/>
      <c r="P76" s="334" t="n"/>
      <c r="Q76" s="334" t="n"/>
      <c r="R76" s="334" t="n"/>
      <c r="S76" s="334" t="n"/>
      <c r="T76" s="334" t="n"/>
    </row>
    <row r="77">
      <c r="A77" s="334" t="n"/>
      <c r="B77" s="334" t="n"/>
      <c r="C77" s="334" t="n"/>
      <c r="D77" s="334" t="n"/>
      <c r="E77" s="334" t="n"/>
      <c r="F77" s="334" t="n"/>
      <c r="G77" s="334" t="n"/>
      <c r="H77" s="334" t="n"/>
      <c r="I77" s="334" t="n"/>
      <c r="J77" s="334" t="n"/>
      <c r="K77" s="334" t="n"/>
      <c r="L77" s="334" t="n"/>
      <c r="M77" s="334" t="n"/>
      <c r="N77" s="334" t="n"/>
      <c r="O77" s="334" t="n"/>
      <c r="P77" s="334" t="n"/>
      <c r="Q77" s="334" t="n"/>
      <c r="R77" s="334" t="n"/>
      <c r="S77" s="334" t="n"/>
      <c r="T77" s="334" t="n"/>
    </row>
    <row r="78">
      <c r="A78" s="334" t="n"/>
      <c r="B78" s="334" t="n"/>
      <c r="C78" s="334" t="n"/>
      <c r="D78" s="334" t="n"/>
      <c r="E78" s="334" t="n"/>
      <c r="F78" s="334" t="n"/>
      <c r="G78" s="334" t="n"/>
      <c r="H78" s="334" t="n"/>
      <c r="I78" s="334" t="n"/>
      <c r="J78" s="334" t="n"/>
      <c r="K78" s="334" t="n"/>
      <c r="L78" s="334" t="n"/>
      <c r="M78" s="334" t="n"/>
      <c r="N78" s="334" t="n"/>
      <c r="O78" s="334" t="n"/>
      <c r="P78" s="334" t="n"/>
      <c r="Q78" s="334" t="n"/>
      <c r="R78" s="334" t="n"/>
      <c r="S78" s="334" t="n"/>
      <c r="T78" s="334" t="n"/>
    </row>
    <row r="79">
      <c r="A79" s="334" t="n"/>
      <c r="B79" s="334" t="n"/>
      <c r="C79" s="334" t="n"/>
      <c r="D79" s="334" t="n"/>
      <c r="E79" s="334" t="n"/>
      <c r="F79" s="334" t="n"/>
      <c r="G79" s="334" t="n"/>
      <c r="H79" s="334" t="n"/>
      <c r="I79" s="334" t="n"/>
      <c r="J79" s="334" t="n"/>
      <c r="K79" s="334" t="n"/>
      <c r="L79" s="334" t="n"/>
      <c r="M79" s="334" t="n"/>
      <c r="N79" s="334" t="n"/>
      <c r="O79" s="334" t="n"/>
      <c r="P79" s="334" t="n"/>
      <c r="Q79" s="334" t="n"/>
      <c r="R79" s="334" t="n"/>
      <c r="S79" s="334" t="n"/>
      <c r="T79" s="334" t="n"/>
    </row>
    <row r="80">
      <c r="A80" s="334" t="n"/>
      <c r="B80" s="334" t="n"/>
      <c r="C80" s="334" t="n"/>
      <c r="D80" s="334" t="n"/>
      <c r="E80" s="334" t="n"/>
      <c r="F80" s="334" t="n"/>
      <c r="G80" s="334" t="n"/>
      <c r="H80" s="334" t="n"/>
      <c r="I80" s="334" t="n"/>
      <c r="J80" s="334" t="n"/>
      <c r="K80" s="334" t="n"/>
      <c r="L80" s="334" t="n"/>
      <c r="M80" s="334" t="n"/>
      <c r="N80" s="334" t="n"/>
      <c r="O80" s="334" t="n"/>
      <c r="P80" s="334" t="n"/>
      <c r="Q80" s="334" t="n"/>
      <c r="R80" s="334" t="n"/>
      <c r="S80" s="334" t="n"/>
      <c r="T80" s="334" t="n"/>
    </row>
    <row r="81">
      <c r="A81" s="334" t="n"/>
      <c r="B81" s="334" t="n"/>
      <c r="C81" s="334" t="n"/>
      <c r="D81" s="334" t="n"/>
      <c r="E81" s="334" t="n"/>
      <c r="F81" s="334" t="n"/>
      <c r="G81" s="334" t="n"/>
      <c r="H81" s="334" t="n"/>
      <c r="I81" s="334" t="n"/>
      <c r="J81" s="334" t="n"/>
      <c r="K81" s="334" t="n"/>
      <c r="L81" s="334" t="n"/>
      <c r="M81" s="334" t="n"/>
      <c r="N81" s="334" t="n"/>
      <c r="O81" s="334" t="n"/>
      <c r="P81" s="334" t="n"/>
      <c r="Q81" s="334" t="n"/>
      <c r="R81" s="334" t="n"/>
      <c r="S81" s="334" t="n"/>
      <c r="T81" s="334" t="n"/>
    </row>
    <row r="82">
      <c r="A82" s="334" t="n"/>
      <c r="B82" s="334" t="n"/>
      <c r="C82" s="334" t="n"/>
      <c r="D82" s="334" t="n"/>
      <c r="E82" s="334" t="n"/>
      <c r="F82" s="334" t="n"/>
      <c r="G82" s="334" t="n"/>
      <c r="H82" s="334" t="n"/>
      <c r="I82" s="334" t="n"/>
      <c r="J82" s="334" t="n"/>
      <c r="K82" s="334" t="n"/>
      <c r="L82" s="334" t="n"/>
      <c r="M82" s="334" t="n"/>
      <c r="N82" s="334" t="n"/>
      <c r="O82" s="334" t="n"/>
      <c r="P82" s="334" t="n"/>
      <c r="Q82" s="334" t="n"/>
      <c r="R82" s="334" t="n"/>
      <c r="S82" s="334" t="n"/>
      <c r="T82" s="334" t="n"/>
    </row>
    <row r="83">
      <c r="A83" s="334" t="n"/>
      <c r="B83" s="334" t="n"/>
      <c r="C83" s="334" t="n"/>
      <c r="D83" s="334" t="n"/>
      <c r="E83" s="334" t="n"/>
      <c r="F83" s="334" t="n"/>
      <c r="G83" s="334" t="n"/>
      <c r="H83" s="334" t="n"/>
      <c r="I83" s="334" t="n"/>
      <c r="J83" s="334" t="n"/>
      <c r="K83" s="334" t="n"/>
      <c r="L83" s="334" t="n"/>
      <c r="M83" s="334" t="n"/>
      <c r="N83" s="334" t="n"/>
      <c r="O83" s="334" t="n"/>
      <c r="P83" s="334" t="n"/>
      <c r="Q83" s="334" t="n"/>
      <c r="R83" s="334" t="n"/>
      <c r="S83" s="334" t="n"/>
      <c r="T83" s="334" t="n"/>
    </row>
    <row r="84">
      <c r="A84" s="334" t="n"/>
      <c r="B84" s="334" t="n"/>
      <c r="C84" s="334" t="n"/>
      <c r="D84" s="334" t="n"/>
      <c r="E84" s="334" t="n"/>
      <c r="F84" s="334" t="n"/>
      <c r="G84" s="334" t="n"/>
      <c r="H84" s="334" t="n"/>
      <c r="I84" s="334" t="n"/>
      <c r="J84" s="334" t="n"/>
      <c r="K84" s="334" t="n"/>
      <c r="L84" s="334" t="n"/>
      <c r="M84" s="334" t="n"/>
      <c r="N84" s="334" t="n"/>
      <c r="O84" s="334" t="n"/>
      <c r="P84" s="334" t="n"/>
      <c r="Q84" s="334" t="n"/>
      <c r="R84" s="334" t="n"/>
      <c r="S84" s="334" t="n"/>
      <c r="T84" s="334" t="n"/>
    </row>
    <row r="85">
      <c r="A85" s="334" t="n"/>
      <c r="B85" s="334" t="n"/>
      <c r="C85" s="334" t="n"/>
      <c r="D85" s="334" t="n"/>
      <c r="E85" s="334" t="n"/>
      <c r="F85" s="334" t="n"/>
      <c r="G85" s="334" t="n"/>
      <c r="H85" s="334" t="n"/>
      <c r="I85" s="334" t="n"/>
      <c r="J85" s="334" t="n"/>
      <c r="K85" s="334" t="n"/>
      <c r="L85" s="334" t="n"/>
      <c r="M85" s="334" t="n"/>
      <c r="N85" s="334" t="n"/>
      <c r="O85" s="334" t="n"/>
      <c r="P85" s="334" t="n"/>
      <c r="Q85" s="334" t="n"/>
      <c r="R85" s="334" t="n"/>
      <c r="S85" s="334" t="n"/>
      <c r="T85" s="334" t="n"/>
    </row>
    <row r="86">
      <c r="A86" s="334" t="n"/>
      <c r="B86" s="334" t="n"/>
      <c r="C86" s="334" t="n"/>
      <c r="D86" s="334" t="n"/>
      <c r="E86" s="334" t="n"/>
      <c r="F86" s="334" t="n"/>
      <c r="G86" s="334" t="n"/>
      <c r="H86" s="334" t="n"/>
      <c r="I86" s="334" t="n"/>
      <c r="J86" s="334" t="n"/>
      <c r="K86" s="334" t="n"/>
      <c r="L86" s="334" t="n"/>
      <c r="M86" s="334" t="n"/>
      <c r="N86" s="334" t="n"/>
      <c r="O86" s="334" t="n"/>
      <c r="P86" s="334" t="n"/>
      <c r="Q86" s="334" t="n"/>
      <c r="R86" s="334" t="n"/>
      <c r="S86" s="334" t="n"/>
      <c r="T86" s="334" t="n"/>
    </row>
    <row r="87">
      <c r="A87" s="334" t="n"/>
      <c r="B87" s="334" t="n"/>
      <c r="C87" s="334" t="n"/>
      <c r="D87" s="334" t="n"/>
      <c r="E87" s="334" t="n"/>
      <c r="F87" s="334" t="n"/>
      <c r="G87" s="334" t="n"/>
      <c r="H87" s="334" t="n"/>
      <c r="I87" s="334" t="n"/>
      <c r="J87" s="334" t="n"/>
      <c r="K87" s="334" t="n"/>
      <c r="L87" s="334" t="n"/>
      <c r="M87" s="334" t="n"/>
      <c r="N87" s="334" t="n"/>
      <c r="O87" s="334" t="n"/>
      <c r="P87" s="334" t="n"/>
      <c r="Q87" s="334" t="n"/>
      <c r="R87" s="334" t="n"/>
      <c r="S87" s="334" t="n"/>
      <c r="T87" s="334" t="n"/>
    </row>
    <row r="88">
      <c r="A88" s="334" t="n"/>
      <c r="B88" s="334" t="n"/>
      <c r="C88" s="334" t="n"/>
      <c r="D88" s="334" t="n"/>
      <c r="E88" s="334" t="n"/>
      <c r="F88" s="334" t="n"/>
      <c r="G88" s="334" t="n"/>
      <c r="H88" s="334" t="n"/>
      <c r="I88" s="334" t="n"/>
      <c r="J88" s="334" t="n"/>
      <c r="K88" s="334" t="n"/>
      <c r="L88" s="334" t="n"/>
      <c r="M88" s="334" t="n"/>
      <c r="N88" s="334" t="n"/>
      <c r="O88" s="334" t="n"/>
      <c r="P88" s="334" t="n"/>
      <c r="Q88" s="334" t="n"/>
      <c r="R88" s="334" t="n"/>
      <c r="S88" s="334" t="n"/>
      <c r="T88" s="334" t="n"/>
    </row>
    <row r="89">
      <c r="A89" s="334" t="n"/>
      <c r="B89" s="334" t="n"/>
      <c r="C89" s="334" t="n"/>
      <c r="D89" s="334" t="n"/>
      <c r="E89" s="334" t="n"/>
      <c r="F89" s="334" t="n"/>
      <c r="G89" s="334" t="n"/>
      <c r="H89" s="334" t="n"/>
      <c r="I89" s="334" t="n"/>
      <c r="J89" s="334" t="n"/>
      <c r="K89" s="334" t="n"/>
      <c r="L89" s="334" t="n"/>
      <c r="M89" s="334" t="n"/>
      <c r="N89" s="334" t="n"/>
      <c r="O89" s="334" t="n"/>
      <c r="P89" s="334" t="n"/>
      <c r="Q89" s="334" t="n"/>
      <c r="R89" s="334" t="n"/>
      <c r="S89" s="334" t="n"/>
      <c r="T89" s="334" t="n"/>
    </row>
    <row r="90">
      <c r="A90" s="334" t="n"/>
      <c r="B90" s="334" t="n"/>
      <c r="C90" s="334" t="n"/>
      <c r="D90" s="334" t="n"/>
      <c r="E90" s="334" t="n"/>
      <c r="F90" s="334" t="n"/>
      <c r="G90" s="334" t="n"/>
      <c r="H90" s="334" t="n"/>
      <c r="I90" s="334" t="n"/>
      <c r="J90" s="334" t="n"/>
      <c r="K90" s="334" t="n"/>
      <c r="L90" s="334" t="n"/>
      <c r="M90" s="334" t="n"/>
      <c r="N90" s="334" t="n"/>
      <c r="O90" s="334" t="n"/>
      <c r="P90" s="334" t="n"/>
      <c r="Q90" s="334" t="n"/>
      <c r="R90" s="334" t="n"/>
      <c r="S90" s="334" t="n"/>
      <c r="T90" s="334" t="n"/>
    </row>
    <row r="91">
      <c r="A91" s="334" t="n"/>
      <c r="B91" s="334" t="n"/>
      <c r="C91" s="334" t="n"/>
      <c r="D91" s="334" t="n"/>
      <c r="E91" s="334" t="n"/>
      <c r="F91" s="334" t="n"/>
      <c r="G91" s="334" t="n"/>
      <c r="H91" s="334" t="n"/>
      <c r="I91" s="334" t="n"/>
      <c r="J91" s="334" t="n"/>
      <c r="K91" s="334" t="n"/>
      <c r="L91" s="334" t="n"/>
      <c r="M91" s="334" t="n"/>
      <c r="N91" s="334" t="n"/>
      <c r="O91" s="334" t="n"/>
      <c r="P91" s="334" t="n"/>
      <c r="Q91" s="334" t="n"/>
      <c r="R91" s="334" t="n"/>
      <c r="S91" s="334" t="n"/>
      <c r="T91" s="334" t="n"/>
    </row>
    <row r="92">
      <c r="A92" s="334" t="n"/>
      <c r="B92" s="334" t="n"/>
      <c r="C92" s="334" t="n"/>
      <c r="D92" s="334" t="n"/>
      <c r="E92" s="334" t="n"/>
      <c r="F92" s="334" t="n"/>
      <c r="G92" s="334" t="n"/>
      <c r="H92" s="334" t="n"/>
      <c r="I92" s="334" t="n"/>
      <c r="J92" s="334" t="n"/>
      <c r="K92" s="334" t="n"/>
      <c r="L92" s="334" t="n"/>
      <c r="M92" s="334" t="n"/>
      <c r="N92" s="334" t="n"/>
      <c r="O92" s="334" t="n"/>
      <c r="P92" s="334" t="n"/>
      <c r="Q92" s="334" t="n"/>
      <c r="R92" s="334" t="n"/>
      <c r="S92" s="334" t="n"/>
      <c r="T92" s="334" t="n"/>
    </row>
    <row r="93">
      <c r="A93" s="334" t="n"/>
      <c r="B93" s="334" t="n"/>
      <c r="C93" s="334" t="n"/>
      <c r="D93" s="334" t="n"/>
      <c r="E93" s="334" t="n"/>
      <c r="F93" s="334" t="n"/>
      <c r="G93" s="334" t="n"/>
      <c r="H93" s="334" t="n"/>
      <c r="I93" s="334" t="n"/>
      <c r="J93" s="334" t="n"/>
      <c r="K93" s="334" t="n"/>
      <c r="L93" s="334" t="n"/>
      <c r="M93" s="334" t="n"/>
      <c r="N93" s="334" t="n"/>
      <c r="O93" s="334" t="n"/>
      <c r="P93" s="334" t="n"/>
      <c r="Q93" s="334" t="n"/>
      <c r="R93" s="334" t="n"/>
      <c r="S93" s="334" t="n"/>
      <c r="T93" s="334" t="n"/>
    </row>
    <row r="94">
      <c r="A94" s="334" t="n"/>
      <c r="B94" s="334" t="n"/>
      <c r="C94" s="334" t="n"/>
      <c r="D94" s="334" t="n"/>
      <c r="E94" s="334" t="n"/>
      <c r="F94" s="334" t="n"/>
      <c r="G94" s="334" t="n"/>
      <c r="H94" s="334" t="n"/>
      <c r="I94" s="334" t="n"/>
      <c r="J94" s="334" t="n"/>
      <c r="K94" s="334" t="n"/>
      <c r="L94" s="334" t="n"/>
      <c r="M94" s="334" t="n"/>
      <c r="N94" s="334" t="n"/>
      <c r="O94" s="334" t="n"/>
      <c r="P94" s="334" t="n"/>
      <c r="Q94" s="334" t="n"/>
      <c r="R94" s="334" t="n"/>
      <c r="S94" s="334" t="n"/>
      <c r="T94" s="334" t="n"/>
    </row>
    <row r="95">
      <c r="A95" s="334" t="n"/>
      <c r="B95" s="334" t="n"/>
      <c r="C95" s="334" t="n"/>
      <c r="D95" s="334" t="n"/>
      <c r="E95" s="334" t="n"/>
      <c r="F95" s="334" t="n"/>
      <c r="G95" s="334" t="n"/>
      <c r="H95" s="334" t="n"/>
      <c r="I95" s="334" t="n"/>
      <c r="J95" s="334" t="n"/>
      <c r="K95" s="334" t="n"/>
      <c r="L95" s="334" t="n"/>
      <c r="M95" s="334" t="n"/>
      <c r="N95" s="334" t="n"/>
      <c r="O95" s="334" t="n"/>
      <c r="P95" s="334" t="n"/>
      <c r="Q95" s="334" t="n"/>
      <c r="R95" s="334" t="n"/>
      <c r="S95" s="334" t="n"/>
      <c r="T95" s="334" t="n"/>
    </row>
    <row r="96">
      <c r="A96" s="334" t="n"/>
      <c r="B96" s="334" t="n"/>
      <c r="C96" s="334" t="n"/>
      <c r="D96" s="334" t="n"/>
      <c r="E96" s="334" t="n"/>
      <c r="F96" s="334" t="n"/>
      <c r="G96" s="334" t="n"/>
      <c r="H96" s="334" t="n"/>
      <c r="I96" s="334" t="n"/>
      <c r="J96" s="334" t="n"/>
      <c r="K96" s="334" t="n"/>
      <c r="L96" s="334" t="n"/>
      <c r="M96" s="334" t="n"/>
      <c r="N96" s="334" t="n"/>
      <c r="O96" s="334" t="n"/>
      <c r="P96" s="334" t="n"/>
      <c r="Q96" s="334" t="n"/>
      <c r="R96" s="334" t="n"/>
      <c r="S96" s="334" t="n"/>
      <c r="T96" s="334" t="n"/>
    </row>
    <row r="97">
      <c r="A97" s="334" t="n"/>
      <c r="B97" s="334" t="n"/>
      <c r="C97" s="334" t="n"/>
      <c r="D97" s="334" t="n"/>
      <c r="E97" s="334" t="n"/>
      <c r="F97" s="334" t="n"/>
      <c r="G97" s="334" t="n"/>
      <c r="H97" s="334" t="n"/>
      <c r="I97" s="334" t="n"/>
      <c r="J97" s="334" t="n"/>
      <c r="K97" s="334" t="n"/>
      <c r="L97" s="334" t="n"/>
      <c r="M97" s="334" t="n"/>
      <c r="N97" s="334" t="n"/>
      <c r="O97" s="334" t="n"/>
      <c r="P97" s="334" t="n"/>
      <c r="Q97" s="334" t="n"/>
      <c r="R97" s="334" t="n"/>
      <c r="S97" s="334" t="n"/>
      <c r="T97" s="334" t="n"/>
    </row>
    <row r="98">
      <c r="A98" s="334" t="n"/>
      <c r="B98" s="334" t="n"/>
      <c r="C98" s="334" t="n"/>
      <c r="D98" s="334" t="n"/>
      <c r="E98" s="334" t="n"/>
      <c r="F98" s="334" t="n"/>
      <c r="G98" s="334" t="n"/>
      <c r="H98" s="334" t="n"/>
      <c r="I98" s="334" t="n"/>
      <c r="J98" s="334" t="n"/>
      <c r="K98" s="334" t="n"/>
      <c r="L98" s="334" t="n"/>
      <c r="M98" s="334" t="n"/>
      <c r="N98" s="334" t="n"/>
      <c r="O98" s="334" t="n"/>
      <c r="P98" s="334" t="n"/>
      <c r="Q98" s="334" t="n"/>
      <c r="R98" s="334" t="n"/>
      <c r="S98" s="334" t="n"/>
      <c r="T98" s="334" t="n"/>
    </row>
    <row r="99">
      <c r="A99" s="334" t="n"/>
      <c r="B99" s="334" t="n"/>
      <c r="C99" s="334" t="n"/>
      <c r="D99" s="334" t="n"/>
      <c r="E99" s="334" t="n"/>
      <c r="F99" s="334" t="n"/>
      <c r="G99" s="334" t="n"/>
      <c r="H99" s="334" t="n"/>
      <c r="I99" s="334" t="n"/>
      <c r="J99" s="334" t="n"/>
      <c r="K99" s="334" t="n"/>
      <c r="L99" s="334" t="n"/>
      <c r="M99" s="334" t="n"/>
      <c r="N99" s="334" t="n"/>
      <c r="O99" s="334" t="n"/>
      <c r="P99" s="334" t="n"/>
      <c r="Q99" s="334" t="n"/>
      <c r="R99" s="334" t="n"/>
      <c r="S99" s="334" t="n"/>
      <c r="T99" s="334" t="n"/>
    </row>
    <row r="100">
      <c r="A100" s="334" t="n"/>
      <c r="B100" s="334" t="n"/>
      <c r="C100" s="334" t="n"/>
      <c r="D100" s="334" t="n"/>
      <c r="E100" s="334" t="n"/>
      <c r="F100" s="334" t="n"/>
      <c r="G100" s="334" t="n"/>
      <c r="H100" s="334" t="n"/>
      <c r="I100" s="334" t="n"/>
      <c r="J100" s="334" t="n"/>
      <c r="K100" s="334" t="n"/>
      <c r="L100" s="334" t="n"/>
      <c r="M100" s="334" t="n"/>
      <c r="N100" s="334" t="n"/>
      <c r="O100" s="334" t="n"/>
      <c r="P100" s="334" t="n"/>
      <c r="Q100" s="334" t="n"/>
      <c r="R100" s="334" t="n"/>
      <c r="S100" s="334" t="n"/>
      <c r="T100" s="334" t="n"/>
    </row>
    <row r="101">
      <c r="A101" s="334" t="n"/>
      <c r="B101" s="334" t="n"/>
      <c r="C101" s="334" t="n"/>
      <c r="D101" s="334" t="n"/>
      <c r="E101" s="334" t="n"/>
      <c r="F101" s="334" t="n"/>
      <c r="G101" s="334" t="n"/>
      <c r="H101" s="334" t="n"/>
      <c r="I101" s="334" t="n"/>
      <c r="J101" s="334" t="n"/>
      <c r="K101" s="334" t="n"/>
      <c r="L101" s="334" t="n"/>
      <c r="M101" s="334" t="n"/>
      <c r="N101" s="334" t="n"/>
      <c r="O101" s="334" t="n"/>
      <c r="P101" s="334" t="n"/>
      <c r="Q101" s="334" t="n"/>
      <c r="R101" s="334" t="n"/>
      <c r="S101" s="334" t="n"/>
      <c r="T101" s="334" t="n"/>
    </row>
    <row r="102">
      <c r="A102" s="334" t="n"/>
      <c r="B102" s="334" t="n"/>
      <c r="C102" s="334" t="n"/>
      <c r="D102" s="334" t="n"/>
      <c r="E102" s="334" t="n"/>
      <c r="F102" s="334" t="n"/>
      <c r="G102" s="334" t="n"/>
      <c r="H102" s="334" t="n"/>
      <c r="I102" s="334" t="n"/>
      <c r="J102" s="334" t="n"/>
      <c r="K102" s="334" t="n"/>
      <c r="L102" s="334" t="n"/>
      <c r="M102" s="334" t="n"/>
      <c r="N102" s="334" t="n"/>
      <c r="O102" s="334" t="n"/>
      <c r="P102" s="334" t="n"/>
      <c r="Q102" s="334" t="n"/>
      <c r="R102" s="334" t="n"/>
      <c r="S102" s="334" t="n"/>
      <c r="T102" s="334" t="n"/>
    </row>
    <row r="103">
      <c r="A103" s="334" t="n"/>
      <c r="B103" s="334" t="n"/>
      <c r="C103" s="334" t="n"/>
      <c r="D103" s="334" t="n"/>
      <c r="E103" s="334" t="n"/>
      <c r="F103" s="334" t="n"/>
      <c r="G103" s="334" t="n"/>
      <c r="H103" s="334" t="n"/>
      <c r="I103" s="334" t="n"/>
      <c r="J103" s="334" t="n"/>
      <c r="K103" s="334" t="n"/>
      <c r="L103" s="334" t="n"/>
      <c r="M103" s="334" t="n"/>
      <c r="N103" s="334" t="n"/>
      <c r="O103" s="334" t="n"/>
      <c r="P103" s="334" t="n"/>
      <c r="Q103" s="334" t="n"/>
      <c r="R103" s="334" t="n"/>
      <c r="S103" s="334" t="n"/>
      <c r="T103" s="334" t="n"/>
    </row>
    <row r="104">
      <c r="A104" s="334" t="n"/>
      <c r="B104" s="334" t="n"/>
      <c r="C104" s="334" t="n"/>
      <c r="D104" s="334" t="n"/>
      <c r="E104" s="334" t="n"/>
      <c r="F104" s="334" t="n"/>
      <c r="G104" s="334" t="n"/>
      <c r="H104" s="334" t="n"/>
      <c r="I104" s="334" t="n"/>
      <c r="J104" s="334" t="n"/>
      <c r="K104" s="334" t="n"/>
      <c r="L104" s="334" t="n"/>
      <c r="M104" s="334" t="n"/>
      <c r="N104" s="334" t="n"/>
      <c r="O104" s="334" t="n"/>
      <c r="P104" s="334" t="n"/>
      <c r="Q104" s="334" t="n"/>
      <c r="R104" s="334" t="n"/>
      <c r="S104" s="334" t="n"/>
      <c r="T104" s="334" t="n"/>
    </row>
    <row r="105">
      <c r="A105" s="334" t="n"/>
      <c r="B105" s="334" t="n"/>
      <c r="C105" s="334" t="n"/>
      <c r="D105" s="334" t="n"/>
      <c r="E105" s="334" t="n"/>
      <c r="F105" s="334" t="n"/>
      <c r="G105" s="334" t="n"/>
      <c r="H105" s="334" t="n"/>
      <c r="I105" s="334" t="n"/>
      <c r="J105" s="334" t="n"/>
      <c r="K105" s="334" t="n"/>
      <c r="L105" s="334" t="n"/>
      <c r="M105" s="334" t="n"/>
      <c r="N105" s="334" t="n"/>
      <c r="O105" s="334" t="n"/>
      <c r="P105" s="334" t="n"/>
      <c r="Q105" s="334" t="n"/>
      <c r="R105" s="334" t="n"/>
      <c r="S105" s="334" t="n"/>
      <c r="T105" s="334" t="n"/>
    </row>
    <row r="106">
      <c r="A106" s="334" t="n"/>
      <c r="B106" s="334" t="n"/>
      <c r="C106" s="334" t="n"/>
      <c r="D106" s="334" t="n"/>
      <c r="E106" s="334" t="n"/>
      <c r="F106" s="334" t="n"/>
      <c r="G106" s="334" t="n"/>
      <c r="H106" s="334" t="n"/>
      <c r="I106" s="334" t="n"/>
      <c r="J106" s="334" t="n"/>
      <c r="K106" s="334" t="n"/>
      <c r="L106" s="334" t="n"/>
      <c r="M106" s="334" t="n"/>
      <c r="N106" s="334" t="n"/>
      <c r="O106" s="334" t="n"/>
      <c r="P106" s="334" t="n"/>
      <c r="Q106" s="334" t="n"/>
      <c r="R106" s="334" t="n"/>
      <c r="S106" s="334" t="n"/>
      <c r="T106" s="334" t="n"/>
    </row>
    <row r="107">
      <c r="A107" s="334" t="n"/>
      <c r="B107" s="334" t="n"/>
      <c r="C107" s="334" t="n"/>
      <c r="D107" s="334" t="n"/>
      <c r="E107" s="334" t="n"/>
      <c r="F107" s="334" t="n"/>
      <c r="G107" s="334" t="n"/>
      <c r="H107" s="334" t="n"/>
      <c r="I107" s="334" t="n"/>
      <c r="J107" s="334" t="n"/>
      <c r="K107" s="334" t="n"/>
      <c r="L107" s="334" t="n"/>
      <c r="M107" s="334" t="n"/>
      <c r="N107" s="334" t="n"/>
      <c r="O107" s="334" t="n"/>
      <c r="P107" s="334" t="n"/>
      <c r="Q107" s="334" t="n"/>
      <c r="R107" s="334" t="n"/>
      <c r="S107" s="334" t="n"/>
      <c r="T107" s="334" t="n"/>
    </row>
    <row r="108">
      <c r="A108" s="334" t="n"/>
      <c r="B108" s="334" t="n"/>
      <c r="C108" s="334" t="n"/>
      <c r="D108" s="334" t="n"/>
      <c r="E108" s="334" t="n"/>
      <c r="F108" s="334" t="n"/>
      <c r="G108" s="334" t="n"/>
      <c r="H108" s="334" t="n"/>
      <c r="I108" s="334" t="n"/>
      <c r="J108" s="334" t="n"/>
      <c r="K108" s="334" t="n"/>
      <c r="L108" s="334" t="n"/>
      <c r="M108" s="334" t="n"/>
      <c r="N108" s="334" t="n"/>
      <c r="O108" s="334" t="n"/>
      <c r="P108" s="334" t="n"/>
      <c r="Q108" s="334" t="n"/>
      <c r="R108" s="334" t="n"/>
      <c r="S108" s="334" t="n"/>
      <c r="T108" s="334" t="n"/>
    </row>
    <row r="109">
      <c r="A109" s="334" t="n"/>
      <c r="B109" s="334" t="n"/>
      <c r="C109" s="334" t="n"/>
      <c r="D109" s="334" t="n"/>
      <c r="E109" s="334" t="n"/>
      <c r="F109" s="334" t="n"/>
      <c r="G109" s="334" t="n"/>
      <c r="H109" s="334" t="n"/>
      <c r="I109" s="334" t="n"/>
      <c r="J109" s="334" t="n"/>
      <c r="K109" s="334" t="n"/>
      <c r="L109" s="334" t="n"/>
      <c r="M109" s="334" t="n"/>
      <c r="N109" s="334" t="n"/>
      <c r="O109" s="334" t="n"/>
      <c r="P109" s="334" t="n"/>
      <c r="Q109" s="334" t="n"/>
      <c r="R109" s="334" t="n"/>
      <c r="S109" s="334" t="n"/>
      <c r="T109" s="334" t="n"/>
    </row>
    <row r="110">
      <c r="A110" s="334" t="n"/>
      <c r="B110" s="334" t="n"/>
      <c r="C110" s="334" t="n"/>
      <c r="D110" s="334" t="n"/>
      <c r="E110" s="334" t="n"/>
      <c r="F110" s="334" t="n"/>
      <c r="G110" s="334" t="n"/>
      <c r="H110" s="334" t="n"/>
      <c r="I110" s="334" t="n"/>
      <c r="J110" s="334" t="n"/>
      <c r="K110" s="334" t="n"/>
      <c r="L110" s="334" t="n"/>
      <c r="M110" s="334" t="n"/>
      <c r="N110" s="334" t="n"/>
      <c r="O110" s="334" t="n"/>
      <c r="P110" s="334" t="n"/>
      <c r="Q110" s="334" t="n"/>
      <c r="R110" s="334" t="n"/>
      <c r="S110" s="334" t="n"/>
      <c r="T110" s="334" t="n"/>
    </row>
    <row r="111">
      <c r="A111" s="334" t="n"/>
      <c r="B111" s="334" t="n"/>
      <c r="C111" s="334" t="n"/>
      <c r="D111" s="334" t="n"/>
      <c r="E111" s="334" t="n"/>
      <c r="F111" s="334" t="n"/>
      <c r="G111" s="334" t="n"/>
      <c r="H111" s="334" t="n"/>
      <c r="I111" s="334" t="n"/>
      <c r="J111" s="334" t="n"/>
      <c r="K111" s="334" t="n"/>
      <c r="L111" s="334" t="n"/>
      <c r="M111" s="334" t="n"/>
      <c r="N111" s="334" t="n"/>
      <c r="O111" s="334" t="n"/>
      <c r="P111" s="334" t="n"/>
      <c r="Q111" s="334" t="n"/>
      <c r="R111" s="334" t="n"/>
      <c r="S111" s="334" t="n"/>
      <c r="T111" s="334" t="n"/>
    </row>
    <row r="112">
      <c r="A112" s="334" t="n"/>
      <c r="B112" s="334" t="n"/>
      <c r="C112" s="334" t="n"/>
      <c r="D112" s="334" t="n"/>
      <c r="E112" s="334" t="n"/>
      <c r="F112" s="334" t="n"/>
      <c r="G112" s="334" t="n"/>
      <c r="H112" s="334" t="n"/>
      <c r="I112" s="334" t="n"/>
      <c r="J112" s="334" t="n"/>
      <c r="K112" s="334" t="n"/>
      <c r="L112" s="334" t="n"/>
      <c r="M112" s="334" t="n"/>
      <c r="N112" s="334" t="n"/>
      <c r="O112" s="334" t="n"/>
      <c r="P112" s="334" t="n"/>
      <c r="Q112" s="334" t="n"/>
      <c r="R112" s="334" t="n"/>
      <c r="S112" s="334" t="n"/>
      <c r="T112" s="334" t="n"/>
    </row>
    <row r="113">
      <c r="A113" s="334" t="n"/>
      <c r="B113" s="334" t="n"/>
      <c r="C113" s="334" t="n"/>
      <c r="D113" s="334" t="n"/>
      <c r="E113" s="334" t="n"/>
      <c r="F113" s="334" t="n"/>
      <c r="G113" s="334" t="n"/>
      <c r="H113" s="334" t="n"/>
      <c r="I113" s="334" t="n"/>
      <c r="J113" s="334" t="n"/>
      <c r="K113" s="334" t="n"/>
      <c r="L113" s="334" t="n"/>
      <c r="M113" s="334" t="n"/>
      <c r="N113" s="334" t="n"/>
      <c r="O113" s="334" t="n"/>
      <c r="P113" s="334" t="n"/>
      <c r="Q113" s="334" t="n"/>
      <c r="R113" s="334" t="n"/>
      <c r="S113" s="334" t="n"/>
      <c r="T113" s="334" t="n"/>
    </row>
    <row r="114">
      <c r="A114" s="334" t="n"/>
      <c r="B114" s="334" t="n"/>
      <c r="C114" s="334" t="n"/>
      <c r="D114" s="334" t="n"/>
      <c r="E114" s="334" t="n"/>
      <c r="F114" s="334" t="n"/>
      <c r="G114" s="334" t="n"/>
      <c r="H114" s="334" t="n"/>
      <c r="I114" s="334" t="n"/>
      <c r="J114" s="334" t="n"/>
      <c r="K114" s="334" t="n"/>
      <c r="L114" s="334" t="n"/>
      <c r="M114" s="334" t="n"/>
      <c r="N114" s="334" t="n"/>
      <c r="O114" s="334" t="n"/>
      <c r="P114" s="334" t="n"/>
      <c r="Q114" s="334" t="n"/>
      <c r="R114" s="334" t="n"/>
      <c r="S114" s="334" t="n"/>
      <c r="T114" s="334" t="n"/>
    </row>
    <row r="115">
      <c r="A115" s="334" t="n"/>
      <c r="B115" s="334" t="n"/>
      <c r="C115" s="334" t="n"/>
      <c r="D115" s="334" t="n"/>
      <c r="E115" s="334" t="n"/>
      <c r="F115" s="334" t="n"/>
      <c r="G115" s="334" t="n"/>
      <c r="H115" s="334" t="n"/>
      <c r="I115" s="334" t="n"/>
      <c r="J115" s="334" t="n"/>
      <c r="K115" s="334" t="n"/>
      <c r="L115" s="334" t="n"/>
      <c r="M115" s="334" t="n"/>
      <c r="N115" s="334" t="n"/>
      <c r="O115" s="334" t="n"/>
      <c r="P115" s="334" t="n"/>
      <c r="Q115" s="334" t="n"/>
      <c r="R115" s="334" t="n"/>
      <c r="S115" s="334" t="n"/>
      <c r="T115" s="334" t="n"/>
    </row>
    <row r="116">
      <c r="A116" s="334" t="n"/>
      <c r="B116" s="334" t="n"/>
      <c r="C116" s="334" t="n"/>
      <c r="D116" s="334" t="n"/>
      <c r="E116" s="334" t="n"/>
      <c r="F116" s="334" t="n"/>
      <c r="G116" s="334" t="n"/>
      <c r="H116" s="334" t="n"/>
      <c r="I116" s="334" t="n"/>
      <c r="J116" s="334" t="n"/>
      <c r="K116" s="334" t="n"/>
      <c r="L116" s="334" t="n"/>
      <c r="M116" s="334" t="n"/>
      <c r="N116" s="334" t="n"/>
      <c r="O116" s="334" t="n"/>
      <c r="P116" s="334" t="n"/>
      <c r="Q116" s="334" t="n"/>
      <c r="R116" s="334" t="n"/>
      <c r="S116" s="334" t="n"/>
      <c r="T116" s="334" t="n"/>
    </row>
    <row r="117">
      <c r="A117" s="334" t="n"/>
      <c r="B117" s="334" t="n"/>
      <c r="C117" s="334" t="n"/>
      <c r="D117" s="334" t="n"/>
      <c r="E117" s="334" t="n"/>
      <c r="F117" s="334" t="n"/>
      <c r="G117" s="334" t="n"/>
      <c r="H117" s="334" t="n"/>
      <c r="I117" s="334" t="n"/>
      <c r="J117" s="334" t="n"/>
      <c r="K117" s="334" t="n"/>
      <c r="L117" s="334" t="n"/>
      <c r="M117" s="334" t="n"/>
      <c r="N117" s="334" t="n"/>
      <c r="O117" s="334" t="n"/>
      <c r="P117" s="334" t="n"/>
      <c r="Q117" s="334" t="n"/>
      <c r="R117" s="334" t="n"/>
      <c r="S117" s="334" t="n"/>
      <c r="T117" s="334" t="n"/>
    </row>
    <row r="118">
      <c r="A118" s="334" t="n"/>
      <c r="B118" s="334" t="n"/>
      <c r="C118" s="334" t="n"/>
      <c r="D118" s="334" t="n"/>
      <c r="E118" s="334" t="n"/>
      <c r="F118" s="334" t="n"/>
      <c r="G118" s="334" t="n"/>
      <c r="H118" s="334" t="n"/>
      <c r="I118" s="334" t="n"/>
      <c r="J118" s="334" t="n"/>
      <c r="K118" s="334" t="n"/>
      <c r="L118" s="334" t="n"/>
      <c r="M118" s="334" t="n"/>
      <c r="N118" s="334" t="n"/>
      <c r="O118" s="334" t="n"/>
      <c r="P118" s="334" t="n"/>
      <c r="Q118" s="334" t="n"/>
      <c r="R118" s="334" t="n"/>
      <c r="S118" s="334" t="n"/>
      <c r="T118" s="334" t="n"/>
    </row>
    <row r="119">
      <c r="A119" s="334" t="n"/>
      <c r="B119" s="334" t="n"/>
      <c r="C119" s="334" t="n"/>
      <c r="D119" s="334" t="n"/>
      <c r="E119" s="334" t="n"/>
      <c r="F119" s="334" t="n"/>
      <c r="G119" s="334" t="n"/>
      <c r="H119" s="334" t="n"/>
      <c r="I119" s="334" t="n"/>
      <c r="J119" s="334" t="n"/>
      <c r="K119" s="334" t="n"/>
      <c r="L119" s="334" t="n"/>
      <c r="M119" s="334" t="n"/>
      <c r="N119" s="334" t="n"/>
      <c r="O119" s="334" t="n"/>
      <c r="P119" s="334" t="n"/>
      <c r="Q119" s="334" t="n"/>
      <c r="R119" s="334" t="n"/>
      <c r="S119" s="334" t="n"/>
      <c r="T119" s="334" t="n"/>
    </row>
    <row r="120">
      <c r="A120" s="334" t="n"/>
      <c r="B120" s="334" t="n"/>
      <c r="C120" s="334" t="n"/>
      <c r="D120" s="334" t="n"/>
      <c r="E120" s="334" t="n"/>
      <c r="F120" s="334" t="n"/>
      <c r="G120" s="334" t="n"/>
      <c r="H120" s="334" t="n"/>
      <c r="I120" s="334" t="n"/>
      <c r="J120" s="334" t="n"/>
      <c r="K120" s="334" t="n"/>
      <c r="L120" s="334" t="n"/>
      <c r="M120" s="334" t="n"/>
      <c r="N120" s="334" t="n"/>
      <c r="O120" s="334" t="n"/>
      <c r="P120" s="334" t="n"/>
      <c r="Q120" s="334" t="n"/>
      <c r="R120" s="334" t="n"/>
      <c r="S120" s="334" t="n"/>
      <c r="T120" s="334" t="n"/>
    </row>
    <row r="121">
      <c r="A121" s="334" t="n"/>
      <c r="B121" s="334" t="n"/>
      <c r="C121" s="334" t="n"/>
      <c r="D121" s="334" t="n"/>
      <c r="E121" s="334" t="n"/>
      <c r="F121" s="334" t="n"/>
      <c r="G121" s="334" t="n"/>
      <c r="H121" s="334" t="n"/>
      <c r="I121" s="334" t="n"/>
      <c r="J121" s="334" t="n"/>
      <c r="K121" s="334" t="n"/>
      <c r="L121" s="334" t="n"/>
      <c r="M121" s="334" t="n"/>
      <c r="N121" s="334" t="n"/>
      <c r="O121" s="334" t="n"/>
      <c r="P121" s="334" t="n"/>
      <c r="Q121" s="334" t="n"/>
      <c r="R121" s="334" t="n"/>
      <c r="S121" s="334" t="n"/>
      <c r="T121" s="334" t="n"/>
    </row>
    <row r="122">
      <c r="A122" s="334" t="n"/>
      <c r="B122" s="334" t="n"/>
      <c r="C122" s="334" t="n"/>
      <c r="D122" s="334" t="n"/>
      <c r="E122" s="334" t="n"/>
      <c r="F122" s="334" t="n"/>
      <c r="G122" s="334" t="n"/>
      <c r="H122" s="334" t="n"/>
      <c r="I122" s="334" t="n"/>
      <c r="J122" s="334" t="n"/>
      <c r="K122" s="334" t="n"/>
      <c r="L122" s="334" t="n"/>
      <c r="M122" s="334" t="n"/>
      <c r="N122" s="334" t="n"/>
      <c r="O122" s="334" t="n"/>
      <c r="P122" s="334" t="n"/>
      <c r="Q122" s="334" t="n"/>
      <c r="R122" s="334" t="n"/>
      <c r="S122" s="334" t="n"/>
      <c r="T122" s="334" t="n"/>
    </row>
    <row r="123">
      <c r="A123" s="334" t="n"/>
      <c r="B123" s="334" t="n"/>
      <c r="C123" s="334" t="n"/>
      <c r="D123" s="334" t="n"/>
      <c r="E123" s="334" t="n"/>
      <c r="F123" s="334" t="n"/>
      <c r="G123" s="334" t="n"/>
      <c r="H123" s="334" t="n"/>
      <c r="I123" s="334" t="n"/>
      <c r="J123" s="334" t="n"/>
      <c r="K123" s="334" t="n"/>
      <c r="L123" s="334" t="n"/>
      <c r="M123" s="334" t="n"/>
      <c r="N123" s="334" t="n"/>
      <c r="O123" s="334" t="n"/>
      <c r="P123" s="334" t="n"/>
      <c r="Q123" s="334" t="n"/>
      <c r="R123" s="334" t="n"/>
      <c r="S123" s="334" t="n"/>
      <c r="T123" s="334" t="n"/>
    </row>
    <row r="124">
      <c r="A124" s="334" t="n"/>
      <c r="B124" s="334" t="n"/>
      <c r="C124" s="334" t="n"/>
      <c r="D124" s="334" t="n"/>
      <c r="E124" s="334" t="n"/>
      <c r="F124" s="334" t="n"/>
      <c r="G124" s="334" t="n"/>
      <c r="H124" s="334" t="n"/>
      <c r="I124" s="334" t="n"/>
      <c r="J124" s="334" t="n"/>
      <c r="K124" s="334" t="n"/>
      <c r="L124" s="334" t="n"/>
      <c r="M124" s="334" t="n"/>
      <c r="N124" s="334" t="n"/>
      <c r="O124" s="334" t="n"/>
      <c r="P124" s="334" t="n"/>
      <c r="Q124" s="334" t="n"/>
      <c r="R124" s="334" t="n"/>
      <c r="S124" s="334" t="n"/>
      <c r="T124" s="334" t="n"/>
    </row>
    <row r="125">
      <c r="A125" s="334" t="n"/>
      <c r="B125" s="334" t="n"/>
      <c r="C125" s="334" t="n"/>
      <c r="D125" s="334" t="n"/>
      <c r="E125" s="334" t="n"/>
      <c r="F125" s="334" t="n"/>
      <c r="G125" s="334" t="n"/>
      <c r="H125" s="334" t="n"/>
      <c r="I125" s="334" t="n"/>
      <c r="J125" s="334" t="n"/>
      <c r="K125" s="334" t="n"/>
      <c r="L125" s="334" t="n"/>
      <c r="M125" s="334" t="n"/>
      <c r="N125" s="334" t="n"/>
      <c r="O125" s="334" t="n"/>
      <c r="P125" s="334" t="n"/>
      <c r="Q125" s="334" t="n"/>
      <c r="R125" s="334" t="n"/>
      <c r="S125" s="334" t="n"/>
      <c r="T125" s="334" t="n"/>
    </row>
    <row r="126">
      <c r="A126" s="334" t="n"/>
      <c r="B126" s="334" t="n"/>
      <c r="C126" s="334" t="n"/>
      <c r="D126" s="334" t="n"/>
      <c r="E126" s="334" t="n"/>
      <c r="F126" s="334" t="n"/>
      <c r="G126" s="334" t="n"/>
      <c r="H126" s="334" t="n"/>
      <c r="I126" s="334" t="n"/>
      <c r="J126" s="334" t="n"/>
      <c r="K126" s="334" t="n"/>
      <c r="L126" s="334" t="n"/>
      <c r="M126" s="334" t="n"/>
      <c r="N126" s="334" t="n"/>
      <c r="O126" s="334" t="n"/>
      <c r="P126" s="334" t="n"/>
      <c r="Q126" s="334" t="n"/>
      <c r="R126" s="334" t="n"/>
      <c r="S126" s="334" t="n"/>
      <c r="T126" s="334" t="n"/>
    </row>
    <row r="127">
      <c r="A127" s="334" t="n"/>
      <c r="B127" s="334" t="n"/>
      <c r="C127" s="334" t="n"/>
      <c r="D127" s="334" t="n"/>
      <c r="E127" s="334" t="n"/>
      <c r="F127" s="334" t="n"/>
      <c r="G127" s="334" t="n"/>
      <c r="H127" s="334" t="n"/>
      <c r="I127" s="334" t="n"/>
      <c r="J127" s="334" t="n"/>
      <c r="K127" s="334" t="n"/>
      <c r="L127" s="334" t="n"/>
      <c r="M127" s="334" t="n"/>
      <c r="N127" s="334" t="n"/>
      <c r="O127" s="334" t="n"/>
      <c r="P127" s="334" t="n"/>
      <c r="Q127" s="334" t="n"/>
      <c r="R127" s="334" t="n"/>
      <c r="S127" s="334" t="n"/>
      <c r="T127" s="334" t="n"/>
    </row>
    <row r="128">
      <c r="A128" s="334" t="n"/>
      <c r="B128" s="334" t="n"/>
      <c r="C128" s="334" t="n"/>
      <c r="D128" s="334" t="n"/>
      <c r="E128" s="334" t="n"/>
      <c r="F128" s="334" t="n"/>
      <c r="G128" s="334" t="n"/>
      <c r="H128" s="334" t="n"/>
      <c r="I128" s="334" t="n"/>
      <c r="J128" s="334" t="n"/>
      <c r="K128" s="334" t="n"/>
      <c r="L128" s="334" t="n"/>
      <c r="M128" s="334" t="n"/>
      <c r="N128" s="334" t="n"/>
      <c r="O128" s="334" t="n"/>
      <c r="P128" s="334" t="n"/>
      <c r="Q128" s="334" t="n"/>
      <c r="R128" s="334" t="n"/>
      <c r="S128" s="334" t="n"/>
      <c r="T128" s="334" t="n"/>
    </row>
    <row r="129">
      <c r="A129" s="334" t="n"/>
      <c r="B129" s="334" t="n"/>
      <c r="C129" s="334" t="n"/>
      <c r="D129" s="334" t="n"/>
      <c r="E129" s="334" t="n"/>
      <c r="F129" s="334" t="n"/>
      <c r="G129" s="334" t="n"/>
      <c r="H129" s="334" t="n"/>
      <c r="I129" s="334" t="n"/>
      <c r="J129" s="334" t="n"/>
      <c r="K129" s="334" t="n"/>
      <c r="L129" s="334" t="n"/>
      <c r="M129" s="334" t="n"/>
      <c r="N129" s="334" t="n"/>
      <c r="O129" s="334" t="n"/>
      <c r="P129" s="334" t="n"/>
      <c r="Q129" s="334" t="n"/>
      <c r="R129" s="334" t="n"/>
      <c r="S129" s="334" t="n"/>
      <c r="T129" s="334" t="n"/>
    </row>
    <row r="130">
      <c r="A130" s="334" t="n"/>
      <c r="B130" s="334" t="n"/>
      <c r="C130" s="334" t="n"/>
      <c r="D130" s="334" t="n"/>
      <c r="E130" s="334" t="n"/>
      <c r="F130" s="334" t="n"/>
      <c r="G130" s="334" t="n"/>
      <c r="H130" s="334" t="n"/>
      <c r="I130" s="334" t="n"/>
      <c r="J130" s="334" t="n"/>
      <c r="K130" s="334" t="n"/>
      <c r="L130" s="334" t="n"/>
      <c r="M130" s="334" t="n"/>
      <c r="N130" s="334" t="n"/>
      <c r="O130" s="334" t="n"/>
      <c r="P130" s="334" t="n"/>
      <c r="Q130" s="334" t="n"/>
      <c r="R130" s="334" t="n"/>
      <c r="S130" s="334" t="n"/>
      <c r="T130" s="334" t="n"/>
    </row>
    <row r="131">
      <c r="A131" s="334" t="n"/>
      <c r="B131" s="334" t="n"/>
      <c r="C131" s="334" t="n"/>
      <c r="D131" s="334" t="n"/>
      <c r="E131" s="334" t="n"/>
      <c r="F131" s="334" t="n"/>
      <c r="G131" s="334" t="n"/>
      <c r="H131" s="334" t="n"/>
      <c r="I131" s="334" t="n"/>
      <c r="J131" s="334" t="n"/>
      <c r="K131" s="334" t="n"/>
      <c r="L131" s="334" t="n"/>
      <c r="M131" s="334" t="n"/>
      <c r="N131" s="334" t="n"/>
      <c r="O131" s="334" t="n"/>
      <c r="P131" s="334" t="n"/>
      <c r="Q131" s="334" t="n"/>
      <c r="R131" s="334" t="n"/>
      <c r="S131" s="334" t="n"/>
      <c r="T131" s="334" t="n"/>
    </row>
    <row r="132">
      <c r="A132" s="334" t="n"/>
      <c r="B132" s="334" t="n"/>
      <c r="C132" s="334" t="n"/>
      <c r="D132" s="334" t="n"/>
      <c r="E132" s="334" t="n"/>
      <c r="F132" s="334" t="n"/>
      <c r="G132" s="334" t="n"/>
      <c r="H132" s="334" t="n"/>
      <c r="I132" s="334" t="n"/>
      <c r="J132" s="334" t="n"/>
      <c r="K132" s="334" t="n"/>
      <c r="L132" s="334" t="n"/>
      <c r="M132" s="334" t="n"/>
      <c r="N132" s="334" t="n"/>
      <c r="O132" s="334" t="n"/>
      <c r="P132" s="334" t="n"/>
      <c r="Q132" s="334" t="n"/>
      <c r="R132" s="334" t="n"/>
      <c r="S132" s="334" t="n"/>
      <c r="T132" s="334" t="n"/>
    </row>
    <row r="133">
      <c r="A133" s="334" t="n"/>
      <c r="B133" s="334" t="n"/>
      <c r="C133" s="334" t="n"/>
      <c r="D133" s="334" t="n"/>
      <c r="E133" s="334" t="n"/>
      <c r="F133" s="334" t="n"/>
      <c r="G133" s="334" t="n"/>
      <c r="H133" s="334" t="n"/>
      <c r="I133" s="334" t="n"/>
      <c r="J133" s="334" t="n"/>
      <c r="K133" s="334" t="n"/>
      <c r="L133" s="334" t="n"/>
      <c r="M133" s="334" t="n"/>
      <c r="N133" s="334" t="n"/>
      <c r="O133" s="334" t="n"/>
      <c r="P133" s="334" t="n"/>
      <c r="Q133" s="334" t="n"/>
      <c r="R133" s="334" t="n"/>
      <c r="S133" s="334" t="n"/>
      <c r="T133" s="334" t="n"/>
    </row>
    <row r="134">
      <c r="A134" s="334" t="n"/>
      <c r="B134" s="334" t="n"/>
      <c r="C134" s="334" t="n"/>
      <c r="D134" s="334" t="n"/>
      <c r="E134" s="334" t="n"/>
      <c r="F134" s="334" t="n"/>
      <c r="G134" s="334" t="n"/>
      <c r="H134" s="334" t="n"/>
      <c r="I134" s="334" t="n"/>
      <c r="J134" s="334" t="n"/>
      <c r="K134" s="334" t="n"/>
      <c r="L134" s="334" t="n"/>
      <c r="M134" s="334" t="n"/>
      <c r="N134" s="334" t="n"/>
      <c r="O134" s="334" t="n"/>
      <c r="P134" s="334" t="n"/>
      <c r="Q134" s="334" t="n"/>
      <c r="R134" s="334" t="n"/>
      <c r="S134" s="334" t="n"/>
      <c r="T134" s="334" t="n"/>
    </row>
    <row r="135">
      <c r="A135" s="334" t="n"/>
      <c r="B135" s="334" t="n"/>
      <c r="C135" s="334" t="n"/>
      <c r="D135" s="334" t="n"/>
      <c r="E135" s="334" t="n"/>
      <c r="F135" s="334" t="n"/>
      <c r="G135" s="334" t="n"/>
      <c r="H135" s="334" t="n"/>
      <c r="I135" s="334" t="n"/>
      <c r="J135" s="334" t="n"/>
      <c r="K135" s="334" t="n"/>
      <c r="L135" s="334" t="n"/>
      <c r="M135" s="334" t="n"/>
      <c r="N135" s="334" t="n"/>
      <c r="O135" s="334" t="n"/>
      <c r="P135" s="334" t="n"/>
      <c r="Q135" s="334" t="n"/>
      <c r="R135" s="334" t="n"/>
      <c r="S135" s="334" t="n"/>
      <c r="T135" s="334" t="n"/>
    </row>
    <row r="136">
      <c r="A136" s="334" t="n"/>
      <c r="B136" s="334" t="n"/>
      <c r="C136" s="334" t="n"/>
      <c r="D136" s="334" t="n"/>
      <c r="E136" s="334" t="n"/>
      <c r="F136" s="334" t="n"/>
      <c r="G136" s="334" t="n"/>
      <c r="H136" s="334" t="n"/>
      <c r="I136" s="334" t="n"/>
      <c r="J136" s="334" t="n"/>
      <c r="K136" s="334" t="n"/>
      <c r="L136" s="334" t="n"/>
      <c r="M136" s="334" t="n"/>
      <c r="N136" s="334" t="n"/>
      <c r="O136" s="334" t="n"/>
      <c r="P136" s="334" t="n"/>
      <c r="Q136" s="334" t="n"/>
      <c r="R136" s="334" t="n"/>
      <c r="S136" s="334" t="n"/>
      <c r="T136" s="334" t="n"/>
    </row>
    <row r="137">
      <c r="A137" s="334" t="n"/>
      <c r="B137" s="334" t="n"/>
      <c r="C137" s="334" t="n"/>
      <c r="D137" s="334" t="n"/>
      <c r="E137" s="334" t="n"/>
      <c r="F137" s="334" t="n"/>
      <c r="G137" s="334" t="n"/>
      <c r="H137" s="334" t="n"/>
      <c r="I137" s="334" t="n"/>
      <c r="J137" s="334" t="n"/>
      <c r="K137" s="334" t="n"/>
      <c r="L137" s="334" t="n"/>
      <c r="M137" s="334" t="n"/>
      <c r="N137" s="334" t="n"/>
      <c r="O137" s="334" t="n"/>
      <c r="P137" s="334" t="n"/>
      <c r="Q137" s="334" t="n"/>
      <c r="R137" s="334" t="n"/>
      <c r="S137" s="334" t="n"/>
      <c r="T137" s="334" t="n"/>
    </row>
    <row r="138">
      <c r="A138" s="334" t="n"/>
      <c r="B138" s="334" t="n"/>
      <c r="C138" s="334" t="n"/>
      <c r="D138" s="334" t="n"/>
      <c r="E138" s="334" t="n"/>
      <c r="F138" s="334" t="n"/>
      <c r="G138" s="334" t="n"/>
      <c r="H138" s="334" t="n"/>
      <c r="I138" s="334" t="n"/>
      <c r="J138" s="334" t="n"/>
      <c r="K138" s="334" t="n"/>
      <c r="L138" s="334" t="n"/>
      <c r="M138" s="334" t="n"/>
      <c r="N138" s="334" t="n"/>
      <c r="O138" s="334" t="n"/>
      <c r="P138" s="334" t="n"/>
      <c r="Q138" s="334" t="n"/>
      <c r="R138" s="334" t="n"/>
      <c r="S138" s="334" t="n"/>
      <c r="T138" s="334" t="n"/>
    </row>
    <row r="139">
      <c r="A139" s="334" t="n"/>
      <c r="B139" s="334" t="n"/>
      <c r="C139" s="334" t="n"/>
      <c r="D139" s="334" t="n"/>
      <c r="E139" s="334" t="n"/>
      <c r="F139" s="334" t="n"/>
      <c r="G139" s="334" t="n"/>
      <c r="H139" s="334" t="n"/>
      <c r="I139" s="334" t="n"/>
      <c r="J139" s="334" t="n"/>
      <c r="K139" s="334" t="n"/>
      <c r="L139" s="334" t="n"/>
      <c r="M139" s="334" t="n"/>
      <c r="N139" s="334" t="n"/>
      <c r="O139" s="334" t="n"/>
      <c r="P139" s="334" t="n"/>
      <c r="Q139" s="334" t="n"/>
      <c r="R139" s="334" t="n"/>
      <c r="S139" s="334" t="n"/>
      <c r="T139" s="334" t="n"/>
    </row>
    <row r="140">
      <c r="A140" s="334" t="n"/>
      <c r="B140" s="334" t="n"/>
      <c r="C140" s="334" t="n"/>
      <c r="D140" s="334" t="n"/>
      <c r="E140" s="334" t="n"/>
      <c r="F140" s="334" t="n"/>
      <c r="G140" s="334" t="n"/>
      <c r="H140" s="334" t="n"/>
      <c r="I140" s="334" t="n"/>
      <c r="J140" s="334" t="n"/>
      <c r="K140" s="334" t="n"/>
      <c r="L140" s="334" t="n"/>
      <c r="M140" s="334" t="n"/>
      <c r="N140" s="334" t="n"/>
      <c r="O140" s="334" t="n"/>
      <c r="P140" s="334" t="n"/>
      <c r="Q140" s="334" t="n"/>
      <c r="R140" s="334" t="n"/>
      <c r="S140" s="334" t="n"/>
      <c r="T140" s="334" t="n"/>
    </row>
    <row r="141">
      <c r="A141" s="334" t="n"/>
      <c r="B141" s="334" t="n"/>
      <c r="C141" s="334" t="n"/>
      <c r="D141" s="334" t="n"/>
      <c r="E141" s="334" t="n"/>
      <c r="F141" s="334" t="n"/>
      <c r="G141" s="334" t="n"/>
      <c r="H141" s="334" t="n"/>
      <c r="I141" s="334" t="n"/>
      <c r="J141" s="334" t="n"/>
      <c r="K141" s="334" t="n"/>
      <c r="L141" s="334" t="n"/>
      <c r="M141" s="334" t="n"/>
      <c r="N141" s="334" t="n"/>
      <c r="O141" s="334" t="n"/>
      <c r="P141" s="334" t="n"/>
      <c r="Q141" s="334" t="n"/>
      <c r="R141" s="334" t="n"/>
      <c r="S141" s="334" t="n"/>
      <c r="T141" s="334" t="n"/>
    </row>
    <row r="142">
      <c r="A142" s="334" t="n"/>
      <c r="B142" s="334" t="n"/>
      <c r="C142" s="334" t="n"/>
      <c r="D142" s="334" t="n"/>
      <c r="E142" s="334" t="n"/>
      <c r="F142" s="334" t="n"/>
      <c r="G142" s="334" t="n"/>
      <c r="H142" s="334" t="n"/>
      <c r="I142" s="334" t="n"/>
      <c r="J142" s="334" t="n"/>
      <c r="K142" s="334" t="n"/>
      <c r="L142" s="334" t="n"/>
      <c r="M142" s="334" t="n"/>
      <c r="N142" s="334" t="n"/>
      <c r="O142" s="334" t="n"/>
      <c r="P142" s="334" t="n"/>
      <c r="Q142" s="334" t="n"/>
      <c r="R142" s="334" t="n"/>
      <c r="S142" s="334" t="n"/>
      <c r="T142" s="334" t="n"/>
    </row>
    <row r="143">
      <c r="A143" s="334" t="n"/>
      <c r="B143" s="334" t="n"/>
      <c r="C143" s="334" t="n"/>
      <c r="D143" s="334" t="n"/>
      <c r="E143" s="334" t="n"/>
      <c r="F143" s="334" t="n"/>
      <c r="G143" s="334" t="n"/>
      <c r="H143" s="334" t="n"/>
      <c r="I143" s="334" t="n"/>
      <c r="J143" s="334" t="n"/>
      <c r="K143" s="334" t="n"/>
      <c r="L143" s="334" t="n"/>
      <c r="M143" s="334" t="n"/>
      <c r="N143" s="334" t="n"/>
      <c r="O143" s="334" t="n"/>
      <c r="P143" s="334" t="n"/>
      <c r="Q143" s="334" t="n"/>
      <c r="R143" s="334" t="n"/>
      <c r="S143" s="334" t="n"/>
      <c r="T143" s="334" t="n"/>
    </row>
    <row r="144">
      <c r="A144" s="334" t="n"/>
      <c r="B144" s="334" t="n"/>
      <c r="C144" s="334" t="n"/>
      <c r="D144" s="334" t="n"/>
      <c r="E144" s="334" t="n"/>
      <c r="F144" s="334" t="n"/>
      <c r="G144" s="334" t="n"/>
      <c r="H144" s="334" t="n"/>
      <c r="I144" s="334" t="n"/>
      <c r="J144" s="334" t="n"/>
      <c r="K144" s="334" t="n"/>
      <c r="L144" s="334" t="n"/>
      <c r="M144" s="334" t="n"/>
      <c r="N144" s="334" t="n"/>
      <c r="O144" s="334" t="n"/>
      <c r="P144" s="334" t="n"/>
      <c r="Q144" s="334" t="n"/>
      <c r="R144" s="334" t="n"/>
      <c r="S144" s="334" t="n"/>
      <c r="T144" s="334" t="n"/>
    </row>
    <row r="145">
      <c r="A145" s="334" t="n"/>
      <c r="B145" s="334" t="n"/>
      <c r="C145" s="334" t="n"/>
      <c r="D145" s="334" t="n"/>
      <c r="E145" s="334" t="n"/>
      <c r="F145" s="334" t="n"/>
      <c r="G145" s="334" t="n"/>
      <c r="H145" s="334" t="n"/>
      <c r="I145" s="334" t="n"/>
      <c r="J145" s="334" t="n"/>
      <c r="K145" s="334" t="n"/>
      <c r="L145" s="334" t="n"/>
      <c r="M145" s="334" t="n"/>
      <c r="N145" s="334" t="n"/>
      <c r="O145" s="334" t="n"/>
      <c r="P145" s="334" t="n"/>
      <c r="Q145" s="334" t="n"/>
      <c r="R145" s="334" t="n"/>
      <c r="S145" s="334" t="n"/>
      <c r="T145" s="334" t="n"/>
    </row>
    <row r="146">
      <c r="A146" s="334" t="n"/>
      <c r="B146" s="334" t="n"/>
      <c r="C146" s="334" t="n"/>
      <c r="D146" s="334" t="n"/>
      <c r="E146" s="334" t="n"/>
      <c r="F146" s="334" t="n"/>
      <c r="G146" s="334" t="n"/>
      <c r="H146" s="334" t="n"/>
      <c r="I146" s="334" t="n"/>
      <c r="J146" s="334" t="n"/>
      <c r="K146" s="334" t="n"/>
      <c r="L146" s="334" t="n"/>
      <c r="M146" s="334" t="n"/>
      <c r="N146" s="334" t="n"/>
      <c r="O146" s="334" t="n"/>
      <c r="P146" s="334" t="n"/>
      <c r="Q146" s="334" t="n"/>
      <c r="R146" s="334" t="n"/>
      <c r="S146" s="334" t="n"/>
      <c r="T146" s="334" t="n"/>
    </row>
    <row r="147">
      <c r="A147" s="334" t="n"/>
      <c r="B147" s="334" t="n"/>
      <c r="C147" s="334" t="n"/>
      <c r="D147" s="334" t="n"/>
      <c r="E147" s="334" t="n"/>
      <c r="F147" s="334" t="n"/>
      <c r="G147" s="334" t="n"/>
      <c r="H147" s="334" t="n"/>
      <c r="I147" s="334" t="n"/>
      <c r="J147" s="334" t="n"/>
      <c r="K147" s="334" t="n"/>
      <c r="L147" s="334" t="n"/>
      <c r="M147" s="334" t="n"/>
      <c r="N147" s="334" t="n"/>
      <c r="O147" s="334" t="n"/>
      <c r="P147" s="334" t="n"/>
      <c r="Q147" s="334" t="n"/>
      <c r="R147" s="334" t="n"/>
      <c r="S147" s="334" t="n"/>
      <c r="T147" s="334" t="n"/>
    </row>
    <row r="148">
      <c r="A148" s="334" t="n"/>
      <c r="B148" s="334" t="n"/>
      <c r="C148" s="334" t="n"/>
      <c r="D148" s="334" t="n"/>
      <c r="E148" s="334" t="n"/>
      <c r="F148" s="334" t="n"/>
      <c r="G148" s="334" t="n"/>
      <c r="H148" s="334" t="n"/>
      <c r="I148" s="334" t="n"/>
      <c r="J148" s="334" t="n"/>
      <c r="K148" s="334" t="n"/>
      <c r="L148" s="334" t="n"/>
      <c r="M148" s="334" t="n"/>
      <c r="N148" s="334" t="n"/>
      <c r="O148" s="334" t="n"/>
      <c r="P148" s="334" t="n"/>
      <c r="Q148" s="334" t="n"/>
      <c r="R148" s="334" t="n"/>
      <c r="S148" s="334" t="n"/>
      <c r="T148" s="334" t="n"/>
    </row>
    <row r="149">
      <c r="A149" s="334" t="n"/>
      <c r="B149" s="334" t="n"/>
      <c r="C149" s="334" t="n"/>
      <c r="D149" s="334" t="n"/>
      <c r="E149" s="334" t="n"/>
      <c r="F149" s="334" t="n"/>
      <c r="G149" s="334" t="n"/>
      <c r="H149" s="334" t="n"/>
      <c r="I149" s="334" t="n"/>
      <c r="J149" s="334" t="n"/>
      <c r="K149" s="334" t="n"/>
      <c r="L149" s="334" t="n"/>
      <c r="M149" s="334" t="n"/>
      <c r="N149" s="334" t="n"/>
      <c r="O149" s="334" t="n"/>
      <c r="P149" s="334" t="n"/>
      <c r="Q149" s="334" t="n"/>
      <c r="R149" s="334" t="n"/>
      <c r="S149" s="334" t="n"/>
      <c r="T149" s="334" t="n"/>
    </row>
    <row r="150">
      <c r="A150" s="334" t="n"/>
      <c r="B150" s="334" t="n"/>
      <c r="C150" s="334" t="n"/>
      <c r="D150" s="334" t="n"/>
      <c r="E150" s="334" t="n"/>
      <c r="F150" s="334" t="n"/>
      <c r="G150" s="334" t="n"/>
      <c r="H150" s="334" t="n"/>
      <c r="I150" s="334" t="n"/>
      <c r="J150" s="334" t="n"/>
      <c r="K150" s="334" t="n"/>
      <c r="L150" s="334" t="n"/>
      <c r="M150" s="334" t="n"/>
      <c r="N150" s="334" t="n"/>
      <c r="O150" s="334" t="n"/>
      <c r="P150" s="334" t="n"/>
      <c r="Q150" s="334" t="n"/>
      <c r="R150" s="334" t="n"/>
      <c r="S150" s="334" t="n"/>
      <c r="T150" s="334" t="n"/>
    </row>
    <row r="151">
      <c r="A151" s="334" t="n"/>
      <c r="B151" s="334" t="n"/>
      <c r="C151" s="334" t="n"/>
      <c r="D151" s="334" t="n"/>
      <c r="E151" s="334" t="n"/>
      <c r="F151" s="334" t="n"/>
      <c r="G151" s="334" t="n"/>
      <c r="H151" s="334" t="n"/>
      <c r="I151" s="334" t="n"/>
      <c r="J151" s="334" t="n"/>
      <c r="K151" s="334" t="n"/>
      <c r="L151" s="334" t="n"/>
      <c r="M151" s="334" t="n"/>
      <c r="N151" s="334" t="n"/>
      <c r="O151" s="334" t="n"/>
      <c r="P151" s="334" t="n"/>
      <c r="Q151" s="334" t="n"/>
      <c r="R151" s="334" t="n"/>
      <c r="S151" s="334" t="n"/>
      <c r="T151" s="334" t="n"/>
    </row>
    <row r="152">
      <c r="A152" s="334" t="n"/>
      <c r="B152" s="334" t="n"/>
      <c r="C152" s="334" t="n"/>
      <c r="D152" s="334" t="n"/>
      <c r="E152" s="334" t="n"/>
      <c r="F152" s="334" t="n"/>
      <c r="G152" s="334" t="n"/>
      <c r="H152" s="334" t="n"/>
      <c r="I152" s="334" t="n"/>
      <c r="J152" s="334" t="n"/>
      <c r="K152" s="334" t="n"/>
      <c r="L152" s="334" t="n"/>
      <c r="M152" s="334" t="n"/>
      <c r="N152" s="334" t="n"/>
      <c r="O152" s="334" t="n"/>
      <c r="P152" s="334" t="n"/>
      <c r="Q152" s="334" t="n"/>
      <c r="R152" s="334" t="n"/>
      <c r="S152" s="334" t="n"/>
      <c r="T152" s="334" t="n"/>
    </row>
    <row r="153">
      <c r="A153" s="334" t="n"/>
      <c r="B153" s="334" t="n"/>
      <c r="C153" s="334" t="n"/>
      <c r="D153" s="334" t="n"/>
      <c r="E153" s="334" t="n"/>
      <c r="F153" s="334" t="n"/>
      <c r="G153" s="334" t="n"/>
      <c r="H153" s="334" t="n"/>
      <c r="I153" s="334" t="n"/>
      <c r="J153" s="334" t="n"/>
      <c r="K153" s="334" t="n"/>
      <c r="L153" s="334" t="n"/>
      <c r="M153" s="334" t="n"/>
      <c r="N153" s="334" t="n"/>
      <c r="O153" s="334" t="n"/>
      <c r="P153" s="334" t="n"/>
      <c r="Q153" s="334" t="n"/>
      <c r="R153" s="334" t="n"/>
      <c r="S153" s="334" t="n"/>
      <c r="T153" s="334" t="n"/>
    </row>
    <row r="154">
      <c r="A154" s="334" t="n"/>
      <c r="B154" s="334" t="n"/>
      <c r="C154" s="334" t="n"/>
      <c r="D154" s="334" t="n"/>
      <c r="E154" s="334" t="n"/>
      <c r="F154" s="334" t="n"/>
      <c r="G154" s="334" t="n"/>
      <c r="H154" s="334" t="n"/>
      <c r="I154" s="334" t="n"/>
      <c r="J154" s="334" t="n"/>
      <c r="K154" s="334" t="n"/>
      <c r="L154" s="334" t="n"/>
      <c r="M154" s="334" t="n"/>
      <c r="N154" s="334" t="n"/>
      <c r="O154" s="334" t="n"/>
      <c r="P154" s="334" t="n"/>
      <c r="Q154" s="334" t="n"/>
      <c r="R154" s="334" t="n"/>
      <c r="S154" s="334" t="n"/>
      <c r="T154" s="334" t="n"/>
    </row>
    <row r="155">
      <c r="A155" s="334" t="n"/>
      <c r="B155" s="334" t="n"/>
      <c r="C155" s="334" t="n"/>
      <c r="D155" s="334" t="n"/>
      <c r="E155" s="334" t="n"/>
      <c r="F155" s="334" t="n"/>
      <c r="G155" s="334" t="n"/>
      <c r="H155" s="334" t="n"/>
      <c r="I155" s="334" t="n"/>
      <c r="J155" s="334" t="n"/>
      <c r="K155" s="334" t="n"/>
      <c r="L155" s="334" t="n"/>
      <c r="M155" s="334" t="n"/>
      <c r="N155" s="334" t="n"/>
      <c r="O155" s="334" t="n"/>
      <c r="P155" s="334" t="n"/>
      <c r="Q155" s="334" t="n"/>
      <c r="R155" s="334" t="n"/>
      <c r="S155" s="334" t="n"/>
      <c r="T155" s="334" t="n"/>
    </row>
    <row r="156">
      <c r="A156" s="334" t="n"/>
      <c r="B156" s="334" t="n"/>
      <c r="C156" s="334" t="n"/>
      <c r="D156" s="334" t="n"/>
      <c r="E156" s="334" t="n"/>
      <c r="F156" s="334" t="n"/>
      <c r="G156" s="334" t="n"/>
      <c r="H156" s="334" t="n"/>
      <c r="I156" s="334" t="n"/>
      <c r="J156" s="334" t="n"/>
      <c r="K156" s="334" t="n"/>
      <c r="L156" s="334" t="n"/>
      <c r="M156" s="334" t="n"/>
      <c r="N156" s="334" t="n"/>
      <c r="O156" s="334" t="n"/>
      <c r="P156" s="334" t="n"/>
      <c r="Q156" s="334" t="n"/>
      <c r="R156" s="334" t="n"/>
      <c r="S156" s="334" t="n"/>
      <c r="T156" s="334" t="n"/>
    </row>
    <row r="157">
      <c r="A157" s="334" t="n"/>
      <c r="B157" s="334" t="n"/>
      <c r="C157" s="334" t="n"/>
      <c r="D157" s="334" t="n"/>
      <c r="E157" s="334" t="n"/>
      <c r="F157" s="334" t="n"/>
      <c r="G157" s="334" t="n"/>
      <c r="H157" s="334" t="n"/>
      <c r="I157" s="334" t="n"/>
      <c r="J157" s="334" t="n"/>
      <c r="K157" s="334" t="n"/>
      <c r="L157" s="334" t="n"/>
      <c r="M157" s="334" t="n"/>
      <c r="N157" s="334" t="n"/>
      <c r="O157" s="334" t="n"/>
      <c r="P157" s="334" t="n"/>
      <c r="Q157" s="334" t="n"/>
      <c r="R157" s="334" t="n"/>
      <c r="S157" s="334" t="n"/>
      <c r="T157" s="334" t="n"/>
    </row>
    <row r="158">
      <c r="A158" s="334" t="n"/>
      <c r="B158" s="334" t="n"/>
      <c r="C158" s="334" t="n"/>
      <c r="D158" s="334" t="n"/>
      <c r="E158" s="334" t="n"/>
      <c r="F158" s="334" t="n"/>
      <c r="G158" s="334" t="n"/>
      <c r="H158" s="334" t="n"/>
      <c r="I158" s="334" t="n"/>
      <c r="J158" s="334" t="n"/>
      <c r="K158" s="334" t="n"/>
      <c r="L158" s="334" t="n"/>
      <c r="M158" s="334" t="n"/>
      <c r="N158" s="334" t="n"/>
      <c r="O158" s="334" t="n"/>
      <c r="P158" s="334" t="n"/>
      <c r="Q158" s="334" t="n"/>
      <c r="R158" s="334" t="n"/>
      <c r="S158" s="334" t="n"/>
      <c r="T158" s="334" t="n"/>
    </row>
    <row r="159">
      <c r="A159" s="334" t="n"/>
      <c r="B159" s="334" t="n"/>
      <c r="C159" s="334" t="n"/>
      <c r="D159" s="334" t="n"/>
      <c r="E159" s="334" t="n"/>
      <c r="F159" s="334" t="n"/>
      <c r="G159" s="334" t="n"/>
      <c r="H159" s="334" t="n"/>
      <c r="I159" s="334" t="n"/>
      <c r="J159" s="334" t="n"/>
      <c r="K159" s="334" t="n"/>
      <c r="L159" s="334" t="n"/>
      <c r="M159" s="334" t="n"/>
      <c r="N159" s="334" t="n"/>
      <c r="O159" s="334" t="n"/>
      <c r="P159" s="334" t="n"/>
      <c r="Q159" s="334" t="n"/>
      <c r="R159" s="334" t="n"/>
      <c r="S159" s="334" t="n"/>
      <c r="T159" s="334" t="n"/>
    </row>
    <row r="160">
      <c r="A160" s="334" t="n"/>
      <c r="B160" s="334" t="n"/>
      <c r="C160" s="334" t="n"/>
      <c r="D160" s="334" t="n"/>
      <c r="E160" s="334" t="n"/>
      <c r="F160" s="334" t="n"/>
      <c r="G160" s="334" t="n"/>
      <c r="H160" s="334" t="n"/>
      <c r="I160" s="334" t="n"/>
      <c r="J160" s="334" t="n"/>
      <c r="K160" s="334" t="n"/>
      <c r="L160" s="334" t="n"/>
      <c r="M160" s="334" t="n"/>
      <c r="N160" s="334" t="n"/>
      <c r="O160" s="334" t="n"/>
      <c r="P160" s="334" t="n"/>
      <c r="Q160" s="334" t="n"/>
      <c r="R160" s="334" t="n"/>
      <c r="S160" s="334" t="n"/>
      <c r="T160" s="334" t="n"/>
    </row>
    <row r="161">
      <c r="A161" s="334" t="n"/>
      <c r="B161" s="334" t="n"/>
      <c r="C161" s="334" t="n"/>
      <c r="D161" s="334" t="n"/>
      <c r="E161" s="334" t="n"/>
      <c r="F161" s="334" t="n"/>
      <c r="G161" s="334" t="n"/>
      <c r="H161" s="334" t="n"/>
      <c r="I161" s="334" t="n"/>
      <c r="J161" s="334" t="n"/>
      <c r="K161" s="334" t="n"/>
      <c r="L161" s="334" t="n"/>
      <c r="M161" s="334" t="n"/>
      <c r="N161" s="334" t="n"/>
      <c r="O161" s="334" t="n"/>
      <c r="P161" s="334" t="n"/>
      <c r="Q161" s="334" t="n"/>
      <c r="R161" s="334" t="n"/>
      <c r="S161" s="334" t="n"/>
      <c r="T161" s="334" t="n"/>
    </row>
    <row r="162">
      <c r="A162" s="334" t="n"/>
      <c r="B162" s="334" t="n"/>
      <c r="C162" s="334" t="n"/>
      <c r="D162" s="334" t="n"/>
      <c r="E162" s="334" t="n"/>
      <c r="F162" s="334" t="n"/>
      <c r="G162" s="334" t="n"/>
      <c r="H162" s="334" t="n"/>
      <c r="I162" s="334" t="n"/>
      <c r="J162" s="334" t="n"/>
      <c r="K162" s="334" t="n"/>
      <c r="L162" s="334" t="n"/>
      <c r="M162" s="334" t="n"/>
      <c r="N162" s="334" t="n"/>
      <c r="O162" s="334" t="n"/>
      <c r="P162" s="334" t="n"/>
      <c r="Q162" s="334" t="n"/>
      <c r="R162" s="334" t="n"/>
      <c r="S162" s="334" t="n"/>
      <c r="T162" s="334" t="n"/>
    </row>
    <row r="163">
      <c r="A163" s="334" t="n"/>
      <c r="B163" s="334" t="n"/>
      <c r="C163" s="334" t="n"/>
      <c r="D163" s="334" t="n"/>
      <c r="E163" s="334" t="n"/>
      <c r="F163" s="334" t="n"/>
      <c r="G163" s="334" t="n"/>
      <c r="H163" s="334" t="n"/>
      <c r="I163" s="334" t="n"/>
      <c r="J163" s="334" t="n"/>
      <c r="K163" s="334" t="n"/>
      <c r="L163" s="334" t="n"/>
      <c r="M163" s="334" t="n"/>
      <c r="N163" s="334" t="n"/>
      <c r="O163" s="334" t="n"/>
      <c r="P163" s="334" t="n"/>
      <c r="Q163" s="334" t="n"/>
      <c r="R163" s="334" t="n"/>
      <c r="S163" s="334" t="n"/>
      <c r="T163" s="334" t="n"/>
    </row>
    <row r="164">
      <c r="A164" s="334" t="n"/>
      <c r="B164" s="334" t="n"/>
      <c r="C164" s="334" t="n"/>
      <c r="D164" s="334" t="n"/>
      <c r="E164" s="334" t="n"/>
      <c r="F164" s="334" t="n"/>
      <c r="G164" s="334" t="n"/>
      <c r="H164" s="334" t="n"/>
      <c r="I164" s="334" t="n"/>
      <c r="J164" s="334" t="n"/>
      <c r="K164" s="334" t="n"/>
      <c r="L164" s="334" t="n"/>
      <c r="M164" s="334" t="n"/>
      <c r="N164" s="334" t="n"/>
      <c r="O164" s="334" t="n"/>
      <c r="P164" s="334" t="n"/>
      <c r="Q164" s="334" t="n"/>
      <c r="R164" s="334" t="n"/>
      <c r="S164" s="334" t="n"/>
      <c r="T164" s="334" t="n"/>
    </row>
    <row r="165">
      <c r="A165" s="334" t="n"/>
      <c r="B165" s="334" t="n"/>
      <c r="C165" s="334" t="n"/>
      <c r="D165" s="334" t="n"/>
      <c r="E165" s="334" t="n"/>
      <c r="F165" s="334" t="n"/>
      <c r="G165" s="334" t="n"/>
      <c r="H165" s="334" t="n"/>
      <c r="I165" s="334" t="n"/>
      <c r="J165" s="334" t="n"/>
      <c r="K165" s="334" t="n"/>
      <c r="L165" s="334" t="n"/>
      <c r="M165" s="334" t="n"/>
      <c r="N165" s="334" t="n"/>
      <c r="O165" s="334" t="n"/>
      <c r="P165" s="334" t="n"/>
      <c r="Q165" s="334" t="n"/>
      <c r="R165" s="334" t="n"/>
      <c r="S165" s="334" t="n"/>
      <c r="T165" s="334" t="n"/>
    </row>
    <row r="166">
      <c r="A166" s="334" t="n"/>
      <c r="B166" s="334" t="n"/>
      <c r="C166" s="334" t="n"/>
      <c r="D166" s="334" t="n"/>
      <c r="E166" s="334" t="n"/>
      <c r="F166" s="334" t="n"/>
      <c r="G166" s="334" t="n"/>
      <c r="H166" s="334" t="n"/>
      <c r="I166" s="334" t="n"/>
      <c r="J166" s="334" t="n"/>
      <c r="K166" s="334" t="n"/>
      <c r="L166" s="334" t="n"/>
      <c r="M166" s="334" t="n"/>
      <c r="N166" s="334" t="n"/>
      <c r="O166" s="334" t="n"/>
      <c r="P166" s="334" t="n"/>
      <c r="Q166" s="334" t="n"/>
      <c r="R166" s="334" t="n"/>
      <c r="S166" s="334" t="n"/>
      <c r="T166" s="334" t="n"/>
    </row>
    <row r="167">
      <c r="A167" s="334" t="n"/>
      <c r="B167" s="334" t="n"/>
      <c r="C167" s="334" t="n"/>
      <c r="D167" s="334" t="n"/>
      <c r="E167" s="334" t="n"/>
      <c r="F167" s="334" t="n"/>
      <c r="G167" s="334" t="n"/>
      <c r="H167" s="334" t="n"/>
      <c r="I167" s="334" t="n"/>
      <c r="J167" s="334" t="n"/>
      <c r="K167" s="334" t="n"/>
      <c r="L167" s="334" t="n"/>
      <c r="M167" s="334" t="n"/>
      <c r="N167" s="334" t="n"/>
      <c r="O167" s="334" t="n"/>
      <c r="P167" s="334" t="n"/>
      <c r="Q167" s="334" t="n"/>
      <c r="R167" s="334" t="n"/>
      <c r="S167" s="334" t="n"/>
      <c r="T167" s="334" t="n"/>
    </row>
    <row r="168">
      <c r="A168" s="334" t="n"/>
      <c r="B168" s="334" t="n"/>
      <c r="C168" s="334" t="n"/>
      <c r="D168" s="334" t="n"/>
      <c r="E168" s="334" t="n"/>
      <c r="F168" s="334" t="n"/>
      <c r="G168" s="334" t="n"/>
      <c r="H168" s="334" t="n"/>
      <c r="I168" s="334" t="n"/>
      <c r="J168" s="334" t="n"/>
      <c r="K168" s="334" t="n"/>
      <c r="L168" s="334" t="n"/>
      <c r="M168" s="334" t="n"/>
      <c r="N168" s="334" t="n"/>
      <c r="O168" s="334" t="n"/>
      <c r="P168" s="334" t="n"/>
      <c r="Q168" s="334" t="n"/>
      <c r="R168" s="334" t="n"/>
      <c r="S168" s="334" t="n"/>
      <c r="T168" s="334" t="n"/>
    </row>
    <row r="169">
      <c r="A169" s="334" t="n"/>
      <c r="B169" s="334" t="n"/>
      <c r="C169" s="334" t="n"/>
      <c r="D169" s="334" t="n"/>
      <c r="E169" s="334" t="n"/>
      <c r="F169" s="334" t="n"/>
      <c r="G169" s="334" t="n"/>
      <c r="H169" s="334" t="n"/>
      <c r="I169" s="334" t="n"/>
      <c r="J169" s="334" t="n"/>
      <c r="K169" s="334" t="n"/>
      <c r="L169" s="334" t="n"/>
      <c r="M169" s="334" t="n"/>
      <c r="N169" s="334" t="n"/>
      <c r="O169" s="334" t="n"/>
      <c r="P169" s="334" t="n"/>
      <c r="Q169" s="334" t="n"/>
      <c r="R169" s="334" t="n"/>
      <c r="S169" s="334" t="n"/>
      <c r="T169" s="334" t="n"/>
    </row>
    <row r="170">
      <c r="A170" s="334" t="n"/>
      <c r="B170" s="334" t="n"/>
      <c r="C170" s="334" t="n"/>
      <c r="D170" s="334" t="n"/>
      <c r="E170" s="334" t="n"/>
      <c r="F170" s="334" t="n"/>
      <c r="G170" s="334" t="n"/>
      <c r="H170" s="334" t="n"/>
      <c r="I170" s="334" t="n"/>
      <c r="J170" s="334" t="n"/>
      <c r="K170" s="334" t="n"/>
      <c r="L170" s="334" t="n"/>
      <c r="M170" s="334" t="n"/>
      <c r="N170" s="334" t="n"/>
      <c r="O170" s="334" t="n"/>
      <c r="P170" s="334" t="n"/>
      <c r="Q170" s="334" t="n"/>
      <c r="R170" s="334" t="n"/>
      <c r="S170" s="334" t="n"/>
      <c r="T170" s="334" t="n"/>
    </row>
    <row r="171">
      <c r="A171" s="334" t="n"/>
      <c r="B171" s="334" t="n"/>
      <c r="C171" s="334" t="n"/>
      <c r="D171" s="334" t="n"/>
      <c r="E171" s="334" t="n"/>
      <c r="F171" s="334" t="n"/>
      <c r="G171" s="334" t="n"/>
      <c r="H171" s="334" t="n"/>
      <c r="I171" s="334" t="n"/>
      <c r="J171" s="334" t="n"/>
      <c r="K171" s="334" t="n"/>
      <c r="L171" s="334" t="n"/>
      <c r="M171" s="334" t="n"/>
      <c r="N171" s="334" t="n"/>
      <c r="O171" s="334" t="n"/>
      <c r="P171" s="334" t="n"/>
      <c r="Q171" s="334" t="n"/>
      <c r="R171" s="334" t="n"/>
      <c r="S171" s="334" t="n"/>
      <c r="T171" s="334" t="n"/>
    </row>
    <row r="172">
      <c r="A172" s="334" t="n"/>
      <c r="B172" s="334" t="n"/>
      <c r="C172" s="334" t="n"/>
      <c r="D172" s="334" t="n"/>
      <c r="E172" s="334" t="n"/>
      <c r="F172" s="334" t="n"/>
      <c r="G172" s="334" t="n"/>
      <c r="H172" s="334" t="n"/>
      <c r="I172" s="334" t="n"/>
      <c r="J172" s="334" t="n"/>
      <c r="K172" s="334" t="n"/>
      <c r="L172" s="334" t="n"/>
      <c r="M172" s="334" t="n"/>
      <c r="N172" s="334" t="n"/>
      <c r="O172" s="334" t="n"/>
      <c r="P172" s="334" t="n"/>
      <c r="Q172" s="334" t="n"/>
      <c r="R172" s="334" t="n"/>
      <c r="S172" s="334" t="n"/>
      <c r="T172" s="334" t="n"/>
    </row>
    <row r="173">
      <c r="A173" s="334" t="n"/>
      <c r="B173" s="334" t="n"/>
      <c r="C173" s="334" t="n"/>
      <c r="D173" s="334" t="n"/>
      <c r="E173" s="334" t="n"/>
      <c r="F173" s="334" t="n"/>
      <c r="G173" s="334" t="n"/>
      <c r="H173" s="334" t="n"/>
      <c r="I173" s="334" t="n"/>
      <c r="J173" s="334" t="n"/>
      <c r="K173" s="334" t="n"/>
      <c r="L173" s="334" t="n"/>
      <c r="M173" s="334" t="n"/>
      <c r="N173" s="334" t="n"/>
      <c r="O173" s="334" t="n"/>
      <c r="P173" s="334" t="n"/>
      <c r="Q173" s="334" t="n"/>
      <c r="R173" s="334" t="n"/>
      <c r="S173" s="334" t="n"/>
      <c r="T173" s="334" t="n"/>
    </row>
    <row r="174">
      <c r="A174" s="334" t="n"/>
      <c r="B174" s="334" t="n"/>
      <c r="C174" s="334" t="n"/>
      <c r="D174" s="334" t="n"/>
      <c r="E174" s="334" t="n"/>
      <c r="F174" s="334" t="n"/>
      <c r="G174" s="334" t="n"/>
      <c r="H174" s="334" t="n"/>
      <c r="I174" s="334" t="n"/>
      <c r="J174" s="334" t="n"/>
      <c r="K174" s="334" t="n"/>
      <c r="L174" s="334" t="n"/>
      <c r="M174" s="334" t="n"/>
      <c r="N174" s="334" t="n"/>
      <c r="O174" s="334" t="n"/>
      <c r="P174" s="334" t="n"/>
      <c r="Q174" s="334" t="n"/>
      <c r="R174" s="334" t="n"/>
      <c r="S174" s="334" t="n"/>
      <c r="T174" s="334" t="n"/>
    </row>
    <row r="175">
      <c r="A175" s="334" t="n"/>
      <c r="B175" s="334" t="n"/>
      <c r="C175" s="334" t="n"/>
      <c r="D175" s="334" t="n"/>
      <c r="E175" s="334" t="n"/>
      <c r="F175" s="334" t="n"/>
      <c r="G175" s="334" t="n"/>
      <c r="H175" s="334" t="n"/>
      <c r="I175" s="334" t="n"/>
      <c r="J175" s="334" t="n"/>
      <c r="K175" s="334" t="n"/>
      <c r="L175" s="334" t="n"/>
      <c r="M175" s="334" t="n"/>
      <c r="N175" s="334" t="n"/>
      <c r="O175" s="334" t="n"/>
      <c r="P175" s="334" t="n"/>
      <c r="Q175" s="334" t="n"/>
      <c r="R175" s="334" t="n"/>
      <c r="S175" s="334" t="n"/>
      <c r="T175" s="334" t="n"/>
    </row>
    <row r="176">
      <c r="A176" s="334" t="n"/>
      <c r="B176" s="334" t="n"/>
      <c r="C176" s="334" t="n"/>
      <c r="D176" s="334" t="n"/>
      <c r="E176" s="334" t="n"/>
      <c r="F176" s="334" t="n"/>
      <c r="G176" s="334" t="n"/>
      <c r="H176" s="334" t="n"/>
      <c r="I176" s="334" t="n"/>
      <c r="J176" s="334" t="n"/>
      <c r="K176" s="334" t="n"/>
      <c r="L176" s="334" t="n"/>
      <c r="M176" s="334" t="n"/>
      <c r="N176" s="334" t="n"/>
      <c r="O176" s="334" t="n"/>
      <c r="P176" s="334" t="n"/>
      <c r="Q176" s="334" t="n"/>
      <c r="R176" s="334" t="n"/>
      <c r="S176" s="334" t="n"/>
      <c r="T176" s="334" t="n"/>
    </row>
    <row r="177">
      <c r="A177" s="334" t="n"/>
      <c r="B177" s="334" t="n"/>
      <c r="C177" s="334" t="n"/>
      <c r="D177" s="334" t="n"/>
      <c r="E177" s="334" t="n"/>
      <c r="F177" s="334" t="n"/>
      <c r="G177" s="334" t="n"/>
      <c r="H177" s="334" t="n"/>
      <c r="I177" s="334" t="n"/>
      <c r="J177" s="334" t="n"/>
      <c r="K177" s="334" t="n"/>
      <c r="L177" s="334" t="n"/>
      <c r="M177" s="334" t="n"/>
      <c r="N177" s="334" t="n"/>
      <c r="O177" s="334" t="n"/>
      <c r="P177" s="334" t="n"/>
      <c r="Q177" s="334" t="n"/>
      <c r="R177" s="334" t="n"/>
      <c r="S177" s="334" t="n"/>
      <c r="T177" s="334" t="n"/>
    </row>
    <row r="178">
      <c r="A178" s="334" t="n"/>
      <c r="B178" s="334" t="n"/>
      <c r="C178" s="334" t="n"/>
      <c r="D178" s="334" t="n"/>
      <c r="E178" s="334" t="n"/>
      <c r="F178" s="334" t="n"/>
      <c r="G178" s="334" t="n"/>
      <c r="H178" s="334" t="n"/>
      <c r="I178" s="334" t="n"/>
      <c r="J178" s="334" t="n"/>
      <c r="K178" s="334" t="n"/>
      <c r="L178" s="334" t="n"/>
      <c r="M178" s="334" t="n"/>
      <c r="N178" s="334" t="n"/>
      <c r="O178" s="334" t="n"/>
      <c r="P178" s="334" t="n"/>
      <c r="Q178" s="334" t="n"/>
      <c r="R178" s="334" t="n"/>
      <c r="S178" s="334" t="n"/>
      <c r="T178" s="334" t="n"/>
    </row>
    <row r="179">
      <c r="A179" s="334" t="n"/>
      <c r="B179" s="334" t="n"/>
      <c r="C179" s="334" t="n"/>
      <c r="D179" s="334" t="n"/>
      <c r="E179" s="334" t="n"/>
      <c r="F179" s="334" t="n"/>
      <c r="G179" s="334" t="n"/>
      <c r="H179" s="334" t="n"/>
      <c r="I179" s="334" t="n"/>
      <c r="J179" s="334" t="n"/>
      <c r="K179" s="334" t="n"/>
      <c r="L179" s="334" t="n"/>
      <c r="M179" s="334" t="n"/>
      <c r="N179" s="334" t="n"/>
      <c r="O179" s="334" t="n"/>
      <c r="P179" s="334" t="n"/>
      <c r="Q179" s="334" t="n"/>
      <c r="R179" s="334" t="n"/>
      <c r="S179" s="334" t="n"/>
      <c r="T179" s="334" t="n"/>
    </row>
    <row r="180">
      <c r="A180" s="334" t="n"/>
      <c r="B180" s="334" t="n"/>
      <c r="C180" s="334" t="n"/>
      <c r="D180" s="334" t="n"/>
      <c r="E180" s="334" t="n"/>
      <c r="F180" s="334" t="n"/>
      <c r="G180" s="334" t="n"/>
      <c r="H180" s="334" t="n"/>
      <c r="I180" s="334" t="n"/>
      <c r="J180" s="334" t="n"/>
      <c r="K180" s="334" t="n"/>
      <c r="L180" s="334" t="n"/>
      <c r="M180" s="334" t="n"/>
      <c r="N180" s="334" t="n"/>
      <c r="O180" s="334" t="n"/>
      <c r="P180" s="334" t="n"/>
      <c r="Q180" s="334" t="n"/>
      <c r="R180" s="334" t="n"/>
      <c r="S180" s="334" t="n"/>
      <c r="T180" s="334" t="n"/>
    </row>
    <row r="181">
      <c r="A181" s="334" t="n"/>
      <c r="B181" s="334" t="n"/>
      <c r="C181" s="334" t="n"/>
      <c r="D181" s="334" t="n"/>
      <c r="E181" s="334" t="n"/>
      <c r="F181" s="334" t="n"/>
      <c r="G181" s="334" t="n"/>
      <c r="H181" s="334" t="n"/>
      <c r="I181" s="334" t="n"/>
      <c r="J181" s="334" t="n"/>
      <c r="K181" s="334" t="n"/>
      <c r="L181" s="334" t="n"/>
      <c r="M181" s="334" t="n"/>
      <c r="N181" s="334" t="n"/>
      <c r="O181" s="334" t="n"/>
      <c r="P181" s="334" t="n"/>
      <c r="Q181" s="334" t="n"/>
      <c r="R181" s="334" t="n"/>
      <c r="S181" s="334" t="n"/>
      <c r="T181" s="334" t="n"/>
    </row>
    <row r="182">
      <c r="A182" s="334" t="n"/>
      <c r="B182" s="334" t="n"/>
      <c r="C182" s="334" t="n"/>
      <c r="D182" s="334" t="n"/>
      <c r="E182" s="334" t="n"/>
      <c r="F182" s="334" t="n"/>
      <c r="G182" s="334" t="n"/>
      <c r="H182" s="334" t="n"/>
      <c r="I182" s="334" t="n"/>
      <c r="J182" s="334" t="n"/>
      <c r="K182" s="334" t="n"/>
      <c r="L182" s="334" t="n"/>
      <c r="M182" s="334" t="n"/>
      <c r="N182" s="334" t="n"/>
      <c r="O182" s="334" t="n"/>
      <c r="P182" s="334" t="n"/>
      <c r="Q182" s="334" t="n"/>
      <c r="R182" s="334" t="n"/>
      <c r="S182" s="334" t="n"/>
      <c r="T182" s="334" t="n"/>
    </row>
    <row r="183">
      <c r="A183" s="334" t="n"/>
      <c r="B183" s="334" t="n"/>
      <c r="C183" s="334" t="n"/>
      <c r="D183" s="334" t="n"/>
      <c r="E183" s="334" t="n"/>
      <c r="F183" s="334" t="n"/>
      <c r="G183" s="334" t="n"/>
      <c r="H183" s="334" t="n"/>
      <c r="I183" s="334" t="n"/>
      <c r="J183" s="334" t="n"/>
      <c r="K183" s="334" t="n"/>
      <c r="L183" s="334" t="n"/>
      <c r="M183" s="334" t="n"/>
      <c r="N183" s="334" t="n"/>
      <c r="O183" s="334" t="n"/>
      <c r="P183" s="334" t="n"/>
      <c r="Q183" s="334" t="n"/>
      <c r="R183" s="334" t="n"/>
      <c r="S183" s="334" t="n"/>
      <c r="T183" s="334" t="n"/>
    </row>
    <row r="184">
      <c r="A184" s="334" t="n"/>
      <c r="B184" s="334" t="n"/>
      <c r="C184" s="334" t="n"/>
      <c r="D184" s="334" t="n"/>
      <c r="E184" s="334" t="n"/>
      <c r="F184" s="334" t="n"/>
      <c r="G184" s="334" t="n"/>
      <c r="H184" s="334" t="n"/>
      <c r="I184" s="334" t="n"/>
      <c r="J184" s="334" t="n"/>
      <c r="K184" s="334" t="n"/>
      <c r="L184" s="334" t="n"/>
      <c r="M184" s="334" t="n"/>
      <c r="N184" s="334" t="n"/>
      <c r="O184" s="334" t="n"/>
      <c r="P184" s="334" t="n"/>
      <c r="Q184" s="334" t="n"/>
      <c r="R184" s="334" t="n"/>
      <c r="S184" s="334" t="n"/>
      <c r="T184" s="334" t="n"/>
    </row>
    <row r="185">
      <c r="A185" s="334" t="n"/>
      <c r="B185" s="334" t="n"/>
      <c r="C185" s="334" t="n"/>
      <c r="D185" s="334" t="n"/>
      <c r="E185" s="334" t="n"/>
      <c r="F185" s="334" t="n"/>
      <c r="G185" s="334" t="n"/>
      <c r="H185" s="334" t="n"/>
      <c r="I185" s="334" t="n"/>
      <c r="J185" s="334" t="n"/>
      <c r="K185" s="334" t="n"/>
      <c r="L185" s="334" t="n"/>
      <c r="M185" s="334" t="n"/>
      <c r="N185" s="334" t="n"/>
      <c r="O185" s="334" t="n"/>
      <c r="P185" s="334" t="n"/>
      <c r="Q185" s="334" t="n"/>
      <c r="R185" s="334" t="n"/>
      <c r="S185" s="334" t="n"/>
      <c r="T185" s="334" t="n"/>
    </row>
    <row r="186">
      <c r="A186" s="334" t="n"/>
      <c r="B186" s="334" t="n"/>
      <c r="C186" s="334" t="n"/>
      <c r="D186" s="334" t="n"/>
      <c r="E186" s="334" t="n"/>
      <c r="F186" s="334" t="n"/>
      <c r="G186" s="334" t="n"/>
      <c r="H186" s="334" t="n"/>
      <c r="I186" s="334" t="n"/>
      <c r="J186" s="334" t="n"/>
      <c r="K186" s="334" t="n"/>
      <c r="L186" s="334" t="n"/>
      <c r="M186" s="334" t="n"/>
      <c r="N186" s="334" t="n"/>
      <c r="O186" s="334" t="n"/>
      <c r="P186" s="334" t="n"/>
      <c r="Q186" s="334" t="n"/>
      <c r="R186" s="334" t="n"/>
      <c r="S186" s="334" t="n"/>
      <c r="T186" s="334" t="n"/>
    </row>
    <row r="187">
      <c r="A187" s="334" t="n"/>
      <c r="B187" s="334" t="n"/>
      <c r="C187" s="334" t="n"/>
      <c r="D187" s="334" t="n"/>
      <c r="E187" s="334" t="n"/>
      <c r="F187" s="334" t="n"/>
      <c r="G187" s="334" t="n"/>
      <c r="H187" s="334" t="n"/>
      <c r="I187" s="334" t="n"/>
      <c r="J187" s="334" t="n"/>
      <c r="K187" s="334" t="n"/>
      <c r="L187" s="334" t="n"/>
      <c r="M187" s="334" t="n"/>
      <c r="N187" s="334" t="n"/>
      <c r="O187" s="334" t="n"/>
      <c r="P187" s="334" t="n"/>
      <c r="Q187" s="334" t="n"/>
      <c r="R187" s="334" t="n"/>
      <c r="S187" s="334" t="n"/>
      <c r="T187" s="334" t="n"/>
    </row>
    <row r="188">
      <c r="A188" s="334" t="n"/>
      <c r="B188" s="334" t="n"/>
      <c r="C188" s="334" t="n"/>
      <c r="D188" s="334" t="n"/>
      <c r="E188" s="334" t="n"/>
      <c r="F188" s="334" t="n"/>
      <c r="G188" s="334" t="n"/>
      <c r="H188" s="334" t="n"/>
      <c r="I188" s="334" t="n"/>
      <c r="J188" s="334" t="n"/>
      <c r="K188" s="334" t="n"/>
      <c r="L188" s="334" t="n"/>
      <c r="M188" s="334" t="n"/>
      <c r="N188" s="334" t="n"/>
      <c r="O188" s="334" t="n"/>
      <c r="P188" s="334" t="n"/>
      <c r="Q188" s="334" t="n"/>
      <c r="R188" s="334" t="n"/>
      <c r="S188" s="334" t="n"/>
      <c r="T188" s="334" t="n"/>
    </row>
    <row r="189">
      <c r="A189" s="334" t="n"/>
      <c r="B189" s="334" t="n"/>
      <c r="C189" s="334" t="n"/>
      <c r="D189" s="334" t="n"/>
      <c r="E189" s="334" t="n"/>
      <c r="F189" s="334" t="n"/>
      <c r="G189" s="334" t="n"/>
      <c r="H189" s="334" t="n"/>
      <c r="I189" s="334" t="n"/>
      <c r="J189" s="334" t="n"/>
      <c r="K189" s="334" t="n"/>
      <c r="L189" s="334" t="n"/>
      <c r="M189" s="334" t="n"/>
      <c r="N189" s="334" t="n"/>
      <c r="O189" s="334" t="n"/>
      <c r="P189" s="334" t="n"/>
      <c r="Q189" s="334" t="n"/>
      <c r="R189" s="334" t="n"/>
      <c r="S189" s="334" t="n"/>
      <c r="T189" s="334" t="n"/>
    </row>
    <row r="190">
      <c r="A190" s="334" t="n"/>
      <c r="B190" s="334" t="n"/>
      <c r="C190" s="334" t="n"/>
      <c r="D190" s="334" t="n"/>
      <c r="E190" s="334" t="n"/>
      <c r="F190" s="334" t="n"/>
      <c r="G190" s="334" t="n"/>
      <c r="H190" s="334" t="n"/>
      <c r="I190" s="334" t="n"/>
      <c r="J190" s="334" t="n"/>
      <c r="K190" s="334" t="n"/>
      <c r="L190" s="334" t="n"/>
      <c r="M190" s="334" t="n"/>
      <c r="N190" s="334" t="n"/>
      <c r="O190" s="334" t="n"/>
      <c r="P190" s="334" t="n"/>
      <c r="Q190" s="334" t="n"/>
      <c r="R190" s="334" t="n"/>
      <c r="S190" s="334" t="n"/>
      <c r="T190" s="334" t="n"/>
    </row>
    <row r="191">
      <c r="A191" s="334" t="n"/>
      <c r="B191" s="334" t="n"/>
      <c r="C191" s="334" t="n"/>
      <c r="D191" s="334" t="n"/>
      <c r="E191" s="334" t="n"/>
      <c r="F191" s="334" t="n"/>
      <c r="G191" s="334" t="n"/>
      <c r="H191" s="334" t="n"/>
      <c r="I191" s="334" t="n"/>
      <c r="J191" s="334" t="n"/>
      <c r="K191" s="334" t="n"/>
      <c r="L191" s="334" t="n"/>
      <c r="M191" s="334" t="n"/>
      <c r="N191" s="334" t="n"/>
      <c r="O191" s="334" t="n"/>
      <c r="P191" s="334" t="n"/>
      <c r="Q191" s="334" t="n"/>
      <c r="R191" s="334" t="n"/>
      <c r="S191" s="334" t="n"/>
      <c r="T191" s="334" t="n"/>
    </row>
    <row r="192">
      <c r="A192" s="334" t="n"/>
      <c r="B192" s="334" t="n"/>
      <c r="C192" s="334" t="n"/>
      <c r="D192" s="334" t="n"/>
      <c r="E192" s="334" t="n"/>
      <c r="F192" s="334" t="n"/>
      <c r="G192" s="334" t="n"/>
      <c r="H192" s="334" t="n"/>
      <c r="I192" s="334" t="n"/>
      <c r="J192" s="334" t="n"/>
      <c r="K192" s="334" t="n"/>
      <c r="L192" s="334" t="n"/>
      <c r="M192" s="334" t="n"/>
      <c r="N192" s="334" t="n"/>
      <c r="O192" s="334" t="n"/>
      <c r="P192" s="334" t="n"/>
      <c r="Q192" s="334" t="n"/>
      <c r="R192" s="334" t="n"/>
      <c r="S192" s="334" t="n"/>
      <c r="T192" s="334" t="n"/>
    </row>
    <row r="193">
      <c r="A193" s="334" t="n"/>
      <c r="B193" s="334" t="n"/>
      <c r="C193" s="334" t="n"/>
      <c r="D193" s="334" t="n"/>
      <c r="E193" s="334" t="n"/>
      <c r="F193" s="334" t="n"/>
      <c r="G193" s="334" t="n"/>
      <c r="H193" s="334" t="n"/>
      <c r="I193" s="334" t="n"/>
      <c r="J193" s="334" t="n"/>
      <c r="K193" s="334" t="n"/>
      <c r="L193" s="334" t="n"/>
      <c r="M193" s="334" t="n"/>
      <c r="N193" s="334" t="n"/>
      <c r="O193" s="334" t="n"/>
      <c r="P193" s="334" t="n"/>
      <c r="Q193" s="334" t="n"/>
      <c r="R193" s="334" t="n"/>
      <c r="S193" s="334" t="n"/>
      <c r="T193" s="334" t="n"/>
    </row>
    <row r="194">
      <c r="A194" s="334" t="n"/>
      <c r="B194" s="334" t="n"/>
      <c r="C194" s="334" t="n"/>
      <c r="D194" s="334" t="n"/>
      <c r="E194" s="334" t="n"/>
      <c r="F194" s="334" t="n"/>
      <c r="G194" s="334" t="n"/>
      <c r="H194" s="334" t="n"/>
      <c r="I194" s="334" t="n"/>
      <c r="J194" s="334" t="n"/>
      <c r="K194" s="334" t="n"/>
      <c r="L194" s="334" t="n"/>
      <c r="M194" s="334" t="n"/>
      <c r="N194" s="334" t="n"/>
      <c r="O194" s="334" t="n"/>
      <c r="P194" s="334" t="n"/>
      <c r="Q194" s="334" t="n"/>
      <c r="R194" s="334" t="n"/>
      <c r="S194" s="334" t="n"/>
      <c r="T194" s="334" t="n"/>
    </row>
    <row r="195">
      <c r="A195" s="334" t="n"/>
      <c r="B195" s="334" t="n"/>
      <c r="C195" s="334" t="n"/>
      <c r="D195" s="334" t="n"/>
      <c r="E195" s="334" t="n"/>
      <c r="F195" s="334" t="n"/>
      <c r="G195" s="334" t="n"/>
      <c r="H195" s="334" t="n"/>
      <c r="I195" s="334" t="n"/>
      <c r="J195" s="334" t="n"/>
      <c r="K195" s="334" t="n"/>
      <c r="L195" s="334" t="n"/>
      <c r="M195" s="334" t="n"/>
      <c r="N195" s="334" t="n"/>
      <c r="O195" s="334" t="n"/>
      <c r="P195" s="334" t="n"/>
      <c r="Q195" s="334" t="n"/>
      <c r="R195" s="334" t="n"/>
      <c r="S195" s="334" t="n"/>
      <c r="T195" s="334" t="n"/>
    </row>
    <row r="196">
      <c r="A196" s="334" t="n"/>
      <c r="B196" s="334" t="n"/>
      <c r="C196" s="334" t="n"/>
      <c r="D196" s="334" t="n"/>
      <c r="E196" s="334" t="n"/>
      <c r="F196" s="334" t="n"/>
      <c r="G196" s="334" t="n"/>
      <c r="H196" s="334" t="n"/>
      <c r="I196" s="334" t="n"/>
      <c r="J196" s="334" t="n"/>
      <c r="K196" s="334" t="n"/>
      <c r="L196" s="334" t="n"/>
      <c r="M196" s="334" t="n"/>
      <c r="N196" s="334" t="n"/>
      <c r="O196" s="334" t="n"/>
      <c r="P196" s="334" t="n"/>
      <c r="Q196" s="334" t="n"/>
      <c r="R196" s="334" t="n"/>
      <c r="S196" s="334" t="n"/>
      <c r="T196" s="334" t="n"/>
    </row>
    <row r="197">
      <c r="A197" s="334" t="n"/>
      <c r="B197" s="334" t="n"/>
      <c r="C197" s="334" t="n"/>
      <c r="D197" s="334" t="n"/>
      <c r="E197" s="334" t="n"/>
      <c r="F197" s="334" t="n"/>
      <c r="G197" s="334" t="n"/>
      <c r="H197" s="334" t="n"/>
      <c r="I197" s="334" t="n"/>
      <c r="J197" s="334" t="n"/>
      <c r="K197" s="334" t="n"/>
      <c r="L197" s="334" t="n"/>
      <c r="M197" s="334" t="n"/>
      <c r="N197" s="334" t="n"/>
      <c r="O197" s="334" t="n"/>
      <c r="P197" s="334" t="n"/>
      <c r="Q197" s="334" t="n"/>
      <c r="R197" s="334" t="n"/>
      <c r="S197" s="334" t="n"/>
      <c r="T197" s="334" t="n"/>
    </row>
    <row r="198">
      <c r="A198" s="334" t="n"/>
      <c r="B198" s="334" t="n"/>
      <c r="C198" s="334" t="n"/>
      <c r="D198" s="334" t="n"/>
      <c r="E198" s="334" t="n"/>
      <c r="F198" s="334" t="n"/>
      <c r="G198" s="334" t="n"/>
      <c r="H198" s="334" t="n"/>
      <c r="I198" s="334" t="n"/>
      <c r="J198" s="334" t="n"/>
      <c r="K198" s="334" t="n"/>
      <c r="L198" s="334" t="n"/>
      <c r="M198" s="334" t="n"/>
      <c r="N198" s="334" t="n"/>
      <c r="O198" s="334" t="n"/>
      <c r="P198" s="334" t="n"/>
      <c r="Q198" s="334" t="n"/>
      <c r="R198" s="334" t="n"/>
      <c r="S198" s="334" t="n"/>
      <c r="T198" s="334" t="n"/>
    </row>
    <row r="199">
      <c r="A199" s="334" t="n"/>
      <c r="B199" s="334" t="n"/>
      <c r="C199" s="334" t="n"/>
      <c r="D199" s="334" t="n"/>
      <c r="E199" s="334" t="n"/>
      <c r="F199" s="334" t="n"/>
      <c r="G199" s="334" t="n"/>
      <c r="H199" s="334" t="n"/>
      <c r="I199" s="334" t="n"/>
      <c r="J199" s="334" t="n"/>
      <c r="K199" s="334" t="n"/>
      <c r="L199" s="334" t="n"/>
      <c r="M199" s="334" t="n"/>
      <c r="N199" s="334" t="n"/>
      <c r="O199" s="334" t="n"/>
      <c r="P199" s="334" t="n"/>
      <c r="Q199" s="334" t="n"/>
      <c r="R199" s="334" t="n"/>
      <c r="S199" s="334" t="n"/>
      <c r="T199" s="334" t="n"/>
    </row>
    <row r="200">
      <c r="A200" s="334" t="n"/>
      <c r="B200" s="334" t="n"/>
      <c r="C200" s="334" t="n"/>
      <c r="D200" s="334" t="n"/>
      <c r="E200" s="334" t="n"/>
      <c r="F200" s="334" t="n"/>
      <c r="G200" s="334" t="n"/>
      <c r="H200" s="334" t="n"/>
      <c r="I200" s="334" t="n"/>
      <c r="J200" s="334" t="n"/>
      <c r="K200" s="334" t="n"/>
      <c r="L200" s="334" t="n"/>
      <c r="M200" s="334" t="n"/>
      <c r="N200" s="334" t="n"/>
      <c r="O200" s="334" t="n"/>
      <c r="P200" s="334" t="n"/>
      <c r="Q200" s="334" t="n"/>
      <c r="R200" s="334" t="n"/>
      <c r="S200" s="334" t="n"/>
      <c r="T200" s="334" t="n"/>
    </row>
    <row r="201">
      <c r="A201" s="334" t="n"/>
      <c r="B201" s="334" t="n"/>
      <c r="C201" s="334" t="n"/>
      <c r="D201" s="334" t="n"/>
      <c r="E201" s="334" t="n"/>
      <c r="F201" s="334" t="n"/>
      <c r="G201" s="334" t="n"/>
      <c r="H201" s="334" t="n"/>
      <c r="I201" s="334" t="n"/>
      <c r="J201" s="334" t="n"/>
      <c r="K201" s="334" t="n"/>
      <c r="L201" s="334" t="n"/>
      <c r="M201" s="334" t="n"/>
      <c r="N201" s="334" t="n"/>
      <c r="O201" s="334" t="n"/>
      <c r="P201" s="334" t="n"/>
      <c r="Q201" s="334" t="n"/>
      <c r="R201" s="334" t="n"/>
      <c r="S201" s="334" t="n"/>
      <c r="T201" s="334" t="n"/>
    </row>
    <row r="202">
      <c r="A202" s="334" t="n"/>
      <c r="B202" s="334" t="n"/>
      <c r="C202" s="334" t="n"/>
      <c r="D202" s="334" t="n"/>
      <c r="E202" s="334" t="n"/>
      <c r="F202" s="334" t="n"/>
      <c r="G202" s="334" t="n"/>
      <c r="H202" s="334" t="n"/>
      <c r="I202" s="334" t="n"/>
      <c r="J202" s="334" t="n"/>
      <c r="K202" s="334" t="n"/>
      <c r="L202" s="334" t="n"/>
      <c r="M202" s="334" t="n"/>
      <c r="N202" s="334" t="n"/>
      <c r="O202" s="334" t="n"/>
      <c r="P202" s="334" t="n"/>
      <c r="Q202" s="334" t="n"/>
      <c r="R202" s="334" t="n"/>
      <c r="S202" s="334" t="n"/>
      <c r="T202" s="334" t="n"/>
    </row>
    <row r="203">
      <c r="A203" s="334" t="n"/>
      <c r="B203" s="334" t="n"/>
      <c r="C203" s="334" t="n"/>
      <c r="D203" s="334" t="n"/>
      <c r="E203" s="334" t="n"/>
      <c r="F203" s="334" t="n"/>
      <c r="G203" s="334" t="n"/>
      <c r="H203" s="334" t="n"/>
      <c r="I203" s="334" t="n"/>
      <c r="J203" s="334" t="n"/>
      <c r="K203" s="334" t="n"/>
      <c r="L203" s="334" t="n"/>
      <c r="M203" s="334" t="n"/>
      <c r="N203" s="334" t="n"/>
      <c r="O203" s="334" t="n"/>
      <c r="P203" s="334" t="n"/>
      <c r="Q203" s="334" t="n"/>
      <c r="R203" s="334" t="n"/>
      <c r="S203" s="334" t="n"/>
      <c r="T203" s="334" t="n"/>
    </row>
    <row r="204">
      <c r="A204" s="334" t="n"/>
      <c r="B204" s="334" t="n"/>
      <c r="C204" s="334" t="n"/>
      <c r="D204" s="334" t="n"/>
      <c r="E204" s="334" t="n"/>
      <c r="F204" s="334" t="n"/>
      <c r="G204" s="334" t="n"/>
      <c r="H204" s="334" t="n"/>
      <c r="I204" s="334" t="n"/>
      <c r="J204" s="334" t="n"/>
      <c r="K204" s="334" t="n"/>
      <c r="L204" s="334" t="n"/>
      <c r="M204" s="334" t="n"/>
      <c r="N204" s="334" t="n"/>
      <c r="O204" s="334" t="n"/>
      <c r="P204" s="334" t="n"/>
      <c r="Q204" s="334" t="n"/>
      <c r="R204" s="334" t="n"/>
      <c r="S204" s="334" t="n"/>
      <c r="T204" s="334" t="n"/>
    </row>
    <row r="205">
      <c r="A205" s="334" t="n"/>
      <c r="B205" s="334" t="n"/>
      <c r="C205" s="334" t="n"/>
      <c r="D205" s="334" t="n"/>
      <c r="E205" s="334" t="n"/>
      <c r="F205" s="334" t="n"/>
      <c r="G205" s="334" t="n"/>
      <c r="H205" s="334" t="n"/>
      <c r="I205" s="334" t="n"/>
      <c r="J205" s="334" t="n"/>
      <c r="K205" s="334" t="n"/>
      <c r="L205" s="334" t="n"/>
      <c r="M205" s="334" t="n"/>
      <c r="N205" s="334" t="n"/>
      <c r="O205" s="334" t="n"/>
      <c r="P205" s="334" t="n"/>
      <c r="Q205" s="334" t="n"/>
      <c r="R205" s="334" t="n"/>
      <c r="S205" s="334" t="n"/>
      <c r="T205" s="334" t="n"/>
    </row>
    <row r="206">
      <c r="A206" s="334" t="n"/>
      <c r="B206" s="334" t="n"/>
      <c r="C206" s="334" t="n"/>
      <c r="D206" s="334" t="n"/>
      <c r="E206" s="334" t="n"/>
      <c r="F206" s="334" t="n"/>
      <c r="G206" s="334" t="n"/>
      <c r="H206" s="334" t="n"/>
      <c r="I206" s="334" t="n"/>
      <c r="J206" s="334" t="n"/>
      <c r="K206" s="334" t="n"/>
      <c r="L206" s="334" t="n"/>
      <c r="M206" s="334" t="n"/>
      <c r="N206" s="334" t="n"/>
      <c r="O206" s="334" t="n"/>
      <c r="P206" s="334" t="n"/>
      <c r="Q206" s="334" t="n"/>
      <c r="R206" s="334" t="n"/>
      <c r="S206" s="334" t="n"/>
      <c r="T206" s="334" t="n"/>
    </row>
    <row r="207">
      <c r="A207" s="334" t="n"/>
      <c r="B207" s="334" t="n"/>
      <c r="C207" s="334" t="n"/>
      <c r="D207" s="334" t="n"/>
      <c r="E207" s="334" t="n"/>
      <c r="F207" s="334" t="n"/>
      <c r="G207" s="334" t="n"/>
      <c r="H207" s="334" t="n"/>
      <c r="I207" s="334" t="n"/>
      <c r="J207" s="334" t="n"/>
      <c r="K207" s="334" t="n"/>
      <c r="L207" s="334" t="n"/>
      <c r="M207" s="334" t="n"/>
      <c r="N207" s="334" t="n"/>
      <c r="O207" s="334" t="n"/>
      <c r="P207" s="334" t="n"/>
      <c r="Q207" s="334" t="n"/>
      <c r="R207" s="334" t="n"/>
      <c r="S207" s="334" t="n"/>
      <c r="T207" s="334" t="n"/>
    </row>
    <row r="208">
      <c r="A208" s="334" t="n"/>
      <c r="B208" s="334" t="n"/>
      <c r="C208" s="334" t="n"/>
      <c r="D208" s="334" t="n"/>
      <c r="E208" s="334" t="n"/>
      <c r="F208" s="334" t="n"/>
      <c r="G208" s="334" t="n"/>
      <c r="H208" s="334" t="n"/>
      <c r="I208" s="334" t="n"/>
      <c r="J208" s="334" t="n"/>
      <c r="K208" s="334" t="n"/>
      <c r="L208" s="334" t="n"/>
      <c r="M208" s="334" t="n"/>
      <c r="N208" s="334" t="n"/>
      <c r="O208" s="334" t="n"/>
      <c r="P208" s="334" t="n"/>
      <c r="Q208" s="334" t="n"/>
      <c r="R208" s="334" t="n"/>
      <c r="S208" s="334" t="n"/>
      <c r="T208" s="334" t="n"/>
    </row>
    <row r="209">
      <c r="A209" s="334" t="n"/>
      <c r="B209" s="334" t="n"/>
      <c r="C209" s="334" t="n"/>
      <c r="D209" s="334" t="n"/>
      <c r="E209" s="334" t="n"/>
      <c r="F209" s="334" t="n"/>
      <c r="G209" s="334" t="n"/>
      <c r="H209" s="334" t="n"/>
      <c r="I209" s="334" t="n"/>
      <c r="J209" s="334" t="n"/>
      <c r="K209" s="334" t="n"/>
      <c r="L209" s="334" t="n"/>
      <c r="M209" s="334" t="n"/>
      <c r="N209" s="334" t="n"/>
      <c r="O209" s="334" t="n"/>
      <c r="P209" s="334" t="n"/>
      <c r="Q209" s="334" t="n"/>
      <c r="R209" s="334" t="n"/>
      <c r="S209" s="334" t="n"/>
      <c r="T209" s="334" t="n"/>
    </row>
    <row r="210">
      <c r="A210" s="334" t="n"/>
      <c r="B210" s="334" t="n"/>
      <c r="C210" s="334" t="n"/>
      <c r="D210" s="334" t="n"/>
      <c r="E210" s="334" t="n"/>
      <c r="F210" s="334" t="n"/>
      <c r="G210" s="334" t="n"/>
      <c r="H210" s="334" t="n"/>
      <c r="I210" s="334" t="n"/>
      <c r="J210" s="334" t="n"/>
      <c r="K210" s="334" t="n"/>
      <c r="L210" s="334" t="n"/>
      <c r="M210" s="334" t="n"/>
      <c r="N210" s="334" t="n"/>
      <c r="O210" s="334" t="n"/>
      <c r="P210" s="334" t="n"/>
      <c r="Q210" s="334" t="n"/>
      <c r="R210" s="334" t="n"/>
      <c r="S210" s="334" t="n"/>
      <c r="T210" s="334" t="n"/>
    </row>
    <row r="211">
      <c r="A211" s="334" t="n"/>
      <c r="B211" s="334" t="n"/>
      <c r="C211" s="334" t="n"/>
      <c r="D211" s="334" t="n"/>
      <c r="E211" s="334" t="n"/>
      <c r="F211" s="334" t="n"/>
      <c r="G211" s="334" t="n"/>
      <c r="H211" s="334" t="n"/>
      <c r="I211" s="334" t="n"/>
      <c r="J211" s="334" t="n"/>
      <c r="K211" s="334" t="n"/>
      <c r="L211" s="334" t="n"/>
      <c r="M211" s="334" t="n"/>
      <c r="N211" s="334" t="n"/>
      <c r="O211" s="334" t="n"/>
      <c r="P211" s="334" t="n"/>
      <c r="Q211" s="334" t="n"/>
      <c r="R211" s="334" t="n"/>
      <c r="S211" s="334" t="n"/>
      <c r="T211" s="334" t="n"/>
    </row>
    <row r="212">
      <c r="A212" s="334" t="n"/>
      <c r="B212" s="334" t="n"/>
      <c r="C212" s="334" t="n"/>
      <c r="D212" s="334" t="n"/>
      <c r="E212" s="334" t="n"/>
      <c r="F212" s="334" t="n"/>
      <c r="G212" s="334" t="n"/>
      <c r="H212" s="334" t="n"/>
      <c r="I212" s="334" t="n"/>
      <c r="J212" s="334" t="n"/>
      <c r="K212" s="334" t="n"/>
      <c r="L212" s="334" t="n"/>
      <c r="M212" s="334" t="n"/>
      <c r="N212" s="334" t="n"/>
      <c r="O212" s="334" t="n"/>
      <c r="P212" s="334" t="n"/>
      <c r="Q212" s="334" t="n"/>
      <c r="R212" s="334" t="n"/>
      <c r="S212" s="334" t="n"/>
      <c r="T212" s="334" t="n"/>
    </row>
    <row r="213">
      <c r="A213" s="334" t="n"/>
      <c r="B213" s="334" t="n"/>
      <c r="C213" s="334" t="n"/>
      <c r="D213" s="334" t="n"/>
      <c r="E213" s="334" t="n"/>
      <c r="F213" s="334" t="n"/>
      <c r="G213" s="334" t="n"/>
      <c r="H213" s="334" t="n"/>
      <c r="I213" s="334" t="n"/>
      <c r="J213" s="334" t="n"/>
      <c r="K213" s="334" t="n"/>
      <c r="L213" s="334" t="n"/>
      <c r="M213" s="334" t="n"/>
      <c r="N213" s="334" t="n"/>
      <c r="O213" s="334" t="n"/>
      <c r="P213" s="334" t="n"/>
      <c r="Q213" s="334" t="n"/>
      <c r="R213" s="334" t="n"/>
      <c r="S213" s="334" t="n"/>
      <c r="T213" s="334" t="n"/>
    </row>
    <row r="214">
      <c r="A214" s="334" t="n"/>
      <c r="B214" s="334" t="n"/>
      <c r="C214" s="334" t="n"/>
      <c r="D214" s="334" t="n"/>
      <c r="E214" s="334" t="n"/>
      <c r="F214" s="334" t="n"/>
      <c r="G214" s="334" t="n"/>
      <c r="H214" s="334" t="n"/>
      <c r="I214" s="334" t="n"/>
      <c r="J214" s="334" t="n"/>
      <c r="K214" s="334" t="n"/>
      <c r="L214" s="334" t="n"/>
      <c r="M214" s="334" t="n"/>
      <c r="N214" s="334" t="n"/>
      <c r="O214" s="334" t="n"/>
      <c r="P214" s="334" t="n"/>
      <c r="Q214" s="334" t="n"/>
      <c r="R214" s="334" t="n"/>
      <c r="S214" s="334" t="n"/>
      <c r="T214" s="334" t="n"/>
    </row>
    <row r="215">
      <c r="A215" s="334" t="n"/>
      <c r="B215" s="334" t="n"/>
      <c r="C215" s="334" t="n"/>
      <c r="D215" s="334" t="n"/>
      <c r="E215" s="334" t="n"/>
      <c r="F215" s="334" t="n"/>
      <c r="G215" s="334" t="n"/>
      <c r="H215" s="334" t="n"/>
      <c r="I215" s="334" t="n"/>
      <c r="J215" s="334" t="n"/>
      <c r="K215" s="334" t="n"/>
      <c r="L215" s="334" t="n"/>
      <c r="M215" s="334" t="n"/>
      <c r="N215" s="334" t="n"/>
      <c r="O215" s="334" t="n"/>
      <c r="P215" s="334" t="n"/>
      <c r="Q215" s="334" t="n"/>
      <c r="R215" s="334" t="n"/>
      <c r="S215" s="334" t="n"/>
      <c r="T215" s="334" t="n"/>
    </row>
    <row r="216">
      <c r="A216" s="334" t="n"/>
      <c r="B216" s="334" t="n"/>
      <c r="C216" s="334" t="n"/>
      <c r="D216" s="334" t="n"/>
      <c r="E216" s="334" t="n"/>
      <c r="F216" s="334" t="n"/>
      <c r="G216" s="334" t="n"/>
      <c r="H216" s="334" t="n"/>
      <c r="I216" s="334" t="n"/>
      <c r="J216" s="334" t="n"/>
      <c r="K216" s="334" t="n"/>
      <c r="L216" s="334" t="n"/>
      <c r="M216" s="334" t="n"/>
      <c r="N216" s="334" t="n"/>
      <c r="O216" s="334" t="n"/>
      <c r="P216" s="334" t="n"/>
      <c r="Q216" s="334" t="n"/>
      <c r="R216" s="334" t="n"/>
      <c r="S216" s="334" t="n"/>
      <c r="T216" s="334" t="n"/>
    </row>
    <row r="217">
      <c r="A217" s="334" t="n"/>
      <c r="B217" s="334" t="n"/>
      <c r="C217" s="334" t="n"/>
      <c r="D217" s="334" t="n"/>
      <c r="E217" s="334" t="n"/>
      <c r="F217" s="334" t="n"/>
      <c r="G217" s="334" t="n"/>
      <c r="H217" s="334" t="n"/>
      <c r="I217" s="334" t="n"/>
      <c r="J217" s="334" t="n"/>
      <c r="K217" s="334" t="n"/>
      <c r="L217" s="334" t="n"/>
      <c r="M217" s="334" t="n"/>
      <c r="N217" s="334" t="n"/>
      <c r="O217" s="334" t="n"/>
      <c r="P217" s="334" t="n"/>
      <c r="Q217" s="334" t="n"/>
      <c r="R217" s="334" t="n"/>
      <c r="S217" s="334" t="n"/>
      <c r="T217" s="334" t="n"/>
    </row>
    <row r="218">
      <c r="A218" s="334" t="n"/>
      <c r="B218" s="334" t="n"/>
      <c r="C218" s="334" t="n"/>
      <c r="D218" s="334" t="n"/>
      <c r="E218" s="334" t="n"/>
      <c r="F218" s="334" t="n"/>
      <c r="G218" s="334" t="n"/>
      <c r="H218" s="334" t="n"/>
      <c r="I218" s="334" t="n"/>
      <c r="J218" s="334" t="n"/>
      <c r="K218" s="334" t="n"/>
      <c r="L218" s="334" t="n"/>
      <c r="M218" s="334" t="n"/>
      <c r="N218" s="334" t="n"/>
      <c r="O218" s="334" t="n"/>
      <c r="P218" s="334" t="n"/>
      <c r="Q218" s="334" t="n"/>
      <c r="R218" s="334" t="n"/>
      <c r="S218" s="334" t="n"/>
      <c r="T218" s="334" t="n"/>
    </row>
    <row r="219">
      <c r="A219" s="334" t="n"/>
      <c r="B219" s="334" t="n"/>
      <c r="C219" s="334" t="n"/>
      <c r="D219" s="334" t="n"/>
      <c r="E219" s="334" t="n"/>
      <c r="F219" s="334" t="n"/>
      <c r="G219" s="334" t="n"/>
      <c r="H219" s="334" t="n"/>
      <c r="I219" s="334" t="n"/>
      <c r="J219" s="334" t="n"/>
      <c r="K219" s="334" t="n"/>
      <c r="L219" s="334" t="n"/>
      <c r="M219" s="334" t="n"/>
      <c r="N219" s="334" t="n"/>
      <c r="O219" s="334" t="n"/>
      <c r="P219" s="334" t="n"/>
      <c r="Q219" s="334" t="n"/>
      <c r="R219" s="334" t="n"/>
      <c r="S219" s="334" t="n"/>
      <c r="T219" s="334" t="n"/>
    </row>
    <row r="220">
      <c r="A220" s="334" t="n"/>
      <c r="B220" s="334" t="n"/>
      <c r="C220" s="334" t="n"/>
      <c r="D220" s="334" t="n"/>
      <c r="E220" s="334" t="n"/>
      <c r="F220" s="334" t="n"/>
      <c r="G220" s="334" t="n"/>
      <c r="H220" s="334" t="n"/>
      <c r="I220" s="334" t="n"/>
      <c r="J220" s="334" t="n"/>
      <c r="K220" s="334" t="n"/>
      <c r="L220" s="334" t="n"/>
      <c r="M220" s="334" t="n"/>
      <c r="N220" s="334" t="n"/>
      <c r="O220" s="334" t="n"/>
      <c r="P220" s="334" t="n"/>
      <c r="Q220" s="334" t="n"/>
      <c r="R220" s="334" t="n"/>
      <c r="S220" s="334" t="n"/>
      <c r="T220" s="334" t="n"/>
    </row>
    <row r="221">
      <c r="A221" s="334" t="n"/>
      <c r="B221" s="334" t="n"/>
      <c r="C221" s="334" t="n"/>
      <c r="D221" s="334" t="n"/>
      <c r="E221" s="334" t="n"/>
      <c r="F221" s="334" t="n"/>
      <c r="G221" s="334" t="n"/>
      <c r="H221" s="334" t="n"/>
      <c r="I221" s="334" t="n"/>
      <c r="J221" s="334" t="n"/>
      <c r="K221" s="334" t="n"/>
      <c r="L221" s="334" t="n"/>
      <c r="M221" s="334" t="n"/>
      <c r="N221" s="334" t="n"/>
      <c r="O221" s="334" t="n"/>
      <c r="P221" s="334" t="n"/>
      <c r="Q221" s="334" t="n"/>
      <c r="R221" s="334" t="n"/>
      <c r="S221" s="334" t="n"/>
      <c r="T221" s="334" t="n"/>
    </row>
    <row r="222">
      <c r="A222" s="334" t="n"/>
      <c r="B222" s="334" t="n"/>
      <c r="C222" s="334" t="n"/>
      <c r="D222" s="334" t="n"/>
      <c r="E222" s="334" t="n"/>
      <c r="F222" s="334" t="n"/>
      <c r="G222" s="334" t="n"/>
      <c r="H222" s="334" t="n"/>
      <c r="I222" s="334" t="n"/>
      <c r="J222" s="334" t="n"/>
      <c r="K222" s="334" t="n"/>
      <c r="L222" s="334" t="n"/>
      <c r="M222" s="334" t="n"/>
      <c r="N222" s="334" t="n"/>
      <c r="O222" s="334" t="n"/>
      <c r="P222" s="334" t="n"/>
      <c r="Q222" s="334" t="n"/>
      <c r="R222" s="334" t="n"/>
      <c r="S222" s="334" t="n"/>
      <c r="T222" s="334" t="n"/>
    </row>
    <row r="223">
      <c r="A223" s="334" t="n"/>
      <c r="B223" s="334" t="n"/>
      <c r="C223" s="334" t="n"/>
      <c r="D223" s="334" t="n"/>
      <c r="E223" s="334" t="n"/>
      <c r="F223" s="334" t="n"/>
      <c r="G223" s="334" t="n"/>
      <c r="H223" s="334" t="n"/>
      <c r="I223" s="334" t="n"/>
      <c r="J223" s="334" t="n"/>
      <c r="K223" s="334" t="n"/>
      <c r="L223" s="334" t="n"/>
      <c r="M223" s="334" t="n"/>
      <c r="N223" s="334" t="n"/>
      <c r="O223" s="334" t="n"/>
      <c r="P223" s="334" t="n"/>
      <c r="Q223" s="334" t="n"/>
      <c r="R223" s="334" t="n"/>
      <c r="S223" s="334" t="n"/>
      <c r="T223" s="334" t="n"/>
    </row>
    <row r="224">
      <c r="A224" s="334" t="n"/>
      <c r="B224" s="334" t="n"/>
      <c r="C224" s="334" t="n"/>
      <c r="D224" s="334" t="n"/>
      <c r="E224" s="334" t="n"/>
      <c r="F224" s="334" t="n"/>
      <c r="G224" s="334" t="n"/>
      <c r="H224" s="334" t="n"/>
      <c r="I224" s="334" t="n"/>
      <c r="J224" s="334" t="n"/>
      <c r="K224" s="334" t="n"/>
      <c r="L224" s="334" t="n"/>
      <c r="M224" s="334" t="n"/>
      <c r="N224" s="334" t="n"/>
      <c r="O224" s="334" t="n"/>
      <c r="P224" s="334" t="n"/>
      <c r="Q224" s="334" t="n"/>
      <c r="R224" s="334" t="n"/>
      <c r="S224" s="334" t="n"/>
      <c r="T224" s="334" t="n"/>
    </row>
    <row r="225">
      <c r="A225" s="334" t="n"/>
      <c r="B225" s="334" t="n"/>
      <c r="C225" s="334" t="n"/>
      <c r="D225" s="334" t="n"/>
      <c r="E225" s="334" t="n"/>
      <c r="F225" s="334" t="n"/>
      <c r="G225" s="334" t="n"/>
      <c r="H225" s="334" t="n"/>
      <c r="I225" s="334" t="n"/>
      <c r="J225" s="334" t="n"/>
      <c r="K225" s="334" t="n"/>
      <c r="L225" s="334" t="n"/>
      <c r="M225" s="334" t="n"/>
      <c r="N225" s="334" t="n"/>
      <c r="O225" s="334" t="n"/>
      <c r="P225" s="334" t="n"/>
      <c r="Q225" s="334" t="n"/>
      <c r="R225" s="334" t="n"/>
      <c r="S225" s="334" t="n"/>
      <c r="T225" s="334" t="n"/>
    </row>
    <row r="226">
      <c r="A226" s="334" t="n"/>
      <c r="B226" s="334" t="n"/>
      <c r="C226" s="334" t="n"/>
      <c r="D226" s="334" t="n"/>
      <c r="E226" s="334" t="n"/>
      <c r="F226" s="334" t="n"/>
      <c r="G226" s="334" t="n"/>
      <c r="H226" s="334" t="n"/>
      <c r="I226" s="334" t="n"/>
      <c r="J226" s="334" t="n"/>
      <c r="K226" s="334" t="n"/>
      <c r="L226" s="334" t="n"/>
      <c r="M226" s="334" t="n"/>
      <c r="N226" s="334" t="n"/>
      <c r="O226" s="334" t="n"/>
      <c r="P226" s="334" t="n"/>
      <c r="Q226" s="334" t="n"/>
      <c r="R226" s="334" t="n"/>
      <c r="S226" s="334" t="n"/>
      <c r="T226" s="334" t="n"/>
    </row>
    <row r="227">
      <c r="A227" s="334" t="n"/>
      <c r="B227" s="334" t="n"/>
      <c r="C227" s="334" t="n"/>
      <c r="D227" s="334" t="n"/>
      <c r="E227" s="334" t="n"/>
      <c r="F227" s="334" t="n"/>
      <c r="G227" s="334" t="n"/>
      <c r="H227" s="334" t="n"/>
      <c r="I227" s="334" t="n"/>
      <c r="J227" s="334" t="n"/>
      <c r="K227" s="334" t="n"/>
      <c r="L227" s="334" t="n"/>
      <c r="M227" s="334" t="n"/>
      <c r="N227" s="334" t="n"/>
      <c r="O227" s="334" t="n"/>
      <c r="P227" s="334" t="n"/>
      <c r="Q227" s="334" t="n"/>
      <c r="R227" s="334" t="n"/>
      <c r="S227" s="334" t="n"/>
      <c r="T227" s="334" t="n"/>
    </row>
    <row r="228">
      <c r="A228" s="334" t="n"/>
      <c r="B228" s="334" t="n"/>
      <c r="C228" s="334" t="n"/>
      <c r="D228" s="334" t="n"/>
      <c r="E228" s="334" t="n"/>
      <c r="F228" s="334" t="n"/>
      <c r="G228" s="334" t="n"/>
      <c r="H228" s="334" t="n"/>
      <c r="I228" s="334" t="n"/>
      <c r="J228" s="334" t="n"/>
      <c r="K228" s="334" t="n"/>
      <c r="L228" s="334" t="n"/>
      <c r="M228" s="334" t="n"/>
      <c r="N228" s="334" t="n"/>
      <c r="O228" s="334" t="n"/>
      <c r="P228" s="334" t="n"/>
      <c r="Q228" s="334" t="n"/>
      <c r="R228" s="334" t="n"/>
      <c r="S228" s="334" t="n"/>
      <c r="T228" s="334" t="n"/>
    </row>
    <row r="229">
      <c r="A229" s="334" t="n"/>
      <c r="B229" s="334" t="n"/>
      <c r="C229" s="334" t="n"/>
      <c r="D229" s="334" t="n"/>
      <c r="E229" s="334" t="n"/>
      <c r="F229" s="334" t="n"/>
      <c r="G229" s="334" t="n"/>
      <c r="H229" s="334" t="n"/>
      <c r="I229" s="334" t="n"/>
      <c r="J229" s="334" t="n"/>
      <c r="K229" s="334" t="n"/>
      <c r="L229" s="334" t="n"/>
      <c r="M229" s="334" t="n"/>
      <c r="N229" s="334" t="n"/>
      <c r="O229" s="334" t="n"/>
      <c r="P229" s="334" t="n"/>
      <c r="Q229" s="334" t="n"/>
      <c r="R229" s="334" t="n"/>
      <c r="S229" s="334" t="n"/>
      <c r="T229" s="334" t="n"/>
    </row>
    <row r="230">
      <c r="A230" s="334" t="n"/>
      <c r="B230" s="334" t="n"/>
      <c r="C230" s="334" t="n"/>
      <c r="D230" s="334" t="n"/>
      <c r="E230" s="334" t="n"/>
      <c r="F230" s="334" t="n"/>
      <c r="G230" s="334" t="n"/>
      <c r="H230" s="334" t="n"/>
      <c r="I230" s="334" t="n"/>
      <c r="J230" s="334" t="n"/>
      <c r="K230" s="334" t="n"/>
      <c r="L230" s="334" t="n"/>
      <c r="M230" s="334" t="n"/>
      <c r="N230" s="334" t="n"/>
      <c r="O230" s="334" t="n"/>
      <c r="P230" s="334" t="n"/>
      <c r="Q230" s="334" t="n"/>
      <c r="R230" s="334" t="n"/>
      <c r="S230" s="334" t="n"/>
      <c r="T230" s="334" t="n"/>
    </row>
    <row r="231">
      <c r="A231" s="334" t="n"/>
      <c r="B231" s="334" t="n"/>
      <c r="C231" s="334" t="n"/>
      <c r="D231" s="334" t="n"/>
      <c r="E231" s="334" t="n"/>
      <c r="F231" s="334" t="n"/>
      <c r="G231" s="334" t="n"/>
      <c r="H231" s="334" t="n"/>
      <c r="I231" s="334" t="n"/>
      <c r="J231" s="334" t="n"/>
      <c r="K231" s="334" t="n"/>
      <c r="L231" s="334" t="n"/>
      <c r="M231" s="334" t="n"/>
      <c r="N231" s="334" t="n"/>
      <c r="O231" s="334" t="n"/>
      <c r="P231" s="334" t="n"/>
      <c r="Q231" s="334" t="n"/>
      <c r="R231" s="334" t="n"/>
      <c r="S231" s="334" t="n"/>
      <c r="T231" s="334" t="n"/>
    </row>
    <row r="232">
      <c r="A232" s="334" t="n"/>
      <c r="B232" s="334" t="n"/>
      <c r="C232" s="334" t="n"/>
      <c r="D232" s="334" t="n"/>
      <c r="E232" s="334" t="n"/>
      <c r="F232" s="334" t="n"/>
      <c r="G232" s="334" t="n"/>
      <c r="H232" s="334" t="n"/>
      <c r="I232" s="334" t="n"/>
      <c r="J232" s="334" t="n"/>
      <c r="K232" s="334" t="n"/>
      <c r="L232" s="334" t="n"/>
      <c r="M232" s="334" t="n"/>
      <c r="N232" s="334" t="n"/>
      <c r="O232" s="334" t="n"/>
      <c r="P232" s="334" t="n"/>
      <c r="Q232" s="334" t="n"/>
      <c r="R232" s="334" t="n"/>
      <c r="S232" s="334" t="n"/>
      <c r="T232" s="334" t="n"/>
    </row>
    <row r="233">
      <c r="A233" s="334" t="n"/>
      <c r="B233" s="334" t="n"/>
      <c r="C233" s="334" t="n"/>
      <c r="D233" s="334" t="n"/>
      <c r="E233" s="334" t="n"/>
      <c r="F233" s="334" t="n"/>
      <c r="G233" s="334" t="n"/>
      <c r="H233" s="334" t="n"/>
      <c r="I233" s="334" t="n"/>
      <c r="J233" s="334" t="n"/>
      <c r="K233" s="334" t="n"/>
      <c r="L233" s="334" t="n"/>
      <c r="M233" s="334" t="n"/>
      <c r="N233" s="334" t="n"/>
      <c r="O233" s="334" t="n"/>
      <c r="P233" s="334" t="n"/>
      <c r="Q233" s="334" t="n"/>
      <c r="R233" s="334" t="n"/>
      <c r="S233" s="334" t="n"/>
      <c r="T233" s="334" t="n"/>
    </row>
    <row r="234">
      <c r="A234" s="334" t="n"/>
      <c r="B234" s="334" t="n"/>
      <c r="C234" s="334" t="n"/>
      <c r="D234" s="334" t="n"/>
      <c r="E234" s="334" t="n"/>
      <c r="F234" s="334" t="n"/>
      <c r="G234" s="334" t="n"/>
      <c r="H234" s="334" t="n"/>
      <c r="I234" s="334" t="n"/>
      <c r="J234" s="334" t="n"/>
      <c r="K234" s="334" t="n"/>
      <c r="L234" s="334" t="n"/>
      <c r="M234" s="334" t="n"/>
      <c r="N234" s="334" t="n"/>
      <c r="O234" s="334" t="n"/>
      <c r="P234" s="334" t="n"/>
      <c r="Q234" s="334" t="n"/>
      <c r="R234" s="334" t="n"/>
      <c r="S234" s="334" t="n"/>
      <c r="T234" s="334" t="n"/>
    </row>
    <row r="235">
      <c r="A235" s="334" t="n"/>
      <c r="B235" s="334" t="n"/>
      <c r="C235" s="334" t="n"/>
      <c r="D235" s="334" t="n"/>
      <c r="E235" s="334" t="n"/>
      <c r="F235" s="334" t="n"/>
      <c r="G235" s="334" t="n"/>
      <c r="H235" s="334" t="n"/>
      <c r="I235" s="334" t="n"/>
      <c r="J235" s="334" t="n"/>
      <c r="K235" s="334" t="n"/>
      <c r="L235" s="334" t="n"/>
      <c r="M235" s="334" t="n"/>
      <c r="N235" s="334" t="n"/>
      <c r="O235" s="334" t="n"/>
      <c r="P235" s="334" t="n"/>
      <c r="Q235" s="334" t="n"/>
      <c r="R235" s="334" t="n"/>
      <c r="S235" s="334" t="n"/>
      <c r="T235" s="334" t="n"/>
    </row>
    <row r="236">
      <c r="A236" s="334" t="n"/>
      <c r="B236" s="334" t="n"/>
      <c r="C236" s="334" t="n"/>
      <c r="D236" s="334" t="n"/>
      <c r="E236" s="334" t="n"/>
      <c r="F236" s="334" t="n"/>
      <c r="G236" s="334" t="n"/>
      <c r="H236" s="334" t="n"/>
      <c r="I236" s="334" t="n"/>
      <c r="J236" s="334" t="n"/>
      <c r="K236" s="334" t="n"/>
      <c r="L236" s="334" t="n"/>
      <c r="M236" s="334" t="n"/>
      <c r="N236" s="334" t="n"/>
      <c r="O236" s="334" t="n"/>
      <c r="P236" s="334" t="n"/>
      <c r="Q236" s="334" t="n"/>
      <c r="R236" s="334" t="n"/>
      <c r="S236" s="334" t="n"/>
      <c r="T236" s="334" t="n"/>
    </row>
    <row r="237">
      <c r="A237" s="334" t="n"/>
      <c r="B237" s="334" t="n"/>
      <c r="C237" s="334" t="n"/>
      <c r="D237" s="334" t="n"/>
      <c r="E237" s="334" t="n"/>
      <c r="F237" s="334" t="n"/>
      <c r="G237" s="334" t="n"/>
      <c r="H237" s="334" t="n"/>
      <c r="I237" s="334" t="n"/>
      <c r="J237" s="334" t="n"/>
      <c r="K237" s="334" t="n"/>
      <c r="L237" s="334" t="n"/>
      <c r="M237" s="334" t="n"/>
      <c r="N237" s="334" t="n"/>
      <c r="O237" s="334" t="n"/>
      <c r="P237" s="334" t="n"/>
      <c r="Q237" s="334" t="n"/>
      <c r="R237" s="334" t="n"/>
      <c r="S237" s="334" t="n"/>
      <c r="T237" s="334" t="n"/>
    </row>
    <row r="238">
      <c r="A238" s="334" t="n"/>
      <c r="B238" s="334" t="n"/>
      <c r="C238" s="334" t="n"/>
      <c r="D238" s="334" t="n"/>
      <c r="E238" s="334" t="n"/>
      <c r="F238" s="334" t="n"/>
      <c r="G238" s="334" t="n"/>
      <c r="H238" s="334" t="n"/>
      <c r="I238" s="334" t="n"/>
      <c r="J238" s="334" t="n"/>
      <c r="K238" s="334" t="n"/>
      <c r="L238" s="334" t="n"/>
      <c r="M238" s="334" t="n"/>
      <c r="N238" s="334" t="n"/>
      <c r="O238" s="334" t="n"/>
      <c r="P238" s="334" t="n"/>
      <c r="Q238" s="334" t="n"/>
      <c r="R238" s="334" t="n"/>
      <c r="S238" s="334" t="n"/>
      <c r="T238" s="334" t="n"/>
    </row>
    <row r="239">
      <c r="A239" s="334" t="n"/>
      <c r="B239" s="334" t="n"/>
      <c r="C239" s="334" t="n"/>
      <c r="D239" s="334" t="n"/>
      <c r="E239" s="334" t="n"/>
      <c r="F239" s="334" t="n"/>
      <c r="G239" s="334" t="n"/>
      <c r="H239" s="334" t="n"/>
      <c r="I239" s="334" t="n"/>
      <c r="J239" s="334" t="n"/>
      <c r="K239" s="334" t="n"/>
      <c r="L239" s="334" t="n"/>
      <c r="M239" s="334" t="n"/>
      <c r="N239" s="334" t="n"/>
      <c r="O239" s="334" t="n"/>
      <c r="P239" s="334" t="n"/>
      <c r="Q239" s="334" t="n"/>
      <c r="R239" s="334" t="n"/>
      <c r="S239" s="334" t="n"/>
      <c r="T239" s="334" t="n"/>
    </row>
    <row r="240">
      <c r="A240" s="334" t="n"/>
      <c r="B240" s="334" t="n"/>
      <c r="C240" s="334" t="n"/>
      <c r="D240" s="334" t="n"/>
      <c r="E240" s="334" t="n"/>
      <c r="F240" s="334" t="n"/>
      <c r="G240" s="334" t="n"/>
      <c r="H240" s="334" t="n"/>
      <c r="I240" s="334" t="n"/>
      <c r="J240" s="334" t="n"/>
      <c r="K240" s="334" t="n"/>
      <c r="L240" s="334" t="n"/>
      <c r="M240" s="334" t="n"/>
      <c r="N240" s="334" t="n"/>
      <c r="O240" s="334" t="n"/>
      <c r="P240" s="334" t="n"/>
      <c r="Q240" s="334" t="n"/>
      <c r="R240" s="334" t="n"/>
      <c r="S240" s="334" t="n"/>
      <c r="T240" s="334" t="n"/>
    </row>
    <row r="241">
      <c r="A241" s="334" t="n"/>
      <c r="B241" s="334" t="n"/>
      <c r="C241" s="334" t="n"/>
      <c r="D241" s="334" t="n"/>
      <c r="E241" s="334" t="n"/>
      <c r="F241" s="334" t="n"/>
      <c r="G241" s="334" t="n"/>
      <c r="H241" s="334" t="n"/>
      <c r="I241" s="334" t="n"/>
      <c r="J241" s="334" t="n"/>
      <c r="K241" s="334" t="n"/>
      <c r="L241" s="334" t="n"/>
      <c r="M241" s="334" t="n"/>
      <c r="N241" s="334" t="n"/>
      <c r="O241" s="334" t="n"/>
      <c r="P241" s="334" t="n"/>
      <c r="Q241" s="334" t="n"/>
      <c r="R241" s="334" t="n"/>
      <c r="S241" s="334" t="n"/>
      <c r="T241" s="334" t="n"/>
    </row>
    <row r="242">
      <c r="A242" s="334" t="n"/>
      <c r="B242" s="334" t="n"/>
      <c r="C242" s="334" t="n"/>
      <c r="D242" s="334" t="n"/>
      <c r="E242" s="334" t="n"/>
      <c r="F242" s="334" t="n"/>
      <c r="G242" s="334" t="n"/>
      <c r="H242" s="334" t="n"/>
      <c r="I242" s="334" t="n"/>
      <c r="J242" s="334" t="n"/>
      <c r="K242" s="334" t="n"/>
      <c r="L242" s="334" t="n"/>
      <c r="M242" s="334" t="n"/>
      <c r="N242" s="334" t="n"/>
      <c r="O242" s="334" t="n"/>
      <c r="P242" s="334" t="n"/>
      <c r="Q242" s="334" t="n"/>
      <c r="R242" s="334" t="n"/>
      <c r="S242" s="334" t="n"/>
      <c r="T242" s="334" t="n"/>
    </row>
    <row r="243">
      <c r="A243" s="334" t="n"/>
      <c r="B243" s="334" t="n"/>
      <c r="C243" s="334" t="n"/>
      <c r="D243" s="334" t="n"/>
      <c r="E243" s="334" t="n"/>
      <c r="F243" s="334" t="n"/>
      <c r="G243" s="334" t="n"/>
      <c r="H243" s="334" t="n"/>
      <c r="I243" s="334" t="n"/>
      <c r="J243" s="334" t="n"/>
      <c r="K243" s="334" t="n"/>
      <c r="L243" s="334" t="n"/>
      <c r="M243" s="334" t="n"/>
      <c r="N243" s="334" t="n"/>
      <c r="O243" s="334" t="n"/>
      <c r="P243" s="334" t="n"/>
      <c r="Q243" s="334" t="n"/>
      <c r="R243" s="334" t="n"/>
      <c r="S243" s="334" t="n"/>
      <c r="T243" s="334" t="n"/>
    </row>
    <row r="244">
      <c r="A244" s="334" t="n"/>
      <c r="B244" s="334" t="n"/>
      <c r="C244" s="334" t="n"/>
      <c r="D244" s="334" t="n"/>
      <c r="E244" s="334" t="n"/>
      <c r="F244" s="334" t="n"/>
      <c r="G244" s="334" t="n"/>
      <c r="H244" s="334" t="n"/>
      <c r="I244" s="334" t="n"/>
      <c r="J244" s="334" t="n"/>
      <c r="K244" s="334" t="n"/>
      <c r="L244" s="334" t="n"/>
      <c r="M244" s="334" t="n"/>
      <c r="N244" s="334" t="n"/>
      <c r="O244" s="334" t="n"/>
      <c r="P244" s="334" t="n"/>
      <c r="Q244" s="334" t="n"/>
      <c r="R244" s="334" t="n"/>
      <c r="S244" s="334" t="n"/>
      <c r="T244" s="334" t="n"/>
    </row>
    <row r="245">
      <c r="A245" s="334" t="n"/>
      <c r="B245" s="334" t="n"/>
      <c r="C245" s="334" t="n"/>
      <c r="D245" s="334" t="n"/>
      <c r="E245" s="334" t="n"/>
      <c r="F245" s="334" t="n"/>
      <c r="G245" s="334" t="n"/>
      <c r="H245" s="334" t="n"/>
      <c r="I245" s="334" t="n"/>
      <c r="J245" s="334" t="n"/>
      <c r="K245" s="334" t="n"/>
      <c r="L245" s="334" t="n"/>
      <c r="M245" s="334" t="n"/>
      <c r="N245" s="334" t="n"/>
      <c r="O245" s="334" t="n"/>
      <c r="P245" s="334" t="n"/>
      <c r="Q245" s="334" t="n"/>
      <c r="R245" s="334" t="n"/>
      <c r="S245" s="334" t="n"/>
      <c r="T245" s="334" t="n"/>
    </row>
    <row r="246">
      <c r="A246" s="334" t="n"/>
      <c r="B246" s="334" t="n"/>
      <c r="C246" s="334" t="n"/>
      <c r="D246" s="334" t="n"/>
      <c r="E246" s="334" t="n"/>
      <c r="F246" s="334" t="n"/>
      <c r="G246" s="334" t="n"/>
      <c r="H246" s="334" t="n"/>
      <c r="I246" s="334" t="n"/>
      <c r="J246" s="334" t="n"/>
      <c r="K246" s="334" t="n"/>
      <c r="L246" s="334" t="n"/>
      <c r="M246" s="334" t="n"/>
      <c r="N246" s="334" t="n"/>
      <c r="O246" s="334" t="n"/>
      <c r="P246" s="334" t="n"/>
      <c r="Q246" s="334" t="n"/>
      <c r="R246" s="334" t="n"/>
      <c r="S246" s="334" t="n"/>
      <c r="T246" s="334" t="n"/>
    </row>
    <row r="247">
      <c r="A247" s="334" t="n"/>
      <c r="B247" s="334" t="n"/>
      <c r="C247" s="334" t="n"/>
      <c r="D247" s="334" t="n"/>
      <c r="E247" s="334" t="n"/>
      <c r="F247" s="334" t="n"/>
      <c r="G247" s="334" t="n"/>
      <c r="H247" s="334" t="n"/>
      <c r="I247" s="334" t="n"/>
      <c r="J247" s="334" t="n"/>
      <c r="K247" s="334" t="n"/>
      <c r="L247" s="334" t="n"/>
      <c r="M247" s="334" t="n"/>
      <c r="N247" s="334" t="n"/>
      <c r="O247" s="334" t="n"/>
      <c r="P247" s="334" t="n"/>
      <c r="Q247" s="334" t="n"/>
      <c r="R247" s="334" t="n"/>
      <c r="S247" s="334" t="n"/>
      <c r="T247" s="334" t="n"/>
    </row>
    <row r="248">
      <c r="A248" s="334" t="n"/>
      <c r="B248" s="334" t="n"/>
      <c r="C248" s="334" t="n"/>
      <c r="D248" s="334" t="n"/>
      <c r="E248" s="334" t="n"/>
      <c r="F248" s="334" t="n"/>
      <c r="G248" s="334" t="n"/>
      <c r="H248" s="334" t="n"/>
      <c r="I248" s="334" t="n"/>
      <c r="J248" s="334" t="n"/>
      <c r="K248" s="334" t="n"/>
      <c r="L248" s="334" t="n"/>
      <c r="M248" s="334" t="n"/>
      <c r="N248" s="334" t="n"/>
      <c r="O248" s="334" t="n"/>
      <c r="P248" s="334" t="n"/>
      <c r="Q248" s="334" t="n"/>
      <c r="R248" s="334" t="n"/>
      <c r="S248" s="334" t="n"/>
      <c r="T248" s="334" t="n"/>
    </row>
    <row r="249">
      <c r="A249" s="334" t="n"/>
      <c r="B249" s="334" t="n"/>
      <c r="C249" s="334" t="n"/>
      <c r="D249" s="334" t="n"/>
      <c r="E249" s="334" t="n"/>
      <c r="F249" s="334" t="n"/>
      <c r="G249" s="334" t="n"/>
      <c r="H249" s="334" t="n"/>
      <c r="I249" s="334" t="n"/>
      <c r="J249" s="334" t="n"/>
      <c r="K249" s="334" t="n"/>
      <c r="L249" s="334" t="n"/>
      <c r="M249" s="334" t="n"/>
      <c r="N249" s="334" t="n"/>
      <c r="O249" s="334" t="n"/>
      <c r="P249" s="334" t="n"/>
      <c r="Q249" s="334" t="n"/>
      <c r="R249" s="334" t="n"/>
      <c r="S249" s="334" t="n"/>
      <c r="T249" s="334" t="n"/>
    </row>
    <row r="250">
      <c r="A250" s="334" t="n"/>
      <c r="B250" s="334" t="n"/>
      <c r="C250" s="334" t="n"/>
      <c r="D250" s="334" t="n"/>
      <c r="E250" s="334" t="n"/>
      <c r="F250" s="334" t="n"/>
      <c r="G250" s="334" t="n"/>
      <c r="H250" s="334" t="n"/>
      <c r="I250" s="334" t="n"/>
      <c r="J250" s="334" t="n"/>
      <c r="K250" s="334" t="n"/>
      <c r="L250" s="334" t="n"/>
      <c r="M250" s="334" t="n"/>
      <c r="N250" s="334" t="n"/>
      <c r="O250" s="334" t="n"/>
      <c r="P250" s="334" t="n"/>
      <c r="Q250" s="334" t="n"/>
      <c r="R250" s="334" t="n"/>
      <c r="S250" s="334" t="n"/>
      <c r="T250" s="334" t="n"/>
    </row>
    <row r="251">
      <c r="A251" s="334" t="n"/>
      <c r="B251" s="334" t="n"/>
      <c r="C251" s="334" t="n"/>
      <c r="D251" s="334" t="n"/>
      <c r="E251" s="334" t="n"/>
      <c r="F251" s="334" t="n"/>
      <c r="G251" s="334" t="n"/>
      <c r="H251" s="334" t="n"/>
      <c r="I251" s="334" t="n"/>
      <c r="J251" s="334" t="n"/>
      <c r="K251" s="334" t="n"/>
      <c r="L251" s="334" t="n"/>
      <c r="M251" s="334" t="n"/>
      <c r="N251" s="334" t="n"/>
      <c r="O251" s="334" t="n"/>
      <c r="P251" s="334" t="n"/>
      <c r="Q251" s="334" t="n"/>
      <c r="R251" s="334" t="n"/>
      <c r="S251" s="334" t="n"/>
      <c r="T251" s="334" t="n"/>
    </row>
    <row r="252">
      <c r="A252" s="334" t="n"/>
      <c r="B252" s="334" t="n"/>
      <c r="C252" s="334" t="n"/>
      <c r="D252" s="334" t="n"/>
      <c r="E252" s="334" t="n"/>
      <c r="F252" s="334" t="n"/>
      <c r="G252" s="334" t="n"/>
      <c r="H252" s="334" t="n"/>
      <c r="I252" s="334" t="n"/>
      <c r="J252" s="334" t="n"/>
      <c r="K252" s="334" t="n"/>
      <c r="L252" s="334" t="n"/>
      <c r="M252" s="334" t="n"/>
      <c r="N252" s="334" t="n"/>
      <c r="O252" s="334" t="n"/>
      <c r="P252" s="334" t="n"/>
      <c r="Q252" s="334" t="n"/>
      <c r="R252" s="334" t="n"/>
      <c r="S252" s="334" t="n"/>
      <c r="T252" s="334" t="n"/>
    </row>
    <row r="253">
      <c r="A253" s="334" t="n"/>
      <c r="B253" s="334" t="n"/>
      <c r="C253" s="334" t="n"/>
      <c r="D253" s="334" t="n"/>
      <c r="E253" s="334" t="n"/>
      <c r="F253" s="334" t="n"/>
      <c r="G253" s="334" t="n"/>
      <c r="H253" s="334" t="n"/>
      <c r="I253" s="334" t="n"/>
      <c r="J253" s="334" t="n"/>
      <c r="K253" s="334" t="n"/>
      <c r="L253" s="334" t="n"/>
      <c r="M253" s="334" t="n"/>
      <c r="N253" s="334" t="n"/>
      <c r="O253" s="334" t="n"/>
      <c r="P253" s="334" t="n"/>
      <c r="Q253" s="334" t="n"/>
      <c r="R253" s="334" t="n"/>
      <c r="S253" s="334" t="n"/>
      <c r="T253" s="334" t="n"/>
    </row>
    <row r="254">
      <c r="A254" s="334" t="n"/>
      <c r="B254" s="334" t="n"/>
      <c r="C254" s="334" t="n"/>
      <c r="D254" s="334" t="n"/>
      <c r="E254" s="334" t="n"/>
      <c r="F254" s="334" t="n"/>
      <c r="G254" s="334" t="n"/>
      <c r="H254" s="334" t="n"/>
      <c r="I254" s="334" t="n"/>
      <c r="J254" s="334" t="n"/>
      <c r="K254" s="334" t="n"/>
      <c r="L254" s="334" t="n"/>
      <c r="M254" s="334" t="n"/>
      <c r="N254" s="334" t="n"/>
      <c r="O254" s="334" t="n"/>
      <c r="P254" s="334" t="n"/>
      <c r="Q254" s="334" t="n"/>
      <c r="R254" s="334" t="n"/>
      <c r="S254" s="334" t="n"/>
      <c r="T254" s="334" t="n"/>
    </row>
    <row r="255">
      <c r="A255" s="334" t="n"/>
      <c r="B255" s="334" t="n"/>
      <c r="C255" s="334" t="n"/>
      <c r="D255" s="334" t="n"/>
      <c r="E255" s="334" t="n"/>
      <c r="F255" s="334" t="n"/>
      <c r="G255" s="334" t="n"/>
      <c r="H255" s="334" t="n"/>
      <c r="I255" s="334" t="n"/>
      <c r="J255" s="334" t="n"/>
      <c r="K255" s="334" t="n"/>
      <c r="L255" s="334" t="n"/>
      <c r="M255" s="334" t="n"/>
      <c r="N255" s="334" t="n"/>
      <c r="O255" s="334" t="n"/>
      <c r="P255" s="334" t="n"/>
      <c r="Q255" s="334" t="n"/>
      <c r="R255" s="334" t="n"/>
      <c r="S255" s="334" t="n"/>
      <c r="T255" s="334" t="n"/>
    </row>
    <row r="256">
      <c r="A256" s="334" t="n"/>
      <c r="B256" s="334" t="n"/>
      <c r="C256" s="334" t="n"/>
      <c r="D256" s="334" t="n"/>
      <c r="E256" s="334" t="n"/>
      <c r="F256" s="334" t="n"/>
      <c r="G256" s="334" t="n"/>
      <c r="H256" s="334" t="n"/>
      <c r="I256" s="334" t="n"/>
      <c r="J256" s="334" t="n"/>
      <c r="K256" s="334" t="n"/>
      <c r="L256" s="334" t="n"/>
      <c r="M256" s="334" t="n"/>
      <c r="N256" s="334" t="n"/>
      <c r="O256" s="334" t="n"/>
      <c r="P256" s="334" t="n"/>
      <c r="Q256" s="334" t="n"/>
      <c r="R256" s="334" t="n"/>
      <c r="S256" s="334" t="n"/>
      <c r="T256" s="334" t="n"/>
    </row>
    <row r="257">
      <c r="A257" s="334" t="n"/>
      <c r="B257" s="334" t="n"/>
      <c r="C257" s="334" t="n"/>
      <c r="D257" s="334" t="n"/>
      <c r="E257" s="334" t="n"/>
      <c r="F257" s="334" t="n"/>
      <c r="G257" s="334" t="n"/>
      <c r="H257" s="334" t="n"/>
      <c r="I257" s="334" t="n"/>
      <c r="J257" s="334" t="n"/>
      <c r="K257" s="334" t="n"/>
      <c r="L257" s="334" t="n"/>
      <c r="M257" s="334" t="n"/>
      <c r="N257" s="334" t="n"/>
      <c r="O257" s="334" t="n"/>
      <c r="P257" s="334" t="n"/>
      <c r="Q257" s="334" t="n"/>
      <c r="R257" s="334" t="n"/>
      <c r="S257" s="334" t="n"/>
      <c r="T257" s="334" t="n"/>
    </row>
    <row r="258">
      <c r="A258" s="334" t="n"/>
      <c r="B258" s="334" t="n"/>
      <c r="C258" s="334" t="n"/>
      <c r="D258" s="334" t="n"/>
      <c r="E258" s="334" t="n"/>
      <c r="F258" s="334" t="n"/>
      <c r="G258" s="334" t="n"/>
      <c r="H258" s="334" t="n"/>
      <c r="I258" s="334" t="n"/>
      <c r="J258" s="334" t="n"/>
      <c r="K258" s="334" t="n"/>
      <c r="L258" s="334" t="n"/>
      <c r="M258" s="334" t="n"/>
      <c r="N258" s="334" t="n"/>
      <c r="O258" s="334" t="n"/>
      <c r="P258" s="334" t="n"/>
      <c r="Q258" s="334" t="n"/>
      <c r="R258" s="334" t="n"/>
      <c r="S258" s="334" t="n"/>
      <c r="T258" s="334" t="n"/>
    </row>
    <row r="259">
      <c r="A259" s="334" t="n"/>
      <c r="B259" s="334" t="n"/>
      <c r="C259" s="334" t="n"/>
      <c r="D259" s="334" t="n"/>
      <c r="E259" s="334" t="n"/>
      <c r="F259" s="334" t="n"/>
      <c r="G259" s="334" t="n"/>
      <c r="H259" s="334" t="n"/>
      <c r="I259" s="334" t="n"/>
      <c r="J259" s="334" t="n"/>
      <c r="K259" s="334" t="n"/>
      <c r="L259" s="334" t="n"/>
      <c r="M259" s="334" t="n"/>
      <c r="N259" s="334" t="n"/>
      <c r="O259" s="334" t="n"/>
      <c r="P259" s="334" t="n"/>
      <c r="Q259" s="334" t="n"/>
      <c r="R259" s="334" t="n"/>
      <c r="S259" s="334" t="n"/>
      <c r="T259" s="334" t="n"/>
    </row>
    <row r="260">
      <c r="A260" s="334" t="n"/>
      <c r="B260" s="334" t="n"/>
      <c r="C260" s="334" t="n"/>
      <c r="D260" s="334" t="n"/>
      <c r="E260" s="334" t="n"/>
      <c r="F260" s="334" t="n"/>
      <c r="G260" s="334" t="n"/>
      <c r="H260" s="334" t="n"/>
      <c r="I260" s="334" t="n"/>
      <c r="J260" s="334" t="n"/>
      <c r="K260" s="334" t="n"/>
      <c r="L260" s="334" t="n"/>
      <c r="M260" s="334" t="n"/>
      <c r="N260" s="334" t="n"/>
      <c r="O260" s="334" t="n"/>
      <c r="P260" s="334" t="n"/>
      <c r="Q260" s="334" t="n"/>
      <c r="R260" s="334" t="n"/>
      <c r="S260" s="334" t="n"/>
      <c r="T260" s="334" t="n"/>
    </row>
    <row r="261">
      <c r="A261" s="334" t="n"/>
      <c r="B261" s="334" t="n"/>
      <c r="C261" s="334" t="n"/>
      <c r="D261" s="334" t="n"/>
      <c r="E261" s="334" t="n"/>
      <c r="F261" s="334" t="n"/>
      <c r="G261" s="334" t="n"/>
      <c r="H261" s="334" t="n"/>
      <c r="I261" s="334" t="n"/>
      <c r="J261" s="334" t="n"/>
      <c r="K261" s="334" t="n"/>
      <c r="L261" s="334" t="n"/>
      <c r="M261" s="334" t="n"/>
      <c r="N261" s="334" t="n"/>
      <c r="O261" s="334" t="n"/>
      <c r="P261" s="334" t="n"/>
      <c r="Q261" s="334" t="n"/>
      <c r="R261" s="334" t="n"/>
      <c r="S261" s="334" t="n"/>
      <c r="T261" s="334" t="n"/>
    </row>
    <row r="262">
      <c r="A262" s="334" t="n"/>
      <c r="B262" s="334" t="n"/>
      <c r="C262" s="334" t="n"/>
      <c r="D262" s="334" t="n"/>
      <c r="E262" s="334" t="n"/>
      <c r="F262" s="334" t="n"/>
      <c r="G262" s="334" t="n"/>
      <c r="H262" s="334" t="n"/>
      <c r="I262" s="334" t="n"/>
      <c r="J262" s="334" t="n"/>
      <c r="K262" s="334" t="n"/>
      <c r="L262" s="334" t="n"/>
      <c r="M262" s="334" t="n"/>
      <c r="N262" s="334" t="n"/>
      <c r="O262" s="334" t="n"/>
      <c r="P262" s="334" t="n"/>
      <c r="Q262" s="334" t="n"/>
      <c r="R262" s="334" t="n"/>
      <c r="S262" s="334" t="n"/>
      <c r="T262" s="334" t="n"/>
    </row>
    <row r="263">
      <c r="A263" s="334" t="n"/>
      <c r="B263" s="334" t="n"/>
      <c r="C263" s="334" t="n"/>
      <c r="D263" s="334" t="n"/>
      <c r="E263" s="334" t="n"/>
      <c r="F263" s="334" t="n"/>
      <c r="G263" s="334" t="n"/>
      <c r="H263" s="334" t="n"/>
      <c r="I263" s="334" t="n"/>
      <c r="J263" s="334" t="n"/>
      <c r="K263" s="334" t="n"/>
      <c r="L263" s="334" t="n"/>
      <c r="M263" s="334" t="n"/>
      <c r="N263" s="334" t="n"/>
      <c r="O263" s="334" t="n"/>
      <c r="P263" s="334" t="n"/>
      <c r="Q263" s="334" t="n"/>
      <c r="R263" s="334" t="n"/>
      <c r="S263" s="334" t="n"/>
      <c r="T263" s="334" t="n"/>
    </row>
    <row r="264">
      <c r="A264" s="334" t="n"/>
      <c r="B264" s="334" t="n"/>
      <c r="C264" s="334" t="n"/>
      <c r="D264" s="334" t="n"/>
      <c r="E264" s="334" t="n"/>
      <c r="F264" s="334" t="n"/>
      <c r="G264" s="334" t="n"/>
      <c r="H264" s="334" t="n"/>
      <c r="I264" s="334" t="n"/>
      <c r="J264" s="334" t="n"/>
      <c r="K264" s="334" t="n"/>
      <c r="L264" s="334" t="n"/>
      <c r="M264" s="334" t="n"/>
      <c r="N264" s="334" t="n"/>
      <c r="O264" s="334" t="n"/>
      <c r="P264" s="334" t="n"/>
      <c r="Q264" s="334" t="n"/>
      <c r="R264" s="334" t="n"/>
      <c r="S264" s="334" t="n"/>
      <c r="T264" s="334" t="n"/>
    </row>
    <row r="265">
      <c r="A265" s="334" t="n"/>
      <c r="B265" s="334" t="n"/>
      <c r="C265" s="334" t="n"/>
      <c r="D265" s="334" t="n"/>
      <c r="E265" s="334" t="n"/>
      <c r="F265" s="334" t="n"/>
      <c r="G265" s="334" t="n"/>
      <c r="H265" s="334" t="n"/>
      <c r="I265" s="334" t="n"/>
      <c r="J265" s="334" t="n"/>
      <c r="K265" s="334" t="n"/>
      <c r="L265" s="334" t="n"/>
      <c r="M265" s="334" t="n"/>
      <c r="N265" s="334" t="n"/>
      <c r="O265" s="334" t="n"/>
      <c r="P265" s="334" t="n"/>
      <c r="Q265" s="334" t="n"/>
      <c r="R265" s="334" t="n"/>
      <c r="S265" s="334" t="n"/>
      <c r="T265" s="334" t="n"/>
    </row>
    <row r="266">
      <c r="A266" s="334" t="n"/>
      <c r="B266" s="334" t="n"/>
      <c r="C266" s="334" t="n"/>
      <c r="D266" s="334" t="n"/>
      <c r="E266" s="334" t="n"/>
      <c r="F266" s="334" t="n"/>
      <c r="G266" s="334" t="n"/>
      <c r="H266" s="334" t="n"/>
      <c r="I266" s="334" t="n"/>
      <c r="J266" s="334" t="n"/>
      <c r="K266" s="334" t="n"/>
      <c r="L266" s="334" t="n"/>
      <c r="M266" s="334" t="n"/>
      <c r="N266" s="334" t="n"/>
      <c r="O266" s="334" t="n"/>
      <c r="P266" s="334" t="n"/>
      <c r="Q266" s="334" t="n"/>
      <c r="R266" s="334" t="n"/>
      <c r="S266" s="334" t="n"/>
      <c r="T266" s="334" t="n"/>
    </row>
    <row r="267">
      <c r="A267" s="334" t="n"/>
      <c r="B267" s="334" t="n"/>
      <c r="C267" s="334" t="n"/>
      <c r="D267" s="334" t="n"/>
      <c r="E267" s="334" t="n"/>
      <c r="F267" s="334" t="n"/>
      <c r="G267" s="334" t="n"/>
      <c r="H267" s="334" t="n"/>
      <c r="I267" s="334" t="n"/>
      <c r="J267" s="334" t="n"/>
      <c r="K267" s="334" t="n"/>
      <c r="L267" s="334" t="n"/>
      <c r="M267" s="334" t="n"/>
      <c r="N267" s="334" t="n"/>
      <c r="O267" s="334" t="n"/>
      <c r="P267" s="334" t="n"/>
      <c r="Q267" s="334" t="n"/>
      <c r="R267" s="334" t="n"/>
      <c r="S267" s="334" t="n"/>
      <c r="T267" s="334" t="n"/>
    </row>
    <row r="268">
      <c r="A268" s="334" t="n"/>
      <c r="B268" s="334" t="n"/>
      <c r="C268" s="334" t="n"/>
      <c r="D268" s="334" t="n"/>
      <c r="E268" s="334" t="n"/>
      <c r="F268" s="334" t="n"/>
      <c r="G268" s="334" t="n"/>
      <c r="H268" s="334" t="n"/>
      <c r="I268" s="334" t="n"/>
      <c r="J268" s="334" t="n"/>
      <c r="K268" s="334" t="n"/>
      <c r="L268" s="334" t="n"/>
      <c r="M268" s="334" t="n"/>
      <c r="N268" s="334" t="n"/>
      <c r="O268" s="334" t="n"/>
      <c r="P268" s="334" t="n"/>
      <c r="Q268" s="334" t="n"/>
      <c r="R268" s="334" t="n"/>
      <c r="S268" s="334" t="n"/>
      <c r="T268" s="334" t="n"/>
    </row>
    <row r="269">
      <c r="A269" s="334" t="n"/>
      <c r="B269" s="334" t="n"/>
      <c r="C269" s="334" t="n"/>
      <c r="D269" s="334" t="n"/>
      <c r="E269" s="334" t="n"/>
      <c r="F269" s="334" t="n"/>
      <c r="G269" s="334" t="n"/>
      <c r="H269" s="334" t="n"/>
      <c r="I269" s="334" t="n"/>
      <c r="J269" s="334" t="n"/>
      <c r="K269" s="334" t="n"/>
      <c r="L269" s="334" t="n"/>
      <c r="M269" s="334" t="n"/>
      <c r="N269" s="334" t="n"/>
      <c r="O269" s="334" t="n"/>
      <c r="P269" s="334" t="n"/>
      <c r="Q269" s="334" t="n"/>
      <c r="R269" s="334" t="n"/>
      <c r="S269" s="334" t="n"/>
      <c r="T269" s="334" t="n"/>
    </row>
    <row r="270">
      <c r="A270" s="334" t="n"/>
      <c r="B270" s="334" t="n"/>
      <c r="C270" s="334" t="n"/>
      <c r="D270" s="334" t="n"/>
      <c r="E270" s="334" t="n"/>
      <c r="F270" s="334" t="n"/>
      <c r="G270" s="334" t="n"/>
      <c r="H270" s="334" t="n"/>
      <c r="I270" s="334" t="n"/>
      <c r="J270" s="334" t="n"/>
      <c r="K270" s="334" t="n"/>
      <c r="L270" s="334" t="n"/>
      <c r="M270" s="334" t="n"/>
      <c r="N270" s="334" t="n"/>
      <c r="O270" s="334" t="n"/>
      <c r="P270" s="334" t="n"/>
      <c r="Q270" s="334" t="n"/>
      <c r="R270" s="334" t="n"/>
      <c r="S270" s="334" t="n"/>
      <c r="T270" s="334" t="n"/>
    </row>
    <row r="271">
      <c r="A271" s="334" t="n"/>
      <c r="B271" s="334" t="n"/>
      <c r="C271" s="334" t="n"/>
      <c r="D271" s="334" t="n"/>
      <c r="E271" s="334" t="n"/>
      <c r="F271" s="334" t="n"/>
      <c r="G271" s="334" t="n"/>
      <c r="H271" s="334" t="n"/>
      <c r="I271" s="334" t="n"/>
      <c r="J271" s="334" t="n"/>
      <c r="K271" s="334" t="n"/>
      <c r="L271" s="334" t="n"/>
      <c r="M271" s="334" t="n"/>
      <c r="N271" s="334" t="n"/>
      <c r="O271" s="334" t="n"/>
      <c r="P271" s="334" t="n"/>
      <c r="Q271" s="334" t="n"/>
      <c r="R271" s="334" t="n"/>
      <c r="S271" s="334" t="n"/>
      <c r="T271" s="334" t="n"/>
    </row>
    <row r="272">
      <c r="A272" s="334" t="n"/>
      <c r="B272" s="334" t="n"/>
      <c r="C272" s="334" t="n"/>
      <c r="D272" s="334" t="n"/>
      <c r="E272" s="334" t="n"/>
      <c r="F272" s="334" t="n"/>
      <c r="G272" s="334" t="n"/>
      <c r="H272" s="334" t="n"/>
      <c r="I272" s="334" t="n"/>
      <c r="J272" s="334" t="n"/>
      <c r="K272" s="334" t="n"/>
      <c r="L272" s="334" t="n"/>
      <c r="M272" s="334" t="n"/>
      <c r="N272" s="334" t="n"/>
      <c r="O272" s="334" t="n"/>
      <c r="P272" s="334" t="n"/>
      <c r="Q272" s="334" t="n"/>
      <c r="R272" s="334" t="n"/>
      <c r="S272" s="334" t="n"/>
      <c r="T272" s="334" t="n"/>
    </row>
    <row r="273">
      <c r="A273" s="334" t="n"/>
      <c r="B273" s="334" t="n"/>
      <c r="C273" s="334" t="n"/>
      <c r="D273" s="334" t="n"/>
      <c r="E273" s="334" t="n"/>
      <c r="F273" s="334" t="n"/>
      <c r="G273" s="334" t="n"/>
      <c r="H273" s="334" t="n"/>
      <c r="I273" s="334" t="n"/>
      <c r="J273" s="334" t="n"/>
      <c r="K273" s="334" t="n"/>
      <c r="L273" s="334" t="n"/>
      <c r="M273" s="334" t="n"/>
      <c r="N273" s="334" t="n"/>
      <c r="O273" s="334" t="n"/>
      <c r="P273" s="334" t="n"/>
      <c r="Q273" s="334" t="n"/>
      <c r="R273" s="334" t="n"/>
      <c r="S273" s="334" t="n"/>
      <c r="T273" s="334" t="n"/>
    </row>
    <row r="274">
      <c r="A274" s="334" t="n"/>
      <c r="B274" s="334" t="n"/>
      <c r="C274" s="334" t="n"/>
      <c r="D274" s="334" t="n"/>
      <c r="E274" s="334" t="n"/>
      <c r="F274" s="334" t="n"/>
      <c r="G274" s="334" t="n"/>
      <c r="H274" s="334" t="n"/>
      <c r="I274" s="334" t="n"/>
      <c r="J274" s="334" t="n"/>
      <c r="K274" s="334" t="n"/>
      <c r="L274" s="334" t="n"/>
      <c r="M274" s="334" t="n"/>
      <c r="N274" s="334" t="n"/>
      <c r="O274" s="334" t="n"/>
      <c r="P274" s="334" t="n"/>
      <c r="Q274" s="334" t="n"/>
      <c r="R274" s="334" t="n"/>
      <c r="S274" s="334" t="n"/>
      <c r="T274" s="334" t="n"/>
    </row>
    <row r="275">
      <c r="A275" s="334" t="n"/>
      <c r="B275" s="334" t="n"/>
      <c r="C275" s="334" t="n"/>
      <c r="D275" s="334" t="n"/>
      <c r="E275" s="334" t="n"/>
      <c r="F275" s="334" t="n"/>
      <c r="G275" s="334" t="n"/>
      <c r="H275" s="334" t="n"/>
      <c r="I275" s="334" t="n"/>
      <c r="J275" s="334" t="n"/>
      <c r="K275" s="334" t="n"/>
      <c r="L275" s="334" t="n"/>
      <c r="M275" s="334" t="n"/>
      <c r="N275" s="334" t="n"/>
      <c r="O275" s="334" t="n"/>
      <c r="P275" s="334" t="n"/>
      <c r="Q275" s="334" t="n"/>
      <c r="R275" s="334" t="n"/>
      <c r="S275" s="334" t="n"/>
      <c r="T275" s="334" t="n"/>
    </row>
    <row r="276">
      <c r="A276" s="334" t="n"/>
      <c r="B276" s="334" t="n"/>
      <c r="C276" s="334" t="n"/>
      <c r="D276" s="334" t="n"/>
      <c r="E276" s="334" t="n"/>
      <c r="F276" s="334" t="n"/>
      <c r="G276" s="334" t="n"/>
      <c r="H276" s="334" t="n"/>
      <c r="I276" s="334" t="n"/>
      <c r="J276" s="334" t="n"/>
      <c r="K276" s="334" t="n"/>
      <c r="L276" s="334" t="n"/>
      <c r="M276" s="334" t="n"/>
      <c r="N276" s="334" t="n"/>
      <c r="O276" s="334" t="n"/>
      <c r="P276" s="334" t="n"/>
      <c r="Q276" s="334" t="n"/>
      <c r="R276" s="334" t="n"/>
      <c r="S276" s="334" t="n"/>
      <c r="T276" s="334" t="n"/>
    </row>
    <row r="277">
      <c r="A277" s="334" t="n"/>
      <c r="B277" s="334" t="n"/>
      <c r="C277" s="334" t="n"/>
      <c r="D277" s="334" t="n"/>
      <c r="E277" s="334" t="n"/>
      <c r="F277" s="334" t="n"/>
      <c r="G277" s="334" t="n"/>
      <c r="H277" s="334" t="n"/>
      <c r="I277" s="334" t="n"/>
      <c r="J277" s="334" t="n"/>
      <c r="K277" s="334" t="n"/>
      <c r="L277" s="334" t="n"/>
      <c r="M277" s="334" t="n"/>
      <c r="N277" s="334" t="n"/>
      <c r="O277" s="334" t="n"/>
      <c r="P277" s="334" t="n"/>
      <c r="Q277" s="334" t="n"/>
      <c r="R277" s="334" t="n"/>
      <c r="S277" s="334" t="n"/>
      <c r="T277" s="334" t="n"/>
    </row>
    <row r="278">
      <c r="A278" s="334" t="n"/>
      <c r="B278" s="334" t="n"/>
      <c r="C278" s="334" t="n"/>
      <c r="D278" s="334" t="n"/>
      <c r="E278" s="334" t="n"/>
      <c r="F278" s="334" t="n"/>
      <c r="G278" s="334" t="n"/>
      <c r="H278" s="334" t="n"/>
      <c r="I278" s="334" t="n"/>
      <c r="J278" s="334" t="n"/>
      <c r="K278" s="334" t="n"/>
      <c r="L278" s="334" t="n"/>
      <c r="M278" s="334" t="n"/>
      <c r="N278" s="334" t="n"/>
      <c r="O278" s="334" t="n"/>
      <c r="P278" s="334" t="n"/>
      <c r="Q278" s="334" t="n"/>
      <c r="R278" s="334" t="n"/>
      <c r="S278" s="334" t="n"/>
      <c r="T278" s="334" t="n"/>
    </row>
    <row r="279">
      <c r="A279" s="334" t="n"/>
      <c r="B279" s="334" t="n"/>
      <c r="C279" s="334" t="n"/>
      <c r="D279" s="334" t="n"/>
      <c r="E279" s="334" t="n"/>
      <c r="F279" s="334" t="n"/>
      <c r="G279" s="334" t="n"/>
      <c r="H279" s="334" t="n"/>
      <c r="I279" s="334" t="n"/>
      <c r="J279" s="334" t="n"/>
      <c r="K279" s="334" t="n"/>
      <c r="L279" s="334" t="n"/>
      <c r="M279" s="334" t="n"/>
      <c r="N279" s="334" t="n"/>
      <c r="O279" s="334" t="n"/>
      <c r="P279" s="334" t="n"/>
      <c r="Q279" s="334" t="n"/>
      <c r="R279" s="334" t="n"/>
      <c r="S279" s="334" t="n"/>
      <c r="T279" s="334" t="n"/>
    </row>
    <row r="280">
      <c r="A280" s="334" t="n"/>
      <c r="B280" s="334" t="n"/>
      <c r="C280" s="334" t="n"/>
      <c r="D280" s="334" t="n"/>
      <c r="E280" s="334" t="n"/>
      <c r="F280" s="334" t="n"/>
      <c r="G280" s="334" t="n"/>
      <c r="H280" s="334" t="n"/>
      <c r="I280" s="334" t="n"/>
      <c r="J280" s="334" t="n"/>
      <c r="K280" s="334" t="n"/>
      <c r="L280" s="334" t="n"/>
      <c r="M280" s="334" t="n"/>
      <c r="N280" s="334" t="n"/>
      <c r="O280" s="334" t="n"/>
      <c r="P280" s="334" t="n"/>
      <c r="Q280" s="334" t="n"/>
      <c r="R280" s="334" t="n"/>
      <c r="S280" s="334" t="n"/>
      <c r="T280" s="334" t="n"/>
    </row>
    <row r="281">
      <c r="A281" s="334" t="n"/>
      <c r="B281" s="334" t="n"/>
      <c r="C281" s="334" t="n"/>
      <c r="D281" s="334" t="n"/>
      <c r="E281" s="334" t="n"/>
      <c r="F281" s="334" t="n"/>
      <c r="G281" s="334" t="n"/>
      <c r="H281" s="334" t="n"/>
      <c r="I281" s="334" t="n"/>
      <c r="J281" s="334" t="n"/>
      <c r="K281" s="334" t="n"/>
      <c r="L281" s="334" t="n"/>
      <c r="M281" s="334" t="n"/>
      <c r="N281" s="334" t="n"/>
      <c r="O281" s="334" t="n"/>
      <c r="P281" s="334" t="n"/>
      <c r="Q281" s="334" t="n"/>
      <c r="R281" s="334" t="n"/>
      <c r="S281" s="334" t="n"/>
      <c r="T281" s="334" t="n"/>
    </row>
    <row r="282">
      <c r="A282" s="334" t="n"/>
      <c r="B282" s="334" t="n"/>
      <c r="C282" s="334" t="n"/>
      <c r="D282" s="334" t="n"/>
      <c r="E282" s="334" t="n"/>
      <c r="F282" s="334" t="n"/>
      <c r="G282" s="334" t="n"/>
      <c r="H282" s="334" t="n"/>
      <c r="I282" s="334" t="n"/>
      <c r="J282" s="334" t="n"/>
      <c r="K282" s="334" t="n"/>
      <c r="L282" s="334" t="n"/>
      <c r="M282" s="334" t="n"/>
      <c r="N282" s="334" t="n"/>
      <c r="O282" s="334" t="n"/>
      <c r="P282" s="334" t="n"/>
      <c r="Q282" s="334" t="n"/>
      <c r="R282" s="334" t="n"/>
      <c r="S282" s="334" t="n"/>
      <c r="T282" s="334" t="n"/>
    </row>
    <row r="283">
      <c r="A283" s="334" t="n"/>
      <c r="B283" s="334" t="n"/>
      <c r="C283" s="334" t="n"/>
      <c r="D283" s="334" t="n"/>
      <c r="E283" s="334" t="n"/>
      <c r="F283" s="334" t="n"/>
      <c r="G283" s="334" t="n"/>
      <c r="H283" s="334" t="n"/>
      <c r="I283" s="334" t="n"/>
      <c r="J283" s="334" t="n"/>
      <c r="K283" s="334" t="n"/>
      <c r="L283" s="334" t="n"/>
      <c r="M283" s="334" t="n"/>
      <c r="N283" s="334" t="n"/>
      <c r="O283" s="334" t="n"/>
      <c r="P283" s="334" t="n"/>
      <c r="Q283" s="334" t="n"/>
      <c r="R283" s="334" t="n"/>
      <c r="S283" s="334" t="n"/>
      <c r="T283" s="334" t="n"/>
    </row>
    <row r="284">
      <c r="A284" s="334" t="n"/>
      <c r="B284" s="334" t="n"/>
      <c r="C284" s="334" t="n"/>
      <c r="D284" s="334" t="n"/>
      <c r="E284" s="334" t="n"/>
      <c r="F284" s="334" t="n"/>
      <c r="G284" s="334" t="n"/>
      <c r="H284" s="334" t="n"/>
      <c r="I284" s="334" t="n"/>
      <c r="J284" s="334" t="n"/>
      <c r="K284" s="334" t="n"/>
      <c r="L284" s="334" t="n"/>
      <c r="M284" s="334" t="n"/>
      <c r="N284" s="334" t="n"/>
      <c r="O284" s="334" t="n"/>
      <c r="P284" s="334" t="n"/>
      <c r="Q284" s="334" t="n"/>
      <c r="R284" s="334" t="n"/>
      <c r="S284" s="334" t="n"/>
      <c r="T284" s="334" t="n"/>
    </row>
    <row r="285">
      <c r="A285" s="334" t="n"/>
      <c r="B285" s="334" t="n"/>
      <c r="C285" s="334" t="n"/>
      <c r="D285" s="334" t="n"/>
      <c r="E285" s="334" t="n"/>
      <c r="F285" s="334" t="n"/>
      <c r="G285" s="334" t="n"/>
      <c r="H285" s="334" t="n"/>
      <c r="I285" s="334" t="n"/>
      <c r="J285" s="334" t="n"/>
      <c r="K285" s="334" t="n"/>
      <c r="L285" s="334" t="n"/>
      <c r="M285" s="334" t="n"/>
      <c r="N285" s="334" t="n"/>
      <c r="O285" s="334" t="n"/>
      <c r="P285" s="334" t="n"/>
      <c r="Q285" s="334" t="n"/>
      <c r="R285" s="334" t="n"/>
      <c r="S285" s="334" t="n"/>
      <c r="T285" s="334" t="n"/>
    </row>
    <row r="286">
      <c r="A286" s="334" t="n"/>
      <c r="B286" s="334" t="n"/>
      <c r="C286" s="334" t="n"/>
      <c r="D286" s="334" t="n"/>
      <c r="E286" s="334" t="n"/>
      <c r="F286" s="334" t="n"/>
      <c r="G286" s="334" t="n"/>
      <c r="H286" s="334" t="n"/>
      <c r="I286" s="334" t="n"/>
      <c r="J286" s="334" t="n"/>
      <c r="K286" s="334" t="n"/>
      <c r="L286" s="334" t="n"/>
      <c r="M286" s="334" t="n"/>
      <c r="N286" s="334" t="n"/>
      <c r="O286" s="334" t="n"/>
      <c r="P286" s="334" t="n"/>
      <c r="Q286" s="334" t="n"/>
      <c r="R286" s="334" t="n"/>
      <c r="S286" s="334" t="n"/>
      <c r="T286" s="334" t="n"/>
    </row>
    <row r="287">
      <c r="A287" s="334" t="n"/>
      <c r="B287" s="334" t="n"/>
      <c r="C287" s="334" t="n"/>
      <c r="D287" s="334" t="n"/>
      <c r="E287" s="334" t="n"/>
      <c r="F287" s="334" t="n"/>
      <c r="G287" s="334" t="n"/>
      <c r="H287" s="334" t="n"/>
      <c r="I287" s="334" t="n"/>
      <c r="J287" s="334" t="n"/>
      <c r="K287" s="334" t="n"/>
      <c r="L287" s="334" t="n"/>
      <c r="M287" s="334" t="n"/>
      <c r="N287" s="334" t="n"/>
      <c r="O287" s="334" t="n"/>
      <c r="P287" s="334" t="n"/>
      <c r="Q287" s="334" t="n"/>
      <c r="R287" s="334" t="n"/>
      <c r="S287" s="334" t="n"/>
      <c r="T287" s="334" t="n"/>
    </row>
    <row r="288">
      <c r="A288" s="334" t="n"/>
      <c r="B288" s="334" t="n"/>
      <c r="C288" s="334" t="n"/>
      <c r="D288" s="334" t="n"/>
      <c r="E288" s="334" t="n"/>
      <c r="F288" s="334" t="n"/>
      <c r="G288" s="334" t="n"/>
      <c r="H288" s="334" t="n"/>
      <c r="I288" s="334" t="n"/>
      <c r="J288" s="334" t="n"/>
      <c r="K288" s="334" t="n"/>
      <c r="L288" s="334" t="n"/>
      <c r="M288" s="334" t="n"/>
      <c r="N288" s="334" t="n"/>
      <c r="O288" s="334" t="n"/>
      <c r="P288" s="334" t="n"/>
      <c r="Q288" s="334" t="n"/>
      <c r="R288" s="334" t="n"/>
      <c r="S288" s="334" t="n"/>
      <c r="T288" s="334" t="n"/>
    </row>
    <row r="289">
      <c r="A289" s="334" t="n"/>
      <c r="B289" s="334" t="n"/>
      <c r="C289" s="334" t="n"/>
      <c r="D289" s="334" t="n"/>
      <c r="E289" s="334" t="n"/>
      <c r="F289" s="334" t="n"/>
      <c r="G289" s="334" t="n"/>
      <c r="H289" s="334" t="n"/>
      <c r="I289" s="334" t="n"/>
      <c r="J289" s="334" t="n"/>
      <c r="K289" s="334" t="n"/>
      <c r="L289" s="334" t="n"/>
      <c r="M289" s="334" t="n"/>
      <c r="N289" s="334" t="n"/>
      <c r="O289" s="334" t="n"/>
      <c r="P289" s="334" t="n"/>
      <c r="Q289" s="334" t="n"/>
      <c r="R289" s="334" t="n"/>
      <c r="S289" s="334" t="n"/>
      <c r="T289" s="334" t="n"/>
    </row>
    <row r="290">
      <c r="A290" s="334" t="n"/>
      <c r="B290" s="334" t="n"/>
      <c r="C290" s="334" t="n"/>
      <c r="D290" s="334" t="n"/>
      <c r="E290" s="334" t="n"/>
      <c r="F290" s="334" t="n"/>
      <c r="G290" s="334" t="n"/>
      <c r="H290" s="334" t="n"/>
      <c r="I290" s="334" t="n"/>
      <c r="J290" s="334" t="n"/>
      <c r="K290" s="334" t="n"/>
      <c r="L290" s="334" t="n"/>
      <c r="M290" s="334" t="n"/>
      <c r="N290" s="334" t="n"/>
      <c r="O290" s="334" t="n"/>
      <c r="P290" s="334" t="n"/>
      <c r="Q290" s="334" t="n"/>
      <c r="R290" s="334" t="n"/>
      <c r="S290" s="334" t="n"/>
      <c r="T290" s="334" t="n"/>
    </row>
    <row r="291">
      <c r="A291" s="334" t="n"/>
      <c r="B291" s="334" t="n"/>
      <c r="C291" s="334" t="n"/>
      <c r="D291" s="334" t="n"/>
      <c r="E291" s="334" t="n"/>
      <c r="F291" s="334" t="n"/>
      <c r="G291" s="334" t="n"/>
      <c r="H291" s="334" t="n"/>
      <c r="I291" s="334" t="n"/>
      <c r="J291" s="334" t="n"/>
      <c r="K291" s="334" t="n"/>
      <c r="L291" s="334" t="n"/>
      <c r="M291" s="334" t="n"/>
      <c r="N291" s="334" t="n"/>
      <c r="O291" s="334" t="n"/>
      <c r="P291" s="334" t="n"/>
      <c r="Q291" s="334" t="n"/>
      <c r="R291" s="334" t="n"/>
      <c r="S291" s="334" t="n"/>
      <c r="T291" s="334" t="n"/>
    </row>
    <row r="292">
      <c r="A292" s="334" t="n"/>
      <c r="B292" s="334" t="n"/>
      <c r="C292" s="334" t="n"/>
      <c r="D292" s="334" t="n"/>
      <c r="E292" s="334" t="n"/>
      <c r="F292" s="334" t="n"/>
      <c r="G292" s="334" t="n"/>
      <c r="H292" s="334" t="n"/>
      <c r="I292" s="334" t="n"/>
      <c r="J292" s="334" t="n"/>
      <c r="K292" s="334" t="n"/>
      <c r="L292" s="334" t="n"/>
      <c r="M292" s="334" t="n"/>
      <c r="N292" s="334" t="n"/>
      <c r="O292" s="334" t="n"/>
      <c r="P292" s="334" t="n"/>
      <c r="Q292" s="334" t="n"/>
      <c r="R292" s="334" t="n"/>
      <c r="S292" s="334" t="n"/>
      <c r="T292" s="334" t="n"/>
    </row>
    <row r="293">
      <c r="A293" s="334" t="n"/>
      <c r="B293" s="334" t="n"/>
      <c r="C293" s="334" t="n"/>
      <c r="D293" s="334" t="n"/>
      <c r="E293" s="334" t="n"/>
      <c r="F293" s="334" t="n"/>
      <c r="G293" s="334" t="n"/>
      <c r="H293" s="334" t="n"/>
      <c r="I293" s="334" t="n"/>
      <c r="J293" s="334" t="n"/>
      <c r="K293" s="334" t="n"/>
      <c r="L293" s="334" t="n"/>
      <c r="M293" s="334" t="n"/>
      <c r="N293" s="334" t="n"/>
      <c r="O293" s="334" t="n"/>
      <c r="P293" s="334" t="n"/>
      <c r="Q293" s="334" t="n"/>
      <c r="R293" s="334" t="n"/>
      <c r="S293" s="334" t="n"/>
      <c r="T293" s="334" t="n"/>
    </row>
    <row r="294">
      <c r="A294" s="334" t="n"/>
      <c r="B294" s="334" t="n"/>
      <c r="C294" s="334" t="n"/>
      <c r="D294" s="334" t="n"/>
      <c r="E294" s="334" t="n"/>
      <c r="F294" s="334" t="n"/>
      <c r="G294" s="334" t="n"/>
      <c r="H294" s="334" t="n"/>
      <c r="I294" s="334" t="n"/>
      <c r="J294" s="334" t="n"/>
      <c r="K294" s="334" t="n"/>
      <c r="L294" s="334" t="n"/>
      <c r="M294" s="334" t="n"/>
      <c r="N294" s="334" t="n"/>
      <c r="O294" s="334" t="n"/>
      <c r="P294" s="334" t="n"/>
      <c r="Q294" s="334" t="n"/>
      <c r="R294" s="334" t="n"/>
      <c r="S294" s="334" t="n"/>
      <c r="T294" s="334" t="n"/>
    </row>
    <row r="295">
      <c r="A295" s="334" t="n"/>
      <c r="B295" s="334" t="n"/>
      <c r="C295" s="334" t="n"/>
      <c r="D295" s="334" t="n"/>
      <c r="E295" s="334" t="n"/>
      <c r="F295" s="334" t="n"/>
      <c r="G295" s="334" t="n"/>
      <c r="H295" s="334" t="n"/>
      <c r="I295" s="334" t="n"/>
      <c r="J295" s="334" t="n"/>
      <c r="K295" s="334" t="n"/>
      <c r="L295" s="334" t="n"/>
      <c r="M295" s="334" t="n"/>
      <c r="N295" s="334" t="n"/>
      <c r="O295" s="334" t="n"/>
      <c r="P295" s="334" t="n"/>
      <c r="Q295" s="334" t="n"/>
      <c r="R295" s="334" t="n"/>
      <c r="S295" s="334" t="n"/>
      <c r="T295" s="334" t="n"/>
    </row>
    <row r="296">
      <c r="A296" s="334" t="n"/>
      <c r="B296" s="334" t="n"/>
      <c r="C296" s="334" t="n"/>
      <c r="D296" s="334" t="n"/>
      <c r="E296" s="334" t="n"/>
      <c r="F296" s="334" t="n"/>
      <c r="G296" s="334" t="n"/>
      <c r="H296" s="334" t="n"/>
      <c r="I296" s="334" t="n"/>
      <c r="J296" s="334" t="n"/>
      <c r="K296" s="334" t="n"/>
      <c r="L296" s="334" t="n"/>
      <c r="M296" s="334" t="n"/>
      <c r="N296" s="334" t="n"/>
      <c r="O296" s="334" t="n"/>
      <c r="P296" s="334" t="n"/>
      <c r="Q296" s="334" t="n"/>
      <c r="R296" s="334" t="n"/>
      <c r="S296" s="334" t="n"/>
      <c r="T296" s="334" t="n"/>
    </row>
    <row r="297">
      <c r="A297" s="334" t="n"/>
      <c r="B297" s="334" t="n"/>
      <c r="C297" s="334" t="n"/>
      <c r="D297" s="334" t="n"/>
      <c r="E297" s="334" t="n"/>
      <c r="F297" s="334" t="n"/>
      <c r="G297" s="334" t="n"/>
      <c r="H297" s="334" t="n"/>
      <c r="I297" s="334" t="n"/>
      <c r="J297" s="334" t="n"/>
      <c r="K297" s="334" t="n"/>
      <c r="L297" s="334" t="n"/>
      <c r="M297" s="334" t="n"/>
      <c r="N297" s="334" t="n"/>
      <c r="O297" s="334" t="n"/>
      <c r="P297" s="334" t="n"/>
      <c r="Q297" s="334" t="n"/>
      <c r="R297" s="334" t="n"/>
      <c r="S297" s="334" t="n"/>
      <c r="T297" s="334" t="n"/>
    </row>
    <row r="298">
      <c r="A298" s="334" t="n"/>
      <c r="B298" s="334" t="n"/>
      <c r="C298" s="334" t="n"/>
      <c r="D298" s="334" t="n"/>
      <c r="E298" s="334" t="n"/>
      <c r="F298" s="334" t="n"/>
      <c r="G298" s="334" t="n"/>
      <c r="H298" s="334" t="n"/>
      <c r="I298" s="334" t="n"/>
      <c r="J298" s="334" t="n"/>
      <c r="K298" s="334" t="n"/>
      <c r="L298" s="334" t="n"/>
      <c r="M298" s="334" t="n"/>
      <c r="N298" s="334" t="n"/>
      <c r="O298" s="334" t="n"/>
      <c r="P298" s="334" t="n"/>
      <c r="Q298" s="334" t="n"/>
      <c r="R298" s="334" t="n"/>
      <c r="S298" s="334" t="n"/>
      <c r="T298" s="334" t="n"/>
    </row>
    <row r="299">
      <c r="A299" s="334" t="n"/>
      <c r="B299" s="334" t="n"/>
      <c r="C299" s="334" t="n"/>
      <c r="D299" s="334" t="n"/>
      <c r="E299" s="334" t="n"/>
      <c r="F299" s="334" t="n"/>
      <c r="G299" s="334" t="n"/>
      <c r="H299" s="334" t="n"/>
      <c r="I299" s="334" t="n"/>
      <c r="J299" s="334" t="n"/>
      <c r="K299" s="334" t="n"/>
      <c r="L299" s="334" t="n"/>
      <c r="M299" s="334" t="n"/>
      <c r="N299" s="334" t="n"/>
      <c r="O299" s="334" t="n"/>
      <c r="P299" s="334" t="n"/>
      <c r="Q299" s="334" t="n"/>
      <c r="R299" s="334" t="n"/>
      <c r="S299" s="334" t="n"/>
      <c r="T299" s="334" t="n"/>
    </row>
    <row r="300">
      <c r="A300" s="334" t="n"/>
      <c r="B300" s="334" t="n"/>
      <c r="C300" s="334" t="n"/>
      <c r="D300" s="334" t="n"/>
      <c r="E300" s="334" t="n"/>
      <c r="F300" s="334" t="n"/>
      <c r="G300" s="334" t="n"/>
      <c r="H300" s="334" t="n"/>
      <c r="I300" s="334" t="n"/>
      <c r="J300" s="334" t="n"/>
      <c r="K300" s="334" t="n"/>
      <c r="L300" s="334" t="n"/>
      <c r="M300" s="334" t="n"/>
      <c r="N300" s="334" t="n"/>
      <c r="O300" s="334" t="n"/>
      <c r="P300" s="334" t="n"/>
      <c r="Q300" s="334" t="n"/>
      <c r="R300" s="334" t="n"/>
      <c r="S300" s="334" t="n"/>
      <c r="T300" s="334" t="n"/>
    </row>
    <row r="301">
      <c r="A301" s="334" t="n"/>
      <c r="B301" s="334" t="n"/>
      <c r="C301" s="334" t="n"/>
      <c r="D301" s="334" t="n"/>
      <c r="E301" s="334" t="n"/>
      <c r="F301" s="334" t="n"/>
      <c r="G301" s="334" t="n"/>
      <c r="H301" s="334" t="n"/>
      <c r="I301" s="334" t="n"/>
      <c r="J301" s="334" t="n"/>
      <c r="K301" s="334" t="n"/>
      <c r="L301" s="334" t="n"/>
      <c r="M301" s="334" t="n"/>
      <c r="N301" s="334" t="n"/>
      <c r="O301" s="334" t="n"/>
      <c r="P301" s="334" t="n"/>
      <c r="Q301" s="334" t="n"/>
      <c r="R301" s="334" t="n"/>
      <c r="S301" s="334" t="n"/>
      <c r="T301" s="334" t="n"/>
    </row>
    <row r="302">
      <c r="A302" s="334" t="n"/>
      <c r="B302" s="334" t="n"/>
      <c r="C302" s="334" t="n"/>
      <c r="D302" s="334" t="n"/>
      <c r="E302" s="334" t="n"/>
      <c r="F302" s="334" t="n"/>
      <c r="G302" s="334" t="n"/>
      <c r="H302" s="334" t="n"/>
      <c r="I302" s="334" t="n"/>
      <c r="J302" s="334" t="n"/>
      <c r="K302" s="334" t="n"/>
      <c r="L302" s="334" t="n"/>
      <c r="M302" s="334" t="n"/>
      <c r="N302" s="334" t="n"/>
      <c r="O302" s="334" t="n"/>
      <c r="P302" s="334" t="n"/>
      <c r="Q302" s="334" t="n"/>
      <c r="R302" s="334" t="n"/>
      <c r="S302" s="334" t="n"/>
      <c r="T302" s="334" t="n"/>
    </row>
    <row r="303">
      <c r="A303" s="334" t="n"/>
      <c r="B303" s="334" t="n"/>
      <c r="C303" s="334" t="n"/>
      <c r="D303" s="334" t="n"/>
      <c r="E303" s="334" t="n"/>
      <c r="F303" s="334" t="n"/>
      <c r="G303" s="334" t="n"/>
      <c r="H303" s="334" t="n"/>
      <c r="I303" s="334" t="n"/>
      <c r="J303" s="334" t="n"/>
      <c r="K303" s="334" t="n"/>
      <c r="L303" s="334" t="n"/>
      <c r="M303" s="334" t="n"/>
      <c r="N303" s="334" t="n"/>
      <c r="O303" s="334" t="n"/>
      <c r="P303" s="334" t="n"/>
      <c r="Q303" s="334" t="n"/>
      <c r="R303" s="334" t="n"/>
      <c r="S303" s="334" t="n"/>
      <c r="T303" s="334" t="n"/>
    </row>
    <row r="304">
      <c r="A304" s="334" t="n"/>
      <c r="B304" s="334" t="n"/>
      <c r="C304" s="334" t="n"/>
      <c r="D304" s="334" t="n"/>
      <c r="E304" s="334" t="n"/>
      <c r="F304" s="334" t="n"/>
      <c r="G304" s="334" t="n"/>
      <c r="H304" s="334" t="n"/>
      <c r="I304" s="334" t="n"/>
      <c r="J304" s="334" t="n"/>
      <c r="K304" s="334" t="n"/>
      <c r="L304" s="334" t="n"/>
      <c r="M304" s="334" t="n"/>
      <c r="N304" s="334" t="n"/>
      <c r="O304" s="334" t="n"/>
      <c r="P304" s="334" t="n"/>
      <c r="Q304" s="334" t="n"/>
      <c r="R304" s="334" t="n"/>
      <c r="S304" s="334" t="n"/>
      <c r="T304" s="334" t="n"/>
    </row>
    <row r="305">
      <c r="A305" s="334" t="n"/>
      <c r="B305" s="334" t="n"/>
      <c r="C305" s="334" t="n"/>
      <c r="D305" s="334" t="n"/>
      <c r="E305" s="334" t="n"/>
      <c r="F305" s="334" t="n"/>
      <c r="G305" s="334" t="n"/>
      <c r="H305" s="334" t="n"/>
      <c r="I305" s="334" t="n"/>
      <c r="J305" s="334" t="n"/>
      <c r="K305" s="334" t="n"/>
      <c r="L305" s="334" t="n"/>
      <c r="M305" s="334" t="n"/>
      <c r="N305" s="334" t="n"/>
      <c r="O305" s="334" t="n"/>
      <c r="P305" s="334" t="n"/>
      <c r="Q305" s="334" t="n"/>
      <c r="R305" s="334" t="n"/>
      <c r="S305" s="334" t="n"/>
      <c r="T305" s="334" t="n"/>
    </row>
    <row r="306">
      <c r="A306" s="334" t="n"/>
      <c r="B306" s="334" t="n"/>
      <c r="C306" s="334" t="n"/>
      <c r="D306" s="334" t="n"/>
      <c r="E306" s="334" t="n"/>
      <c r="F306" s="334" t="n"/>
      <c r="G306" s="334" t="n"/>
      <c r="H306" s="334" t="n"/>
      <c r="I306" s="334" t="n"/>
      <c r="J306" s="334" t="n"/>
      <c r="K306" s="334" t="n"/>
      <c r="L306" s="334" t="n"/>
      <c r="M306" s="334" t="n"/>
      <c r="N306" s="334" t="n"/>
      <c r="O306" s="334" t="n"/>
      <c r="P306" s="334" t="n"/>
      <c r="Q306" s="334" t="n"/>
      <c r="R306" s="334" t="n"/>
      <c r="S306" s="334" t="n"/>
      <c r="T306" s="334" t="n"/>
    </row>
    <row r="307">
      <c r="A307" s="334" t="n"/>
      <c r="B307" s="334" t="n"/>
      <c r="C307" s="334" t="n"/>
      <c r="D307" s="334" t="n"/>
      <c r="E307" s="334" t="n"/>
      <c r="F307" s="334" t="n"/>
      <c r="G307" s="334" t="n"/>
      <c r="H307" s="334" t="n"/>
      <c r="I307" s="334" t="n"/>
      <c r="J307" s="334" t="n"/>
      <c r="K307" s="334" t="n"/>
      <c r="L307" s="334" t="n"/>
      <c r="M307" s="334" t="n"/>
      <c r="N307" s="334" t="n"/>
      <c r="O307" s="334" t="n"/>
      <c r="P307" s="334" t="n"/>
      <c r="Q307" s="334" t="n"/>
      <c r="R307" s="334" t="n"/>
      <c r="S307" s="334" t="n"/>
      <c r="T307" s="334" t="n"/>
    </row>
    <row r="308">
      <c r="A308" s="334" t="n"/>
      <c r="B308" s="334" t="n"/>
      <c r="C308" s="334" t="n"/>
      <c r="D308" s="334" t="n"/>
      <c r="E308" s="334" t="n"/>
      <c r="F308" s="334" t="n"/>
      <c r="G308" s="334" t="n"/>
      <c r="H308" s="334" t="n"/>
      <c r="I308" s="334" t="n"/>
      <c r="J308" s="334" t="n"/>
      <c r="K308" s="334" t="n"/>
      <c r="L308" s="334" t="n"/>
      <c r="M308" s="334" t="n"/>
      <c r="N308" s="334" t="n"/>
      <c r="O308" s="334" t="n"/>
      <c r="P308" s="334" t="n"/>
      <c r="Q308" s="334" t="n"/>
      <c r="R308" s="334" t="n"/>
      <c r="S308" s="334" t="n"/>
      <c r="T308" s="334" t="n"/>
    </row>
    <row r="309">
      <c r="A309" s="334" t="n"/>
      <c r="B309" s="334" t="n"/>
      <c r="C309" s="334" t="n"/>
      <c r="D309" s="334" t="n"/>
      <c r="E309" s="334" t="n"/>
      <c r="F309" s="334" t="n"/>
      <c r="G309" s="334" t="n"/>
      <c r="H309" s="334" t="n"/>
      <c r="I309" s="334" t="n"/>
      <c r="J309" s="334" t="n"/>
      <c r="K309" s="334" t="n"/>
      <c r="L309" s="334" t="n"/>
      <c r="M309" s="334" t="n"/>
      <c r="N309" s="334" t="n"/>
      <c r="O309" s="334" t="n"/>
      <c r="P309" s="334" t="n"/>
      <c r="Q309" s="334" t="n"/>
      <c r="R309" s="334" t="n"/>
      <c r="S309" s="334" t="n"/>
      <c r="T309" s="334" t="n"/>
    </row>
    <row r="310">
      <c r="A310" s="334" t="n"/>
      <c r="B310" s="334" t="n"/>
      <c r="C310" s="334" t="n"/>
      <c r="D310" s="334" t="n"/>
      <c r="E310" s="334" t="n"/>
      <c r="F310" s="334" t="n"/>
      <c r="G310" s="334" t="n"/>
      <c r="H310" s="334" t="n"/>
      <c r="I310" s="334" t="n"/>
      <c r="J310" s="334" t="n"/>
      <c r="K310" s="334" t="n"/>
      <c r="L310" s="334" t="n"/>
      <c r="M310" s="334" t="n"/>
      <c r="N310" s="334" t="n"/>
      <c r="O310" s="334" t="n"/>
      <c r="P310" s="334" t="n"/>
      <c r="Q310" s="334" t="n"/>
      <c r="R310" s="334" t="n"/>
      <c r="S310" s="334" t="n"/>
      <c r="T310" s="334" t="n"/>
    </row>
    <row r="311">
      <c r="A311" s="334" t="n"/>
      <c r="B311" s="334" t="n"/>
      <c r="C311" s="334" t="n"/>
      <c r="D311" s="334" t="n"/>
      <c r="E311" s="334" t="n"/>
      <c r="F311" s="334" t="n"/>
      <c r="G311" s="334" t="n"/>
      <c r="H311" s="334" t="n"/>
      <c r="I311" s="334" t="n"/>
      <c r="J311" s="334" t="n"/>
      <c r="K311" s="334" t="n"/>
      <c r="L311" s="334" t="n"/>
      <c r="M311" s="334" t="n"/>
      <c r="N311" s="334" t="n"/>
      <c r="O311" s="334" t="n"/>
      <c r="P311" s="334" t="n"/>
      <c r="Q311" s="334" t="n"/>
      <c r="R311" s="334" t="n"/>
      <c r="S311" s="334" t="n"/>
      <c r="T311" s="334" t="n"/>
    </row>
    <row r="312">
      <c r="A312" s="334" t="n"/>
      <c r="B312" s="334" t="n"/>
      <c r="C312" s="334" t="n"/>
      <c r="D312" s="334" t="n"/>
      <c r="E312" s="334" t="n"/>
      <c r="F312" s="334" t="n"/>
      <c r="G312" s="334" t="n"/>
      <c r="H312" s="334" t="n"/>
      <c r="I312" s="334" t="n"/>
      <c r="J312" s="334" t="n"/>
      <c r="K312" s="334" t="n"/>
      <c r="L312" s="334" t="n"/>
      <c r="M312" s="334" t="n"/>
      <c r="N312" s="334" t="n"/>
      <c r="O312" s="334" t="n"/>
      <c r="P312" s="334" t="n"/>
      <c r="Q312" s="334" t="n"/>
      <c r="R312" s="334" t="n"/>
      <c r="S312" s="334" t="n"/>
      <c r="T312" s="334" t="n"/>
    </row>
    <row r="313">
      <c r="A313" s="334" t="n"/>
      <c r="B313" s="334" t="n"/>
      <c r="C313" s="334" t="n"/>
      <c r="D313" s="334" t="n"/>
      <c r="E313" s="334" t="n"/>
      <c r="F313" s="334" t="n"/>
      <c r="G313" s="334" t="n"/>
      <c r="H313" s="334" t="n"/>
      <c r="I313" s="334" t="n"/>
      <c r="J313" s="334" t="n"/>
      <c r="K313" s="334" t="n"/>
      <c r="L313" s="334" t="n"/>
      <c r="M313" s="334" t="n"/>
      <c r="N313" s="334" t="n"/>
      <c r="O313" s="334" t="n"/>
      <c r="P313" s="334" t="n"/>
      <c r="Q313" s="334" t="n"/>
      <c r="R313" s="334" t="n"/>
      <c r="S313" s="334" t="n"/>
      <c r="T313" s="334" t="n"/>
    </row>
    <row r="314">
      <c r="A314" s="334" t="n"/>
      <c r="B314" s="334" t="n"/>
      <c r="C314" s="334" t="n"/>
      <c r="D314" s="334" t="n"/>
      <c r="E314" s="334" t="n"/>
      <c r="F314" s="334" t="n"/>
      <c r="G314" s="334" t="n"/>
      <c r="H314" s="334" t="n"/>
      <c r="I314" s="334" t="n"/>
      <c r="J314" s="334" t="n"/>
      <c r="K314" s="334" t="n"/>
      <c r="L314" s="334" t="n"/>
      <c r="M314" s="334" t="n"/>
      <c r="N314" s="334" t="n"/>
      <c r="O314" s="334" t="n"/>
      <c r="P314" s="334" t="n"/>
      <c r="Q314" s="334" t="n"/>
      <c r="R314" s="334" t="n"/>
      <c r="S314" s="334" t="n"/>
      <c r="T314" s="334" t="n"/>
    </row>
    <row r="315">
      <c r="A315" s="334" t="n"/>
      <c r="B315" s="334" t="n"/>
      <c r="C315" s="334" t="n"/>
      <c r="D315" s="334" t="n"/>
      <c r="E315" s="334" t="n"/>
      <c r="F315" s="334" t="n"/>
      <c r="G315" s="334" t="n"/>
      <c r="H315" s="334" t="n"/>
      <c r="I315" s="334" t="n"/>
      <c r="J315" s="334" t="n"/>
      <c r="K315" s="334" t="n"/>
      <c r="L315" s="334" t="n"/>
      <c r="M315" s="334" t="n"/>
      <c r="N315" s="334" t="n"/>
      <c r="O315" s="334" t="n"/>
      <c r="P315" s="334" t="n"/>
      <c r="Q315" s="334" t="n"/>
      <c r="R315" s="334" t="n"/>
      <c r="S315" s="334" t="n"/>
      <c r="T315" s="334" t="n"/>
    </row>
    <row r="316">
      <c r="A316" s="334" t="n"/>
      <c r="B316" s="334" t="n"/>
      <c r="C316" s="334" t="n"/>
      <c r="D316" s="334" t="n"/>
      <c r="E316" s="334" t="n"/>
      <c r="F316" s="334" t="n"/>
      <c r="G316" s="334" t="n"/>
      <c r="H316" s="334" t="n"/>
      <c r="I316" s="334" t="n"/>
      <c r="J316" s="334" t="n"/>
      <c r="K316" s="334" t="n"/>
      <c r="L316" s="334" t="n"/>
      <c r="M316" s="334" t="n"/>
      <c r="N316" s="334" t="n"/>
      <c r="O316" s="334" t="n"/>
      <c r="P316" s="334" t="n"/>
      <c r="Q316" s="334" t="n"/>
      <c r="R316" s="334" t="n"/>
      <c r="S316" s="334" t="n"/>
      <c r="T316" s="334" t="n"/>
    </row>
    <row r="317">
      <c r="A317" s="334" t="n"/>
      <c r="B317" s="334" t="n"/>
      <c r="C317" s="334" t="n"/>
      <c r="D317" s="334" t="n"/>
      <c r="E317" s="334" t="n"/>
      <c r="F317" s="334" t="n"/>
      <c r="G317" s="334" t="n"/>
      <c r="H317" s="334" t="n"/>
      <c r="I317" s="334" t="n"/>
      <c r="J317" s="334" t="n"/>
      <c r="K317" s="334" t="n"/>
      <c r="L317" s="334" t="n"/>
      <c r="M317" s="334" t="n"/>
      <c r="N317" s="334" t="n"/>
      <c r="O317" s="334" t="n"/>
      <c r="P317" s="334" t="n"/>
      <c r="Q317" s="334" t="n"/>
      <c r="R317" s="334" t="n"/>
      <c r="S317" s="334" t="n"/>
      <c r="T317" s="334" t="n"/>
    </row>
    <row r="318">
      <c r="A318" s="334" t="n"/>
      <c r="B318" s="334" t="n"/>
      <c r="C318" s="334" t="n"/>
      <c r="D318" s="334" t="n"/>
      <c r="E318" s="334" t="n"/>
      <c r="F318" s="334" t="n"/>
      <c r="G318" s="334" t="n"/>
      <c r="H318" s="334" t="n"/>
      <c r="I318" s="334" t="n"/>
      <c r="J318" s="334" t="n"/>
      <c r="K318" s="334" t="n"/>
      <c r="L318" s="334" t="n"/>
      <c r="M318" s="334" t="n"/>
      <c r="N318" s="334" t="n"/>
      <c r="O318" s="334" t="n"/>
      <c r="P318" s="334" t="n"/>
      <c r="Q318" s="334" t="n"/>
      <c r="R318" s="334" t="n"/>
      <c r="S318" s="334" t="n"/>
      <c r="T318" s="334" t="n"/>
    </row>
    <row r="319">
      <c r="A319" s="334" t="n"/>
      <c r="B319" s="334" t="n"/>
      <c r="C319" s="334" t="n"/>
      <c r="D319" s="334" t="n"/>
      <c r="E319" s="334" t="n"/>
      <c r="F319" s="334" t="n"/>
      <c r="G319" s="334" t="n"/>
      <c r="H319" s="334" t="n"/>
      <c r="I319" s="334" t="n"/>
      <c r="J319" s="334" t="n"/>
      <c r="K319" s="334" t="n"/>
      <c r="L319" s="334" t="n"/>
      <c r="M319" s="334" t="n"/>
      <c r="N319" s="334" t="n"/>
      <c r="O319" s="334" t="n"/>
      <c r="P319" s="334" t="n"/>
      <c r="Q319" s="334" t="n"/>
      <c r="R319" s="334" t="n"/>
      <c r="S319" s="334" t="n"/>
      <c r="T319" s="334" t="n"/>
    </row>
    <row r="320">
      <c r="A320" s="334" t="n"/>
      <c r="B320" s="334" t="n"/>
      <c r="C320" s="334" t="n"/>
      <c r="D320" s="334" t="n"/>
      <c r="E320" s="334" t="n"/>
      <c r="F320" s="334" t="n"/>
      <c r="G320" s="334" t="n"/>
      <c r="H320" s="334" t="n"/>
      <c r="I320" s="334" t="n"/>
      <c r="J320" s="334" t="n"/>
      <c r="K320" s="334" t="n"/>
      <c r="L320" s="334" t="n"/>
      <c r="M320" s="334" t="n"/>
      <c r="N320" s="334" t="n"/>
      <c r="O320" s="334" t="n"/>
      <c r="P320" s="334" t="n"/>
      <c r="Q320" s="334" t="n"/>
      <c r="R320" s="334" t="n"/>
      <c r="S320" s="334" t="n"/>
      <c r="T320" s="334" t="n"/>
    </row>
    <row r="321">
      <c r="A321" s="334" t="n"/>
      <c r="B321" s="334" t="n"/>
      <c r="C321" s="334" t="n"/>
      <c r="D321" s="334" t="n"/>
      <c r="E321" s="334" t="n"/>
      <c r="F321" s="334" t="n"/>
      <c r="G321" s="334" t="n"/>
      <c r="H321" s="334" t="n"/>
      <c r="I321" s="334" t="n"/>
      <c r="J321" s="334" t="n"/>
      <c r="K321" s="334" t="n"/>
      <c r="L321" s="334" t="n"/>
      <c r="M321" s="334" t="n"/>
      <c r="N321" s="334" t="n"/>
      <c r="O321" s="334" t="n"/>
      <c r="P321" s="334" t="n"/>
      <c r="Q321" s="334" t="n"/>
      <c r="R321" s="334" t="n"/>
      <c r="S321" s="334" t="n"/>
      <c r="T321" s="334" t="n"/>
    </row>
    <row r="322">
      <c r="A322" s="334" t="n"/>
      <c r="B322" s="334" t="n"/>
      <c r="C322" s="334" t="n"/>
      <c r="D322" s="334" t="n"/>
      <c r="E322" s="334" t="n"/>
      <c r="F322" s="334" t="n"/>
      <c r="G322" s="334" t="n"/>
      <c r="H322" s="334" t="n"/>
      <c r="I322" s="334" t="n"/>
      <c r="J322" s="334" t="n"/>
      <c r="K322" s="334" t="n"/>
      <c r="L322" s="334" t="n"/>
      <c r="M322" s="334" t="n"/>
      <c r="N322" s="334" t="n"/>
      <c r="O322" s="334" t="n"/>
      <c r="P322" s="334" t="n"/>
      <c r="Q322" s="334" t="n"/>
      <c r="R322" s="334" t="n"/>
      <c r="S322" s="334" t="n"/>
      <c r="T322" s="334" t="n"/>
    </row>
    <row r="323">
      <c r="A323" s="334" t="n"/>
      <c r="B323" s="334" t="n"/>
      <c r="C323" s="334" t="n"/>
      <c r="D323" s="334" t="n"/>
      <c r="E323" s="334" t="n"/>
      <c r="F323" s="334" t="n"/>
      <c r="G323" s="334" t="n"/>
      <c r="H323" s="334" t="n"/>
      <c r="I323" s="334" t="n"/>
      <c r="J323" s="334" t="n"/>
      <c r="K323" s="334" t="n"/>
      <c r="L323" s="334" t="n"/>
      <c r="M323" s="334" t="n"/>
      <c r="N323" s="334" t="n"/>
      <c r="O323" s="334" t="n"/>
      <c r="P323" s="334" t="n"/>
      <c r="Q323" s="334" t="n"/>
      <c r="R323" s="334" t="n"/>
      <c r="S323" s="334" t="n"/>
      <c r="T323" s="334" t="n"/>
    </row>
    <row r="324">
      <c r="A324" s="334" t="n"/>
      <c r="B324" s="334" t="n"/>
      <c r="C324" s="334" t="n"/>
      <c r="D324" s="334" t="n"/>
      <c r="E324" s="334" t="n"/>
      <c r="F324" s="334" t="n"/>
      <c r="G324" s="334" t="n"/>
      <c r="H324" s="334" t="n"/>
      <c r="I324" s="334" t="n"/>
      <c r="J324" s="334" t="n"/>
      <c r="K324" s="334" t="n"/>
      <c r="L324" s="334" t="n"/>
      <c r="M324" s="334" t="n"/>
      <c r="N324" s="334" t="n"/>
      <c r="O324" s="334" t="n"/>
      <c r="P324" s="334" t="n"/>
      <c r="Q324" s="334" t="n"/>
      <c r="R324" s="334" t="n"/>
      <c r="S324" s="334" t="n"/>
      <c r="T324" s="334" t="n"/>
    </row>
    <row r="325">
      <c r="A325" s="334" t="n"/>
      <c r="B325" s="334" t="n"/>
      <c r="C325" s="334" t="n"/>
      <c r="D325" s="334" t="n"/>
      <c r="E325" s="334" t="n"/>
      <c r="F325" s="334" t="n"/>
      <c r="G325" s="334" t="n"/>
      <c r="H325" s="334" t="n"/>
      <c r="I325" s="334" t="n"/>
      <c r="J325" s="334" t="n"/>
      <c r="K325" s="334" t="n"/>
      <c r="L325" s="334" t="n"/>
      <c r="M325" s="334" t="n"/>
      <c r="N325" s="334" t="n"/>
      <c r="O325" s="334" t="n"/>
      <c r="P325" s="334" t="n"/>
      <c r="Q325" s="334" t="n"/>
      <c r="R325" s="334" t="n"/>
      <c r="S325" s="334" t="n"/>
      <c r="T325" s="334" t="n"/>
    </row>
    <row r="326">
      <c r="A326" s="334" t="n"/>
      <c r="B326" s="334" t="n"/>
      <c r="C326" s="334" t="n"/>
      <c r="D326" s="334" t="n"/>
      <c r="E326" s="334" t="n"/>
      <c r="F326" s="334" t="n"/>
      <c r="G326" s="334" t="n"/>
      <c r="H326" s="334" t="n"/>
      <c r="I326" s="334" t="n"/>
      <c r="J326" s="334" t="n"/>
      <c r="K326" s="334" t="n"/>
      <c r="L326" s="334" t="n"/>
      <c r="M326" s="334" t="n"/>
      <c r="N326" s="334" t="n"/>
      <c r="O326" s="334" t="n"/>
      <c r="P326" s="334" t="n"/>
      <c r="Q326" s="334" t="n"/>
      <c r="R326" s="334" t="n"/>
      <c r="S326" s="334" t="n"/>
      <c r="T326" s="334" t="n"/>
    </row>
    <row r="327">
      <c r="A327" s="334" t="n"/>
      <c r="B327" s="334" t="n"/>
      <c r="C327" s="334" t="n"/>
      <c r="D327" s="334" t="n"/>
      <c r="E327" s="334" t="n"/>
      <c r="F327" s="334" t="n"/>
      <c r="G327" s="334" t="n"/>
      <c r="H327" s="334" t="n"/>
      <c r="I327" s="334" t="n"/>
      <c r="J327" s="334" t="n"/>
      <c r="K327" s="334" t="n"/>
      <c r="L327" s="334" t="n"/>
      <c r="M327" s="334" t="n"/>
      <c r="N327" s="334" t="n"/>
      <c r="O327" s="334" t="n"/>
      <c r="P327" s="334" t="n"/>
      <c r="Q327" s="334" t="n"/>
      <c r="R327" s="334" t="n"/>
      <c r="S327" s="334" t="n"/>
      <c r="T327" s="334" t="n"/>
    </row>
    <row r="328">
      <c r="A328" s="334" t="n"/>
      <c r="B328" s="334" t="n"/>
      <c r="C328" s="334" t="n"/>
      <c r="D328" s="334" t="n"/>
      <c r="E328" s="334" t="n"/>
      <c r="F328" s="334" t="n"/>
      <c r="G328" s="334" t="n"/>
      <c r="H328" s="334" t="n"/>
      <c r="I328" s="334" t="n"/>
      <c r="J328" s="334" t="n"/>
      <c r="K328" s="334" t="n"/>
      <c r="L328" s="334" t="n"/>
      <c r="M328" s="334" t="n"/>
      <c r="N328" s="334" t="n"/>
      <c r="O328" s="334" t="n"/>
      <c r="P328" s="334" t="n"/>
      <c r="Q328" s="334" t="n"/>
      <c r="R328" s="334" t="n"/>
      <c r="S328" s="334" t="n"/>
      <c r="T328" s="334" t="n"/>
    </row>
    <row r="329">
      <c r="A329" s="334" t="n"/>
      <c r="B329" s="334" t="n"/>
      <c r="C329" s="334" t="n"/>
      <c r="D329" s="334" t="n"/>
      <c r="E329" s="334" t="n"/>
      <c r="F329" s="334" t="n"/>
      <c r="G329" s="334" t="n"/>
      <c r="H329" s="334" t="n"/>
      <c r="I329" s="334" t="n"/>
      <c r="J329" s="334" t="n"/>
      <c r="K329" s="334" t="n"/>
      <c r="L329" s="334" t="n"/>
      <c r="M329" s="334" t="n"/>
      <c r="N329" s="334" t="n"/>
      <c r="O329" s="334" t="n"/>
      <c r="P329" s="334" t="n"/>
      <c r="Q329" s="334" t="n"/>
      <c r="R329" s="334" t="n"/>
      <c r="S329" s="334" t="n"/>
      <c r="T329" s="334" t="n"/>
    </row>
    <row r="330">
      <c r="A330" s="334" t="n"/>
      <c r="B330" s="334" t="n"/>
      <c r="C330" s="334" t="n"/>
      <c r="D330" s="334" t="n"/>
      <c r="E330" s="334" t="n"/>
      <c r="F330" s="334" t="n"/>
      <c r="G330" s="334" t="n"/>
      <c r="H330" s="334" t="n"/>
      <c r="I330" s="334" t="n"/>
      <c r="J330" s="334" t="n"/>
      <c r="K330" s="334" t="n"/>
      <c r="L330" s="334" t="n"/>
      <c r="M330" s="334" t="n"/>
      <c r="N330" s="334" t="n"/>
      <c r="O330" s="334" t="n"/>
      <c r="P330" s="334" t="n"/>
      <c r="Q330" s="334" t="n"/>
      <c r="R330" s="334" t="n"/>
      <c r="S330" s="334" t="n"/>
      <c r="T330" s="334" t="n"/>
    </row>
    <row r="331">
      <c r="A331" s="334" t="n"/>
      <c r="B331" s="334" t="n"/>
      <c r="C331" s="334" t="n"/>
      <c r="D331" s="334" t="n"/>
      <c r="E331" s="334" t="n"/>
      <c r="F331" s="334" t="n"/>
      <c r="G331" s="334" t="n"/>
      <c r="H331" s="334" t="n"/>
      <c r="I331" s="334" t="n"/>
      <c r="J331" s="334" t="n"/>
      <c r="K331" s="334" t="n"/>
      <c r="L331" s="334" t="n"/>
      <c r="M331" s="334" t="n"/>
      <c r="N331" s="334" t="n"/>
      <c r="O331" s="334" t="n"/>
      <c r="P331" s="334" t="n"/>
      <c r="Q331" s="334" t="n"/>
      <c r="R331" s="334" t="n"/>
      <c r="S331" s="334" t="n"/>
      <c r="T331" s="334" t="n"/>
    </row>
    <row r="332">
      <c r="A332" s="334" t="n"/>
      <c r="B332" s="334" t="n"/>
      <c r="C332" s="334" t="n"/>
      <c r="D332" s="334" t="n"/>
      <c r="E332" s="334" t="n"/>
      <c r="F332" s="334" t="n"/>
      <c r="G332" s="334" t="n"/>
      <c r="H332" s="334" t="n"/>
      <c r="I332" s="334" t="n"/>
      <c r="J332" s="334" t="n"/>
      <c r="K332" s="334" t="n"/>
      <c r="L332" s="334" t="n"/>
      <c r="M332" s="334" t="n"/>
      <c r="N332" s="334" t="n"/>
      <c r="O332" s="334" t="n"/>
      <c r="P332" s="334" t="n"/>
      <c r="Q332" s="334" t="n"/>
      <c r="R332" s="334" t="n"/>
      <c r="S332" s="334" t="n"/>
      <c r="T332" s="334" t="n"/>
    </row>
    <row r="333">
      <c r="A333" s="334" t="n"/>
      <c r="B333" s="334" t="n"/>
      <c r="C333" s="334" t="n"/>
      <c r="D333" s="334" t="n"/>
      <c r="E333" s="334" t="n"/>
      <c r="F333" s="334" t="n"/>
      <c r="G333" s="334" t="n"/>
      <c r="H333" s="334" t="n"/>
      <c r="I333" s="334" t="n"/>
      <c r="J333" s="334" t="n"/>
      <c r="K333" s="334" t="n"/>
      <c r="L333" s="334" t="n"/>
      <c r="M333" s="334" t="n"/>
      <c r="N333" s="334" t="n"/>
      <c r="O333" s="334" t="n"/>
      <c r="P333" s="334" t="n"/>
      <c r="Q333" s="334" t="n"/>
      <c r="R333" s="334" t="n"/>
      <c r="S333" s="334" t="n"/>
      <c r="T333" s="334" t="n"/>
    </row>
    <row r="334">
      <c r="A334" s="334" t="n"/>
      <c r="B334" s="334" t="n"/>
      <c r="C334" s="334" t="n"/>
      <c r="D334" s="334" t="n"/>
      <c r="E334" s="334" t="n"/>
      <c r="F334" s="334" t="n"/>
      <c r="G334" s="334" t="n"/>
      <c r="H334" s="334" t="n"/>
      <c r="I334" s="334" t="n"/>
      <c r="J334" s="334" t="n"/>
      <c r="K334" s="334" t="n"/>
      <c r="L334" s="334" t="n"/>
      <c r="M334" s="334" t="n"/>
      <c r="N334" s="334" t="n"/>
      <c r="O334" s="334" t="n"/>
      <c r="P334" s="334" t="n"/>
      <c r="Q334" s="334" t="n"/>
      <c r="R334" s="334" t="n"/>
      <c r="S334" s="334" t="n"/>
      <c r="T334" s="334" t="n"/>
    </row>
    <row r="335">
      <c r="A335" s="334" t="n"/>
      <c r="B335" s="334" t="n"/>
      <c r="C335" s="334" t="n"/>
      <c r="D335" s="334" t="n"/>
      <c r="E335" s="334" t="n"/>
      <c r="F335" s="334" t="n"/>
      <c r="G335" s="334" t="n"/>
      <c r="H335" s="334" t="n"/>
      <c r="I335" s="334" t="n"/>
      <c r="J335" s="334" t="n"/>
      <c r="K335" s="334" t="n"/>
      <c r="L335" s="334" t="n"/>
      <c r="M335" s="334" t="n"/>
      <c r="N335" s="334" t="n"/>
      <c r="O335" s="334" t="n"/>
      <c r="P335" s="334" t="n"/>
      <c r="Q335" s="334" t="n"/>
      <c r="R335" s="334" t="n"/>
      <c r="S335" s="334" t="n"/>
      <c r="T335" s="334" t="n"/>
    </row>
    <row r="336">
      <c r="A336" s="334" t="n"/>
      <c r="B336" s="334" t="n"/>
      <c r="C336" s="334" t="n"/>
      <c r="D336" s="334" t="n"/>
      <c r="E336" s="334" t="n"/>
      <c r="F336" s="334" t="n"/>
      <c r="G336" s="334" t="n"/>
      <c r="H336" s="334" t="n"/>
      <c r="I336" s="334" t="n"/>
      <c r="J336" s="334" t="n"/>
      <c r="K336" s="334" t="n"/>
      <c r="L336" s="334" t="n"/>
      <c r="M336" s="334" t="n"/>
      <c r="N336" s="334" t="n"/>
      <c r="O336" s="334" t="n"/>
      <c r="P336" s="334" t="n"/>
      <c r="Q336" s="334" t="n"/>
      <c r="R336" s="334" t="n"/>
      <c r="S336" s="334" t="n"/>
      <c r="T336" s="334" t="n"/>
    </row>
    <row r="337">
      <c r="A337" s="334" t="n"/>
      <c r="B337" s="334" t="n"/>
      <c r="C337" s="334" t="n"/>
      <c r="D337" s="334" t="n"/>
      <c r="E337" s="334" t="n"/>
      <c r="F337" s="334" t="n"/>
      <c r="G337" s="334" t="n"/>
      <c r="H337" s="334" t="n"/>
      <c r="I337" s="334" t="n"/>
      <c r="J337" s="334" t="n"/>
      <c r="K337" s="334" t="n"/>
      <c r="L337" s="334" t="n"/>
      <c r="M337" s="334" t="n"/>
      <c r="N337" s="334" t="n"/>
      <c r="O337" s="334" t="n"/>
      <c r="P337" s="334" t="n"/>
      <c r="Q337" s="334" t="n"/>
      <c r="R337" s="334" t="n"/>
      <c r="S337" s="334" t="n"/>
      <c r="T337" s="334" t="n"/>
    </row>
    <row r="338">
      <c r="A338" s="334" t="n"/>
      <c r="B338" s="334" t="n"/>
      <c r="C338" s="334" t="n"/>
      <c r="D338" s="334" t="n"/>
      <c r="E338" s="334" t="n"/>
      <c r="F338" s="334" t="n"/>
      <c r="G338" s="334" t="n"/>
      <c r="H338" s="334" t="n"/>
      <c r="I338" s="334" t="n"/>
      <c r="J338" s="334" t="n"/>
      <c r="K338" s="334" t="n"/>
      <c r="L338" s="334" t="n"/>
      <c r="M338" s="334" t="n"/>
      <c r="N338" s="334" t="n"/>
      <c r="O338" s="334" t="n"/>
      <c r="P338" s="334" t="n"/>
      <c r="Q338" s="334" t="n"/>
      <c r="R338" s="334" t="n"/>
      <c r="S338" s="334" t="n"/>
      <c r="T338" s="334" t="n"/>
    </row>
    <row r="339">
      <c r="A339" s="334" t="n"/>
      <c r="B339" s="334" t="n"/>
      <c r="C339" s="334" t="n"/>
      <c r="D339" s="334" t="n"/>
      <c r="E339" s="334" t="n"/>
      <c r="F339" s="334" t="n"/>
      <c r="G339" s="334" t="n"/>
      <c r="H339" s="334" t="n"/>
      <c r="I339" s="334" t="n"/>
      <c r="J339" s="334" t="n"/>
      <c r="K339" s="334" t="n"/>
      <c r="L339" s="334" t="n"/>
      <c r="M339" s="334" t="n"/>
      <c r="N339" s="334" t="n"/>
      <c r="O339" s="334" t="n"/>
      <c r="P339" s="334" t="n"/>
      <c r="Q339" s="334" t="n"/>
      <c r="R339" s="334" t="n"/>
      <c r="S339" s="334" t="n"/>
      <c r="T339" s="334" t="n"/>
    </row>
    <row r="340">
      <c r="A340" s="334" t="n"/>
      <c r="B340" s="334" t="n"/>
      <c r="C340" s="334" t="n"/>
      <c r="D340" s="334" t="n"/>
      <c r="E340" s="334" t="n"/>
      <c r="F340" s="334" t="n"/>
      <c r="G340" s="334" t="n"/>
      <c r="H340" s="334" t="n"/>
      <c r="I340" s="334" t="n"/>
      <c r="J340" s="334" t="n"/>
      <c r="K340" s="334" t="n"/>
      <c r="L340" s="334" t="n"/>
      <c r="M340" s="334" t="n"/>
      <c r="N340" s="334" t="n"/>
      <c r="O340" s="334" t="n"/>
      <c r="P340" s="334" t="n"/>
      <c r="Q340" s="334" t="n"/>
      <c r="R340" s="334" t="n"/>
      <c r="S340" s="334" t="n"/>
      <c r="T340" s="334" t="n"/>
    </row>
    <row r="341">
      <c r="A341" s="334" t="n"/>
      <c r="B341" s="334" t="n"/>
      <c r="C341" s="334" t="n"/>
      <c r="D341" s="334" t="n"/>
      <c r="E341" s="334" t="n"/>
      <c r="F341" s="334" t="n"/>
      <c r="G341" s="334" t="n"/>
      <c r="H341" s="334" t="n"/>
      <c r="I341" s="334" t="n"/>
      <c r="J341" s="334" t="n"/>
      <c r="K341" s="334" t="n"/>
      <c r="L341" s="334" t="n"/>
      <c r="M341" s="334" t="n"/>
      <c r="N341" s="334" t="n"/>
      <c r="O341" s="334" t="n"/>
      <c r="P341" s="334" t="n"/>
      <c r="Q341" s="334" t="n"/>
      <c r="R341" s="334" t="n"/>
      <c r="S341" s="334" t="n"/>
      <c r="T341" s="334" t="n"/>
    </row>
    <row r="342">
      <c r="A342" s="334" t="n"/>
      <c r="B342" s="334" t="n"/>
      <c r="C342" s="334" t="n"/>
      <c r="D342" s="334" t="n"/>
      <c r="E342" s="334" t="n"/>
      <c r="F342" s="334" t="n"/>
      <c r="G342" s="334" t="n"/>
      <c r="H342" s="334" t="n"/>
      <c r="I342" s="334" t="n"/>
      <c r="J342" s="334" t="n"/>
      <c r="K342" s="334" t="n"/>
      <c r="L342" s="334" t="n"/>
      <c r="M342" s="334" t="n"/>
      <c r="N342" s="334" t="n"/>
      <c r="O342" s="334" t="n"/>
      <c r="P342" s="334" t="n"/>
      <c r="Q342" s="334" t="n"/>
      <c r="R342" s="334" t="n"/>
      <c r="S342" s="334" t="n"/>
      <c r="T342" s="334" t="n"/>
    </row>
    <row r="343">
      <c r="A343" s="334" t="n"/>
      <c r="B343" s="334" t="n"/>
      <c r="C343" s="334" t="n"/>
      <c r="D343" s="334" t="n"/>
      <c r="E343" s="334" t="n"/>
      <c r="F343" s="334" t="n"/>
      <c r="G343" s="334" t="n"/>
      <c r="H343" s="334" t="n"/>
      <c r="I343" s="334" t="n"/>
      <c r="J343" s="334" t="n"/>
      <c r="K343" s="334" t="n"/>
      <c r="L343" s="334" t="n"/>
      <c r="M343" s="334" t="n"/>
      <c r="N343" s="334" t="n"/>
      <c r="O343" s="334" t="n"/>
      <c r="P343" s="334" t="n"/>
      <c r="Q343" s="334" t="n"/>
      <c r="R343" s="334" t="n"/>
      <c r="S343" s="334" t="n"/>
      <c r="T343" s="334" t="n"/>
    </row>
    <row r="344">
      <c r="A344" s="334" t="n"/>
      <c r="B344" s="334" t="n"/>
      <c r="C344" s="334" t="n"/>
      <c r="D344" s="334" t="n"/>
      <c r="E344" s="334" t="n"/>
      <c r="F344" s="334" t="n"/>
      <c r="G344" s="334" t="n"/>
      <c r="H344" s="334" t="n"/>
      <c r="I344" s="334" t="n"/>
      <c r="J344" s="334" t="n"/>
      <c r="K344" s="334" t="n"/>
      <c r="L344" s="334" t="n"/>
      <c r="M344" s="334" t="n"/>
      <c r="N344" s="334" t="n"/>
      <c r="O344" s="334" t="n"/>
      <c r="P344" s="334" t="n"/>
      <c r="Q344" s="334" t="n"/>
      <c r="R344" s="334" t="n"/>
      <c r="S344" s="334" t="n"/>
      <c r="T344" s="334" t="n"/>
    </row>
    <row r="345">
      <c r="A345" s="334" t="n"/>
      <c r="B345" s="334" t="n"/>
      <c r="C345" s="334" t="n"/>
      <c r="D345" s="334" t="n"/>
      <c r="E345" s="334" t="n"/>
      <c r="F345" s="334" t="n"/>
      <c r="G345" s="334" t="n"/>
      <c r="H345" s="334" t="n"/>
      <c r="I345" s="334" t="n"/>
      <c r="J345" s="334" t="n"/>
      <c r="K345" s="334" t="n"/>
      <c r="L345" s="334" t="n"/>
      <c r="M345" s="334" t="n"/>
      <c r="N345" s="334" t="n"/>
      <c r="O345" s="334" t="n"/>
      <c r="P345" s="334" t="n"/>
      <c r="Q345" s="334" t="n"/>
      <c r="R345" s="334" t="n"/>
      <c r="S345" s="334" t="n"/>
      <c r="T345" s="334" t="n"/>
    </row>
    <row r="346">
      <c r="A346" s="334" t="n"/>
      <c r="B346" s="334" t="n"/>
      <c r="C346" s="334" t="n"/>
      <c r="D346" s="334" t="n"/>
      <c r="E346" s="334" t="n"/>
      <c r="F346" s="334" t="n"/>
      <c r="G346" s="334" t="n"/>
      <c r="H346" s="334" t="n"/>
      <c r="I346" s="334" t="n"/>
      <c r="J346" s="334" t="n"/>
      <c r="K346" s="334" t="n"/>
      <c r="L346" s="334" t="n"/>
      <c r="M346" s="334" t="n"/>
      <c r="N346" s="334" t="n"/>
      <c r="O346" s="334" t="n"/>
      <c r="P346" s="334" t="n"/>
      <c r="Q346" s="334" t="n"/>
      <c r="R346" s="334" t="n"/>
      <c r="S346" s="334" t="n"/>
      <c r="T346" s="334" t="n"/>
    </row>
    <row r="347">
      <c r="A347" s="334" t="n"/>
      <c r="B347" s="334" t="n"/>
      <c r="C347" s="334" t="n"/>
      <c r="D347" s="334" t="n"/>
      <c r="E347" s="334" t="n"/>
      <c r="F347" s="334" t="n"/>
      <c r="G347" s="334" t="n"/>
      <c r="H347" s="334" t="n"/>
      <c r="I347" s="334" t="n"/>
      <c r="J347" s="334" t="n"/>
      <c r="K347" s="334" t="n"/>
      <c r="L347" s="334" t="n"/>
      <c r="M347" s="334" t="n"/>
      <c r="N347" s="334" t="n"/>
      <c r="O347" s="334" t="n"/>
      <c r="P347" s="334" t="n"/>
      <c r="Q347" s="334" t="n"/>
      <c r="R347" s="334" t="n"/>
      <c r="S347" s="334" t="n"/>
      <c r="T347" s="334" t="n"/>
    </row>
    <row r="348">
      <c r="A348" s="334" t="n"/>
      <c r="B348" s="334" t="n"/>
      <c r="C348" s="334" t="n"/>
      <c r="D348" s="334" t="n"/>
      <c r="E348" s="334" t="n"/>
      <c r="F348" s="334" t="n"/>
      <c r="G348" s="334" t="n"/>
      <c r="H348" s="334" t="n"/>
      <c r="I348" s="334" t="n"/>
      <c r="J348" s="334" t="n"/>
      <c r="K348" s="334" t="n"/>
      <c r="L348" s="334" t="n"/>
      <c r="M348" s="334" t="n"/>
      <c r="N348" s="334" t="n"/>
      <c r="O348" s="334" t="n"/>
      <c r="P348" s="334" t="n"/>
      <c r="Q348" s="334" t="n"/>
      <c r="R348" s="334" t="n"/>
      <c r="S348" s="334" t="n"/>
      <c r="T348" s="334" t="n"/>
    </row>
    <row r="349">
      <c r="A349" s="334" t="n"/>
      <c r="B349" s="334" t="n"/>
      <c r="C349" s="334" t="n"/>
      <c r="D349" s="334" t="n"/>
      <c r="E349" s="334" t="n"/>
      <c r="F349" s="334" t="n"/>
      <c r="G349" s="334" t="n"/>
      <c r="H349" s="334" t="n"/>
      <c r="I349" s="334" t="n"/>
      <c r="J349" s="334" t="n"/>
      <c r="K349" s="334" t="n"/>
      <c r="L349" s="334" t="n"/>
      <c r="M349" s="334" t="n"/>
      <c r="N349" s="334" t="n"/>
      <c r="O349" s="334" t="n"/>
      <c r="P349" s="334" t="n"/>
      <c r="Q349" s="334" t="n"/>
      <c r="R349" s="334" t="n"/>
      <c r="S349" s="334" t="n"/>
      <c r="T349" s="334" t="n"/>
    </row>
    <row r="350">
      <c r="A350" s="334" t="n"/>
      <c r="B350" s="334" t="n"/>
      <c r="C350" s="334" t="n"/>
      <c r="D350" s="334" t="n"/>
      <c r="E350" s="334" t="n"/>
      <c r="F350" s="334" t="n"/>
      <c r="G350" s="334" t="n"/>
      <c r="H350" s="334" t="n"/>
      <c r="I350" s="334" t="n"/>
      <c r="J350" s="334" t="n"/>
      <c r="K350" s="334" t="n"/>
      <c r="L350" s="334" t="n"/>
      <c r="M350" s="334" t="n"/>
      <c r="N350" s="334" t="n"/>
      <c r="O350" s="334" t="n"/>
      <c r="P350" s="334" t="n"/>
      <c r="Q350" s="334" t="n"/>
      <c r="R350" s="334" t="n"/>
      <c r="S350" s="334" t="n"/>
      <c r="T350" s="334" t="n"/>
    </row>
    <row r="351">
      <c r="A351" s="334" t="n"/>
      <c r="B351" s="334" t="n"/>
      <c r="C351" s="334" t="n"/>
      <c r="D351" s="334" t="n"/>
      <c r="E351" s="334" t="n"/>
      <c r="F351" s="334" t="n"/>
      <c r="G351" s="334" t="n"/>
      <c r="H351" s="334" t="n"/>
      <c r="I351" s="334" t="n"/>
      <c r="J351" s="334" t="n"/>
      <c r="K351" s="334" t="n"/>
      <c r="L351" s="334" t="n"/>
      <c r="M351" s="334" t="n"/>
      <c r="N351" s="334" t="n"/>
      <c r="O351" s="334" t="n"/>
      <c r="P351" s="334" t="n"/>
      <c r="Q351" s="334" t="n"/>
      <c r="R351" s="334" t="n"/>
      <c r="S351" s="334" t="n"/>
      <c r="T351" s="334" t="n"/>
    </row>
    <row r="352">
      <c r="A352" s="334" t="n"/>
      <c r="B352" s="334" t="n"/>
      <c r="C352" s="334" t="n"/>
      <c r="D352" s="334" t="n"/>
      <c r="E352" s="334" t="n"/>
      <c r="F352" s="334" t="n"/>
      <c r="G352" s="334" t="n"/>
      <c r="H352" s="334" t="n"/>
      <c r="I352" s="334" t="n"/>
      <c r="J352" s="334" t="n"/>
      <c r="K352" s="334" t="n"/>
      <c r="L352" s="334" t="n"/>
      <c r="M352" s="334" t="n"/>
      <c r="N352" s="334" t="n"/>
      <c r="O352" s="334" t="n"/>
      <c r="P352" s="334" t="n"/>
      <c r="Q352" s="334" t="n"/>
      <c r="R352" s="334" t="n"/>
      <c r="S352" s="334" t="n"/>
      <c r="T352" s="334" t="n"/>
    </row>
    <row r="353">
      <c r="A353" s="334" t="n"/>
      <c r="B353" s="334" t="n"/>
      <c r="C353" s="334" t="n"/>
      <c r="D353" s="334" t="n"/>
      <c r="E353" s="334" t="n"/>
      <c r="F353" s="334" t="n"/>
      <c r="G353" s="334" t="n"/>
      <c r="H353" s="334" t="n"/>
      <c r="I353" s="334" t="n"/>
      <c r="J353" s="334" t="n"/>
      <c r="K353" s="334" t="n"/>
      <c r="L353" s="334" t="n"/>
      <c r="M353" s="334" t="n"/>
      <c r="N353" s="334" t="n"/>
      <c r="O353" s="334" t="n"/>
      <c r="P353" s="334" t="n"/>
      <c r="Q353" s="334" t="n"/>
      <c r="R353" s="334" t="n"/>
      <c r="S353" s="334" t="n"/>
      <c r="T353" s="334" t="n"/>
    </row>
    <row r="354">
      <c r="A354" s="334" t="n"/>
      <c r="B354" s="334" t="n"/>
      <c r="C354" s="334" t="n"/>
      <c r="D354" s="334" t="n"/>
      <c r="E354" s="334" t="n"/>
      <c r="F354" s="334" t="n"/>
      <c r="G354" s="334" t="n"/>
      <c r="H354" s="334" t="n"/>
      <c r="I354" s="334" t="n"/>
      <c r="J354" s="334" t="n"/>
      <c r="K354" s="334" t="n"/>
      <c r="L354" s="334" t="n"/>
      <c r="M354" s="334" t="n"/>
      <c r="N354" s="334" t="n"/>
      <c r="O354" s="334" t="n"/>
      <c r="P354" s="334" t="n"/>
      <c r="Q354" s="334" t="n"/>
      <c r="R354" s="334" t="n"/>
      <c r="S354" s="334" t="n"/>
      <c r="T354" s="334" t="n"/>
    </row>
    <row r="355">
      <c r="A355" s="334" t="n"/>
      <c r="B355" s="334" t="n"/>
      <c r="C355" s="334" t="n"/>
      <c r="D355" s="334" t="n"/>
      <c r="E355" s="334" t="n"/>
      <c r="F355" s="334" t="n"/>
      <c r="G355" s="334" t="n"/>
      <c r="H355" s="334" t="n"/>
      <c r="I355" s="334" t="n"/>
      <c r="J355" s="334" t="n"/>
      <c r="K355" s="334" t="n"/>
      <c r="L355" s="334" t="n"/>
      <c r="M355" s="334" t="n"/>
      <c r="N355" s="334" t="n"/>
      <c r="O355" s="334" t="n"/>
      <c r="P355" s="334" t="n"/>
      <c r="Q355" s="334" t="n"/>
      <c r="R355" s="334" t="n"/>
      <c r="S355" s="334" t="n"/>
      <c r="T355" s="334" t="n"/>
    </row>
    <row r="356">
      <c r="A356" s="334" t="n"/>
      <c r="B356" s="334" t="n"/>
      <c r="C356" s="334" t="n"/>
      <c r="D356" s="334" t="n"/>
      <c r="E356" s="334" t="n"/>
      <c r="F356" s="334" t="n"/>
      <c r="G356" s="334" t="n"/>
      <c r="H356" s="334" t="n"/>
      <c r="I356" s="334" t="n"/>
      <c r="J356" s="334" t="n"/>
      <c r="K356" s="334" t="n"/>
      <c r="L356" s="334" t="n"/>
      <c r="M356" s="334" t="n"/>
      <c r="N356" s="334" t="n"/>
      <c r="O356" s="334" t="n"/>
      <c r="P356" s="334" t="n"/>
      <c r="Q356" s="334" t="n"/>
      <c r="R356" s="334" t="n"/>
      <c r="S356" s="334" t="n"/>
      <c r="T356" s="334" t="n"/>
    </row>
    <row r="357">
      <c r="A357" s="334" t="n"/>
      <c r="B357" s="334" t="n"/>
      <c r="C357" s="334" t="n"/>
      <c r="D357" s="334" t="n"/>
      <c r="E357" s="334" t="n"/>
      <c r="F357" s="334" t="n"/>
      <c r="G357" s="334" t="n"/>
      <c r="H357" s="334" t="n"/>
      <c r="I357" s="334" t="n"/>
      <c r="J357" s="334" t="n"/>
      <c r="K357" s="334" t="n"/>
      <c r="L357" s="334" t="n"/>
      <c r="M357" s="334" t="n"/>
      <c r="N357" s="334" t="n"/>
      <c r="O357" s="334" t="n"/>
      <c r="P357" s="334" t="n"/>
      <c r="Q357" s="334" t="n"/>
      <c r="R357" s="334" t="n"/>
      <c r="S357" s="334" t="n"/>
      <c r="T357" s="334" t="n"/>
    </row>
    <row r="358">
      <c r="A358" s="334" t="n"/>
      <c r="B358" s="334" t="n"/>
      <c r="C358" s="334" t="n"/>
      <c r="D358" s="334" t="n"/>
      <c r="E358" s="334" t="n"/>
      <c r="F358" s="334" t="n"/>
      <c r="G358" s="334" t="n"/>
      <c r="H358" s="334" t="n"/>
      <c r="I358" s="334" t="n"/>
      <c r="J358" s="334" t="n"/>
      <c r="K358" s="334" t="n"/>
      <c r="L358" s="334" t="n"/>
      <c r="M358" s="334" t="n"/>
      <c r="N358" s="334" t="n"/>
      <c r="O358" s="334" t="n"/>
      <c r="P358" s="334" t="n"/>
      <c r="Q358" s="334" t="n"/>
      <c r="R358" s="334" t="n"/>
      <c r="S358" s="334" t="n"/>
      <c r="T358" s="334" t="n"/>
    </row>
    <row r="359">
      <c r="A359" s="334" t="n"/>
      <c r="B359" s="334" t="n"/>
      <c r="C359" s="334" t="n"/>
      <c r="D359" s="334" t="n"/>
      <c r="E359" s="334" t="n"/>
      <c r="F359" s="334" t="n"/>
      <c r="G359" s="334" t="n"/>
      <c r="H359" s="334" t="n"/>
      <c r="I359" s="334" t="n"/>
      <c r="J359" s="334" t="n"/>
      <c r="K359" s="334" t="n"/>
      <c r="L359" s="334" t="n"/>
      <c r="M359" s="334" t="n"/>
      <c r="N359" s="334" t="n"/>
      <c r="O359" s="334" t="n"/>
      <c r="P359" s="334" t="n"/>
      <c r="Q359" s="334" t="n"/>
      <c r="R359" s="334" t="n"/>
      <c r="S359" s="334" t="n"/>
      <c r="T359" s="334" t="n"/>
    </row>
    <row r="360">
      <c r="A360" s="334" t="n"/>
      <c r="B360" s="334" t="n"/>
      <c r="C360" s="334" t="n"/>
      <c r="D360" s="334" t="n"/>
      <c r="E360" s="334" t="n"/>
      <c r="F360" s="334" t="n"/>
      <c r="G360" s="334" t="n"/>
      <c r="H360" s="334" t="n"/>
      <c r="I360" s="334" t="n"/>
      <c r="J360" s="334" t="n"/>
      <c r="K360" s="334" t="n"/>
      <c r="L360" s="334" t="n"/>
      <c r="M360" s="334" t="n"/>
      <c r="N360" s="334" t="n"/>
      <c r="O360" s="334" t="n"/>
      <c r="P360" s="334" t="n"/>
      <c r="Q360" s="334" t="n"/>
      <c r="R360" s="334" t="n"/>
      <c r="S360" s="334" t="n"/>
      <c r="T360" s="334" t="n"/>
    </row>
    <row r="361">
      <c r="A361" s="334" t="n"/>
      <c r="B361" s="334" t="n"/>
      <c r="C361" s="334" t="n"/>
      <c r="D361" s="334" t="n"/>
      <c r="E361" s="334" t="n"/>
      <c r="F361" s="334" t="n"/>
      <c r="G361" s="334" t="n"/>
      <c r="H361" s="334" t="n"/>
      <c r="I361" s="334" t="n"/>
      <c r="J361" s="334" t="n"/>
      <c r="K361" s="334" t="n"/>
      <c r="L361" s="334" t="n"/>
      <c r="M361" s="334" t="n"/>
      <c r="N361" s="334" t="n"/>
      <c r="O361" s="334" t="n"/>
      <c r="P361" s="334" t="n"/>
      <c r="Q361" s="334" t="n"/>
      <c r="R361" s="334" t="n"/>
      <c r="S361" s="334" t="n"/>
      <c r="T361" s="334" t="n"/>
    </row>
    <row r="362">
      <c r="A362" s="334" t="n"/>
      <c r="B362" s="334" t="n"/>
      <c r="C362" s="334" t="n"/>
      <c r="D362" s="334" t="n"/>
      <c r="E362" s="334" t="n"/>
      <c r="F362" s="334" t="n"/>
      <c r="G362" s="334" t="n"/>
      <c r="H362" s="334" t="n"/>
      <c r="I362" s="334" t="n"/>
      <c r="J362" s="334" t="n"/>
      <c r="K362" s="334" t="n"/>
      <c r="L362" s="334" t="n"/>
      <c r="M362" s="334" t="n"/>
      <c r="N362" s="334" t="n"/>
      <c r="O362" s="334" t="n"/>
      <c r="P362" s="334" t="n"/>
      <c r="Q362" s="334" t="n"/>
      <c r="R362" s="334" t="n"/>
      <c r="S362" s="334" t="n"/>
      <c r="T362" s="334" t="n"/>
    </row>
    <row r="363">
      <c r="A363" s="334" t="n"/>
      <c r="B363" s="334" t="n"/>
      <c r="C363" s="334" t="n"/>
      <c r="D363" s="334" t="n"/>
      <c r="E363" s="334" t="n"/>
      <c r="F363" s="334" t="n"/>
      <c r="G363" s="334" t="n"/>
      <c r="H363" s="334" t="n"/>
      <c r="I363" s="334" t="n"/>
      <c r="J363" s="334" t="n"/>
      <c r="K363" s="334" t="n"/>
      <c r="L363" s="334" t="n"/>
      <c r="M363" s="334" t="n"/>
      <c r="N363" s="334" t="n"/>
      <c r="O363" s="334" t="n"/>
      <c r="P363" s="334" t="n"/>
      <c r="Q363" s="334" t="n"/>
      <c r="R363" s="334" t="n"/>
      <c r="S363" s="334" t="n"/>
      <c r="T363" s="334" t="n"/>
    </row>
    <row r="364">
      <c r="A364" s="334" t="n"/>
      <c r="B364" s="334" t="n"/>
      <c r="C364" s="334" t="n"/>
      <c r="D364" s="334" t="n"/>
      <c r="E364" s="334" t="n"/>
      <c r="F364" s="334" t="n"/>
      <c r="G364" s="334" t="n"/>
      <c r="H364" s="334" t="n"/>
      <c r="I364" s="334" t="n"/>
      <c r="J364" s="334" t="n"/>
      <c r="K364" s="334" t="n"/>
      <c r="L364" s="334" t="n"/>
      <c r="M364" s="334" t="n"/>
      <c r="N364" s="334" t="n"/>
      <c r="O364" s="334" t="n"/>
      <c r="P364" s="334" t="n"/>
      <c r="Q364" s="334" t="n"/>
      <c r="R364" s="334" t="n"/>
      <c r="S364" s="334" t="n"/>
      <c r="T364" s="334" t="n"/>
    </row>
    <row r="365">
      <c r="A365" s="334" t="n"/>
      <c r="B365" s="334" t="n"/>
      <c r="C365" s="334" t="n"/>
      <c r="D365" s="334" t="n"/>
      <c r="E365" s="334" t="n"/>
      <c r="F365" s="334" t="n"/>
      <c r="G365" s="334" t="n"/>
      <c r="H365" s="334" t="n"/>
      <c r="I365" s="334" t="n"/>
      <c r="J365" s="334" t="n"/>
      <c r="K365" s="334" t="n"/>
      <c r="L365" s="334" t="n"/>
      <c r="M365" s="334" t="n"/>
      <c r="N365" s="334" t="n"/>
      <c r="O365" s="334" t="n"/>
      <c r="P365" s="334" t="n"/>
      <c r="Q365" s="334" t="n"/>
      <c r="R365" s="334" t="n"/>
      <c r="S365" s="334" t="n"/>
      <c r="T365" s="334" t="n"/>
    </row>
    <row r="366">
      <c r="A366" s="334" t="n"/>
      <c r="B366" s="334" t="n"/>
      <c r="C366" s="334" t="n"/>
      <c r="D366" s="334" t="n"/>
      <c r="E366" s="334" t="n"/>
      <c r="F366" s="334" t="n"/>
      <c r="G366" s="334" t="n"/>
      <c r="H366" s="334" t="n"/>
      <c r="I366" s="334" t="n"/>
      <c r="J366" s="334" t="n"/>
      <c r="K366" s="334" t="n"/>
      <c r="L366" s="334" t="n"/>
      <c r="M366" s="334" t="n"/>
      <c r="N366" s="334" t="n"/>
      <c r="O366" s="334" t="n"/>
      <c r="P366" s="334" t="n"/>
      <c r="Q366" s="334" t="n"/>
      <c r="R366" s="334" t="n"/>
      <c r="S366" s="334" t="n"/>
      <c r="T366" s="334" t="n"/>
    </row>
    <row r="367">
      <c r="A367" s="334" t="n"/>
      <c r="B367" s="334" t="n"/>
      <c r="C367" s="334" t="n"/>
      <c r="D367" s="334" t="n"/>
      <c r="E367" s="334" t="n"/>
      <c r="F367" s="334" t="n"/>
      <c r="G367" s="334" t="n"/>
      <c r="H367" s="334" t="n"/>
      <c r="I367" s="334" t="n"/>
      <c r="J367" s="334" t="n"/>
      <c r="K367" s="334" t="n"/>
      <c r="L367" s="334" t="n"/>
      <c r="M367" s="334" t="n"/>
      <c r="N367" s="334" t="n"/>
      <c r="O367" s="334" t="n"/>
      <c r="P367" s="334" t="n"/>
      <c r="Q367" s="334" t="n"/>
      <c r="R367" s="334" t="n"/>
      <c r="S367" s="334" t="n"/>
      <c r="T367" s="334" t="n"/>
    </row>
    <row r="368">
      <c r="A368" s="334" t="n"/>
      <c r="B368" s="334" t="n"/>
      <c r="C368" s="334" t="n"/>
      <c r="D368" s="334" t="n"/>
      <c r="E368" s="334" t="n"/>
      <c r="F368" s="334" t="n"/>
      <c r="G368" s="334" t="n"/>
      <c r="H368" s="334" t="n"/>
      <c r="I368" s="334" t="n"/>
      <c r="J368" s="334" t="n"/>
      <c r="K368" s="334" t="n"/>
      <c r="L368" s="334" t="n"/>
      <c r="M368" s="334" t="n"/>
      <c r="N368" s="334" t="n"/>
      <c r="O368" s="334" t="n"/>
      <c r="P368" s="334" t="n"/>
      <c r="Q368" s="334" t="n"/>
      <c r="R368" s="334" t="n"/>
      <c r="S368" s="334" t="n"/>
      <c r="T368" s="334" t="n"/>
    </row>
    <row r="369">
      <c r="A369" s="334" t="n"/>
      <c r="B369" s="334" t="n"/>
      <c r="C369" s="334" t="n"/>
      <c r="D369" s="334" t="n"/>
      <c r="E369" s="334" t="n"/>
      <c r="F369" s="334" t="n"/>
      <c r="G369" s="334" t="n"/>
      <c r="H369" s="334" t="n"/>
      <c r="I369" s="334" t="n"/>
      <c r="J369" s="334" t="n"/>
      <c r="K369" s="334" t="n"/>
      <c r="L369" s="334" t="n"/>
      <c r="M369" s="334" t="n"/>
      <c r="N369" s="334" t="n"/>
      <c r="O369" s="334" t="n"/>
      <c r="P369" s="334" t="n"/>
      <c r="Q369" s="334" t="n"/>
      <c r="R369" s="334" t="n"/>
      <c r="S369" s="334" t="n"/>
      <c r="T369" s="334" t="n"/>
    </row>
    <row r="370">
      <c r="A370" s="334" t="n"/>
      <c r="B370" s="334" t="n"/>
      <c r="C370" s="334" t="n"/>
      <c r="D370" s="334" t="n"/>
      <c r="E370" s="334" t="n"/>
      <c r="F370" s="334" t="n"/>
      <c r="G370" s="334" t="n"/>
      <c r="H370" s="334" t="n"/>
      <c r="I370" s="334" t="n"/>
      <c r="J370" s="334" t="n"/>
      <c r="K370" s="334" t="n"/>
      <c r="L370" s="334" t="n"/>
      <c r="M370" s="334" t="n"/>
      <c r="N370" s="334" t="n"/>
      <c r="O370" s="334" t="n"/>
      <c r="P370" s="334" t="n"/>
      <c r="Q370" s="334" t="n"/>
      <c r="R370" s="334" t="n"/>
      <c r="S370" s="334" t="n"/>
      <c r="T370" s="334" t="n"/>
    </row>
    <row r="371">
      <c r="A371" s="334" t="n"/>
      <c r="B371" s="334" t="n"/>
      <c r="C371" s="334" t="n"/>
      <c r="D371" s="334" t="n"/>
      <c r="E371" s="334" t="n"/>
      <c r="F371" s="334" t="n"/>
      <c r="G371" s="334" t="n"/>
      <c r="H371" s="334" t="n"/>
      <c r="I371" s="334" t="n"/>
      <c r="J371" s="334" t="n"/>
      <c r="K371" s="334" t="n"/>
      <c r="L371" s="334" t="n"/>
      <c r="M371" s="334" t="n"/>
      <c r="N371" s="334" t="n"/>
      <c r="O371" s="334" t="n"/>
      <c r="P371" s="334" t="n"/>
      <c r="Q371" s="334" t="n"/>
      <c r="R371" s="334" t="n"/>
      <c r="S371" s="334" t="n"/>
      <c r="T371" s="334" t="n"/>
    </row>
    <row r="372">
      <c r="A372" s="334" t="n"/>
      <c r="B372" s="334" t="n"/>
      <c r="C372" s="334" t="n"/>
      <c r="D372" s="334" t="n"/>
      <c r="E372" s="334" t="n"/>
      <c r="F372" s="334" t="n"/>
      <c r="G372" s="334" t="n"/>
      <c r="H372" s="334" t="n"/>
      <c r="I372" s="334" t="n"/>
      <c r="J372" s="334" t="n"/>
      <c r="K372" s="334" t="n"/>
      <c r="L372" s="334" t="n"/>
      <c r="M372" s="334" t="n"/>
      <c r="N372" s="334" t="n"/>
      <c r="O372" s="334" t="n"/>
      <c r="P372" s="334" t="n"/>
      <c r="Q372" s="334" t="n"/>
      <c r="R372" s="334" t="n"/>
      <c r="S372" s="334" t="n"/>
      <c r="T372" s="334" t="n"/>
    </row>
    <row r="373">
      <c r="A373" s="334" t="n"/>
      <c r="B373" s="334" t="n"/>
      <c r="C373" s="334" t="n"/>
      <c r="D373" s="334" t="n"/>
      <c r="E373" s="334" t="n"/>
      <c r="F373" s="334" t="n"/>
      <c r="G373" s="334" t="n"/>
      <c r="H373" s="334" t="n"/>
      <c r="I373" s="334" t="n"/>
      <c r="J373" s="334" t="n"/>
      <c r="K373" s="334" t="n"/>
      <c r="L373" s="334" t="n"/>
      <c r="M373" s="334" t="n"/>
      <c r="N373" s="334" t="n"/>
      <c r="O373" s="334" t="n"/>
      <c r="P373" s="334" t="n"/>
      <c r="Q373" s="334" t="n"/>
      <c r="R373" s="334" t="n"/>
      <c r="S373" s="334" t="n"/>
      <c r="T373" s="334" t="n"/>
    </row>
    <row r="374">
      <c r="A374" s="334" t="n"/>
      <c r="B374" s="334" t="n"/>
      <c r="C374" s="334" t="n"/>
      <c r="D374" s="334" t="n"/>
      <c r="E374" s="334" t="n"/>
      <c r="F374" s="334" t="n"/>
      <c r="G374" s="334" t="n"/>
      <c r="H374" s="334" t="n"/>
      <c r="I374" s="334" t="n"/>
      <c r="J374" s="334" t="n"/>
      <c r="K374" s="334" t="n"/>
      <c r="L374" s="334" t="n"/>
      <c r="M374" s="334" t="n"/>
      <c r="N374" s="334" t="n"/>
      <c r="O374" s="334" t="n"/>
      <c r="P374" s="334" t="n"/>
      <c r="Q374" s="334" t="n"/>
      <c r="R374" s="334" t="n"/>
      <c r="S374" s="334" t="n"/>
      <c r="T374" s="334" t="n"/>
    </row>
    <row r="375">
      <c r="A375" s="334" t="n"/>
      <c r="B375" s="334" t="n"/>
      <c r="C375" s="334" t="n"/>
      <c r="D375" s="334" t="n"/>
      <c r="E375" s="334" t="n"/>
      <c r="F375" s="334" t="n"/>
      <c r="G375" s="334" t="n"/>
      <c r="H375" s="334" t="n"/>
      <c r="I375" s="334" t="n"/>
      <c r="J375" s="334" t="n"/>
      <c r="K375" s="334" t="n"/>
      <c r="L375" s="334" t="n"/>
      <c r="M375" s="334" t="n"/>
      <c r="N375" s="334" t="n"/>
      <c r="O375" s="334" t="n"/>
      <c r="P375" s="334" t="n"/>
      <c r="Q375" s="334" t="n"/>
      <c r="R375" s="334" t="n"/>
      <c r="S375" s="334" t="n"/>
      <c r="T375" s="334" t="n"/>
    </row>
    <row r="376">
      <c r="A376" s="334" t="n"/>
      <c r="B376" s="334" t="n"/>
      <c r="C376" s="334" t="n"/>
      <c r="D376" s="334" t="n"/>
      <c r="E376" s="334" t="n"/>
      <c r="F376" s="334" t="n"/>
      <c r="G376" s="334" t="n"/>
      <c r="H376" s="334" t="n"/>
      <c r="I376" s="334" t="n"/>
      <c r="J376" s="334" t="n"/>
      <c r="K376" s="334" t="n"/>
      <c r="L376" s="334" t="n"/>
      <c r="M376" s="334" t="n"/>
      <c r="N376" s="334" t="n"/>
      <c r="O376" s="334" t="n"/>
      <c r="P376" s="334" t="n"/>
      <c r="Q376" s="334" t="n"/>
      <c r="R376" s="334" t="n"/>
      <c r="S376" s="334" t="n"/>
      <c r="T376" s="334" t="n"/>
    </row>
    <row r="377">
      <c r="A377" s="334" t="n"/>
      <c r="B377" s="334" t="n"/>
      <c r="C377" s="334" t="n"/>
      <c r="D377" s="334" t="n"/>
      <c r="E377" s="334" t="n"/>
      <c r="F377" s="334" t="n"/>
      <c r="G377" s="334" t="n"/>
      <c r="H377" s="334" t="n"/>
      <c r="I377" s="334" t="n"/>
      <c r="J377" s="334" t="n"/>
      <c r="K377" s="334" t="n"/>
      <c r="L377" s="334" t="n"/>
      <c r="M377" s="334" t="n"/>
      <c r="N377" s="334" t="n"/>
      <c r="O377" s="334" t="n"/>
      <c r="P377" s="334" t="n"/>
      <c r="Q377" s="334" t="n"/>
      <c r="R377" s="334" t="n"/>
      <c r="S377" s="334" t="n"/>
      <c r="T377" s="334" t="n"/>
    </row>
    <row r="378">
      <c r="A378" s="334" t="n"/>
      <c r="B378" s="334" t="n"/>
      <c r="C378" s="334" t="n"/>
      <c r="D378" s="334" t="n"/>
      <c r="E378" s="334" t="n"/>
      <c r="F378" s="334" t="n"/>
      <c r="G378" s="334" t="n"/>
      <c r="H378" s="334" t="n"/>
      <c r="I378" s="334" t="n"/>
      <c r="J378" s="334" t="n"/>
      <c r="K378" s="334" t="n"/>
      <c r="L378" s="334" t="n"/>
      <c r="M378" s="334" t="n"/>
      <c r="N378" s="334" t="n"/>
      <c r="O378" s="334" t="n"/>
      <c r="P378" s="334" t="n"/>
      <c r="Q378" s="334" t="n"/>
      <c r="R378" s="334" t="n"/>
      <c r="S378" s="334" t="n"/>
      <c r="T378" s="334" t="n"/>
    </row>
    <row r="379">
      <c r="A379" s="334" t="n"/>
      <c r="B379" s="334" t="n"/>
      <c r="C379" s="334" t="n"/>
      <c r="D379" s="334" t="n"/>
      <c r="E379" s="334" t="n"/>
      <c r="F379" s="334" t="n"/>
      <c r="G379" s="334" t="n"/>
      <c r="H379" s="334" t="n"/>
      <c r="I379" s="334" t="n"/>
      <c r="J379" s="334" t="n"/>
      <c r="K379" s="334" t="n"/>
      <c r="L379" s="334" t="n"/>
      <c r="M379" s="334" t="n"/>
      <c r="N379" s="334" t="n"/>
      <c r="O379" s="334" t="n"/>
      <c r="P379" s="334" t="n"/>
      <c r="Q379" s="334" t="n"/>
      <c r="R379" s="334" t="n"/>
      <c r="S379" s="334" t="n"/>
      <c r="T379" s="334" t="n"/>
    </row>
    <row r="380">
      <c r="A380" s="334" t="n"/>
      <c r="B380" s="334" t="n"/>
      <c r="C380" s="334" t="n"/>
      <c r="D380" s="334" t="n"/>
      <c r="E380" s="334" t="n"/>
      <c r="F380" s="334" t="n"/>
      <c r="G380" s="334" t="n"/>
      <c r="H380" s="334" t="n"/>
      <c r="I380" s="334" t="n"/>
      <c r="J380" s="334" t="n"/>
      <c r="K380" s="334" t="n"/>
      <c r="L380" s="334" t="n"/>
      <c r="M380" s="334" t="n"/>
      <c r="N380" s="334" t="n"/>
      <c r="O380" s="334" t="n"/>
      <c r="P380" s="334" t="n"/>
      <c r="Q380" s="334" t="n"/>
      <c r="R380" s="334" t="n"/>
      <c r="S380" s="334" t="n"/>
      <c r="T380" s="334" t="n"/>
    </row>
    <row r="381">
      <c r="A381" s="334" t="n"/>
      <c r="B381" s="334" t="n"/>
      <c r="C381" s="334" t="n"/>
      <c r="D381" s="334" t="n"/>
      <c r="E381" s="334" t="n"/>
      <c r="F381" s="334" t="n"/>
      <c r="G381" s="334" t="n"/>
      <c r="H381" s="334" t="n"/>
      <c r="I381" s="334" t="n"/>
      <c r="J381" s="334" t="n"/>
      <c r="K381" s="334" t="n"/>
      <c r="L381" s="334" t="n"/>
      <c r="M381" s="334" t="n"/>
      <c r="N381" s="334" t="n"/>
      <c r="O381" s="334" t="n"/>
      <c r="P381" s="334" t="n"/>
      <c r="Q381" s="334" t="n"/>
      <c r="R381" s="334" t="n"/>
      <c r="S381" s="334" t="n"/>
      <c r="T381" s="334" t="n"/>
    </row>
    <row r="382">
      <c r="A382" s="334" t="n"/>
      <c r="B382" s="334" t="n"/>
      <c r="C382" s="334" t="n"/>
      <c r="D382" s="334" t="n"/>
      <c r="E382" s="334" t="n"/>
      <c r="F382" s="334" t="n"/>
      <c r="G382" s="334" t="n"/>
      <c r="H382" s="334" t="n"/>
      <c r="I382" s="334" t="n"/>
      <c r="J382" s="334" t="n"/>
      <c r="K382" s="334" t="n"/>
      <c r="L382" s="334" t="n"/>
      <c r="M382" s="334" t="n"/>
      <c r="N382" s="334" t="n"/>
      <c r="O382" s="334" t="n"/>
      <c r="P382" s="334" t="n"/>
      <c r="Q382" s="334" t="n"/>
      <c r="R382" s="334" t="n"/>
      <c r="S382" s="334" t="n"/>
      <c r="T382" s="334" t="n"/>
    </row>
    <row r="383">
      <c r="A383" s="334" t="n"/>
      <c r="B383" s="334" t="n"/>
      <c r="C383" s="334" t="n"/>
      <c r="D383" s="334" t="n"/>
      <c r="E383" s="334" t="n"/>
      <c r="F383" s="334" t="n"/>
      <c r="G383" s="334" t="n"/>
      <c r="H383" s="334" t="n"/>
      <c r="I383" s="334" t="n"/>
      <c r="J383" s="334" t="n"/>
      <c r="K383" s="334" t="n"/>
      <c r="L383" s="334" t="n"/>
      <c r="M383" s="334" t="n"/>
      <c r="N383" s="334" t="n"/>
      <c r="O383" s="334" t="n"/>
      <c r="P383" s="334" t="n"/>
      <c r="Q383" s="334" t="n"/>
      <c r="R383" s="334" t="n"/>
      <c r="S383" s="334" t="n"/>
      <c r="T383" s="334" t="n"/>
    </row>
    <row r="384">
      <c r="A384" s="334" t="n"/>
      <c r="B384" s="334" t="n"/>
      <c r="C384" s="334" t="n"/>
      <c r="D384" s="334" t="n"/>
      <c r="E384" s="334" t="n"/>
      <c r="F384" s="334" t="n"/>
      <c r="G384" s="334" t="n"/>
      <c r="H384" s="334" t="n"/>
      <c r="I384" s="334" t="n"/>
      <c r="J384" s="334" t="n"/>
      <c r="K384" s="334" t="n"/>
      <c r="L384" s="334" t="n"/>
      <c r="M384" s="334" t="n"/>
      <c r="N384" s="334" t="n"/>
      <c r="O384" s="334" t="n"/>
      <c r="P384" s="334" t="n"/>
      <c r="Q384" s="334" t="n"/>
      <c r="R384" s="334" t="n"/>
      <c r="S384" s="334" t="n"/>
      <c r="T384" s="334" t="n"/>
    </row>
    <row r="385">
      <c r="A385" s="334" t="n"/>
      <c r="B385" s="334" t="n"/>
      <c r="C385" s="334" t="n"/>
      <c r="D385" s="334" t="n"/>
      <c r="E385" s="334" t="n"/>
      <c r="F385" s="334" t="n"/>
      <c r="G385" s="334" t="n"/>
      <c r="H385" s="334" t="n"/>
      <c r="I385" s="334" t="n"/>
      <c r="J385" s="334" t="n"/>
      <c r="K385" s="334" t="n"/>
      <c r="L385" s="334" t="n"/>
      <c r="M385" s="334" t="n"/>
      <c r="N385" s="334" t="n"/>
      <c r="O385" s="334" t="n"/>
      <c r="P385" s="334" t="n"/>
      <c r="Q385" s="334" t="n"/>
      <c r="R385" s="334" t="n"/>
      <c r="S385" s="334" t="n"/>
      <c r="T385" s="334" t="n"/>
    </row>
    <row r="386">
      <c r="A386" s="334" t="n"/>
      <c r="B386" s="334" t="n"/>
      <c r="C386" s="334" t="n"/>
      <c r="D386" s="334" t="n"/>
      <c r="E386" s="334" t="n"/>
      <c r="F386" s="334" t="n"/>
      <c r="G386" s="334" t="n"/>
      <c r="H386" s="334" t="n"/>
      <c r="I386" s="334" t="n"/>
      <c r="J386" s="334" t="n"/>
      <c r="K386" s="334" t="n"/>
      <c r="L386" s="334" t="n"/>
      <c r="M386" s="334" t="n"/>
      <c r="N386" s="334" t="n"/>
      <c r="O386" s="334" t="n"/>
      <c r="P386" s="334" t="n"/>
      <c r="Q386" s="334" t="n"/>
      <c r="R386" s="334" t="n"/>
      <c r="S386" s="334" t="n"/>
      <c r="T386" s="334" t="n"/>
    </row>
    <row r="387">
      <c r="A387" s="334" t="n"/>
      <c r="B387" s="334" t="n"/>
      <c r="C387" s="334" t="n"/>
      <c r="D387" s="334" t="n"/>
      <c r="E387" s="334" t="n"/>
      <c r="F387" s="334" t="n"/>
      <c r="G387" s="334" t="n"/>
      <c r="H387" s="334" t="n"/>
      <c r="I387" s="334" t="n"/>
      <c r="J387" s="334" t="n"/>
      <c r="K387" s="334" t="n"/>
      <c r="L387" s="334" t="n"/>
      <c r="M387" s="334" t="n"/>
      <c r="N387" s="334" t="n"/>
      <c r="O387" s="334" t="n"/>
      <c r="P387" s="334" t="n"/>
      <c r="Q387" s="334" t="n"/>
      <c r="R387" s="334" t="n"/>
      <c r="S387" s="334" t="n"/>
      <c r="T387" s="334" t="n"/>
    </row>
    <row r="388">
      <c r="A388" s="334" t="n"/>
      <c r="B388" s="334" t="n"/>
      <c r="C388" s="334" t="n"/>
      <c r="D388" s="334" t="n"/>
      <c r="E388" s="334" t="n"/>
      <c r="F388" s="334" t="n"/>
      <c r="G388" s="334" t="n"/>
      <c r="H388" s="334" t="n"/>
      <c r="I388" s="334" t="n"/>
      <c r="J388" s="334" t="n"/>
      <c r="K388" s="334" t="n"/>
      <c r="L388" s="334" t="n"/>
      <c r="M388" s="334" t="n"/>
      <c r="N388" s="334" t="n"/>
      <c r="O388" s="334" t="n"/>
      <c r="P388" s="334" t="n"/>
      <c r="Q388" s="334" t="n"/>
      <c r="R388" s="334" t="n"/>
      <c r="S388" s="334" t="n"/>
      <c r="T388" s="334" t="n"/>
    </row>
    <row r="389">
      <c r="A389" s="334" t="n"/>
      <c r="B389" s="334" t="n"/>
      <c r="C389" s="334" t="n"/>
      <c r="D389" s="334" t="n"/>
      <c r="E389" s="334" t="n"/>
      <c r="F389" s="334" t="n"/>
      <c r="G389" s="334" t="n"/>
      <c r="H389" s="334" t="n"/>
      <c r="I389" s="334" t="n"/>
      <c r="J389" s="334" t="n"/>
      <c r="K389" s="334" t="n"/>
      <c r="L389" s="334" t="n"/>
      <c r="M389" s="334" t="n"/>
      <c r="N389" s="334" t="n"/>
      <c r="O389" s="334" t="n"/>
      <c r="P389" s="334" t="n"/>
      <c r="Q389" s="334" t="n"/>
      <c r="R389" s="334" t="n"/>
      <c r="S389" s="334" t="n"/>
      <c r="T389" s="334" t="n"/>
    </row>
    <row r="390">
      <c r="A390" s="334" t="n"/>
      <c r="B390" s="334" t="n"/>
      <c r="C390" s="334" t="n"/>
      <c r="D390" s="334" t="n"/>
      <c r="E390" s="334" t="n"/>
      <c r="F390" s="334" t="n"/>
      <c r="G390" s="334" t="n"/>
      <c r="H390" s="334" t="n"/>
      <c r="I390" s="334" t="n"/>
      <c r="J390" s="334" t="n"/>
      <c r="K390" s="334" t="n"/>
      <c r="L390" s="334" t="n"/>
      <c r="M390" s="334" t="n"/>
      <c r="N390" s="334" t="n"/>
      <c r="O390" s="334" t="n"/>
      <c r="P390" s="334" t="n"/>
      <c r="Q390" s="334" t="n"/>
      <c r="R390" s="334" t="n"/>
      <c r="S390" s="334" t="n"/>
      <c r="T390" s="334" t="n"/>
    </row>
    <row r="391">
      <c r="A391" s="334" t="n"/>
      <c r="B391" s="334" t="n"/>
      <c r="C391" s="334" t="n"/>
      <c r="D391" s="334" t="n"/>
      <c r="E391" s="334" t="n"/>
      <c r="F391" s="334" t="n"/>
      <c r="G391" s="334" t="n"/>
      <c r="H391" s="334" t="n"/>
      <c r="I391" s="334" t="n"/>
      <c r="J391" s="334" t="n"/>
      <c r="K391" s="334" t="n"/>
      <c r="L391" s="334" t="n"/>
      <c r="M391" s="334" t="n"/>
      <c r="N391" s="334" t="n"/>
      <c r="O391" s="334" t="n"/>
      <c r="P391" s="334" t="n"/>
      <c r="Q391" s="334" t="n"/>
      <c r="R391" s="334" t="n"/>
      <c r="S391" s="334" t="n"/>
      <c r="T391" s="334" t="n"/>
    </row>
    <row r="392">
      <c r="A392" s="334" t="n"/>
      <c r="B392" s="334" t="n"/>
      <c r="C392" s="334" t="n"/>
      <c r="D392" s="334" t="n"/>
      <c r="E392" s="334" t="n"/>
      <c r="F392" s="334" t="n"/>
      <c r="G392" s="334" t="n"/>
      <c r="H392" s="334" t="n"/>
      <c r="I392" s="334" t="n"/>
      <c r="J392" s="334" t="n"/>
      <c r="K392" s="334" t="n"/>
      <c r="L392" s="334" t="n"/>
      <c r="M392" s="334" t="n"/>
      <c r="N392" s="334" t="n"/>
      <c r="O392" s="334" t="n"/>
      <c r="P392" s="334" t="n"/>
      <c r="Q392" s="334" t="n"/>
      <c r="R392" s="334" t="n"/>
      <c r="S392" s="334" t="n"/>
      <c r="T392" s="334" t="n"/>
    </row>
    <row r="393">
      <c r="A393" s="334" t="n"/>
      <c r="B393" s="334" t="n"/>
      <c r="C393" s="334" t="n"/>
      <c r="D393" s="334" t="n"/>
      <c r="E393" s="334" t="n"/>
      <c r="F393" s="334" t="n"/>
      <c r="G393" s="334" t="n"/>
      <c r="H393" s="334" t="n"/>
      <c r="I393" s="334" t="n"/>
      <c r="J393" s="334" t="n"/>
      <c r="K393" s="334" t="n"/>
      <c r="L393" s="334" t="n"/>
      <c r="M393" s="334" t="n"/>
      <c r="N393" s="334" t="n"/>
      <c r="O393" s="334" t="n"/>
      <c r="P393" s="334" t="n"/>
      <c r="Q393" s="334" t="n"/>
      <c r="R393" s="334" t="n"/>
      <c r="S393" s="334" t="n"/>
      <c r="T393" s="334" t="n"/>
    </row>
    <row r="394">
      <c r="A394" s="334" t="n"/>
      <c r="B394" s="334" t="n"/>
      <c r="C394" s="334" t="n"/>
      <c r="D394" s="334" t="n"/>
      <c r="E394" s="334" t="n"/>
      <c r="F394" s="334" t="n"/>
      <c r="G394" s="334" t="n"/>
      <c r="H394" s="334" t="n"/>
      <c r="I394" s="334" t="n"/>
      <c r="J394" s="334" t="n"/>
      <c r="K394" s="334" t="n"/>
      <c r="L394" s="334" t="n"/>
      <c r="M394" s="334" t="n"/>
      <c r="N394" s="334" t="n"/>
      <c r="O394" s="334" t="n"/>
      <c r="P394" s="334" t="n"/>
      <c r="Q394" s="334" t="n"/>
      <c r="R394" s="334" t="n"/>
      <c r="S394" s="334" t="n"/>
      <c r="T394" s="334" t="n"/>
    </row>
    <row r="395">
      <c r="A395" s="334" t="n"/>
      <c r="B395" s="334" t="n"/>
      <c r="C395" s="334" t="n"/>
      <c r="D395" s="334" t="n"/>
      <c r="E395" s="334" t="n"/>
      <c r="F395" s="334" t="n"/>
      <c r="G395" s="334" t="n"/>
      <c r="H395" s="334" t="n"/>
      <c r="I395" s="334" t="n"/>
      <c r="J395" s="334" t="n"/>
      <c r="K395" s="334" t="n"/>
      <c r="L395" s="334" t="n"/>
      <c r="M395" s="334" t="n"/>
      <c r="N395" s="334" t="n"/>
      <c r="O395" s="334" t="n"/>
      <c r="P395" s="334" t="n"/>
      <c r="Q395" s="334" t="n"/>
      <c r="R395" s="334" t="n"/>
      <c r="S395" s="334" t="n"/>
      <c r="T395" s="334" t="n"/>
    </row>
    <row r="396">
      <c r="A396" s="334" t="n"/>
      <c r="B396" s="334" t="n"/>
      <c r="C396" s="334" t="n"/>
      <c r="D396" s="334" t="n"/>
      <c r="E396" s="334" t="n"/>
      <c r="F396" s="334" t="n"/>
      <c r="G396" s="334" t="n"/>
      <c r="H396" s="334" t="n"/>
      <c r="I396" s="334" t="n"/>
      <c r="J396" s="334" t="n"/>
      <c r="K396" s="334" t="n"/>
      <c r="L396" s="334" t="n"/>
      <c r="M396" s="334" t="n"/>
      <c r="N396" s="334" t="n"/>
      <c r="O396" s="334" t="n"/>
      <c r="P396" s="334" t="n"/>
      <c r="Q396" s="334" t="n"/>
      <c r="R396" s="334" t="n"/>
      <c r="S396" s="334" t="n"/>
      <c r="T396" s="334" t="n"/>
    </row>
    <row r="397">
      <c r="A397" s="334" t="n"/>
      <c r="B397" s="334" t="n"/>
      <c r="C397" s="334" t="n"/>
      <c r="D397" s="334" t="n"/>
      <c r="E397" s="334" t="n"/>
      <c r="F397" s="334" t="n"/>
      <c r="G397" s="334" t="n"/>
      <c r="H397" s="334" t="n"/>
      <c r="I397" s="334" t="n"/>
      <c r="J397" s="334" t="n"/>
      <c r="K397" s="334" t="n"/>
      <c r="L397" s="334" t="n"/>
      <c r="M397" s="334" t="n"/>
      <c r="N397" s="334" t="n"/>
      <c r="O397" s="334" t="n"/>
      <c r="P397" s="334" t="n"/>
      <c r="Q397" s="334" t="n"/>
      <c r="R397" s="334" t="n"/>
      <c r="S397" s="334" t="n"/>
      <c r="T397" s="334" t="n"/>
    </row>
    <row r="398">
      <c r="A398" s="334" t="n"/>
      <c r="B398" s="334" t="n"/>
      <c r="C398" s="334" t="n"/>
      <c r="D398" s="334" t="n"/>
      <c r="E398" s="334" t="n"/>
      <c r="F398" s="334" t="n"/>
      <c r="G398" s="334" t="n"/>
      <c r="H398" s="334" t="n"/>
      <c r="I398" s="334" t="n"/>
      <c r="J398" s="334" t="n"/>
      <c r="K398" s="334" t="n"/>
      <c r="L398" s="334" t="n"/>
      <c r="M398" s="334" t="n"/>
      <c r="N398" s="334" t="n"/>
      <c r="O398" s="334" t="n"/>
      <c r="P398" s="334" t="n"/>
      <c r="Q398" s="334" t="n"/>
      <c r="R398" s="334" t="n"/>
      <c r="S398" s="334" t="n"/>
      <c r="T398" s="334" t="n"/>
    </row>
    <row r="399">
      <c r="A399" s="334" t="n"/>
      <c r="B399" s="334" t="n"/>
      <c r="C399" s="334" t="n"/>
      <c r="D399" s="334" t="n"/>
      <c r="E399" s="334" t="n"/>
      <c r="F399" s="334" t="n"/>
      <c r="G399" s="334" t="n"/>
      <c r="H399" s="334" t="n"/>
      <c r="I399" s="334" t="n"/>
      <c r="J399" s="334" t="n"/>
      <c r="K399" s="334" t="n"/>
      <c r="L399" s="334" t="n"/>
      <c r="M399" s="334" t="n"/>
      <c r="N399" s="334" t="n"/>
      <c r="O399" s="334" t="n"/>
      <c r="P399" s="334" t="n"/>
      <c r="Q399" s="334" t="n"/>
      <c r="R399" s="334" t="n"/>
      <c r="S399" s="334" t="n"/>
      <c r="T399" s="334" t="n"/>
    </row>
    <row r="400">
      <c r="A400" s="334" t="n"/>
      <c r="B400" s="334" t="n"/>
      <c r="C400" s="334" t="n"/>
      <c r="D400" s="334" t="n"/>
      <c r="E400" s="334" t="n"/>
      <c r="F400" s="334" t="n"/>
      <c r="G400" s="334" t="n"/>
      <c r="H400" s="334" t="n"/>
      <c r="I400" s="334" t="n"/>
      <c r="J400" s="334" t="n"/>
      <c r="K400" s="334" t="n"/>
      <c r="L400" s="334" t="n"/>
      <c r="M400" s="334" t="n"/>
      <c r="N400" s="334" t="n"/>
      <c r="O400" s="334" t="n"/>
      <c r="P400" s="334" t="n"/>
      <c r="Q400" s="334" t="n"/>
      <c r="R400" s="334" t="n"/>
      <c r="S400" s="334" t="n"/>
      <c r="T400" s="334" t="n"/>
    </row>
    <row r="401">
      <c r="A401" s="334" t="n"/>
      <c r="B401" s="334" t="n"/>
      <c r="C401" s="334" t="n"/>
      <c r="D401" s="334" t="n"/>
      <c r="E401" s="334" t="n"/>
      <c r="F401" s="334" t="n"/>
      <c r="G401" s="334" t="n"/>
      <c r="H401" s="334" t="n"/>
      <c r="I401" s="334" t="n"/>
      <c r="J401" s="334" t="n"/>
      <c r="K401" s="334" t="n"/>
      <c r="L401" s="334" t="n"/>
      <c r="M401" s="334" t="n"/>
      <c r="N401" s="334" t="n"/>
      <c r="O401" s="334" t="n"/>
      <c r="P401" s="334" t="n"/>
      <c r="Q401" s="334" t="n"/>
      <c r="R401" s="334" t="n"/>
      <c r="S401" s="334" t="n"/>
      <c r="T401" s="334" t="n"/>
    </row>
    <row r="402">
      <c r="A402" s="334" t="n"/>
      <c r="B402" s="334" t="n"/>
      <c r="C402" s="334" t="n"/>
      <c r="D402" s="334" t="n"/>
      <c r="E402" s="334" t="n"/>
      <c r="F402" s="334" t="n"/>
      <c r="G402" s="334" t="n"/>
      <c r="H402" s="334" t="n"/>
      <c r="I402" s="334" t="n"/>
      <c r="J402" s="334" t="n"/>
      <c r="K402" s="334" t="n"/>
      <c r="L402" s="334" t="n"/>
      <c r="M402" s="334" t="n"/>
      <c r="N402" s="334" t="n"/>
      <c r="O402" s="334" t="n"/>
      <c r="P402" s="334" t="n"/>
      <c r="Q402" s="334" t="n"/>
      <c r="R402" s="334" t="n"/>
      <c r="S402" s="334" t="n"/>
      <c r="T402" s="334" t="n"/>
    </row>
    <row r="403">
      <c r="A403" s="334" t="n"/>
      <c r="B403" s="334" t="n"/>
      <c r="C403" s="334" t="n"/>
      <c r="D403" s="334" t="n"/>
      <c r="E403" s="334" t="n"/>
      <c r="F403" s="334" t="n"/>
      <c r="G403" s="334" t="n"/>
      <c r="H403" s="334" t="n"/>
      <c r="I403" s="334" t="n"/>
      <c r="J403" s="334" t="n"/>
      <c r="K403" s="334" t="n"/>
      <c r="L403" s="334" t="n"/>
      <c r="M403" s="334" t="n"/>
      <c r="N403" s="334" t="n"/>
      <c r="O403" s="334" t="n"/>
      <c r="P403" s="334" t="n"/>
      <c r="Q403" s="334" t="n"/>
      <c r="R403" s="334" t="n"/>
      <c r="S403" s="334" t="n"/>
      <c r="T403" s="334" t="n"/>
    </row>
    <row r="404">
      <c r="A404" s="334" t="n"/>
      <c r="B404" s="334" t="n"/>
      <c r="C404" s="334" t="n"/>
      <c r="D404" s="334" t="n"/>
      <c r="E404" s="334" t="n"/>
      <c r="F404" s="334" t="n"/>
      <c r="G404" s="334" t="n"/>
      <c r="H404" s="334" t="n"/>
      <c r="I404" s="334" t="n"/>
      <c r="J404" s="334" t="n"/>
      <c r="K404" s="334" t="n"/>
      <c r="L404" s="334" t="n"/>
      <c r="M404" s="334" t="n"/>
      <c r="N404" s="334" t="n"/>
      <c r="O404" s="334" t="n"/>
      <c r="P404" s="334" t="n"/>
      <c r="Q404" s="334" t="n"/>
      <c r="R404" s="334" t="n"/>
      <c r="S404" s="334" t="n"/>
      <c r="T404" s="334" t="n"/>
    </row>
    <row r="405">
      <c r="A405" s="334" t="n"/>
      <c r="B405" s="334" t="n"/>
      <c r="C405" s="334" t="n"/>
      <c r="D405" s="334" t="n"/>
      <c r="E405" s="334" t="n"/>
      <c r="F405" s="334" t="n"/>
      <c r="G405" s="334" t="n"/>
      <c r="H405" s="334" t="n"/>
      <c r="I405" s="334" t="n"/>
      <c r="J405" s="334" t="n"/>
      <c r="K405" s="334" t="n"/>
      <c r="L405" s="334" t="n"/>
      <c r="M405" s="334" t="n"/>
      <c r="N405" s="334" t="n"/>
      <c r="O405" s="334" t="n"/>
      <c r="P405" s="334" t="n"/>
      <c r="Q405" s="334" t="n"/>
      <c r="R405" s="334" t="n"/>
      <c r="S405" s="334" t="n"/>
      <c r="T405" s="334" t="n"/>
    </row>
    <row r="406">
      <c r="A406" s="334" t="n"/>
      <c r="B406" s="334" t="n"/>
      <c r="C406" s="334" t="n"/>
      <c r="D406" s="334" t="n"/>
      <c r="E406" s="334" t="n"/>
      <c r="F406" s="334" t="n"/>
      <c r="G406" s="334" t="n"/>
      <c r="H406" s="334" t="n"/>
      <c r="I406" s="334" t="n"/>
      <c r="J406" s="334" t="n"/>
      <c r="K406" s="334" t="n"/>
      <c r="L406" s="334" t="n"/>
      <c r="M406" s="334" t="n"/>
      <c r="N406" s="334" t="n"/>
      <c r="O406" s="334" t="n"/>
      <c r="P406" s="334" t="n"/>
      <c r="Q406" s="334" t="n"/>
      <c r="R406" s="334" t="n"/>
      <c r="S406" s="334" t="n"/>
      <c r="T406" s="334" t="n"/>
    </row>
    <row r="407">
      <c r="A407" s="334" t="n"/>
      <c r="B407" s="334" t="n"/>
      <c r="C407" s="334" t="n"/>
      <c r="D407" s="334" t="n"/>
      <c r="E407" s="334" t="n"/>
      <c r="F407" s="334" t="n"/>
      <c r="G407" s="334" t="n"/>
      <c r="H407" s="334" t="n"/>
      <c r="I407" s="334" t="n"/>
      <c r="J407" s="334" t="n"/>
      <c r="K407" s="334" t="n"/>
      <c r="L407" s="334" t="n"/>
      <c r="M407" s="334" t="n"/>
      <c r="N407" s="334" t="n"/>
      <c r="O407" s="334" t="n"/>
      <c r="P407" s="334" t="n"/>
      <c r="Q407" s="334" t="n"/>
      <c r="R407" s="334" t="n"/>
      <c r="S407" s="334" t="n"/>
      <c r="T407" s="334" t="n"/>
    </row>
    <row r="408">
      <c r="A408" s="334" t="n"/>
      <c r="B408" s="334" t="n"/>
      <c r="C408" s="334" t="n"/>
      <c r="D408" s="334" t="n"/>
      <c r="E408" s="334" t="n"/>
      <c r="F408" s="334" t="n"/>
      <c r="G408" s="334" t="n"/>
      <c r="H408" s="334" t="n"/>
      <c r="I408" s="334" t="n"/>
      <c r="J408" s="334" t="n"/>
      <c r="K408" s="334" t="n"/>
      <c r="L408" s="334" t="n"/>
      <c r="M408" s="334" t="n"/>
      <c r="N408" s="334" t="n"/>
      <c r="O408" s="334" t="n"/>
      <c r="P408" s="334" t="n"/>
      <c r="Q408" s="334" t="n"/>
      <c r="R408" s="334" t="n"/>
      <c r="S408" s="334" t="n"/>
      <c r="T408" s="334" t="n"/>
    </row>
    <row r="409">
      <c r="A409" s="334" t="n"/>
      <c r="B409" s="334" t="n"/>
      <c r="C409" s="334" t="n"/>
      <c r="D409" s="334" t="n"/>
      <c r="E409" s="334" t="n"/>
      <c r="F409" s="334" t="n"/>
      <c r="G409" s="334" t="n"/>
      <c r="H409" s="334" t="n"/>
      <c r="I409" s="334" t="n"/>
      <c r="J409" s="334" t="n"/>
      <c r="K409" s="334" t="n"/>
      <c r="L409" s="334" t="n"/>
      <c r="M409" s="334" t="n"/>
      <c r="N409" s="334" t="n"/>
      <c r="O409" s="334" t="n"/>
      <c r="P409" s="334" t="n"/>
      <c r="Q409" s="334" t="n"/>
      <c r="R409" s="334" t="n"/>
      <c r="S409" s="334" t="n"/>
      <c r="T409" s="334" t="n"/>
    </row>
    <row r="410">
      <c r="A410" s="334" t="n"/>
      <c r="B410" s="334" t="n"/>
      <c r="C410" s="334" t="n"/>
      <c r="D410" s="334" t="n"/>
      <c r="E410" s="334" t="n"/>
      <c r="F410" s="334" t="n"/>
      <c r="G410" s="334" t="n"/>
      <c r="H410" s="334" t="n"/>
      <c r="I410" s="334" t="n"/>
      <c r="J410" s="334" t="n"/>
      <c r="K410" s="334" t="n"/>
      <c r="L410" s="334" t="n"/>
      <c r="M410" s="334" t="n"/>
      <c r="N410" s="334" t="n"/>
      <c r="O410" s="334" t="n"/>
      <c r="P410" s="334" t="n"/>
      <c r="Q410" s="334" t="n"/>
      <c r="R410" s="334" t="n"/>
      <c r="S410" s="334" t="n"/>
      <c r="T410" s="334" t="n"/>
    </row>
    <row r="411">
      <c r="A411" s="334" t="n"/>
      <c r="B411" s="334" t="n"/>
      <c r="C411" s="334" t="n"/>
      <c r="D411" s="334" t="n"/>
      <c r="E411" s="334" t="n"/>
      <c r="F411" s="334" t="n"/>
      <c r="G411" s="334" t="n"/>
      <c r="H411" s="334" t="n"/>
      <c r="I411" s="334" t="n"/>
      <c r="J411" s="334" t="n"/>
      <c r="K411" s="334" t="n"/>
      <c r="L411" s="334" t="n"/>
      <c r="M411" s="334" t="n"/>
      <c r="N411" s="334" t="n"/>
      <c r="O411" s="334" t="n"/>
      <c r="P411" s="334" t="n"/>
      <c r="Q411" s="334" t="n"/>
      <c r="R411" s="334" t="n"/>
      <c r="S411" s="334" t="n"/>
      <c r="T411" s="334" t="n"/>
    </row>
    <row r="412">
      <c r="A412" s="334" t="n"/>
      <c r="B412" s="334" t="n"/>
      <c r="C412" s="334" t="n"/>
      <c r="D412" s="334" t="n"/>
      <c r="E412" s="334" t="n"/>
      <c r="F412" s="334" t="n"/>
      <c r="G412" s="334" t="n"/>
      <c r="H412" s="334" t="n"/>
      <c r="I412" s="334" t="n"/>
      <c r="J412" s="334" t="n"/>
      <c r="K412" s="334" t="n"/>
      <c r="L412" s="334" t="n"/>
      <c r="M412" s="334" t="n"/>
      <c r="N412" s="334" t="n"/>
      <c r="O412" s="334" t="n"/>
      <c r="P412" s="334" t="n"/>
      <c r="Q412" s="334" t="n"/>
      <c r="R412" s="334" t="n"/>
      <c r="S412" s="334" t="n"/>
      <c r="T412" s="334" t="n"/>
    </row>
    <row r="413">
      <c r="A413" s="334" t="n"/>
      <c r="B413" s="334" t="n"/>
      <c r="C413" s="334" t="n"/>
      <c r="D413" s="334" t="n"/>
      <c r="E413" s="334" t="n"/>
      <c r="F413" s="334" t="n"/>
      <c r="G413" s="334" t="n"/>
      <c r="H413" s="334" t="n"/>
      <c r="I413" s="334" t="n"/>
      <c r="J413" s="334" t="n"/>
      <c r="K413" s="334" t="n"/>
      <c r="L413" s="334" t="n"/>
      <c r="M413" s="334" t="n"/>
      <c r="N413" s="334" t="n"/>
      <c r="O413" s="334" t="n"/>
      <c r="P413" s="334" t="n"/>
      <c r="Q413" s="334" t="n"/>
      <c r="R413" s="334" t="n"/>
      <c r="S413" s="334" t="n"/>
      <c r="T413" s="334" t="n"/>
    </row>
    <row r="414">
      <c r="A414" s="334" t="n"/>
      <c r="B414" s="334" t="n"/>
      <c r="C414" s="334" t="n"/>
      <c r="D414" s="334" t="n"/>
      <c r="E414" s="334" t="n"/>
      <c r="F414" s="334" t="n"/>
      <c r="G414" s="334" t="n"/>
      <c r="H414" s="334" t="n"/>
      <c r="I414" s="334" t="n"/>
      <c r="J414" s="334" t="n"/>
      <c r="K414" s="334" t="n"/>
      <c r="L414" s="334" t="n"/>
      <c r="M414" s="334" t="n"/>
      <c r="N414" s="334" t="n"/>
      <c r="O414" s="334" t="n"/>
      <c r="P414" s="334" t="n"/>
      <c r="Q414" s="334" t="n"/>
      <c r="R414" s="334" t="n"/>
      <c r="S414" s="334" t="n"/>
      <c r="T414" s="334" t="n"/>
    </row>
    <row r="415">
      <c r="A415" s="334" t="n"/>
      <c r="B415" s="334" t="n"/>
      <c r="C415" s="334" t="n"/>
      <c r="D415" s="334" t="n"/>
      <c r="E415" s="334" t="n"/>
      <c r="F415" s="334" t="n"/>
      <c r="G415" s="334" t="n"/>
      <c r="H415" s="334" t="n"/>
      <c r="I415" s="334" t="n"/>
      <c r="J415" s="334" t="n"/>
      <c r="K415" s="334" t="n"/>
      <c r="L415" s="334" t="n"/>
      <c r="M415" s="334" t="n"/>
      <c r="N415" s="334" t="n"/>
      <c r="O415" s="334" t="n"/>
      <c r="P415" s="334" t="n"/>
      <c r="Q415" s="334" t="n"/>
      <c r="R415" s="334" t="n"/>
      <c r="S415" s="334" t="n"/>
      <c r="T415" s="334" t="n"/>
    </row>
    <row r="416">
      <c r="A416" s="334" t="n"/>
      <c r="B416" s="334" t="n"/>
      <c r="C416" s="334" t="n"/>
      <c r="D416" s="334" t="n"/>
      <c r="E416" s="334" t="n"/>
      <c r="F416" s="334" t="n"/>
      <c r="G416" s="334" t="n"/>
      <c r="H416" s="334" t="n"/>
      <c r="I416" s="334" t="n"/>
      <c r="J416" s="334" t="n"/>
      <c r="K416" s="334" t="n"/>
      <c r="L416" s="334" t="n"/>
      <c r="M416" s="334" t="n"/>
      <c r="N416" s="334" t="n"/>
      <c r="O416" s="334" t="n"/>
      <c r="P416" s="334" t="n"/>
      <c r="Q416" s="334" t="n"/>
      <c r="R416" s="334" t="n"/>
      <c r="S416" s="334" t="n"/>
      <c r="T416" s="334" t="n"/>
    </row>
    <row r="417">
      <c r="A417" s="334" t="n"/>
      <c r="B417" s="334" t="n"/>
      <c r="C417" s="334" t="n"/>
      <c r="D417" s="334" t="n"/>
      <c r="E417" s="334" t="n"/>
      <c r="F417" s="334" t="n"/>
      <c r="G417" s="334" t="n"/>
      <c r="H417" s="334" t="n"/>
      <c r="I417" s="334" t="n"/>
      <c r="J417" s="334" t="n"/>
      <c r="K417" s="334" t="n"/>
      <c r="L417" s="334" t="n"/>
      <c r="M417" s="334" t="n"/>
      <c r="N417" s="334" t="n"/>
      <c r="O417" s="334" t="n"/>
      <c r="P417" s="334" t="n"/>
      <c r="Q417" s="334" t="n"/>
      <c r="R417" s="334" t="n"/>
      <c r="S417" s="334" t="n"/>
      <c r="T417" s="334" t="n"/>
    </row>
    <row r="418">
      <c r="A418" s="334" t="n"/>
      <c r="B418" s="334" t="n"/>
      <c r="C418" s="334" t="n"/>
      <c r="D418" s="334" t="n"/>
      <c r="E418" s="334" t="n"/>
      <c r="F418" s="334" t="n"/>
      <c r="G418" s="334" t="n"/>
      <c r="H418" s="334" t="n"/>
      <c r="I418" s="334" t="n"/>
      <c r="J418" s="334" t="n"/>
      <c r="K418" s="334" t="n"/>
      <c r="L418" s="334" t="n"/>
      <c r="M418" s="334" t="n"/>
      <c r="N418" s="334" t="n"/>
      <c r="O418" s="334" t="n"/>
      <c r="P418" s="334" t="n"/>
      <c r="Q418" s="334" t="n"/>
      <c r="R418" s="334" t="n"/>
      <c r="S418" s="334" t="n"/>
      <c r="T418" s="334" t="n"/>
    </row>
    <row r="419">
      <c r="A419" s="334" t="n"/>
      <c r="B419" s="334" t="n"/>
      <c r="C419" s="334" t="n"/>
      <c r="D419" s="334" t="n"/>
      <c r="E419" s="334" t="n"/>
      <c r="F419" s="334" t="n"/>
      <c r="G419" s="334" t="n"/>
      <c r="H419" s="334" t="n"/>
      <c r="I419" s="334" t="n"/>
      <c r="J419" s="334" t="n"/>
      <c r="K419" s="334" t="n"/>
      <c r="L419" s="334" t="n"/>
      <c r="M419" s="334" t="n"/>
      <c r="N419" s="334" t="n"/>
      <c r="O419" s="334" t="n"/>
      <c r="P419" s="334" t="n"/>
      <c r="Q419" s="334" t="n"/>
      <c r="R419" s="334" t="n"/>
      <c r="S419" s="334" t="n"/>
      <c r="T419" s="334" t="n"/>
    </row>
    <row r="420">
      <c r="A420" s="334" t="n"/>
      <c r="B420" s="334" t="n"/>
      <c r="C420" s="334" t="n"/>
      <c r="D420" s="334" t="n"/>
      <c r="E420" s="334" t="n"/>
      <c r="F420" s="334" t="n"/>
      <c r="G420" s="334" t="n"/>
      <c r="H420" s="334" t="n"/>
      <c r="I420" s="334" t="n"/>
      <c r="J420" s="334" t="n"/>
      <c r="K420" s="334" t="n"/>
      <c r="L420" s="334" t="n"/>
      <c r="M420" s="334" t="n"/>
      <c r="N420" s="334" t="n"/>
      <c r="O420" s="334" t="n"/>
      <c r="P420" s="334" t="n"/>
      <c r="Q420" s="334" t="n"/>
      <c r="R420" s="334" t="n"/>
      <c r="S420" s="334" t="n"/>
      <c r="T420" s="334" t="n"/>
    </row>
    <row r="421">
      <c r="A421" s="334" t="n"/>
      <c r="B421" s="334" t="n"/>
      <c r="C421" s="334" t="n"/>
      <c r="D421" s="334" t="n"/>
      <c r="E421" s="334" t="n"/>
      <c r="F421" s="334" t="n"/>
      <c r="G421" s="334" t="n"/>
      <c r="H421" s="334" t="n"/>
      <c r="I421" s="334" t="n"/>
      <c r="J421" s="334" t="n"/>
      <c r="K421" s="334" t="n"/>
      <c r="L421" s="334" t="n"/>
      <c r="M421" s="334" t="n"/>
      <c r="N421" s="334" t="n"/>
      <c r="O421" s="334" t="n"/>
      <c r="P421" s="334" t="n"/>
      <c r="Q421" s="334" t="n"/>
      <c r="R421" s="334" t="n"/>
      <c r="S421" s="334" t="n"/>
      <c r="T421" s="334" t="n"/>
    </row>
    <row r="422">
      <c r="A422" s="334" t="n"/>
      <c r="B422" s="334" t="n"/>
      <c r="C422" s="334" t="n"/>
      <c r="D422" s="334" t="n"/>
      <c r="E422" s="334" t="n"/>
      <c r="F422" s="334" t="n"/>
      <c r="G422" s="334" t="n"/>
      <c r="H422" s="334" t="n"/>
      <c r="I422" s="334" t="n"/>
      <c r="J422" s="334" t="n"/>
      <c r="K422" s="334" t="n"/>
      <c r="L422" s="334" t="n"/>
      <c r="M422" s="334" t="n"/>
      <c r="N422" s="334" t="n"/>
      <c r="O422" s="334" t="n"/>
      <c r="P422" s="334" t="n"/>
      <c r="Q422" s="334" t="n"/>
      <c r="R422" s="334" t="n"/>
      <c r="S422" s="334" t="n"/>
      <c r="T422" s="334" t="n"/>
    </row>
    <row r="423">
      <c r="A423" s="334" t="n"/>
      <c r="B423" s="334" t="n"/>
      <c r="C423" s="334" t="n"/>
      <c r="D423" s="334" t="n"/>
      <c r="E423" s="334" t="n"/>
      <c r="F423" s="334" t="n"/>
      <c r="G423" s="334" t="n"/>
      <c r="H423" s="334" t="n"/>
      <c r="I423" s="334" t="n"/>
      <c r="J423" s="334" t="n"/>
      <c r="K423" s="334" t="n"/>
      <c r="L423" s="334" t="n"/>
      <c r="M423" s="334" t="n"/>
      <c r="N423" s="334" t="n"/>
      <c r="O423" s="334" t="n"/>
      <c r="P423" s="334" t="n"/>
      <c r="Q423" s="334" t="n"/>
      <c r="R423" s="334" t="n"/>
      <c r="S423" s="334" t="n"/>
      <c r="T423" s="334" t="n"/>
    </row>
    <row r="424">
      <c r="A424" s="334" t="n"/>
      <c r="B424" s="334" t="n"/>
      <c r="C424" s="334" t="n"/>
      <c r="D424" s="334" t="n"/>
      <c r="E424" s="334" t="n"/>
      <c r="F424" s="334" t="n"/>
      <c r="G424" s="334" t="n"/>
      <c r="H424" s="334" t="n"/>
      <c r="I424" s="334" t="n"/>
      <c r="J424" s="334" t="n"/>
      <c r="K424" s="334" t="n"/>
      <c r="L424" s="334" t="n"/>
      <c r="M424" s="334" t="n"/>
      <c r="N424" s="334" t="n"/>
      <c r="O424" s="334" t="n"/>
      <c r="P424" s="334" t="n"/>
      <c r="Q424" s="334" t="n"/>
      <c r="R424" s="334" t="n"/>
      <c r="S424" s="334" t="n"/>
      <c r="T424" s="334" t="n"/>
    </row>
    <row r="425">
      <c r="A425" s="334" t="n"/>
      <c r="B425" s="334" t="n"/>
      <c r="C425" s="334" t="n"/>
      <c r="D425" s="334" t="n"/>
      <c r="E425" s="334" t="n"/>
      <c r="F425" s="334" t="n"/>
      <c r="G425" s="334" t="n"/>
      <c r="H425" s="334" t="n"/>
      <c r="I425" s="334" t="n"/>
      <c r="J425" s="334" t="n"/>
      <c r="K425" s="334" t="n"/>
      <c r="L425" s="334" t="n"/>
      <c r="M425" s="334" t="n"/>
      <c r="N425" s="334" t="n"/>
      <c r="O425" s="334" t="n"/>
      <c r="P425" s="334" t="n"/>
      <c r="Q425" s="334" t="n"/>
      <c r="R425" s="334" t="n"/>
      <c r="S425" s="334" t="n"/>
      <c r="T425" s="334" t="n"/>
    </row>
    <row r="426">
      <c r="A426" s="334" t="n"/>
      <c r="B426" s="334" t="n"/>
      <c r="C426" s="334" t="n"/>
      <c r="D426" s="334" t="n"/>
      <c r="E426" s="334" t="n"/>
      <c r="F426" s="334" t="n"/>
      <c r="G426" s="334" t="n"/>
      <c r="H426" s="334" t="n"/>
      <c r="I426" s="334" t="n"/>
      <c r="J426" s="334" t="n"/>
      <c r="K426" s="334" t="n"/>
      <c r="L426" s="334" t="n"/>
      <c r="M426" s="334" t="n"/>
      <c r="N426" s="334" t="n"/>
      <c r="O426" s="334" t="n"/>
      <c r="P426" s="334" t="n"/>
      <c r="Q426" s="334" t="n"/>
      <c r="R426" s="334" t="n"/>
      <c r="S426" s="334" t="n"/>
      <c r="T426" s="334" t="n"/>
    </row>
    <row r="427">
      <c r="A427" s="334" t="n"/>
      <c r="B427" s="334" t="n"/>
      <c r="C427" s="334" t="n"/>
      <c r="D427" s="334" t="n"/>
      <c r="E427" s="334" t="n"/>
      <c r="F427" s="334" t="n"/>
      <c r="G427" s="334" t="n"/>
      <c r="H427" s="334" t="n"/>
      <c r="I427" s="334" t="n"/>
      <c r="J427" s="334" t="n"/>
      <c r="K427" s="334" t="n"/>
      <c r="L427" s="334" t="n"/>
      <c r="M427" s="334" t="n"/>
      <c r="N427" s="334" t="n"/>
      <c r="O427" s="334" t="n"/>
      <c r="P427" s="334" t="n"/>
      <c r="Q427" s="334" t="n"/>
      <c r="R427" s="334" t="n"/>
      <c r="S427" s="334" t="n"/>
      <c r="T427" s="334" t="n"/>
    </row>
    <row r="428">
      <c r="A428" s="334" t="n"/>
      <c r="B428" s="334" t="n"/>
      <c r="C428" s="334" t="n"/>
      <c r="D428" s="334" t="n"/>
      <c r="E428" s="334" t="n"/>
      <c r="F428" s="334" t="n"/>
      <c r="G428" s="334" t="n"/>
      <c r="H428" s="334" t="n"/>
      <c r="I428" s="334" t="n"/>
      <c r="J428" s="334" t="n"/>
      <c r="K428" s="334" t="n"/>
      <c r="L428" s="334" t="n"/>
      <c r="M428" s="334" t="n"/>
      <c r="N428" s="334" t="n"/>
      <c r="O428" s="334" t="n"/>
      <c r="P428" s="334" t="n"/>
      <c r="Q428" s="334" t="n"/>
      <c r="R428" s="334" t="n"/>
      <c r="S428" s="334" t="n"/>
      <c r="T428" s="334" t="n"/>
    </row>
    <row r="429">
      <c r="A429" s="334" t="n"/>
      <c r="B429" s="334" t="n"/>
      <c r="C429" s="334" t="n"/>
      <c r="D429" s="334" t="n"/>
      <c r="E429" s="334" t="n"/>
      <c r="F429" s="334" t="n"/>
      <c r="G429" s="334" t="n"/>
      <c r="H429" s="334" t="n"/>
      <c r="I429" s="334" t="n"/>
      <c r="J429" s="334" t="n"/>
      <c r="K429" s="334" t="n"/>
      <c r="L429" s="334" t="n"/>
      <c r="M429" s="334" t="n"/>
      <c r="N429" s="334" t="n"/>
      <c r="O429" s="334" t="n"/>
      <c r="P429" s="334" t="n"/>
      <c r="Q429" s="334" t="n"/>
      <c r="R429" s="334" t="n"/>
      <c r="S429" s="334" t="n"/>
      <c r="T429" s="334" t="n"/>
    </row>
    <row r="430">
      <c r="A430" s="334" t="n"/>
      <c r="B430" s="334" t="n"/>
      <c r="C430" s="334" t="n"/>
      <c r="D430" s="334" t="n"/>
      <c r="E430" s="334" t="n"/>
      <c r="F430" s="334" t="n"/>
      <c r="G430" s="334" t="n"/>
      <c r="H430" s="334" t="n"/>
      <c r="I430" s="334" t="n"/>
      <c r="J430" s="334" t="n"/>
      <c r="K430" s="334" t="n"/>
      <c r="L430" s="334" t="n"/>
      <c r="M430" s="334" t="n"/>
      <c r="N430" s="334" t="n"/>
      <c r="O430" s="334" t="n"/>
      <c r="P430" s="334" t="n"/>
      <c r="Q430" s="334" t="n"/>
      <c r="R430" s="334" t="n"/>
      <c r="S430" s="334" t="n"/>
      <c r="T430" s="334" t="n"/>
    </row>
    <row r="431">
      <c r="A431" s="334" t="n"/>
      <c r="B431" s="334" t="n"/>
      <c r="C431" s="334" t="n"/>
      <c r="D431" s="334" t="n"/>
      <c r="E431" s="334" t="n"/>
      <c r="F431" s="334" t="n"/>
      <c r="G431" s="334" t="n"/>
      <c r="H431" s="334" t="n"/>
      <c r="I431" s="334" t="n"/>
      <c r="J431" s="334" t="n"/>
      <c r="K431" s="334" t="n"/>
      <c r="L431" s="334" t="n"/>
      <c r="M431" s="334" t="n"/>
      <c r="N431" s="334" t="n"/>
      <c r="O431" s="334" t="n"/>
      <c r="P431" s="334" t="n"/>
      <c r="Q431" s="334" t="n"/>
      <c r="R431" s="334" t="n"/>
      <c r="S431" s="334" t="n"/>
      <c r="T431" s="334" t="n"/>
    </row>
    <row r="432">
      <c r="A432" s="334" t="n"/>
      <c r="B432" s="334" t="n"/>
      <c r="C432" s="334" t="n"/>
      <c r="D432" s="334" t="n"/>
      <c r="E432" s="334" t="n"/>
      <c r="F432" s="334" t="n"/>
      <c r="G432" s="334" t="n"/>
      <c r="H432" s="334" t="n"/>
      <c r="I432" s="334" t="n"/>
      <c r="J432" s="334" t="n"/>
      <c r="K432" s="334" t="n"/>
      <c r="L432" s="334" t="n"/>
      <c r="M432" s="334" t="n"/>
      <c r="N432" s="334" t="n"/>
      <c r="O432" s="334" t="n"/>
      <c r="P432" s="334" t="n"/>
      <c r="Q432" s="334" t="n"/>
      <c r="R432" s="334" t="n"/>
      <c r="S432" s="334" t="n"/>
      <c r="T432" s="334" t="n"/>
    </row>
    <row r="433">
      <c r="A433" s="334" t="n"/>
      <c r="B433" s="334" t="n"/>
      <c r="C433" s="334" t="n"/>
      <c r="D433" s="334" t="n"/>
      <c r="E433" s="334" t="n"/>
      <c r="F433" s="334" t="n"/>
      <c r="G433" s="334" t="n"/>
      <c r="H433" s="334" t="n"/>
      <c r="I433" s="334" t="n"/>
      <c r="J433" s="334" t="n"/>
      <c r="K433" s="334" t="n"/>
      <c r="L433" s="334" t="n"/>
      <c r="M433" s="334" t="n"/>
      <c r="N433" s="334" t="n"/>
      <c r="O433" s="334" t="n"/>
      <c r="P433" s="334" t="n"/>
      <c r="Q433" s="334" t="n"/>
      <c r="R433" s="334" t="n"/>
      <c r="S433" s="334" t="n"/>
      <c r="T433" s="334" t="n"/>
    </row>
    <row r="434">
      <c r="A434" s="334" t="n"/>
      <c r="B434" s="334" t="n"/>
      <c r="C434" s="334" t="n"/>
      <c r="D434" s="334" t="n"/>
      <c r="E434" s="334" t="n"/>
      <c r="F434" s="334" t="n"/>
      <c r="G434" s="334" t="n"/>
      <c r="H434" s="334" t="n"/>
      <c r="I434" s="334" t="n"/>
      <c r="J434" s="334" t="n"/>
      <c r="K434" s="334" t="n"/>
      <c r="L434" s="334" t="n"/>
      <c r="M434" s="334" t="n"/>
      <c r="N434" s="334" t="n"/>
      <c r="O434" s="334" t="n"/>
      <c r="P434" s="334" t="n"/>
      <c r="Q434" s="334" t="n"/>
      <c r="R434" s="334" t="n"/>
      <c r="S434" s="334" t="n"/>
      <c r="T434" s="334" t="n"/>
    </row>
    <row r="435">
      <c r="A435" s="334" t="n"/>
      <c r="B435" s="334" t="n"/>
      <c r="C435" s="334" t="n"/>
      <c r="D435" s="334" t="n"/>
      <c r="E435" s="334" t="n"/>
      <c r="F435" s="334" t="n"/>
      <c r="G435" s="334" t="n"/>
      <c r="H435" s="334" t="n"/>
      <c r="I435" s="334" t="n"/>
      <c r="J435" s="334" t="n"/>
      <c r="K435" s="334" t="n"/>
      <c r="L435" s="334" t="n"/>
      <c r="M435" s="334" t="n"/>
      <c r="N435" s="334" t="n"/>
      <c r="O435" s="334" t="n"/>
      <c r="P435" s="334" t="n"/>
      <c r="Q435" s="334" t="n"/>
      <c r="R435" s="334" t="n"/>
      <c r="S435" s="334" t="n"/>
      <c r="T435" s="334" t="n"/>
    </row>
    <row r="436">
      <c r="A436" s="334" t="n"/>
      <c r="B436" s="334" t="n"/>
      <c r="C436" s="334" t="n"/>
      <c r="D436" s="334" t="n"/>
      <c r="E436" s="334" t="n"/>
      <c r="F436" s="334" t="n"/>
      <c r="G436" s="334" t="n"/>
      <c r="H436" s="334" t="n"/>
      <c r="I436" s="334" t="n"/>
      <c r="J436" s="334" t="n"/>
      <c r="K436" s="334" t="n"/>
      <c r="L436" s="334" t="n"/>
      <c r="M436" s="334" t="n"/>
      <c r="N436" s="334" t="n"/>
      <c r="O436" s="334" t="n"/>
      <c r="P436" s="334" t="n"/>
      <c r="Q436" s="334" t="n"/>
      <c r="R436" s="334" t="n"/>
      <c r="S436" s="334" t="n"/>
      <c r="T436" s="334" t="n"/>
    </row>
    <row r="437">
      <c r="A437" s="334" t="n"/>
      <c r="B437" s="334" t="n"/>
      <c r="C437" s="334" t="n"/>
      <c r="D437" s="334" t="n"/>
      <c r="E437" s="334" t="n"/>
      <c r="F437" s="334" t="n"/>
      <c r="G437" s="334" t="n"/>
      <c r="H437" s="334" t="n"/>
      <c r="I437" s="334" t="n"/>
      <c r="J437" s="334" t="n"/>
      <c r="K437" s="334" t="n"/>
      <c r="L437" s="334" t="n"/>
      <c r="M437" s="334" t="n"/>
      <c r="N437" s="334" t="n"/>
      <c r="O437" s="334" t="n"/>
      <c r="P437" s="334" t="n"/>
      <c r="Q437" s="334" t="n"/>
      <c r="R437" s="334" t="n"/>
      <c r="S437" s="334" t="n"/>
      <c r="T437" s="334" t="n"/>
    </row>
    <row r="438">
      <c r="A438" s="334" t="n"/>
      <c r="B438" s="334" t="n"/>
      <c r="C438" s="334" t="n"/>
      <c r="D438" s="334" t="n"/>
      <c r="E438" s="334" t="n"/>
      <c r="F438" s="334" t="n"/>
      <c r="G438" s="334" t="n"/>
      <c r="H438" s="334" t="n"/>
      <c r="I438" s="334" t="n"/>
      <c r="J438" s="334" t="n"/>
      <c r="K438" s="334" t="n"/>
      <c r="L438" s="334" t="n"/>
      <c r="M438" s="334" t="n"/>
      <c r="N438" s="334" t="n"/>
      <c r="O438" s="334" t="n"/>
      <c r="P438" s="334" t="n"/>
      <c r="Q438" s="334" t="n"/>
      <c r="R438" s="334" t="n"/>
      <c r="S438" s="334" t="n"/>
      <c r="T438" s="334" t="n"/>
    </row>
    <row r="439">
      <c r="A439" s="334" t="n"/>
      <c r="B439" s="334" t="n"/>
      <c r="C439" s="334" t="n"/>
      <c r="D439" s="334" t="n"/>
      <c r="E439" s="334" t="n"/>
      <c r="F439" s="334" t="n"/>
      <c r="G439" s="334" t="n"/>
      <c r="H439" s="334" t="n"/>
      <c r="I439" s="334" t="n"/>
      <c r="J439" s="334" t="n"/>
      <c r="K439" s="334" t="n"/>
      <c r="L439" s="334" t="n"/>
      <c r="M439" s="334" t="n"/>
      <c r="N439" s="334" t="n"/>
      <c r="O439" s="334" t="n"/>
      <c r="P439" s="334" t="n"/>
      <c r="Q439" s="334" t="n"/>
      <c r="R439" s="334" t="n"/>
      <c r="S439" s="334" t="n"/>
      <c r="T439" s="334" t="n"/>
    </row>
    <row r="440">
      <c r="A440" s="334" t="n"/>
      <c r="B440" s="334" t="n"/>
      <c r="C440" s="334" t="n"/>
      <c r="D440" s="334" t="n"/>
      <c r="E440" s="334" t="n"/>
      <c r="F440" s="334" t="n"/>
      <c r="G440" s="334" t="n"/>
      <c r="H440" s="334" t="n"/>
      <c r="I440" s="334" t="n"/>
      <c r="J440" s="334" t="n"/>
      <c r="K440" s="334" t="n"/>
      <c r="L440" s="334" t="n"/>
      <c r="M440" s="334" t="n"/>
      <c r="N440" s="334" t="n"/>
      <c r="O440" s="334" t="n"/>
      <c r="P440" s="334" t="n"/>
      <c r="Q440" s="334" t="n"/>
      <c r="R440" s="334" t="n"/>
      <c r="S440" s="334" t="n"/>
      <c r="T440" s="334" t="n"/>
    </row>
    <row r="441">
      <c r="A441" s="334" t="n"/>
      <c r="B441" s="334" t="n"/>
      <c r="C441" s="334" t="n"/>
      <c r="D441" s="334" t="n"/>
      <c r="E441" s="334" t="n"/>
      <c r="F441" s="334" t="n"/>
      <c r="G441" s="334" t="n"/>
      <c r="H441" s="334" t="n"/>
      <c r="I441" s="334" t="n"/>
      <c r="J441" s="334" t="n"/>
      <c r="K441" s="334" t="n"/>
      <c r="L441" s="334" t="n"/>
      <c r="M441" s="334" t="n"/>
      <c r="N441" s="334" t="n"/>
      <c r="O441" s="334" t="n"/>
      <c r="P441" s="334" t="n"/>
      <c r="Q441" s="334" t="n"/>
      <c r="R441" s="334" t="n"/>
      <c r="S441" s="334" t="n"/>
      <c r="T441" s="334" t="n"/>
    </row>
    <row r="442">
      <c r="A442" s="334" t="n"/>
      <c r="B442" s="334" t="n"/>
      <c r="C442" s="334" t="n"/>
      <c r="D442" s="334" t="n"/>
      <c r="E442" s="334" t="n"/>
      <c r="F442" s="334" t="n"/>
      <c r="G442" s="334" t="n"/>
      <c r="H442" s="334" t="n"/>
      <c r="I442" s="334" t="n"/>
      <c r="J442" s="334" t="n"/>
      <c r="K442" s="334" t="n"/>
      <c r="L442" s="334" t="n"/>
      <c r="M442" s="334" t="n"/>
      <c r="N442" s="334" t="n"/>
      <c r="O442" s="334" t="n"/>
      <c r="P442" s="334" t="n"/>
      <c r="Q442" s="334" t="n"/>
      <c r="R442" s="334" t="n"/>
      <c r="S442" s="334" t="n"/>
      <c r="T442" s="334" t="n"/>
    </row>
    <row r="443">
      <c r="A443" s="334" t="n"/>
      <c r="B443" s="334" t="n"/>
      <c r="C443" s="334" t="n"/>
      <c r="D443" s="334" t="n"/>
      <c r="E443" s="334" t="n"/>
      <c r="F443" s="334" t="n"/>
      <c r="G443" s="334" t="n"/>
      <c r="H443" s="334" t="n"/>
      <c r="I443" s="334" t="n"/>
      <c r="J443" s="334" t="n"/>
      <c r="K443" s="334" t="n"/>
      <c r="L443" s="334" t="n"/>
      <c r="M443" s="334" t="n"/>
      <c r="N443" s="334" t="n"/>
      <c r="O443" s="334" t="n"/>
      <c r="P443" s="334" t="n"/>
      <c r="Q443" s="334" t="n"/>
      <c r="R443" s="334" t="n"/>
      <c r="S443" s="334" t="n"/>
      <c r="T443" s="334" t="n"/>
    </row>
    <row r="444">
      <c r="A444" s="334" t="n"/>
      <c r="B444" s="334" t="n"/>
      <c r="C444" s="334" t="n"/>
      <c r="D444" s="334" t="n"/>
      <c r="E444" s="334" t="n"/>
      <c r="F444" s="334" t="n"/>
      <c r="G444" s="334" t="n"/>
      <c r="H444" s="334" t="n"/>
      <c r="I444" s="334" t="n"/>
      <c r="J444" s="334" t="n"/>
      <c r="K444" s="334" t="n"/>
      <c r="L444" s="334" t="n"/>
      <c r="M444" s="334" t="n"/>
      <c r="N444" s="334" t="n"/>
      <c r="O444" s="334" t="n"/>
      <c r="P444" s="334" t="n"/>
      <c r="Q444" s="334" t="n"/>
      <c r="R444" s="334" t="n"/>
      <c r="S444" s="334" t="n"/>
      <c r="T444" s="334" t="n"/>
    </row>
    <row r="445">
      <c r="A445" s="334" t="n"/>
      <c r="B445" s="334" t="n"/>
      <c r="C445" s="334" t="n"/>
      <c r="D445" s="334" t="n"/>
      <c r="E445" s="334" t="n"/>
      <c r="F445" s="334" t="n"/>
      <c r="G445" s="334" t="n"/>
      <c r="H445" s="334" t="n"/>
      <c r="I445" s="334" t="n"/>
      <c r="J445" s="334" t="n"/>
      <c r="K445" s="334" t="n"/>
      <c r="L445" s="334" t="n"/>
      <c r="M445" s="334" t="n"/>
      <c r="N445" s="334" t="n"/>
      <c r="O445" s="334" t="n"/>
      <c r="P445" s="334" t="n"/>
      <c r="Q445" s="334" t="n"/>
      <c r="R445" s="334" t="n"/>
      <c r="S445" s="334" t="n"/>
      <c r="T445" s="334" t="n"/>
    </row>
    <row r="446">
      <c r="A446" s="334" t="n"/>
      <c r="B446" s="334" t="n"/>
      <c r="C446" s="334" t="n"/>
      <c r="D446" s="334" t="n"/>
      <c r="E446" s="334" t="n"/>
      <c r="F446" s="334" t="n"/>
      <c r="G446" s="334" t="n"/>
      <c r="H446" s="334" t="n"/>
      <c r="I446" s="334" t="n"/>
      <c r="J446" s="334" t="n"/>
      <c r="K446" s="334" t="n"/>
      <c r="L446" s="334" t="n"/>
      <c r="M446" s="334" t="n"/>
      <c r="N446" s="334" t="n"/>
      <c r="O446" s="334" t="n"/>
      <c r="P446" s="334" t="n"/>
      <c r="Q446" s="334" t="n"/>
      <c r="R446" s="334" t="n"/>
      <c r="S446" s="334" t="n"/>
      <c r="T446" s="334" t="n"/>
    </row>
    <row r="447">
      <c r="A447" s="334" t="n"/>
      <c r="B447" s="334" t="n"/>
      <c r="C447" s="334" t="n"/>
      <c r="D447" s="334" t="n"/>
      <c r="E447" s="334" t="n"/>
      <c r="F447" s="334" t="n"/>
      <c r="G447" s="334" t="n"/>
      <c r="H447" s="334" t="n"/>
      <c r="I447" s="334" t="n"/>
      <c r="J447" s="334" t="n"/>
      <c r="K447" s="334" t="n"/>
      <c r="L447" s="334" t="n"/>
      <c r="M447" s="334" t="n"/>
      <c r="N447" s="334" t="n"/>
      <c r="O447" s="334" t="n"/>
      <c r="P447" s="334" t="n"/>
      <c r="Q447" s="334" t="n"/>
      <c r="R447" s="334" t="n"/>
      <c r="S447" s="334" t="n"/>
      <c r="T447" s="334" t="n"/>
    </row>
    <row r="448">
      <c r="A448" s="334" t="n"/>
      <c r="B448" s="334" t="n"/>
      <c r="C448" s="334" t="n"/>
      <c r="D448" s="334" t="n"/>
      <c r="E448" s="334" t="n"/>
      <c r="F448" s="334" t="n"/>
      <c r="G448" s="334" t="n"/>
      <c r="H448" s="334" t="n"/>
      <c r="I448" s="334" t="n"/>
      <c r="J448" s="334" t="n"/>
      <c r="K448" s="334" t="n"/>
      <c r="L448" s="334" t="n"/>
      <c r="M448" s="334" t="n"/>
      <c r="N448" s="334" t="n"/>
      <c r="O448" s="334" t="n"/>
      <c r="P448" s="334" t="n"/>
      <c r="Q448" s="334" t="n"/>
      <c r="R448" s="334" t="n"/>
      <c r="S448" s="334" t="n"/>
      <c r="T448" s="334" t="n"/>
    </row>
    <row r="449">
      <c r="A449" s="334" t="n"/>
      <c r="B449" s="334" t="n"/>
      <c r="C449" s="334" t="n"/>
      <c r="D449" s="334" t="n"/>
      <c r="E449" s="334" t="n"/>
      <c r="F449" s="334" t="n"/>
      <c r="G449" s="334" t="n"/>
      <c r="H449" s="334" t="n"/>
      <c r="I449" s="334" t="n"/>
      <c r="J449" s="334" t="n"/>
      <c r="K449" s="334" t="n"/>
      <c r="L449" s="334" t="n"/>
      <c r="M449" s="334" t="n"/>
      <c r="N449" s="334" t="n"/>
      <c r="O449" s="334" t="n"/>
      <c r="P449" s="334" t="n"/>
      <c r="Q449" s="334" t="n"/>
      <c r="R449" s="334" t="n"/>
      <c r="S449" s="334" t="n"/>
      <c r="T449" s="334" t="n"/>
    </row>
    <row r="450">
      <c r="A450" s="334" t="n"/>
      <c r="B450" s="334" t="n"/>
      <c r="C450" s="334" t="n"/>
      <c r="D450" s="334" t="n"/>
      <c r="E450" s="334" t="n"/>
      <c r="F450" s="334" t="n"/>
      <c r="G450" s="334" t="n"/>
      <c r="H450" s="334" t="n"/>
      <c r="I450" s="334" t="n"/>
      <c r="J450" s="334" t="n"/>
      <c r="K450" s="334" t="n"/>
      <c r="L450" s="334" t="n"/>
      <c r="M450" s="334" t="n"/>
      <c r="N450" s="334" t="n"/>
      <c r="O450" s="334" t="n"/>
      <c r="P450" s="334" t="n"/>
      <c r="Q450" s="334" t="n"/>
      <c r="R450" s="334" t="n"/>
      <c r="S450" s="334" t="n"/>
      <c r="T450" s="334" t="n"/>
    </row>
    <row r="451">
      <c r="A451" s="334" t="n"/>
      <c r="B451" s="334" t="n"/>
      <c r="C451" s="334" t="n"/>
      <c r="D451" s="334" t="n"/>
      <c r="E451" s="334" t="n"/>
      <c r="F451" s="334" t="n"/>
      <c r="G451" s="334" t="n"/>
      <c r="H451" s="334" t="n"/>
      <c r="I451" s="334" t="n"/>
      <c r="J451" s="334" t="n"/>
      <c r="K451" s="334" t="n"/>
      <c r="L451" s="334" t="n"/>
      <c r="M451" s="334" t="n"/>
      <c r="N451" s="334" t="n"/>
      <c r="O451" s="334" t="n"/>
      <c r="P451" s="334" t="n"/>
      <c r="Q451" s="334" t="n"/>
      <c r="R451" s="334" t="n"/>
      <c r="S451" s="334" t="n"/>
      <c r="T451" s="334" t="n"/>
    </row>
    <row r="452">
      <c r="A452" s="334" t="n"/>
      <c r="B452" s="334" t="n"/>
      <c r="C452" s="334" t="n"/>
      <c r="D452" s="334" t="n"/>
      <c r="E452" s="334" t="n"/>
      <c r="F452" s="334" t="n"/>
      <c r="G452" s="334" t="n"/>
      <c r="H452" s="334" t="n"/>
      <c r="I452" s="334" t="n"/>
      <c r="J452" s="334" t="n"/>
      <c r="K452" s="334" t="n"/>
      <c r="L452" s="334" t="n"/>
      <c r="M452" s="334" t="n"/>
      <c r="N452" s="334" t="n"/>
      <c r="O452" s="334" t="n"/>
      <c r="P452" s="334" t="n"/>
      <c r="Q452" s="334" t="n"/>
      <c r="R452" s="334" t="n"/>
      <c r="S452" s="334" t="n"/>
      <c r="T452" s="334" t="n"/>
    </row>
    <row r="453">
      <c r="A453" s="334" t="n"/>
      <c r="B453" s="334" t="n"/>
      <c r="C453" s="334" t="n"/>
      <c r="D453" s="334" t="n"/>
      <c r="E453" s="334" t="n"/>
      <c r="F453" s="334" t="n"/>
      <c r="G453" s="334" t="n"/>
      <c r="H453" s="334" t="n"/>
      <c r="I453" s="334" t="n"/>
      <c r="J453" s="334" t="n"/>
      <c r="K453" s="334" t="n"/>
      <c r="L453" s="334" t="n"/>
      <c r="M453" s="334" t="n"/>
      <c r="N453" s="334" t="n"/>
      <c r="O453" s="334" t="n"/>
      <c r="P453" s="334" t="n"/>
      <c r="Q453" s="334" t="n"/>
      <c r="R453" s="334" t="n"/>
      <c r="S453" s="334" t="n"/>
      <c r="T453" s="334" t="n"/>
    </row>
    <row r="454">
      <c r="A454" s="334" t="n"/>
      <c r="B454" s="334" t="n"/>
      <c r="C454" s="334" t="n"/>
      <c r="D454" s="334" t="n"/>
      <c r="E454" s="334" t="n"/>
      <c r="F454" s="334" t="n"/>
      <c r="G454" s="334" t="n"/>
      <c r="H454" s="334" t="n"/>
      <c r="I454" s="334" t="n"/>
      <c r="J454" s="334" t="n"/>
      <c r="K454" s="334" t="n"/>
      <c r="L454" s="334" t="n"/>
      <c r="M454" s="334" t="n"/>
      <c r="N454" s="334" t="n"/>
      <c r="O454" s="334" t="n"/>
      <c r="P454" s="334" t="n"/>
      <c r="Q454" s="334" t="n"/>
      <c r="R454" s="334" t="n"/>
      <c r="S454" s="334" t="n"/>
      <c r="T454" s="334" t="n"/>
    </row>
    <row r="455">
      <c r="A455" s="334" t="n"/>
      <c r="B455" s="334" t="n"/>
      <c r="C455" s="334" t="n"/>
      <c r="D455" s="334" t="n"/>
      <c r="E455" s="334" t="n"/>
      <c r="F455" s="334" t="n"/>
      <c r="G455" s="334" t="n"/>
      <c r="H455" s="334" t="n"/>
      <c r="I455" s="334" t="n"/>
      <c r="J455" s="334" t="n"/>
      <c r="K455" s="334" t="n"/>
      <c r="L455" s="334" t="n"/>
      <c r="M455" s="334" t="n"/>
      <c r="N455" s="334" t="n"/>
      <c r="O455" s="334" t="n"/>
      <c r="P455" s="334" t="n"/>
      <c r="Q455" s="334" t="n"/>
      <c r="R455" s="334" t="n"/>
      <c r="S455" s="334" t="n"/>
      <c r="T455" s="334" t="n"/>
    </row>
    <row r="456">
      <c r="A456" s="334" t="n"/>
      <c r="B456" s="334" t="n"/>
      <c r="C456" s="334" t="n"/>
      <c r="D456" s="334" t="n"/>
      <c r="E456" s="334" t="n"/>
      <c r="F456" s="334" t="n"/>
      <c r="G456" s="334" t="n"/>
      <c r="H456" s="334" t="n"/>
      <c r="I456" s="334" t="n"/>
      <c r="J456" s="334" t="n"/>
      <c r="K456" s="334" t="n"/>
      <c r="L456" s="334" t="n"/>
      <c r="M456" s="334" t="n"/>
      <c r="N456" s="334" t="n"/>
      <c r="O456" s="334" t="n"/>
      <c r="P456" s="334" t="n"/>
      <c r="Q456" s="334" t="n"/>
      <c r="R456" s="334" t="n"/>
      <c r="S456" s="334" t="n"/>
      <c r="T456" s="334" t="n"/>
    </row>
    <row r="457">
      <c r="A457" s="334" t="n"/>
      <c r="B457" s="334" t="n"/>
      <c r="C457" s="334" t="n"/>
      <c r="D457" s="334" t="n"/>
      <c r="E457" s="334" t="n"/>
      <c r="F457" s="334" t="n"/>
      <c r="G457" s="334" t="n"/>
      <c r="H457" s="334" t="n"/>
      <c r="I457" s="334" t="n"/>
      <c r="J457" s="334" t="n"/>
      <c r="K457" s="334" t="n"/>
      <c r="L457" s="334" t="n"/>
      <c r="M457" s="334" t="n"/>
      <c r="N457" s="334" t="n"/>
      <c r="O457" s="334" t="n"/>
      <c r="P457" s="334" t="n"/>
      <c r="Q457" s="334" t="n"/>
      <c r="R457" s="334" t="n"/>
      <c r="S457" s="334" t="n"/>
      <c r="T457" s="334" t="n"/>
    </row>
    <row r="458">
      <c r="A458" s="334" t="n"/>
      <c r="B458" s="334" t="n"/>
      <c r="C458" s="334" t="n"/>
      <c r="D458" s="334" t="n"/>
      <c r="E458" s="334" t="n"/>
      <c r="F458" s="334" t="n"/>
      <c r="G458" s="334" t="n"/>
      <c r="H458" s="334" t="n"/>
      <c r="I458" s="334" t="n"/>
      <c r="J458" s="334" t="n"/>
      <c r="K458" s="334" t="n"/>
      <c r="L458" s="334" t="n"/>
      <c r="M458" s="334" t="n"/>
      <c r="N458" s="334" t="n"/>
      <c r="O458" s="334" t="n"/>
      <c r="P458" s="334" t="n"/>
      <c r="Q458" s="334" t="n"/>
      <c r="R458" s="334" t="n"/>
      <c r="S458" s="334" t="n"/>
      <c r="T458" s="334" t="n"/>
    </row>
    <row r="459">
      <c r="A459" s="334" t="n"/>
      <c r="B459" s="334" t="n"/>
      <c r="C459" s="334" t="n"/>
      <c r="D459" s="334" t="n"/>
      <c r="E459" s="334" t="n"/>
      <c r="F459" s="334" t="n"/>
      <c r="G459" s="334" t="n"/>
      <c r="H459" s="334" t="n"/>
      <c r="I459" s="334" t="n"/>
      <c r="J459" s="334" t="n"/>
      <c r="K459" s="334" t="n"/>
      <c r="L459" s="334" t="n"/>
      <c r="M459" s="334" t="n"/>
      <c r="N459" s="334" t="n"/>
      <c r="O459" s="334" t="n"/>
      <c r="P459" s="334" t="n"/>
      <c r="Q459" s="334" t="n"/>
      <c r="R459" s="334" t="n"/>
      <c r="S459" s="334" t="n"/>
      <c r="T459" s="334" t="n"/>
    </row>
    <row r="460">
      <c r="A460" s="334" t="n"/>
      <c r="B460" s="334" t="n"/>
      <c r="C460" s="334" t="n"/>
      <c r="D460" s="334" t="n"/>
      <c r="E460" s="334" t="n"/>
      <c r="F460" s="334" t="n"/>
      <c r="G460" s="334" t="n"/>
      <c r="H460" s="334" t="n"/>
      <c r="I460" s="334" t="n"/>
      <c r="J460" s="334" t="n"/>
      <c r="K460" s="334" t="n"/>
      <c r="L460" s="334" t="n"/>
      <c r="M460" s="334" t="n"/>
      <c r="N460" s="334" t="n"/>
      <c r="O460" s="334" t="n"/>
      <c r="P460" s="334" t="n"/>
      <c r="Q460" s="334" t="n"/>
      <c r="R460" s="334" t="n"/>
      <c r="S460" s="334" t="n"/>
      <c r="T460" s="334" t="n"/>
    </row>
    <row r="461">
      <c r="A461" s="334" t="n"/>
      <c r="B461" s="334" t="n"/>
      <c r="C461" s="334" t="n"/>
      <c r="D461" s="334" t="n"/>
      <c r="E461" s="334" t="n"/>
      <c r="F461" s="334" t="n"/>
      <c r="G461" s="334" t="n"/>
      <c r="H461" s="334" t="n"/>
      <c r="I461" s="334" t="n"/>
      <c r="J461" s="334" t="n"/>
      <c r="K461" s="334" t="n"/>
      <c r="L461" s="334" t="n"/>
      <c r="M461" s="334" t="n"/>
      <c r="N461" s="334" t="n"/>
      <c r="O461" s="334" t="n"/>
      <c r="P461" s="334" t="n"/>
      <c r="Q461" s="334" t="n"/>
      <c r="R461" s="334" t="n"/>
      <c r="S461" s="334" t="n"/>
      <c r="T461" s="334" t="n"/>
    </row>
    <row r="462">
      <c r="A462" s="334" t="n"/>
      <c r="B462" s="334" t="n"/>
      <c r="C462" s="334" t="n"/>
      <c r="D462" s="334" t="n"/>
      <c r="E462" s="334" t="n"/>
      <c r="F462" s="334" t="n"/>
      <c r="G462" s="334" t="n"/>
      <c r="H462" s="334" t="n"/>
      <c r="I462" s="334" t="n"/>
      <c r="J462" s="334" t="n"/>
      <c r="K462" s="334" t="n"/>
      <c r="L462" s="334" t="n"/>
      <c r="M462" s="334" t="n"/>
      <c r="N462" s="334" t="n"/>
      <c r="O462" s="334" t="n"/>
      <c r="P462" s="334" t="n"/>
      <c r="Q462" s="334" t="n"/>
      <c r="R462" s="334" t="n"/>
      <c r="S462" s="334" t="n"/>
      <c r="T462" s="334" t="n"/>
    </row>
    <row r="463">
      <c r="A463" s="334" t="n"/>
      <c r="B463" s="334" t="n"/>
      <c r="C463" s="334" t="n"/>
      <c r="D463" s="334" t="n"/>
      <c r="E463" s="334" t="n"/>
      <c r="F463" s="334" t="n"/>
      <c r="G463" s="334" t="n"/>
      <c r="H463" s="334" t="n"/>
      <c r="I463" s="334" t="n"/>
      <c r="J463" s="334" t="n"/>
      <c r="K463" s="334" t="n"/>
      <c r="L463" s="334" t="n"/>
      <c r="M463" s="334" t="n"/>
      <c r="N463" s="334" t="n"/>
      <c r="O463" s="334" t="n"/>
      <c r="P463" s="334" t="n"/>
      <c r="Q463" s="334" t="n"/>
      <c r="R463" s="334" t="n"/>
      <c r="S463" s="334" t="n"/>
      <c r="T463" s="334" t="n"/>
    </row>
    <row r="464">
      <c r="A464" s="334" t="n"/>
      <c r="B464" s="334" t="n"/>
      <c r="C464" s="334" t="n"/>
      <c r="D464" s="334" t="n"/>
      <c r="E464" s="334" t="n"/>
      <c r="F464" s="334" t="n"/>
      <c r="G464" s="334" t="n"/>
      <c r="H464" s="334" t="n"/>
      <c r="I464" s="334" t="n"/>
      <c r="J464" s="334" t="n"/>
      <c r="K464" s="334" t="n"/>
      <c r="L464" s="334" t="n"/>
      <c r="M464" s="334" t="n"/>
      <c r="N464" s="334" t="n"/>
      <c r="O464" s="334" t="n"/>
      <c r="P464" s="334" t="n"/>
      <c r="Q464" s="334" t="n"/>
      <c r="R464" s="334" t="n"/>
      <c r="S464" s="334" t="n"/>
      <c r="T464" s="334" t="n"/>
    </row>
    <row r="465">
      <c r="A465" s="334" t="n"/>
      <c r="B465" s="334" t="n"/>
      <c r="C465" s="334" t="n"/>
      <c r="D465" s="334" t="n"/>
      <c r="E465" s="334" t="n"/>
      <c r="F465" s="334" t="n"/>
      <c r="G465" s="334" t="n"/>
      <c r="H465" s="334" t="n"/>
      <c r="I465" s="334" t="n"/>
      <c r="J465" s="334" t="n"/>
      <c r="K465" s="334" t="n"/>
      <c r="L465" s="334" t="n"/>
      <c r="M465" s="334" t="n"/>
      <c r="N465" s="334" t="n"/>
      <c r="O465" s="334" t="n"/>
      <c r="P465" s="334" t="n"/>
      <c r="Q465" s="334" t="n"/>
      <c r="R465" s="334" t="n"/>
      <c r="S465" s="334" t="n"/>
      <c r="T465" s="334" t="n"/>
    </row>
    <row r="466">
      <c r="A466" s="334" t="n"/>
      <c r="B466" s="334" t="n"/>
      <c r="C466" s="334" t="n"/>
      <c r="D466" s="334" t="n"/>
      <c r="E466" s="334" t="n"/>
      <c r="F466" s="334" t="n"/>
      <c r="G466" s="334" t="n"/>
      <c r="H466" s="334" t="n"/>
      <c r="I466" s="334" t="n"/>
      <c r="J466" s="334" t="n"/>
      <c r="K466" s="334" t="n"/>
      <c r="L466" s="334" t="n"/>
      <c r="M466" s="334" t="n"/>
      <c r="N466" s="334" t="n"/>
      <c r="O466" s="334" t="n"/>
      <c r="P466" s="334" t="n"/>
      <c r="Q466" s="334" t="n"/>
      <c r="R466" s="334" t="n"/>
      <c r="S466" s="334" t="n"/>
      <c r="T466" s="334" t="n"/>
    </row>
    <row r="467">
      <c r="A467" s="334" t="n"/>
      <c r="B467" s="334" t="n"/>
      <c r="C467" s="334" t="n"/>
      <c r="D467" s="334" t="n"/>
      <c r="E467" s="334" t="n"/>
      <c r="F467" s="334" t="n"/>
      <c r="G467" s="334" t="n"/>
      <c r="H467" s="334" t="n"/>
      <c r="I467" s="334" t="n"/>
      <c r="J467" s="334" t="n"/>
      <c r="K467" s="334" t="n"/>
      <c r="L467" s="334" t="n"/>
      <c r="M467" s="334" t="n"/>
      <c r="N467" s="334" t="n"/>
      <c r="O467" s="334" t="n"/>
      <c r="P467" s="334" t="n"/>
      <c r="Q467" s="334" t="n"/>
      <c r="R467" s="334" t="n"/>
      <c r="S467" s="334" t="n"/>
      <c r="T467" s="334" t="n"/>
    </row>
    <row r="468">
      <c r="A468" s="334" t="n"/>
      <c r="B468" s="334" t="n"/>
      <c r="C468" s="334" t="n"/>
      <c r="D468" s="334" t="n"/>
      <c r="E468" s="334" t="n"/>
      <c r="F468" s="334" t="n"/>
      <c r="G468" s="334" t="n"/>
      <c r="H468" s="334" t="n"/>
      <c r="I468" s="334" t="n"/>
      <c r="J468" s="334" t="n"/>
      <c r="K468" s="334" t="n"/>
      <c r="L468" s="334" t="n"/>
      <c r="M468" s="334" t="n"/>
      <c r="N468" s="334" t="n"/>
      <c r="O468" s="334" t="n"/>
      <c r="P468" s="334" t="n"/>
      <c r="Q468" s="334" t="n"/>
      <c r="R468" s="334" t="n"/>
      <c r="S468" s="334" t="n"/>
      <c r="T468" s="334" t="n"/>
    </row>
    <row r="469">
      <c r="A469" s="334" t="n"/>
      <c r="B469" s="334" t="n"/>
      <c r="C469" s="334" t="n"/>
      <c r="D469" s="334" t="n"/>
      <c r="E469" s="334" t="n"/>
      <c r="F469" s="334" t="n"/>
      <c r="G469" s="334" t="n"/>
      <c r="H469" s="334" t="n"/>
      <c r="I469" s="334" t="n"/>
      <c r="J469" s="334" t="n"/>
      <c r="K469" s="334" t="n"/>
      <c r="L469" s="334" t="n"/>
      <c r="M469" s="334" t="n"/>
      <c r="N469" s="334" t="n"/>
      <c r="O469" s="334" t="n"/>
      <c r="P469" s="334" t="n"/>
      <c r="Q469" s="334" t="n"/>
      <c r="R469" s="334" t="n"/>
      <c r="S469" s="334" t="n"/>
      <c r="T469" s="334" t="n"/>
    </row>
    <row r="470">
      <c r="A470" s="334" t="n"/>
      <c r="B470" s="334" t="n"/>
      <c r="C470" s="334" t="n"/>
      <c r="D470" s="334" t="n"/>
      <c r="E470" s="334" t="n"/>
      <c r="F470" s="334" t="n"/>
      <c r="G470" s="334" t="n"/>
      <c r="H470" s="334" t="n"/>
      <c r="I470" s="334" t="n"/>
      <c r="J470" s="334" t="n"/>
      <c r="K470" s="334" t="n"/>
      <c r="L470" s="334" t="n"/>
      <c r="M470" s="334" t="n"/>
      <c r="N470" s="334" t="n"/>
      <c r="O470" s="334" t="n"/>
      <c r="P470" s="334" t="n"/>
      <c r="Q470" s="334" t="n"/>
      <c r="R470" s="334" t="n"/>
      <c r="S470" s="334" t="n"/>
      <c r="T470" s="334" t="n"/>
    </row>
    <row r="471">
      <c r="A471" s="334" t="n"/>
      <c r="B471" s="334" t="n"/>
      <c r="C471" s="334" t="n"/>
      <c r="D471" s="334" t="n"/>
      <c r="E471" s="334" t="n"/>
      <c r="F471" s="334" t="n"/>
      <c r="G471" s="334" t="n"/>
      <c r="H471" s="334" t="n"/>
      <c r="I471" s="334" t="n"/>
      <c r="J471" s="334" t="n"/>
      <c r="K471" s="334" t="n"/>
      <c r="L471" s="334" t="n"/>
      <c r="M471" s="334" t="n"/>
      <c r="N471" s="334" t="n"/>
      <c r="O471" s="334" t="n"/>
      <c r="P471" s="334" t="n"/>
      <c r="Q471" s="334" t="n"/>
      <c r="R471" s="334" t="n"/>
      <c r="S471" s="334" t="n"/>
      <c r="T471" s="334" t="n"/>
    </row>
    <row r="472">
      <c r="A472" s="334" t="n"/>
      <c r="B472" s="334" t="n"/>
      <c r="C472" s="334" t="n"/>
      <c r="D472" s="334" t="n"/>
      <c r="E472" s="334" t="n"/>
      <c r="F472" s="334" t="n"/>
      <c r="G472" s="334" t="n"/>
      <c r="H472" s="334" t="n"/>
      <c r="I472" s="334" t="n"/>
      <c r="J472" s="334" t="n"/>
      <c r="K472" s="334" t="n"/>
      <c r="L472" s="334" t="n"/>
      <c r="M472" s="334" t="n"/>
      <c r="N472" s="334" t="n"/>
      <c r="O472" s="334" t="n"/>
      <c r="P472" s="334" t="n"/>
      <c r="Q472" s="334" t="n"/>
      <c r="R472" s="334" t="n"/>
      <c r="S472" s="334" t="n"/>
      <c r="T472" s="334" t="n"/>
    </row>
    <row r="473">
      <c r="A473" s="334" t="n"/>
      <c r="B473" s="334" t="n"/>
      <c r="C473" s="334" t="n"/>
      <c r="D473" s="334" t="n"/>
      <c r="E473" s="334" t="n"/>
      <c r="F473" s="334" t="n"/>
      <c r="G473" s="334" t="n"/>
      <c r="H473" s="334" t="n"/>
      <c r="I473" s="334" t="n"/>
      <c r="J473" s="334" t="n"/>
      <c r="K473" s="334" t="n"/>
      <c r="L473" s="334" t="n"/>
      <c r="M473" s="334" t="n"/>
      <c r="N473" s="334" t="n"/>
      <c r="O473" s="334" t="n"/>
      <c r="P473" s="334" t="n"/>
      <c r="Q473" s="334" t="n"/>
      <c r="R473" s="334" t="n"/>
      <c r="S473" s="334" t="n"/>
      <c r="T473" s="334" t="n"/>
    </row>
    <row r="474">
      <c r="A474" s="334" t="n"/>
      <c r="B474" s="334" t="n"/>
      <c r="C474" s="334" t="n"/>
      <c r="D474" s="334" t="n"/>
      <c r="E474" s="334" t="n"/>
      <c r="F474" s="334" t="n"/>
      <c r="G474" s="334" t="n"/>
      <c r="H474" s="334" t="n"/>
      <c r="I474" s="334" t="n"/>
      <c r="J474" s="334" t="n"/>
      <c r="K474" s="334" t="n"/>
      <c r="L474" s="334" t="n"/>
      <c r="M474" s="334" t="n"/>
      <c r="N474" s="334" t="n"/>
      <c r="O474" s="334" t="n"/>
      <c r="P474" s="334" t="n"/>
      <c r="Q474" s="334" t="n"/>
      <c r="R474" s="334" t="n"/>
      <c r="S474" s="334" t="n"/>
      <c r="T474" s="334" t="n"/>
    </row>
    <row r="475">
      <c r="A475" s="334" t="n"/>
      <c r="B475" s="334" t="n"/>
      <c r="C475" s="334" t="n"/>
      <c r="D475" s="334" t="n"/>
      <c r="E475" s="334" t="n"/>
      <c r="F475" s="334" t="n"/>
      <c r="G475" s="334" t="n"/>
      <c r="H475" s="334" t="n"/>
      <c r="I475" s="334" t="n"/>
      <c r="J475" s="334" t="n"/>
      <c r="K475" s="334" t="n"/>
      <c r="L475" s="334" t="n"/>
      <c r="M475" s="334" t="n"/>
      <c r="N475" s="334" t="n"/>
      <c r="O475" s="334" t="n"/>
      <c r="P475" s="334" t="n"/>
      <c r="Q475" s="334" t="n"/>
      <c r="R475" s="334" t="n"/>
      <c r="S475" s="334" t="n"/>
      <c r="T475" s="334" t="n"/>
    </row>
    <row r="476">
      <c r="A476" s="334" t="n"/>
      <c r="B476" s="334" t="n"/>
      <c r="C476" s="334" t="n"/>
      <c r="D476" s="334" t="n"/>
      <c r="E476" s="334" t="n"/>
      <c r="F476" s="334" t="n"/>
      <c r="G476" s="334" t="n"/>
      <c r="H476" s="334" t="n"/>
      <c r="I476" s="334" t="n"/>
      <c r="J476" s="334" t="n"/>
      <c r="K476" s="334" t="n"/>
      <c r="L476" s="334" t="n"/>
      <c r="M476" s="334" t="n"/>
      <c r="N476" s="334" t="n"/>
      <c r="O476" s="334" t="n"/>
      <c r="P476" s="334" t="n"/>
      <c r="Q476" s="334" t="n"/>
      <c r="R476" s="334" t="n"/>
      <c r="S476" s="334" t="n"/>
      <c r="T476" s="334" t="n"/>
    </row>
    <row r="477">
      <c r="A477" s="334" t="n"/>
      <c r="B477" s="334" t="n"/>
      <c r="C477" s="334" t="n"/>
      <c r="D477" s="334" t="n"/>
      <c r="E477" s="334" t="n"/>
      <c r="F477" s="334" t="n"/>
      <c r="G477" s="334" t="n"/>
      <c r="H477" s="334" t="n"/>
      <c r="I477" s="334" t="n"/>
      <c r="J477" s="334" t="n"/>
      <c r="K477" s="334" t="n"/>
      <c r="L477" s="334" t="n"/>
      <c r="M477" s="334" t="n"/>
      <c r="N477" s="334" t="n"/>
      <c r="O477" s="334" t="n"/>
      <c r="P477" s="334" t="n"/>
      <c r="Q477" s="334" t="n"/>
      <c r="R477" s="334" t="n"/>
      <c r="S477" s="334" t="n"/>
      <c r="T477" s="334" t="n"/>
    </row>
    <row r="478">
      <c r="A478" s="334" t="n"/>
      <c r="B478" s="334" t="n"/>
      <c r="C478" s="334" t="n"/>
      <c r="D478" s="334" t="n"/>
      <c r="E478" s="334" t="n"/>
      <c r="F478" s="334" t="n"/>
      <c r="G478" s="334" t="n"/>
      <c r="H478" s="334" t="n"/>
      <c r="I478" s="334" t="n"/>
      <c r="J478" s="334" t="n"/>
      <c r="K478" s="334" t="n"/>
      <c r="L478" s="334" t="n"/>
      <c r="M478" s="334" t="n"/>
      <c r="N478" s="334" t="n"/>
      <c r="O478" s="334" t="n"/>
      <c r="P478" s="334" t="n"/>
      <c r="Q478" s="334" t="n"/>
      <c r="R478" s="334" t="n"/>
      <c r="S478" s="334" t="n"/>
      <c r="T478" s="334" t="n"/>
    </row>
    <row r="479">
      <c r="A479" s="334" t="n"/>
      <c r="B479" s="334" t="n"/>
      <c r="C479" s="334" t="n"/>
      <c r="D479" s="334" t="n"/>
      <c r="E479" s="334" t="n"/>
      <c r="F479" s="334" t="n"/>
      <c r="G479" s="334" t="n"/>
      <c r="H479" s="334" t="n"/>
      <c r="I479" s="334" t="n"/>
      <c r="J479" s="334" t="n"/>
      <c r="K479" s="334" t="n"/>
      <c r="L479" s="334" t="n"/>
      <c r="M479" s="334" t="n"/>
      <c r="N479" s="334" t="n"/>
      <c r="O479" s="334" t="n"/>
      <c r="P479" s="334" t="n"/>
      <c r="Q479" s="334" t="n"/>
      <c r="R479" s="334" t="n"/>
      <c r="S479" s="334" t="n"/>
      <c r="T479" s="334" t="n"/>
    </row>
    <row r="480">
      <c r="A480" s="334" t="n"/>
      <c r="B480" s="334" t="n"/>
      <c r="C480" s="334" t="n"/>
      <c r="D480" s="334" t="n"/>
      <c r="E480" s="334" t="n"/>
      <c r="F480" s="334" t="n"/>
      <c r="G480" s="334" t="n"/>
      <c r="H480" s="334" t="n"/>
      <c r="I480" s="334" t="n"/>
      <c r="J480" s="334" t="n"/>
      <c r="K480" s="334" t="n"/>
      <c r="L480" s="334" t="n"/>
      <c r="M480" s="334" t="n"/>
      <c r="N480" s="334" t="n"/>
      <c r="O480" s="334" t="n"/>
      <c r="P480" s="334" t="n"/>
      <c r="Q480" s="334" t="n"/>
      <c r="R480" s="334" t="n"/>
      <c r="S480" s="334" t="n"/>
      <c r="T480" s="334" t="n"/>
    </row>
    <row r="481">
      <c r="A481" s="334" t="n"/>
      <c r="B481" s="334" t="n"/>
      <c r="C481" s="334" t="n"/>
      <c r="D481" s="334" t="n"/>
      <c r="E481" s="334" t="n"/>
      <c r="F481" s="334" t="n"/>
      <c r="G481" s="334" t="n"/>
      <c r="H481" s="334" t="n"/>
      <c r="I481" s="334" t="n"/>
      <c r="J481" s="334" t="n"/>
      <c r="K481" s="334" t="n"/>
      <c r="L481" s="334" t="n"/>
      <c r="M481" s="334" t="n"/>
      <c r="N481" s="334" t="n"/>
      <c r="O481" s="334" t="n"/>
      <c r="P481" s="334" t="n"/>
      <c r="Q481" s="334" t="n"/>
      <c r="R481" s="334" t="n"/>
      <c r="S481" s="334" t="n"/>
      <c r="T481" s="334" t="n"/>
    </row>
    <row r="482">
      <c r="A482" s="334" t="n"/>
      <c r="B482" s="334" t="n"/>
      <c r="C482" s="334" t="n"/>
      <c r="D482" s="334" t="n"/>
      <c r="E482" s="334" t="n"/>
      <c r="F482" s="334" t="n"/>
      <c r="G482" s="334" t="n"/>
      <c r="H482" s="334" t="n"/>
      <c r="I482" s="334" t="n"/>
      <c r="J482" s="334" t="n"/>
      <c r="K482" s="334" t="n"/>
      <c r="L482" s="334" t="n"/>
      <c r="M482" s="334" t="n"/>
      <c r="N482" s="334" t="n"/>
      <c r="O482" s="334" t="n"/>
      <c r="P482" s="334" t="n"/>
      <c r="Q482" s="334" t="n"/>
      <c r="R482" s="334" t="n"/>
      <c r="S482" s="334" t="n"/>
      <c r="T482" s="334" t="n"/>
    </row>
    <row r="483">
      <c r="A483" s="334" t="n"/>
      <c r="B483" s="334" t="n"/>
      <c r="C483" s="334" t="n"/>
      <c r="D483" s="334" t="n"/>
      <c r="E483" s="334" t="n"/>
      <c r="F483" s="334" t="n"/>
      <c r="G483" s="334" t="n"/>
      <c r="H483" s="334" t="n"/>
      <c r="I483" s="334" t="n"/>
      <c r="J483" s="334" t="n"/>
      <c r="K483" s="334" t="n"/>
      <c r="L483" s="334" t="n"/>
      <c r="M483" s="334" t="n"/>
      <c r="N483" s="334" t="n"/>
      <c r="O483" s="334" t="n"/>
      <c r="P483" s="334" t="n"/>
      <c r="Q483" s="334" t="n"/>
      <c r="R483" s="334" t="n"/>
      <c r="S483" s="334" t="n"/>
      <c r="T483" s="334" t="n"/>
    </row>
    <row r="484">
      <c r="A484" s="334" t="n"/>
      <c r="B484" s="334" t="n"/>
      <c r="C484" s="334" t="n"/>
      <c r="D484" s="334" t="n"/>
      <c r="E484" s="334" t="n"/>
      <c r="F484" s="334" t="n"/>
      <c r="G484" s="334" t="n"/>
      <c r="H484" s="334" t="n"/>
      <c r="I484" s="334" t="n"/>
      <c r="J484" s="334" t="n"/>
      <c r="K484" s="334" t="n"/>
      <c r="L484" s="334" t="n"/>
      <c r="M484" s="334" t="n"/>
      <c r="N484" s="334" t="n"/>
      <c r="O484" s="334" t="n"/>
      <c r="P484" s="334" t="n"/>
      <c r="Q484" s="334" t="n"/>
      <c r="R484" s="334" t="n"/>
      <c r="S484" s="334" t="n"/>
      <c r="T484" s="334" t="n"/>
    </row>
    <row r="485">
      <c r="A485" s="334" t="n"/>
      <c r="B485" s="334" t="n"/>
      <c r="C485" s="334" t="n"/>
      <c r="D485" s="334" t="n"/>
      <c r="E485" s="334" t="n"/>
      <c r="F485" s="334" t="n"/>
      <c r="G485" s="334" t="n"/>
      <c r="H485" s="334" t="n"/>
      <c r="I485" s="334" t="n"/>
      <c r="J485" s="334" t="n"/>
      <c r="K485" s="334" t="n"/>
      <c r="L485" s="334" t="n"/>
      <c r="M485" s="334" t="n"/>
      <c r="N485" s="334" t="n"/>
      <c r="O485" s="334" t="n"/>
      <c r="P485" s="334" t="n"/>
      <c r="Q485" s="334" t="n"/>
      <c r="R485" s="334" t="n"/>
      <c r="S485" s="334" t="n"/>
      <c r="T485" s="334" t="n"/>
    </row>
    <row r="486">
      <c r="A486" s="334" t="n"/>
      <c r="B486" s="334" t="n"/>
      <c r="C486" s="334" t="n"/>
      <c r="D486" s="334" t="n"/>
      <c r="E486" s="334" t="n"/>
      <c r="F486" s="334" t="n"/>
      <c r="G486" s="334" t="n"/>
      <c r="H486" s="334" t="n"/>
      <c r="I486" s="334" t="n"/>
      <c r="J486" s="334" t="n"/>
      <c r="K486" s="334" t="n"/>
      <c r="L486" s="334" t="n"/>
      <c r="M486" s="334" t="n"/>
      <c r="N486" s="334" t="n"/>
      <c r="O486" s="334" t="n"/>
      <c r="P486" s="334" t="n"/>
      <c r="Q486" s="334" t="n"/>
      <c r="R486" s="334" t="n"/>
      <c r="S486" s="334" t="n"/>
      <c r="T486" s="334" t="n"/>
    </row>
    <row r="487">
      <c r="A487" s="334" t="n"/>
      <c r="B487" s="334" t="n"/>
      <c r="C487" s="334" t="n"/>
      <c r="D487" s="334" t="n"/>
      <c r="E487" s="334" t="n"/>
      <c r="F487" s="334" t="n"/>
      <c r="G487" s="334" t="n"/>
      <c r="H487" s="334" t="n"/>
      <c r="I487" s="334" t="n"/>
      <c r="J487" s="334" t="n"/>
      <c r="K487" s="334" t="n"/>
      <c r="L487" s="334" t="n"/>
      <c r="M487" s="334" t="n"/>
      <c r="N487" s="334" t="n"/>
      <c r="O487" s="334" t="n"/>
      <c r="P487" s="334" t="n"/>
      <c r="Q487" s="334" t="n"/>
      <c r="R487" s="334" t="n"/>
      <c r="S487" s="334" t="n"/>
      <c r="T487" s="334" t="n"/>
    </row>
    <row r="488">
      <c r="A488" s="334" t="n"/>
      <c r="B488" s="334" t="n"/>
      <c r="C488" s="334" t="n"/>
      <c r="D488" s="334" t="n"/>
      <c r="E488" s="334" t="n"/>
      <c r="F488" s="334" t="n"/>
      <c r="G488" s="334" t="n"/>
      <c r="H488" s="334" t="n"/>
      <c r="I488" s="334" t="n"/>
      <c r="J488" s="334" t="n"/>
      <c r="K488" s="334" t="n"/>
      <c r="L488" s="334" t="n"/>
      <c r="M488" s="334" t="n"/>
      <c r="N488" s="334" t="n"/>
      <c r="O488" s="334" t="n"/>
      <c r="P488" s="334" t="n"/>
      <c r="Q488" s="334" t="n"/>
      <c r="R488" s="334" t="n"/>
      <c r="S488" s="334" t="n"/>
      <c r="T488" s="334" t="n"/>
    </row>
    <row r="489">
      <c r="A489" s="334" t="n"/>
      <c r="B489" s="334" t="n"/>
      <c r="C489" s="334" t="n"/>
      <c r="D489" s="334" t="n"/>
      <c r="E489" s="334" t="n"/>
      <c r="F489" s="334" t="n"/>
      <c r="G489" s="334" t="n"/>
      <c r="H489" s="334" t="n"/>
      <c r="I489" s="334" t="n"/>
      <c r="J489" s="334" t="n"/>
      <c r="K489" s="334" t="n"/>
      <c r="L489" s="334" t="n"/>
      <c r="M489" s="334" t="n"/>
      <c r="N489" s="334" t="n"/>
      <c r="O489" s="334" t="n"/>
      <c r="P489" s="334" t="n"/>
      <c r="Q489" s="334" t="n"/>
      <c r="R489" s="334" t="n"/>
      <c r="S489" s="334" t="n"/>
      <c r="T489" s="334" t="n"/>
    </row>
    <row r="490">
      <c r="A490" s="334" t="n"/>
      <c r="B490" s="334" t="n"/>
      <c r="C490" s="334" t="n"/>
      <c r="D490" s="334" t="n"/>
      <c r="E490" s="334" t="n"/>
      <c r="F490" s="334" t="n"/>
      <c r="G490" s="334" t="n"/>
      <c r="H490" s="334" t="n"/>
      <c r="I490" s="334" t="n"/>
      <c r="J490" s="334" t="n"/>
      <c r="K490" s="334" t="n"/>
      <c r="L490" s="334" t="n"/>
      <c r="M490" s="334" t="n"/>
      <c r="N490" s="334" t="n"/>
      <c r="O490" s="334" t="n"/>
      <c r="P490" s="334" t="n"/>
      <c r="Q490" s="334" t="n"/>
      <c r="R490" s="334" t="n"/>
      <c r="S490" s="334" t="n"/>
      <c r="T490" s="334" t="n"/>
    </row>
    <row r="491">
      <c r="A491" s="334" t="n"/>
      <c r="B491" s="334" t="n"/>
      <c r="C491" s="334" t="n"/>
      <c r="D491" s="334" t="n"/>
      <c r="E491" s="334" t="n"/>
      <c r="F491" s="334" t="n"/>
      <c r="G491" s="334" t="n"/>
      <c r="H491" s="334" t="n"/>
      <c r="I491" s="334" t="n"/>
      <c r="J491" s="334" t="n"/>
      <c r="K491" s="334" t="n"/>
      <c r="L491" s="334" t="n"/>
      <c r="M491" s="334" t="n"/>
      <c r="N491" s="334" t="n"/>
      <c r="O491" s="334" t="n"/>
      <c r="P491" s="334" t="n"/>
      <c r="Q491" s="334" t="n"/>
      <c r="R491" s="334" t="n"/>
      <c r="S491" s="334" t="n"/>
      <c r="T491" s="334" t="n"/>
    </row>
    <row r="492">
      <c r="A492" s="334" t="n"/>
      <c r="B492" s="334" t="n"/>
      <c r="C492" s="334" t="n"/>
      <c r="D492" s="334" t="n"/>
      <c r="E492" s="334" t="n"/>
      <c r="F492" s="334" t="n"/>
      <c r="G492" s="334" t="n"/>
      <c r="H492" s="334" t="n"/>
      <c r="I492" s="334" t="n"/>
      <c r="J492" s="334" t="n"/>
      <c r="K492" s="334" t="n"/>
      <c r="L492" s="334" t="n"/>
      <c r="M492" s="334" t="n"/>
      <c r="N492" s="334" t="n"/>
      <c r="O492" s="334" t="n"/>
      <c r="P492" s="334" t="n"/>
      <c r="Q492" s="334" t="n"/>
      <c r="R492" s="334" t="n"/>
      <c r="S492" s="334" t="n"/>
      <c r="T492" s="334" t="n"/>
    </row>
    <row r="493">
      <c r="A493" s="334" t="n"/>
      <c r="B493" s="334" t="n"/>
      <c r="C493" s="334" t="n"/>
      <c r="D493" s="334" t="n"/>
      <c r="E493" s="334" t="n"/>
      <c r="F493" s="334" t="n"/>
      <c r="G493" s="334" t="n"/>
      <c r="H493" s="334" t="n"/>
      <c r="I493" s="334" t="n"/>
      <c r="J493" s="334" t="n"/>
      <c r="K493" s="334" t="n"/>
      <c r="L493" s="334" t="n"/>
      <c r="M493" s="334" t="n"/>
      <c r="N493" s="334" t="n"/>
      <c r="O493" s="334" t="n"/>
      <c r="P493" s="334" t="n"/>
      <c r="Q493" s="334" t="n"/>
      <c r="R493" s="334" t="n"/>
      <c r="S493" s="334" t="n"/>
      <c r="T493" s="334" t="n"/>
    </row>
    <row r="494">
      <c r="A494" s="334" t="n"/>
      <c r="B494" s="334" t="n"/>
      <c r="C494" s="334" t="n"/>
      <c r="D494" s="334" t="n"/>
      <c r="E494" s="334" t="n"/>
      <c r="F494" s="334" t="n"/>
      <c r="G494" s="334" t="n"/>
      <c r="H494" s="334" t="n"/>
      <c r="I494" s="334" t="n"/>
      <c r="J494" s="334" t="n"/>
      <c r="K494" s="334" t="n"/>
      <c r="L494" s="334" t="n"/>
      <c r="M494" s="334" t="n"/>
      <c r="N494" s="334" t="n"/>
      <c r="O494" s="334" t="n"/>
      <c r="P494" s="334" t="n"/>
      <c r="Q494" s="334" t="n"/>
      <c r="R494" s="334" t="n"/>
      <c r="S494" s="334" t="n"/>
      <c r="T494" s="334" t="n"/>
    </row>
    <row r="495">
      <c r="A495" s="334" t="n"/>
      <c r="B495" s="334" t="n"/>
      <c r="C495" s="334" t="n"/>
      <c r="D495" s="334" t="n"/>
      <c r="E495" s="334" t="n"/>
      <c r="F495" s="334" t="n"/>
      <c r="G495" s="334" t="n"/>
      <c r="H495" s="334" t="n"/>
      <c r="I495" s="334" t="n"/>
      <c r="J495" s="334" t="n"/>
      <c r="K495" s="334" t="n"/>
      <c r="L495" s="334" t="n"/>
      <c r="M495" s="334" t="n"/>
      <c r="N495" s="334" t="n"/>
      <c r="O495" s="334" t="n"/>
      <c r="P495" s="334" t="n"/>
      <c r="Q495" s="334" t="n"/>
      <c r="R495" s="334" t="n"/>
      <c r="S495" s="334" t="n"/>
      <c r="T495" s="334" t="n"/>
    </row>
    <row r="496">
      <c r="A496" s="334" t="n"/>
      <c r="B496" s="334" t="n"/>
      <c r="C496" s="334" t="n"/>
      <c r="D496" s="334" t="n"/>
      <c r="E496" s="334" t="n"/>
      <c r="F496" s="334" t="n"/>
      <c r="G496" s="334" t="n"/>
      <c r="H496" s="334" t="n"/>
      <c r="I496" s="334" t="n"/>
      <c r="J496" s="334" t="n"/>
      <c r="K496" s="334" t="n"/>
      <c r="L496" s="334" t="n"/>
      <c r="M496" s="334" t="n"/>
      <c r="N496" s="334" t="n"/>
      <c r="O496" s="334" t="n"/>
      <c r="P496" s="334" t="n"/>
      <c r="Q496" s="334" t="n"/>
      <c r="R496" s="334" t="n"/>
      <c r="S496" s="334" t="n"/>
      <c r="T496" s="334" t="n"/>
    </row>
    <row r="497">
      <c r="A497" s="334" t="n"/>
      <c r="B497" s="334" t="n"/>
      <c r="C497" s="334" t="n"/>
      <c r="D497" s="334" t="n"/>
      <c r="E497" s="334" t="n"/>
      <c r="F497" s="334" t="n"/>
      <c r="G497" s="334" t="n"/>
      <c r="H497" s="334" t="n"/>
      <c r="I497" s="334" t="n"/>
      <c r="J497" s="334" t="n"/>
      <c r="K497" s="334" t="n"/>
      <c r="L497" s="334" t="n"/>
      <c r="M497" s="334" t="n"/>
      <c r="N497" s="334" t="n"/>
      <c r="O497" s="334" t="n"/>
      <c r="P497" s="334" t="n"/>
      <c r="Q497" s="334" t="n"/>
      <c r="R497" s="334" t="n"/>
      <c r="S497" s="334" t="n"/>
      <c r="T497" s="334" t="n"/>
    </row>
    <row r="498">
      <c r="A498" s="334" t="n"/>
      <c r="B498" s="334" t="n"/>
      <c r="C498" s="334" t="n"/>
      <c r="D498" s="334" t="n"/>
      <c r="E498" s="334" t="n"/>
      <c r="F498" s="334" t="n"/>
      <c r="G498" s="334" t="n"/>
      <c r="H498" s="334" t="n"/>
      <c r="I498" s="334" t="n"/>
      <c r="J498" s="334" t="n"/>
      <c r="K498" s="334" t="n"/>
      <c r="L498" s="334" t="n"/>
      <c r="M498" s="334" t="n"/>
      <c r="N498" s="334" t="n"/>
      <c r="O498" s="334" t="n"/>
      <c r="P498" s="334" t="n"/>
      <c r="Q498" s="334" t="n"/>
      <c r="R498" s="334" t="n"/>
      <c r="S498" s="334" t="n"/>
      <c r="T498" s="334" t="n"/>
    </row>
    <row r="499">
      <c r="A499" s="334" t="n"/>
      <c r="B499" s="334" t="n"/>
      <c r="C499" s="334" t="n"/>
      <c r="D499" s="334" t="n"/>
      <c r="E499" s="334" t="n"/>
      <c r="F499" s="334" t="n"/>
      <c r="G499" s="334" t="n"/>
      <c r="H499" s="334" t="n"/>
      <c r="I499" s="334" t="n"/>
      <c r="J499" s="334" t="n"/>
      <c r="K499" s="334" t="n"/>
      <c r="L499" s="334" t="n"/>
      <c r="M499" s="334" t="n"/>
      <c r="N499" s="334" t="n"/>
      <c r="O499" s="334" t="n"/>
      <c r="P499" s="334" t="n"/>
      <c r="Q499" s="334" t="n"/>
      <c r="R499" s="334" t="n"/>
      <c r="S499" s="334" t="n"/>
      <c r="T499" s="334" t="n"/>
    </row>
    <row r="500">
      <c r="A500" s="334" t="n"/>
      <c r="B500" s="334" t="n"/>
      <c r="C500" s="334" t="n"/>
      <c r="D500" s="334" t="n"/>
      <c r="E500" s="334" t="n"/>
      <c r="F500" s="334" t="n"/>
      <c r="G500" s="334" t="n"/>
      <c r="H500" s="334" t="n"/>
      <c r="I500" s="334" t="n"/>
      <c r="J500" s="334" t="n"/>
      <c r="K500" s="334" t="n"/>
      <c r="L500" s="334" t="n"/>
      <c r="M500" s="334" t="n"/>
      <c r="N500" s="334" t="n"/>
      <c r="O500" s="334" t="n"/>
      <c r="P500" s="334" t="n"/>
      <c r="Q500" s="334" t="n"/>
      <c r="R500" s="334" t="n"/>
      <c r="S500" s="334" t="n"/>
      <c r="T500" s="334" t="n"/>
    </row>
    <row r="501">
      <c r="A501" s="334" t="n"/>
      <c r="B501" s="334" t="n"/>
      <c r="C501" s="334" t="n"/>
      <c r="D501" s="334" t="n"/>
      <c r="E501" s="334" t="n"/>
      <c r="F501" s="334" t="n"/>
      <c r="G501" s="334" t="n"/>
      <c r="H501" s="334" t="n"/>
      <c r="I501" s="334" t="n"/>
      <c r="J501" s="334" t="n"/>
      <c r="K501" s="334" t="n"/>
      <c r="L501" s="334" t="n"/>
      <c r="M501" s="334" t="n"/>
      <c r="N501" s="334" t="n"/>
      <c r="O501" s="334" t="n"/>
      <c r="P501" s="334" t="n"/>
      <c r="Q501" s="334" t="n"/>
      <c r="R501" s="334" t="n"/>
      <c r="S501" s="334" t="n"/>
      <c r="T501" s="334" t="n"/>
    </row>
    <row r="502">
      <c r="A502" s="334" t="n"/>
      <c r="B502" s="334" t="n"/>
      <c r="C502" s="334" t="n"/>
      <c r="D502" s="334" t="n"/>
      <c r="E502" s="334" t="n"/>
      <c r="F502" s="334" t="n"/>
      <c r="G502" s="334" t="n"/>
      <c r="H502" s="334" t="n"/>
      <c r="I502" s="334" t="n"/>
      <c r="J502" s="334" t="n"/>
      <c r="K502" s="334" t="n"/>
      <c r="L502" s="334" t="n"/>
      <c r="M502" s="334" t="n"/>
      <c r="N502" s="334" t="n"/>
      <c r="O502" s="334" t="n"/>
      <c r="P502" s="334" t="n"/>
      <c r="Q502" s="334" t="n"/>
      <c r="R502" s="334" t="n"/>
      <c r="S502" s="334" t="n"/>
      <c r="T502" s="334" t="n"/>
    </row>
    <row r="503">
      <c r="A503" s="334" t="n"/>
      <c r="B503" s="334" t="n"/>
      <c r="C503" s="334" t="n"/>
      <c r="D503" s="334" t="n"/>
      <c r="E503" s="334" t="n"/>
      <c r="F503" s="334" t="n"/>
      <c r="G503" s="334" t="n"/>
      <c r="H503" s="334" t="n"/>
      <c r="I503" s="334" t="n"/>
      <c r="J503" s="334" t="n"/>
      <c r="K503" s="334" t="n"/>
      <c r="L503" s="334" t="n"/>
      <c r="M503" s="334" t="n"/>
      <c r="N503" s="334" t="n"/>
      <c r="O503" s="334" t="n"/>
      <c r="P503" s="334" t="n"/>
      <c r="Q503" s="334" t="n"/>
      <c r="R503" s="334" t="n"/>
      <c r="S503" s="334" t="n"/>
      <c r="T503" s="334" t="n"/>
    </row>
    <row r="504">
      <c r="A504" s="334" t="n"/>
      <c r="B504" s="334" t="n"/>
      <c r="C504" s="334" t="n"/>
      <c r="D504" s="334" t="n"/>
      <c r="E504" s="334" t="n"/>
      <c r="F504" s="334" t="n"/>
      <c r="G504" s="334" t="n"/>
      <c r="H504" s="334" t="n"/>
      <c r="I504" s="334" t="n"/>
      <c r="J504" s="334" t="n"/>
      <c r="K504" s="334" t="n"/>
      <c r="L504" s="334" t="n"/>
      <c r="M504" s="334" t="n"/>
      <c r="N504" s="334" t="n"/>
      <c r="O504" s="334" t="n"/>
      <c r="P504" s="334" t="n"/>
      <c r="Q504" s="334" t="n"/>
      <c r="R504" s="334" t="n"/>
      <c r="S504" s="334" t="n"/>
      <c r="T504" s="334" t="n"/>
    </row>
    <row r="505">
      <c r="A505" s="334" t="n"/>
      <c r="B505" s="334" t="n"/>
      <c r="C505" s="334" t="n"/>
      <c r="D505" s="334" t="n"/>
      <c r="E505" s="334" t="n"/>
      <c r="F505" s="334" t="n"/>
      <c r="G505" s="334" t="n"/>
      <c r="H505" s="334" t="n"/>
      <c r="I505" s="334" t="n"/>
      <c r="J505" s="334" t="n"/>
      <c r="K505" s="334" t="n"/>
      <c r="L505" s="334" t="n"/>
      <c r="M505" s="334" t="n"/>
      <c r="N505" s="334" t="n"/>
      <c r="O505" s="334" t="n"/>
      <c r="P505" s="334" t="n"/>
      <c r="Q505" s="334" t="n"/>
      <c r="R505" s="334" t="n"/>
      <c r="S505" s="334" t="n"/>
      <c r="T505" s="334" t="n"/>
    </row>
    <row r="506">
      <c r="A506" s="334" t="n"/>
      <c r="B506" s="334" t="n"/>
      <c r="C506" s="334" t="n"/>
      <c r="D506" s="334" t="n"/>
      <c r="E506" s="334" t="n"/>
      <c r="F506" s="334" t="n"/>
      <c r="G506" s="334" t="n"/>
      <c r="H506" s="334" t="n"/>
      <c r="I506" s="334" t="n"/>
      <c r="J506" s="334" t="n"/>
      <c r="K506" s="334" t="n"/>
      <c r="L506" s="334" t="n"/>
      <c r="M506" s="334" t="n"/>
      <c r="N506" s="334" t="n"/>
      <c r="O506" s="334" t="n"/>
      <c r="P506" s="334" t="n"/>
      <c r="Q506" s="334" t="n"/>
      <c r="R506" s="334" t="n"/>
      <c r="S506" s="334" t="n"/>
      <c r="T506" s="334" t="n"/>
    </row>
    <row r="507">
      <c r="A507" s="334" t="n"/>
      <c r="B507" s="334" t="n"/>
      <c r="C507" s="334" t="n"/>
      <c r="D507" s="334" t="n"/>
      <c r="E507" s="334" t="n"/>
      <c r="F507" s="334" t="n"/>
      <c r="G507" s="334" t="n"/>
      <c r="H507" s="334" t="n"/>
      <c r="I507" s="334" t="n"/>
      <c r="J507" s="334" t="n"/>
      <c r="K507" s="334" t="n"/>
      <c r="L507" s="334" t="n"/>
      <c r="M507" s="334" t="n"/>
      <c r="N507" s="334" t="n"/>
      <c r="O507" s="334" t="n"/>
      <c r="P507" s="334" t="n"/>
      <c r="Q507" s="334" t="n"/>
      <c r="R507" s="334" t="n"/>
      <c r="S507" s="334" t="n"/>
      <c r="T507" s="334" t="n"/>
    </row>
    <row r="508">
      <c r="A508" s="334" t="n"/>
      <c r="B508" s="334" t="n"/>
      <c r="C508" s="334" t="n"/>
      <c r="D508" s="334" t="n"/>
      <c r="E508" s="334" t="n"/>
      <c r="F508" s="334" t="n"/>
      <c r="G508" s="334" t="n"/>
      <c r="H508" s="334" t="n"/>
      <c r="I508" s="334" t="n"/>
      <c r="J508" s="334" t="n"/>
      <c r="K508" s="334" t="n"/>
      <c r="L508" s="334" t="n"/>
      <c r="M508" s="334" t="n"/>
      <c r="N508" s="334" t="n"/>
      <c r="O508" s="334" t="n"/>
      <c r="P508" s="334" t="n"/>
      <c r="Q508" s="334" t="n"/>
      <c r="R508" s="334" t="n"/>
      <c r="S508" s="334" t="n"/>
      <c r="T508" s="334" t="n"/>
    </row>
    <row r="509">
      <c r="A509" s="334" t="n"/>
      <c r="B509" s="334" t="n"/>
      <c r="C509" s="334" t="n"/>
      <c r="D509" s="334" t="n"/>
      <c r="E509" s="334" t="n"/>
      <c r="F509" s="334" t="n"/>
      <c r="G509" s="334" t="n"/>
      <c r="H509" s="334" t="n"/>
      <c r="I509" s="334" t="n"/>
      <c r="J509" s="334" t="n"/>
      <c r="K509" s="334" t="n"/>
      <c r="L509" s="334" t="n"/>
      <c r="M509" s="334" t="n"/>
      <c r="N509" s="334" t="n"/>
      <c r="O509" s="334" t="n"/>
      <c r="P509" s="334" t="n"/>
      <c r="Q509" s="334" t="n"/>
      <c r="R509" s="334" t="n"/>
      <c r="S509" s="334" t="n"/>
      <c r="T509" s="334" t="n"/>
    </row>
    <row r="510">
      <c r="A510" s="334" t="n"/>
      <c r="B510" s="334" t="n"/>
      <c r="C510" s="334" t="n"/>
      <c r="D510" s="334" t="n"/>
      <c r="E510" s="334" t="n"/>
      <c r="F510" s="334" t="n"/>
      <c r="G510" s="334" t="n"/>
      <c r="H510" s="334" t="n"/>
      <c r="I510" s="334" t="n"/>
      <c r="J510" s="334" t="n"/>
      <c r="K510" s="334" t="n"/>
      <c r="L510" s="334" t="n"/>
      <c r="M510" s="334" t="n"/>
      <c r="N510" s="334" t="n"/>
      <c r="O510" s="334" t="n"/>
      <c r="P510" s="334" t="n"/>
      <c r="Q510" s="334" t="n"/>
      <c r="R510" s="334" t="n"/>
      <c r="S510" s="334" t="n"/>
      <c r="T510" s="334" t="n"/>
    </row>
    <row r="511">
      <c r="A511" s="334" t="n"/>
      <c r="B511" s="334" t="n"/>
      <c r="C511" s="334" t="n"/>
      <c r="D511" s="334" t="n"/>
      <c r="E511" s="334" t="n"/>
      <c r="F511" s="334" t="n"/>
      <c r="G511" s="334" t="n"/>
      <c r="H511" s="334" t="n"/>
      <c r="I511" s="334" t="n"/>
      <c r="J511" s="334" t="n"/>
      <c r="K511" s="334" t="n"/>
      <c r="L511" s="334" t="n"/>
      <c r="M511" s="334" t="n"/>
      <c r="N511" s="334" t="n"/>
      <c r="O511" s="334" t="n"/>
      <c r="P511" s="334" t="n"/>
      <c r="Q511" s="334" t="n"/>
      <c r="R511" s="334" t="n"/>
      <c r="S511" s="334" t="n"/>
      <c r="T511" s="334" t="n"/>
    </row>
    <row r="512">
      <c r="A512" s="334" t="n"/>
      <c r="B512" s="334" t="n"/>
      <c r="C512" s="334" t="n"/>
      <c r="D512" s="334" t="n"/>
      <c r="E512" s="334" t="n"/>
      <c r="F512" s="334" t="n"/>
      <c r="G512" s="334" t="n"/>
      <c r="H512" s="334" t="n"/>
      <c r="I512" s="334" t="n"/>
      <c r="J512" s="334" t="n"/>
      <c r="K512" s="334" t="n"/>
      <c r="L512" s="334" t="n"/>
      <c r="M512" s="334" t="n"/>
      <c r="N512" s="334" t="n"/>
      <c r="O512" s="334" t="n"/>
      <c r="P512" s="334" t="n"/>
      <c r="Q512" s="334" t="n"/>
      <c r="R512" s="334" t="n"/>
      <c r="S512" s="334" t="n"/>
      <c r="T512" s="334" t="n"/>
    </row>
    <row r="513">
      <c r="A513" s="334" t="n"/>
      <c r="B513" s="334" t="n"/>
      <c r="C513" s="334" t="n"/>
      <c r="D513" s="334" t="n"/>
      <c r="E513" s="334" t="n"/>
      <c r="F513" s="334" t="n"/>
      <c r="G513" s="334" t="n"/>
      <c r="H513" s="334" t="n"/>
      <c r="I513" s="334" t="n"/>
      <c r="J513" s="334" t="n"/>
      <c r="K513" s="334" t="n"/>
      <c r="L513" s="334" t="n"/>
      <c r="M513" s="334" t="n"/>
      <c r="N513" s="334" t="n"/>
      <c r="O513" s="334" t="n"/>
      <c r="P513" s="334" t="n"/>
      <c r="Q513" s="334" t="n"/>
      <c r="R513" s="334" t="n"/>
      <c r="S513" s="334" t="n"/>
      <c r="T513" s="334" t="n"/>
    </row>
    <row r="514">
      <c r="A514" s="334" t="n"/>
      <c r="B514" s="334" t="n"/>
      <c r="C514" s="334" t="n"/>
      <c r="D514" s="334" t="n"/>
      <c r="E514" s="334" t="n"/>
      <c r="F514" s="334" t="n"/>
      <c r="G514" s="334" t="n"/>
      <c r="H514" s="334" t="n"/>
      <c r="I514" s="334" t="n"/>
      <c r="J514" s="334" t="n"/>
      <c r="K514" s="334" t="n"/>
      <c r="L514" s="334" t="n"/>
      <c r="M514" s="334" t="n"/>
      <c r="N514" s="334" t="n"/>
      <c r="O514" s="334" t="n"/>
      <c r="P514" s="334" t="n"/>
      <c r="Q514" s="334" t="n"/>
      <c r="R514" s="334" t="n"/>
      <c r="S514" s="334" t="n"/>
      <c r="T514" s="334" t="n"/>
    </row>
    <row r="515">
      <c r="A515" s="334" t="n"/>
      <c r="B515" s="334" t="n"/>
      <c r="C515" s="334" t="n"/>
      <c r="D515" s="334" t="n"/>
      <c r="E515" s="334" t="n"/>
      <c r="F515" s="334" t="n"/>
      <c r="G515" s="334" t="n"/>
      <c r="H515" s="334" t="n"/>
      <c r="I515" s="334" t="n"/>
      <c r="J515" s="334" t="n"/>
      <c r="K515" s="334" t="n"/>
      <c r="L515" s="334" t="n"/>
      <c r="M515" s="334" t="n"/>
      <c r="N515" s="334" t="n"/>
      <c r="O515" s="334" t="n"/>
      <c r="P515" s="334" t="n"/>
      <c r="Q515" s="334" t="n"/>
      <c r="R515" s="334" t="n"/>
      <c r="S515" s="334" t="n"/>
      <c r="T515" s="334" t="n"/>
    </row>
    <row r="516">
      <c r="A516" s="334" t="n"/>
      <c r="B516" s="334" t="n"/>
      <c r="C516" s="334" t="n"/>
      <c r="D516" s="334" t="n"/>
      <c r="E516" s="334" t="n"/>
      <c r="F516" s="334" t="n"/>
      <c r="G516" s="334" t="n"/>
      <c r="H516" s="334" t="n"/>
      <c r="I516" s="334" t="n"/>
      <c r="J516" s="334" t="n"/>
      <c r="K516" s="334" t="n"/>
      <c r="L516" s="334" t="n"/>
      <c r="M516" s="334" t="n"/>
      <c r="N516" s="334" t="n"/>
      <c r="O516" s="334" t="n"/>
      <c r="P516" s="334" t="n"/>
      <c r="Q516" s="334" t="n"/>
      <c r="R516" s="334" t="n"/>
      <c r="S516" s="334" t="n"/>
      <c r="T516" s="334" t="n"/>
    </row>
    <row r="517">
      <c r="A517" s="334" t="n"/>
      <c r="B517" s="334" t="n"/>
      <c r="C517" s="334" t="n"/>
      <c r="D517" s="334" t="n"/>
      <c r="E517" s="334" t="n"/>
      <c r="F517" s="334" t="n"/>
      <c r="G517" s="334" t="n"/>
      <c r="H517" s="334" t="n"/>
      <c r="I517" s="334" t="n"/>
      <c r="J517" s="334" t="n"/>
      <c r="K517" s="334" t="n"/>
      <c r="L517" s="334" t="n"/>
      <c r="M517" s="334" t="n"/>
      <c r="N517" s="334" t="n"/>
      <c r="O517" s="334" t="n"/>
      <c r="P517" s="334" t="n"/>
      <c r="Q517" s="334" t="n"/>
      <c r="R517" s="334" t="n"/>
      <c r="S517" s="334" t="n"/>
      <c r="T517" s="334" t="n"/>
    </row>
    <row r="518">
      <c r="A518" s="334" t="n"/>
      <c r="B518" s="334" t="n"/>
      <c r="C518" s="334" t="n"/>
      <c r="D518" s="334" t="n"/>
      <c r="E518" s="334" t="n"/>
      <c r="F518" s="334" t="n"/>
      <c r="G518" s="334" t="n"/>
      <c r="H518" s="334" t="n"/>
      <c r="I518" s="334" t="n"/>
      <c r="J518" s="334" t="n"/>
      <c r="K518" s="334" t="n"/>
      <c r="L518" s="334" t="n"/>
      <c r="M518" s="334" t="n"/>
      <c r="N518" s="334" t="n"/>
      <c r="O518" s="334" t="n"/>
      <c r="P518" s="334" t="n"/>
      <c r="Q518" s="334" t="n"/>
      <c r="R518" s="334" t="n"/>
      <c r="S518" s="334" t="n"/>
      <c r="T518" s="334" t="n"/>
    </row>
    <row r="519">
      <c r="A519" s="334" t="n"/>
      <c r="B519" s="334" t="n"/>
      <c r="C519" s="334" t="n"/>
      <c r="D519" s="334" t="n"/>
      <c r="E519" s="334" t="n"/>
      <c r="F519" s="334" t="n"/>
      <c r="G519" s="334" t="n"/>
      <c r="H519" s="334" t="n"/>
      <c r="I519" s="334" t="n"/>
      <c r="J519" s="334" t="n"/>
      <c r="K519" s="334" t="n"/>
      <c r="L519" s="334" t="n"/>
      <c r="M519" s="334" t="n"/>
      <c r="N519" s="334" t="n"/>
      <c r="O519" s="334" t="n"/>
      <c r="P519" s="334" t="n"/>
      <c r="Q519" s="334" t="n"/>
      <c r="R519" s="334" t="n"/>
      <c r="S519" s="334" t="n"/>
      <c r="T519" s="334" t="n"/>
    </row>
    <row r="520">
      <c r="A520" s="334" t="n"/>
      <c r="B520" s="334" t="n"/>
      <c r="C520" s="334" t="n"/>
      <c r="D520" s="334" t="n"/>
      <c r="E520" s="334" t="n"/>
      <c r="F520" s="334" t="n"/>
      <c r="G520" s="334" t="n"/>
      <c r="H520" s="334" t="n"/>
      <c r="I520" s="334" t="n"/>
      <c r="J520" s="334" t="n"/>
      <c r="K520" s="334" t="n"/>
      <c r="L520" s="334" t="n"/>
      <c r="M520" s="334" t="n"/>
      <c r="N520" s="334" t="n"/>
      <c r="O520" s="334" t="n"/>
      <c r="P520" s="334" t="n"/>
      <c r="Q520" s="334" t="n"/>
      <c r="R520" s="334" t="n"/>
      <c r="S520" s="334" t="n"/>
      <c r="T520" s="334" t="n"/>
    </row>
    <row r="521">
      <c r="A521" s="334" t="n"/>
      <c r="B521" s="334" t="n"/>
      <c r="C521" s="334" t="n"/>
      <c r="D521" s="334" t="n"/>
      <c r="E521" s="334" t="n"/>
      <c r="F521" s="334" t="n"/>
      <c r="G521" s="334" t="n"/>
      <c r="H521" s="334" t="n"/>
      <c r="I521" s="334" t="n"/>
      <c r="J521" s="334" t="n"/>
      <c r="K521" s="334" t="n"/>
      <c r="L521" s="334" t="n"/>
      <c r="M521" s="334" t="n"/>
      <c r="N521" s="334" t="n"/>
      <c r="O521" s="334" t="n"/>
      <c r="P521" s="334" t="n"/>
      <c r="Q521" s="334" t="n"/>
      <c r="R521" s="334" t="n"/>
      <c r="S521" s="334" t="n"/>
      <c r="T521" s="334" t="n"/>
    </row>
    <row r="522">
      <c r="A522" s="334" t="n"/>
      <c r="B522" s="334" t="n"/>
      <c r="C522" s="334" t="n"/>
      <c r="D522" s="334" t="n"/>
      <c r="E522" s="334" t="n"/>
      <c r="F522" s="334" t="n"/>
      <c r="G522" s="334" t="n"/>
      <c r="H522" s="334" t="n"/>
      <c r="I522" s="334" t="n"/>
      <c r="J522" s="334" t="n"/>
      <c r="K522" s="334" t="n"/>
      <c r="L522" s="334" t="n"/>
      <c r="M522" s="334" t="n"/>
      <c r="N522" s="334" t="n"/>
      <c r="O522" s="334" t="n"/>
      <c r="P522" s="334" t="n"/>
      <c r="Q522" s="334" t="n"/>
      <c r="R522" s="334" t="n"/>
      <c r="S522" s="334" t="n"/>
      <c r="T522" s="334" t="n"/>
    </row>
    <row r="523">
      <c r="A523" s="334" t="n"/>
      <c r="B523" s="334" t="n"/>
      <c r="C523" s="334" t="n"/>
      <c r="D523" s="334" t="n"/>
      <c r="E523" s="334" t="n"/>
      <c r="F523" s="334" t="n"/>
      <c r="G523" s="334" t="n"/>
      <c r="H523" s="334" t="n"/>
      <c r="I523" s="334" t="n"/>
      <c r="J523" s="334" t="n"/>
      <c r="K523" s="334" t="n"/>
      <c r="L523" s="334" t="n"/>
      <c r="M523" s="334" t="n"/>
      <c r="N523" s="334" t="n"/>
      <c r="O523" s="334" t="n"/>
      <c r="P523" s="334" t="n"/>
      <c r="Q523" s="334" t="n"/>
      <c r="R523" s="334" t="n"/>
      <c r="S523" s="334" t="n"/>
      <c r="T523" s="334" t="n"/>
    </row>
    <row r="524">
      <c r="A524" s="334" t="n"/>
      <c r="B524" s="334" t="n"/>
      <c r="C524" s="334" t="n"/>
      <c r="D524" s="334" t="n"/>
      <c r="E524" s="334" t="n"/>
      <c r="F524" s="334" t="n"/>
      <c r="G524" s="334" t="n"/>
      <c r="H524" s="334" t="n"/>
      <c r="I524" s="334" t="n"/>
      <c r="J524" s="334" t="n"/>
      <c r="K524" s="334" t="n"/>
      <c r="L524" s="334" t="n"/>
      <c r="M524" s="334" t="n"/>
      <c r="N524" s="334" t="n"/>
      <c r="O524" s="334" t="n"/>
      <c r="P524" s="334" t="n"/>
      <c r="Q524" s="334" t="n"/>
      <c r="R524" s="334" t="n"/>
      <c r="S524" s="334" t="n"/>
      <c r="T524" s="334" t="n"/>
    </row>
    <row r="525">
      <c r="A525" s="334" t="n"/>
      <c r="B525" s="334" t="n"/>
      <c r="C525" s="334" t="n"/>
      <c r="D525" s="334" t="n"/>
      <c r="E525" s="334" t="n"/>
      <c r="F525" s="334" t="n"/>
      <c r="G525" s="334" t="n"/>
      <c r="H525" s="334" t="n"/>
      <c r="I525" s="334" t="n"/>
      <c r="J525" s="334" t="n"/>
      <c r="K525" s="334" t="n"/>
      <c r="L525" s="334" t="n"/>
      <c r="M525" s="334" t="n"/>
      <c r="N525" s="334" t="n"/>
      <c r="O525" s="334" t="n"/>
      <c r="P525" s="334" t="n"/>
      <c r="Q525" s="334" t="n"/>
      <c r="R525" s="334" t="n"/>
      <c r="S525" s="334" t="n"/>
      <c r="T525" s="334" t="n"/>
    </row>
    <row r="526">
      <c r="A526" s="334" t="n"/>
      <c r="B526" s="334" t="n"/>
      <c r="C526" s="334" t="n"/>
      <c r="D526" s="334" t="n"/>
      <c r="E526" s="334" t="n"/>
      <c r="F526" s="334" t="n"/>
      <c r="G526" s="334" t="n"/>
      <c r="H526" s="334" t="n"/>
      <c r="I526" s="334" t="n"/>
      <c r="J526" s="334" t="n"/>
      <c r="K526" s="334" t="n"/>
      <c r="L526" s="334" t="n"/>
      <c r="M526" s="334" t="n"/>
      <c r="N526" s="334" t="n"/>
      <c r="O526" s="334" t="n"/>
      <c r="P526" s="334" t="n"/>
      <c r="Q526" s="334" t="n"/>
      <c r="R526" s="334" t="n"/>
      <c r="S526" s="334" t="n"/>
      <c r="T526" s="334" t="n"/>
    </row>
    <row r="527">
      <c r="A527" s="334" t="n"/>
      <c r="B527" s="334" t="n"/>
      <c r="C527" s="334" t="n"/>
      <c r="D527" s="334" t="n"/>
      <c r="E527" s="334" t="n"/>
      <c r="F527" s="334" t="n"/>
      <c r="G527" s="334" t="n"/>
      <c r="H527" s="334" t="n"/>
      <c r="I527" s="334" t="n"/>
      <c r="J527" s="334" t="n"/>
      <c r="K527" s="334" t="n"/>
      <c r="L527" s="334" t="n"/>
      <c r="M527" s="334" t="n"/>
      <c r="N527" s="334" t="n"/>
      <c r="O527" s="334" t="n"/>
      <c r="P527" s="334" t="n"/>
      <c r="Q527" s="334" t="n"/>
      <c r="R527" s="334" t="n"/>
      <c r="S527" s="334" t="n"/>
      <c r="T527" s="334" t="n"/>
    </row>
    <row r="528">
      <c r="A528" s="334" t="n"/>
      <c r="B528" s="334" t="n"/>
      <c r="C528" s="334" t="n"/>
      <c r="D528" s="334" t="n"/>
      <c r="E528" s="334" t="n"/>
      <c r="F528" s="334" t="n"/>
      <c r="G528" s="334" t="n"/>
      <c r="H528" s="334" t="n"/>
      <c r="I528" s="334" t="n"/>
      <c r="J528" s="334" t="n"/>
      <c r="K528" s="334" t="n"/>
      <c r="L528" s="334" t="n"/>
      <c r="M528" s="334" t="n"/>
      <c r="N528" s="334" t="n"/>
      <c r="O528" s="334" t="n"/>
      <c r="P528" s="334" t="n"/>
      <c r="Q528" s="334" t="n"/>
      <c r="R528" s="334" t="n"/>
      <c r="S528" s="334" t="n"/>
      <c r="T528" s="334" t="n"/>
    </row>
    <row r="529">
      <c r="A529" s="334" t="n"/>
      <c r="B529" s="334" t="n"/>
      <c r="C529" s="334" t="n"/>
      <c r="D529" s="334" t="n"/>
      <c r="E529" s="334" t="n"/>
      <c r="F529" s="334" t="n"/>
      <c r="G529" s="334" t="n"/>
      <c r="H529" s="334" t="n"/>
      <c r="I529" s="334" t="n"/>
      <c r="J529" s="334" t="n"/>
      <c r="K529" s="334" t="n"/>
      <c r="L529" s="334" t="n"/>
      <c r="M529" s="334" t="n"/>
      <c r="N529" s="334" t="n"/>
      <c r="O529" s="334" t="n"/>
      <c r="P529" s="334" t="n"/>
      <c r="Q529" s="334" t="n"/>
      <c r="R529" s="334" t="n"/>
      <c r="S529" s="334" t="n"/>
      <c r="T529" s="334" t="n"/>
    </row>
    <row r="530">
      <c r="A530" s="334" t="n"/>
      <c r="B530" s="334" t="n"/>
      <c r="C530" s="334" t="n"/>
      <c r="D530" s="334" t="n"/>
      <c r="E530" s="334" t="n"/>
      <c r="F530" s="334" t="n"/>
      <c r="G530" s="334" t="n"/>
      <c r="H530" s="334" t="n"/>
      <c r="I530" s="334" t="n"/>
      <c r="J530" s="334" t="n"/>
      <c r="K530" s="334" t="n"/>
      <c r="L530" s="334" t="n"/>
      <c r="M530" s="334" t="n"/>
      <c r="N530" s="334" t="n"/>
      <c r="O530" s="334" t="n"/>
      <c r="P530" s="334" t="n"/>
      <c r="Q530" s="334" t="n"/>
      <c r="R530" s="334" t="n"/>
      <c r="S530" s="334" t="n"/>
      <c r="T530" s="334" t="n"/>
    </row>
    <row r="531">
      <c r="A531" s="334" t="n"/>
      <c r="B531" s="334" t="n"/>
      <c r="C531" s="334" t="n"/>
      <c r="D531" s="334" t="n"/>
      <c r="E531" s="334" t="n"/>
      <c r="F531" s="334" t="n"/>
      <c r="G531" s="334" t="n"/>
      <c r="H531" s="334" t="n"/>
      <c r="I531" s="334" t="n"/>
      <c r="J531" s="334" t="n"/>
      <c r="K531" s="334" t="n"/>
      <c r="L531" s="334" t="n"/>
      <c r="M531" s="334" t="n"/>
      <c r="N531" s="334" t="n"/>
      <c r="O531" s="334" t="n"/>
      <c r="P531" s="334" t="n"/>
      <c r="Q531" s="334" t="n"/>
      <c r="R531" s="334" t="n"/>
      <c r="S531" s="334" t="n"/>
      <c r="T531" s="334" t="n"/>
    </row>
    <row r="532">
      <c r="A532" s="334" t="n"/>
      <c r="B532" s="334" t="n"/>
      <c r="C532" s="334" t="n"/>
      <c r="D532" s="334" t="n"/>
      <c r="E532" s="334" t="n"/>
      <c r="F532" s="334" t="n"/>
      <c r="G532" s="334" t="n"/>
      <c r="H532" s="334" t="n"/>
      <c r="I532" s="334" t="n"/>
      <c r="J532" s="334" t="n"/>
      <c r="K532" s="334" t="n"/>
      <c r="L532" s="334" t="n"/>
      <c r="M532" s="334" t="n"/>
      <c r="N532" s="334" t="n"/>
      <c r="O532" s="334" t="n"/>
      <c r="P532" s="334" t="n"/>
      <c r="Q532" s="334" t="n"/>
      <c r="R532" s="334" t="n"/>
      <c r="S532" s="334" t="n"/>
      <c r="T532" s="334" t="n"/>
    </row>
    <row r="533">
      <c r="A533" s="334" t="n"/>
      <c r="B533" s="334" t="n"/>
      <c r="C533" s="334" t="n"/>
      <c r="D533" s="334" t="n"/>
      <c r="E533" s="334" t="n"/>
      <c r="F533" s="334" t="n"/>
      <c r="G533" s="334" t="n"/>
      <c r="H533" s="334" t="n"/>
      <c r="I533" s="334" t="n"/>
      <c r="J533" s="334" t="n"/>
      <c r="K533" s="334" t="n"/>
      <c r="L533" s="334" t="n"/>
      <c r="M533" s="334" t="n"/>
      <c r="N533" s="334" t="n"/>
      <c r="O533" s="334" t="n"/>
      <c r="P533" s="334" t="n"/>
      <c r="Q533" s="334" t="n"/>
      <c r="R533" s="334" t="n"/>
      <c r="S533" s="334" t="n"/>
      <c r="T533" s="334" t="n"/>
    </row>
    <row r="534">
      <c r="A534" s="334" t="n"/>
      <c r="B534" s="334" t="n"/>
      <c r="C534" s="334" t="n"/>
      <c r="D534" s="334" t="n"/>
      <c r="E534" s="334" t="n"/>
      <c r="F534" s="334" t="n"/>
      <c r="G534" s="334" t="n"/>
      <c r="H534" s="334" t="n"/>
      <c r="I534" s="334" t="n"/>
      <c r="J534" s="334" t="n"/>
      <c r="K534" s="334" t="n"/>
      <c r="L534" s="334" t="n"/>
      <c r="M534" s="334" t="n"/>
      <c r="N534" s="334" t="n"/>
      <c r="O534" s="334" t="n"/>
      <c r="P534" s="334" t="n"/>
      <c r="Q534" s="334" t="n"/>
      <c r="R534" s="334" t="n"/>
      <c r="S534" s="334" t="n"/>
      <c r="T534" s="334" t="n"/>
    </row>
    <row r="535">
      <c r="A535" s="334" t="n"/>
      <c r="B535" s="334" t="n"/>
      <c r="C535" s="334" t="n"/>
      <c r="D535" s="334" t="n"/>
      <c r="E535" s="334" t="n"/>
      <c r="F535" s="334" t="n"/>
      <c r="G535" s="334" t="n"/>
      <c r="H535" s="334" t="n"/>
      <c r="I535" s="334" t="n"/>
      <c r="J535" s="334" t="n"/>
      <c r="K535" s="334" t="n"/>
      <c r="L535" s="334" t="n"/>
      <c r="M535" s="334" t="n"/>
      <c r="N535" s="334" t="n"/>
      <c r="O535" s="334" t="n"/>
      <c r="P535" s="334" t="n"/>
      <c r="Q535" s="334" t="n"/>
      <c r="R535" s="334" t="n"/>
      <c r="S535" s="334" t="n"/>
      <c r="T535" s="334" t="n"/>
    </row>
    <row r="536">
      <c r="A536" s="334" t="n"/>
      <c r="B536" s="334" t="n"/>
      <c r="C536" s="334" t="n"/>
      <c r="D536" s="334" t="n"/>
      <c r="E536" s="334" t="n"/>
      <c r="F536" s="334" t="n"/>
      <c r="G536" s="334" t="n"/>
      <c r="H536" s="334" t="n"/>
      <c r="I536" s="334" t="n"/>
      <c r="J536" s="334" t="n"/>
      <c r="K536" s="334" t="n"/>
      <c r="L536" s="334" t="n"/>
      <c r="M536" s="334" t="n"/>
      <c r="N536" s="334" t="n"/>
      <c r="O536" s="334" t="n"/>
      <c r="P536" s="334" t="n"/>
      <c r="Q536" s="334" t="n"/>
      <c r="R536" s="334" t="n"/>
      <c r="S536" s="334" t="n"/>
      <c r="T536" s="334" t="n"/>
    </row>
    <row r="537">
      <c r="A537" s="334" t="n"/>
      <c r="B537" s="334" t="n"/>
      <c r="C537" s="334" t="n"/>
      <c r="D537" s="334" t="n"/>
      <c r="E537" s="334" t="n"/>
      <c r="F537" s="334" t="n"/>
      <c r="G537" s="334" t="n"/>
      <c r="H537" s="334" t="n"/>
      <c r="I537" s="334" t="n"/>
      <c r="J537" s="334" t="n"/>
      <c r="K537" s="334" t="n"/>
      <c r="L537" s="334" t="n"/>
      <c r="M537" s="334" t="n"/>
      <c r="N537" s="334" t="n"/>
      <c r="O537" s="334" t="n"/>
      <c r="P537" s="334" t="n"/>
      <c r="Q537" s="334" t="n"/>
      <c r="R537" s="334" t="n"/>
      <c r="S537" s="334" t="n"/>
      <c r="T537" s="334" t="n"/>
    </row>
    <row r="538">
      <c r="A538" s="334" t="n"/>
      <c r="B538" s="334" t="n"/>
      <c r="C538" s="334" t="n"/>
      <c r="D538" s="334" t="n"/>
      <c r="E538" s="334" t="n"/>
      <c r="F538" s="334" t="n"/>
      <c r="G538" s="334" t="n"/>
      <c r="H538" s="334" t="n"/>
      <c r="I538" s="334" t="n"/>
      <c r="J538" s="334" t="n"/>
      <c r="K538" s="334" t="n"/>
      <c r="L538" s="334" t="n"/>
      <c r="M538" s="334" t="n"/>
      <c r="N538" s="334" t="n"/>
      <c r="O538" s="334" t="n"/>
      <c r="P538" s="334" t="n"/>
      <c r="Q538" s="334" t="n"/>
      <c r="R538" s="334" t="n"/>
      <c r="S538" s="334" t="n"/>
      <c r="T538" s="334" t="n"/>
    </row>
    <row r="539">
      <c r="A539" s="334" t="n"/>
      <c r="B539" s="334" t="n"/>
      <c r="C539" s="334" t="n"/>
      <c r="D539" s="334" t="n"/>
      <c r="E539" s="334" t="n"/>
      <c r="F539" s="334" t="n"/>
      <c r="G539" s="334" t="n"/>
      <c r="H539" s="334" t="n"/>
      <c r="I539" s="334" t="n"/>
      <c r="J539" s="334" t="n"/>
      <c r="K539" s="334" t="n"/>
      <c r="L539" s="334" t="n"/>
      <c r="M539" s="334" t="n"/>
      <c r="N539" s="334" t="n"/>
      <c r="O539" s="334" t="n"/>
      <c r="P539" s="334" t="n"/>
      <c r="Q539" s="334" t="n"/>
      <c r="R539" s="334" t="n"/>
      <c r="S539" s="334" t="n"/>
      <c r="T539" s="334" t="n"/>
    </row>
    <row r="540">
      <c r="A540" s="334" t="n"/>
      <c r="B540" s="334" t="n"/>
      <c r="C540" s="334" t="n"/>
      <c r="D540" s="334" t="n"/>
      <c r="E540" s="334" t="n"/>
      <c r="F540" s="334" t="n"/>
      <c r="G540" s="334" t="n"/>
      <c r="H540" s="334" t="n"/>
      <c r="I540" s="334" t="n"/>
      <c r="J540" s="334" t="n"/>
      <c r="K540" s="334" t="n"/>
      <c r="L540" s="334" t="n"/>
      <c r="M540" s="334" t="n"/>
      <c r="N540" s="334" t="n"/>
      <c r="O540" s="334" t="n"/>
      <c r="P540" s="334" t="n"/>
      <c r="Q540" s="334" t="n"/>
      <c r="R540" s="334" t="n"/>
      <c r="S540" s="334" t="n"/>
      <c r="T540" s="334" t="n"/>
    </row>
    <row r="541">
      <c r="A541" s="334" t="n"/>
      <c r="B541" s="334" t="n"/>
      <c r="C541" s="334" t="n"/>
      <c r="D541" s="334" t="n"/>
      <c r="E541" s="334" t="n"/>
      <c r="F541" s="334" t="n"/>
      <c r="G541" s="334" t="n"/>
      <c r="H541" s="334" t="n"/>
      <c r="I541" s="334" t="n"/>
      <c r="J541" s="334" t="n"/>
      <c r="K541" s="334" t="n"/>
      <c r="L541" s="334" t="n"/>
      <c r="M541" s="334" t="n"/>
      <c r="N541" s="334" t="n"/>
      <c r="O541" s="334" t="n"/>
      <c r="P541" s="334" t="n"/>
      <c r="Q541" s="334" t="n"/>
      <c r="R541" s="334" t="n"/>
      <c r="S541" s="334" t="n"/>
      <c r="T541" s="334" t="n"/>
    </row>
    <row r="542">
      <c r="A542" s="334" t="n"/>
      <c r="B542" s="334" t="n"/>
      <c r="C542" s="334" t="n"/>
      <c r="D542" s="334" t="n"/>
      <c r="E542" s="334" t="n"/>
      <c r="F542" s="334" t="n"/>
      <c r="G542" s="334" t="n"/>
      <c r="H542" s="334" t="n"/>
      <c r="I542" s="334" t="n"/>
      <c r="J542" s="334" t="n"/>
      <c r="K542" s="334" t="n"/>
      <c r="L542" s="334" t="n"/>
      <c r="M542" s="334" t="n"/>
      <c r="N542" s="334" t="n"/>
      <c r="O542" s="334" t="n"/>
      <c r="P542" s="334" t="n"/>
      <c r="Q542" s="334" t="n"/>
      <c r="R542" s="334" t="n"/>
      <c r="S542" s="334" t="n"/>
      <c r="T542" s="334" t="n"/>
    </row>
    <row r="543">
      <c r="A543" s="334" t="n"/>
      <c r="B543" s="334" t="n"/>
      <c r="C543" s="334" t="n"/>
      <c r="D543" s="334" t="n"/>
      <c r="E543" s="334" t="n"/>
      <c r="F543" s="334" t="n"/>
      <c r="G543" s="334" t="n"/>
      <c r="H543" s="334" t="n"/>
      <c r="I543" s="334" t="n"/>
      <c r="J543" s="334" t="n"/>
      <c r="K543" s="334" t="n"/>
      <c r="L543" s="334" t="n"/>
      <c r="M543" s="334" t="n"/>
      <c r="N543" s="334" t="n"/>
      <c r="O543" s="334" t="n"/>
      <c r="P543" s="334" t="n"/>
      <c r="Q543" s="334" t="n"/>
      <c r="R543" s="334" t="n"/>
      <c r="S543" s="334" t="n"/>
      <c r="T543" s="334" t="n"/>
    </row>
    <row r="544">
      <c r="A544" s="334" t="n"/>
      <c r="B544" s="334" t="n"/>
      <c r="C544" s="334" t="n"/>
      <c r="D544" s="334" t="n"/>
      <c r="E544" s="334" t="n"/>
      <c r="F544" s="334" t="n"/>
      <c r="G544" s="334" t="n"/>
      <c r="H544" s="334" t="n"/>
      <c r="I544" s="334" t="n"/>
      <c r="J544" s="334" t="n"/>
      <c r="K544" s="334" t="n"/>
      <c r="L544" s="334" t="n"/>
      <c r="M544" s="334" t="n"/>
      <c r="N544" s="334" t="n"/>
      <c r="O544" s="334" t="n"/>
      <c r="P544" s="334" t="n"/>
      <c r="Q544" s="334" t="n"/>
      <c r="R544" s="334" t="n"/>
      <c r="S544" s="334" t="n"/>
      <c r="T544" s="334" t="n"/>
    </row>
    <row r="545">
      <c r="A545" s="334" t="n"/>
      <c r="B545" s="334" t="n"/>
      <c r="C545" s="334" t="n"/>
      <c r="D545" s="334" t="n"/>
      <c r="E545" s="334" t="n"/>
      <c r="F545" s="334" t="n"/>
      <c r="G545" s="334" t="n"/>
      <c r="H545" s="334" t="n"/>
      <c r="I545" s="334" t="n"/>
      <c r="J545" s="334" t="n"/>
      <c r="K545" s="334" t="n"/>
      <c r="L545" s="334" t="n"/>
      <c r="M545" s="334" t="n"/>
      <c r="N545" s="334" t="n"/>
      <c r="O545" s="334" t="n"/>
      <c r="P545" s="334" t="n"/>
      <c r="Q545" s="334" t="n"/>
      <c r="R545" s="334" t="n"/>
      <c r="S545" s="334" t="n"/>
      <c r="T545" s="334" t="n"/>
    </row>
    <row r="546">
      <c r="A546" s="334" t="n"/>
      <c r="B546" s="334" t="n"/>
      <c r="C546" s="334" t="n"/>
      <c r="D546" s="334" t="n"/>
      <c r="E546" s="334" t="n"/>
      <c r="F546" s="334" t="n"/>
      <c r="G546" s="334" t="n"/>
      <c r="H546" s="334" t="n"/>
      <c r="I546" s="334" t="n"/>
      <c r="J546" s="334" t="n"/>
      <c r="K546" s="334" t="n"/>
      <c r="L546" s="334" t="n"/>
      <c r="M546" s="334" t="n"/>
      <c r="N546" s="334" t="n"/>
      <c r="O546" s="334" t="n"/>
      <c r="P546" s="334" t="n"/>
      <c r="Q546" s="334" t="n"/>
      <c r="R546" s="334" t="n"/>
      <c r="S546" s="334" t="n"/>
      <c r="T546" s="334" t="n"/>
    </row>
    <row r="547">
      <c r="A547" s="334" t="n"/>
      <c r="B547" s="334" t="n"/>
      <c r="C547" s="334" t="n"/>
      <c r="D547" s="334" t="n"/>
      <c r="E547" s="334" t="n"/>
      <c r="F547" s="334" t="n"/>
      <c r="G547" s="334" t="n"/>
      <c r="H547" s="334" t="n"/>
      <c r="I547" s="334" t="n"/>
      <c r="J547" s="334" t="n"/>
      <c r="K547" s="334" t="n"/>
      <c r="L547" s="334" t="n"/>
      <c r="M547" s="334" t="n"/>
      <c r="N547" s="334" t="n"/>
      <c r="O547" s="334" t="n"/>
      <c r="P547" s="334" t="n"/>
      <c r="Q547" s="334" t="n"/>
      <c r="R547" s="334" t="n"/>
      <c r="S547" s="334" t="n"/>
      <c r="T547" s="334" t="n"/>
    </row>
    <row r="548">
      <c r="A548" s="334" t="n"/>
      <c r="B548" s="334" t="n"/>
      <c r="C548" s="334" t="n"/>
      <c r="D548" s="334" t="n"/>
      <c r="E548" s="334" t="n"/>
      <c r="F548" s="334" t="n"/>
      <c r="G548" s="334" t="n"/>
      <c r="H548" s="334" t="n"/>
      <c r="I548" s="334" t="n"/>
      <c r="J548" s="334" t="n"/>
      <c r="K548" s="334" t="n"/>
      <c r="L548" s="334" t="n"/>
      <c r="M548" s="334" t="n"/>
      <c r="N548" s="334" t="n"/>
      <c r="O548" s="334" t="n"/>
      <c r="P548" s="334" t="n"/>
      <c r="Q548" s="334" t="n"/>
      <c r="R548" s="334" t="n"/>
      <c r="S548" s="334" t="n"/>
      <c r="T548" s="334" t="n"/>
    </row>
    <row r="549">
      <c r="A549" s="334" t="n"/>
      <c r="B549" s="334" t="n"/>
      <c r="C549" s="334" t="n"/>
      <c r="D549" s="334" t="n"/>
      <c r="E549" s="334" t="n"/>
      <c r="F549" s="334" t="n"/>
      <c r="G549" s="334" t="n"/>
      <c r="H549" s="334" t="n"/>
      <c r="I549" s="334" t="n"/>
      <c r="J549" s="334" t="n"/>
      <c r="K549" s="334" t="n"/>
      <c r="L549" s="334" t="n"/>
      <c r="M549" s="334" t="n"/>
      <c r="N549" s="334" t="n"/>
      <c r="O549" s="334" t="n"/>
      <c r="P549" s="334" t="n"/>
      <c r="Q549" s="334" t="n"/>
      <c r="R549" s="334" t="n"/>
      <c r="S549" s="334" t="n"/>
      <c r="T549" s="334" t="n"/>
    </row>
    <row r="550">
      <c r="A550" s="334" t="n"/>
      <c r="B550" s="334" t="n"/>
      <c r="C550" s="334" t="n"/>
      <c r="D550" s="334" t="n"/>
      <c r="E550" s="334" t="n"/>
      <c r="F550" s="334" t="n"/>
      <c r="G550" s="334" t="n"/>
      <c r="H550" s="334" t="n"/>
      <c r="I550" s="334" t="n"/>
      <c r="J550" s="334" t="n"/>
      <c r="K550" s="334" t="n"/>
      <c r="L550" s="334" t="n"/>
      <c r="M550" s="334" t="n"/>
      <c r="N550" s="334" t="n"/>
      <c r="O550" s="334" t="n"/>
      <c r="P550" s="334" t="n"/>
      <c r="Q550" s="334" t="n"/>
      <c r="R550" s="334" t="n"/>
      <c r="S550" s="334" t="n"/>
      <c r="T550" s="334" t="n"/>
    </row>
    <row r="551">
      <c r="A551" s="334" t="n"/>
      <c r="B551" s="334" t="n"/>
      <c r="C551" s="334" t="n"/>
      <c r="D551" s="334" t="n"/>
      <c r="E551" s="334" t="n"/>
      <c r="F551" s="334" t="n"/>
      <c r="G551" s="334" t="n"/>
      <c r="H551" s="334" t="n"/>
      <c r="I551" s="334" t="n"/>
      <c r="J551" s="334" t="n"/>
      <c r="K551" s="334" t="n"/>
      <c r="L551" s="334" t="n"/>
      <c r="M551" s="334" t="n"/>
      <c r="N551" s="334" t="n"/>
      <c r="O551" s="334" t="n"/>
      <c r="P551" s="334" t="n"/>
      <c r="Q551" s="334" t="n"/>
      <c r="R551" s="334" t="n"/>
      <c r="S551" s="334" t="n"/>
      <c r="T551" s="334" t="n"/>
    </row>
    <row r="552">
      <c r="A552" s="334" t="n"/>
      <c r="B552" s="334" t="n"/>
      <c r="C552" s="334" t="n"/>
      <c r="D552" s="334" t="n"/>
      <c r="E552" s="334" t="n"/>
      <c r="F552" s="334" t="n"/>
      <c r="G552" s="334" t="n"/>
      <c r="H552" s="334" t="n"/>
      <c r="I552" s="334" t="n"/>
      <c r="J552" s="334" t="n"/>
      <c r="K552" s="334" t="n"/>
      <c r="L552" s="334" t="n"/>
      <c r="M552" s="334" t="n"/>
      <c r="N552" s="334" t="n"/>
      <c r="O552" s="334" t="n"/>
      <c r="P552" s="334" t="n"/>
      <c r="Q552" s="334" t="n"/>
      <c r="R552" s="334" t="n"/>
      <c r="S552" s="334" t="n"/>
      <c r="T552" s="334" t="n"/>
    </row>
    <row r="553">
      <c r="A553" s="334" t="n"/>
      <c r="B553" s="334" t="n"/>
      <c r="C553" s="334" t="n"/>
      <c r="D553" s="334" t="n"/>
      <c r="E553" s="334" t="n"/>
      <c r="F553" s="334" t="n"/>
      <c r="G553" s="334" t="n"/>
      <c r="H553" s="334" t="n"/>
      <c r="I553" s="334" t="n"/>
      <c r="J553" s="334" t="n"/>
      <c r="K553" s="334" t="n"/>
      <c r="L553" s="334" t="n"/>
      <c r="M553" s="334" t="n"/>
      <c r="N553" s="334" t="n"/>
      <c r="O553" s="334" t="n"/>
      <c r="P553" s="334" t="n"/>
      <c r="Q553" s="334" t="n"/>
      <c r="R553" s="334" t="n"/>
      <c r="S553" s="334" t="n"/>
      <c r="T553" s="334" t="n"/>
    </row>
    <row r="554">
      <c r="A554" s="334" t="n"/>
      <c r="B554" s="334" t="n"/>
      <c r="C554" s="334" t="n"/>
      <c r="D554" s="334" t="n"/>
      <c r="E554" s="334" t="n"/>
      <c r="F554" s="334" t="n"/>
      <c r="G554" s="334" t="n"/>
      <c r="H554" s="334" t="n"/>
      <c r="I554" s="334" t="n"/>
      <c r="J554" s="334" t="n"/>
      <c r="K554" s="334" t="n"/>
      <c r="L554" s="334" t="n"/>
      <c r="M554" s="334" t="n"/>
      <c r="N554" s="334" t="n"/>
      <c r="O554" s="334" t="n"/>
      <c r="P554" s="334" t="n"/>
      <c r="Q554" s="334" t="n"/>
      <c r="R554" s="334" t="n"/>
      <c r="S554" s="334" t="n"/>
      <c r="T554" s="334" t="n"/>
    </row>
    <row r="555">
      <c r="A555" s="334" t="n"/>
      <c r="B555" s="334" t="n"/>
      <c r="C555" s="334" t="n"/>
      <c r="D555" s="334" t="n"/>
      <c r="E555" s="334" t="n"/>
      <c r="F555" s="334" t="n"/>
      <c r="G555" s="334" t="n"/>
      <c r="H555" s="334" t="n"/>
      <c r="I555" s="334" t="n"/>
      <c r="J555" s="334" t="n"/>
      <c r="K555" s="334" t="n"/>
      <c r="L555" s="334" t="n"/>
      <c r="M555" s="334" t="n"/>
      <c r="N555" s="334" t="n"/>
      <c r="O555" s="334" t="n"/>
      <c r="P555" s="334" t="n"/>
      <c r="Q555" s="334" t="n"/>
      <c r="R555" s="334" t="n"/>
      <c r="S555" s="334" t="n"/>
      <c r="T555" s="334" t="n"/>
    </row>
    <row r="556">
      <c r="A556" s="334" t="n"/>
      <c r="B556" s="334" t="n"/>
      <c r="C556" s="334" t="n"/>
      <c r="D556" s="334" t="n"/>
      <c r="E556" s="334" t="n"/>
      <c r="F556" s="334" t="n"/>
      <c r="G556" s="334" t="n"/>
      <c r="H556" s="334" t="n"/>
      <c r="I556" s="334" t="n"/>
      <c r="J556" s="334" t="n"/>
      <c r="K556" s="334" t="n"/>
      <c r="L556" s="334" t="n"/>
      <c r="M556" s="334" t="n"/>
      <c r="N556" s="334" t="n"/>
      <c r="O556" s="334" t="n"/>
      <c r="P556" s="334" t="n"/>
      <c r="Q556" s="334" t="n"/>
      <c r="R556" s="334" t="n"/>
      <c r="S556" s="334" t="n"/>
      <c r="T556" s="334" t="n"/>
    </row>
    <row r="557">
      <c r="A557" s="334" t="n"/>
      <c r="B557" s="334" t="n"/>
      <c r="C557" s="334" t="n"/>
      <c r="D557" s="334" t="n"/>
      <c r="E557" s="334" t="n"/>
      <c r="F557" s="334" t="n"/>
      <c r="G557" s="334" t="n"/>
      <c r="H557" s="334" t="n"/>
      <c r="I557" s="334" t="n"/>
      <c r="J557" s="334" t="n"/>
      <c r="K557" s="334" t="n"/>
      <c r="L557" s="334" t="n"/>
      <c r="M557" s="334" t="n"/>
      <c r="N557" s="334" t="n"/>
      <c r="O557" s="334" t="n"/>
      <c r="P557" s="334" t="n"/>
      <c r="Q557" s="334" t="n"/>
      <c r="R557" s="334" t="n"/>
      <c r="S557" s="334" t="n"/>
      <c r="T557" s="334" t="n"/>
    </row>
    <row r="558">
      <c r="A558" s="334" t="n"/>
      <c r="B558" s="334" t="n"/>
      <c r="C558" s="334" t="n"/>
      <c r="D558" s="334" t="n"/>
      <c r="E558" s="334" t="n"/>
      <c r="F558" s="334" t="n"/>
      <c r="G558" s="334" t="n"/>
      <c r="H558" s="334" t="n"/>
      <c r="I558" s="334" t="n"/>
      <c r="J558" s="334" t="n"/>
      <c r="K558" s="334" t="n"/>
      <c r="L558" s="334" t="n"/>
      <c r="M558" s="334" t="n"/>
      <c r="N558" s="334" t="n"/>
      <c r="O558" s="334" t="n"/>
      <c r="P558" s="334" t="n"/>
      <c r="Q558" s="334" t="n"/>
      <c r="R558" s="334" t="n"/>
      <c r="S558" s="334" t="n"/>
      <c r="T558" s="334" t="n"/>
    </row>
    <row r="559">
      <c r="A559" s="334" t="n"/>
      <c r="B559" s="334" t="n"/>
      <c r="C559" s="334" t="n"/>
      <c r="D559" s="334" t="n"/>
      <c r="E559" s="334" t="n"/>
      <c r="F559" s="334" t="n"/>
      <c r="G559" s="334" t="n"/>
      <c r="H559" s="334" t="n"/>
      <c r="I559" s="334" t="n"/>
      <c r="J559" s="334" t="n"/>
      <c r="K559" s="334" t="n"/>
      <c r="L559" s="334" t="n"/>
      <c r="M559" s="334" t="n"/>
      <c r="N559" s="334" t="n"/>
      <c r="O559" s="334" t="n"/>
      <c r="P559" s="334" t="n"/>
      <c r="Q559" s="334" t="n"/>
      <c r="R559" s="334" t="n"/>
      <c r="S559" s="334" t="n"/>
      <c r="T559" s="334" t="n"/>
    </row>
    <row r="560">
      <c r="A560" s="334" t="n"/>
      <c r="B560" s="334" t="n"/>
      <c r="C560" s="334" t="n"/>
      <c r="D560" s="334" t="n"/>
      <c r="E560" s="334" t="n"/>
      <c r="F560" s="334" t="n"/>
      <c r="G560" s="334" t="n"/>
      <c r="H560" s="334" t="n"/>
      <c r="I560" s="334" t="n"/>
      <c r="J560" s="334" t="n"/>
      <c r="K560" s="334" t="n"/>
      <c r="L560" s="334" t="n"/>
      <c r="M560" s="334" t="n"/>
      <c r="N560" s="334" t="n"/>
      <c r="O560" s="334" t="n"/>
      <c r="P560" s="334" t="n"/>
      <c r="Q560" s="334" t="n"/>
      <c r="R560" s="334" t="n"/>
      <c r="S560" s="334" t="n"/>
      <c r="T560" s="334" t="n"/>
    </row>
    <row r="561">
      <c r="A561" s="334" t="n"/>
      <c r="B561" s="334" t="n"/>
      <c r="C561" s="334" t="n"/>
      <c r="D561" s="334" t="n"/>
      <c r="E561" s="334" t="n"/>
      <c r="F561" s="334" t="n"/>
      <c r="G561" s="334" t="n"/>
      <c r="H561" s="334" t="n"/>
      <c r="I561" s="334" t="n"/>
      <c r="J561" s="334" t="n"/>
      <c r="K561" s="334" t="n"/>
      <c r="L561" s="334" t="n"/>
      <c r="M561" s="334" t="n"/>
      <c r="N561" s="334" t="n"/>
      <c r="O561" s="334" t="n"/>
      <c r="P561" s="334" t="n"/>
      <c r="Q561" s="334" t="n"/>
      <c r="R561" s="334" t="n"/>
      <c r="S561" s="334" t="n"/>
      <c r="T561" s="334" t="n"/>
    </row>
    <row r="562">
      <c r="A562" s="334" t="n"/>
      <c r="B562" s="334" t="n"/>
      <c r="C562" s="334" t="n"/>
      <c r="D562" s="334" t="n"/>
      <c r="E562" s="334" t="n"/>
      <c r="F562" s="334" t="n"/>
      <c r="G562" s="334" t="n"/>
      <c r="H562" s="334" t="n"/>
      <c r="I562" s="334" t="n"/>
      <c r="J562" s="334" t="n"/>
      <c r="K562" s="334" t="n"/>
      <c r="L562" s="334" t="n"/>
      <c r="M562" s="334" t="n"/>
      <c r="N562" s="334" t="n"/>
      <c r="O562" s="334" t="n"/>
      <c r="P562" s="334" t="n"/>
      <c r="Q562" s="334" t="n"/>
      <c r="R562" s="334" t="n"/>
      <c r="S562" s="334" t="n"/>
      <c r="T562" s="334" t="n"/>
    </row>
    <row r="563">
      <c r="A563" s="334" t="n"/>
      <c r="B563" s="334" t="n"/>
      <c r="C563" s="334" t="n"/>
      <c r="D563" s="334" t="n"/>
      <c r="E563" s="334" t="n"/>
      <c r="F563" s="334" t="n"/>
      <c r="G563" s="334" t="n"/>
      <c r="H563" s="334" t="n"/>
      <c r="I563" s="334" t="n"/>
      <c r="J563" s="334" t="n"/>
      <c r="K563" s="334" t="n"/>
      <c r="L563" s="334" t="n"/>
      <c r="M563" s="334" t="n"/>
      <c r="N563" s="334" t="n"/>
      <c r="O563" s="334" t="n"/>
      <c r="P563" s="334" t="n"/>
      <c r="Q563" s="334" t="n"/>
      <c r="R563" s="334" t="n"/>
      <c r="S563" s="334" t="n"/>
      <c r="T563" s="334" t="n"/>
    </row>
    <row r="564">
      <c r="A564" s="334" t="n"/>
      <c r="B564" s="334" t="n"/>
      <c r="C564" s="334" t="n"/>
      <c r="D564" s="334" t="n"/>
      <c r="E564" s="334" t="n"/>
      <c r="F564" s="334" t="n"/>
      <c r="G564" s="334" t="n"/>
      <c r="H564" s="334" t="n"/>
      <c r="I564" s="334" t="n"/>
      <c r="J564" s="334" t="n"/>
      <c r="K564" s="334" t="n"/>
      <c r="L564" s="334" t="n"/>
      <c r="M564" s="334" t="n"/>
      <c r="N564" s="334" t="n"/>
      <c r="O564" s="334" t="n"/>
      <c r="P564" s="334" t="n"/>
      <c r="Q564" s="334" t="n"/>
      <c r="R564" s="334" t="n"/>
      <c r="S564" s="334" t="n"/>
      <c r="T564" s="334" t="n"/>
    </row>
    <row r="565">
      <c r="A565" s="334" t="n"/>
      <c r="B565" s="334" t="n"/>
      <c r="C565" s="334" t="n"/>
      <c r="D565" s="334" t="n"/>
      <c r="E565" s="334" t="n"/>
      <c r="F565" s="334" t="n"/>
      <c r="G565" s="334" t="n"/>
      <c r="H565" s="334" t="n"/>
      <c r="I565" s="334" t="n"/>
      <c r="J565" s="334" t="n"/>
      <c r="K565" s="334" t="n"/>
      <c r="L565" s="334" t="n"/>
      <c r="M565" s="334" t="n"/>
      <c r="N565" s="334" t="n"/>
      <c r="O565" s="334" t="n"/>
      <c r="P565" s="334" t="n"/>
      <c r="Q565" s="334" t="n"/>
      <c r="R565" s="334" t="n"/>
      <c r="S565" s="334" t="n"/>
      <c r="T565" s="334" t="n"/>
    </row>
    <row r="566">
      <c r="A566" s="334" t="n"/>
      <c r="B566" s="334" t="n"/>
      <c r="C566" s="334" t="n"/>
      <c r="D566" s="334" t="n"/>
      <c r="E566" s="334" t="n"/>
      <c r="F566" s="334" t="n"/>
      <c r="G566" s="334" t="n"/>
      <c r="H566" s="334" t="n"/>
      <c r="I566" s="334" t="n"/>
      <c r="J566" s="334" t="n"/>
      <c r="K566" s="334" t="n"/>
      <c r="L566" s="334" t="n"/>
      <c r="M566" s="334" t="n"/>
      <c r="N566" s="334" t="n"/>
      <c r="O566" s="334" t="n"/>
      <c r="P566" s="334" t="n"/>
      <c r="Q566" s="334" t="n"/>
      <c r="R566" s="334" t="n"/>
      <c r="S566" s="334" t="n"/>
      <c r="T566" s="334" t="n"/>
    </row>
    <row r="567">
      <c r="A567" s="334" t="n"/>
      <c r="B567" s="334" t="n"/>
      <c r="C567" s="334" t="n"/>
      <c r="D567" s="334" t="n"/>
      <c r="E567" s="334" t="n"/>
      <c r="F567" s="334" t="n"/>
      <c r="G567" s="334" t="n"/>
      <c r="H567" s="334" t="n"/>
      <c r="I567" s="334" t="n"/>
      <c r="J567" s="334" t="n"/>
      <c r="K567" s="334" t="n"/>
      <c r="L567" s="334" t="n"/>
      <c r="M567" s="334" t="n"/>
      <c r="N567" s="334" t="n"/>
      <c r="O567" s="334" t="n"/>
      <c r="P567" s="334" t="n"/>
      <c r="Q567" s="334" t="n"/>
      <c r="R567" s="334" t="n"/>
      <c r="S567" s="334" t="n"/>
      <c r="T567" s="334" t="n"/>
    </row>
    <row r="568">
      <c r="A568" s="334" t="n"/>
      <c r="B568" s="334" t="n"/>
      <c r="C568" s="334" t="n"/>
      <c r="D568" s="334" t="n"/>
      <c r="E568" s="334" t="n"/>
      <c r="F568" s="334" t="n"/>
      <c r="G568" s="334" t="n"/>
      <c r="H568" s="334" t="n"/>
      <c r="I568" s="334" t="n"/>
      <c r="J568" s="334" t="n"/>
      <c r="K568" s="334" t="n"/>
      <c r="L568" s="334" t="n"/>
      <c r="M568" s="334" t="n"/>
      <c r="N568" s="334" t="n"/>
      <c r="O568" s="334" t="n"/>
      <c r="P568" s="334" t="n"/>
      <c r="Q568" s="334" t="n"/>
      <c r="R568" s="334" t="n"/>
      <c r="S568" s="334" t="n"/>
      <c r="T568" s="334" t="n"/>
    </row>
    <row r="569">
      <c r="A569" s="334" t="n"/>
      <c r="B569" s="334" t="n"/>
      <c r="C569" s="334" t="n"/>
      <c r="D569" s="334" t="n"/>
      <c r="E569" s="334" t="n"/>
      <c r="F569" s="334" t="n"/>
      <c r="G569" s="334" t="n"/>
      <c r="H569" s="334" t="n"/>
      <c r="I569" s="334" t="n"/>
      <c r="J569" s="334" t="n"/>
      <c r="K569" s="334" t="n"/>
      <c r="L569" s="334" t="n"/>
      <c r="M569" s="334" t="n"/>
      <c r="N569" s="334" t="n"/>
      <c r="O569" s="334" t="n"/>
      <c r="P569" s="334" t="n"/>
      <c r="Q569" s="334" t="n"/>
      <c r="R569" s="334" t="n"/>
      <c r="S569" s="334" t="n"/>
      <c r="T569" s="334" t="n"/>
    </row>
    <row r="570">
      <c r="A570" s="334" t="n"/>
      <c r="B570" s="334" t="n"/>
      <c r="C570" s="334" t="n"/>
      <c r="D570" s="334" t="n"/>
      <c r="E570" s="334" t="n"/>
      <c r="F570" s="334" t="n"/>
      <c r="G570" s="334" t="n"/>
      <c r="H570" s="334" t="n"/>
      <c r="I570" s="334" t="n"/>
      <c r="J570" s="334" t="n"/>
      <c r="K570" s="334" t="n"/>
      <c r="L570" s="334" t="n"/>
      <c r="M570" s="334" t="n"/>
      <c r="N570" s="334" t="n"/>
      <c r="O570" s="334" t="n"/>
      <c r="P570" s="334" t="n"/>
      <c r="Q570" s="334" t="n"/>
      <c r="R570" s="334" t="n"/>
      <c r="S570" s="334" t="n"/>
      <c r="T570" s="334" t="n"/>
    </row>
    <row r="571">
      <c r="A571" s="334" t="n"/>
      <c r="B571" s="334" t="n"/>
      <c r="C571" s="334" t="n"/>
      <c r="D571" s="334" t="n"/>
      <c r="E571" s="334" t="n"/>
      <c r="F571" s="334" t="n"/>
      <c r="G571" s="334" t="n"/>
      <c r="H571" s="334" t="n"/>
      <c r="I571" s="334" t="n"/>
      <c r="J571" s="334" t="n"/>
      <c r="K571" s="334" t="n"/>
      <c r="L571" s="334" t="n"/>
      <c r="M571" s="334" t="n"/>
      <c r="N571" s="334" t="n"/>
      <c r="O571" s="334" t="n"/>
      <c r="P571" s="334" t="n"/>
      <c r="Q571" s="334" t="n"/>
      <c r="R571" s="334" t="n"/>
      <c r="S571" s="334" t="n"/>
      <c r="T571" s="334" t="n"/>
    </row>
    <row r="572">
      <c r="A572" s="334" t="n"/>
      <c r="B572" s="334" t="n"/>
      <c r="C572" s="334" t="n"/>
      <c r="D572" s="334" t="n"/>
      <c r="E572" s="334" t="n"/>
      <c r="F572" s="334" t="n"/>
      <c r="G572" s="334" t="n"/>
      <c r="H572" s="334" t="n"/>
      <c r="I572" s="334" t="n"/>
      <c r="J572" s="334" t="n"/>
      <c r="K572" s="334" t="n"/>
      <c r="L572" s="334" t="n"/>
      <c r="M572" s="334" t="n"/>
      <c r="N572" s="334" t="n"/>
      <c r="O572" s="334" t="n"/>
      <c r="P572" s="334" t="n"/>
      <c r="Q572" s="334" t="n"/>
      <c r="R572" s="334" t="n"/>
      <c r="S572" s="334" t="n"/>
      <c r="T572" s="334" t="n"/>
    </row>
    <row r="573">
      <c r="A573" s="334" t="n"/>
      <c r="B573" s="334" t="n"/>
      <c r="C573" s="334" t="n"/>
      <c r="D573" s="334" t="n"/>
      <c r="E573" s="334" t="n"/>
      <c r="F573" s="334" t="n"/>
      <c r="G573" s="334" t="n"/>
      <c r="H573" s="334" t="n"/>
      <c r="I573" s="334" t="n"/>
      <c r="J573" s="334" t="n"/>
      <c r="K573" s="334" t="n"/>
      <c r="L573" s="334" t="n"/>
      <c r="M573" s="334" t="n"/>
      <c r="N573" s="334" t="n"/>
      <c r="O573" s="334" t="n"/>
      <c r="P573" s="334" t="n"/>
      <c r="Q573" s="334" t="n"/>
      <c r="R573" s="334" t="n"/>
      <c r="S573" s="334" t="n"/>
      <c r="T573" s="334" t="n"/>
    </row>
    <row r="574">
      <c r="A574" s="334" t="n"/>
      <c r="B574" s="334" t="n"/>
      <c r="C574" s="334" t="n"/>
      <c r="D574" s="334" t="n"/>
      <c r="E574" s="334" t="n"/>
      <c r="F574" s="334" t="n"/>
      <c r="G574" s="334" t="n"/>
      <c r="H574" s="334" t="n"/>
      <c r="I574" s="334" t="n"/>
      <c r="J574" s="334" t="n"/>
      <c r="K574" s="334" t="n"/>
      <c r="L574" s="334" t="n"/>
      <c r="M574" s="334" t="n"/>
      <c r="N574" s="334" t="n"/>
      <c r="O574" s="334" t="n"/>
      <c r="P574" s="334" t="n"/>
      <c r="Q574" s="334" t="n"/>
      <c r="R574" s="334" t="n"/>
      <c r="S574" s="334" t="n"/>
      <c r="T574" s="334" t="n"/>
    </row>
    <row r="575">
      <c r="A575" s="334" t="n"/>
      <c r="B575" s="334" t="n"/>
      <c r="C575" s="334" t="n"/>
      <c r="D575" s="334" t="n"/>
      <c r="E575" s="334" t="n"/>
      <c r="F575" s="334" t="n"/>
      <c r="G575" s="334" t="n"/>
      <c r="H575" s="334" t="n"/>
      <c r="I575" s="334" t="n"/>
      <c r="J575" s="334" t="n"/>
      <c r="K575" s="334" t="n"/>
      <c r="L575" s="334" t="n"/>
      <c r="M575" s="334" t="n"/>
      <c r="N575" s="334" t="n"/>
      <c r="O575" s="334" t="n"/>
      <c r="P575" s="334" t="n"/>
      <c r="Q575" s="334" t="n"/>
      <c r="R575" s="334" t="n"/>
      <c r="S575" s="334" t="n"/>
      <c r="T575" s="334" t="n"/>
    </row>
    <row r="576">
      <c r="A576" s="334" t="n"/>
      <c r="B576" s="334" t="n"/>
      <c r="C576" s="334" t="n"/>
      <c r="D576" s="334" t="n"/>
      <c r="E576" s="334" t="n"/>
      <c r="F576" s="334" t="n"/>
      <c r="G576" s="334" t="n"/>
      <c r="H576" s="334" t="n"/>
      <c r="I576" s="334" t="n"/>
      <c r="J576" s="334" t="n"/>
      <c r="K576" s="334" t="n"/>
      <c r="L576" s="334" t="n"/>
      <c r="M576" s="334" t="n"/>
      <c r="N576" s="334" t="n"/>
      <c r="O576" s="334" t="n"/>
      <c r="P576" s="334" t="n"/>
      <c r="Q576" s="334" t="n"/>
      <c r="R576" s="334" t="n"/>
      <c r="S576" s="334" t="n"/>
      <c r="T576" s="334" t="n"/>
    </row>
    <row r="577">
      <c r="A577" s="334" t="n"/>
      <c r="B577" s="334" t="n"/>
      <c r="C577" s="334" t="n"/>
      <c r="D577" s="334" t="n"/>
      <c r="E577" s="334" t="n"/>
      <c r="F577" s="334" t="n"/>
      <c r="G577" s="334" t="n"/>
      <c r="H577" s="334" t="n"/>
      <c r="I577" s="334" t="n"/>
      <c r="J577" s="334" t="n"/>
      <c r="K577" s="334" t="n"/>
      <c r="L577" s="334" t="n"/>
      <c r="M577" s="334" t="n"/>
      <c r="N577" s="334" t="n"/>
      <c r="O577" s="334" t="n"/>
      <c r="P577" s="334" t="n"/>
      <c r="Q577" s="334" t="n"/>
      <c r="R577" s="334" t="n"/>
      <c r="S577" s="334" t="n"/>
      <c r="T577" s="334" t="n"/>
    </row>
    <row r="578">
      <c r="A578" s="334" t="n"/>
      <c r="B578" s="334" t="n"/>
      <c r="C578" s="334" t="n"/>
      <c r="D578" s="334" t="n"/>
      <c r="E578" s="334" t="n"/>
      <c r="F578" s="334" t="n"/>
      <c r="G578" s="334" t="n"/>
      <c r="H578" s="334" t="n"/>
      <c r="I578" s="334" t="n"/>
      <c r="J578" s="334" t="n"/>
      <c r="K578" s="334" t="n"/>
      <c r="L578" s="334" t="n"/>
      <c r="M578" s="334" t="n"/>
      <c r="N578" s="334" t="n"/>
      <c r="O578" s="334" t="n"/>
      <c r="P578" s="334" t="n"/>
      <c r="Q578" s="334" t="n"/>
      <c r="R578" s="334" t="n"/>
      <c r="S578" s="334" t="n"/>
      <c r="T578" s="334" t="n"/>
    </row>
    <row r="579">
      <c r="A579" s="334" t="n"/>
      <c r="B579" s="334" t="n"/>
      <c r="C579" s="334" t="n"/>
      <c r="D579" s="334" t="n"/>
      <c r="E579" s="334" t="n"/>
      <c r="F579" s="334" t="n"/>
      <c r="G579" s="334" t="n"/>
      <c r="H579" s="334" t="n"/>
      <c r="I579" s="334" t="n"/>
      <c r="J579" s="334" t="n"/>
      <c r="K579" s="334" t="n"/>
      <c r="L579" s="334" t="n"/>
      <c r="M579" s="334" t="n"/>
      <c r="N579" s="334" t="n"/>
      <c r="O579" s="334" t="n"/>
      <c r="P579" s="334" t="n"/>
      <c r="Q579" s="334" t="n"/>
      <c r="R579" s="334" t="n"/>
      <c r="S579" s="334" t="n"/>
      <c r="T579" s="334" t="n"/>
    </row>
    <row r="580">
      <c r="A580" s="334" t="n"/>
      <c r="B580" s="334" t="n"/>
      <c r="C580" s="334" t="n"/>
      <c r="D580" s="334" t="n"/>
      <c r="E580" s="334" t="n"/>
      <c r="F580" s="334" t="n"/>
      <c r="G580" s="334" t="n"/>
      <c r="H580" s="334" t="n"/>
      <c r="I580" s="334" t="n"/>
      <c r="J580" s="334" t="n"/>
      <c r="K580" s="334" t="n"/>
      <c r="L580" s="334" t="n"/>
      <c r="M580" s="334" t="n"/>
      <c r="N580" s="334" t="n"/>
      <c r="O580" s="334" t="n"/>
      <c r="P580" s="334" t="n"/>
      <c r="Q580" s="334" t="n"/>
      <c r="R580" s="334" t="n"/>
      <c r="S580" s="334" t="n"/>
      <c r="T580" s="334" t="n"/>
    </row>
    <row r="581">
      <c r="A581" s="334" t="n"/>
      <c r="B581" s="334" t="n"/>
      <c r="C581" s="334" t="n"/>
      <c r="D581" s="334" t="n"/>
      <c r="E581" s="334" t="n"/>
      <c r="F581" s="334" t="n"/>
      <c r="G581" s="334" t="n"/>
      <c r="H581" s="334" t="n"/>
      <c r="I581" s="334" t="n"/>
      <c r="J581" s="334" t="n"/>
      <c r="K581" s="334" t="n"/>
      <c r="L581" s="334" t="n"/>
      <c r="M581" s="334" t="n"/>
      <c r="N581" s="334" t="n"/>
      <c r="O581" s="334" t="n"/>
      <c r="P581" s="334" t="n"/>
      <c r="Q581" s="334" t="n"/>
      <c r="R581" s="334" t="n"/>
      <c r="S581" s="334" t="n"/>
      <c r="T581" s="334" t="n"/>
    </row>
    <row r="582">
      <c r="A582" s="334" t="n"/>
      <c r="B582" s="334" t="n"/>
      <c r="C582" s="334" t="n"/>
      <c r="D582" s="334" t="n"/>
      <c r="E582" s="334" t="n"/>
      <c r="F582" s="334" t="n"/>
      <c r="G582" s="334" t="n"/>
      <c r="H582" s="334" t="n"/>
      <c r="I582" s="334" t="n"/>
      <c r="J582" s="334" t="n"/>
      <c r="K582" s="334" t="n"/>
      <c r="L582" s="334" t="n"/>
      <c r="M582" s="334" t="n"/>
      <c r="N582" s="334" t="n"/>
      <c r="O582" s="334" t="n"/>
      <c r="P582" s="334" t="n"/>
      <c r="Q582" s="334" t="n"/>
      <c r="R582" s="334" t="n"/>
      <c r="S582" s="334" t="n"/>
      <c r="T582" s="334" t="n"/>
    </row>
    <row r="583">
      <c r="A583" s="334" t="n"/>
      <c r="B583" s="334" t="n"/>
      <c r="C583" s="334" t="n"/>
      <c r="D583" s="334" t="n"/>
      <c r="E583" s="334" t="n"/>
      <c r="F583" s="334" t="n"/>
      <c r="G583" s="334" t="n"/>
      <c r="H583" s="334" t="n"/>
      <c r="I583" s="334" t="n"/>
      <c r="J583" s="334" t="n"/>
      <c r="K583" s="334" t="n"/>
      <c r="L583" s="334" t="n"/>
      <c r="M583" s="334" t="n"/>
      <c r="N583" s="334" t="n"/>
      <c r="O583" s="334" t="n"/>
      <c r="P583" s="334" t="n"/>
      <c r="Q583" s="334" t="n"/>
      <c r="R583" s="334" t="n"/>
      <c r="S583" s="334" t="n"/>
      <c r="T583" s="334" t="n"/>
    </row>
    <row r="584">
      <c r="A584" s="334" t="n"/>
      <c r="B584" s="334" t="n"/>
      <c r="C584" s="334" t="n"/>
      <c r="D584" s="334" t="n"/>
      <c r="E584" s="334" t="n"/>
      <c r="F584" s="334" t="n"/>
      <c r="G584" s="334" t="n"/>
      <c r="H584" s="334" t="n"/>
      <c r="I584" s="334" t="n"/>
      <c r="J584" s="334" t="n"/>
      <c r="K584" s="334" t="n"/>
      <c r="L584" s="334" t="n"/>
      <c r="M584" s="334" t="n"/>
      <c r="N584" s="334" t="n"/>
      <c r="O584" s="334" t="n"/>
      <c r="P584" s="334" t="n"/>
      <c r="Q584" s="334" t="n"/>
      <c r="R584" s="334" t="n"/>
      <c r="S584" s="334" t="n"/>
      <c r="T584" s="334" t="n"/>
    </row>
    <row r="585">
      <c r="A585" s="334" t="n"/>
      <c r="B585" s="334" t="n"/>
      <c r="C585" s="334" t="n"/>
      <c r="D585" s="334" t="n"/>
      <c r="E585" s="334" t="n"/>
      <c r="F585" s="334" t="n"/>
      <c r="G585" s="334" t="n"/>
      <c r="H585" s="334" t="n"/>
      <c r="I585" s="334" t="n"/>
      <c r="J585" s="334" t="n"/>
      <c r="K585" s="334" t="n"/>
      <c r="L585" s="334" t="n"/>
      <c r="M585" s="334" t="n"/>
      <c r="N585" s="334" t="n"/>
      <c r="O585" s="334" t="n"/>
      <c r="P585" s="334" t="n"/>
      <c r="Q585" s="334" t="n"/>
      <c r="R585" s="334" t="n"/>
      <c r="S585" s="334" t="n"/>
      <c r="T585" s="334" t="n"/>
    </row>
    <row r="586">
      <c r="A586" s="334" t="n"/>
      <c r="B586" s="334" t="n"/>
      <c r="C586" s="334" t="n"/>
      <c r="D586" s="334" t="n"/>
      <c r="E586" s="334" t="n"/>
      <c r="F586" s="334" t="n"/>
      <c r="G586" s="334" t="n"/>
      <c r="H586" s="334" t="n"/>
      <c r="I586" s="334" t="n"/>
      <c r="J586" s="334" t="n"/>
      <c r="K586" s="334" t="n"/>
      <c r="L586" s="334" t="n"/>
      <c r="M586" s="334" t="n"/>
      <c r="N586" s="334" t="n"/>
      <c r="O586" s="334" t="n"/>
      <c r="P586" s="334" t="n"/>
      <c r="Q586" s="334" t="n"/>
      <c r="R586" s="334" t="n"/>
      <c r="S586" s="334" t="n"/>
      <c r="T586" s="334" t="n"/>
    </row>
    <row r="587">
      <c r="A587" s="334" t="n"/>
      <c r="B587" s="334" t="n"/>
      <c r="C587" s="334" t="n"/>
      <c r="D587" s="334" t="n"/>
      <c r="E587" s="334" t="n"/>
      <c r="F587" s="334" t="n"/>
      <c r="G587" s="334" t="n"/>
      <c r="H587" s="334" t="n"/>
      <c r="I587" s="334" t="n"/>
      <c r="J587" s="334" t="n"/>
      <c r="K587" s="334" t="n"/>
      <c r="L587" s="334" t="n"/>
      <c r="M587" s="334" t="n"/>
      <c r="N587" s="334" t="n"/>
      <c r="O587" s="334" t="n"/>
      <c r="P587" s="334" t="n"/>
      <c r="Q587" s="334" t="n"/>
      <c r="R587" s="334" t="n"/>
      <c r="S587" s="334" t="n"/>
      <c r="T587" s="334" t="n"/>
    </row>
    <row r="588">
      <c r="A588" s="334" t="n"/>
      <c r="B588" s="334" t="n"/>
      <c r="C588" s="334" t="n"/>
      <c r="D588" s="334" t="n"/>
      <c r="E588" s="334" t="n"/>
      <c r="F588" s="334" t="n"/>
      <c r="G588" s="334" t="n"/>
      <c r="H588" s="334" t="n"/>
      <c r="I588" s="334" t="n"/>
      <c r="J588" s="334" t="n"/>
      <c r="K588" s="334" t="n"/>
      <c r="L588" s="334" t="n"/>
      <c r="M588" s="334" t="n"/>
      <c r="N588" s="334" t="n"/>
      <c r="O588" s="334" t="n"/>
      <c r="P588" s="334" t="n"/>
      <c r="Q588" s="334" t="n"/>
      <c r="R588" s="334" t="n"/>
      <c r="S588" s="334" t="n"/>
      <c r="T588" s="334" t="n"/>
    </row>
    <row r="589">
      <c r="A589" s="334" t="n"/>
      <c r="B589" s="334" t="n"/>
      <c r="C589" s="334" t="n"/>
      <c r="D589" s="334" t="n"/>
      <c r="E589" s="334" t="n"/>
      <c r="F589" s="334" t="n"/>
      <c r="G589" s="334" t="n"/>
      <c r="H589" s="334" t="n"/>
      <c r="I589" s="334" t="n"/>
      <c r="J589" s="334" t="n"/>
      <c r="K589" s="334" t="n"/>
      <c r="L589" s="334" t="n"/>
      <c r="M589" s="334" t="n"/>
      <c r="N589" s="334" t="n"/>
      <c r="O589" s="334" t="n"/>
      <c r="P589" s="334" t="n"/>
      <c r="Q589" s="334" t="n"/>
      <c r="R589" s="334" t="n"/>
      <c r="S589" s="334" t="n"/>
      <c r="T589" s="334" t="n"/>
    </row>
    <row r="590">
      <c r="A590" s="334" t="n"/>
      <c r="B590" s="334" t="n"/>
      <c r="C590" s="334" t="n"/>
      <c r="D590" s="334" t="n"/>
      <c r="E590" s="334" t="n"/>
      <c r="F590" s="334" t="n"/>
      <c r="G590" s="334" t="n"/>
      <c r="H590" s="334" t="n"/>
      <c r="I590" s="334" t="n"/>
      <c r="J590" s="334" t="n"/>
      <c r="K590" s="334" t="n"/>
      <c r="L590" s="334" t="n"/>
      <c r="M590" s="334" t="n"/>
      <c r="N590" s="334" t="n"/>
      <c r="O590" s="334" t="n"/>
      <c r="P590" s="334" t="n"/>
      <c r="Q590" s="334" t="n"/>
      <c r="R590" s="334" t="n"/>
      <c r="S590" s="334" t="n"/>
      <c r="T590" s="334" t="n"/>
    </row>
    <row r="591">
      <c r="A591" s="334" t="n"/>
      <c r="B591" s="334" t="n"/>
      <c r="C591" s="334" t="n"/>
      <c r="D591" s="334" t="n"/>
      <c r="E591" s="334" t="n"/>
      <c r="F591" s="334" t="n"/>
      <c r="G591" s="334" t="n"/>
      <c r="H591" s="334" t="n"/>
      <c r="I591" s="334" t="n"/>
      <c r="J591" s="334" t="n"/>
      <c r="K591" s="334" t="n"/>
      <c r="L591" s="334" t="n"/>
      <c r="M591" s="334" t="n"/>
      <c r="N591" s="334" t="n"/>
      <c r="O591" s="334" t="n"/>
      <c r="P591" s="334" t="n"/>
      <c r="Q591" s="334" t="n"/>
      <c r="R591" s="334" t="n"/>
      <c r="S591" s="334" t="n"/>
      <c r="T591" s="334" t="n"/>
    </row>
    <row r="592">
      <c r="A592" s="334" t="n"/>
      <c r="B592" s="334" t="n"/>
      <c r="C592" s="334" t="n"/>
      <c r="D592" s="334" t="n"/>
      <c r="E592" s="334" t="n"/>
      <c r="F592" s="334" t="n"/>
      <c r="G592" s="334" t="n"/>
      <c r="H592" s="334" t="n"/>
      <c r="I592" s="334" t="n"/>
      <c r="J592" s="334" t="n"/>
      <c r="K592" s="334" t="n"/>
      <c r="L592" s="334" t="n"/>
      <c r="M592" s="334" t="n"/>
      <c r="N592" s="334" t="n"/>
      <c r="O592" s="334" t="n"/>
      <c r="P592" s="334" t="n"/>
      <c r="Q592" s="334" t="n"/>
      <c r="R592" s="334" t="n"/>
      <c r="S592" s="334" t="n"/>
      <c r="T592" s="334" t="n"/>
    </row>
    <row r="593">
      <c r="A593" s="334" t="n"/>
      <c r="B593" s="334" t="n"/>
      <c r="C593" s="334" t="n"/>
      <c r="D593" s="334" t="n"/>
      <c r="E593" s="334" t="n"/>
      <c r="F593" s="334" t="n"/>
      <c r="G593" s="334" t="n"/>
      <c r="H593" s="334" t="n"/>
      <c r="I593" s="334" t="n"/>
      <c r="J593" s="334" t="n"/>
      <c r="K593" s="334" t="n"/>
      <c r="L593" s="334" t="n"/>
      <c r="M593" s="334" t="n"/>
      <c r="N593" s="334" t="n"/>
      <c r="O593" s="334" t="n"/>
      <c r="P593" s="334" t="n"/>
      <c r="Q593" s="334" t="n"/>
      <c r="R593" s="334" t="n"/>
      <c r="S593" s="334" t="n"/>
      <c r="T593" s="334" t="n"/>
    </row>
    <row r="594">
      <c r="A594" s="334" t="n"/>
      <c r="B594" s="334" t="n"/>
      <c r="C594" s="334" t="n"/>
      <c r="D594" s="334" t="n"/>
      <c r="E594" s="334" t="n"/>
      <c r="F594" s="334" t="n"/>
      <c r="G594" s="334" t="n"/>
      <c r="H594" s="334" t="n"/>
      <c r="I594" s="334" t="n"/>
      <c r="J594" s="334" t="n"/>
      <c r="K594" s="334" t="n"/>
      <c r="L594" s="334" t="n"/>
      <c r="M594" s="334" t="n"/>
      <c r="N594" s="334" t="n"/>
      <c r="O594" s="334" t="n"/>
      <c r="P594" s="334" t="n"/>
      <c r="Q594" s="334" t="n"/>
      <c r="R594" s="334" t="n"/>
      <c r="S594" s="334" t="n"/>
      <c r="T594" s="334" t="n"/>
    </row>
    <row r="595">
      <c r="A595" s="334" t="n"/>
      <c r="B595" s="334" t="n"/>
      <c r="C595" s="334" t="n"/>
      <c r="D595" s="334" t="n"/>
      <c r="E595" s="334" t="n"/>
      <c r="F595" s="334" t="n"/>
      <c r="G595" s="334" t="n"/>
      <c r="H595" s="334" t="n"/>
      <c r="I595" s="334" t="n"/>
      <c r="J595" s="334" t="n"/>
      <c r="K595" s="334" t="n"/>
      <c r="L595" s="334" t="n"/>
      <c r="M595" s="334" t="n"/>
      <c r="N595" s="334" t="n"/>
      <c r="O595" s="334" t="n"/>
      <c r="P595" s="334" t="n"/>
      <c r="Q595" s="334" t="n"/>
      <c r="R595" s="334" t="n"/>
      <c r="S595" s="334" t="n"/>
      <c r="T595" s="334" t="n"/>
    </row>
    <row r="596">
      <c r="A596" s="334" t="n"/>
      <c r="B596" s="334" t="n"/>
      <c r="C596" s="334" t="n"/>
      <c r="D596" s="334" t="n"/>
      <c r="E596" s="334" t="n"/>
      <c r="F596" s="334" t="n"/>
      <c r="G596" s="334" t="n"/>
      <c r="H596" s="334" t="n"/>
      <c r="I596" s="334" t="n"/>
      <c r="J596" s="334" t="n"/>
      <c r="K596" s="334" t="n"/>
      <c r="L596" s="334" t="n"/>
      <c r="M596" s="334" t="n"/>
      <c r="N596" s="334" t="n"/>
      <c r="O596" s="334" t="n"/>
      <c r="P596" s="334" t="n"/>
      <c r="Q596" s="334" t="n"/>
      <c r="R596" s="334" t="n"/>
      <c r="S596" s="334" t="n"/>
      <c r="T596" s="334" t="n"/>
    </row>
    <row r="597">
      <c r="A597" s="334" t="n"/>
      <c r="B597" s="334" t="n"/>
      <c r="C597" s="334" t="n"/>
      <c r="D597" s="334" t="n"/>
      <c r="E597" s="334" t="n"/>
      <c r="F597" s="334" t="n"/>
      <c r="G597" s="334" t="n"/>
      <c r="H597" s="334" t="n"/>
      <c r="I597" s="334" t="n"/>
      <c r="J597" s="334" t="n"/>
      <c r="K597" s="334" t="n"/>
      <c r="L597" s="334" t="n"/>
      <c r="M597" s="334" t="n"/>
      <c r="N597" s="334" t="n"/>
      <c r="O597" s="334" t="n"/>
      <c r="P597" s="334" t="n"/>
      <c r="Q597" s="334" t="n"/>
      <c r="R597" s="334" t="n"/>
      <c r="S597" s="334" t="n"/>
      <c r="T597" s="334" t="n"/>
    </row>
    <row r="598">
      <c r="A598" s="334" t="n"/>
      <c r="B598" s="334" t="n"/>
      <c r="C598" s="334" t="n"/>
      <c r="D598" s="334" t="n"/>
      <c r="E598" s="334" t="n"/>
      <c r="F598" s="334" t="n"/>
      <c r="G598" s="334" t="n"/>
      <c r="H598" s="334" t="n"/>
      <c r="I598" s="334" t="n"/>
      <c r="J598" s="334" t="n"/>
      <c r="K598" s="334" t="n"/>
      <c r="L598" s="334" t="n"/>
      <c r="M598" s="334" t="n"/>
      <c r="N598" s="334" t="n"/>
      <c r="O598" s="334" t="n"/>
      <c r="P598" s="334" t="n"/>
      <c r="Q598" s="334" t="n"/>
      <c r="R598" s="334" t="n"/>
      <c r="S598" s="334" t="n"/>
      <c r="T598" s="334" t="n"/>
    </row>
    <row r="599">
      <c r="A599" s="334" t="n"/>
      <c r="B599" s="334" t="n"/>
      <c r="C599" s="334" t="n"/>
      <c r="D599" s="334" t="n"/>
      <c r="E599" s="334" t="n"/>
      <c r="F599" s="334" t="n"/>
      <c r="G599" s="334" t="n"/>
      <c r="H599" s="334" t="n"/>
      <c r="I599" s="334" t="n"/>
      <c r="J599" s="334" t="n"/>
      <c r="K599" s="334" t="n"/>
      <c r="L599" s="334" t="n"/>
      <c r="M599" s="334" t="n"/>
      <c r="N599" s="334" t="n"/>
      <c r="O599" s="334" t="n"/>
      <c r="P599" s="334" t="n"/>
      <c r="Q599" s="334" t="n"/>
      <c r="R599" s="334" t="n"/>
      <c r="S599" s="334" t="n"/>
      <c r="T599" s="334" t="n"/>
    </row>
    <row r="600">
      <c r="A600" s="334" t="n"/>
      <c r="B600" s="334" t="n"/>
      <c r="C600" s="334" t="n"/>
      <c r="D600" s="334" t="n"/>
      <c r="E600" s="334" t="n"/>
      <c r="F600" s="334" t="n"/>
      <c r="G600" s="334" t="n"/>
      <c r="H600" s="334" t="n"/>
      <c r="I600" s="334" t="n"/>
      <c r="J600" s="334" t="n"/>
      <c r="K600" s="334" t="n"/>
      <c r="L600" s="334" t="n"/>
      <c r="M600" s="334" t="n"/>
      <c r="N600" s="334" t="n"/>
      <c r="O600" s="334" t="n"/>
      <c r="P600" s="334" t="n"/>
      <c r="Q600" s="334" t="n"/>
      <c r="R600" s="334" t="n"/>
      <c r="S600" s="334" t="n"/>
      <c r="T600" s="334" t="n"/>
    </row>
    <row r="601">
      <c r="A601" s="334" t="n"/>
      <c r="B601" s="334" t="n"/>
      <c r="C601" s="334" t="n"/>
      <c r="D601" s="334" t="n"/>
      <c r="E601" s="334" t="n"/>
      <c r="F601" s="334" t="n"/>
      <c r="G601" s="334" t="n"/>
      <c r="H601" s="334" t="n"/>
      <c r="I601" s="334" t="n"/>
      <c r="J601" s="334" t="n"/>
      <c r="K601" s="334" t="n"/>
      <c r="L601" s="334" t="n"/>
      <c r="M601" s="334" t="n"/>
      <c r="N601" s="334" t="n"/>
      <c r="O601" s="334" t="n"/>
      <c r="P601" s="334" t="n"/>
      <c r="Q601" s="334" t="n"/>
      <c r="R601" s="334" t="n"/>
      <c r="S601" s="334" t="n"/>
      <c r="T601" s="334" t="n"/>
    </row>
    <row r="602">
      <c r="A602" s="334" t="n"/>
      <c r="B602" s="334" t="n"/>
      <c r="C602" s="334" t="n"/>
      <c r="D602" s="334" t="n"/>
      <c r="E602" s="334" t="n"/>
      <c r="F602" s="334" t="n"/>
      <c r="G602" s="334" t="n"/>
      <c r="H602" s="334" t="n"/>
      <c r="I602" s="334" t="n"/>
      <c r="J602" s="334" t="n"/>
      <c r="K602" s="334" t="n"/>
      <c r="L602" s="334" t="n"/>
      <c r="M602" s="334" t="n"/>
      <c r="N602" s="334" t="n"/>
      <c r="O602" s="334" t="n"/>
      <c r="P602" s="334" t="n"/>
      <c r="Q602" s="334" t="n"/>
      <c r="R602" s="334" t="n"/>
      <c r="S602" s="334" t="n"/>
      <c r="T602" s="334" t="n"/>
    </row>
    <row r="603">
      <c r="A603" s="334" t="n"/>
      <c r="B603" s="334" t="n"/>
      <c r="C603" s="334" t="n"/>
      <c r="D603" s="334" t="n"/>
      <c r="E603" s="334" t="n"/>
      <c r="F603" s="334" t="n"/>
      <c r="G603" s="334" t="n"/>
      <c r="H603" s="334" t="n"/>
      <c r="I603" s="334" t="n"/>
      <c r="J603" s="334" t="n"/>
      <c r="K603" s="334" t="n"/>
      <c r="L603" s="334" t="n"/>
      <c r="M603" s="334" t="n"/>
      <c r="N603" s="334" t="n"/>
      <c r="O603" s="334" t="n"/>
      <c r="P603" s="334" t="n"/>
      <c r="Q603" s="334" t="n"/>
      <c r="R603" s="334" t="n"/>
      <c r="S603" s="334" t="n"/>
      <c r="T603" s="334" t="n"/>
    </row>
    <row r="604">
      <c r="A604" s="334" t="n"/>
      <c r="B604" s="334" t="n"/>
      <c r="C604" s="334" t="n"/>
      <c r="D604" s="334" t="n"/>
      <c r="E604" s="334" t="n"/>
      <c r="F604" s="334" t="n"/>
      <c r="G604" s="334" t="n"/>
      <c r="H604" s="334" t="n"/>
      <c r="I604" s="334" t="n"/>
      <c r="J604" s="334" t="n"/>
      <c r="K604" s="334" t="n"/>
      <c r="L604" s="334" t="n"/>
      <c r="M604" s="334" t="n"/>
      <c r="N604" s="334" t="n"/>
      <c r="O604" s="334" t="n"/>
      <c r="P604" s="334" t="n"/>
      <c r="Q604" s="334" t="n"/>
      <c r="R604" s="334" t="n"/>
      <c r="S604" s="334" t="n"/>
      <c r="T604" s="334" t="n"/>
    </row>
    <row r="605">
      <c r="A605" s="334" t="n"/>
      <c r="B605" s="334" t="n"/>
      <c r="C605" s="334" t="n"/>
      <c r="D605" s="334" t="n"/>
      <c r="E605" s="334" t="n"/>
      <c r="F605" s="334" t="n"/>
      <c r="G605" s="334" t="n"/>
      <c r="H605" s="334" t="n"/>
      <c r="I605" s="334" t="n"/>
      <c r="J605" s="334" t="n"/>
      <c r="K605" s="334" t="n"/>
      <c r="L605" s="334" t="n"/>
      <c r="M605" s="334" t="n"/>
      <c r="N605" s="334" t="n"/>
      <c r="O605" s="334" t="n"/>
      <c r="P605" s="334" t="n"/>
      <c r="Q605" s="334" t="n"/>
      <c r="R605" s="334" t="n"/>
      <c r="S605" s="334" t="n"/>
      <c r="T605" s="334" t="n"/>
    </row>
    <row r="606">
      <c r="A606" s="334" t="n"/>
      <c r="B606" s="334" t="n"/>
      <c r="C606" s="334" t="n"/>
      <c r="D606" s="334" t="n"/>
      <c r="E606" s="334" t="n"/>
      <c r="F606" s="334" t="n"/>
      <c r="G606" s="334" t="n"/>
      <c r="H606" s="334" t="n"/>
      <c r="I606" s="334" t="n"/>
      <c r="J606" s="334" t="n"/>
      <c r="K606" s="334" t="n"/>
      <c r="L606" s="334" t="n"/>
      <c r="M606" s="334" t="n"/>
      <c r="N606" s="334" t="n"/>
      <c r="O606" s="334" t="n"/>
      <c r="P606" s="334" t="n"/>
      <c r="Q606" s="334" t="n"/>
      <c r="R606" s="334" t="n"/>
      <c r="S606" s="334" t="n"/>
      <c r="T606" s="334" t="n"/>
    </row>
    <row r="607">
      <c r="A607" s="334" t="n"/>
      <c r="B607" s="334" t="n"/>
      <c r="C607" s="334" t="n"/>
      <c r="D607" s="334" t="n"/>
      <c r="E607" s="334" t="n"/>
      <c r="F607" s="334" t="n"/>
      <c r="G607" s="334" t="n"/>
      <c r="H607" s="334" t="n"/>
      <c r="I607" s="334" t="n"/>
      <c r="J607" s="334" t="n"/>
      <c r="K607" s="334" t="n"/>
      <c r="L607" s="334" t="n"/>
      <c r="M607" s="334" t="n"/>
      <c r="N607" s="334" t="n"/>
      <c r="O607" s="334" t="n"/>
      <c r="P607" s="334" t="n"/>
      <c r="Q607" s="334" t="n"/>
      <c r="R607" s="334" t="n"/>
      <c r="S607" s="334" t="n"/>
      <c r="T607" s="334" t="n"/>
    </row>
    <row r="608">
      <c r="A608" s="334" t="n"/>
      <c r="B608" s="334" t="n"/>
      <c r="C608" s="334" t="n"/>
      <c r="D608" s="334" t="n"/>
      <c r="E608" s="334" t="n"/>
      <c r="F608" s="334" t="n"/>
      <c r="G608" s="334" t="n"/>
      <c r="H608" s="334" t="n"/>
      <c r="I608" s="334" t="n"/>
      <c r="J608" s="334" t="n"/>
      <c r="K608" s="334" t="n"/>
      <c r="L608" s="334" t="n"/>
      <c r="M608" s="334" t="n"/>
      <c r="N608" s="334" t="n"/>
      <c r="O608" s="334" t="n"/>
      <c r="P608" s="334" t="n"/>
      <c r="Q608" s="334" t="n"/>
      <c r="R608" s="334" t="n"/>
      <c r="S608" s="334" t="n"/>
      <c r="T608" s="334" t="n"/>
    </row>
    <row r="609">
      <c r="A609" s="334" t="n"/>
      <c r="B609" s="334" t="n"/>
      <c r="C609" s="334" t="n"/>
      <c r="D609" s="334" t="n"/>
      <c r="E609" s="334" t="n"/>
      <c r="F609" s="334" t="n"/>
      <c r="G609" s="334" t="n"/>
      <c r="H609" s="334" t="n"/>
      <c r="I609" s="334" t="n"/>
      <c r="J609" s="334" t="n"/>
      <c r="K609" s="334" t="n"/>
      <c r="L609" s="334" t="n"/>
      <c r="M609" s="334" t="n"/>
      <c r="N609" s="334" t="n"/>
      <c r="O609" s="334" t="n"/>
      <c r="P609" s="334" t="n"/>
      <c r="Q609" s="334" t="n"/>
      <c r="R609" s="334" t="n"/>
      <c r="S609" s="334" t="n"/>
      <c r="T609" s="334" t="n"/>
    </row>
    <row r="610">
      <c r="A610" s="334" t="n"/>
      <c r="B610" s="334" t="n"/>
      <c r="C610" s="334" t="n"/>
      <c r="D610" s="334" t="n"/>
      <c r="E610" s="334" t="n"/>
      <c r="F610" s="334" t="n"/>
      <c r="G610" s="334" t="n"/>
      <c r="H610" s="334" t="n"/>
      <c r="I610" s="334" t="n"/>
      <c r="J610" s="334" t="n"/>
      <c r="K610" s="334" t="n"/>
      <c r="L610" s="334" t="n"/>
      <c r="M610" s="334" t="n"/>
      <c r="N610" s="334" t="n"/>
      <c r="O610" s="334" t="n"/>
      <c r="P610" s="334" t="n"/>
      <c r="Q610" s="334" t="n"/>
      <c r="R610" s="334" t="n"/>
      <c r="S610" s="334" t="n"/>
      <c r="T610" s="334" t="n"/>
    </row>
    <row r="611">
      <c r="A611" s="334" t="n"/>
      <c r="B611" s="334" t="n"/>
      <c r="C611" s="334" t="n"/>
      <c r="D611" s="334" t="n"/>
      <c r="E611" s="334" t="n"/>
      <c r="F611" s="334" t="n"/>
      <c r="G611" s="334" t="n"/>
      <c r="H611" s="334" t="n"/>
      <c r="I611" s="334" t="n"/>
      <c r="J611" s="334" t="n"/>
      <c r="K611" s="334" t="n"/>
      <c r="L611" s="334" t="n"/>
      <c r="M611" s="334" t="n"/>
      <c r="N611" s="334" t="n"/>
      <c r="O611" s="334" t="n"/>
      <c r="P611" s="334" t="n"/>
      <c r="Q611" s="334" t="n"/>
      <c r="R611" s="334" t="n"/>
      <c r="S611" s="334" t="n"/>
      <c r="T611" s="334" t="n"/>
    </row>
    <row r="612">
      <c r="A612" s="334" t="n"/>
      <c r="B612" s="334" t="n"/>
      <c r="C612" s="334" t="n"/>
      <c r="D612" s="334" t="n"/>
      <c r="E612" s="334" t="n"/>
      <c r="F612" s="334" t="n"/>
      <c r="G612" s="334" t="n"/>
      <c r="H612" s="334" t="n"/>
      <c r="I612" s="334" t="n"/>
      <c r="J612" s="334" t="n"/>
      <c r="K612" s="334" t="n"/>
      <c r="L612" s="334" t="n"/>
      <c r="M612" s="334" t="n"/>
      <c r="N612" s="334" t="n"/>
      <c r="O612" s="334" t="n"/>
      <c r="P612" s="334" t="n"/>
      <c r="Q612" s="334" t="n"/>
      <c r="R612" s="334" t="n"/>
      <c r="S612" s="334" t="n"/>
      <c r="T612" s="334" t="n"/>
    </row>
    <row r="613">
      <c r="A613" s="334" t="n"/>
      <c r="B613" s="334" t="n"/>
      <c r="C613" s="334" t="n"/>
      <c r="D613" s="334" t="n"/>
      <c r="E613" s="334" t="n"/>
      <c r="F613" s="334" t="n"/>
      <c r="G613" s="334" t="n"/>
      <c r="H613" s="334" t="n"/>
      <c r="I613" s="334" t="n"/>
      <c r="J613" s="334" t="n"/>
      <c r="K613" s="334" t="n"/>
      <c r="L613" s="334" t="n"/>
      <c r="M613" s="334" t="n"/>
      <c r="N613" s="334" t="n"/>
      <c r="O613" s="334" t="n"/>
      <c r="P613" s="334" t="n"/>
      <c r="Q613" s="334" t="n"/>
      <c r="R613" s="334" t="n"/>
      <c r="S613" s="334" t="n"/>
      <c r="T613" s="334" t="n"/>
    </row>
    <row r="614">
      <c r="A614" s="334" t="n"/>
      <c r="B614" s="334" t="n"/>
      <c r="C614" s="334" t="n"/>
      <c r="D614" s="334" t="n"/>
      <c r="E614" s="334" t="n"/>
      <c r="F614" s="334" t="n"/>
      <c r="G614" s="334" t="n"/>
      <c r="H614" s="334" t="n"/>
      <c r="I614" s="334" t="n"/>
      <c r="J614" s="334" t="n"/>
      <c r="K614" s="334" t="n"/>
      <c r="L614" s="334" t="n"/>
      <c r="M614" s="334" t="n"/>
      <c r="N614" s="334" t="n"/>
      <c r="O614" s="334" t="n"/>
      <c r="P614" s="334" t="n"/>
      <c r="Q614" s="334" t="n"/>
      <c r="R614" s="334" t="n"/>
      <c r="S614" s="334" t="n"/>
      <c r="T614" s="334" t="n"/>
    </row>
    <row r="615">
      <c r="A615" s="334" t="n"/>
      <c r="B615" s="334" t="n"/>
      <c r="C615" s="334" t="n"/>
      <c r="D615" s="334" t="n"/>
      <c r="E615" s="334" t="n"/>
      <c r="F615" s="334" t="n"/>
      <c r="G615" s="334" t="n"/>
      <c r="H615" s="334" t="n"/>
      <c r="I615" s="334" t="n"/>
      <c r="J615" s="334" t="n"/>
      <c r="K615" s="334" t="n"/>
      <c r="L615" s="334" t="n"/>
      <c r="M615" s="334" t="n"/>
      <c r="N615" s="334" t="n"/>
      <c r="O615" s="334" t="n"/>
      <c r="P615" s="334" t="n"/>
      <c r="Q615" s="334" t="n"/>
      <c r="R615" s="334" t="n"/>
      <c r="S615" s="334" t="n"/>
      <c r="T615" s="334" t="n"/>
    </row>
    <row r="616">
      <c r="A616" s="334" t="n"/>
      <c r="B616" s="334" t="n"/>
      <c r="C616" s="334" t="n"/>
      <c r="D616" s="334" t="n"/>
      <c r="E616" s="334" t="n"/>
      <c r="F616" s="334" t="n"/>
      <c r="G616" s="334" t="n"/>
      <c r="H616" s="334" t="n"/>
      <c r="I616" s="334" t="n"/>
      <c r="J616" s="334" t="n"/>
      <c r="K616" s="334" t="n"/>
      <c r="L616" s="334" t="n"/>
      <c r="M616" s="334" t="n"/>
      <c r="N616" s="334" t="n"/>
      <c r="O616" s="334" t="n"/>
      <c r="P616" s="334" t="n"/>
      <c r="Q616" s="334" t="n"/>
      <c r="R616" s="334" t="n"/>
      <c r="S616" s="334" t="n"/>
      <c r="T616" s="334" t="n"/>
    </row>
    <row r="617">
      <c r="A617" s="334" t="n"/>
      <c r="B617" s="334" t="n"/>
      <c r="C617" s="334" t="n"/>
      <c r="D617" s="334" t="n"/>
      <c r="E617" s="334" t="n"/>
      <c r="F617" s="334" t="n"/>
      <c r="G617" s="334" t="n"/>
      <c r="H617" s="334" t="n"/>
      <c r="I617" s="334" t="n"/>
      <c r="J617" s="334" t="n"/>
      <c r="K617" s="334" t="n"/>
      <c r="L617" s="334" t="n"/>
      <c r="M617" s="334" t="n"/>
      <c r="N617" s="334" t="n"/>
      <c r="O617" s="334" t="n"/>
      <c r="P617" s="334" t="n"/>
      <c r="Q617" s="334" t="n"/>
      <c r="R617" s="334" t="n"/>
      <c r="S617" s="334" t="n"/>
      <c r="T617" s="334" t="n"/>
    </row>
    <row r="618">
      <c r="A618" s="334" t="n"/>
      <c r="B618" s="334" t="n"/>
      <c r="C618" s="334" t="n"/>
      <c r="D618" s="334" t="n"/>
      <c r="E618" s="334" t="n"/>
      <c r="F618" s="334" t="n"/>
      <c r="G618" s="334" t="n"/>
      <c r="H618" s="334" t="n"/>
      <c r="I618" s="334" t="n"/>
      <c r="J618" s="334" t="n"/>
      <c r="K618" s="334" t="n"/>
      <c r="L618" s="334" t="n"/>
      <c r="M618" s="334" t="n"/>
      <c r="N618" s="334" t="n"/>
      <c r="O618" s="334" t="n"/>
      <c r="P618" s="334" t="n"/>
      <c r="Q618" s="334" t="n"/>
      <c r="R618" s="334" t="n"/>
      <c r="S618" s="334" t="n"/>
      <c r="T618" s="334" t="n"/>
    </row>
    <row r="619">
      <c r="A619" s="334" t="n"/>
      <c r="B619" s="334" t="n"/>
      <c r="C619" s="334" t="n"/>
      <c r="D619" s="334" t="n"/>
      <c r="E619" s="334" t="n"/>
      <c r="F619" s="334" t="n"/>
      <c r="G619" s="334" t="n"/>
      <c r="H619" s="334" t="n"/>
      <c r="I619" s="334" t="n"/>
      <c r="J619" s="334" t="n"/>
      <c r="K619" s="334" t="n"/>
      <c r="L619" s="334" t="n"/>
      <c r="M619" s="334" t="n"/>
      <c r="N619" s="334" t="n"/>
      <c r="O619" s="334" t="n"/>
      <c r="P619" s="334" t="n"/>
      <c r="Q619" s="334" t="n"/>
      <c r="R619" s="334" t="n"/>
      <c r="S619" s="334" t="n"/>
      <c r="T619" s="334" t="n"/>
    </row>
    <row r="620">
      <c r="A620" s="334" t="n"/>
      <c r="B620" s="334" t="n"/>
      <c r="C620" s="334" t="n"/>
      <c r="D620" s="334" t="n"/>
      <c r="E620" s="334" t="n"/>
      <c r="F620" s="334" t="n"/>
      <c r="G620" s="334" t="n"/>
      <c r="H620" s="334" t="n"/>
      <c r="I620" s="334" t="n"/>
      <c r="J620" s="334" t="n"/>
      <c r="K620" s="334" t="n"/>
      <c r="L620" s="334" t="n"/>
      <c r="M620" s="334" t="n"/>
      <c r="N620" s="334" t="n"/>
      <c r="O620" s="334" t="n"/>
      <c r="P620" s="334" t="n"/>
      <c r="Q620" s="334" t="n"/>
      <c r="R620" s="334" t="n"/>
      <c r="S620" s="334" t="n"/>
      <c r="T620" s="334" t="n"/>
    </row>
    <row r="621">
      <c r="A621" s="334" t="n"/>
      <c r="B621" s="334" t="n"/>
      <c r="C621" s="334" t="n"/>
      <c r="D621" s="334" t="n"/>
      <c r="E621" s="334" t="n"/>
      <c r="F621" s="334" t="n"/>
      <c r="G621" s="334" t="n"/>
      <c r="H621" s="334" t="n"/>
      <c r="I621" s="334" t="n"/>
      <c r="J621" s="334" t="n"/>
      <c r="K621" s="334" t="n"/>
      <c r="L621" s="334" t="n"/>
      <c r="M621" s="334" t="n"/>
      <c r="N621" s="334" t="n"/>
      <c r="O621" s="334" t="n"/>
      <c r="P621" s="334" t="n"/>
      <c r="Q621" s="334" t="n"/>
      <c r="R621" s="334" t="n"/>
      <c r="S621" s="334" t="n"/>
      <c r="T621" s="334" t="n"/>
    </row>
    <row r="622">
      <c r="A622" s="334" t="n"/>
      <c r="B622" s="334" t="n"/>
      <c r="C622" s="334" t="n"/>
      <c r="D622" s="334" t="n"/>
      <c r="E622" s="334" t="n"/>
      <c r="F622" s="334" t="n"/>
      <c r="G622" s="334" t="n"/>
      <c r="H622" s="334" t="n"/>
      <c r="I622" s="334" t="n"/>
      <c r="J622" s="334" t="n"/>
      <c r="K622" s="334" t="n"/>
      <c r="L622" s="334" t="n"/>
      <c r="M622" s="334" t="n"/>
      <c r="N622" s="334" t="n"/>
      <c r="O622" s="334" t="n"/>
      <c r="P622" s="334" t="n"/>
      <c r="Q622" s="334" t="n"/>
      <c r="R622" s="334" t="n"/>
      <c r="S622" s="334" t="n"/>
      <c r="T622" s="334" t="n"/>
    </row>
    <row r="623">
      <c r="A623" s="334" t="n"/>
      <c r="B623" s="334" t="n"/>
      <c r="C623" s="334" t="n"/>
      <c r="D623" s="334" t="n"/>
      <c r="E623" s="334" t="n"/>
      <c r="F623" s="334" t="n"/>
      <c r="G623" s="334" t="n"/>
      <c r="H623" s="334" t="n"/>
      <c r="I623" s="334" t="n"/>
      <c r="J623" s="334" t="n"/>
      <c r="K623" s="334" t="n"/>
      <c r="L623" s="334" t="n"/>
      <c r="M623" s="334" t="n"/>
      <c r="N623" s="334" t="n"/>
      <c r="O623" s="334" t="n"/>
      <c r="P623" s="334" t="n"/>
      <c r="Q623" s="334" t="n"/>
      <c r="R623" s="334" t="n"/>
      <c r="S623" s="334" t="n"/>
      <c r="T623" s="334" t="n"/>
    </row>
    <row r="624">
      <c r="A624" s="334" t="n"/>
      <c r="B624" s="334" t="n"/>
      <c r="C624" s="334" t="n"/>
      <c r="D624" s="334" t="n"/>
      <c r="E624" s="334" t="n"/>
      <c r="F624" s="334" t="n"/>
      <c r="G624" s="334" t="n"/>
      <c r="H624" s="334" t="n"/>
      <c r="I624" s="334" t="n"/>
      <c r="J624" s="334" t="n"/>
      <c r="K624" s="334" t="n"/>
      <c r="L624" s="334" t="n"/>
      <c r="M624" s="334" t="n"/>
      <c r="N624" s="334" t="n"/>
      <c r="O624" s="334" t="n"/>
      <c r="P624" s="334" t="n"/>
      <c r="Q624" s="334" t="n"/>
      <c r="R624" s="334" t="n"/>
      <c r="S624" s="334" t="n"/>
      <c r="T624" s="334" t="n"/>
    </row>
    <row r="625">
      <c r="A625" s="334" t="n"/>
      <c r="B625" s="334" t="n"/>
      <c r="C625" s="334" t="n"/>
      <c r="D625" s="334" t="n"/>
      <c r="E625" s="334" t="n"/>
      <c r="F625" s="334" t="n"/>
      <c r="G625" s="334" t="n"/>
      <c r="H625" s="334" t="n"/>
      <c r="I625" s="334" t="n"/>
      <c r="J625" s="334" t="n"/>
      <c r="K625" s="334" t="n"/>
      <c r="L625" s="334" t="n"/>
      <c r="M625" s="334" t="n"/>
      <c r="N625" s="334" t="n"/>
      <c r="O625" s="334" t="n"/>
      <c r="P625" s="334" t="n"/>
      <c r="Q625" s="334" t="n"/>
      <c r="R625" s="334" t="n"/>
      <c r="S625" s="334" t="n"/>
      <c r="T625" s="334" t="n"/>
    </row>
    <row r="626">
      <c r="A626" s="334" t="n"/>
      <c r="B626" s="334" t="n"/>
      <c r="C626" s="334" t="n"/>
      <c r="D626" s="334" t="n"/>
      <c r="E626" s="334" t="n"/>
      <c r="F626" s="334" t="n"/>
      <c r="G626" s="334" t="n"/>
      <c r="H626" s="334" t="n"/>
      <c r="I626" s="334" t="n"/>
      <c r="J626" s="334" t="n"/>
      <c r="K626" s="334" t="n"/>
      <c r="L626" s="334" t="n"/>
      <c r="M626" s="334" t="n"/>
      <c r="N626" s="334" t="n"/>
      <c r="O626" s="334" t="n"/>
      <c r="P626" s="334" t="n"/>
      <c r="Q626" s="334" t="n"/>
      <c r="R626" s="334" t="n"/>
      <c r="S626" s="334" t="n"/>
      <c r="T626" s="334" t="n"/>
    </row>
    <row r="627">
      <c r="A627" s="334" t="n"/>
      <c r="B627" s="334" t="n"/>
      <c r="C627" s="334" t="n"/>
      <c r="D627" s="334" t="n"/>
      <c r="E627" s="334" t="n"/>
      <c r="F627" s="334" t="n"/>
      <c r="G627" s="334" t="n"/>
      <c r="H627" s="334" t="n"/>
      <c r="I627" s="334" t="n"/>
      <c r="J627" s="334" t="n"/>
      <c r="K627" s="334" t="n"/>
      <c r="L627" s="334" t="n"/>
      <c r="M627" s="334" t="n"/>
      <c r="N627" s="334" t="n"/>
      <c r="O627" s="334" t="n"/>
      <c r="P627" s="334" t="n"/>
      <c r="Q627" s="334" t="n"/>
      <c r="R627" s="334" t="n"/>
      <c r="S627" s="334" t="n"/>
      <c r="T627" s="334" t="n"/>
    </row>
    <row r="628">
      <c r="A628" s="334" t="n"/>
      <c r="B628" s="334" t="n"/>
      <c r="C628" s="334" t="n"/>
      <c r="D628" s="334" t="n"/>
      <c r="E628" s="334" t="n"/>
      <c r="F628" s="334" t="n"/>
      <c r="G628" s="334" t="n"/>
      <c r="H628" s="334" t="n"/>
      <c r="I628" s="334" t="n"/>
      <c r="J628" s="334" t="n"/>
      <c r="K628" s="334" t="n"/>
      <c r="L628" s="334" t="n"/>
      <c r="M628" s="334" t="n"/>
      <c r="N628" s="334" t="n"/>
      <c r="O628" s="334" t="n"/>
      <c r="P628" s="334" t="n"/>
      <c r="Q628" s="334" t="n"/>
      <c r="R628" s="334" t="n"/>
      <c r="S628" s="334" t="n"/>
      <c r="T628" s="334" t="n"/>
    </row>
    <row r="629">
      <c r="A629" s="334" t="n"/>
      <c r="B629" s="334" t="n"/>
      <c r="C629" s="334" t="n"/>
      <c r="D629" s="334" t="n"/>
      <c r="E629" s="334" t="n"/>
      <c r="F629" s="334" t="n"/>
      <c r="G629" s="334" t="n"/>
      <c r="H629" s="334" t="n"/>
      <c r="I629" s="334" t="n"/>
      <c r="J629" s="334" t="n"/>
      <c r="K629" s="334" t="n"/>
      <c r="L629" s="334" t="n"/>
      <c r="M629" s="334" t="n"/>
      <c r="N629" s="334" t="n"/>
      <c r="O629" s="334" t="n"/>
      <c r="P629" s="334" t="n"/>
      <c r="Q629" s="334" t="n"/>
      <c r="R629" s="334" t="n"/>
      <c r="S629" s="334" t="n"/>
      <c r="T629" s="334" t="n"/>
    </row>
    <row r="630">
      <c r="A630" s="334" t="n"/>
      <c r="B630" s="334" t="n"/>
      <c r="C630" s="334" t="n"/>
      <c r="D630" s="334" t="n"/>
      <c r="E630" s="334" t="n"/>
      <c r="F630" s="334" t="n"/>
      <c r="G630" s="334" t="n"/>
      <c r="H630" s="334" t="n"/>
      <c r="I630" s="334" t="n"/>
      <c r="J630" s="334" t="n"/>
      <c r="K630" s="334" t="n"/>
      <c r="L630" s="334" t="n"/>
      <c r="M630" s="334" t="n"/>
      <c r="N630" s="334" t="n"/>
      <c r="O630" s="334" t="n"/>
      <c r="P630" s="334" t="n"/>
      <c r="Q630" s="334" t="n"/>
      <c r="R630" s="334" t="n"/>
      <c r="S630" s="334" t="n"/>
      <c r="T630" s="334" t="n"/>
    </row>
    <row r="631">
      <c r="A631" s="334" t="n"/>
      <c r="B631" s="334" t="n"/>
      <c r="C631" s="334" t="n"/>
      <c r="D631" s="334" t="n"/>
      <c r="E631" s="334" t="n"/>
      <c r="F631" s="334" t="n"/>
      <c r="G631" s="334" t="n"/>
      <c r="H631" s="334" t="n"/>
      <c r="I631" s="334" t="n"/>
      <c r="J631" s="334" t="n"/>
      <c r="K631" s="334" t="n"/>
      <c r="L631" s="334" t="n"/>
      <c r="M631" s="334" t="n"/>
      <c r="N631" s="334" t="n"/>
      <c r="O631" s="334" t="n"/>
      <c r="P631" s="334" t="n"/>
      <c r="Q631" s="334" t="n"/>
      <c r="R631" s="334" t="n"/>
      <c r="S631" s="334" t="n"/>
      <c r="T631" s="334" t="n"/>
    </row>
    <row r="632">
      <c r="A632" s="334" t="n"/>
      <c r="B632" s="334" t="n"/>
      <c r="C632" s="334" t="n"/>
      <c r="D632" s="334" t="n"/>
      <c r="E632" s="334" t="n"/>
      <c r="F632" s="334" t="n"/>
      <c r="G632" s="334" t="n"/>
      <c r="H632" s="334" t="n"/>
      <c r="I632" s="334" t="n"/>
      <c r="J632" s="334" t="n"/>
      <c r="K632" s="334" t="n"/>
      <c r="L632" s="334" t="n"/>
      <c r="M632" s="334" t="n"/>
      <c r="N632" s="334" t="n"/>
      <c r="O632" s="334" t="n"/>
      <c r="P632" s="334" t="n"/>
      <c r="Q632" s="334" t="n"/>
      <c r="R632" s="334" t="n"/>
      <c r="S632" s="334" t="n"/>
      <c r="T632" s="334" t="n"/>
    </row>
    <row r="633">
      <c r="A633" s="334" t="n"/>
      <c r="B633" s="334" t="n"/>
      <c r="C633" s="334" t="n"/>
      <c r="D633" s="334" t="n"/>
      <c r="E633" s="334" t="n"/>
      <c r="F633" s="334" t="n"/>
      <c r="G633" s="334" t="n"/>
      <c r="H633" s="334" t="n"/>
      <c r="I633" s="334" t="n"/>
      <c r="J633" s="334" t="n"/>
      <c r="K633" s="334" t="n"/>
      <c r="L633" s="334" t="n"/>
      <c r="M633" s="334" t="n"/>
      <c r="N633" s="334" t="n"/>
      <c r="O633" s="334" t="n"/>
      <c r="P633" s="334" t="n"/>
      <c r="Q633" s="334" t="n"/>
      <c r="R633" s="334" t="n"/>
      <c r="S633" s="334" t="n"/>
      <c r="T633" s="334" t="n"/>
    </row>
    <row r="634">
      <c r="A634" s="334" t="n"/>
      <c r="B634" s="334" t="n"/>
      <c r="C634" s="334" t="n"/>
      <c r="D634" s="334" t="n"/>
      <c r="E634" s="334" t="n"/>
      <c r="F634" s="334" t="n"/>
      <c r="G634" s="334" t="n"/>
      <c r="H634" s="334" t="n"/>
      <c r="I634" s="334" t="n"/>
      <c r="J634" s="334" t="n"/>
      <c r="K634" s="334" t="n"/>
      <c r="L634" s="334" t="n"/>
      <c r="M634" s="334" t="n"/>
      <c r="N634" s="334" t="n"/>
      <c r="O634" s="334" t="n"/>
      <c r="P634" s="334" t="n"/>
      <c r="Q634" s="334" t="n"/>
      <c r="R634" s="334" t="n"/>
      <c r="S634" s="334" t="n"/>
      <c r="T634" s="334" t="n"/>
    </row>
    <row r="635">
      <c r="A635" s="334" t="n"/>
      <c r="B635" s="334" t="n"/>
      <c r="C635" s="334" t="n"/>
      <c r="D635" s="334" t="n"/>
      <c r="E635" s="334" t="n"/>
      <c r="F635" s="334" t="n"/>
      <c r="G635" s="334" t="n"/>
      <c r="H635" s="334" t="n"/>
      <c r="I635" s="334" t="n"/>
      <c r="J635" s="334" t="n"/>
      <c r="K635" s="334" t="n"/>
      <c r="L635" s="334" t="n"/>
      <c r="M635" s="334" t="n"/>
      <c r="N635" s="334" t="n"/>
      <c r="O635" s="334" t="n"/>
      <c r="P635" s="334" t="n"/>
      <c r="Q635" s="334" t="n"/>
      <c r="R635" s="334" t="n"/>
      <c r="S635" s="334" t="n"/>
      <c r="T635" s="334" t="n"/>
    </row>
    <row r="636">
      <c r="A636" s="334" t="n"/>
      <c r="B636" s="334" t="n"/>
      <c r="C636" s="334" t="n"/>
      <c r="D636" s="334" t="n"/>
      <c r="E636" s="334" t="n"/>
      <c r="F636" s="334" t="n"/>
      <c r="G636" s="334" t="n"/>
      <c r="H636" s="334" t="n"/>
      <c r="I636" s="334" t="n"/>
      <c r="J636" s="334" t="n"/>
      <c r="K636" s="334" t="n"/>
      <c r="L636" s="334" t="n"/>
      <c r="M636" s="334" t="n"/>
      <c r="N636" s="334" t="n"/>
      <c r="O636" s="334" t="n"/>
      <c r="P636" s="334" t="n"/>
      <c r="Q636" s="334" t="n"/>
      <c r="R636" s="334" t="n"/>
      <c r="S636" s="334" t="n"/>
      <c r="T636" s="334" t="n"/>
    </row>
    <row r="637">
      <c r="A637" s="334" t="n"/>
      <c r="B637" s="334" t="n"/>
      <c r="C637" s="334" t="n"/>
      <c r="D637" s="334" t="n"/>
      <c r="E637" s="334" t="n"/>
      <c r="F637" s="334" t="n"/>
      <c r="G637" s="334" t="n"/>
      <c r="H637" s="334" t="n"/>
      <c r="I637" s="334" t="n"/>
      <c r="J637" s="334" t="n"/>
      <c r="K637" s="334" t="n"/>
      <c r="L637" s="334" t="n"/>
      <c r="M637" s="334" t="n"/>
      <c r="N637" s="334" t="n"/>
      <c r="O637" s="334" t="n"/>
      <c r="P637" s="334" t="n"/>
      <c r="Q637" s="334" t="n"/>
      <c r="R637" s="334" t="n"/>
      <c r="S637" s="334" t="n"/>
      <c r="T637" s="334" t="n"/>
    </row>
    <row r="638">
      <c r="A638" s="334" t="n"/>
      <c r="B638" s="334" t="n"/>
      <c r="C638" s="334" t="n"/>
      <c r="D638" s="334" t="n"/>
      <c r="E638" s="334" t="n"/>
      <c r="F638" s="334" t="n"/>
      <c r="G638" s="334" t="n"/>
      <c r="H638" s="334" t="n"/>
      <c r="I638" s="334" t="n"/>
      <c r="J638" s="334" t="n"/>
      <c r="K638" s="334" t="n"/>
      <c r="L638" s="334" t="n"/>
      <c r="M638" s="334" t="n"/>
      <c r="N638" s="334" t="n"/>
      <c r="O638" s="334" t="n"/>
      <c r="P638" s="334" t="n"/>
      <c r="Q638" s="334" t="n"/>
      <c r="R638" s="334" t="n"/>
      <c r="S638" s="334" t="n"/>
      <c r="T638" s="334" t="n"/>
    </row>
    <row r="639">
      <c r="A639" s="334" t="n"/>
      <c r="B639" s="334" t="n"/>
      <c r="C639" s="334" t="n"/>
      <c r="D639" s="334" t="n"/>
      <c r="E639" s="334" t="n"/>
      <c r="F639" s="334" t="n"/>
      <c r="G639" s="334" t="n"/>
      <c r="H639" s="334" t="n"/>
      <c r="I639" s="334" t="n"/>
      <c r="J639" s="334" t="n"/>
      <c r="K639" s="334" t="n"/>
      <c r="L639" s="334" t="n"/>
      <c r="M639" s="334" t="n"/>
      <c r="N639" s="334" t="n"/>
      <c r="O639" s="334" t="n"/>
      <c r="P639" s="334" t="n"/>
      <c r="Q639" s="334" t="n"/>
      <c r="R639" s="334" t="n"/>
      <c r="S639" s="334" t="n"/>
      <c r="T639" s="334" t="n"/>
    </row>
    <row r="640">
      <c r="A640" s="334" t="n"/>
      <c r="B640" s="334" t="n"/>
      <c r="C640" s="334" t="n"/>
      <c r="D640" s="334" t="n"/>
      <c r="E640" s="334" t="n"/>
      <c r="F640" s="334" t="n"/>
      <c r="G640" s="334" t="n"/>
      <c r="H640" s="334" t="n"/>
      <c r="I640" s="334" t="n"/>
      <c r="J640" s="334" t="n"/>
      <c r="K640" s="334" t="n"/>
      <c r="L640" s="334" t="n"/>
      <c r="M640" s="334" t="n"/>
      <c r="N640" s="334" t="n"/>
      <c r="O640" s="334" t="n"/>
      <c r="P640" s="334" t="n"/>
      <c r="Q640" s="334" t="n"/>
      <c r="R640" s="334" t="n"/>
      <c r="S640" s="334" t="n"/>
      <c r="T640" s="334" t="n"/>
    </row>
    <row r="641">
      <c r="A641" s="334" t="n"/>
      <c r="B641" s="334" t="n"/>
      <c r="C641" s="334" t="n"/>
      <c r="D641" s="334" t="n"/>
      <c r="E641" s="334" t="n"/>
      <c r="F641" s="334" t="n"/>
      <c r="G641" s="334" t="n"/>
      <c r="H641" s="334" t="n"/>
      <c r="I641" s="334" t="n"/>
      <c r="J641" s="334" t="n"/>
      <c r="K641" s="334" t="n"/>
      <c r="L641" s="334" t="n"/>
      <c r="M641" s="334" t="n"/>
      <c r="N641" s="334" t="n"/>
      <c r="O641" s="334" t="n"/>
      <c r="P641" s="334" t="n"/>
      <c r="Q641" s="334" t="n"/>
      <c r="R641" s="334" t="n"/>
      <c r="S641" s="334" t="n"/>
      <c r="T641" s="334" t="n"/>
    </row>
    <row r="642">
      <c r="A642" s="334" t="n"/>
      <c r="B642" s="334" t="n"/>
      <c r="C642" s="334" t="n"/>
      <c r="D642" s="334" t="n"/>
      <c r="E642" s="334" t="n"/>
      <c r="F642" s="334" t="n"/>
      <c r="G642" s="334" t="n"/>
      <c r="H642" s="334" t="n"/>
      <c r="I642" s="334" t="n"/>
      <c r="J642" s="334" t="n"/>
      <c r="K642" s="334" t="n"/>
      <c r="L642" s="334" t="n"/>
      <c r="M642" s="334" t="n"/>
      <c r="N642" s="334" t="n"/>
      <c r="O642" s="334" t="n"/>
      <c r="P642" s="334" t="n"/>
      <c r="Q642" s="334" t="n"/>
      <c r="R642" s="334" t="n"/>
      <c r="S642" s="334" t="n"/>
      <c r="T642" s="334" t="n"/>
    </row>
    <row r="643">
      <c r="A643" s="334" t="n"/>
      <c r="B643" s="334" t="n"/>
      <c r="C643" s="334" t="n"/>
      <c r="D643" s="334" t="n"/>
      <c r="E643" s="334" t="n"/>
      <c r="F643" s="334" t="n"/>
      <c r="G643" s="334" t="n"/>
      <c r="H643" s="334" t="n"/>
      <c r="I643" s="334" t="n"/>
      <c r="J643" s="334" t="n"/>
      <c r="K643" s="334" t="n"/>
      <c r="L643" s="334" t="n"/>
      <c r="M643" s="334" t="n"/>
      <c r="N643" s="334" t="n"/>
      <c r="O643" s="334" t="n"/>
      <c r="P643" s="334" t="n"/>
      <c r="Q643" s="334" t="n"/>
      <c r="R643" s="334" t="n"/>
      <c r="S643" s="334" t="n"/>
      <c r="T643" s="334" t="n"/>
    </row>
    <row r="644">
      <c r="A644" s="334" t="n"/>
      <c r="B644" s="334" t="n"/>
      <c r="C644" s="334" t="n"/>
      <c r="D644" s="334" t="n"/>
      <c r="E644" s="334" t="n"/>
      <c r="F644" s="334" t="n"/>
      <c r="G644" s="334" t="n"/>
      <c r="H644" s="334" t="n"/>
      <c r="I644" s="334" t="n"/>
      <c r="J644" s="334" t="n"/>
      <c r="K644" s="334" t="n"/>
      <c r="L644" s="334" t="n"/>
      <c r="M644" s="334" t="n"/>
      <c r="N644" s="334" t="n"/>
      <c r="O644" s="334" t="n"/>
      <c r="P644" s="334" t="n"/>
      <c r="Q644" s="334" t="n"/>
      <c r="R644" s="334" t="n"/>
      <c r="S644" s="334" t="n"/>
      <c r="T644" s="334" t="n"/>
    </row>
    <row r="645">
      <c r="A645" s="334" t="n"/>
      <c r="B645" s="334" t="n"/>
      <c r="C645" s="334" t="n"/>
      <c r="D645" s="334" t="n"/>
      <c r="E645" s="334" t="n"/>
      <c r="F645" s="334" t="n"/>
      <c r="G645" s="334" t="n"/>
      <c r="H645" s="334" t="n"/>
      <c r="I645" s="334" t="n"/>
      <c r="J645" s="334" t="n"/>
      <c r="K645" s="334" t="n"/>
      <c r="L645" s="334" t="n"/>
      <c r="M645" s="334" t="n"/>
      <c r="N645" s="334" t="n"/>
      <c r="O645" s="334" t="n"/>
      <c r="P645" s="334" t="n"/>
      <c r="Q645" s="334" t="n"/>
      <c r="R645" s="334" t="n"/>
      <c r="S645" s="334" t="n"/>
      <c r="T645" s="334" t="n"/>
    </row>
    <row r="646">
      <c r="A646" s="334" t="n"/>
      <c r="B646" s="334" t="n"/>
      <c r="C646" s="334" t="n"/>
      <c r="D646" s="334" t="n"/>
      <c r="E646" s="334" t="n"/>
      <c r="F646" s="334" t="n"/>
      <c r="G646" s="334" t="n"/>
      <c r="H646" s="334" t="n"/>
      <c r="I646" s="334" t="n"/>
      <c r="J646" s="334" t="n"/>
      <c r="K646" s="334" t="n"/>
      <c r="L646" s="334" t="n"/>
      <c r="M646" s="334" t="n"/>
      <c r="N646" s="334" t="n"/>
      <c r="O646" s="334" t="n"/>
      <c r="P646" s="334" t="n"/>
      <c r="Q646" s="334" t="n"/>
      <c r="R646" s="334" t="n"/>
      <c r="S646" s="334" t="n"/>
      <c r="T646" s="334" t="n"/>
    </row>
    <row r="647">
      <c r="A647" s="334" t="n"/>
      <c r="B647" s="334" t="n"/>
      <c r="C647" s="334" t="n"/>
      <c r="D647" s="334" t="n"/>
      <c r="E647" s="334" t="n"/>
      <c r="F647" s="334" t="n"/>
      <c r="G647" s="334" t="n"/>
      <c r="H647" s="334" t="n"/>
      <c r="I647" s="334" t="n"/>
      <c r="J647" s="334" t="n"/>
      <c r="K647" s="334" t="n"/>
      <c r="L647" s="334" t="n"/>
      <c r="M647" s="334" t="n"/>
      <c r="N647" s="334" t="n"/>
      <c r="O647" s="334" t="n"/>
      <c r="P647" s="334" t="n"/>
      <c r="Q647" s="334" t="n"/>
      <c r="R647" s="334" t="n"/>
      <c r="S647" s="334" t="n"/>
      <c r="T647" s="334" t="n"/>
    </row>
    <row r="648">
      <c r="A648" s="334" t="n"/>
      <c r="B648" s="334" t="n"/>
      <c r="C648" s="334" t="n"/>
      <c r="D648" s="334" t="n"/>
      <c r="E648" s="334" t="n"/>
      <c r="F648" s="334" t="n"/>
      <c r="G648" s="334" t="n"/>
      <c r="H648" s="334" t="n"/>
      <c r="I648" s="334" t="n"/>
      <c r="J648" s="334" t="n"/>
      <c r="K648" s="334" t="n"/>
      <c r="L648" s="334" t="n"/>
      <c r="M648" s="334" t="n"/>
      <c r="N648" s="334" t="n"/>
      <c r="O648" s="334" t="n"/>
      <c r="P648" s="334" t="n"/>
      <c r="Q648" s="334" t="n"/>
      <c r="R648" s="334" t="n"/>
      <c r="S648" s="334" t="n"/>
      <c r="T648" s="334" t="n"/>
    </row>
    <row r="649">
      <c r="A649" s="334" t="n"/>
      <c r="B649" s="334" t="n"/>
      <c r="C649" s="334" t="n"/>
      <c r="D649" s="334" t="n"/>
      <c r="E649" s="334" t="n"/>
      <c r="F649" s="334" t="n"/>
      <c r="G649" s="334" t="n"/>
      <c r="H649" s="334" t="n"/>
      <c r="I649" s="334" t="n"/>
      <c r="J649" s="334" t="n"/>
      <c r="K649" s="334" t="n"/>
      <c r="L649" s="334" t="n"/>
      <c r="M649" s="334" t="n"/>
      <c r="N649" s="334" t="n"/>
      <c r="O649" s="334" t="n"/>
      <c r="P649" s="334" t="n"/>
      <c r="Q649" s="334" t="n"/>
      <c r="R649" s="334" t="n"/>
      <c r="S649" s="334" t="n"/>
      <c r="T649" s="334" t="n"/>
    </row>
    <row r="650">
      <c r="A650" s="334" t="n"/>
      <c r="B650" s="334" t="n"/>
      <c r="C650" s="334" t="n"/>
      <c r="D650" s="334" t="n"/>
      <c r="E650" s="334" t="n"/>
      <c r="F650" s="334" t="n"/>
      <c r="G650" s="334" t="n"/>
      <c r="H650" s="334" t="n"/>
      <c r="I650" s="334" t="n"/>
      <c r="J650" s="334" t="n"/>
      <c r="K650" s="334" t="n"/>
      <c r="L650" s="334" t="n"/>
      <c r="M650" s="334" t="n"/>
      <c r="N650" s="334" t="n"/>
      <c r="O650" s="334" t="n"/>
      <c r="P650" s="334" t="n"/>
      <c r="Q650" s="334" t="n"/>
      <c r="R650" s="334" t="n"/>
      <c r="S650" s="334" t="n"/>
      <c r="T650" s="334" t="n"/>
    </row>
    <row r="651">
      <c r="A651" s="334" t="n"/>
      <c r="B651" s="334" t="n"/>
      <c r="C651" s="334" t="n"/>
      <c r="D651" s="334" t="n"/>
      <c r="E651" s="334" t="n"/>
      <c r="F651" s="334" t="n"/>
      <c r="G651" s="334" t="n"/>
      <c r="H651" s="334" t="n"/>
      <c r="I651" s="334" t="n"/>
      <c r="J651" s="334" t="n"/>
      <c r="K651" s="334" t="n"/>
      <c r="L651" s="334" t="n"/>
      <c r="M651" s="334" t="n"/>
      <c r="N651" s="334" t="n"/>
      <c r="O651" s="334" t="n"/>
      <c r="P651" s="334" t="n"/>
      <c r="Q651" s="334" t="n"/>
      <c r="R651" s="334" t="n"/>
      <c r="S651" s="334" t="n"/>
      <c r="T651" s="334" t="n"/>
    </row>
    <row r="652">
      <c r="A652" s="334" t="n"/>
      <c r="B652" s="334" t="n"/>
      <c r="C652" s="334" t="n"/>
      <c r="D652" s="334" t="n"/>
      <c r="E652" s="334" t="n"/>
      <c r="F652" s="334" t="n"/>
      <c r="G652" s="334" t="n"/>
      <c r="H652" s="334" t="n"/>
      <c r="I652" s="334" t="n"/>
      <c r="J652" s="334" t="n"/>
      <c r="K652" s="334" t="n"/>
      <c r="L652" s="334" t="n"/>
      <c r="M652" s="334" t="n"/>
      <c r="N652" s="334" t="n"/>
      <c r="O652" s="334" t="n"/>
      <c r="P652" s="334" t="n"/>
      <c r="Q652" s="334" t="n"/>
      <c r="R652" s="334" t="n"/>
      <c r="S652" s="334" t="n"/>
      <c r="T652" s="334" t="n"/>
    </row>
    <row r="653">
      <c r="A653" s="334" t="n"/>
      <c r="B653" s="334" t="n"/>
      <c r="C653" s="334" t="n"/>
      <c r="D653" s="334" t="n"/>
      <c r="E653" s="334" t="n"/>
      <c r="F653" s="334" t="n"/>
      <c r="G653" s="334" t="n"/>
      <c r="H653" s="334" t="n"/>
      <c r="I653" s="334" t="n"/>
      <c r="J653" s="334" t="n"/>
      <c r="K653" s="334" t="n"/>
      <c r="L653" s="334" t="n"/>
      <c r="M653" s="334" t="n"/>
      <c r="N653" s="334" t="n"/>
      <c r="O653" s="334" t="n"/>
      <c r="P653" s="334" t="n"/>
      <c r="Q653" s="334" t="n"/>
      <c r="R653" s="334" t="n"/>
      <c r="S653" s="334" t="n"/>
      <c r="T653" s="334" t="n"/>
    </row>
    <row r="654">
      <c r="A654" s="334" t="n"/>
      <c r="B654" s="334" t="n"/>
      <c r="C654" s="334" t="n"/>
      <c r="D654" s="334" t="n"/>
      <c r="E654" s="334" t="n"/>
      <c r="F654" s="334" t="n"/>
      <c r="G654" s="334" t="n"/>
      <c r="H654" s="334" t="n"/>
      <c r="I654" s="334" t="n"/>
      <c r="J654" s="334" t="n"/>
      <c r="K654" s="334" t="n"/>
      <c r="L654" s="334" t="n"/>
      <c r="M654" s="334" t="n"/>
      <c r="N654" s="334" t="n"/>
      <c r="O654" s="334" t="n"/>
      <c r="P654" s="334" t="n"/>
      <c r="Q654" s="334" t="n"/>
      <c r="R654" s="334" t="n"/>
      <c r="S654" s="334" t="n"/>
      <c r="T654" s="334" t="n"/>
    </row>
    <row r="655">
      <c r="A655" s="334" t="n"/>
      <c r="B655" s="334" t="n"/>
      <c r="C655" s="334" t="n"/>
      <c r="D655" s="334" t="n"/>
      <c r="E655" s="334" t="n"/>
      <c r="F655" s="334" t="n"/>
      <c r="G655" s="334" t="n"/>
      <c r="H655" s="334" t="n"/>
      <c r="I655" s="334" t="n"/>
      <c r="J655" s="334" t="n"/>
      <c r="K655" s="334" t="n"/>
      <c r="L655" s="334" t="n"/>
      <c r="M655" s="334" t="n"/>
      <c r="N655" s="334" t="n"/>
      <c r="O655" s="334" t="n"/>
      <c r="P655" s="334" t="n"/>
      <c r="Q655" s="334" t="n"/>
      <c r="R655" s="334" t="n"/>
      <c r="S655" s="334" t="n"/>
      <c r="T655" s="334" t="n"/>
    </row>
    <row r="656">
      <c r="A656" s="334" t="n"/>
      <c r="B656" s="334" t="n"/>
      <c r="C656" s="334" t="n"/>
      <c r="D656" s="334" t="n"/>
      <c r="E656" s="334" t="n"/>
      <c r="F656" s="334" t="n"/>
      <c r="G656" s="334" t="n"/>
      <c r="H656" s="334" t="n"/>
      <c r="I656" s="334" t="n"/>
      <c r="J656" s="334" t="n"/>
      <c r="K656" s="334" t="n"/>
      <c r="L656" s="334" t="n"/>
      <c r="M656" s="334" t="n"/>
      <c r="N656" s="334" t="n"/>
      <c r="O656" s="334" t="n"/>
      <c r="P656" s="334" t="n"/>
      <c r="Q656" s="334" t="n"/>
      <c r="R656" s="334" t="n"/>
      <c r="S656" s="334" t="n"/>
      <c r="T656" s="334" t="n"/>
    </row>
    <row r="657">
      <c r="A657" s="334" t="n"/>
      <c r="B657" s="334" t="n"/>
      <c r="C657" s="334" t="n"/>
      <c r="D657" s="334" t="n"/>
      <c r="E657" s="334" t="n"/>
      <c r="F657" s="334" t="n"/>
      <c r="G657" s="334" t="n"/>
      <c r="H657" s="334" t="n"/>
      <c r="I657" s="334" t="n"/>
      <c r="J657" s="334" t="n"/>
      <c r="K657" s="334" t="n"/>
      <c r="L657" s="334" t="n"/>
      <c r="M657" s="334" t="n"/>
      <c r="N657" s="334" t="n"/>
      <c r="O657" s="334" t="n"/>
      <c r="P657" s="334" t="n"/>
      <c r="Q657" s="334" t="n"/>
      <c r="R657" s="334" t="n"/>
      <c r="S657" s="334" t="n"/>
      <c r="T657" s="334" t="n"/>
    </row>
    <row r="658">
      <c r="A658" s="334" t="n"/>
      <c r="B658" s="334" t="n"/>
      <c r="C658" s="334" t="n"/>
      <c r="D658" s="334" t="n"/>
      <c r="E658" s="334" t="n"/>
      <c r="F658" s="334" t="n"/>
      <c r="G658" s="334" t="n"/>
      <c r="H658" s="334" t="n"/>
      <c r="I658" s="334" t="n"/>
      <c r="J658" s="334" t="n"/>
      <c r="K658" s="334" t="n"/>
      <c r="L658" s="334" t="n"/>
      <c r="M658" s="334" t="n"/>
      <c r="N658" s="334" t="n"/>
      <c r="O658" s="334" t="n"/>
      <c r="P658" s="334" t="n"/>
      <c r="Q658" s="334" t="n"/>
      <c r="R658" s="334" t="n"/>
      <c r="S658" s="334" t="n"/>
      <c r="T658" s="334" t="n"/>
    </row>
    <row r="659">
      <c r="A659" s="334" t="n"/>
      <c r="B659" s="334" t="n"/>
      <c r="C659" s="334" t="n"/>
      <c r="D659" s="334" t="n"/>
      <c r="E659" s="334" t="n"/>
      <c r="F659" s="334" t="n"/>
      <c r="G659" s="334" t="n"/>
      <c r="H659" s="334" t="n"/>
      <c r="I659" s="334" t="n"/>
      <c r="J659" s="334" t="n"/>
      <c r="K659" s="334" t="n"/>
      <c r="L659" s="334" t="n"/>
      <c r="M659" s="334" t="n"/>
      <c r="N659" s="334" t="n"/>
      <c r="O659" s="334" t="n"/>
      <c r="P659" s="334" t="n"/>
      <c r="Q659" s="334" t="n"/>
      <c r="R659" s="334" t="n"/>
      <c r="S659" s="334" t="n"/>
      <c r="T659" s="334" t="n"/>
    </row>
    <row r="660">
      <c r="A660" s="334" t="n"/>
      <c r="B660" s="334" t="n"/>
      <c r="C660" s="334" t="n"/>
      <c r="D660" s="334" t="n"/>
      <c r="E660" s="334" t="n"/>
      <c r="F660" s="334" t="n"/>
      <c r="G660" s="334" t="n"/>
      <c r="H660" s="334" t="n"/>
      <c r="I660" s="334" t="n"/>
      <c r="J660" s="334" t="n"/>
      <c r="K660" s="334" t="n"/>
      <c r="L660" s="334" t="n"/>
      <c r="M660" s="334" t="n"/>
      <c r="N660" s="334" t="n"/>
      <c r="O660" s="334" t="n"/>
      <c r="P660" s="334" t="n"/>
      <c r="Q660" s="334" t="n"/>
      <c r="R660" s="334" t="n"/>
      <c r="S660" s="334" t="n"/>
      <c r="T660" s="334" t="n"/>
    </row>
    <row r="661">
      <c r="A661" s="334" t="n"/>
      <c r="B661" s="334" t="n"/>
      <c r="C661" s="334" t="n"/>
      <c r="D661" s="334" t="n"/>
      <c r="E661" s="334" t="n"/>
      <c r="F661" s="334" t="n"/>
      <c r="G661" s="334" t="n"/>
      <c r="H661" s="334" t="n"/>
      <c r="I661" s="334" t="n"/>
      <c r="J661" s="334" t="n"/>
      <c r="K661" s="334" t="n"/>
      <c r="L661" s="334" t="n"/>
      <c r="M661" s="334" t="n"/>
      <c r="N661" s="334" t="n"/>
      <c r="O661" s="334" t="n"/>
      <c r="P661" s="334" t="n"/>
      <c r="Q661" s="334" t="n"/>
      <c r="R661" s="334" t="n"/>
      <c r="S661" s="334" t="n"/>
      <c r="T661" s="334" t="n"/>
    </row>
    <row r="662">
      <c r="A662" s="334" t="n"/>
      <c r="B662" s="334" t="n"/>
      <c r="C662" s="334" t="n"/>
      <c r="D662" s="334" t="n"/>
      <c r="E662" s="334" t="n"/>
      <c r="F662" s="334" t="n"/>
      <c r="G662" s="334" t="n"/>
      <c r="H662" s="334" t="n"/>
      <c r="I662" s="334" t="n"/>
      <c r="J662" s="334" t="n"/>
      <c r="K662" s="334" t="n"/>
      <c r="L662" s="334" t="n"/>
      <c r="M662" s="334" t="n"/>
      <c r="N662" s="334" t="n"/>
      <c r="O662" s="334" t="n"/>
      <c r="P662" s="334" t="n"/>
      <c r="Q662" s="334" t="n"/>
      <c r="R662" s="334" t="n"/>
      <c r="S662" s="334" t="n"/>
      <c r="T662" s="334" t="n"/>
    </row>
    <row r="663">
      <c r="A663" s="334" t="n"/>
      <c r="B663" s="334" t="n"/>
      <c r="C663" s="334" t="n"/>
      <c r="D663" s="334" t="n"/>
      <c r="E663" s="334" t="n"/>
      <c r="F663" s="334" t="n"/>
      <c r="G663" s="334" t="n"/>
      <c r="H663" s="334" t="n"/>
      <c r="I663" s="334" t="n"/>
      <c r="J663" s="334" t="n"/>
      <c r="K663" s="334" t="n"/>
      <c r="L663" s="334" t="n"/>
      <c r="M663" s="334" t="n"/>
      <c r="N663" s="334" t="n"/>
      <c r="O663" s="334" t="n"/>
      <c r="P663" s="334" t="n"/>
      <c r="Q663" s="334" t="n"/>
      <c r="R663" s="334" t="n"/>
      <c r="S663" s="334" t="n"/>
      <c r="T663" s="334" t="n"/>
    </row>
    <row r="664">
      <c r="A664" s="334" t="n"/>
      <c r="B664" s="334" t="n"/>
      <c r="C664" s="334" t="n"/>
      <c r="D664" s="334" t="n"/>
      <c r="E664" s="334" t="n"/>
      <c r="F664" s="334" t="n"/>
      <c r="G664" s="334" t="n"/>
      <c r="H664" s="334" t="n"/>
      <c r="I664" s="334" t="n"/>
      <c r="J664" s="334" t="n"/>
      <c r="K664" s="334" t="n"/>
      <c r="L664" s="334" t="n"/>
      <c r="M664" s="334" t="n"/>
      <c r="N664" s="334" t="n"/>
      <c r="O664" s="334" t="n"/>
      <c r="P664" s="334" t="n"/>
      <c r="Q664" s="334" t="n"/>
      <c r="R664" s="334" t="n"/>
      <c r="S664" s="334" t="n"/>
      <c r="T664" s="334" t="n"/>
    </row>
    <row r="665">
      <c r="A665" s="334" t="n"/>
      <c r="B665" s="334" t="n"/>
      <c r="C665" s="334" t="n"/>
      <c r="D665" s="334" t="n"/>
      <c r="E665" s="334" t="n"/>
      <c r="F665" s="334" t="n"/>
      <c r="G665" s="334" t="n"/>
      <c r="H665" s="334" t="n"/>
      <c r="I665" s="334" t="n"/>
      <c r="J665" s="334" t="n"/>
      <c r="K665" s="334" t="n"/>
      <c r="L665" s="334" t="n"/>
      <c r="M665" s="334" t="n"/>
      <c r="N665" s="334" t="n"/>
      <c r="O665" s="334" t="n"/>
      <c r="P665" s="334" t="n"/>
      <c r="Q665" s="334" t="n"/>
      <c r="R665" s="334" t="n"/>
      <c r="S665" s="334" t="n"/>
      <c r="T665" s="334" t="n"/>
    </row>
    <row r="666">
      <c r="A666" s="334" t="n"/>
      <c r="B666" s="334" t="n"/>
      <c r="C666" s="334" t="n"/>
      <c r="D666" s="334" t="n"/>
      <c r="E666" s="334" t="n"/>
      <c r="F666" s="334" t="n"/>
      <c r="G666" s="334" t="n"/>
      <c r="H666" s="334" t="n"/>
      <c r="I666" s="334" t="n"/>
      <c r="J666" s="334" t="n"/>
      <c r="K666" s="334" t="n"/>
      <c r="L666" s="334" t="n"/>
      <c r="M666" s="334" t="n"/>
      <c r="N666" s="334" t="n"/>
      <c r="O666" s="334" t="n"/>
      <c r="P666" s="334" t="n"/>
      <c r="Q666" s="334" t="n"/>
      <c r="R666" s="334" t="n"/>
      <c r="S666" s="334" t="n"/>
      <c r="T666" s="334" t="n"/>
    </row>
    <row r="667">
      <c r="A667" s="334" t="n"/>
      <c r="B667" s="334" t="n"/>
      <c r="C667" s="334" t="n"/>
      <c r="D667" s="334" t="n"/>
      <c r="E667" s="334" t="n"/>
      <c r="F667" s="334" t="n"/>
      <c r="G667" s="334" t="n"/>
      <c r="H667" s="334" t="n"/>
      <c r="I667" s="334" t="n"/>
      <c r="J667" s="334" t="n"/>
      <c r="K667" s="334" t="n"/>
      <c r="L667" s="334" t="n"/>
      <c r="M667" s="334" t="n"/>
      <c r="N667" s="334" t="n"/>
      <c r="O667" s="334" t="n"/>
      <c r="P667" s="334" t="n"/>
      <c r="Q667" s="334" t="n"/>
      <c r="R667" s="334" t="n"/>
      <c r="S667" s="334" t="n"/>
      <c r="T667" s="334" t="n"/>
    </row>
    <row r="668">
      <c r="A668" s="334" t="n"/>
      <c r="B668" s="334" t="n"/>
      <c r="C668" s="334" t="n"/>
      <c r="D668" s="334" t="n"/>
      <c r="E668" s="334" t="n"/>
      <c r="F668" s="334" t="n"/>
      <c r="G668" s="334" t="n"/>
      <c r="H668" s="334" t="n"/>
      <c r="I668" s="334" t="n"/>
      <c r="J668" s="334" t="n"/>
      <c r="K668" s="334" t="n"/>
      <c r="L668" s="334" t="n"/>
      <c r="M668" s="334" t="n"/>
      <c r="N668" s="334" t="n"/>
      <c r="O668" s="334" t="n"/>
      <c r="P668" s="334" t="n"/>
      <c r="Q668" s="334" t="n"/>
      <c r="R668" s="334" t="n"/>
      <c r="S668" s="334" t="n"/>
      <c r="T668" s="334" t="n"/>
    </row>
    <row r="669">
      <c r="A669" s="334" t="n"/>
      <c r="B669" s="334" t="n"/>
      <c r="C669" s="334" t="n"/>
      <c r="D669" s="334" t="n"/>
      <c r="E669" s="334" t="n"/>
      <c r="F669" s="334" t="n"/>
      <c r="G669" s="334" t="n"/>
      <c r="H669" s="334" t="n"/>
      <c r="I669" s="334" t="n"/>
      <c r="J669" s="334" t="n"/>
      <c r="K669" s="334" t="n"/>
      <c r="L669" s="334" t="n"/>
      <c r="M669" s="334" t="n"/>
      <c r="N669" s="334" t="n"/>
      <c r="O669" s="334" t="n"/>
      <c r="P669" s="334" t="n"/>
      <c r="Q669" s="334" t="n"/>
      <c r="R669" s="334" t="n"/>
      <c r="S669" s="334" t="n"/>
      <c r="T669" s="334" t="n"/>
    </row>
    <row r="670">
      <c r="A670" s="334" t="n"/>
      <c r="B670" s="334" t="n"/>
      <c r="C670" s="334" t="n"/>
      <c r="D670" s="334" t="n"/>
      <c r="E670" s="334" t="n"/>
      <c r="F670" s="334" t="n"/>
      <c r="G670" s="334" t="n"/>
      <c r="H670" s="334" t="n"/>
      <c r="I670" s="334" t="n"/>
      <c r="J670" s="334" t="n"/>
      <c r="K670" s="334" t="n"/>
      <c r="L670" s="334" t="n"/>
      <c r="M670" s="334" t="n"/>
      <c r="N670" s="334" t="n"/>
      <c r="O670" s="334" t="n"/>
      <c r="P670" s="334" t="n"/>
      <c r="Q670" s="334" t="n"/>
      <c r="R670" s="334" t="n"/>
      <c r="S670" s="334" t="n"/>
      <c r="T670" s="334" t="n"/>
    </row>
    <row r="671">
      <c r="A671" s="334" t="n"/>
      <c r="B671" s="334" t="n"/>
      <c r="C671" s="334" t="n"/>
      <c r="D671" s="334" t="n"/>
      <c r="E671" s="334" t="n"/>
      <c r="F671" s="334" t="n"/>
      <c r="G671" s="334" t="n"/>
      <c r="H671" s="334" t="n"/>
      <c r="I671" s="334" t="n"/>
      <c r="J671" s="334" t="n"/>
      <c r="K671" s="334" t="n"/>
      <c r="L671" s="334" t="n"/>
      <c r="M671" s="334" t="n"/>
      <c r="N671" s="334" t="n"/>
      <c r="O671" s="334" t="n"/>
      <c r="P671" s="334" t="n"/>
      <c r="Q671" s="334" t="n"/>
      <c r="R671" s="334" t="n"/>
      <c r="S671" s="334" t="n"/>
      <c r="T671" s="334" t="n"/>
    </row>
    <row r="672">
      <c r="A672" s="334" t="n"/>
      <c r="B672" s="334" t="n"/>
      <c r="C672" s="334" t="n"/>
      <c r="D672" s="334" t="n"/>
      <c r="E672" s="334" t="n"/>
      <c r="F672" s="334" t="n"/>
      <c r="G672" s="334" t="n"/>
      <c r="H672" s="334" t="n"/>
      <c r="I672" s="334" t="n"/>
      <c r="J672" s="334" t="n"/>
      <c r="K672" s="334" t="n"/>
      <c r="L672" s="334" t="n"/>
      <c r="M672" s="334" t="n"/>
      <c r="N672" s="334" t="n"/>
      <c r="O672" s="334" t="n"/>
      <c r="P672" s="334" t="n"/>
      <c r="Q672" s="334" t="n"/>
      <c r="R672" s="334" t="n"/>
      <c r="S672" s="334" t="n"/>
      <c r="T672" s="334" t="n"/>
    </row>
    <row r="673">
      <c r="A673" s="334" t="n"/>
      <c r="B673" s="334" t="n"/>
      <c r="C673" s="334" t="n"/>
      <c r="D673" s="334" t="n"/>
      <c r="E673" s="334" t="n"/>
      <c r="F673" s="334" t="n"/>
      <c r="G673" s="334" t="n"/>
      <c r="H673" s="334" t="n"/>
      <c r="I673" s="334" t="n"/>
      <c r="J673" s="334" t="n"/>
      <c r="K673" s="334" t="n"/>
      <c r="L673" s="334" t="n"/>
      <c r="M673" s="334" t="n"/>
      <c r="N673" s="334" t="n"/>
      <c r="O673" s="334" t="n"/>
      <c r="P673" s="334" t="n"/>
      <c r="Q673" s="334" t="n"/>
      <c r="R673" s="334" t="n"/>
      <c r="S673" s="334" t="n"/>
      <c r="T673" s="334" t="n"/>
    </row>
    <row r="674">
      <c r="A674" s="334" t="n"/>
      <c r="B674" s="334" t="n"/>
      <c r="C674" s="334" t="n"/>
      <c r="D674" s="334" t="n"/>
      <c r="E674" s="334" t="n"/>
      <c r="F674" s="334" t="n"/>
      <c r="G674" s="334" t="n"/>
      <c r="H674" s="334" t="n"/>
      <c r="I674" s="334" t="n"/>
      <c r="J674" s="334" t="n"/>
      <c r="K674" s="334" t="n"/>
      <c r="L674" s="334" t="n"/>
      <c r="M674" s="334" t="n"/>
      <c r="N674" s="334" t="n"/>
      <c r="O674" s="334" t="n"/>
      <c r="P674" s="334" t="n"/>
      <c r="Q674" s="334" t="n"/>
      <c r="R674" s="334" t="n"/>
      <c r="S674" s="334" t="n"/>
      <c r="T674" s="334" t="n"/>
    </row>
    <row r="675">
      <c r="A675" s="334" t="n"/>
      <c r="B675" s="334" t="n"/>
      <c r="C675" s="334" t="n"/>
      <c r="D675" s="334" t="n"/>
      <c r="E675" s="334" t="n"/>
      <c r="F675" s="334" t="n"/>
      <c r="G675" s="334" t="n"/>
      <c r="H675" s="334" t="n"/>
      <c r="I675" s="334" t="n"/>
      <c r="J675" s="334" t="n"/>
      <c r="K675" s="334" t="n"/>
      <c r="L675" s="334" t="n"/>
      <c r="M675" s="334" t="n"/>
      <c r="N675" s="334" t="n"/>
      <c r="O675" s="334" t="n"/>
      <c r="P675" s="334" t="n"/>
      <c r="Q675" s="334" t="n"/>
      <c r="R675" s="334" t="n"/>
      <c r="S675" s="334" t="n"/>
      <c r="T675" s="334" t="n"/>
    </row>
    <row r="676">
      <c r="A676" s="334" t="n"/>
      <c r="B676" s="334" t="n"/>
      <c r="C676" s="334" t="n"/>
      <c r="D676" s="334" t="n"/>
      <c r="E676" s="334" t="n"/>
      <c r="F676" s="334" t="n"/>
      <c r="G676" s="334" t="n"/>
      <c r="H676" s="334" t="n"/>
      <c r="I676" s="334" t="n"/>
      <c r="J676" s="334" t="n"/>
      <c r="K676" s="334" t="n"/>
      <c r="L676" s="334" t="n"/>
      <c r="M676" s="334" t="n"/>
      <c r="N676" s="334" t="n"/>
      <c r="O676" s="334" t="n"/>
      <c r="P676" s="334" t="n"/>
      <c r="Q676" s="334" t="n"/>
      <c r="R676" s="334" t="n"/>
      <c r="S676" s="334" t="n"/>
      <c r="T676" s="334" t="n"/>
    </row>
    <row r="677">
      <c r="A677" s="334" t="n"/>
      <c r="B677" s="334" t="n"/>
      <c r="C677" s="334" t="n"/>
      <c r="D677" s="334" t="n"/>
      <c r="E677" s="334" t="n"/>
      <c r="F677" s="334" t="n"/>
      <c r="G677" s="334" t="n"/>
      <c r="H677" s="334" t="n"/>
      <c r="I677" s="334" t="n"/>
      <c r="J677" s="334" t="n"/>
      <c r="K677" s="334" t="n"/>
      <c r="L677" s="334" t="n"/>
      <c r="M677" s="334" t="n"/>
      <c r="N677" s="334" t="n"/>
      <c r="O677" s="334" t="n"/>
      <c r="P677" s="334" t="n"/>
      <c r="Q677" s="334" t="n"/>
      <c r="R677" s="334" t="n"/>
      <c r="S677" s="334" t="n"/>
      <c r="T677" s="334" t="n"/>
    </row>
    <row r="678">
      <c r="A678" s="334" t="n"/>
      <c r="B678" s="334" t="n"/>
      <c r="C678" s="334" t="n"/>
      <c r="D678" s="334" t="n"/>
      <c r="E678" s="334" t="n"/>
      <c r="F678" s="334" t="n"/>
      <c r="G678" s="334" t="n"/>
      <c r="H678" s="334" t="n"/>
      <c r="I678" s="334" t="n"/>
      <c r="J678" s="334" t="n"/>
      <c r="K678" s="334" t="n"/>
      <c r="L678" s="334" t="n"/>
      <c r="M678" s="334" t="n"/>
      <c r="N678" s="334" t="n"/>
      <c r="O678" s="334" t="n"/>
      <c r="P678" s="334" t="n"/>
      <c r="Q678" s="334" t="n"/>
      <c r="R678" s="334" t="n"/>
      <c r="S678" s="334" t="n"/>
      <c r="T678" s="334" t="n"/>
    </row>
    <row r="679">
      <c r="A679" s="334" t="n"/>
      <c r="B679" s="334" t="n"/>
      <c r="C679" s="334" t="n"/>
      <c r="D679" s="334" t="n"/>
      <c r="E679" s="334" t="n"/>
      <c r="F679" s="334" t="n"/>
      <c r="G679" s="334" t="n"/>
      <c r="H679" s="334" t="n"/>
      <c r="I679" s="334" t="n"/>
      <c r="J679" s="334" t="n"/>
      <c r="K679" s="334" t="n"/>
      <c r="L679" s="334" t="n"/>
      <c r="M679" s="334" t="n"/>
      <c r="N679" s="334" t="n"/>
      <c r="O679" s="334" t="n"/>
      <c r="P679" s="334" t="n"/>
      <c r="Q679" s="334" t="n"/>
      <c r="R679" s="334" t="n"/>
      <c r="S679" s="334" t="n"/>
      <c r="T679" s="334" t="n"/>
    </row>
    <row r="680">
      <c r="A680" s="334" t="n"/>
      <c r="B680" s="334" t="n"/>
      <c r="C680" s="334" t="n"/>
      <c r="D680" s="334" t="n"/>
      <c r="E680" s="334" t="n"/>
      <c r="F680" s="334" t="n"/>
      <c r="G680" s="334" t="n"/>
      <c r="H680" s="334" t="n"/>
      <c r="I680" s="334" t="n"/>
      <c r="J680" s="334" t="n"/>
      <c r="K680" s="334" t="n"/>
      <c r="L680" s="334" t="n"/>
      <c r="M680" s="334" t="n"/>
      <c r="N680" s="334" t="n"/>
      <c r="O680" s="334" t="n"/>
      <c r="P680" s="334" t="n"/>
      <c r="Q680" s="334" t="n"/>
      <c r="R680" s="334" t="n"/>
      <c r="S680" s="334" t="n"/>
      <c r="T680" s="334" t="n"/>
    </row>
    <row r="681">
      <c r="A681" s="334" t="n"/>
      <c r="B681" s="334" t="n"/>
      <c r="C681" s="334" t="n"/>
      <c r="D681" s="334" t="n"/>
      <c r="E681" s="334" t="n"/>
      <c r="F681" s="334" t="n"/>
      <c r="G681" s="334" t="n"/>
      <c r="H681" s="334" t="n"/>
      <c r="I681" s="334" t="n"/>
      <c r="J681" s="334" t="n"/>
      <c r="K681" s="334" t="n"/>
      <c r="L681" s="334" t="n"/>
      <c r="M681" s="334" t="n"/>
      <c r="N681" s="334" t="n"/>
      <c r="O681" s="334" t="n"/>
      <c r="P681" s="334" t="n"/>
      <c r="Q681" s="334" t="n"/>
      <c r="R681" s="334" t="n"/>
      <c r="S681" s="334" t="n"/>
      <c r="T681" s="334" t="n"/>
    </row>
    <row r="682">
      <c r="A682" s="334" t="n"/>
      <c r="B682" s="334" t="n"/>
      <c r="C682" s="334" t="n"/>
      <c r="D682" s="334" t="n"/>
      <c r="E682" s="334" t="n"/>
      <c r="F682" s="334" t="n"/>
      <c r="G682" s="334" t="n"/>
      <c r="H682" s="334" t="n"/>
      <c r="I682" s="334" t="n"/>
      <c r="J682" s="334" t="n"/>
      <c r="K682" s="334" t="n"/>
      <c r="L682" s="334" t="n"/>
      <c r="M682" s="334" t="n"/>
      <c r="N682" s="334" t="n"/>
      <c r="O682" s="334" t="n"/>
      <c r="P682" s="334" t="n"/>
      <c r="Q682" s="334" t="n"/>
      <c r="R682" s="334" t="n"/>
      <c r="S682" s="334" t="n"/>
      <c r="T682" s="334" t="n"/>
    </row>
    <row r="683">
      <c r="A683" s="334" t="n"/>
      <c r="B683" s="334" t="n"/>
      <c r="C683" s="334" t="n"/>
      <c r="D683" s="334" t="n"/>
      <c r="E683" s="334" t="n"/>
      <c r="F683" s="334" t="n"/>
      <c r="G683" s="334" t="n"/>
      <c r="H683" s="334" t="n"/>
      <c r="I683" s="334" t="n"/>
      <c r="J683" s="334" t="n"/>
      <c r="K683" s="334" t="n"/>
      <c r="L683" s="334" t="n"/>
      <c r="M683" s="334" t="n"/>
      <c r="N683" s="334" t="n"/>
      <c r="O683" s="334" t="n"/>
      <c r="P683" s="334" t="n"/>
      <c r="Q683" s="334" t="n"/>
      <c r="R683" s="334" t="n"/>
      <c r="S683" s="334" t="n"/>
      <c r="T683" s="334" t="n"/>
    </row>
    <row r="684">
      <c r="A684" s="334" t="n"/>
      <c r="B684" s="334" t="n"/>
      <c r="C684" s="334" t="n"/>
      <c r="D684" s="334" t="n"/>
      <c r="E684" s="334" t="n"/>
      <c r="F684" s="334" t="n"/>
      <c r="G684" s="334" t="n"/>
      <c r="H684" s="334" t="n"/>
      <c r="I684" s="334" t="n"/>
      <c r="J684" s="334" t="n"/>
      <c r="K684" s="334" t="n"/>
      <c r="L684" s="334" t="n"/>
      <c r="M684" s="334" t="n"/>
      <c r="N684" s="334" t="n"/>
      <c r="O684" s="334" t="n"/>
      <c r="P684" s="334" t="n"/>
      <c r="Q684" s="334" t="n"/>
      <c r="R684" s="334" t="n"/>
      <c r="S684" s="334" t="n"/>
      <c r="T684" s="334" t="n"/>
    </row>
    <row r="685">
      <c r="A685" s="334" t="n"/>
      <c r="B685" s="334" t="n"/>
      <c r="C685" s="334" t="n"/>
      <c r="D685" s="334" t="n"/>
      <c r="E685" s="334" t="n"/>
      <c r="F685" s="334" t="n"/>
      <c r="G685" s="334" t="n"/>
      <c r="H685" s="334" t="n"/>
      <c r="I685" s="334" t="n"/>
      <c r="J685" s="334" t="n"/>
      <c r="K685" s="334" t="n"/>
      <c r="L685" s="334" t="n"/>
      <c r="M685" s="334" t="n"/>
      <c r="N685" s="334" t="n"/>
      <c r="O685" s="334" t="n"/>
      <c r="P685" s="334" t="n"/>
      <c r="Q685" s="334" t="n"/>
      <c r="R685" s="334" t="n"/>
      <c r="S685" s="334" t="n"/>
      <c r="T685" s="334" t="n"/>
    </row>
    <row r="686">
      <c r="A686" s="334" t="n"/>
      <c r="B686" s="334" t="n"/>
      <c r="C686" s="334" t="n"/>
      <c r="D686" s="334" t="n"/>
      <c r="E686" s="334" t="n"/>
      <c r="F686" s="334" t="n"/>
      <c r="G686" s="334" t="n"/>
      <c r="H686" s="334" t="n"/>
      <c r="I686" s="334" t="n"/>
      <c r="J686" s="334" t="n"/>
      <c r="K686" s="334" t="n"/>
      <c r="L686" s="334" t="n"/>
      <c r="M686" s="334" t="n"/>
      <c r="N686" s="334" t="n"/>
      <c r="O686" s="334" t="n"/>
      <c r="P686" s="334" t="n"/>
      <c r="Q686" s="334" t="n"/>
      <c r="R686" s="334" t="n"/>
      <c r="S686" s="334" t="n"/>
      <c r="T686" s="334" t="n"/>
    </row>
    <row r="687">
      <c r="A687" s="334" t="n"/>
      <c r="B687" s="334" t="n"/>
      <c r="C687" s="334" t="n"/>
      <c r="D687" s="334" t="n"/>
      <c r="E687" s="334" t="n"/>
      <c r="F687" s="334" t="n"/>
      <c r="G687" s="334" t="n"/>
      <c r="H687" s="334" t="n"/>
      <c r="I687" s="334" t="n"/>
      <c r="J687" s="334" t="n"/>
      <c r="K687" s="334" t="n"/>
      <c r="L687" s="334" t="n"/>
      <c r="M687" s="334" t="n"/>
      <c r="N687" s="334" t="n"/>
      <c r="O687" s="334" t="n"/>
      <c r="P687" s="334" t="n"/>
      <c r="Q687" s="334" t="n"/>
      <c r="R687" s="334" t="n"/>
      <c r="S687" s="334" t="n"/>
      <c r="T687" s="334" t="n"/>
    </row>
    <row r="688">
      <c r="A688" s="334" t="n"/>
      <c r="B688" s="334" t="n"/>
      <c r="C688" s="334" t="n"/>
      <c r="D688" s="334" t="n"/>
      <c r="E688" s="334" t="n"/>
      <c r="F688" s="334" t="n"/>
      <c r="G688" s="334" t="n"/>
      <c r="H688" s="334" t="n"/>
      <c r="I688" s="334" t="n"/>
      <c r="J688" s="334" t="n"/>
      <c r="K688" s="334" t="n"/>
      <c r="L688" s="334" t="n"/>
      <c r="M688" s="334" t="n"/>
      <c r="N688" s="334" t="n"/>
      <c r="O688" s="334" t="n"/>
      <c r="P688" s="334" t="n"/>
      <c r="Q688" s="334" t="n"/>
      <c r="R688" s="334" t="n"/>
      <c r="S688" s="334" t="n"/>
      <c r="T688" s="334" t="n"/>
    </row>
    <row r="689">
      <c r="A689" s="334" t="n"/>
      <c r="B689" s="334" t="n"/>
      <c r="C689" s="334" t="n"/>
      <c r="D689" s="334" t="n"/>
      <c r="E689" s="334" t="n"/>
      <c r="F689" s="334" t="n"/>
      <c r="G689" s="334" t="n"/>
      <c r="H689" s="334" t="n"/>
      <c r="I689" s="334" t="n"/>
      <c r="J689" s="334" t="n"/>
      <c r="K689" s="334" t="n"/>
      <c r="L689" s="334" t="n"/>
      <c r="M689" s="334" t="n"/>
      <c r="N689" s="334" t="n"/>
      <c r="O689" s="334" t="n"/>
      <c r="P689" s="334" t="n"/>
      <c r="Q689" s="334" t="n"/>
      <c r="R689" s="334" t="n"/>
      <c r="S689" s="334" t="n"/>
      <c r="T689" s="334" t="n"/>
    </row>
    <row r="690">
      <c r="A690" s="334" t="n"/>
      <c r="B690" s="334" t="n"/>
      <c r="C690" s="334" t="n"/>
      <c r="D690" s="334" t="n"/>
      <c r="E690" s="334" t="n"/>
      <c r="F690" s="334" t="n"/>
      <c r="G690" s="334" t="n"/>
      <c r="H690" s="334" t="n"/>
      <c r="I690" s="334" t="n"/>
      <c r="J690" s="334" t="n"/>
      <c r="K690" s="334" t="n"/>
      <c r="L690" s="334" t="n"/>
      <c r="M690" s="334" t="n"/>
      <c r="N690" s="334" t="n"/>
      <c r="O690" s="334" t="n"/>
      <c r="P690" s="334" t="n"/>
      <c r="Q690" s="334" t="n"/>
      <c r="R690" s="334" t="n"/>
      <c r="S690" s="334" t="n"/>
      <c r="T690" s="334" t="n"/>
    </row>
    <row r="691">
      <c r="A691" s="334" t="n"/>
      <c r="B691" s="334" t="n"/>
      <c r="C691" s="334" t="n"/>
      <c r="D691" s="334" t="n"/>
      <c r="E691" s="334" t="n"/>
      <c r="F691" s="334" t="n"/>
      <c r="G691" s="334" t="n"/>
      <c r="H691" s="334" t="n"/>
      <c r="I691" s="334" t="n"/>
      <c r="J691" s="334" t="n"/>
      <c r="K691" s="334" t="n"/>
      <c r="L691" s="334" t="n"/>
      <c r="M691" s="334" t="n"/>
      <c r="N691" s="334" t="n"/>
      <c r="O691" s="334" t="n"/>
      <c r="P691" s="334" t="n"/>
      <c r="Q691" s="334" t="n"/>
      <c r="R691" s="334" t="n"/>
      <c r="S691" s="334" t="n"/>
      <c r="T691" s="334" t="n"/>
    </row>
    <row r="692">
      <c r="A692" s="334" t="n"/>
      <c r="B692" s="334" t="n"/>
      <c r="C692" s="334" t="n"/>
      <c r="D692" s="334" t="n"/>
      <c r="E692" s="334" t="n"/>
      <c r="F692" s="334" t="n"/>
      <c r="G692" s="334" t="n"/>
      <c r="H692" s="334" t="n"/>
      <c r="I692" s="334" t="n"/>
      <c r="J692" s="334" t="n"/>
      <c r="K692" s="334" t="n"/>
      <c r="L692" s="334" t="n"/>
      <c r="M692" s="334" t="n"/>
      <c r="N692" s="334" t="n"/>
      <c r="O692" s="334" t="n"/>
      <c r="P692" s="334" t="n"/>
      <c r="Q692" s="334" t="n"/>
      <c r="R692" s="334" t="n"/>
      <c r="S692" s="334" t="n"/>
      <c r="T692" s="334" t="n"/>
    </row>
    <row r="693">
      <c r="A693" s="334" t="n"/>
      <c r="B693" s="334" t="n"/>
      <c r="C693" s="334" t="n"/>
      <c r="D693" s="334" t="n"/>
      <c r="E693" s="334" t="n"/>
      <c r="F693" s="334" t="n"/>
      <c r="G693" s="334" t="n"/>
      <c r="H693" s="334" t="n"/>
      <c r="I693" s="334" t="n"/>
      <c r="J693" s="334" t="n"/>
      <c r="K693" s="334" t="n"/>
      <c r="L693" s="334" t="n"/>
      <c r="M693" s="334" t="n"/>
      <c r="N693" s="334" t="n"/>
      <c r="O693" s="334" t="n"/>
      <c r="P693" s="334" t="n"/>
      <c r="Q693" s="334" t="n"/>
      <c r="R693" s="334" t="n"/>
      <c r="S693" s="334" t="n"/>
      <c r="T693" s="334" t="n"/>
    </row>
    <row r="694">
      <c r="A694" s="334" t="n"/>
      <c r="B694" s="334" t="n"/>
      <c r="C694" s="334" t="n"/>
      <c r="D694" s="334" t="n"/>
      <c r="E694" s="334" t="n"/>
      <c r="F694" s="334" t="n"/>
      <c r="G694" s="334" t="n"/>
      <c r="H694" s="334" t="n"/>
      <c r="I694" s="334" t="n"/>
      <c r="J694" s="334" t="n"/>
      <c r="K694" s="334" t="n"/>
      <c r="L694" s="334" t="n"/>
      <c r="M694" s="334" t="n"/>
      <c r="N694" s="334" t="n"/>
      <c r="O694" s="334" t="n"/>
      <c r="P694" s="334" t="n"/>
      <c r="Q694" s="334" t="n"/>
      <c r="R694" s="334" t="n"/>
      <c r="S694" s="334" t="n"/>
      <c r="T694" s="334" t="n"/>
    </row>
    <row r="695">
      <c r="A695" s="334" t="n"/>
      <c r="B695" s="334" t="n"/>
      <c r="C695" s="334" t="n"/>
      <c r="D695" s="334" t="n"/>
      <c r="E695" s="334" t="n"/>
      <c r="F695" s="334" t="n"/>
      <c r="G695" s="334" t="n"/>
      <c r="H695" s="334" t="n"/>
      <c r="I695" s="334" t="n"/>
      <c r="J695" s="334" t="n"/>
      <c r="K695" s="334" t="n"/>
      <c r="L695" s="334" t="n"/>
      <c r="M695" s="334" t="n"/>
      <c r="N695" s="334" t="n"/>
      <c r="O695" s="334" t="n"/>
      <c r="P695" s="334" t="n"/>
      <c r="Q695" s="334" t="n"/>
      <c r="R695" s="334" t="n"/>
      <c r="S695" s="334" t="n"/>
      <c r="T695" s="334" t="n"/>
    </row>
    <row r="696">
      <c r="A696" s="334" t="n"/>
      <c r="B696" s="334" t="n"/>
      <c r="C696" s="334" t="n"/>
      <c r="D696" s="334" t="n"/>
      <c r="E696" s="334" t="n"/>
      <c r="F696" s="334" t="n"/>
      <c r="G696" s="334" t="n"/>
      <c r="H696" s="334" t="n"/>
      <c r="I696" s="334" t="n"/>
      <c r="J696" s="334" t="n"/>
      <c r="K696" s="334" t="n"/>
      <c r="L696" s="334" t="n"/>
      <c r="M696" s="334" t="n"/>
      <c r="N696" s="334" t="n"/>
      <c r="O696" s="334" t="n"/>
      <c r="P696" s="334" t="n"/>
      <c r="Q696" s="334" t="n"/>
      <c r="R696" s="334" t="n"/>
      <c r="S696" s="334" t="n"/>
      <c r="T696" s="334" t="n"/>
    </row>
    <row r="697">
      <c r="A697" s="334" t="n"/>
      <c r="B697" s="334" t="n"/>
      <c r="C697" s="334" t="n"/>
      <c r="D697" s="334" t="n"/>
      <c r="E697" s="334" t="n"/>
      <c r="F697" s="334" t="n"/>
      <c r="G697" s="334" t="n"/>
      <c r="H697" s="334" t="n"/>
      <c r="I697" s="334" t="n"/>
      <c r="J697" s="334" t="n"/>
      <c r="K697" s="334" t="n"/>
      <c r="L697" s="334" t="n"/>
      <c r="M697" s="334" t="n"/>
      <c r="N697" s="334" t="n"/>
      <c r="O697" s="334" t="n"/>
      <c r="P697" s="334" t="n"/>
      <c r="Q697" s="334" t="n"/>
      <c r="R697" s="334" t="n"/>
      <c r="S697" s="334" t="n"/>
      <c r="T697" s="334" t="n"/>
    </row>
    <row r="698">
      <c r="A698" s="334" t="n"/>
      <c r="B698" s="334" t="n"/>
      <c r="C698" s="334" t="n"/>
      <c r="D698" s="334" t="n"/>
      <c r="E698" s="334" t="n"/>
      <c r="F698" s="334" t="n"/>
      <c r="G698" s="334" t="n"/>
      <c r="H698" s="334" t="n"/>
      <c r="I698" s="334" t="n"/>
      <c r="J698" s="334" t="n"/>
      <c r="K698" s="334" t="n"/>
      <c r="L698" s="334" t="n"/>
      <c r="M698" s="334" t="n"/>
      <c r="N698" s="334" t="n"/>
      <c r="O698" s="334" t="n"/>
      <c r="P698" s="334" t="n"/>
      <c r="Q698" s="334" t="n"/>
      <c r="R698" s="334" t="n"/>
      <c r="S698" s="334" t="n"/>
      <c r="T698" s="334" t="n"/>
    </row>
    <row r="699">
      <c r="A699" s="334" t="n"/>
      <c r="B699" s="334" t="n"/>
      <c r="C699" s="334" t="n"/>
      <c r="D699" s="334" t="n"/>
      <c r="E699" s="334" t="n"/>
      <c r="F699" s="334" t="n"/>
      <c r="G699" s="334" t="n"/>
      <c r="H699" s="334" t="n"/>
      <c r="I699" s="334" t="n"/>
      <c r="J699" s="334" t="n"/>
      <c r="K699" s="334" t="n"/>
      <c r="L699" s="334" t="n"/>
      <c r="M699" s="334" t="n"/>
      <c r="N699" s="334" t="n"/>
      <c r="O699" s="334" t="n"/>
      <c r="P699" s="334" t="n"/>
      <c r="Q699" s="334" t="n"/>
      <c r="R699" s="334" t="n"/>
      <c r="S699" s="334" t="n"/>
      <c r="T699" s="334" t="n"/>
    </row>
    <row r="700">
      <c r="A700" s="334" t="n"/>
      <c r="B700" s="334" t="n"/>
      <c r="C700" s="334" t="n"/>
      <c r="D700" s="334" t="n"/>
      <c r="E700" s="334" t="n"/>
      <c r="F700" s="334" t="n"/>
      <c r="G700" s="334" t="n"/>
      <c r="H700" s="334" t="n"/>
      <c r="I700" s="334" t="n"/>
      <c r="J700" s="334" t="n"/>
      <c r="K700" s="334" t="n"/>
      <c r="L700" s="334" t="n"/>
      <c r="M700" s="334" t="n"/>
      <c r="N700" s="334" t="n"/>
      <c r="O700" s="334" t="n"/>
      <c r="P700" s="334" t="n"/>
      <c r="Q700" s="334" t="n"/>
      <c r="R700" s="334" t="n"/>
      <c r="S700" s="334" t="n"/>
      <c r="T700" s="334" t="n"/>
    </row>
    <row r="701">
      <c r="A701" s="334" t="n"/>
      <c r="B701" s="334" t="n"/>
      <c r="C701" s="334" t="n"/>
      <c r="D701" s="334" t="n"/>
      <c r="E701" s="334" t="n"/>
      <c r="F701" s="334" t="n"/>
      <c r="G701" s="334" t="n"/>
      <c r="H701" s="334" t="n"/>
      <c r="I701" s="334" t="n"/>
      <c r="J701" s="334" t="n"/>
      <c r="K701" s="334" t="n"/>
      <c r="L701" s="334" t="n"/>
      <c r="M701" s="334" t="n"/>
      <c r="N701" s="334" t="n"/>
      <c r="O701" s="334" t="n"/>
      <c r="P701" s="334" t="n"/>
      <c r="Q701" s="334" t="n"/>
      <c r="R701" s="334" t="n"/>
      <c r="S701" s="334" t="n"/>
      <c r="T701" s="334" t="n"/>
    </row>
    <row r="702">
      <c r="A702" s="334" t="n"/>
      <c r="B702" s="334" t="n"/>
      <c r="C702" s="334" t="n"/>
      <c r="D702" s="334" t="n"/>
      <c r="E702" s="334" t="n"/>
      <c r="F702" s="334" t="n"/>
      <c r="G702" s="334" t="n"/>
      <c r="H702" s="334" t="n"/>
      <c r="I702" s="334" t="n"/>
      <c r="J702" s="334" t="n"/>
      <c r="K702" s="334" t="n"/>
      <c r="L702" s="334" t="n"/>
      <c r="M702" s="334" t="n"/>
      <c r="N702" s="334" t="n"/>
      <c r="O702" s="334" t="n"/>
      <c r="P702" s="334" t="n"/>
      <c r="Q702" s="334" t="n"/>
      <c r="R702" s="334" t="n"/>
      <c r="S702" s="334" t="n"/>
      <c r="T702" s="334" t="n"/>
    </row>
    <row r="703">
      <c r="A703" s="334" t="n"/>
      <c r="B703" s="334" t="n"/>
      <c r="C703" s="334" t="n"/>
      <c r="D703" s="334" t="n"/>
      <c r="E703" s="334" t="n"/>
      <c r="F703" s="334" t="n"/>
      <c r="G703" s="334" t="n"/>
      <c r="H703" s="334" t="n"/>
      <c r="I703" s="334" t="n"/>
      <c r="J703" s="334" t="n"/>
      <c r="K703" s="334" t="n"/>
      <c r="L703" s="334" t="n"/>
      <c r="M703" s="334" t="n"/>
      <c r="N703" s="334" t="n"/>
      <c r="O703" s="334" t="n"/>
      <c r="P703" s="334" t="n"/>
      <c r="Q703" s="334" t="n"/>
      <c r="R703" s="334" t="n"/>
      <c r="S703" s="334" t="n"/>
      <c r="T703" s="334" t="n"/>
    </row>
    <row r="704">
      <c r="A704" s="334" t="n"/>
      <c r="B704" s="334" t="n"/>
      <c r="C704" s="334" t="n"/>
      <c r="D704" s="334" t="n"/>
      <c r="E704" s="334" t="n"/>
      <c r="F704" s="334" t="n"/>
      <c r="G704" s="334" t="n"/>
      <c r="H704" s="334" t="n"/>
      <c r="I704" s="334" t="n"/>
      <c r="J704" s="334" t="n"/>
      <c r="K704" s="334" t="n"/>
      <c r="L704" s="334" t="n"/>
      <c r="M704" s="334" t="n"/>
      <c r="N704" s="334" t="n"/>
      <c r="O704" s="334" t="n"/>
      <c r="P704" s="334" t="n"/>
      <c r="Q704" s="334" t="n"/>
      <c r="R704" s="334" t="n"/>
      <c r="S704" s="334" t="n"/>
      <c r="T704" s="334" t="n"/>
    </row>
    <row r="705">
      <c r="A705" s="334" t="n"/>
      <c r="B705" s="334" t="n"/>
      <c r="C705" s="334" t="n"/>
      <c r="D705" s="334" t="n"/>
      <c r="E705" s="334" t="n"/>
      <c r="F705" s="334" t="n"/>
      <c r="G705" s="334" t="n"/>
      <c r="H705" s="334" t="n"/>
      <c r="I705" s="334" t="n"/>
      <c r="J705" s="334" t="n"/>
      <c r="K705" s="334" t="n"/>
      <c r="L705" s="334" t="n"/>
      <c r="M705" s="334" t="n"/>
      <c r="N705" s="334" t="n"/>
      <c r="O705" s="334" t="n"/>
      <c r="P705" s="334" t="n"/>
      <c r="Q705" s="334" t="n"/>
      <c r="R705" s="334" t="n"/>
      <c r="S705" s="334" t="n"/>
      <c r="T705" s="334" t="n"/>
    </row>
    <row r="706">
      <c r="A706" s="334" t="n"/>
      <c r="B706" s="334" t="n"/>
      <c r="C706" s="334" t="n"/>
      <c r="D706" s="334" t="n"/>
      <c r="E706" s="334" t="n"/>
      <c r="F706" s="334" t="n"/>
      <c r="G706" s="334" t="n"/>
      <c r="H706" s="334" t="n"/>
      <c r="I706" s="334" t="n"/>
      <c r="J706" s="334" t="n"/>
      <c r="K706" s="334" t="n"/>
      <c r="L706" s="334" t="n"/>
      <c r="M706" s="334" t="n"/>
      <c r="N706" s="334" t="n"/>
      <c r="O706" s="334" t="n"/>
      <c r="P706" s="334" t="n"/>
      <c r="Q706" s="334" t="n"/>
      <c r="R706" s="334" t="n"/>
      <c r="S706" s="334" t="n"/>
      <c r="T706" s="334" t="n"/>
    </row>
    <row r="707">
      <c r="A707" s="334" t="n"/>
      <c r="B707" s="334" t="n"/>
      <c r="C707" s="334" t="n"/>
      <c r="D707" s="334" t="n"/>
      <c r="E707" s="334" t="n"/>
      <c r="F707" s="334" t="n"/>
      <c r="G707" s="334" t="n"/>
      <c r="H707" s="334" t="n"/>
      <c r="I707" s="334" t="n"/>
      <c r="J707" s="334" t="n"/>
      <c r="K707" s="334" t="n"/>
      <c r="L707" s="334" t="n"/>
      <c r="M707" s="334" t="n"/>
      <c r="N707" s="334" t="n"/>
      <c r="O707" s="334" t="n"/>
      <c r="P707" s="334" t="n"/>
      <c r="Q707" s="334" t="n"/>
      <c r="R707" s="334" t="n"/>
      <c r="S707" s="334" t="n"/>
      <c r="T707" s="334" t="n"/>
    </row>
    <row r="708">
      <c r="A708" s="334" t="n"/>
      <c r="B708" s="334" t="n"/>
      <c r="C708" s="334" t="n"/>
      <c r="D708" s="334" t="n"/>
      <c r="E708" s="334" t="n"/>
      <c r="F708" s="334" t="n"/>
      <c r="G708" s="334" t="n"/>
      <c r="H708" s="334" t="n"/>
      <c r="I708" s="334" t="n"/>
      <c r="J708" s="334" t="n"/>
      <c r="K708" s="334" t="n"/>
      <c r="L708" s="334" t="n"/>
      <c r="M708" s="334" t="n"/>
      <c r="N708" s="334" t="n"/>
      <c r="O708" s="334" t="n"/>
      <c r="P708" s="334" t="n"/>
      <c r="Q708" s="334" t="n"/>
      <c r="R708" s="334" t="n"/>
      <c r="S708" s="334" t="n"/>
      <c r="T708" s="334" t="n"/>
    </row>
    <row r="709">
      <c r="A709" s="334" t="n"/>
      <c r="B709" s="334" t="n"/>
      <c r="C709" s="334" t="n"/>
      <c r="D709" s="334" t="n"/>
      <c r="E709" s="334" t="n"/>
      <c r="F709" s="334" t="n"/>
      <c r="G709" s="334" t="n"/>
      <c r="H709" s="334" t="n"/>
      <c r="I709" s="334" t="n"/>
      <c r="J709" s="334" t="n"/>
      <c r="K709" s="334" t="n"/>
      <c r="L709" s="334" t="n"/>
      <c r="M709" s="334" t="n"/>
      <c r="N709" s="334" t="n"/>
      <c r="O709" s="334" t="n"/>
      <c r="P709" s="334" t="n"/>
      <c r="Q709" s="334" t="n"/>
      <c r="R709" s="334" t="n"/>
      <c r="S709" s="334" t="n"/>
      <c r="T709" s="334" t="n"/>
    </row>
    <row r="710">
      <c r="A710" s="334" t="n"/>
      <c r="B710" s="334" t="n"/>
      <c r="C710" s="334" t="n"/>
      <c r="D710" s="334" t="n"/>
      <c r="E710" s="334" t="n"/>
      <c r="F710" s="334" t="n"/>
      <c r="G710" s="334" t="n"/>
      <c r="H710" s="334" t="n"/>
      <c r="I710" s="334" t="n"/>
      <c r="J710" s="334" t="n"/>
      <c r="K710" s="334" t="n"/>
      <c r="L710" s="334" t="n"/>
      <c r="M710" s="334" t="n"/>
      <c r="N710" s="334" t="n"/>
      <c r="O710" s="334" t="n"/>
      <c r="P710" s="334" t="n"/>
      <c r="Q710" s="334" t="n"/>
      <c r="R710" s="334" t="n"/>
      <c r="S710" s="334" t="n"/>
      <c r="T710" s="334" t="n"/>
    </row>
    <row r="711">
      <c r="A711" s="334" t="n"/>
      <c r="B711" s="334" t="n"/>
      <c r="C711" s="334" t="n"/>
      <c r="D711" s="334" t="n"/>
      <c r="E711" s="334" t="n"/>
      <c r="F711" s="334" t="n"/>
      <c r="G711" s="334" t="n"/>
      <c r="H711" s="334" t="n"/>
      <c r="I711" s="334" t="n"/>
      <c r="J711" s="334" t="n"/>
      <c r="K711" s="334" t="n"/>
      <c r="L711" s="334" t="n"/>
      <c r="M711" s="334" t="n"/>
      <c r="N711" s="334" t="n"/>
      <c r="O711" s="334" t="n"/>
      <c r="P711" s="334" t="n"/>
      <c r="Q711" s="334" t="n"/>
      <c r="R711" s="334" t="n"/>
      <c r="S711" s="334" t="n"/>
      <c r="T711" s="334" t="n"/>
    </row>
    <row r="712">
      <c r="A712" s="334" t="n"/>
      <c r="B712" s="334" t="n"/>
      <c r="C712" s="334" t="n"/>
      <c r="D712" s="334" t="n"/>
      <c r="E712" s="334" t="n"/>
      <c r="F712" s="334" t="n"/>
      <c r="G712" s="334" t="n"/>
      <c r="H712" s="334" t="n"/>
      <c r="I712" s="334" t="n"/>
      <c r="J712" s="334" t="n"/>
      <c r="K712" s="334" t="n"/>
      <c r="L712" s="334" t="n"/>
      <c r="M712" s="334" t="n"/>
      <c r="N712" s="334" t="n"/>
      <c r="O712" s="334" t="n"/>
      <c r="P712" s="334" t="n"/>
      <c r="Q712" s="334" t="n"/>
      <c r="R712" s="334" t="n"/>
      <c r="S712" s="334" t="n"/>
      <c r="T712" s="334" t="n"/>
    </row>
    <row r="713">
      <c r="A713" s="334" t="n"/>
      <c r="B713" s="334" t="n"/>
      <c r="C713" s="334" t="n"/>
      <c r="D713" s="334" t="n"/>
      <c r="E713" s="334" t="n"/>
      <c r="F713" s="334" t="n"/>
      <c r="G713" s="334" t="n"/>
      <c r="H713" s="334" t="n"/>
      <c r="I713" s="334" t="n"/>
      <c r="J713" s="334" t="n"/>
      <c r="K713" s="334" t="n"/>
      <c r="L713" s="334" t="n"/>
      <c r="M713" s="334" t="n"/>
      <c r="N713" s="334" t="n"/>
      <c r="O713" s="334" t="n"/>
      <c r="P713" s="334" t="n"/>
      <c r="Q713" s="334" t="n"/>
      <c r="R713" s="334" t="n"/>
      <c r="S713" s="334" t="n"/>
      <c r="T713" s="334" t="n"/>
    </row>
    <row r="714">
      <c r="A714" s="334" t="n"/>
      <c r="B714" s="334" t="n"/>
      <c r="C714" s="334" t="n"/>
      <c r="D714" s="334" t="n"/>
      <c r="E714" s="334" t="n"/>
      <c r="F714" s="334" t="n"/>
      <c r="G714" s="334" t="n"/>
      <c r="H714" s="334" t="n"/>
      <c r="I714" s="334" t="n"/>
      <c r="J714" s="334" t="n"/>
      <c r="K714" s="334" t="n"/>
      <c r="L714" s="334" t="n"/>
      <c r="M714" s="334" t="n"/>
      <c r="N714" s="334" t="n"/>
      <c r="O714" s="334" t="n"/>
      <c r="P714" s="334" t="n"/>
      <c r="Q714" s="334" t="n"/>
      <c r="R714" s="334" t="n"/>
      <c r="S714" s="334" t="n"/>
      <c r="T714" s="334" t="n"/>
    </row>
    <row r="715">
      <c r="A715" s="334" t="n"/>
      <c r="B715" s="334" t="n"/>
      <c r="C715" s="334" t="n"/>
      <c r="D715" s="334" t="n"/>
      <c r="E715" s="334" t="n"/>
      <c r="F715" s="334" t="n"/>
      <c r="G715" s="334" t="n"/>
      <c r="H715" s="334" t="n"/>
      <c r="I715" s="334" t="n"/>
      <c r="J715" s="334" t="n"/>
      <c r="K715" s="334" t="n"/>
      <c r="L715" s="334" t="n"/>
      <c r="M715" s="334" t="n"/>
      <c r="N715" s="334" t="n"/>
      <c r="O715" s="334" t="n"/>
      <c r="P715" s="334" t="n"/>
      <c r="Q715" s="334" t="n"/>
      <c r="R715" s="334" t="n"/>
      <c r="S715" s="334" t="n"/>
      <c r="T715" s="334" t="n"/>
    </row>
    <row r="716">
      <c r="A716" s="334" t="n"/>
      <c r="B716" s="334" t="n"/>
      <c r="C716" s="334" t="n"/>
      <c r="D716" s="334" t="n"/>
      <c r="E716" s="334" t="n"/>
      <c r="F716" s="334" t="n"/>
      <c r="G716" s="334" t="n"/>
      <c r="H716" s="334" t="n"/>
      <c r="I716" s="334" t="n"/>
      <c r="J716" s="334" t="n"/>
      <c r="K716" s="334" t="n"/>
      <c r="L716" s="334" t="n"/>
      <c r="M716" s="334" t="n"/>
      <c r="N716" s="334" t="n"/>
      <c r="O716" s="334" t="n"/>
      <c r="P716" s="334" t="n"/>
      <c r="Q716" s="334" t="n"/>
      <c r="R716" s="334" t="n"/>
      <c r="S716" s="334" t="n"/>
      <c r="T716" s="334" t="n"/>
    </row>
    <row r="717">
      <c r="A717" s="334" t="n"/>
      <c r="B717" s="334" t="n"/>
      <c r="C717" s="334" t="n"/>
      <c r="D717" s="334" t="n"/>
      <c r="E717" s="334" t="n"/>
      <c r="F717" s="334" t="n"/>
      <c r="G717" s="334" t="n"/>
      <c r="H717" s="334" t="n"/>
      <c r="I717" s="334" t="n"/>
      <c r="J717" s="334" t="n"/>
      <c r="K717" s="334" t="n"/>
      <c r="L717" s="334" t="n"/>
      <c r="M717" s="334" t="n"/>
      <c r="N717" s="334" t="n"/>
      <c r="O717" s="334" t="n"/>
      <c r="P717" s="334" t="n"/>
      <c r="Q717" s="334" t="n"/>
      <c r="R717" s="334" t="n"/>
      <c r="S717" s="334" t="n"/>
      <c r="T717" s="334" t="n"/>
    </row>
    <row r="718">
      <c r="A718" s="334" t="n"/>
      <c r="B718" s="334" t="n"/>
      <c r="C718" s="334" t="n"/>
      <c r="D718" s="334" t="n"/>
      <c r="E718" s="334" t="n"/>
      <c r="F718" s="334" t="n"/>
      <c r="G718" s="334" t="n"/>
      <c r="H718" s="334" t="n"/>
      <c r="I718" s="334" t="n"/>
      <c r="J718" s="334" t="n"/>
      <c r="K718" s="334" t="n"/>
      <c r="L718" s="334" t="n"/>
      <c r="M718" s="334" t="n"/>
      <c r="N718" s="334" t="n"/>
      <c r="O718" s="334" t="n"/>
      <c r="P718" s="334" t="n"/>
      <c r="Q718" s="334" t="n"/>
      <c r="R718" s="334" t="n"/>
      <c r="S718" s="334" t="n"/>
      <c r="T718" s="334" t="n"/>
    </row>
    <row r="719">
      <c r="A719" s="334" t="n"/>
      <c r="B719" s="334" t="n"/>
      <c r="C719" s="334" t="n"/>
      <c r="D719" s="334" t="n"/>
      <c r="E719" s="334" t="n"/>
      <c r="F719" s="334" t="n"/>
      <c r="G719" s="334" t="n"/>
      <c r="H719" s="334" t="n"/>
      <c r="I719" s="334" t="n"/>
      <c r="J719" s="334" t="n"/>
      <c r="K719" s="334" t="n"/>
      <c r="L719" s="334" t="n"/>
      <c r="M719" s="334" t="n"/>
      <c r="N719" s="334" t="n"/>
      <c r="O719" s="334" t="n"/>
      <c r="P719" s="334" t="n"/>
      <c r="Q719" s="334" t="n"/>
      <c r="R719" s="334" t="n"/>
      <c r="S719" s="334" t="n"/>
      <c r="T719" s="334" t="n"/>
    </row>
    <row r="720">
      <c r="A720" s="334" t="n"/>
      <c r="B720" s="334" t="n"/>
      <c r="C720" s="334" t="n"/>
      <c r="D720" s="334" t="n"/>
      <c r="E720" s="334" t="n"/>
      <c r="F720" s="334" t="n"/>
      <c r="G720" s="334" t="n"/>
      <c r="H720" s="334" t="n"/>
      <c r="I720" s="334" t="n"/>
      <c r="J720" s="334" t="n"/>
      <c r="K720" s="334" t="n"/>
      <c r="L720" s="334" t="n"/>
      <c r="M720" s="334" t="n"/>
      <c r="N720" s="334" t="n"/>
      <c r="O720" s="334" t="n"/>
      <c r="P720" s="334" t="n"/>
      <c r="Q720" s="334" t="n"/>
      <c r="R720" s="334" t="n"/>
      <c r="S720" s="334" t="n"/>
      <c r="T720" s="334" t="n"/>
    </row>
    <row r="721">
      <c r="A721" s="334" t="n"/>
      <c r="B721" s="334" t="n"/>
      <c r="C721" s="334" t="n"/>
      <c r="D721" s="334" t="n"/>
      <c r="E721" s="334" t="n"/>
      <c r="F721" s="334" t="n"/>
      <c r="G721" s="334" t="n"/>
      <c r="H721" s="334" t="n"/>
      <c r="I721" s="334" t="n"/>
      <c r="J721" s="334" t="n"/>
      <c r="K721" s="334" t="n"/>
      <c r="L721" s="334" t="n"/>
      <c r="M721" s="334" t="n"/>
      <c r="N721" s="334" t="n"/>
      <c r="O721" s="334" t="n"/>
      <c r="P721" s="334" t="n"/>
      <c r="Q721" s="334" t="n"/>
      <c r="R721" s="334" t="n"/>
      <c r="S721" s="334" t="n"/>
      <c r="T721" s="334" t="n"/>
    </row>
    <row r="722">
      <c r="A722" s="334" t="n"/>
      <c r="B722" s="334" t="n"/>
      <c r="C722" s="334" t="n"/>
      <c r="D722" s="334" t="n"/>
      <c r="E722" s="334" t="n"/>
      <c r="F722" s="334" t="n"/>
      <c r="G722" s="334" t="n"/>
      <c r="H722" s="334" t="n"/>
      <c r="I722" s="334" t="n"/>
      <c r="J722" s="334" t="n"/>
      <c r="K722" s="334" t="n"/>
      <c r="L722" s="334" t="n"/>
      <c r="M722" s="334" t="n"/>
      <c r="N722" s="334" t="n"/>
      <c r="O722" s="334" t="n"/>
      <c r="P722" s="334" t="n"/>
      <c r="Q722" s="334" t="n"/>
      <c r="R722" s="334" t="n"/>
      <c r="S722" s="334" t="n"/>
      <c r="T722" s="334" t="n"/>
    </row>
    <row r="723">
      <c r="A723" s="334" t="n"/>
      <c r="B723" s="334" t="n"/>
      <c r="C723" s="334" t="n"/>
      <c r="D723" s="334" t="n"/>
      <c r="E723" s="334" t="n"/>
      <c r="F723" s="334" t="n"/>
      <c r="G723" s="334" t="n"/>
      <c r="H723" s="334" t="n"/>
      <c r="I723" s="334" t="n"/>
      <c r="J723" s="334" t="n"/>
      <c r="K723" s="334" t="n"/>
      <c r="L723" s="334" t="n"/>
      <c r="M723" s="334" t="n"/>
      <c r="N723" s="334" t="n"/>
      <c r="O723" s="334" t="n"/>
      <c r="P723" s="334" t="n"/>
      <c r="Q723" s="334" t="n"/>
      <c r="R723" s="334" t="n"/>
      <c r="S723" s="334" t="n"/>
      <c r="T723" s="334" t="n"/>
    </row>
    <row r="724">
      <c r="A724" s="334" t="n"/>
      <c r="B724" s="334" t="n"/>
      <c r="C724" s="334" t="n"/>
      <c r="D724" s="334" t="n"/>
      <c r="E724" s="334" t="n"/>
      <c r="F724" s="334" t="n"/>
      <c r="G724" s="334" t="n"/>
      <c r="H724" s="334" t="n"/>
      <c r="I724" s="334" t="n"/>
      <c r="J724" s="334" t="n"/>
      <c r="K724" s="334" t="n"/>
      <c r="L724" s="334" t="n"/>
      <c r="M724" s="334" t="n"/>
      <c r="N724" s="334" t="n"/>
      <c r="O724" s="334" t="n"/>
      <c r="P724" s="334" t="n"/>
      <c r="Q724" s="334" t="n"/>
      <c r="R724" s="334" t="n"/>
      <c r="S724" s="334" t="n"/>
      <c r="T724" s="334" t="n"/>
    </row>
    <row r="725">
      <c r="A725" s="334" t="n"/>
      <c r="B725" s="334" t="n"/>
      <c r="C725" s="334" t="n"/>
      <c r="D725" s="334" t="n"/>
      <c r="E725" s="334" t="n"/>
      <c r="F725" s="334" t="n"/>
      <c r="G725" s="334" t="n"/>
      <c r="H725" s="334" t="n"/>
      <c r="I725" s="334" t="n"/>
      <c r="J725" s="334" t="n"/>
      <c r="K725" s="334" t="n"/>
      <c r="L725" s="334" t="n"/>
      <c r="M725" s="334" t="n"/>
      <c r="N725" s="334" t="n"/>
      <c r="O725" s="334" t="n"/>
      <c r="P725" s="334" t="n"/>
      <c r="Q725" s="334" t="n"/>
      <c r="R725" s="334" t="n"/>
      <c r="S725" s="334" t="n"/>
      <c r="T725" s="334" t="n"/>
    </row>
    <row r="726">
      <c r="A726" s="334" t="n"/>
      <c r="B726" s="334" t="n"/>
      <c r="C726" s="334" t="n"/>
      <c r="D726" s="334" t="n"/>
      <c r="E726" s="334" t="n"/>
      <c r="F726" s="334" t="n"/>
      <c r="G726" s="334" t="n"/>
      <c r="H726" s="334" t="n"/>
      <c r="I726" s="334" t="n"/>
      <c r="J726" s="334" t="n"/>
      <c r="K726" s="334" t="n"/>
      <c r="L726" s="334" t="n"/>
      <c r="M726" s="334" t="n"/>
      <c r="N726" s="334" t="n"/>
      <c r="O726" s="334" t="n"/>
      <c r="P726" s="334" t="n"/>
      <c r="Q726" s="334" t="n"/>
      <c r="R726" s="334" t="n"/>
      <c r="S726" s="334" t="n"/>
      <c r="T726" s="334" t="n"/>
    </row>
    <row r="727">
      <c r="A727" s="334" t="n"/>
      <c r="B727" s="334" t="n"/>
      <c r="C727" s="334" t="n"/>
      <c r="D727" s="334" t="n"/>
      <c r="E727" s="334" t="n"/>
      <c r="F727" s="334" t="n"/>
      <c r="G727" s="334" t="n"/>
      <c r="H727" s="334" t="n"/>
      <c r="I727" s="334" t="n"/>
      <c r="J727" s="334" t="n"/>
      <c r="K727" s="334" t="n"/>
      <c r="L727" s="334" t="n"/>
      <c r="M727" s="334" t="n"/>
      <c r="N727" s="334" t="n"/>
      <c r="O727" s="334" t="n"/>
      <c r="P727" s="334" t="n"/>
      <c r="Q727" s="334" t="n"/>
      <c r="R727" s="334" t="n"/>
      <c r="S727" s="334" t="n"/>
      <c r="T727" s="334" t="n"/>
    </row>
    <row r="728">
      <c r="A728" s="334" t="n"/>
      <c r="B728" s="334" t="n"/>
      <c r="C728" s="334" t="n"/>
      <c r="D728" s="334" t="n"/>
      <c r="E728" s="334" t="n"/>
      <c r="F728" s="334" t="n"/>
      <c r="G728" s="334" t="n"/>
      <c r="H728" s="334" t="n"/>
      <c r="I728" s="334" t="n"/>
      <c r="J728" s="334" t="n"/>
      <c r="K728" s="334" t="n"/>
      <c r="L728" s="334" t="n"/>
      <c r="M728" s="334" t="n"/>
      <c r="N728" s="334" t="n"/>
      <c r="O728" s="334" t="n"/>
      <c r="P728" s="334" t="n"/>
      <c r="Q728" s="334" t="n"/>
      <c r="R728" s="334" t="n"/>
      <c r="S728" s="334" t="n"/>
      <c r="T728" s="334" t="n"/>
    </row>
    <row r="729">
      <c r="A729" s="334" t="n"/>
      <c r="B729" s="334" t="n"/>
      <c r="C729" s="334" t="n"/>
      <c r="D729" s="334" t="n"/>
      <c r="E729" s="334" t="n"/>
      <c r="F729" s="334" t="n"/>
      <c r="G729" s="334" t="n"/>
      <c r="H729" s="334" t="n"/>
      <c r="I729" s="334" t="n"/>
      <c r="J729" s="334" t="n"/>
      <c r="K729" s="334" t="n"/>
      <c r="L729" s="334" t="n"/>
      <c r="M729" s="334" t="n"/>
      <c r="N729" s="334" t="n"/>
      <c r="O729" s="334" t="n"/>
      <c r="P729" s="334" t="n"/>
      <c r="Q729" s="334" t="n"/>
      <c r="R729" s="334" t="n"/>
      <c r="S729" s="334" t="n"/>
      <c r="T729" s="334" t="n"/>
    </row>
    <row r="730">
      <c r="A730" s="334" t="n"/>
      <c r="B730" s="334" t="n"/>
      <c r="C730" s="334" t="n"/>
      <c r="D730" s="334" t="n"/>
      <c r="E730" s="334" t="n"/>
      <c r="F730" s="334" t="n"/>
      <c r="G730" s="334" t="n"/>
      <c r="H730" s="334" t="n"/>
      <c r="I730" s="334" t="n"/>
      <c r="J730" s="334" t="n"/>
      <c r="K730" s="334" t="n"/>
      <c r="L730" s="334" t="n"/>
      <c r="M730" s="334" t="n"/>
      <c r="N730" s="334" t="n"/>
      <c r="O730" s="334" t="n"/>
      <c r="P730" s="334" t="n"/>
      <c r="Q730" s="334" t="n"/>
      <c r="R730" s="334" t="n"/>
      <c r="S730" s="334" t="n"/>
      <c r="T730" s="334" t="n"/>
    </row>
    <row r="731">
      <c r="A731" s="334" t="n"/>
      <c r="B731" s="334" t="n"/>
      <c r="C731" s="334" t="n"/>
      <c r="D731" s="334" t="n"/>
      <c r="E731" s="334" t="n"/>
      <c r="F731" s="334" t="n"/>
      <c r="G731" s="334" t="n"/>
      <c r="H731" s="334" t="n"/>
      <c r="I731" s="334" t="n"/>
      <c r="J731" s="334" t="n"/>
      <c r="K731" s="334" t="n"/>
      <c r="L731" s="334" t="n"/>
      <c r="M731" s="334" t="n"/>
      <c r="N731" s="334" t="n"/>
      <c r="O731" s="334" t="n"/>
      <c r="P731" s="334" t="n"/>
      <c r="Q731" s="334" t="n"/>
      <c r="R731" s="334" t="n"/>
      <c r="S731" s="334" t="n"/>
      <c r="T731" s="334" t="n"/>
    </row>
    <row r="732">
      <c r="A732" s="334" t="n"/>
      <c r="B732" s="334" t="n"/>
      <c r="C732" s="334" t="n"/>
      <c r="D732" s="334" t="n"/>
      <c r="E732" s="334" t="n"/>
      <c r="F732" s="334" t="n"/>
      <c r="G732" s="334" t="n"/>
      <c r="H732" s="334" t="n"/>
      <c r="I732" s="334" t="n"/>
      <c r="J732" s="334" t="n"/>
      <c r="K732" s="334" t="n"/>
      <c r="L732" s="334" t="n"/>
      <c r="M732" s="334" t="n"/>
      <c r="N732" s="334" t="n"/>
      <c r="O732" s="334" t="n"/>
      <c r="P732" s="334" t="n"/>
      <c r="Q732" s="334" t="n"/>
      <c r="R732" s="334" t="n"/>
      <c r="S732" s="334" t="n"/>
      <c r="T732" s="334" t="n"/>
    </row>
    <row r="733">
      <c r="A733" s="334" t="n"/>
      <c r="B733" s="334" t="n"/>
      <c r="C733" s="334" t="n"/>
      <c r="D733" s="334" t="n"/>
      <c r="E733" s="334" t="n"/>
      <c r="F733" s="334" t="n"/>
      <c r="G733" s="334" t="n"/>
      <c r="H733" s="334" t="n"/>
      <c r="I733" s="334" t="n"/>
      <c r="J733" s="334" t="n"/>
      <c r="K733" s="334" t="n"/>
      <c r="L733" s="334" t="n"/>
      <c r="M733" s="334" t="n"/>
      <c r="N733" s="334" t="n"/>
      <c r="O733" s="334" t="n"/>
      <c r="P733" s="334" t="n"/>
      <c r="Q733" s="334" t="n"/>
      <c r="R733" s="334" t="n"/>
      <c r="S733" s="334" t="n"/>
      <c r="T733" s="334" t="n"/>
    </row>
    <row r="734">
      <c r="A734" s="334" t="n"/>
      <c r="B734" s="334" t="n"/>
      <c r="C734" s="334" t="n"/>
      <c r="D734" s="334" t="n"/>
      <c r="E734" s="334" t="n"/>
      <c r="F734" s="334" t="n"/>
      <c r="G734" s="334" t="n"/>
      <c r="H734" s="334" t="n"/>
      <c r="I734" s="334" t="n"/>
      <c r="J734" s="334" t="n"/>
      <c r="K734" s="334" t="n"/>
      <c r="L734" s="334" t="n"/>
      <c r="M734" s="334" t="n"/>
      <c r="N734" s="334" t="n"/>
      <c r="O734" s="334" t="n"/>
      <c r="P734" s="334" t="n"/>
      <c r="Q734" s="334" t="n"/>
      <c r="R734" s="334" t="n"/>
      <c r="S734" s="334" t="n"/>
      <c r="T734" s="334" t="n"/>
    </row>
    <row r="735">
      <c r="A735" s="334" t="n"/>
      <c r="B735" s="334" t="n"/>
      <c r="C735" s="334" t="n"/>
      <c r="D735" s="334" t="n"/>
      <c r="E735" s="334" t="n"/>
      <c r="F735" s="334" t="n"/>
      <c r="G735" s="334" t="n"/>
      <c r="H735" s="334" t="n"/>
      <c r="I735" s="334" t="n"/>
      <c r="J735" s="334" t="n"/>
      <c r="K735" s="334" t="n"/>
      <c r="L735" s="334" t="n"/>
      <c r="M735" s="334" t="n"/>
      <c r="N735" s="334" t="n"/>
      <c r="O735" s="334" t="n"/>
      <c r="P735" s="334" t="n"/>
      <c r="Q735" s="334" t="n"/>
      <c r="R735" s="334" t="n"/>
      <c r="S735" s="334" t="n"/>
      <c r="T735" s="334" t="n"/>
    </row>
    <row r="736">
      <c r="A736" s="334" t="n"/>
      <c r="B736" s="334" t="n"/>
      <c r="C736" s="334" t="n"/>
      <c r="D736" s="334" t="n"/>
      <c r="E736" s="334" t="n"/>
      <c r="F736" s="334" t="n"/>
      <c r="G736" s="334" t="n"/>
      <c r="H736" s="334" t="n"/>
      <c r="I736" s="334" t="n"/>
      <c r="J736" s="334" t="n"/>
      <c r="K736" s="334" t="n"/>
      <c r="L736" s="334" t="n"/>
      <c r="M736" s="334" t="n"/>
      <c r="N736" s="334" t="n"/>
      <c r="O736" s="334" t="n"/>
      <c r="P736" s="334" t="n"/>
      <c r="Q736" s="334" t="n"/>
      <c r="R736" s="334" t="n"/>
      <c r="S736" s="334" t="n"/>
      <c r="T736" s="334" t="n"/>
    </row>
    <row r="737">
      <c r="A737" s="334" t="n"/>
      <c r="B737" s="334" t="n"/>
      <c r="C737" s="334" t="n"/>
      <c r="D737" s="334" t="n"/>
      <c r="E737" s="334" t="n"/>
      <c r="F737" s="334" t="n"/>
      <c r="G737" s="334" t="n"/>
      <c r="H737" s="334" t="n"/>
      <c r="I737" s="334" t="n"/>
      <c r="J737" s="334" t="n"/>
      <c r="K737" s="334" t="n"/>
      <c r="L737" s="334" t="n"/>
      <c r="M737" s="334" t="n"/>
      <c r="N737" s="334" t="n"/>
      <c r="O737" s="334" t="n"/>
      <c r="P737" s="334" t="n"/>
      <c r="Q737" s="334" t="n"/>
      <c r="R737" s="334" t="n"/>
      <c r="S737" s="334" t="n"/>
      <c r="T737" s="334" t="n"/>
    </row>
    <row r="738">
      <c r="A738" s="334" t="n"/>
      <c r="B738" s="334" t="n"/>
      <c r="C738" s="334" t="n"/>
      <c r="D738" s="334" t="n"/>
      <c r="E738" s="334" t="n"/>
      <c r="F738" s="334" t="n"/>
      <c r="G738" s="334" t="n"/>
      <c r="H738" s="334" t="n"/>
      <c r="I738" s="334" t="n"/>
      <c r="J738" s="334" t="n"/>
      <c r="K738" s="334" t="n"/>
      <c r="L738" s="334" t="n"/>
      <c r="M738" s="334" t="n"/>
      <c r="N738" s="334" t="n"/>
      <c r="O738" s="334" t="n"/>
      <c r="P738" s="334" t="n"/>
      <c r="Q738" s="334" t="n"/>
      <c r="R738" s="334" t="n"/>
      <c r="S738" s="334" t="n"/>
      <c r="T738" s="334" t="n"/>
    </row>
    <row r="739">
      <c r="A739" s="334" t="n"/>
      <c r="B739" s="334" t="n"/>
      <c r="C739" s="334" t="n"/>
      <c r="D739" s="334" t="n"/>
      <c r="E739" s="334" t="n"/>
      <c r="F739" s="334" t="n"/>
      <c r="G739" s="334" t="n"/>
      <c r="H739" s="334" t="n"/>
      <c r="I739" s="334" t="n"/>
      <c r="J739" s="334" t="n"/>
      <c r="K739" s="334" t="n"/>
      <c r="L739" s="334" t="n"/>
      <c r="M739" s="334" t="n"/>
      <c r="N739" s="334" t="n"/>
      <c r="O739" s="334" t="n"/>
      <c r="P739" s="334" t="n"/>
      <c r="Q739" s="334" t="n"/>
      <c r="R739" s="334" t="n"/>
      <c r="S739" s="334" t="n"/>
      <c r="T739" s="334" t="n"/>
    </row>
    <row r="740">
      <c r="A740" s="334" t="n"/>
      <c r="B740" s="334" t="n"/>
      <c r="C740" s="334" t="n"/>
      <c r="D740" s="334" t="n"/>
      <c r="E740" s="334" t="n"/>
      <c r="F740" s="334" t="n"/>
      <c r="G740" s="334" t="n"/>
      <c r="H740" s="334" t="n"/>
      <c r="I740" s="334" t="n"/>
      <c r="J740" s="334" t="n"/>
      <c r="K740" s="334" t="n"/>
      <c r="L740" s="334" t="n"/>
      <c r="M740" s="334" t="n"/>
      <c r="N740" s="334" t="n"/>
      <c r="O740" s="334" t="n"/>
      <c r="P740" s="334" t="n"/>
      <c r="Q740" s="334" t="n"/>
      <c r="R740" s="334" t="n"/>
      <c r="S740" s="334" t="n"/>
      <c r="T740" s="334" t="n"/>
    </row>
    <row r="741">
      <c r="A741" s="334" t="n"/>
      <c r="B741" s="334" t="n"/>
      <c r="C741" s="334" t="n"/>
      <c r="D741" s="334" t="n"/>
      <c r="E741" s="334" t="n"/>
      <c r="F741" s="334" t="n"/>
      <c r="G741" s="334" t="n"/>
      <c r="H741" s="334" t="n"/>
      <c r="I741" s="334" t="n"/>
      <c r="J741" s="334" t="n"/>
      <c r="K741" s="334" t="n"/>
      <c r="L741" s="334" t="n"/>
      <c r="M741" s="334" t="n"/>
      <c r="N741" s="334" t="n"/>
      <c r="O741" s="334" t="n"/>
      <c r="P741" s="334" t="n"/>
      <c r="Q741" s="334" t="n"/>
      <c r="R741" s="334" t="n"/>
      <c r="S741" s="334" t="n"/>
      <c r="T741" s="334" t="n"/>
    </row>
    <row r="742">
      <c r="A742" s="334" t="n"/>
      <c r="B742" s="334" t="n"/>
      <c r="C742" s="334" t="n"/>
      <c r="D742" s="334" t="n"/>
      <c r="E742" s="334" t="n"/>
      <c r="F742" s="334" t="n"/>
      <c r="G742" s="334" t="n"/>
      <c r="H742" s="334" t="n"/>
      <c r="I742" s="334" t="n"/>
      <c r="J742" s="334" t="n"/>
      <c r="K742" s="334" t="n"/>
      <c r="L742" s="334" t="n"/>
      <c r="M742" s="334" t="n"/>
      <c r="N742" s="334" t="n"/>
      <c r="O742" s="334" t="n"/>
      <c r="P742" s="334" t="n"/>
      <c r="Q742" s="334" t="n"/>
      <c r="R742" s="334" t="n"/>
      <c r="S742" s="334" t="n"/>
      <c r="T742" s="334" t="n"/>
    </row>
    <row r="743">
      <c r="A743" s="334" t="n"/>
      <c r="B743" s="334" t="n"/>
      <c r="C743" s="334" t="n"/>
      <c r="D743" s="334" t="n"/>
      <c r="E743" s="334" t="n"/>
      <c r="F743" s="334" t="n"/>
      <c r="G743" s="334" t="n"/>
      <c r="H743" s="334" t="n"/>
      <c r="I743" s="334" t="n"/>
      <c r="J743" s="334" t="n"/>
      <c r="K743" s="334" t="n"/>
      <c r="L743" s="334" t="n"/>
      <c r="M743" s="334" t="n"/>
      <c r="N743" s="334" t="n"/>
      <c r="O743" s="334" t="n"/>
      <c r="P743" s="334" t="n"/>
      <c r="Q743" s="334" t="n"/>
      <c r="R743" s="334" t="n"/>
      <c r="S743" s="334" t="n"/>
      <c r="T743" s="334" t="n"/>
    </row>
    <row r="744">
      <c r="A744" s="334" t="n"/>
      <c r="B744" s="334" t="n"/>
      <c r="C744" s="334" t="n"/>
      <c r="D744" s="334" t="n"/>
      <c r="E744" s="334" t="n"/>
      <c r="F744" s="334" t="n"/>
      <c r="G744" s="334" t="n"/>
      <c r="H744" s="334" t="n"/>
      <c r="I744" s="334" t="n"/>
      <c r="J744" s="334" t="n"/>
      <c r="K744" s="334" t="n"/>
      <c r="L744" s="334" t="n"/>
      <c r="M744" s="334" t="n"/>
      <c r="N744" s="334" t="n"/>
      <c r="O744" s="334" t="n"/>
      <c r="P744" s="334" t="n"/>
      <c r="Q744" s="334" t="n"/>
      <c r="R744" s="334" t="n"/>
      <c r="S744" s="334" t="n"/>
      <c r="T744" s="334" t="n"/>
    </row>
    <row r="745">
      <c r="A745" s="334" t="n"/>
      <c r="B745" s="334" t="n"/>
      <c r="C745" s="334" t="n"/>
      <c r="D745" s="334" t="n"/>
      <c r="E745" s="334" t="n"/>
      <c r="F745" s="334" t="n"/>
      <c r="G745" s="334" t="n"/>
      <c r="H745" s="334" t="n"/>
      <c r="I745" s="334" t="n"/>
      <c r="J745" s="334" t="n"/>
      <c r="K745" s="334" t="n"/>
      <c r="L745" s="334" t="n"/>
      <c r="M745" s="334" t="n"/>
      <c r="N745" s="334" t="n"/>
      <c r="O745" s="334" t="n"/>
      <c r="P745" s="334" t="n"/>
      <c r="Q745" s="334" t="n"/>
      <c r="R745" s="334" t="n"/>
      <c r="S745" s="334" t="n"/>
      <c r="T745" s="334" t="n"/>
    </row>
    <row r="746">
      <c r="A746" s="334" t="n"/>
      <c r="B746" s="334" t="n"/>
      <c r="C746" s="334" t="n"/>
      <c r="D746" s="334" t="n"/>
      <c r="E746" s="334" t="n"/>
      <c r="F746" s="334" t="n"/>
      <c r="G746" s="334" t="n"/>
      <c r="H746" s="334" t="n"/>
      <c r="I746" s="334" t="n"/>
      <c r="J746" s="334" t="n"/>
      <c r="K746" s="334" t="n"/>
      <c r="L746" s="334" t="n"/>
      <c r="M746" s="334" t="n"/>
      <c r="N746" s="334" t="n"/>
      <c r="O746" s="334" t="n"/>
      <c r="P746" s="334" t="n"/>
      <c r="Q746" s="334" t="n"/>
      <c r="R746" s="334" t="n"/>
      <c r="S746" s="334" t="n"/>
      <c r="T746" s="334" t="n"/>
    </row>
    <row r="747">
      <c r="A747" s="334" t="n"/>
      <c r="B747" s="334" t="n"/>
      <c r="C747" s="334" t="n"/>
      <c r="D747" s="334" t="n"/>
      <c r="E747" s="334" t="n"/>
      <c r="F747" s="334" t="n"/>
      <c r="G747" s="334" t="n"/>
      <c r="H747" s="334" t="n"/>
      <c r="I747" s="334" t="n"/>
      <c r="J747" s="334" t="n"/>
      <c r="K747" s="334" t="n"/>
      <c r="L747" s="334" t="n"/>
      <c r="M747" s="334" t="n"/>
      <c r="N747" s="334" t="n"/>
      <c r="O747" s="334" t="n"/>
      <c r="P747" s="334" t="n"/>
      <c r="Q747" s="334" t="n"/>
      <c r="R747" s="334" t="n"/>
      <c r="S747" s="334" t="n"/>
      <c r="T747" s="334" t="n"/>
    </row>
    <row r="748">
      <c r="A748" s="334" t="n"/>
      <c r="B748" s="334" t="n"/>
      <c r="C748" s="334" t="n"/>
      <c r="D748" s="334" t="n"/>
      <c r="E748" s="334" t="n"/>
      <c r="F748" s="334" t="n"/>
      <c r="G748" s="334" t="n"/>
      <c r="H748" s="334" t="n"/>
      <c r="I748" s="334" t="n"/>
      <c r="J748" s="334" t="n"/>
      <c r="K748" s="334" t="n"/>
      <c r="L748" s="334" t="n"/>
      <c r="M748" s="334" t="n"/>
      <c r="N748" s="334" t="n"/>
      <c r="O748" s="334" t="n"/>
      <c r="P748" s="334" t="n"/>
      <c r="Q748" s="334" t="n"/>
      <c r="R748" s="334" t="n"/>
      <c r="S748" s="334" t="n"/>
      <c r="T748" s="334" t="n"/>
    </row>
    <row r="749">
      <c r="A749" s="334" t="n"/>
      <c r="B749" s="334" t="n"/>
      <c r="C749" s="334" t="n"/>
      <c r="D749" s="334" t="n"/>
      <c r="E749" s="334" t="n"/>
      <c r="F749" s="334" t="n"/>
      <c r="G749" s="334" t="n"/>
      <c r="H749" s="334" t="n"/>
      <c r="I749" s="334" t="n"/>
      <c r="J749" s="334" t="n"/>
      <c r="K749" s="334" t="n"/>
      <c r="L749" s="334" t="n"/>
      <c r="M749" s="334" t="n"/>
      <c r="N749" s="334" t="n"/>
      <c r="O749" s="334" t="n"/>
      <c r="P749" s="334" t="n"/>
      <c r="Q749" s="334" t="n"/>
      <c r="R749" s="334" t="n"/>
      <c r="S749" s="334" t="n"/>
      <c r="T749" s="334" t="n"/>
    </row>
    <row r="750">
      <c r="A750" s="334" t="n"/>
      <c r="B750" s="334" t="n"/>
      <c r="C750" s="334" t="n"/>
      <c r="D750" s="334" t="n"/>
      <c r="E750" s="334" t="n"/>
      <c r="F750" s="334" t="n"/>
      <c r="G750" s="334" t="n"/>
      <c r="H750" s="334" t="n"/>
      <c r="I750" s="334" t="n"/>
      <c r="J750" s="334" t="n"/>
      <c r="K750" s="334" t="n"/>
      <c r="L750" s="334" t="n"/>
      <c r="M750" s="334" t="n"/>
      <c r="N750" s="334" t="n"/>
      <c r="O750" s="334" t="n"/>
      <c r="P750" s="334" t="n"/>
      <c r="Q750" s="334" t="n"/>
      <c r="R750" s="334" t="n"/>
      <c r="S750" s="334" t="n"/>
      <c r="T750" s="334" t="n"/>
    </row>
    <row r="751">
      <c r="A751" s="334" t="n"/>
      <c r="B751" s="334" t="n"/>
      <c r="C751" s="334" t="n"/>
      <c r="D751" s="334" t="n"/>
      <c r="E751" s="334" t="n"/>
      <c r="F751" s="334" t="n"/>
      <c r="G751" s="334" t="n"/>
      <c r="H751" s="334" t="n"/>
      <c r="I751" s="334" t="n"/>
      <c r="J751" s="334" t="n"/>
      <c r="K751" s="334" t="n"/>
      <c r="L751" s="334" t="n"/>
      <c r="M751" s="334" t="n"/>
      <c r="N751" s="334" t="n"/>
      <c r="O751" s="334" t="n"/>
      <c r="P751" s="334" t="n"/>
      <c r="Q751" s="334" t="n"/>
      <c r="R751" s="334" t="n"/>
      <c r="S751" s="334" t="n"/>
      <c r="T751" s="334" t="n"/>
    </row>
    <row r="752">
      <c r="A752" s="334" t="n"/>
      <c r="B752" s="334" t="n"/>
      <c r="C752" s="334" t="n"/>
      <c r="D752" s="334" t="n"/>
      <c r="E752" s="334" t="n"/>
      <c r="F752" s="334" t="n"/>
      <c r="G752" s="334" t="n"/>
      <c r="H752" s="334" t="n"/>
      <c r="I752" s="334" t="n"/>
      <c r="J752" s="334" t="n"/>
      <c r="K752" s="334" t="n"/>
      <c r="L752" s="334" t="n"/>
      <c r="M752" s="334" t="n"/>
      <c r="N752" s="334" t="n"/>
      <c r="O752" s="334" t="n"/>
      <c r="P752" s="334" t="n"/>
      <c r="Q752" s="334" t="n"/>
      <c r="R752" s="334" t="n"/>
      <c r="S752" s="334" t="n"/>
      <c r="T752" s="334" t="n"/>
    </row>
    <row r="753">
      <c r="A753" s="334" t="n"/>
      <c r="B753" s="334" t="n"/>
      <c r="C753" s="334" t="n"/>
      <c r="D753" s="334" t="n"/>
      <c r="E753" s="334" t="n"/>
      <c r="F753" s="334" t="n"/>
      <c r="G753" s="334" t="n"/>
      <c r="H753" s="334" t="n"/>
      <c r="I753" s="334" t="n"/>
      <c r="J753" s="334" t="n"/>
      <c r="K753" s="334" t="n"/>
      <c r="L753" s="334" t="n"/>
      <c r="M753" s="334" t="n"/>
      <c r="N753" s="334" t="n"/>
      <c r="O753" s="334" t="n"/>
      <c r="P753" s="334" t="n"/>
      <c r="Q753" s="334" t="n"/>
      <c r="R753" s="334" t="n"/>
      <c r="S753" s="334" t="n"/>
      <c r="T753" s="334" t="n"/>
    </row>
    <row r="754">
      <c r="A754" s="334" t="n"/>
      <c r="B754" s="334" t="n"/>
      <c r="C754" s="334" t="n"/>
      <c r="D754" s="334" t="n"/>
      <c r="E754" s="334" t="n"/>
      <c r="F754" s="334" t="n"/>
      <c r="G754" s="334" t="n"/>
      <c r="H754" s="334" t="n"/>
      <c r="I754" s="334" t="n"/>
      <c r="J754" s="334" t="n"/>
      <c r="K754" s="334" t="n"/>
      <c r="L754" s="334" t="n"/>
      <c r="M754" s="334" t="n"/>
      <c r="N754" s="334" t="n"/>
      <c r="O754" s="334" t="n"/>
      <c r="P754" s="334" t="n"/>
      <c r="Q754" s="334" t="n"/>
      <c r="R754" s="334" t="n"/>
      <c r="S754" s="334" t="n"/>
      <c r="T754" s="334" t="n"/>
    </row>
    <row r="755">
      <c r="A755" s="334" t="n"/>
      <c r="B755" s="334" t="n"/>
      <c r="C755" s="334" t="n"/>
      <c r="D755" s="334" t="n"/>
      <c r="E755" s="334" t="n"/>
      <c r="F755" s="334" t="n"/>
      <c r="G755" s="334" t="n"/>
      <c r="H755" s="334" t="n"/>
      <c r="I755" s="334" t="n"/>
      <c r="J755" s="334" t="n"/>
      <c r="K755" s="334" t="n"/>
      <c r="L755" s="334" t="n"/>
      <c r="M755" s="334" t="n"/>
      <c r="N755" s="334" t="n"/>
      <c r="O755" s="334" t="n"/>
      <c r="P755" s="334" t="n"/>
      <c r="Q755" s="334" t="n"/>
      <c r="R755" s="334" t="n"/>
      <c r="S755" s="334" t="n"/>
      <c r="T755" s="334" t="n"/>
    </row>
    <row r="756">
      <c r="A756" s="334" t="n"/>
      <c r="B756" s="334" t="n"/>
      <c r="C756" s="334" t="n"/>
      <c r="D756" s="334" t="n"/>
      <c r="E756" s="334" t="n"/>
      <c r="F756" s="334" t="n"/>
      <c r="G756" s="334" t="n"/>
      <c r="H756" s="334" t="n"/>
      <c r="I756" s="334" t="n"/>
      <c r="J756" s="334" t="n"/>
      <c r="K756" s="334" t="n"/>
      <c r="L756" s="334" t="n"/>
      <c r="M756" s="334" t="n"/>
      <c r="N756" s="334" t="n"/>
      <c r="O756" s="334" t="n"/>
      <c r="P756" s="334" t="n"/>
      <c r="Q756" s="334" t="n"/>
      <c r="R756" s="334" t="n"/>
      <c r="S756" s="334" t="n"/>
      <c r="T756" s="334" t="n"/>
    </row>
    <row r="757">
      <c r="A757" s="334" t="n"/>
      <c r="B757" s="334" t="n"/>
      <c r="C757" s="334" t="n"/>
      <c r="D757" s="334" t="n"/>
      <c r="E757" s="334" t="n"/>
      <c r="F757" s="334" t="n"/>
      <c r="G757" s="334" t="n"/>
      <c r="H757" s="334" t="n"/>
      <c r="I757" s="334" t="n"/>
      <c r="J757" s="334" t="n"/>
      <c r="K757" s="334" t="n"/>
      <c r="L757" s="334" t="n"/>
      <c r="M757" s="334" t="n"/>
      <c r="N757" s="334" t="n"/>
      <c r="O757" s="334" t="n"/>
      <c r="P757" s="334" t="n"/>
      <c r="Q757" s="334" t="n"/>
      <c r="R757" s="334" t="n"/>
      <c r="S757" s="334" t="n"/>
      <c r="T757" s="334" t="n"/>
    </row>
    <row r="758">
      <c r="A758" s="334" t="n"/>
      <c r="B758" s="334" t="n"/>
      <c r="C758" s="334" t="n"/>
      <c r="D758" s="334" t="n"/>
      <c r="E758" s="334" t="n"/>
      <c r="F758" s="334" t="n"/>
      <c r="G758" s="334" t="n"/>
      <c r="H758" s="334" t="n"/>
      <c r="I758" s="334" t="n"/>
      <c r="J758" s="334" t="n"/>
      <c r="K758" s="334" t="n"/>
      <c r="L758" s="334" t="n"/>
      <c r="M758" s="334" t="n"/>
      <c r="N758" s="334" t="n"/>
      <c r="O758" s="334" t="n"/>
      <c r="P758" s="334" t="n"/>
      <c r="Q758" s="334" t="n"/>
      <c r="R758" s="334" t="n"/>
      <c r="S758" s="334" t="n"/>
      <c r="T758" s="334" t="n"/>
    </row>
    <row r="759">
      <c r="A759" s="334" t="n"/>
      <c r="B759" s="334" t="n"/>
      <c r="C759" s="334" t="n"/>
      <c r="D759" s="334" t="n"/>
      <c r="E759" s="334" t="n"/>
      <c r="F759" s="334" t="n"/>
      <c r="G759" s="334" t="n"/>
      <c r="H759" s="334" t="n"/>
      <c r="I759" s="334" t="n"/>
      <c r="J759" s="334" t="n"/>
      <c r="K759" s="334" t="n"/>
      <c r="L759" s="334" t="n"/>
      <c r="M759" s="334" t="n"/>
      <c r="N759" s="334" t="n"/>
      <c r="O759" s="334" t="n"/>
      <c r="P759" s="334" t="n"/>
      <c r="Q759" s="334" t="n"/>
      <c r="R759" s="334" t="n"/>
      <c r="S759" s="334" t="n"/>
      <c r="T759" s="334" t="n"/>
    </row>
    <row r="760">
      <c r="A760" s="334" t="n"/>
      <c r="B760" s="334" t="n"/>
      <c r="C760" s="334" t="n"/>
      <c r="D760" s="334" t="n"/>
      <c r="E760" s="334" t="n"/>
      <c r="F760" s="334" t="n"/>
      <c r="G760" s="334" t="n"/>
      <c r="H760" s="334" t="n"/>
      <c r="I760" s="334" t="n"/>
      <c r="J760" s="334" t="n"/>
      <c r="K760" s="334" t="n"/>
      <c r="L760" s="334" t="n"/>
      <c r="M760" s="334" t="n"/>
      <c r="N760" s="334" t="n"/>
      <c r="O760" s="334" t="n"/>
      <c r="P760" s="334" t="n"/>
      <c r="Q760" s="334" t="n"/>
      <c r="R760" s="334" t="n"/>
      <c r="S760" s="334" t="n"/>
      <c r="T760" s="334" t="n"/>
    </row>
    <row r="761">
      <c r="A761" s="334" t="n"/>
      <c r="B761" s="334" t="n"/>
      <c r="C761" s="334" t="n"/>
      <c r="D761" s="334" t="n"/>
      <c r="E761" s="334" t="n"/>
      <c r="F761" s="334" t="n"/>
      <c r="G761" s="334" t="n"/>
      <c r="H761" s="334" t="n"/>
      <c r="I761" s="334" t="n"/>
      <c r="J761" s="334" t="n"/>
      <c r="K761" s="334" t="n"/>
      <c r="L761" s="334" t="n"/>
      <c r="M761" s="334" t="n"/>
      <c r="N761" s="334" t="n"/>
      <c r="O761" s="334" t="n"/>
      <c r="P761" s="334" t="n"/>
      <c r="Q761" s="334" t="n"/>
      <c r="R761" s="334" t="n"/>
      <c r="S761" s="334" t="n"/>
      <c r="T761" s="334" t="n"/>
    </row>
    <row r="762">
      <c r="A762" s="334" t="n"/>
      <c r="B762" s="334" t="n"/>
      <c r="C762" s="334" t="n"/>
      <c r="D762" s="334" t="n"/>
      <c r="E762" s="334" t="n"/>
      <c r="F762" s="334" t="n"/>
      <c r="G762" s="334" t="n"/>
      <c r="H762" s="334" t="n"/>
      <c r="I762" s="334" t="n"/>
      <c r="J762" s="334" t="n"/>
      <c r="K762" s="334" t="n"/>
      <c r="L762" s="334" t="n"/>
      <c r="M762" s="334" t="n"/>
      <c r="N762" s="334" t="n"/>
      <c r="O762" s="334" t="n"/>
      <c r="P762" s="334" t="n"/>
      <c r="Q762" s="334" t="n"/>
      <c r="R762" s="334" t="n"/>
      <c r="S762" s="334" t="n"/>
      <c r="T762" s="334" t="n"/>
    </row>
    <row r="763">
      <c r="A763" s="334" t="n"/>
      <c r="B763" s="334" t="n"/>
      <c r="C763" s="334" t="n"/>
      <c r="D763" s="334" t="n"/>
      <c r="E763" s="334" t="n"/>
      <c r="F763" s="334" t="n"/>
      <c r="G763" s="334" t="n"/>
      <c r="H763" s="334" t="n"/>
      <c r="I763" s="334" t="n"/>
      <c r="J763" s="334" t="n"/>
      <c r="K763" s="334" t="n"/>
      <c r="L763" s="334" t="n"/>
      <c r="M763" s="334" t="n"/>
      <c r="N763" s="334" t="n"/>
      <c r="O763" s="334" t="n"/>
      <c r="P763" s="334" t="n"/>
      <c r="Q763" s="334" t="n"/>
      <c r="R763" s="334" t="n"/>
      <c r="S763" s="334" t="n"/>
      <c r="T763" s="334" t="n"/>
    </row>
    <row r="764">
      <c r="A764" s="334" t="n"/>
      <c r="B764" s="334" t="n"/>
      <c r="C764" s="334" t="n"/>
      <c r="D764" s="334" t="n"/>
      <c r="E764" s="334" t="n"/>
      <c r="F764" s="334" t="n"/>
      <c r="G764" s="334" t="n"/>
      <c r="H764" s="334" t="n"/>
      <c r="I764" s="334" t="n"/>
      <c r="J764" s="334" t="n"/>
      <c r="K764" s="334" t="n"/>
      <c r="L764" s="334" t="n"/>
      <c r="M764" s="334" t="n"/>
      <c r="N764" s="334" t="n"/>
      <c r="O764" s="334" t="n"/>
      <c r="P764" s="334" t="n"/>
      <c r="Q764" s="334" t="n"/>
      <c r="R764" s="334" t="n"/>
      <c r="S764" s="334" t="n"/>
      <c r="T764" s="334" t="n"/>
    </row>
    <row r="765">
      <c r="A765" s="334" t="n"/>
      <c r="B765" s="334" t="n"/>
      <c r="C765" s="334" t="n"/>
      <c r="D765" s="334" t="n"/>
      <c r="E765" s="334" t="n"/>
      <c r="F765" s="334" t="n"/>
      <c r="G765" s="334" t="n"/>
      <c r="H765" s="334" t="n"/>
      <c r="I765" s="334" t="n"/>
      <c r="J765" s="334" t="n"/>
      <c r="K765" s="334" t="n"/>
      <c r="L765" s="334" t="n"/>
      <c r="M765" s="334" t="n"/>
      <c r="N765" s="334" t="n"/>
      <c r="O765" s="334" t="n"/>
      <c r="P765" s="334" t="n"/>
      <c r="Q765" s="334" t="n"/>
      <c r="R765" s="334" t="n"/>
      <c r="S765" s="334" t="n"/>
      <c r="T765" s="334" t="n"/>
    </row>
    <row r="766">
      <c r="A766" s="334" t="n"/>
      <c r="B766" s="334" t="n"/>
      <c r="C766" s="334" t="n"/>
      <c r="D766" s="334" t="n"/>
      <c r="E766" s="334" t="n"/>
      <c r="F766" s="334" t="n"/>
      <c r="G766" s="334" t="n"/>
      <c r="H766" s="334" t="n"/>
      <c r="I766" s="334" t="n"/>
      <c r="J766" s="334" t="n"/>
      <c r="K766" s="334" t="n"/>
      <c r="L766" s="334" t="n"/>
      <c r="M766" s="334" t="n"/>
      <c r="N766" s="334" t="n"/>
      <c r="O766" s="334" t="n"/>
      <c r="P766" s="334" t="n"/>
      <c r="Q766" s="334" t="n"/>
      <c r="R766" s="334" t="n"/>
      <c r="S766" s="334" t="n"/>
      <c r="T766" s="334" t="n"/>
    </row>
    <row r="767">
      <c r="A767" s="334" t="n"/>
      <c r="B767" s="334" t="n"/>
      <c r="C767" s="334" t="n"/>
      <c r="D767" s="334" t="n"/>
      <c r="E767" s="334" t="n"/>
      <c r="F767" s="334" t="n"/>
      <c r="G767" s="334" t="n"/>
      <c r="H767" s="334" t="n"/>
      <c r="I767" s="334" t="n"/>
      <c r="J767" s="334" t="n"/>
      <c r="K767" s="334" t="n"/>
      <c r="L767" s="334" t="n"/>
      <c r="M767" s="334" t="n"/>
      <c r="N767" s="334" t="n"/>
      <c r="O767" s="334" t="n"/>
      <c r="P767" s="334" t="n"/>
      <c r="Q767" s="334" t="n"/>
      <c r="R767" s="334" t="n"/>
      <c r="S767" s="334" t="n"/>
      <c r="T767" s="334" t="n"/>
    </row>
    <row r="768">
      <c r="A768" s="334" t="n"/>
      <c r="B768" s="334" t="n"/>
      <c r="C768" s="334" t="n"/>
      <c r="D768" s="334" t="n"/>
      <c r="E768" s="334" t="n"/>
      <c r="F768" s="334" t="n"/>
      <c r="G768" s="334" t="n"/>
      <c r="H768" s="334" t="n"/>
      <c r="I768" s="334" t="n"/>
      <c r="J768" s="334" t="n"/>
      <c r="K768" s="334" t="n"/>
      <c r="L768" s="334" t="n"/>
      <c r="M768" s="334" t="n"/>
      <c r="N768" s="334" t="n"/>
      <c r="O768" s="334" t="n"/>
      <c r="P768" s="334" t="n"/>
      <c r="Q768" s="334" t="n"/>
      <c r="R768" s="334" t="n"/>
      <c r="S768" s="334" t="n"/>
      <c r="T768" s="334" t="n"/>
    </row>
    <row r="769">
      <c r="A769" s="334" t="n"/>
      <c r="B769" s="334" t="n"/>
      <c r="C769" s="334" t="n"/>
      <c r="D769" s="334" t="n"/>
      <c r="E769" s="334" t="n"/>
      <c r="F769" s="334" t="n"/>
      <c r="G769" s="334" t="n"/>
      <c r="H769" s="334" t="n"/>
      <c r="I769" s="334" t="n"/>
      <c r="J769" s="334" t="n"/>
      <c r="K769" s="334" t="n"/>
      <c r="L769" s="334" t="n"/>
      <c r="M769" s="334" t="n"/>
      <c r="N769" s="334" t="n"/>
      <c r="O769" s="334" t="n"/>
      <c r="P769" s="334" t="n"/>
      <c r="Q769" s="334" t="n"/>
      <c r="R769" s="334" t="n"/>
      <c r="S769" s="334" t="n"/>
      <c r="T769" s="334" t="n"/>
    </row>
    <row r="770">
      <c r="A770" s="334" t="n"/>
      <c r="B770" s="334" t="n"/>
      <c r="C770" s="334" t="n"/>
      <c r="D770" s="334" t="n"/>
      <c r="E770" s="334" t="n"/>
      <c r="F770" s="334" t="n"/>
      <c r="G770" s="334" t="n"/>
      <c r="H770" s="334" t="n"/>
      <c r="I770" s="334" t="n"/>
      <c r="J770" s="334" t="n"/>
      <c r="K770" s="334" t="n"/>
      <c r="L770" s="334" t="n"/>
      <c r="M770" s="334" t="n"/>
      <c r="N770" s="334" t="n"/>
      <c r="O770" s="334" t="n"/>
      <c r="P770" s="334" t="n"/>
      <c r="Q770" s="334" t="n"/>
      <c r="R770" s="334" t="n"/>
      <c r="S770" s="334" t="n"/>
      <c r="T770" s="334" t="n"/>
    </row>
    <row r="771">
      <c r="A771" s="334" t="n"/>
      <c r="B771" s="334" t="n"/>
      <c r="C771" s="334" t="n"/>
      <c r="D771" s="334" t="n"/>
      <c r="E771" s="334" t="n"/>
      <c r="F771" s="334" t="n"/>
      <c r="G771" s="334" t="n"/>
      <c r="H771" s="334" t="n"/>
      <c r="I771" s="334" t="n"/>
      <c r="J771" s="334" t="n"/>
      <c r="K771" s="334" t="n"/>
      <c r="L771" s="334" t="n"/>
      <c r="M771" s="334" t="n"/>
      <c r="N771" s="334" t="n"/>
      <c r="O771" s="334" t="n"/>
      <c r="P771" s="334" t="n"/>
      <c r="Q771" s="334" t="n"/>
      <c r="R771" s="334" t="n"/>
      <c r="S771" s="334" t="n"/>
      <c r="T771" s="334" t="n"/>
    </row>
    <row r="772">
      <c r="A772" s="334" t="n"/>
      <c r="B772" s="334" t="n"/>
      <c r="C772" s="334" t="n"/>
      <c r="D772" s="334" t="n"/>
      <c r="E772" s="334" t="n"/>
      <c r="F772" s="334" t="n"/>
      <c r="G772" s="334" t="n"/>
      <c r="H772" s="334" t="n"/>
      <c r="I772" s="334" t="n"/>
      <c r="J772" s="334" t="n"/>
      <c r="K772" s="334" t="n"/>
      <c r="L772" s="334" t="n"/>
      <c r="M772" s="334" t="n"/>
      <c r="N772" s="334" t="n"/>
      <c r="O772" s="334" t="n"/>
      <c r="P772" s="334" t="n"/>
      <c r="Q772" s="334" t="n"/>
      <c r="R772" s="334" t="n"/>
      <c r="S772" s="334" t="n"/>
      <c r="T772" s="334" t="n"/>
    </row>
    <row r="773">
      <c r="A773" s="334" t="n"/>
      <c r="B773" s="334" t="n"/>
      <c r="C773" s="334" t="n"/>
      <c r="D773" s="334" t="n"/>
      <c r="E773" s="334" t="n"/>
      <c r="F773" s="334" t="n"/>
      <c r="G773" s="334" t="n"/>
      <c r="H773" s="334" t="n"/>
      <c r="I773" s="334" t="n"/>
      <c r="J773" s="334" t="n"/>
      <c r="K773" s="334" t="n"/>
      <c r="L773" s="334" t="n"/>
      <c r="M773" s="334" t="n"/>
      <c r="N773" s="334" t="n"/>
      <c r="O773" s="334" t="n"/>
      <c r="P773" s="334" t="n"/>
      <c r="Q773" s="334" t="n"/>
      <c r="R773" s="334" t="n"/>
      <c r="S773" s="334" t="n"/>
      <c r="T773" s="334" t="n"/>
    </row>
    <row r="774">
      <c r="A774" s="334" t="n"/>
      <c r="B774" s="334" t="n"/>
      <c r="C774" s="334" t="n"/>
      <c r="D774" s="334" t="n"/>
      <c r="E774" s="334" t="n"/>
      <c r="F774" s="334" t="n"/>
      <c r="G774" s="334" t="n"/>
      <c r="H774" s="334" t="n"/>
      <c r="I774" s="334" t="n"/>
      <c r="J774" s="334" t="n"/>
      <c r="K774" s="334" t="n"/>
      <c r="L774" s="334" t="n"/>
      <c r="M774" s="334" t="n"/>
      <c r="N774" s="334" t="n"/>
      <c r="O774" s="334" t="n"/>
      <c r="P774" s="334" t="n"/>
      <c r="Q774" s="334" t="n"/>
      <c r="R774" s="334" t="n"/>
      <c r="S774" s="334" t="n"/>
      <c r="T774" s="334" t="n"/>
    </row>
    <row r="775">
      <c r="A775" s="334" t="n"/>
      <c r="B775" s="334" t="n"/>
      <c r="C775" s="334" t="n"/>
      <c r="D775" s="334" t="n"/>
      <c r="E775" s="334" t="n"/>
      <c r="F775" s="334" t="n"/>
      <c r="G775" s="334" t="n"/>
      <c r="H775" s="334" t="n"/>
      <c r="I775" s="334" t="n"/>
      <c r="J775" s="334" t="n"/>
      <c r="K775" s="334" t="n"/>
      <c r="L775" s="334" t="n"/>
      <c r="M775" s="334" t="n"/>
      <c r="N775" s="334" t="n"/>
      <c r="O775" s="334" t="n"/>
      <c r="P775" s="334" t="n"/>
      <c r="Q775" s="334" t="n"/>
      <c r="R775" s="334" t="n"/>
      <c r="S775" s="334" t="n"/>
      <c r="T775" s="334" t="n"/>
    </row>
    <row r="776">
      <c r="A776" s="334" t="n"/>
      <c r="B776" s="334" t="n"/>
      <c r="C776" s="334" t="n"/>
      <c r="D776" s="334" t="n"/>
      <c r="E776" s="334" t="n"/>
      <c r="F776" s="334" t="n"/>
      <c r="G776" s="334" t="n"/>
      <c r="H776" s="334" t="n"/>
      <c r="I776" s="334" t="n"/>
      <c r="J776" s="334" t="n"/>
      <c r="K776" s="334" t="n"/>
      <c r="L776" s="334" t="n"/>
      <c r="M776" s="334" t="n"/>
      <c r="N776" s="334" t="n"/>
      <c r="O776" s="334" t="n"/>
      <c r="P776" s="334" t="n"/>
      <c r="Q776" s="334" t="n"/>
      <c r="R776" s="334" t="n"/>
      <c r="S776" s="334" t="n"/>
      <c r="T776" s="334" t="n"/>
    </row>
    <row r="777">
      <c r="A777" s="334" t="n"/>
      <c r="B777" s="334" t="n"/>
      <c r="C777" s="334" t="n"/>
      <c r="D777" s="334" t="n"/>
      <c r="E777" s="334" t="n"/>
      <c r="F777" s="334" t="n"/>
      <c r="G777" s="334" t="n"/>
      <c r="H777" s="334" t="n"/>
      <c r="I777" s="334" t="n"/>
      <c r="J777" s="334" t="n"/>
      <c r="K777" s="334" t="n"/>
      <c r="L777" s="334" t="n"/>
      <c r="M777" s="334" t="n"/>
      <c r="N777" s="334" t="n"/>
      <c r="O777" s="334" t="n"/>
      <c r="P777" s="334" t="n"/>
      <c r="Q777" s="334" t="n"/>
      <c r="R777" s="334" t="n"/>
      <c r="S777" s="334" t="n"/>
      <c r="T777" s="334" t="n"/>
    </row>
    <row r="778">
      <c r="A778" s="334" t="n"/>
      <c r="B778" s="334" t="n"/>
      <c r="C778" s="334" t="n"/>
      <c r="D778" s="334" t="n"/>
      <c r="E778" s="334" t="n"/>
      <c r="F778" s="334" t="n"/>
      <c r="G778" s="334" t="n"/>
      <c r="H778" s="334" t="n"/>
      <c r="I778" s="334" t="n"/>
      <c r="J778" s="334" t="n"/>
      <c r="K778" s="334" t="n"/>
      <c r="L778" s="334" t="n"/>
      <c r="M778" s="334" t="n"/>
      <c r="N778" s="334" t="n"/>
      <c r="O778" s="334" t="n"/>
      <c r="P778" s="334" t="n"/>
      <c r="Q778" s="334" t="n"/>
      <c r="R778" s="334" t="n"/>
      <c r="S778" s="334" t="n"/>
      <c r="T778" s="334" t="n"/>
    </row>
    <row r="779">
      <c r="A779" s="334" t="n"/>
      <c r="B779" s="334" t="n"/>
      <c r="C779" s="334" t="n"/>
      <c r="D779" s="334" t="n"/>
      <c r="E779" s="334" t="n"/>
      <c r="F779" s="334" t="n"/>
      <c r="G779" s="334" t="n"/>
      <c r="H779" s="334" t="n"/>
      <c r="I779" s="334" t="n"/>
      <c r="J779" s="334" t="n"/>
      <c r="K779" s="334" t="n"/>
      <c r="L779" s="334" t="n"/>
      <c r="M779" s="334" t="n"/>
      <c r="N779" s="334" t="n"/>
      <c r="O779" s="334" t="n"/>
      <c r="P779" s="334" t="n"/>
      <c r="Q779" s="334" t="n"/>
      <c r="R779" s="334" t="n"/>
      <c r="S779" s="334" t="n"/>
      <c r="T779" s="334" t="n"/>
    </row>
    <row r="780">
      <c r="A780" s="334" t="n"/>
      <c r="B780" s="334" t="n"/>
      <c r="C780" s="334" t="n"/>
      <c r="D780" s="334" t="n"/>
      <c r="E780" s="334" t="n"/>
      <c r="F780" s="334" t="n"/>
      <c r="G780" s="334" t="n"/>
      <c r="H780" s="334" t="n"/>
      <c r="I780" s="334" t="n"/>
      <c r="J780" s="334" t="n"/>
      <c r="K780" s="334" t="n"/>
      <c r="L780" s="334" t="n"/>
      <c r="M780" s="334" t="n"/>
      <c r="N780" s="334" t="n"/>
      <c r="O780" s="334" t="n"/>
      <c r="P780" s="334" t="n"/>
      <c r="Q780" s="334" t="n"/>
      <c r="R780" s="334" t="n"/>
      <c r="S780" s="334" t="n"/>
      <c r="T780" s="334" t="n"/>
    </row>
    <row r="781">
      <c r="A781" s="334" t="n"/>
      <c r="B781" s="334" t="n"/>
      <c r="C781" s="334" t="n"/>
      <c r="D781" s="334" t="n"/>
      <c r="E781" s="334" t="n"/>
      <c r="F781" s="334" t="n"/>
      <c r="G781" s="334" t="n"/>
      <c r="H781" s="334" t="n"/>
      <c r="I781" s="334" t="n"/>
      <c r="J781" s="334" t="n"/>
      <c r="K781" s="334" t="n"/>
      <c r="L781" s="334" t="n"/>
      <c r="M781" s="334" t="n"/>
      <c r="N781" s="334" t="n"/>
      <c r="O781" s="334" t="n"/>
      <c r="P781" s="334" t="n"/>
      <c r="Q781" s="334" t="n"/>
      <c r="R781" s="334" t="n"/>
      <c r="S781" s="334" t="n"/>
      <c r="T781" s="334" t="n"/>
    </row>
    <row r="782">
      <c r="A782" s="334" t="n"/>
      <c r="B782" s="334" t="n"/>
      <c r="C782" s="334" t="n"/>
      <c r="D782" s="334" t="n"/>
      <c r="E782" s="334" t="n"/>
      <c r="F782" s="334" t="n"/>
      <c r="G782" s="334" t="n"/>
      <c r="H782" s="334" t="n"/>
      <c r="I782" s="334" t="n"/>
      <c r="J782" s="334" t="n"/>
      <c r="K782" s="334" t="n"/>
      <c r="L782" s="334" t="n"/>
      <c r="M782" s="334" t="n"/>
      <c r="N782" s="334" t="n"/>
      <c r="O782" s="334" t="n"/>
      <c r="P782" s="334" t="n"/>
      <c r="Q782" s="334" t="n"/>
      <c r="R782" s="334" t="n"/>
      <c r="S782" s="334" t="n"/>
      <c r="T782" s="334" t="n"/>
    </row>
    <row r="783">
      <c r="A783" s="334" t="n"/>
      <c r="B783" s="334" t="n"/>
      <c r="C783" s="334" t="n"/>
      <c r="D783" s="334" t="n"/>
      <c r="E783" s="334" t="n"/>
      <c r="F783" s="334" t="n"/>
      <c r="G783" s="334" t="n"/>
      <c r="H783" s="334" t="n"/>
      <c r="I783" s="334" t="n"/>
      <c r="J783" s="334" t="n"/>
      <c r="K783" s="334" t="n"/>
      <c r="L783" s="334" t="n"/>
      <c r="M783" s="334" t="n"/>
      <c r="N783" s="334" t="n"/>
      <c r="O783" s="334" t="n"/>
      <c r="P783" s="334" t="n"/>
      <c r="Q783" s="334" t="n"/>
      <c r="R783" s="334" t="n"/>
      <c r="S783" s="334" t="n"/>
      <c r="T783" s="334" t="n"/>
    </row>
    <row r="784">
      <c r="A784" s="334" t="n"/>
      <c r="B784" s="334" t="n"/>
      <c r="C784" s="334" t="n"/>
      <c r="D784" s="334" t="n"/>
      <c r="E784" s="334" t="n"/>
      <c r="F784" s="334" t="n"/>
      <c r="G784" s="334" t="n"/>
      <c r="H784" s="334" t="n"/>
      <c r="I784" s="334" t="n"/>
      <c r="J784" s="334" t="n"/>
      <c r="K784" s="334" t="n"/>
      <c r="L784" s="334" t="n"/>
      <c r="M784" s="334" t="n"/>
      <c r="N784" s="334" t="n"/>
      <c r="O784" s="334" t="n"/>
      <c r="P784" s="334" t="n"/>
      <c r="Q784" s="334" t="n"/>
      <c r="R784" s="334" t="n"/>
      <c r="S784" s="334" t="n"/>
      <c r="T784" s="334" t="n"/>
    </row>
    <row r="785">
      <c r="A785" s="334" t="n"/>
      <c r="B785" s="334" t="n"/>
      <c r="C785" s="334" t="n"/>
      <c r="D785" s="334" t="n"/>
      <c r="E785" s="334" t="n"/>
      <c r="F785" s="334" t="n"/>
      <c r="G785" s="334" t="n"/>
      <c r="H785" s="334" t="n"/>
      <c r="I785" s="334" t="n"/>
      <c r="J785" s="334" t="n"/>
      <c r="K785" s="334" t="n"/>
      <c r="L785" s="334" t="n"/>
      <c r="M785" s="334" t="n"/>
      <c r="N785" s="334" t="n"/>
      <c r="O785" s="334" t="n"/>
      <c r="P785" s="334" t="n"/>
      <c r="Q785" s="334" t="n"/>
      <c r="R785" s="334" t="n"/>
      <c r="S785" s="334" t="n"/>
      <c r="T785" s="334" t="n"/>
    </row>
    <row r="786">
      <c r="A786" s="334" t="n"/>
      <c r="B786" s="334" t="n"/>
      <c r="C786" s="334" t="n"/>
      <c r="D786" s="334" t="n"/>
      <c r="E786" s="334" t="n"/>
      <c r="F786" s="334" t="n"/>
      <c r="G786" s="334" t="n"/>
      <c r="H786" s="334" t="n"/>
      <c r="I786" s="334" t="n"/>
      <c r="J786" s="334" t="n"/>
      <c r="K786" s="334" t="n"/>
      <c r="L786" s="334" t="n"/>
      <c r="M786" s="334" t="n"/>
      <c r="N786" s="334" t="n"/>
      <c r="O786" s="334" t="n"/>
      <c r="P786" s="334" t="n"/>
      <c r="Q786" s="334" t="n"/>
      <c r="R786" s="334" t="n"/>
      <c r="S786" s="334" t="n"/>
      <c r="T786" s="334" t="n"/>
    </row>
    <row r="787">
      <c r="A787" s="334" t="n"/>
      <c r="B787" s="334" t="n"/>
      <c r="C787" s="334" t="n"/>
      <c r="D787" s="334" t="n"/>
      <c r="E787" s="334" t="n"/>
      <c r="F787" s="334" t="n"/>
      <c r="G787" s="334" t="n"/>
      <c r="H787" s="334" t="n"/>
      <c r="I787" s="334" t="n"/>
      <c r="J787" s="334" t="n"/>
      <c r="K787" s="334" t="n"/>
      <c r="L787" s="334" t="n"/>
      <c r="M787" s="334" t="n"/>
      <c r="N787" s="334" t="n"/>
      <c r="O787" s="334" t="n"/>
      <c r="P787" s="334" t="n"/>
      <c r="Q787" s="334" t="n"/>
      <c r="R787" s="334" t="n"/>
      <c r="S787" s="334" t="n"/>
      <c r="T787" s="334" t="n"/>
    </row>
    <row r="788">
      <c r="A788" s="334" t="n"/>
      <c r="B788" s="334" t="n"/>
      <c r="C788" s="334" t="n"/>
      <c r="D788" s="334" t="n"/>
      <c r="E788" s="334" t="n"/>
      <c r="F788" s="334" t="n"/>
      <c r="G788" s="334" t="n"/>
      <c r="H788" s="334" t="n"/>
      <c r="I788" s="334" t="n"/>
      <c r="J788" s="334" t="n"/>
      <c r="K788" s="334" t="n"/>
      <c r="L788" s="334" t="n"/>
      <c r="M788" s="334" t="n"/>
      <c r="N788" s="334" t="n"/>
      <c r="O788" s="334" t="n"/>
      <c r="P788" s="334" t="n"/>
      <c r="Q788" s="334" t="n"/>
      <c r="R788" s="334" t="n"/>
      <c r="S788" s="334" t="n"/>
      <c r="T788" s="334" t="n"/>
    </row>
    <row r="789">
      <c r="A789" s="334" t="n"/>
      <c r="B789" s="334" t="n"/>
      <c r="C789" s="334" t="n"/>
      <c r="D789" s="334" t="n"/>
      <c r="E789" s="334" t="n"/>
      <c r="F789" s="334" t="n"/>
      <c r="G789" s="334" t="n"/>
      <c r="H789" s="334" t="n"/>
      <c r="I789" s="334" t="n"/>
      <c r="J789" s="334" t="n"/>
      <c r="K789" s="334" t="n"/>
      <c r="L789" s="334" t="n"/>
      <c r="M789" s="334" t="n"/>
      <c r="N789" s="334" t="n"/>
      <c r="O789" s="334" t="n"/>
      <c r="P789" s="334" t="n"/>
      <c r="Q789" s="334" t="n"/>
      <c r="R789" s="334" t="n"/>
      <c r="S789" s="334" t="n"/>
      <c r="T789" s="334" t="n"/>
    </row>
    <row r="790">
      <c r="A790" s="334" t="n"/>
      <c r="B790" s="334" t="n"/>
      <c r="C790" s="334" t="n"/>
      <c r="D790" s="334" t="n"/>
      <c r="E790" s="334" t="n"/>
      <c r="F790" s="334" t="n"/>
      <c r="G790" s="334" t="n"/>
      <c r="H790" s="334" t="n"/>
      <c r="I790" s="334" t="n"/>
      <c r="J790" s="334" t="n"/>
      <c r="K790" s="334" t="n"/>
      <c r="L790" s="334" t="n"/>
      <c r="M790" s="334" t="n"/>
      <c r="N790" s="334" t="n"/>
      <c r="O790" s="334" t="n"/>
      <c r="P790" s="334" t="n"/>
      <c r="Q790" s="334" t="n"/>
      <c r="R790" s="334" t="n"/>
      <c r="S790" s="334" t="n"/>
      <c r="T790" s="334" t="n"/>
    </row>
    <row r="791">
      <c r="A791" s="334" t="n"/>
      <c r="B791" s="334" t="n"/>
      <c r="C791" s="334" t="n"/>
      <c r="D791" s="334" t="n"/>
      <c r="E791" s="334" t="n"/>
      <c r="F791" s="334" t="n"/>
      <c r="G791" s="334" t="n"/>
      <c r="H791" s="334" t="n"/>
      <c r="I791" s="334" t="n"/>
      <c r="J791" s="334" t="n"/>
      <c r="K791" s="334" t="n"/>
      <c r="L791" s="334" t="n"/>
      <c r="M791" s="334" t="n"/>
      <c r="N791" s="334" t="n"/>
      <c r="O791" s="334" t="n"/>
      <c r="P791" s="334" t="n"/>
      <c r="Q791" s="334" t="n"/>
      <c r="R791" s="334" t="n"/>
      <c r="S791" s="334" t="n"/>
      <c r="T791" s="334" t="n"/>
    </row>
    <row r="792">
      <c r="A792" s="334" t="n"/>
      <c r="B792" s="334" t="n"/>
      <c r="C792" s="334" t="n"/>
      <c r="D792" s="334" t="n"/>
      <c r="E792" s="334" t="n"/>
      <c r="F792" s="334" t="n"/>
      <c r="G792" s="334" t="n"/>
      <c r="H792" s="334" t="n"/>
      <c r="I792" s="334" t="n"/>
      <c r="J792" s="334" t="n"/>
      <c r="K792" s="334" t="n"/>
      <c r="L792" s="334" t="n"/>
      <c r="M792" s="334" t="n"/>
      <c r="N792" s="334" t="n"/>
      <c r="O792" s="334" t="n"/>
      <c r="P792" s="334" t="n"/>
      <c r="Q792" s="334" t="n"/>
      <c r="R792" s="334" t="n"/>
      <c r="S792" s="334" t="n"/>
      <c r="T792" s="334" t="n"/>
    </row>
    <row r="793">
      <c r="A793" s="334" t="n"/>
      <c r="B793" s="334" t="n"/>
      <c r="C793" s="334" t="n"/>
      <c r="D793" s="334" t="n"/>
      <c r="E793" s="334" t="n"/>
      <c r="F793" s="334" t="n"/>
      <c r="G793" s="334" t="n"/>
      <c r="H793" s="334" t="n"/>
      <c r="I793" s="334" t="n"/>
      <c r="J793" s="334" t="n"/>
      <c r="K793" s="334" t="n"/>
      <c r="L793" s="334" t="n"/>
      <c r="M793" s="334" t="n"/>
      <c r="N793" s="334" t="n"/>
      <c r="O793" s="334" t="n"/>
      <c r="P793" s="334" t="n"/>
      <c r="Q793" s="334" t="n"/>
      <c r="R793" s="334" t="n"/>
      <c r="S793" s="334" t="n"/>
      <c r="T793" s="334" t="n"/>
    </row>
    <row r="794">
      <c r="A794" s="334" t="n"/>
      <c r="B794" s="334" t="n"/>
      <c r="C794" s="334" t="n"/>
      <c r="D794" s="334" t="n"/>
      <c r="E794" s="334" t="n"/>
      <c r="F794" s="334" t="n"/>
      <c r="G794" s="334" t="n"/>
      <c r="H794" s="334" t="n"/>
      <c r="I794" s="334" t="n"/>
      <c r="J794" s="334" t="n"/>
      <c r="K794" s="334" t="n"/>
      <c r="L794" s="334" t="n"/>
      <c r="M794" s="334" t="n"/>
      <c r="N794" s="334" t="n"/>
      <c r="O794" s="334" t="n"/>
      <c r="P794" s="334" t="n"/>
      <c r="Q794" s="334" t="n"/>
      <c r="R794" s="334" t="n"/>
      <c r="S794" s="334" t="n"/>
      <c r="T794" s="334" t="n"/>
    </row>
    <row r="795">
      <c r="A795" s="334" t="n"/>
      <c r="B795" s="334" t="n"/>
      <c r="C795" s="334" t="n"/>
      <c r="D795" s="334" t="n"/>
      <c r="E795" s="334" t="n"/>
      <c r="F795" s="334" t="n"/>
      <c r="G795" s="334" t="n"/>
      <c r="H795" s="334" t="n"/>
      <c r="I795" s="334" t="n"/>
      <c r="J795" s="334" t="n"/>
      <c r="K795" s="334" t="n"/>
      <c r="L795" s="334" t="n"/>
      <c r="M795" s="334" t="n"/>
      <c r="N795" s="334" t="n"/>
      <c r="O795" s="334" t="n"/>
      <c r="P795" s="334" t="n"/>
      <c r="Q795" s="334" t="n"/>
      <c r="R795" s="334" t="n"/>
      <c r="S795" s="334" t="n"/>
      <c r="T795" s="334" t="n"/>
    </row>
    <row r="796">
      <c r="A796" s="334" t="n"/>
      <c r="B796" s="334" t="n"/>
      <c r="C796" s="334" t="n"/>
      <c r="D796" s="334" t="n"/>
      <c r="E796" s="334" t="n"/>
      <c r="F796" s="334" t="n"/>
      <c r="G796" s="334" t="n"/>
      <c r="H796" s="334" t="n"/>
      <c r="I796" s="334" t="n"/>
      <c r="J796" s="334" t="n"/>
      <c r="K796" s="334" t="n"/>
      <c r="L796" s="334" t="n"/>
      <c r="M796" s="334" t="n"/>
      <c r="N796" s="334" t="n"/>
      <c r="O796" s="334" t="n"/>
      <c r="P796" s="334" t="n"/>
      <c r="Q796" s="334" t="n"/>
      <c r="R796" s="334" t="n"/>
      <c r="S796" s="334" t="n"/>
      <c r="T796" s="334" t="n"/>
    </row>
    <row r="797">
      <c r="A797" s="334" t="n"/>
      <c r="B797" s="334" t="n"/>
      <c r="C797" s="334" t="n"/>
      <c r="D797" s="334" t="n"/>
      <c r="E797" s="334" t="n"/>
      <c r="F797" s="334" t="n"/>
      <c r="G797" s="334" t="n"/>
      <c r="H797" s="334" t="n"/>
      <c r="I797" s="334" t="n"/>
      <c r="J797" s="334" t="n"/>
      <c r="K797" s="334" t="n"/>
      <c r="L797" s="334" t="n"/>
      <c r="M797" s="334" t="n"/>
      <c r="N797" s="334" t="n"/>
      <c r="O797" s="334" t="n"/>
      <c r="P797" s="334" t="n"/>
      <c r="Q797" s="334" t="n"/>
      <c r="R797" s="334" t="n"/>
      <c r="S797" s="334" t="n"/>
      <c r="T797" s="334" t="n"/>
    </row>
    <row r="798">
      <c r="A798" s="334" t="n"/>
      <c r="B798" s="334" t="n"/>
      <c r="C798" s="334" t="n"/>
      <c r="D798" s="334" t="n"/>
      <c r="E798" s="334" t="n"/>
      <c r="F798" s="334" t="n"/>
      <c r="G798" s="334" t="n"/>
      <c r="H798" s="334" t="n"/>
      <c r="I798" s="334" t="n"/>
      <c r="J798" s="334" t="n"/>
      <c r="K798" s="334" t="n"/>
      <c r="L798" s="334" t="n"/>
      <c r="M798" s="334" t="n"/>
      <c r="N798" s="334" t="n"/>
      <c r="O798" s="334" t="n"/>
      <c r="P798" s="334" t="n"/>
      <c r="Q798" s="334" t="n"/>
      <c r="R798" s="334" t="n"/>
      <c r="S798" s="334" t="n"/>
      <c r="T798" s="334" t="n"/>
    </row>
    <row r="799">
      <c r="A799" s="334" t="n"/>
      <c r="B799" s="334" t="n"/>
      <c r="C799" s="334" t="n"/>
      <c r="D799" s="334" t="n"/>
      <c r="E799" s="334" t="n"/>
      <c r="F799" s="334" t="n"/>
      <c r="G799" s="334" t="n"/>
      <c r="H799" s="334" t="n"/>
      <c r="I799" s="334" t="n"/>
      <c r="J799" s="334" t="n"/>
      <c r="K799" s="334" t="n"/>
      <c r="L799" s="334" t="n"/>
      <c r="M799" s="334" t="n"/>
      <c r="N799" s="334" t="n"/>
      <c r="O799" s="334" t="n"/>
      <c r="P799" s="334" t="n"/>
      <c r="Q799" s="334" t="n"/>
      <c r="R799" s="334" t="n"/>
      <c r="S799" s="334" t="n"/>
      <c r="T799" s="334" t="n"/>
    </row>
    <row r="800">
      <c r="A800" s="334" t="n"/>
      <c r="B800" s="334" t="n"/>
      <c r="C800" s="334" t="n"/>
      <c r="D800" s="334" t="n"/>
      <c r="E800" s="334" t="n"/>
      <c r="F800" s="334" t="n"/>
      <c r="G800" s="334" t="n"/>
      <c r="H800" s="334" t="n"/>
      <c r="I800" s="334" t="n"/>
      <c r="J800" s="334" t="n"/>
      <c r="K800" s="334" t="n"/>
      <c r="L800" s="334" t="n"/>
      <c r="M800" s="334" t="n"/>
      <c r="N800" s="334" t="n"/>
      <c r="O800" s="334" t="n"/>
      <c r="P800" s="334" t="n"/>
      <c r="Q800" s="334" t="n"/>
      <c r="R800" s="334" t="n"/>
      <c r="S800" s="334" t="n"/>
      <c r="T800" s="334" t="n"/>
    </row>
    <row r="801">
      <c r="A801" s="334" t="n"/>
      <c r="B801" s="334" t="n"/>
      <c r="C801" s="334" t="n"/>
      <c r="D801" s="334" t="n"/>
      <c r="E801" s="334" t="n"/>
      <c r="F801" s="334" t="n"/>
      <c r="G801" s="334" t="n"/>
      <c r="H801" s="334" t="n"/>
      <c r="I801" s="334" t="n"/>
      <c r="J801" s="334" t="n"/>
      <c r="K801" s="334" t="n"/>
      <c r="L801" s="334" t="n"/>
      <c r="M801" s="334" t="n"/>
      <c r="N801" s="334" t="n"/>
      <c r="O801" s="334" t="n"/>
      <c r="P801" s="334" t="n"/>
      <c r="Q801" s="334" t="n"/>
      <c r="R801" s="334" t="n"/>
      <c r="S801" s="334" t="n"/>
      <c r="T801" s="334" t="n"/>
    </row>
    <row r="802">
      <c r="A802" s="334" t="n"/>
      <c r="B802" s="334" t="n"/>
      <c r="C802" s="334" t="n"/>
      <c r="D802" s="334" t="n"/>
      <c r="E802" s="334" t="n"/>
      <c r="F802" s="334" t="n"/>
      <c r="G802" s="334" t="n"/>
      <c r="H802" s="334" t="n"/>
      <c r="I802" s="334" t="n"/>
      <c r="J802" s="334" t="n"/>
      <c r="K802" s="334" t="n"/>
      <c r="L802" s="334" t="n"/>
      <c r="M802" s="334" t="n"/>
      <c r="N802" s="334" t="n"/>
      <c r="O802" s="334" t="n"/>
      <c r="P802" s="334" t="n"/>
      <c r="Q802" s="334" t="n"/>
      <c r="R802" s="334" t="n"/>
      <c r="S802" s="334" t="n"/>
      <c r="T802" s="334" t="n"/>
    </row>
    <row r="803">
      <c r="A803" s="334" t="n"/>
      <c r="B803" s="334" t="n"/>
      <c r="C803" s="334" t="n"/>
      <c r="D803" s="334" t="n"/>
      <c r="E803" s="334" t="n"/>
      <c r="F803" s="334" t="n"/>
      <c r="G803" s="334" t="n"/>
      <c r="H803" s="334" t="n"/>
      <c r="I803" s="334" t="n"/>
      <c r="J803" s="334" t="n"/>
      <c r="K803" s="334" t="n"/>
      <c r="L803" s="334" t="n"/>
      <c r="M803" s="334" t="n"/>
      <c r="N803" s="334" t="n"/>
      <c r="O803" s="334" t="n"/>
      <c r="P803" s="334" t="n"/>
      <c r="Q803" s="334" t="n"/>
      <c r="R803" s="334" t="n"/>
      <c r="S803" s="334" t="n"/>
      <c r="T803" s="334" t="n"/>
    </row>
    <row r="804">
      <c r="A804" s="334" t="n"/>
      <c r="B804" s="334" t="n"/>
      <c r="C804" s="334" t="n"/>
      <c r="D804" s="334" t="n"/>
      <c r="E804" s="334" t="n"/>
      <c r="F804" s="334" t="n"/>
      <c r="G804" s="334" t="n"/>
      <c r="H804" s="334" t="n"/>
      <c r="I804" s="334" t="n"/>
      <c r="J804" s="334" t="n"/>
      <c r="K804" s="334" t="n"/>
      <c r="L804" s="334" t="n"/>
      <c r="M804" s="334" t="n"/>
      <c r="N804" s="334" t="n"/>
      <c r="O804" s="334" t="n"/>
      <c r="P804" s="334" t="n"/>
      <c r="Q804" s="334" t="n"/>
      <c r="R804" s="334" t="n"/>
      <c r="S804" s="334" t="n"/>
      <c r="T804" s="334" t="n"/>
    </row>
    <row r="805">
      <c r="A805" s="334" t="n"/>
      <c r="B805" s="334" t="n"/>
      <c r="C805" s="334" t="n"/>
      <c r="D805" s="334" t="n"/>
      <c r="E805" s="334" t="n"/>
      <c r="F805" s="334" t="n"/>
      <c r="G805" s="334" t="n"/>
      <c r="H805" s="334" t="n"/>
      <c r="I805" s="334" t="n"/>
      <c r="J805" s="334" t="n"/>
      <c r="K805" s="334" t="n"/>
      <c r="L805" s="334" t="n"/>
      <c r="M805" s="334" t="n"/>
      <c r="N805" s="334" t="n"/>
      <c r="O805" s="334" t="n"/>
      <c r="P805" s="334" t="n"/>
      <c r="Q805" s="334" t="n"/>
      <c r="R805" s="334" t="n"/>
      <c r="S805" s="334" t="n"/>
      <c r="T805" s="334" t="n"/>
    </row>
    <row r="806">
      <c r="A806" s="334" t="n"/>
      <c r="B806" s="334" t="n"/>
      <c r="C806" s="334" t="n"/>
      <c r="D806" s="334" t="n"/>
      <c r="E806" s="334" t="n"/>
      <c r="F806" s="334" t="n"/>
      <c r="G806" s="334" t="n"/>
      <c r="H806" s="334" t="n"/>
      <c r="I806" s="334" t="n"/>
      <c r="J806" s="334" t="n"/>
      <c r="K806" s="334" t="n"/>
      <c r="L806" s="334" t="n"/>
      <c r="M806" s="334" t="n"/>
      <c r="N806" s="334" t="n"/>
      <c r="O806" s="334" t="n"/>
      <c r="P806" s="334" t="n"/>
      <c r="Q806" s="334" t="n"/>
      <c r="R806" s="334" t="n"/>
      <c r="S806" s="334" t="n"/>
      <c r="T806" s="334" t="n"/>
    </row>
    <row r="807">
      <c r="A807" s="334" t="n"/>
      <c r="B807" s="334" t="n"/>
      <c r="C807" s="334" t="n"/>
      <c r="D807" s="334" t="n"/>
      <c r="E807" s="334" t="n"/>
      <c r="F807" s="334" t="n"/>
      <c r="G807" s="334" t="n"/>
      <c r="H807" s="334" t="n"/>
      <c r="I807" s="334" t="n"/>
      <c r="J807" s="334" t="n"/>
      <c r="K807" s="334" t="n"/>
      <c r="L807" s="334" t="n"/>
      <c r="M807" s="334" t="n"/>
      <c r="N807" s="334" t="n"/>
      <c r="O807" s="334" t="n"/>
      <c r="P807" s="334" t="n"/>
      <c r="Q807" s="334" t="n"/>
      <c r="R807" s="334" t="n"/>
      <c r="S807" s="334" t="n"/>
      <c r="T807" s="334" t="n"/>
    </row>
    <row r="808">
      <c r="A808" s="334" t="n"/>
      <c r="B808" s="334" t="n"/>
      <c r="C808" s="334" t="n"/>
      <c r="D808" s="334" t="n"/>
      <c r="E808" s="334" t="n"/>
      <c r="F808" s="334" t="n"/>
      <c r="G808" s="334" t="n"/>
      <c r="H808" s="334" t="n"/>
      <c r="I808" s="334" t="n"/>
      <c r="J808" s="334" t="n"/>
      <c r="K808" s="334" t="n"/>
      <c r="L808" s="334" t="n"/>
      <c r="M808" s="334" t="n"/>
      <c r="N808" s="334" t="n"/>
      <c r="O808" s="334" t="n"/>
      <c r="P808" s="334" t="n"/>
      <c r="Q808" s="334" t="n"/>
      <c r="R808" s="334" t="n"/>
      <c r="S808" s="334" t="n"/>
      <c r="T808" s="334" t="n"/>
    </row>
    <row r="809">
      <c r="A809" s="334" t="n"/>
      <c r="B809" s="334" t="n"/>
      <c r="C809" s="334" t="n"/>
      <c r="D809" s="334" t="n"/>
      <c r="E809" s="334" t="n"/>
      <c r="F809" s="334" t="n"/>
      <c r="G809" s="334" t="n"/>
      <c r="H809" s="334" t="n"/>
      <c r="I809" s="334" t="n"/>
      <c r="J809" s="334" t="n"/>
      <c r="K809" s="334" t="n"/>
      <c r="L809" s="334" t="n"/>
      <c r="M809" s="334" t="n"/>
      <c r="N809" s="334" t="n"/>
      <c r="O809" s="334" t="n"/>
      <c r="P809" s="334" t="n"/>
      <c r="Q809" s="334" t="n"/>
      <c r="R809" s="334" t="n"/>
      <c r="S809" s="334" t="n"/>
      <c r="T809" s="334" t="n"/>
    </row>
    <row r="810">
      <c r="A810" s="334" t="n"/>
      <c r="B810" s="334" t="n"/>
      <c r="C810" s="334" t="n"/>
      <c r="D810" s="334" t="n"/>
      <c r="E810" s="334" t="n"/>
      <c r="F810" s="334" t="n"/>
      <c r="G810" s="334" t="n"/>
      <c r="H810" s="334" t="n"/>
      <c r="I810" s="334" t="n"/>
      <c r="J810" s="334" t="n"/>
      <c r="K810" s="334" t="n"/>
      <c r="L810" s="334" t="n"/>
      <c r="M810" s="334" t="n"/>
      <c r="N810" s="334" t="n"/>
      <c r="O810" s="334" t="n"/>
      <c r="P810" s="334" t="n"/>
      <c r="Q810" s="334" t="n"/>
      <c r="R810" s="334" t="n"/>
      <c r="S810" s="334" t="n"/>
      <c r="T810" s="334" t="n"/>
    </row>
    <row r="811">
      <c r="A811" s="334" t="n"/>
      <c r="B811" s="334" t="n"/>
      <c r="C811" s="334" t="n"/>
      <c r="D811" s="334" t="n"/>
      <c r="E811" s="334" t="n"/>
      <c r="F811" s="334" t="n"/>
      <c r="G811" s="334" t="n"/>
      <c r="H811" s="334" t="n"/>
      <c r="I811" s="334" t="n"/>
      <c r="J811" s="334" t="n"/>
      <c r="K811" s="334" t="n"/>
      <c r="L811" s="334" t="n"/>
      <c r="M811" s="334" t="n"/>
      <c r="N811" s="334" t="n"/>
      <c r="O811" s="334" t="n"/>
      <c r="P811" s="334" t="n"/>
      <c r="Q811" s="334" t="n"/>
      <c r="R811" s="334" t="n"/>
      <c r="S811" s="334" t="n"/>
      <c r="T811" s="334" t="n"/>
    </row>
    <row r="812">
      <c r="A812" s="334" t="n"/>
      <c r="B812" s="334" t="n"/>
      <c r="C812" s="334" t="n"/>
      <c r="D812" s="334" t="n"/>
      <c r="E812" s="334" t="n"/>
      <c r="F812" s="334" t="n"/>
      <c r="G812" s="334" t="n"/>
      <c r="H812" s="334" t="n"/>
      <c r="I812" s="334" t="n"/>
      <c r="J812" s="334" t="n"/>
      <c r="K812" s="334" t="n"/>
      <c r="L812" s="334" t="n"/>
      <c r="M812" s="334" t="n"/>
      <c r="N812" s="334" t="n"/>
      <c r="O812" s="334" t="n"/>
      <c r="P812" s="334" t="n"/>
      <c r="Q812" s="334" t="n"/>
      <c r="R812" s="334" t="n"/>
      <c r="S812" s="334" t="n"/>
      <c r="T812" s="334" t="n"/>
    </row>
    <row r="813">
      <c r="A813" s="334" t="n"/>
      <c r="B813" s="334" t="n"/>
      <c r="C813" s="334" t="n"/>
      <c r="D813" s="334" t="n"/>
      <c r="E813" s="334" t="n"/>
      <c r="F813" s="334" t="n"/>
      <c r="G813" s="334" t="n"/>
      <c r="H813" s="334" t="n"/>
      <c r="I813" s="334" t="n"/>
      <c r="J813" s="334" t="n"/>
      <c r="K813" s="334" t="n"/>
      <c r="L813" s="334" t="n"/>
      <c r="M813" s="334" t="n"/>
      <c r="N813" s="334" t="n"/>
      <c r="O813" s="334" t="n"/>
      <c r="P813" s="334" t="n"/>
      <c r="Q813" s="334" t="n"/>
      <c r="R813" s="334" t="n"/>
      <c r="S813" s="334" t="n"/>
      <c r="T813" s="334" t="n"/>
    </row>
    <row r="814">
      <c r="A814" s="334" t="n"/>
      <c r="B814" s="334" t="n"/>
      <c r="C814" s="334" t="n"/>
      <c r="D814" s="334" t="n"/>
      <c r="E814" s="334" t="n"/>
      <c r="F814" s="334" t="n"/>
      <c r="G814" s="334" t="n"/>
      <c r="H814" s="334" t="n"/>
      <c r="I814" s="334" t="n"/>
      <c r="J814" s="334" t="n"/>
      <c r="K814" s="334" t="n"/>
      <c r="L814" s="334" t="n"/>
      <c r="M814" s="334" t="n"/>
      <c r="N814" s="334" t="n"/>
      <c r="O814" s="334" t="n"/>
      <c r="P814" s="334" t="n"/>
      <c r="Q814" s="334" t="n"/>
      <c r="R814" s="334" t="n"/>
      <c r="S814" s="334" t="n"/>
      <c r="T814" s="334" t="n"/>
    </row>
    <row r="815">
      <c r="A815" s="334" t="n"/>
      <c r="B815" s="334" t="n"/>
      <c r="C815" s="334" t="n"/>
      <c r="D815" s="334" t="n"/>
      <c r="E815" s="334" t="n"/>
      <c r="F815" s="334" t="n"/>
      <c r="G815" s="334" t="n"/>
      <c r="H815" s="334" t="n"/>
      <c r="I815" s="334" t="n"/>
      <c r="J815" s="334" t="n"/>
      <c r="K815" s="334" t="n"/>
      <c r="L815" s="334" t="n"/>
      <c r="M815" s="334" t="n"/>
      <c r="N815" s="334" t="n"/>
      <c r="O815" s="334" t="n"/>
      <c r="P815" s="334" t="n"/>
      <c r="Q815" s="334" t="n"/>
      <c r="R815" s="334" t="n"/>
      <c r="S815" s="334" t="n"/>
      <c r="T815" s="334" t="n"/>
    </row>
    <row r="816">
      <c r="A816" s="334" t="n"/>
      <c r="B816" s="334" t="n"/>
      <c r="C816" s="334" t="n"/>
      <c r="D816" s="334" t="n"/>
      <c r="E816" s="334" t="n"/>
      <c r="F816" s="334" t="n"/>
      <c r="G816" s="334" t="n"/>
      <c r="H816" s="334" t="n"/>
      <c r="I816" s="334" t="n"/>
      <c r="J816" s="334" t="n"/>
      <c r="K816" s="334" t="n"/>
      <c r="L816" s="334" t="n"/>
      <c r="M816" s="334" t="n"/>
      <c r="N816" s="334" t="n"/>
      <c r="O816" s="334" t="n"/>
      <c r="P816" s="334" t="n"/>
      <c r="Q816" s="334" t="n"/>
      <c r="R816" s="334" t="n"/>
      <c r="S816" s="334" t="n"/>
      <c r="T816" s="334" t="n"/>
    </row>
    <row r="817">
      <c r="A817" s="334" t="n"/>
      <c r="B817" s="334" t="n"/>
      <c r="C817" s="334" t="n"/>
      <c r="D817" s="334" t="n"/>
      <c r="E817" s="334" t="n"/>
      <c r="F817" s="334" t="n"/>
      <c r="G817" s="334" t="n"/>
      <c r="H817" s="334" t="n"/>
      <c r="I817" s="334" t="n"/>
      <c r="J817" s="334" t="n"/>
      <c r="K817" s="334" t="n"/>
      <c r="L817" s="334" t="n"/>
      <c r="M817" s="334" t="n"/>
      <c r="N817" s="334" t="n"/>
      <c r="O817" s="334" t="n"/>
      <c r="P817" s="334" t="n"/>
      <c r="Q817" s="334" t="n"/>
      <c r="R817" s="334" t="n"/>
      <c r="S817" s="334" t="n"/>
      <c r="T817" s="334" t="n"/>
    </row>
    <row r="818">
      <c r="A818" s="334" t="n"/>
      <c r="B818" s="334" t="n"/>
      <c r="C818" s="334" t="n"/>
      <c r="D818" s="334" t="n"/>
      <c r="E818" s="334" t="n"/>
      <c r="F818" s="334" t="n"/>
      <c r="G818" s="334" t="n"/>
      <c r="H818" s="334" t="n"/>
      <c r="I818" s="334" t="n"/>
      <c r="J818" s="334" t="n"/>
      <c r="K818" s="334" t="n"/>
      <c r="L818" s="334" t="n"/>
      <c r="M818" s="334" t="n"/>
      <c r="N818" s="334" t="n"/>
      <c r="O818" s="334" t="n"/>
      <c r="P818" s="334" t="n"/>
      <c r="Q818" s="334" t="n"/>
      <c r="R818" s="334" t="n"/>
      <c r="S818" s="334" t="n"/>
      <c r="T818" s="334" t="n"/>
    </row>
    <row r="819">
      <c r="A819" s="334" t="n"/>
      <c r="B819" s="334" t="n"/>
      <c r="C819" s="334" t="n"/>
      <c r="D819" s="334" t="n"/>
      <c r="E819" s="334" t="n"/>
      <c r="F819" s="334" t="n"/>
      <c r="G819" s="334" t="n"/>
      <c r="H819" s="334" t="n"/>
      <c r="I819" s="334" t="n"/>
      <c r="J819" s="334" t="n"/>
      <c r="K819" s="334" t="n"/>
      <c r="L819" s="334" t="n"/>
      <c r="M819" s="334" t="n"/>
      <c r="N819" s="334" t="n"/>
      <c r="O819" s="334" t="n"/>
      <c r="P819" s="334" t="n"/>
      <c r="Q819" s="334" t="n"/>
      <c r="R819" s="334" t="n"/>
      <c r="S819" s="334" t="n"/>
      <c r="T819" s="334" t="n"/>
    </row>
    <row r="820">
      <c r="A820" s="334" t="n"/>
      <c r="B820" s="334" t="n"/>
      <c r="C820" s="334" t="n"/>
      <c r="D820" s="334" t="n"/>
      <c r="E820" s="334" t="n"/>
      <c r="F820" s="334" t="n"/>
      <c r="G820" s="334" t="n"/>
      <c r="H820" s="334" t="n"/>
      <c r="I820" s="334" t="n"/>
      <c r="J820" s="334" t="n"/>
      <c r="K820" s="334" t="n"/>
      <c r="L820" s="334" t="n"/>
      <c r="M820" s="334" t="n"/>
      <c r="N820" s="334" t="n"/>
      <c r="O820" s="334" t="n"/>
      <c r="P820" s="334" t="n"/>
      <c r="Q820" s="334" t="n"/>
      <c r="R820" s="334" t="n"/>
      <c r="S820" s="334" t="n"/>
      <c r="T820" s="334" t="n"/>
    </row>
    <row r="821">
      <c r="A821" s="334" t="n"/>
      <c r="B821" s="334" t="n"/>
      <c r="C821" s="334" t="n"/>
      <c r="D821" s="334" t="n"/>
      <c r="E821" s="334" t="n"/>
      <c r="F821" s="334" t="n"/>
      <c r="G821" s="334" t="n"/>
      <c r="H821" s="334" t="n"/>
      <c r="I821" s="334" t="n"/>
      <c r="J821" s="334" t="n"/>
      <c r="K821" s="334" t="n"/>
      <c r="L821" s="334" t="n"/>
      <c r="M821" s="334" t="n"/>
      <c r="N821" s="334" t="n"/>
      <c r="O821" s="334" t="n"/>
      <c r="P821" s="334" t="n"/>
      <c r="Q821" s="334" t="n"/>
      <c r="R821" s="334" t="n"/>
      <c r="S821" s="334" t="n"/>
      <c r="T821" s="334" t="n"/>
    </row>
    <row r="822">
      <c r="A822" s="334" t="n"/>
      <c r="B822" s="334" t="n"/>
      <c r="C822" s="334" t="n"/>
      <c r="D822" s="334" t="n"/>
      <c r="E822" s="334" t="n"/>
      <c r="F822" s="334" t="n"/>
      <c r="G822" s="334" t="n"/>
      <c r="H822" s="334" t="n"/>
      <c r="I822" s="334" t="n"/>
      <c r="J822" s="334" t="n"/>
      <c r="K822" s="334" t="n"/>
      <c r="L822" s="334" t="n"/>
      <c r="M822" s="334" t="n"/>
      <c r="N822" s="334" t="n"/>
      <c r="O822" s="334" t="n"/>
      <c r="P822" s="334" t="n"/>
      <c r="Q822" s="334" t="n"/>
      <c r="R822" s="334" t="n"/>
      <c r="S822" s="334" t="n"/>
      <c r="T822" s="334" t="n"/>
    </row>
    <row r="823">
      <c r="A823" s="334" t="n"/>
      <c r="B823" s="334" t="n"/>
      <c r="C823" s="334" t="n"/>
      <c r="D823" s="334" t="n"/>
      <c r="E823" s="334" t="n"/>
      <c r="F823" s="334" t="n"/>
      <c r="G823" s="334" t="n"/>
      <c r="H823" s="334" t="n"/>
      <c r="I823" s="334" t="n"/>
      <c r="J823" s="334" t="n"/>
      <c r="K823" s="334" t="n"/>
      <c r="L823" s="334" t="n"/>
      <c r="M823" s="334" t="n"/>
      <c r="N823" s="334" t="n"/>
      <c r="O823" s="334" t="n"/>
      <c r="P823" s="334" t="n"/>
      <c r="Q823" s="334" t="n"/>
      <c r="R823" s="334" t="n"/>
      <c r="S823" s="334" t="n"/>
      <c r="T823" s="334" t="n"/>
    </row>
    <row r="824">
      <c r="A824" s="334" t="n"/>
      <c r="B824" s="334" t="n"/>
      <c r="C824" s="334" t="n"/>
      <c r="D824" s="334" t="n"/>
      <c r="E824" s="334" t="n"/>
      <c r="F824" s="334" t="n"/>
      <c r="G824" s="334" t="n"/>
      <c r="H824" s="334" t="n"/>
      <c r="I824" s="334" t="n"/>
      <c r="J824" s="334" t="n"/>
      <c r="K824" s="334" t="n"/>
      <c r="L824" s="334" t="n"/>
      <c r="M824" s="334" t="n"/>
      <c r="N824" s="334" t="n"/>
      <c r="O824" s="334" t="n"/>
      <c r="P824" s="334" t="n"/>
      <c r="Q824" s="334" t="n"/>
      <c r="R824" s="334" t="n"/>
      <c r="S824" s="334" t="n"/>
      <c r="T824" s="334" t="n"/>
    </row>
    <row r="825">
      <c r="A825" s="334" t="n"/>
      <c r="B825" s="334" t="n"/>
      <c r="C825" s="334" t="n"/>
      <c r="D825" s="334" t="n"/>
      <c r="E825" s="334" t="n"/>
      <c r="F825" s="334" t="n"/>
      <c r="G825" s="334" t="n"/>
      <c r="H825" s="334" t="n"/>
      <c r="I825" s="334" t="n"/>
      <c r="J825" s="334" t="n"/>
      <c r="K825" s="334" t="n"/>
      <c r="L825" s="334" t="n"/>
      <c r="M825" s="334" t="n"/>
      <c r="N825" s="334" t="n"/>
      <c r="O825" s="334" t="n"/>
      <c r="P825" s="334" t="n"/>
      <c r="Q825" s="334" t="n"/>
      <c r="R825" s="334" t="n"/>
      <c r="S825" s="334" t="n"/>
      <c r="T825" s="334" t="n"/>
    </row>
    <row r="826">
      <c r="A826" s="334" t="n"/>
      <c r="B826" s="334" t="n"/>
      <c r="C826" s="334" t="n"/>
      <c r="D826" s="334" t="n"/>
      <c r="E826" s="334" t="n"/>
      <c r="F826" s="334" t="n"/>
      <c r="G826" s="334" t="n"/>
      <c r="H826" s="334" t="n"/>
      <c r="I826" s="334" t="n"/>
      <c r="J826" s="334" t="n"/>
      <c r="K826" s="334" t="n"/>
      <c r="L826" s="334" t="n"/>
      <c r="M826" s="334" t="n"/>
      <c r="N826" s="334" t="n"/>
      <c r="O826" s="334" t="n"/>
      <c r="P826" s="334" t="n"/>
      <c r="Q826" s="334" t="n"/>
      <c r="R826" s="334" t="n"/>
      <c r="S826" s="334" t="n"/>
      <c r="T826" s="334" t="n"/>
    </row>
    <row r="827">
      <c r="A827" s="334" t="n"/>
      <c r="B827" s="334" t="n"/>
      <c r="C827" s="334" t="n"/>
      <c r="D827" s="334" t="n"/>
      <c r="E827" s="334" t="n"/>
      <c r="F827" s="334" t="n"/>
      <c r="G827" s="334" t="n"/>
      <c r="H827" s="334" t="n"/>
      <c r="I827" s="334" t="n"/>
      <c r="J827" s="334" t="n"/>
      <c r="K827" s="334" t="n"/>
      <c r="L827" s="334" t="n"/>
      <c r="M827" s="334" t="n"/>
      <c r="N827" s="334" t="n"/>
      <c r="O827" s="334" t="n"/>
      <c r="P827" s="334" t="n"/>
      <c r="Q827" s="334" t="n"/>
      <c r="R827" s="334" t="n"/>
      <c r="S827" s="334" t="n"/>
      <c r="T827" s="334" t="n"/>
    </row>
    <row r="828">
      <c r="A828" s="334" t="n"/>
      <c r="B828" s="334" t="n"/>
      <c r="C828" s="334" t="n"/>
      <c r="D828" s="334" t="n"/>
      <c r="E828" s="334" t="n"/>
      <c r="F828" s="334" t="n"/>
      <c r="G828" s="334" t="n"/>
      <c r="H828" s="334" t="n"/>
      <c r="I828" s="334" t="n"/>
      <c r="J828" s="334" t="n"/>
      <c r="K828" s="334" t="n"/>
      <c r="L828" s="334" t="n"/>
      <c r="M828" s="334" t="n"/>
      <c r="N828" s="334" t="n"/>
      <c r="O828" s="334" t="n"/>
      <c r="P828" s="334" t="n"/>
      <c r="Q828" s="334" t="n"/>
      <c r="R828" s="334" t="n"/>
      <c r="S828" s="334" t="n"/>
      <c r="T828" s="334" t="n"/>
    </row>
    <row r="829">
      <c r="A829" s="334" t="n"/>
      <c r="B829" s="334" t="n"/>
      <c r="C829" s="334" t="n"/>
      <c r="D829" s="334" t="n"/>
      <c r="E829" s="334" t="n"/>
      <c r="F829" s="334" t="n"/>
      <c r="G829" s="334" t="n"/>
      <c r="H829" s="334" t="n"/>
      <c r="I829" s="334" t="n"/>
      <c r="J829" s="334" t="n"/>
      <c r="K829" s="334" t="n"/>
      <c r="L829" s="334" t="n"/>
      <c r="M829" s="334" t="n"/>
      <c r="N829" s="334" t="n"/>
      <c r="O829" s="334" t="n"/>
      <c r="P829" s="334" t="n"/>
      <c r="Q829" s="334" t="n"/>
      <c r="R829" s="334" t="n"/>
      <c r="S829" s="334" t="n"/>
      <c r="T829" s="334" t="n"/>
    </row>
    <row r="830">
      <c r="A830" s="334" t="n"/>
      <c r="B830" s="334" t="n"/>
      <c r="C830" s="334" t="n"/>
      <c r="D830" s="334" t="n"/>
      <c r="E830" s="334" t="n"/>
      <c r="F830" s="334" t="n"/>
      <c r="G830" s="334" t="n"/>
      <c r="H830" s="334" t="n"/>
      <c r="I830" s="334" t="n"/>
      <c r="J830" s="334" t="n"/>
      <c r="K830" s="334" t="n"/>
      <c r="L830" s="334" t="n"/>
      <c r="M830" s="334" t="n"/>
      <c r="N830" s="334" t="n"/>
      <c r="O830" s="334" t="n"/>
      <c r="P830" s="334" t="n"/>
      <c r="Q830" s="334" t="n"/>
      <c r="R830" s="334" t="n"/>
      <c r="S830" s="334" t="n"/>
      <c r="T830" s="334" t="n"/>
    </row>
    <row r="831">
      <c r="A831" s="334" t="n"/>
      <c r="B831" s="334" t="n"/>
      <c r="C831" s="334" t="n"/>
      <c r="D831" s="334" t="n"/>
      <c r="E831" s="334" t="n"/>
      <c r="F831" s="334" t="n"/>
      <c r="G831" s="334" t="n"/>
      <c r="H831" s="334" t="n"/>
      <c r="I831" s="334" t="n"/>
      <c r="J831" s="334" t="n"/>
      <c r="K831" s="334" t="n"/>
      <c r="L831" s="334" t="n"/>
      <c r="M831" s="334" t="n"/>
      <c r="N831" s="334" t="n"/>
      <c r="O831" s="334" t="n"/>
      <c r="P831" s="334" t="n"/>
      <c r="Q831" s="334" t="n"/>
      <c r="R831" s="334" t="n"/>
      <c r="S831" s="334" t="n"/>
      <c r="T831" s="334" t="n"/>
    </row>
    <row r="832">
      <c r="A832" s="334" t="n"/>
      <c r="B832" s="334" t="n"/>
      <c r="C832" s="334" t="n"/>
      <c r="D832" s="334" t="n"/>
      <c r="E832" s="334" t="n"/>
      <c r="F832" s="334" t="n"/>
      <c r="G832" s="334" t="n"/>
      <c r="H832" s="334" t="n"/>
      <c r="I832" s="334" t="n"/>
      <c r="J832" s="334" t="n"/>
      <c r="K832" s="334" t="n"/>
      <c r="L832" s="334" t="n"/>
      <c r="M832" s="334" t="n"/>
      <c r="N832" s="334" t="n"/>
      <c r="O832" s="334" t="n"/>
      <c r="P832" s="334" t="n"/>
      <c r="Q832" s="334" t="n"/>
      <c r="R832" s="334" t="n"/>
      <c r="S832" s="334" t="n"/>
      <c r="T832" s="334" t="n"/>
    </row>
    <row r="833">
      <c r="A833" s="334" t="n"/>
      <c r="B833" s="334" t="n"/>
      <c r="C833" s="334" t="n"/>
      <c r="D833" s="334" t="n"/>
      <c r="E833" s="334" t="n"/>
      <c r="F833" s="334" t="n"/>
      <c r="G833" s="334" t="n"/>
      <c r="H833" s="334" t="n"/>
      <c r="I833" s="334" t="n"/>
      <c r="J833" s="334" t="n"/>
      <c r="K833" s="334" t="n"/>
      <c r="L833" s="334" t="n"/>
      <c r="M833" s="334" t="n"/>
      <c r="N833" s="334" t="n"/>
      <c r="O833" s="334" t="n"/>
      <c r="P833" s="334" t="n"/>
      <c r="Q833" s="334" t="n"/>
      <c r="R833" s="334" t="n"/>
      <c r="S833" s="334" t="n"/>
      <c r="T833" s="334" t="n"/>
    </row>
    <row r="834">
      <c r="A834" s="334" t="n"/>
      <c r="B834" s="334" t="n"/>
      <c r="C834" s="334" t="n"/>
      <c r="D834" s="334" t="n"/>
      <c r="E834" s="334" t="n"/>
      <c r="F834" s="334" t="n"/>
      <c r="G834" s="334" t="n"/>
      <c r="H834" s="334" t="n"/>
      <c r="I834" s="334" t="n"/>
      <c r="J834" s="334" t="n"/>
      <c r="K834" s="334" t="n"/>
      <c r="L834" s="334" t="n"/>
      <c r="M834" s="334" t="n"/>
      <c r="N834" s="334" t="n"/>
      <c r="O834" s="334" t="n"/>
      <c r="P834" s="334" t="n"/>
      <c r="Q834" s="334" t="n"/>
      <c r="R834" s="334" t="n"/>
      <c r="S834" s="334" t="n"/>
      <c r="T834" s="334" t="n"/>
    </row>
    <row r="835">
      <c r="A835" s="334" t="n"/>
      <c r="B835" s="334" t="n"/>
      <c r="C835" s="334" t="n"/>
      <c r="D835" s="334" t="n"/>
      <c r="E835" s="334" t="n"/>
      <c r="F835" s="334" t="n"/>
      <c r="G835" s="334" t="n"/>
      <c r="H835" s="334" t="n"/>
      <c r="I835" s="334" t="n"/>
      <c r="J835" s="334" t="n"/>
      <c r="K835" s="334" t="n"/>
      <c r="L835" s="334" t="n"/>
      <c r="M835" s="334" t="n"/>
      <c r="N835" s="334" t="n"/>
      <c r="O835" s="334" t="n"/>
      <c r="P835" s="334" t="n"/>
      <c r="Q835" s="334" t="n"/>
      <c r="R835" s="334" t="n"/>
      <c r="S835" s="334" t="n"/>
      <c r="T835" s="334" t="n"/>
    </row>
    <row r="836">
      <c r="A836" s="334" t="n"/>
      <c r="B836" s="334" t="n"/>
      <c r="C836" s="334" t="n"/>
      <c r="D836" s="334" t="n"/>
      <c r="E836" s="334" t="n"/>
      <c r="F836" s="334" t="n"/>
      <c r="G836" s="334" t="n"/>
      <c r="H836" s="334" t="n"/>
      <c r="I836" s="334" t="n"/>
      <c r="J836" s="334" t="n"/>
      <c r="K836" s="334" t="n"/>
      <c r="L836" s="334" t="n"/>
      <c r="M836" s="334" t="n"/>
      <c r="N836" s="334" t="n"/>
      <c r="O836" s="334" t="n"/>
      <c r="P836" s="334" t="n"/>
      <c r="Q836" s="334" t="n"/>
      <c r="R836" s="334" t="n"/>
      <c r="S836" s="334" t="n"/>
      <c r="T836" s="334" t="n"/>
    </row>
    <row r="837">
      <c r="A837" s="334" t="n"/>
      <c r="B837" s="334" t="n"/>
      <c r="C837" s="334" t="n"/>
      <c r="D837" s="334" t="n"/>
      <c r="E837" s="334" t="n"/>
      <c r="F837" s="334" t="n"/>
      <c r="G837" s="334" t="n"/>
      <c r="H837" s="334" t="n"/>
      <c r="I837" s="334" t="n"/>
      <c r="J837" s="334" t="n"/>
      <c r="K837" s="334" t="n"/>
      <c r="L837" s="334" t="n"/>
      <c r="M837" s="334" t="n"/>
      <c r="N837" s="334" t="n"/>
      <c r="O837" s="334" t="n"/>
      <c r="P837" s="334" t="n"/>
      <c r="Q837" s="334" t="n"/>
      <c r="R837" s="334" t="n"/>
      <c r="S837" s="334" t="n"/>
      <c r="T837" s="334" t="n"/>
    </row>
    <row r="838">
      <c r="A838" s="334" t="n"/>
      <c r="B838" s="334" t="n"/>
      <c r="C838" s="334" t="n"/>
      <c r="D838" s="334" t="n"/>
      <c r="E838" s="334" t="n"/>
      <c r="F838" s="334" t="n"/>
      <c r="G838" s="334" t="n"/>
      <c r="H838" s="334" t="n"/>
      <c r="I838" s="334" t="n"/>
      <c r="J838" s="334" t="n"/>
      <c r="K838" s="334" t="n"/>
      <c r="L838" s="334" t="n"/>
      <c r="M838" s="334" t="n"/>
      <c r="N838" s="334" t="n"/>
      <c r="O838" s="334" t="n"/>
      <c r="P838" s="334" t="n"/>
      <c r="Q838" s="334" t="n"/>
      <c r="R838" s="334" t="n"/>
      <c r="S838" s="334" t="n"/>
      <c r="T838" s="334" t="n"/>
    </row>
    <row r="839">
      <c r="A839" s="334" t="n"/>
      <c r="B839" s="334" t="n"/>
      <c r="C839" s="334" t="n"/>
      <c r="D839" s="334" t="n"/>
      <c r="E839" s="334" t="n"/>
      <c r="F839" s="334" t="n"/>
      <c r="G839" s="334" t="n"/>
      <c r="H839" s="334" t="n"/>
      <c r="I839" s="334" t="n"/>
      <c r="J839" s="334" t="n"/>
      <c r="K839" s="334" t="n"/>
      <c r="L839" s="334" t="n"/>
      <c r="M839" s="334" t="n"/>
      <c r="N839" s="334" t="n"/>
      <c r="O839" s="334" t="n"/>
      <c r="P839" s="334" t="n"/>
      <c r="Q839" s="334" t="n"/>
      <c r="R839" s="334" t="n"/>
      <c r="S839" s="334" t="n"/>
      <c r="T839" s="334" t="n"/>
    </row>
    <row r="840">
      <c r="A840" s="334" t="n"/>
      <c r="B840" s="334" t="n"/>
      <c r="C840" s="334" t="n"/>
      <c r="D840" s="334" t="n"/>
      <c r="E840" s="334" t="n"/>
      <c r="F840" s="334" t="n"/>
      <c r="G840" s="334" t="n"/>
      <c r="H840" s="334" t="n"/>
      <c r="I840" s="334" t="n"/>
      <c r="J840" s="334" t="n"/>
      <c r="K840" s="334" t="n"/>
      <c r="L840" s="334" t="n"/>
      <c r="M840" s="334" t="n"/>
      <c r="N840" s="334" t="n"/>
      <c r="O840" s="334" t="n"/>
      <c r="P840" s="334" t="n"/>
      <c r="Q840" s="334" t="n"/>
      <c r="R840" s="334" t="n"/>
      <c r="S840" s="334" t="n"/>
      <c r="T840" s="334" t="n"/>
    </row>
    <row r="841">
      <c r="A841" s="334" t="n"/>
      <c r="B841" s="334" t="n"/>
      <c r="C841" s="334" t="n"/>
      <c r="D841" s="334" t="n"/>
      <c r="E841" s="334" t="n"/>
      <c r="F841" s="334" t="n"/>
      <c r="G841" s="334" t="n"/>
      <c r="H841" s="334" t="n"/>
      <c r="I841" s="334" t="n"/>
      <c r="J841" s="334" t="n"/>
      <c r="K841" s="334" t="n"/>
      <c r="L841" s="334" t="n"/>
      <c r="M841" s="334" t="n"/>
      <c r="N841" s="334" t="n"/>
      <c r="O841" s="334" t="n"/>
      <c r="P841" s="334" t="n"/>
      <c r="Q841" s="334" t="n"/>
      <c r="R841" s="334" t="n"/>
      <c r="S841" s="334" t="n"/>
      <c r="T841" s="334" t="n"/>
    </row>
    <row r="842">
      <c r="A842" s="334" t="n"/>
      <c r="B842" s="334" t="n"/>
      <c r="C842" s="334" t="n"/>
      <c r="D842" s="334" t="n"/>
      <c r="E842" s="334" t="n"/>
      <c r="F842" s="334" t="n"/>
      <c r="G842" s="334" t="n"/>
      <c r="H842" s="334" t="n"/>
      <c r="I842" s="334" t="n"/>
      <c r="J842" s="334" t="n"/>
      <c r="K842" s="334" t="n"/>
      <c r="L842" s="334" t="n"/>
      <c r="M842" s="334" t="n"/>
      <c r="N842" s="334" t="n"/>
      <c r="O842" s="334" t="n"/>
      <c r="P842" s="334" t="n"/>
      <c r="Q842" s="334" t="n"/>
      <c r="R842" s="334" t="n"/>
      <c r="S842" s="334" t="n"/>
      <c r="T842" s="334" t="n"/>
    </row>
    <row r="843">
      <c r="A843" s="334" t="n"/>
      <c r="B843" s="334" t="n"/>
      <c r="C843" s="334" t="n"/>
      <c r="D843" s="334" t="n"/>
      <c r="E843" s="334" t="n"/>
      <c r="F843" s="334" t="n"/>
      <c r="G843" s="334" t="n"/>
      <c r="H843" s="334" t="n"/>
      <c r="I843" s="334" t="n"/>
      <c r="J843" s="334" t="n"/>
      <c r="K843" s="334" t="n"/>
      <c r="L843" s="334" t="n"/>
      <c r="M843" s="334" t="n"/>
      <c r="N843" s="334" t="n"/>
      <c r="O843" s="334" t="n"/>
      <c r="P843" s="334" t="n"/>
      <c r="Q843" s="334" t="n"/>
      <c r="R843" s="334" t="n"/>
      <c r="S843" s="334" t="n"/>
      <c r="T843" s="334" t="n"/>
    </row>
    <row r="844">
      <c r="A844" s="334" t="n"/>
      <c r="B844" s="334" t="n"/>
      <c r="C844" s="334" t="n"/>
      <c r="D844" s="334" t="n"/>
      <c r="E844" s="334" t="n"/>
      <c r="F844" s="334" t="n"/>
      <c r="G844" s="334" t="n"/>
      <c r="H844" s="334" t="n"/>
      <c r="I844" s="334" t="n"/>
      <c r="J844" s="334" t="n"/>
      <c r="K844" s="334" t="n"/>
      <c r="L844" s="334" t="n"/>
      <c r="M844" s="334" t="n"/>
      <c r="N844" s="334" t="n"/>
      <c r="O844" s="334" t="n"/>
      <c r="P844" s="334" t="n"/>
      <c r="Q844" s="334" t="n"/>
      <c r="R844" s="334" t="n"/>
      <c r="S844" s="334" t="n"/>
      <c r="T844" s="334" t="n"/>
    </row>
    <row r="845">
      <c r="A845" s="334" t="n"/>
      <c r="B845" s="334" t="n"/>
      <c r="C845" s="334" t="n"/>
      <c r="D845" s="334" t="n"/>
      <c r="E845" s="334" t="n"/>
      <c r="F845" s="334" t="n"/>
      <c r="G845" s="334" t="n"/>
      <c r="H845" s="334" t="n"/>
      <c r="I845" s="334" t="n"/>
      <c r="J845" s="334" t="n"/>
      <c r="K845" s="334" t="n"/>
      <c r="L845" s="334" t="n"/>
      <c r="M845" s="334" t="n"/>
      <c r="N845" s="334" t="n"/>
      <c r="O845" s="334" t="n"/>
      <c r="P845" s="334" t="n"/>
      <c r="Q845" s="334" t="n"/>
      <c r="R845" s="334" t="n"/>
      <c r="S845" s="334" t="n"/>
      <c r="T845" s="334" t="n"/>
    </row>
    <row r="846">
      <c r="A846" s="334" t="n"/>
      <c r="B846" s="334" t="n"/>
      <c r="C846" s="334" t="n"/>
      <c r="D846" s="334" t="n"/>
      <c r="E846" s="334" t="n"/>
      <c r="F846" s="334" t="n"/>
      <c r="G846" s="334" t="n"/>
      <c r="H846" s="334" t="n"/>
      <c r="I846" s="334" t="n"/>
      <c r="J846" s="334" t="n"/>
      <c r="K846" s="334" t="n"/>
      <c r="L846" s="334" t="n"/>
      <c r="M846" s="334" t="n"/>
      <c r="N846" s="334" t="n"/>
      <c r="O846" s="334" t="n"/>
      <c r="P846" s="334" t="n"/>
      <c r="Q846" s="334" t="n"/>
      <c r="R846" s="334" t="n"/>
      <c r="S846" s="334" t="n"/>
      <c r="T846" s="334" t="n"/>
    </row>
    <row r="847">
      <c r="A847" s="334" t="n"/>
      <c r="B847" s="334" t="n"/>
      <c r="C847" s="334" t="n"/>
      <c r="D847" s="334" t="n"/>
      <c r="E847" s="334" t="n"/>
      <c r="F847" s="334" t="n"/>
      <c r="G847" s="334" t="n"/>
      <c r="H847" s="334" t="n"/>
      <c r="I847" s="334" t="n"/>
      <c r="J847" s="334" t="n"/>
      <c r="K847" s="334" t="n"/>
      <c r="L847" s="334" t="n"/>
      <c r="M847" s="334" t="n"/>
      <c r="N847" s="334" t="n"/>
      <c r="O847" s="334" t="n"/>
      <c r="P847" s="334" t="n"/>
      <c r="Q847" s="334" t="n"/>
      <c r="R847" s="334" t="n"/>
      <c r="S847" s="334" t="n"/>
      <c r="T847" s="334" t="n"/>
    </row>
    <row r="848">
      <c r="A848" s="334" t="n"/>
      <c r="B848" s="334" t="n"/>
      <c r="C848" s="334" t="n"/>
      <c r="D848" s="334" t="n"/>
      <c r="E848" s="334" t="n"/>
      <c r="F848" s="334" t="n"/>
      <c r="G848" s="334" t="n"/>
      <c r="H848" s="334" t="n"/>
      <c r="I848" s="334" t="n"/>
      <c r="J848" s="334" t="n"/>
      <c r="K848" s="334" t="n"/>
      <c r="L848" s="334" t="n"/>
      <c r="M848" s="334" t="n"/>
      <c r="N848" s="334" t="n"/>
      <c r="O848" s="334" t="n"/>
      <c r="P848" s="334" t="n"/>
      <c r="Q848" s="334" t="n"/>
      <c r="R848" s="334" t="n"/>
      <c r="S848" s="334" t="n"/>
      <c r="T848" s="334" t="n"/>
    </row>
    <row r="849">
      <c r="A849" s="334" t="n"/>
      <c r="B849" s="334" t="n"/>
      <c r="C849" s="334" t="n"/>
      <c r="D849" s="334" t="n"/>
      <c r="E849" s="334" t="n"/>
      <c r="F849" s="334" t="n"/>
      <c r="G849" s="334" t="n"/>
      <c r="H849" s="334" t="n"/>
      <c r="I849" s="334" t="n"/>
      <c r="J849" s="334" t="n"/>
      <c r="K849" s="334" t="n"/>
      <c r="L849" s="334" t="n"/>
      <c r="M849" s="334" t="n"/>
      <c r="N849" s="334" t="n"/>
      <c r="O849" s="334" t="n"/>
      <c r="P849" s="334" t="n"/>
      <c r="Q849" s="334" t="n"/>
      <c r="R849" s="334" t="n"/>
      <c r="S849" s="334" t="n"/>
      <c r="T849" s="334" t="n"/>
    </row>
    <row r="850">
      <c r="A850" s="334" t="n"/>
      <c r="B850" s="334" t="n"/>
      <c r="C850" s="334" t="n"/>
      <c r="D850" s="334" t="n"/>
      <c r="E850" s="334" t="n"/>
      <c r="F850" s="334" t="n"/>
      <c r="G850" s="334" t="n"/>
      <c r="H850" s="334" t="n"/>
      <c r="I850" s="334" t="n"/>
      <c r="J850" s="334" t="n"/>
      <c r="K850" s="334" t="n"/>
      <c r="L850" s="334" t="n"/>
      <c r="M850" s="334" t="n"/>
      <c r="N850" s="334" t="n"/>
      <c r="O850" s="334" t="n"/>
      <c r="P850" s="334" t="n"/>
      <c r="Q850" s="334" t="n"/>
      <c r="R850" s="334" t="n"/>
      <c r="S850" s="334" t="n"/>
      <c r="T850" s="334" t="n"/>
    </row>
    <row r="851">
      <c r="A851" s="334" t="n"/>
      <c r="B851" s="334" t="n"/>
      <c r="C851" s="334" t="n"/>
      <c r="D851" s="334" t="n"/>
      <c r="E851" s="334" t="n"/>
      <c r="F851" s="334" t="n"/>
      <c r="G851" s="334" t="n"/>
      <c r="H851" s="334" t="n"/>
      <c r="I851" s="334" t="n"/>
      <c r="J851" s="334" t="n"/>
      <c r="K851" s="334" t="n"/>
      <c r="L851" s="334" t="n"/>
      <c r="M851" s="334" t="n"/>
      <c r="N851" s="334" t="n"/>
      <c r="O851" s="334" t="n"/>
      <c r="P851" s="334" t="n"/>
      <c r="Q851" s="334" t="n"/>
      <c r="R851" s="334" t="n"/>
      <c r="S851" s="334" t="n"/>
      <c r="T851" s="334" t="n"/>
    </row>
    <row r="852">
      <c r="A852" s="334" t="n"/>
      <c r="B852" s="334" t="n"/>
      <c r="C852" s="334" t="n"/>
      <c r="D852" s="334" t="n"/>
      <c r="E852" s="334" t="n"/>
      <c r="F852" s="334" t="n"/>
      <c r="G852" s="334" t="n"/>
      <c r="H852" s="334" t="n"/>
      <c r="I852" s="334" t="n"/>
      <c r="J852" s="334" t="n"/>
      <c r="K852" s="334" t="n"/>
      <c r="L852" s="334" t="n"/>
      <c r="M852" s="334" t="n"/>
      <c r="N852" s="334" t="n"/>
      <c r="O852" s="334" t="n"/>
      <c r="P852" s="334" t="n"/>
      <c r="Q852" s="334" t="n"/>
      <c r="R852" s="334" t="n"/>
      <c r="S852" s="334" t="n"/>
      <c r="T852" s="334" t="n"/>
    </row>
    <row r="853">
      <c r="A853" s="334" t="n"/>
      <c r="B853" s="334" t="n"/>
      <c r="C853" s="334" t="n"/>
      <c r="D853" s="334" t="n"/>
      <c r="E853" s="334" t="n"/>
      <c r="F853" s="334" t="n"/>
      <c r="G853" s="334" t="n"/>
      <c r="H853" s="334" t="n"/>
      <c r="I853" s="334" t="n"/>
      <c r="J853" s="334" t="n"/>
      <c r="K853" s="334" t="n"/>
      <c r="L853" s="334" t="n"/>
      <c r="M853" s="334" t="n"/>
      <c r="N853" s="334" t="n"/>
      <c r="O853" s="334" t="n"/>
      <c r="P853" s="334" t="n"/>
      <c r="Q853" s="334" t="n"/>
      <c r="R853" s="334" t="n"/>
      <c r="S853" s="334" t="n"/>
      <c r="T853" s="334" t="n"/>
    </row>
    <row r="854">
      <c r="A854" s="334" t="n"/>
      <c r="B854" s="334" t="n"/>
      <c r="C854" s="334" t="n"/>
      <c r="D854" s="334" t="n"/>
      <c r="E854" s="334" t="n"/>
      <c r="F854" s="334" t="n"/>
      <c r="G854" s="334" t="n"/>
      <c r="H854" s="334" t="n"/>
      <c r="I854" s="334" t="n"/>
      <c r="J854" s="334" t="n"/>
      <c r="K854" s="334" t="n"/>
      <c r="L854" s="334" t="n"/>
      <c r="M854" s="334" t="n"/>
      <c r="N854" s="334" t="n"/>
      <c r="O854" s="334" t="n"/>
      <c r="P854" s="334" t="n"/>
      <c r="Q854" s="334" t="n"/>
      <c r="R854" s="334" t="n"/>
      <c r="S854" s="334" t="n"/>
      <c r="T854" s="334" t="n"/>
    </row>
    <row r="855">
      <c r="A855" s="334" t="n"/>
      <c r="B855" s="334" t="n"/>
      <c r="C855" s="334" t="n"/>
      <c r="D855" s="334" t="n"/>
      <c r="E855" s="334" t="n"/>
      <c r="F855" s="334" t="n"/>
      <c r="G855" s="334" t="n"/>
      <c r="H855" s="334" t="n"/>
      <c r="I855" s="334" t="n"/>
      <c r="J855" s="334" t="n"/>
      <c r="K855" s="334" t="n"/>
      <c r="L855" s="334" t="n"/>
      <c r="M855" s="334" t="n"/>
      <c r="N855" s="334" t="n"/>
      <c r="O855" s="334" t="n"/>
      <c r="P855" s="334" t="n"/>
      <c r="Q855" s="334" t="n"/>
      <c r="R855" s="334" t="n"/>
      <c r="S855" s="334" t="n"/>
      <c r="T855" s="334" t="n"/>
    </row>
    <row r="856">
      <c r="A856" s="334" t="n"/>
      <c r="B856" s="334" t="n"/>
      <c r="C856" s="334" t="n"/>
      <c r="D856" s="334" t="n"/>
      <c r="E856" s="334" t="n"/>
      <c r="F856" s="334" t="n"/>
      <c r="G856" s="334" t="n"/>
      <c r="H856" s="334" t="n"/>
      <c r="I856" s="334" t="n"/>
      <c r="J856" s="334" t="n"/>
      <c r="K856" s="334" t="n"/>
      <c r="L856" s="334" t="n"/>
      <c r="M856" s="334" t="n"/>
      <c r="N856" s="334" t="n"/>
      <c r="O856" s="334" t="n"/>
      <c r="P856" s="334" t="n"/>
      <c r="Q856" s="334" t="n"/>
      <c r="R856" s="334" t="n"/>
      <c r="S856" s="334" t="n"/>
      <c r="T856" s="334" t="n"/>
    </row>
    <row r="857">
      <c r="A857" s="334" t="n"/>
      <c r="B857" s="334" t="n"/>
      <c r="C857" s="334" t="n"/>
      <c r="D857" s="334" t="n"/>
      <c r="E857" s="334" t="n"/>
      <c r="F857" s="334" t="n"/>
      <c r="G857" s="334" t="n"/>
      <c r="H857" s="334" t="n"/>
      <c r="I857" s="334" t="n"/>
      <c r="J857" s="334" t="n"/>
      <c r="K857" s="334" t="n"/>
      <c r="L857" s="334" t="n"/>
      <c r="M857" s="334" t="n"/>
      <c r="N857" s="334" t="n"/>
      <c r="O857" s="334" t="n"/>
      <c r="P857" s="334" t="n"/>
      <c r="Q857" s="334" t="n"/>
      <c r="R857" s="334" t="n"/>
      <c r="S857" s="334" t="n"/>
      <c r="T857" s="334" t="n"/>
    </row>
    <row r="858">
      <c r="A858" s="334" t="n"/>
      <c r="B858" s="334" t="n"/>
      <c r="C858" s="334" t="n"/>
      <c r="D858" s="334" t="n"/>
      <c r="E858" s="334" t="n"/>
      <c r="F858" s="334" t="n"/>
      <c r="G858" s="334" t="n"/>
      <c r="H858" s="334" t="n"/>
      <c r="I858" s="334" t="n"/>
      <c r="J858" s="334" t="n"/>
      <c r="K858" s="334" t="n"/>
      <c r="L858" s="334" t="n"/>
      <c r="M858" s="334" t="n"/>
      <c r="N858" s="334" t="n"/>
      <c r="O858" s="334" t="n"/>
      <c r="P858" s="334" t="n"/>
      <c r="Q858" s="334" t="n"/>
      <c r="R858" s="334" t="n"/>
      <c r="S858" s="334" t="n"/>
      <c r="T858" s="334" t="n"/>
    </row>
    <row r="859">
      <c r="A859" s="334" t="n"/>
      <c r="B859" s="334" t="n"/>
      <c r="C859" s="334" t="n"/>
      <c r="D859" s="334" t="n"/>
      <c r="E859" s="334" t="n"/>
      <c r="F859" s="334" t="n"/>
      <c r="G859" s="334" t="n"/>
      <c r="H859" s="334" t="n"/>
      <c r="I859" s="334" t="n"/>
      <c r="J859" s="334" t="n"/>
      <c r="K859" s="334" t="n"/>
      <c r="L859" s="334" t="n"/>
      <c r="M859" s="334" t="n"/>
      <c r="N859" s="334" t="n"/>
      <c r="O859" s="334" t="n"/>
      <c r="P859" s="334" t="n"/>
      <c r="Q859" s="334" t="n"/>
      <c r="R859" s="334" t="n"/>
      <c r="S859" s="334" t="n"/>
      <c r="T859" s="334" t="n"/>
    </row>
    <row r="860">
      <c r="A860" s="334" t="n"/>
      <c r="B860" s="334" t="n"/>
      <c r="C860" s="334" t="n"/>
      <c r="D860" s="334" t="n"/>
      <c r="E860" s="334" t="n"/>
      <c r="F860" s="334" t="n"/>
      <c r="G860" s="334" t="n"/>
      <c r="H860" s="334" t="n"/>
      <c r="I860" s="334" t="n"/>
      <c r="J860" s="334" t="n"/>
      <c r="K860" s="334" t="n"/>
      <c r="L860" s="334" t="n"/>
      <c r="M860" s="334" t="n"/>
      <c r="N860" s="334" t="n"/>
      <c r="O860" s="334" t="n"/>
      <c r="P860" s="334" t="n"/>
      <c r="Q860" s="334" t="n"/>
      <c r="R860" s="334" t="n"/>
      <c r="S860" s="334" t="n"/>
      <c r="T860" s="334" t="n"/>
    </row>
    <row r="861">
      <c r="A861" s="334" t="n"/>
      <c r="B861" s="334" t="n"/>
      <c r="C861" s="334" t="n"/>
      <c r="D861" s="334" t="n"/>
      <c r="E861" s="334" t="n"/>
      <c r="F861" s="334" t="n"/>
      <c r="G861" s="334" t="n"/>
      <c r="H861" s="334" t="n"/>
      <c r="I861" s="334" t="n"/>
      <c r="J861" s="334" t="n"/>
      <c r="K861" s="334" t="n"/>
      <c r="L861" s="334" t="n"/>
      <c r="M861" s="334" t="n"/>
      <c r="N861" s="334" t="n"/>
      <c r="O861" s="334" t="n"/>
      <c r="P861" s="334" t="n"/>
      <c r="Q861" s="334" t="n"/>
      <c r="R861" s="334" t="n"/>
      <c r="S861" s="334" t="n"/>
      <c r="T861" s="334" t="n"/>
    </row>
    <row r="862">
      <c r="A862" s="334" t="n"/>
      <c r="B862" s="334" t="n"/>
      <c r="C862" s="334" t="n"/>
      <c r="D862" s="334" t="n"/>
      <c r="E862" s="334" t="n"/>
      <c r="F862" s="334" t="n"/>
      <c r="G862" s="334" t="n"/>
      <c r="H862" s="334" t="n"/>
      <c r="I862" s="334" t="n"/>
      <c r="J862" s="334" t="n"/>
      <c r="K862" s="334" t="n"/>
      <c r="L862" s="334" t="n"/>
      <c r="M862" s="334" t="n"/>
      <c r="N862" s="334" t="n"/>
      <c r="O862" s="334" t="n"/>
      <c r="P862" s="334" t="n"/>
      <c r="Q862" s="334" t="n"/>
      <c r="R862" s="334" t="n"/>
      <c r="S862" s="334" t="n"/>
      <c r="T862" s="334" t="n"/>
    </row>
    <row r="863">
      <c r="A863" s="334" t="n"/>
      <c r="B863" s="334" t="n"/>
      <c r="C863" s="334" t="n"/>
      <c r="D863" s="334" t="n"/>
      <c r="E863" s="334" t="n"/>
      <c r="F863" s="334" t="n"/>
      <c r="G863" s="334" t="n"/>
      <c r="H863" s="334" t="n"/>
      <c r="I863" s="334" t="n"/>
      <c r="J863" s="334" t="n"/>
      <c r="K863" s="334" t="n"/>
      <c r="L863" s="334" t="n"/>
      <c r="M863" s="334" t="n"/>
      <c r="N863" s="334" t="n"/>
      <c r="O863" s="334" t="n"/>
      <c r="P863" s="334" t="n"/>
      <c r="Q863" s="334" t="n"/>
      <c r="R863" s="334" t="n"/>
      <c r="S863" s="334" t="n"/>
      <c r="T863" s="334" t="n"/>
    </row>
    <row r="864">
      <c r="A864" s="334" t="n"/>
      <c r="B864" s="334" t="n"/>
      <c r="C864" s="334" t="n"/>
      <c r="D864" s="334" t="n"/>
      <c r="E864" s="334" t="n"/>
      <c r="F864" s="334" t="n"/>
      <c r="G864" s="334" t="n"/>
      <c r="H864" s="334" t="n"/>
      <c r="I864" s="334" t="n"/>
      <c r="J864" s="334" t="n"/>
      <c r="K864" s="334" t="n"/>
      <c r="L864" s="334" t="n"/>
      <c r="M864" s="334" t="n"/>
      <c r="N864" s="334" t="n"/>
      <c r="O864" s="334" t="n"/>
      <c r="P864" s="334" t="n"/>
      <c r="Q864" s="334" t="n"/>
      <c r="R864" s="334" t="n"/>
      <c r="S864" s="334" t="n"/>
      <c r="T864" s="334" t="n"/>
    </row>
    <row r="865">
      <c r="A865" s="334" t="n"/>
      <c r="B865" s="334" t="n"/>
      <c r="C865" s="334" t="n"/>
      <c r="D865" s="334" t="n"/>
      <c r="E865" s="334" t="n"/>
      <c r="F865" s="334" t="n"/>
      <c r="G865" s="334" t="n"/>
      <c r="H865" s="334" t="n"/>
      <c r="I865" s="334" t="n"/>
      <c r="J865" s="334" t="n"/>
      <c r="K865" s="334" t="n"/>
      <c r="L865" s="334" t="n"/>
      <c r="M865" s="334" t="n"/>
      <c r="N865" s="334" t="n"/>
      <c r="O865" s="334" t="n"/>
      <c r="P865" s="334" t="n"/>
      <c r="Q865" s="334" t="n"/>
      <c r="R865" s="334" t="n"/>
      <c r="S865" s="334" t="n"/>
      <c r="T865" s="334" t="n"/>
    </row>
    <row r="866">
      <c r="A866" s="334" t="n"/>
      <c r="B866" s="334" t="n"/>
      <c r="C866" s="334" t="n"/>
      <c r="D866" s="334" t="n"/>
      <c r="E866" s="334" t="n"/>
      <c r="F866" s="334" t="n"/>
      <c r="G866" s="334" t="n"/>
      <c r="H866" s="334" t="n"/>
      <c r="I866" s="334" t="n"/>
      <c r="J866" s="334" t="n"/>
      <c r="K866" s="334" t="n"/>
      <c r="L866" s="334" t="n"/>
      <c r="M866" s="334" t="n"/>
      <c r="N866" s="334" t="n"/>
      <c r="O866" s="334" t="n"/>
      <c r="P866" s="334" t="n"/>
      <c r="Q866" s="334" t="n"/>
      <c r="R866" s="334" t="n"/>
      <c r="S866" s="334" t="n"/>
      <c r="T866" s="334" t="n"/>
    </row>
    <row r="867">
      <c r="A867" s="334" t="n"/>
      <c r="B867" s="334" t="n"/>
      <c r="C867" s="334" t="n"/>
      <c r="D867" s="334" t="n"/>
      <c r="E867" s="334" t="n"/>
      <c r="F867" s="334" t="n"/>
      <c r="G867" s="334" t="n"/>
      <c r="H867" s="334" t="n"/>
      <c r="I867" s="334" t="n"/>
      <c r="J867" s="334" t="n"/>
      <c r="K867" s="334" t="n"/>
      <c r="L867" s="334" t="n"/>
      <c r="M867" s="334" t="n"/>
      <c r="N867" s="334" t="n"/>
      <c r="O867" s="334" t="n"/>
      <c r="P867" s="334" t="n"/>
      <c r="Q867" s="334" t="n"/>
      <c r="R867" s="334" t="n"/>
      <c r="S867" s="334" t="n"/>
      <c r="T867" s="334" t="n"/>
    </row>
    <row r="868">
      <c r="A868" s="334" t="n"/>
      <c r="B868" s="334" t="n"/>
      <c r="C868" s="334" t="n"/>
      <c r="D868" s="334" t="n"/>
      <c r="E868" s="334" t="n"/>
      <c r="F868" s="334" t="n"/>
      <c r="G868" s="334" t="n"/>
      <c r="H868" s="334" t="n"/>
      <c r="I868" s="334" t="n"/>
      <c r="J868" s="334" t="n"/>
      <c r="K868" s="334" t="n"/>
      <c r="L868" s="334" t="n"/>
      <c r="M868" s="334" t="n"/>
      <c r="N868" s="334" t="n"/>
      <c r="O868" s="334" t="n"/>
      <c r="P868" s="334" t="n"/>
      <c r="Q868" s="334" t="n"/>
      <c r="R868" s="334" t="n"/>
      <c r="S868" s="334" t="n"/>
      <c r="T868" s="334" t="n"/>
    </row>
    <row r="869">
      <c r="A869" s="334" t="n"/>
      <c r="B869" s="334" t="n"/>
      <c r="C869" s="334" t="n"/>
      <c r="D869" s="334" t="n"/>
      <c r="E869" s="334" t="n"/>
      <c r="F869" s="334" t="n"/>
      <c r="G869" s="334" t="n"/>
      <c r="H869" s="334" t="n"/>
      <c r="I869" s="334" t="n"/>
      <c r="J869" s="334" t="n"/>
      <c r="K869" s="334" t="n"/>
      <c r="L869" s="334" t="n"/>
      <c r="M869" s="334" t="n"/>
      <c r="N869" s="334" t="n"/>
      <c r="O869" s="334" t="n"/>
      <c r="P869" s="334" t="n"/>
      <c r="Q869" s="334" t="n"/>
      <c r="R869" s="334" t="n"/>
      <c r="S869" s="334" t="n"/>
      <c r="T869" s="334" t="n"/>
    </row>
    <row r="870">
      <c r="A870" s="334" t="n"/>
      <c r="B870" s="334" t="n"/>
      <c r="C870" s="334" t="n"/>
      <c r="D870" s="334" t="n"/>
      <c r="E870" s="334" t="n"/>
      <c r="F870" s="334" t="n"/>
      <c r="G870" s="334" t="n"/>
      <c r="H870" s="334" t="n"/>
      <c r="I870" s="334" t="n"/>
      <c r="J870" s="334" t="n"/>
      <c r="K870" s="334" t="n"/>
      <c r="L870" s="334" t="n"/>
      <c r="M870" s="334" t="n"/>
      <c r="N870" s="334" t="n"/>
      <c r="O870" s="334" t="n"/>
      <c r="P870" s="334" t="n"/>
      <c r="Q870" s="334" t="n"/>
      <c r="R870" s="334" t="n"/>
      <c r="S870" s="334" t="n"/>
      <c r="T870" s="334" t="n"/>
    </row>
    <row r="871">
      <c r="A871" s="334" t="n"/>
      <c r="B871" s="334" t="n"/>
      <c r="C871" s="334" t="n"/>
      <c r="D871" s="334" t="n"/>
      <c r="E871" s="334" t="n"/>
      <c r="F871" s="334" t="n"/>
      <c r="G871" s="334" t="n"/>
      <c r="H871" s="334" t="n"/>
      <c r="I871" s="334" t="n"/>
      <c r="J871" s="334" t="n"/>
      <c r="K871" s="334" t="n"/>
      <c r="L871" s="334" t="n"/>
      <c r="M871" s="334" t="n"/>
      <c r="N871" s="334" t="n"/>
      <c r="O871" s="334" t="n"/>
      <c r="P871" s="334" t="n"/>
      <c r="Q871" s="334" t="n"/>
      <c r="R871" s="334" t="n"/>
      <c r="S871" s="334" t="n"/>
      <c r="T871" s="334" t="n"/>
    </row>
    <row r="872">
      <c r="A872" s="334" t="n"/>
      <c r="B872" s="334" t="n"/>
      <c r="C872" s="334" t="n"/>
      <c r="D872" s="334" t="n"/>
      <c r="E872" s="334" t="n"/>
      <c r="F872" s="334" t="n"/>
      <c r="G872" s="334" t="n"/>
      <c r="H872" s="334" t="n"/>
      <c r="I872" s="334" t="n"/>
      <c r="J872" s="334" t="n"/>
      <c r="K872" s="334" t="n"/>
      <c r="L872" s="334" t="n"/>
      <c r="M872" s="334" t="n"/>
      <c r="N872" s="334" t="n"/>
      <c r="O872" s="334" t="n"/>
      <c r="P872" s="334" t="n"/>
      <c r="Q872" s="334" t="n"/>
      <c r="R872" s="334" t="n"/>
      <c r="S872" s="334" t="n"/>
      <c r="T872" s="334" t="n"/>
    </row>
    <row r="873">
      <c r="A873" s="334" t="n"/>
      <c r="B873" s="334" t="n"/>
      <c r="C873" s="334" t="n"/>
      <c r="D873" s="334" t="n"/>
      <c r="E873" s="334" t="n"/>
      <c r="F873" s="334" t="n"/>
      <c r="G873" s="334" t="n"/>
      <c r="H873" s="334" t="n"/>
      <c r="I873" s="334" t="n"/>
      <c r="J873" s="334" t="n"/>
      <c r="K873" s="334" t="n"/>
      <c r="L873" s="334" t="n"/>
      <c r="M873" s="334" t="n"/>
      <c r="N873" s="334" t="n"/>
      <c r="O873" s="334" t="n"/>
      <c r="P873" s="334" t="n"/>
      <c r="Q873" s="334" t="n"/>
      <c r="R873" s="334" t="n"/>
      <c r="S873" s="334" t="n"/>
      <c r="T873" s="334" t="n"/>
    </row>
    <row r="874">
      <c r="A874" s="334" t="n"/>
      <c r="B874" s="334" t="n"/>
      <c r="C874" s="334" t="n"/>
      <c r="D874" s="334" t="n"/>
      <c r="E874" s="334" t="n"/>
      <c r="F874" s="334" t="n"/>
      <c r="G874" s="334" t="n"/>
      <c r="H874" s="334" t="n"/>
      <c r="I874" s="334" t="n"/>
      <c r="J874" s="334" t="n"/>
      <c r="K874" s="334" t="n"/>
      <c r="L874" s="334" t="n"/>
      <c r="M874" s="334" t="n"/>
      <c r="N874" s="334" t="n"/>
      <c r="O874" s="334" t="n"/>
      <c r="P874" s="334" t="n"/>
      <c r="Q874" s="334" t="n"/>
      <c r="R874" s="334" t="n"/>
      <c r="S874" s="334" t="n"/>
      <c r="T874" s="334" t="n"/>
    </row>
    <row r="875">
      <c r="A875" s="334" t="n"/>
      <c r="B875" s="334" t="n"/>
      <c r="C875" s="334" t="n"/>
      <c r="D875" s="334" t="n"/>
      <c r="E875" s="334" t="n"/>
      <c r="F875" s="334" t="n"/>
      <c r="G875" s="334" t="n"/>
      <c r="H875" s="334" t="n"/>
      <c r="I875" s="334" t="n"/>
      <c r="J875" s="334" t="n"/>
      <c r="K875" s="334" t="n"/>
      <c r="L875" s="334" t="n"/>
      <c r="M875" s="334" t="n"/>
      <c r="N875" s="334" t="n"/>
      <c r="O875" s="334" t="n"/>
      <c r="P875" s="334" t="n"/>
      <c r="Q875" s="334" t="n"/>
      <c r="R875" s="334" t="n"/>
      <c r="S875" s="334" t="n"/>
      <c r="T875" s="334" t="n"/>
    </row>
    <row r="876">
      <c r="A876" s="334" t="n"/>
      <c r="B876" s="334" t="n"/>
      <c r="C876" s="334" t="n"/>
      <c r="D876" s="334" t="n"/>
      <c r="E876" s="334" t="n"/>
      <c r="F876" s="334" t="n"/>
      <c r="G876" s="334" t="n"/>
      <c r="H876" s="334" t="n"/>
      <c r="I876" s="334" t="n"/>
      <c r="J876" s="334" t="n"/>
      <c r="K876" s="334" t="n"/>
      <c r="L876" s="334" t="n"/>
      <c r="M876" s="334" t="n"/>
      <c r="N876" s="334" t="n"/>
      <c r="O876" s="334" t="n"/>
      <c r="P876" s="334" t="n"/>
      <c r="Q876" s="334" t="n"/>
      <c r="R876" s="334" t="n"/>
      <c r="S876" s="334" t="n"/>
      <c r="T876" s="334" t="n"/>
    </row>
    <row r="877">
      <c r="A877" s="334" t="n"/>
      <c r="B877" s="334" t="n"/>
      <c r="C877" s="334" t="n"/>
      <c r="D877" s="334" t="n"/>
      <c r="E877" s="334" t="n"/>
      <c r="F877" s="334" t="n"/>
      <c r="G877" s="334" t="n"/>
      <c r="H877" s="334" t="n"/>
      <c r="I877" s="334" t="n"/>
      <c r="J877" s="334" t="n"/>
      <c r="K877" s="334" t="n"/>
      <c r="L877" s="334" t="n"/>
      <c r="M877" s="334" t="n"/>
      <c r="N877" s="334" t="n"/>
      <c r="O877" s="334" t="n"/>
      <c r="P877" s="334" t="n"/>
      <c r="Q877" s="334" t="n"/>
      <c r="R877" s="334" t="n"/>
      <c r="S877" s="334" t="n"/>
      <c r="T877" s="334" t="n"/>
    </row>
    <row r="878">
      <c r="A878" s="334" t="n"/>
      <c r="B878" s="334" t="n"/>
      <c r="C878" s="334" t="n"/>
      <c r="D878" s="334" t="n"/>
      <c r="E878" s="334" t="n"/>
      <c r="F878" s="334" t="n"/>
      <c r="G878" s="334" t="n"/>
      <c r="H878" s="334" t="n"/>
      <c r="I878" s="334" t="n"/>
      <c r="J878" s="334" t="n"/>
      <c r="K878" s="334" t="n"/>
      <c r="L878" s="334" t="n"/>
      <c r="M878" s="334" t="n"/>
      <c r="N878" s="334" t="n"/>
      <c r="O878" s="334" t="n"/>
      <c r="P878" s="334" t="n"/>
      <c r="Q878" s="334" t="n"/>
      <c r="R878" s="334" t="n"/>
      <c r="S878" s="334" t="n"/>
      <c r="T878" s="334" t="n"/>
    </row>
    <row r="879">
      <c r="A879" s="334" t="n"/>
      <c r="B879" s="334" t="n"/>
      <c r="C879" s="334" t="n"/>
      <c r="D879" s="334" t="n"/>
      <c r="E879" s="334" t="n"/>
      <c r="F879" s="334" t="n"/>
      <c r="G879" s="334" t="n"/>
      <c r="H879" s="334" t="n"/>
      <c r="I879" s="334" t="n"/>
      <c r="J879" s="334" t="n"/>
      <c r="K879" s="334" t="n"/>
      <c r="L879" s="334" t="n"/>
      <c r="M879" s="334" t="n"/>
      <c r="N879" s="334" t="n"/>
      <c r="O879" s="334" t="n"/>
      <c r="P879" s="334" t="n"/>
      <c r="Q879" s="334" t="n"/>
      <c r="R879" s="334" t="n"/>
      <c r="S879" s="334" t="n"/>
      <c r="T879" s="334" t="n"/>
    </row>
    <row r="880">
      <c r="A880" s="334" t="n"/>
      <c r="B880" s="334" t="n"/>
      <c r="C880" s="334" t="n"/>
      <c r="D880" s="334" t="n"/>
      <c r="E880" s="334" t="n"/>
      <c r="F880" s="334" t="n"/>
      <c r="G880" s="334" t="n"/>
      <c r="H880" s="334" t="n"/>
      <c r="I880" s="334" t="n"/>
      <c r="J880" s="334" t="n"/>
      <c r="K880" s="334" t="n"/>
      <c r="L880" s="334" t="n"/>
      <c r="M880" s="334" t="n"/>
      <c r="N880" s="334" t="n"/>
      <c r="O880" s="334" t="n"/>
      <c r="P880" s="334" t="n"/>
      <c r="Q880" s="334" t="n"/>
      <c r="R880" s="334" t="n"/>
      <c r="S880" s="334" t="n"/>
      <c r="T880" s="334" t="n"/>
    </row>
    <row r="881">
      <c r="A881" s="334" t="n"/>
      <c r="B881" s="334" t="n"/>
      <c r="C881" s="334" t="n"/>
      <c r="D881" s="334" t="n"/>
      <c r="E881" s="334" t="n"/>
      <c r="F881" s="334" t="n"/>
      <c r="G881" s="334" t="n"/>
      <c r="H881" s="334" t="n"/>
      <c r="I881" s="334" t="n"/>
      <c r="J881" s="334" t="n"/>
      <c r="K881" s="334" t="n"/>
      <c r="L881" s="334" t="n"/>
      <c r="M881" s="334" t="n"/>
      <c r="N881" s="334" t="n"/>
      <c r="O881" s="334" t="n"/>
      <c r="P881" s="334" t="n"/>
      <c r="Q881" s="334" t="n"/>
      <c r="R881" s="334" t="n"/>
      <c r="S881" s="334" t="n"/>
      <c r="T881" s="334" t="n"/>
    </row>
    <row r="882">
      <c r="A882" s="334" t="n"/>
      <c r="B882" s="334" t="n"/>
      <c r="C882" s="334" t="n"/>
      <c r="D882" s="334" t="n"/>
      <c r="E882" s="334" t="n"/>
      <c r="F882" s="334" t="n"/>
      <c r="G882" s="334" t="n"/>
      <c r="H882" s="334" t="n"/>
      <c r="I882" s="334" t="n"/>
      <c r="J882" s="334" t="n"/>
      <c r="K882" s="334" t="n"/>
      <c r="L882" s="334" t="n"/>
      <c r="M882" s="334" t="n"/>
      <c r="N882" s="334" t="n"/>
      <c r="O882" s="334" t="n"/>
      <c r="P882" s="334" t="n"/>
      <c r="Q882" s="334" t="n"/>
      <c r="R882" s="334" t="n"/>
      <c r="S882" s="334" t="n"/>
      <c r="T882" s="334" t="n"/>
    </row>
    <row r="883">
      <c r="A883" s="334" t="n"/>
      <c r="B883" s="334" t="n"/>
      <c r="C883" s="334" t="n"/>
      <c r="D883" s="334" t="n"/>
      <c r="E883" s="334" t="n"/>
      <c r="F883" s="334" t="n"/>
      <c r="G883" s="334" t="n"/>
      <c r="H883" s="334" t="n"/>
      <c r="I883" s="334" t="n"/>
      <c r="J883" s="334" t="n"/>
      <c r="K883" s="334" t="n"/>
      <c r="L883" s="334" t="n"/>
      <c r="M883" s="334" t="n"/>
      <c r="N883" s="334" t="n"/>
      <c r="O883" s="334" t="n"/>
      <c r="P883" s="334" t="n"/>
      <c r="Q883" s="334" t="n"/>
      <c r="R883" s="334" t="n"/>
      <c r="S883" s="334" t="n"/>
      <c r="T883" s="334" t="n"/>
    </row>
    <row r="884">
      <c r="A884" s="334" t="n"/>
      <c r="B884" s="334" t="n"/>
      <c r="C884" s="334" t="n"/>
      <c r="D884" s="334" t="n"/>
      <c r="E884" s="334" t="n"/>
      <c r="F884" s="334" t="n"/>
      <c r="G884" s="334" t="n"/>
      <c r="H884" s="334" t="n"/>
      <c r="I884" s="334" t="n"/>
      <c r="J884" s="334" t="n"/>
      <c r="K884" s="334" t="n"/>
      <c r="L884" s="334" t="n"/>
      <c r="M884" s="334" t="n"/>
      <c r="N884" s="334" t="n"/>
      <c r="O884" s="334" t="n"/>
      <c r="P884" s="334" t="n"/>
      <c r="Q884" s="334" t="n"/>
      <c r="R884" s="334" t="n"/>
      <c r="S884" s="334" t="n"/>
      <c r="T884" s="334" t="n"/>
    </row>
    <row r="885">
      <c r="A885" s="334" t="n"/>
      <c r="B885" s="334" t="n"/>
      <c r="C885" s="334" t="n"/>
      <c r="D885" s="334" t="n"/>
      <c r="E885" s="334" t="n"/>
      <c r="F885" s="334" t="n"/>
      <c r="G885" s="334" t="n"/>
      <c r="H885" s="334" t="n"/>
      <c r="I885" s="334" t="n"/>
      <c r="J885" s="334" t="n"/>
      <c r="K885" s="334" t="n"/>
      <c r="L885" s="334" t="n"/>
      <c r="M885" s="334" t="n"/>
      <c r="N885" s="334" t="n"/>
      <c r="O885" s="334" t="n"/>
      <c r="P885" s="334" t="n"/>
      <c r="Q885" s="334" t="n"/>
      <c r="R885" s="334" t="n"/>
      <c r="S885" s="334" t="n"/>
      <c r="T885" s="334" t="n"/>
    </row>
    <row r="886">
      <c r="A886" s="334" t="n"/>
      <c r="B886" s="334" t="n"/>
      <c r="C886" s="334" t="n"/>
      <c r="D886" s="334" t="n"/>
      <c r="E886" s="334" t="n"/>
      <c r="F886" s="334" t="n"/>
      <c r="G886" s="334" t="n"/>
      <c r="H886" s="334" t="n"/>
      <c r="I886" s="334" t="n"/>
      <c r="J886" s="334" t="n"/>
      <c r="K886" s="334" t="n"/>
      <c r="L886" s="334" t="n"/>
      <c r="M886" s="334" t="n"/>
      <c r="N886" s="334" t="n"/>
      <c r="O886" s="334" t="n"/>
      <c r="P886" s="334" t="n"/>
      <c r="Q886" s="334" t="n"/>
      <c r="R886" s="334" t="n"/>
      <c r="S886" s="334" t="n"/>
      <c r="T886" s="334" t="n"/>
    </row>
    <row r="887">
      <c r="A887" s="334" t="n"/>
      <c r="B887" s="334" t="n"/>
      <c r="C887" s="334" t="n"/>
      <c r="D887" s="334" t="n"/>
      <c r="E887" s="334" t="n"/>
      <c r="F887" s="334" t="n"/>
      <c r="G887" s="334" t="n"/>
      <c r="H887" s="334" t="n"/>
      <c r="I887" s="334" t="n"/>
      <c r="J887" s="334" t="n"/>
      <c r="K887" s="334" t="n"/>
      <c r="L887" s="334" t="n"/>
      <c r="M887" s="334" t="n"/>
      <c r="N887" s="334" t="n"/>
      <c r="O887" s="334" t="n"/>
      <c r="P887" s="334" t="n"/>
      <c r="Q887" s="334" t="n"/>
      <c r="R887" s="334" t="n"/>
      <c r="S887" s="334" t="n"/>
      <c r="T887" s="334" t="n"/>
    </row>
    <row r="888">
      <c r="A888" s="334" t="n"/>
      <c r="B888" s="334" t="n"/>
      <c r="C888" s="334" t="n"/>
      <c r="D888" s="334" t="n"/>
      <c r="E888" s="334" t="n"/>
      <c r="F888" s="334" t="n"/>
      <c r="G888" s="334" t="n"/>
      <c r="H888" s="334" t="n"/>
      <c r="I888" s="334" t="n"/>
      <c r="J888" s="334" t="n"/>
      <c r="K888" s="334" t="n"/>
      <c r="L888" s="334" t="n"/>
      <c r="M888" s="334" t="n"/>
      <c r="N888" s="334" t="n"/>
      <c r="O888" s="334" t="n"/>
      <c r="P888" s="334" t="n"/>
      <c r="Q888" s="334" t="n"/>
      <c r="R888" s="334" t="n"/>
      <c r="S888" s="334" t="n"/>
      <c r="T888" s="334" t="n"/>
    </row>
    <row r="889">
      <c r="A889" s="334" t="n"/>
      <c r="B889" s="334" t="n"/>
      <c r="C889" s="334" t="n"/>
      <c r="D889" s="334" t="n"/>
      <c r="E889" s="334" t="n"/>
      <c r="F889" s="334" t="n"/>
      <c r="G889" s="334" t="n"/>
      <c r="H889" s="334" t="n"/>
      <c r="I889" s="334" t="n"/>
      <c r="J889" s="334" t="n"/>
      <c r="K889" s="334" t="n"/>
      <c r="L889" s="334" t="n"/>
      <c r="M889" s="334" t="n"/>
      <c r="N889" s="334" t="n"/>
      <c r="O889" s="334" t="n"/>
      <c r="P889" s="334" t="n"/>
      <c r="Q889" s="334" t="n"/>
      <c r="R889" s="334" t="n"/>
      <c r="S889" s="334" t="n"/>
      <c r="T889" s="334" t="n"/>
    </row>
    <row r="890">
      <c r="A890" s="334" t="n"/>
      <c r="B890" s="334" t="n"/>
      <c r="C890" s="334" t="n"/>
      <c r="D890" s="334" t="n"/>
      <c r="E890" s="334" t="n"/>
      <c r="F890" s="334" t="n"/>
      <c r="G890" s="334" t="n"/>
      <c r="H890" s="334" t="n"/>
      <c r="I890" s="334" t="n"/>
      <c r="J890" s="334" t="n"/>
      <c r="K890" s="334" t="n"/>
      <c r="L890" s="334" t="n"/>
      <c r="M890" s="334" t="n"/>
      <c r="N890" s="334" t="n"/>
      <c r="O890" s="334" t="n"/>
      <c r="P890" s="334" t="n"/>
      <c r="Q890" s="334" t="n"/>
      <c r="R890" s="334" t="n"/>
      <c r="S890" s="334" t="n"/>
      <c r="T890" s="334" t="n"/>
    </row>
    <row r="891">
      <c r="A891" s="334" t="n"/>
      <c r="B891" s="334" t="n"/>
      <c r="C891" s="334" t="n"/>
      <c r="D891" s="334" t="n"/>
      <c r="E891" s="334" t="n"/>
      <c r="F891" s="334" t="n"/>
      <c r="G891" s="334" t="n"/>
      <c r="H891" s="334" t="n"/>
      <c r="I891" s="334" t="n"/>
      <c r="J891" s="334" t="n"/>
      <c r="K891" s="334" t="n"/>
      <c r="L891" s="334" t="n"/>
      <c r="M891" s="334" t="n"/>
      <c r="N891" s="334" t="n"/>
      <c r="O891" s="334" t="n"/>
      <c r="P891" s="334" t="n"/>
      <c r="Q891" s="334" t="n"/>
      <c r="R891" s="334" t="n"/>
      <c r="S891" s="334" t="n"/>
      <c r="T891" s="334" t="n"/>
    </row>
    <row r="892">
      <c r="A892" s="334" t="n"/>
      <c r="B892" s="334" t="n"/>
      <c r="C892" s="334" t="n"/>
      <c r="D892" s="334" t="n"/>
      <c r="E892" s="334" t="n"/>
      <c r="F892" s="334" t="n"/>
      <c r="G892" s="334" t="n"/>
      <c r="H892" s="334" t="n"/>
      <c r="I892" s="334" t="n"/>
      <c r="J892" s="334" t="n"/>
      <c r="K892" s="334" t="n"/>
      <c r="L892" s="334" t="n"/>
      <c r="M892" s="334" t="n"/>
      <c r="N892" s="334" t="n"/>
      <c r="O892" s="334" t="n"/>
      <c r="P892" s="334" t="n"/>
      <c r="Q892" s="334" t="n"/>
      <c r="R892" s="334" t="n"/>
      <c r="S892" s="334" t="n"/>
      <c r="T892" s="334" t="n"/>
    </row>
    <row r="893">
      <c r="A893" s="334" t="n"/>
      <c r="B893" s="334" t="n"/>
      <c r="C893" s="334" t="n"/>
      <c r="D893" s="334" t="n"/>
      <c r="E893" s="334" t="n"/>
      <c r="F893" s="334" t="n"/>
      <c r="G893" s="334" t="n"/>
      <c r="H893" s="334" t="n"/>
      <c r="I893" s="334" t="n"/>
      <c r="J893" s="334" t="n"/>
      <c r="K893" s="334" t="n"/>
      <c r="L893" s="334" t="n"/>
      <c r="M893" s="334" t="n"/>
      <c r="N893" s="334" t="n"/>
      <c r="O893" s="334" t="n"/>
      <c r="P893" s="334" t="n"/>
      <c r="Q893" s="334" t="n"/>
      <c r="R893" s="334" t="n"/>
      <c r="S893" s="334" t="n"/>
      <c r="T893" s="334" t="n"/>
    </row>
    <row r="894">
      <c r="A894" s="334" t="n"/>
      <c r="B894" s="334" t="n"/>
      <c r="C894" s="334" t="n"/>
      <c r="D894" s="334" t="n"/>
      <c r="E894" s="334" t="n"/>
      <c r="F894" s="334" t="n"/>
      <c r="G894" s="334" t="n"/>
      <c r="H894" s="334" t="n"/>
      <c r="I894" s="334" t="n"/>
      <c r="J894" s="334" t="n"/>
      <c r="K894" s="334" t="n"/>
      <c r="L894" s="334" t="n"/>
      <c r="M894" s="334" t="n"/>
      <c r="N894" s="334" t="n"/>
      <c r="O894" s="334" t="n"/>
      <c r="P894" s="334" t="n"/>
      <c r="Q894" s="334" t="n"/>
      <c r="R894" s="334" t="n"/>
      <c r="S894" s="334" t="n"/>
      <c r="T894" s="334" t="n"/>
    </row>
    <row r="895">
      <c r="A895" s="334" t="n"/>
      <c r="B895" s="334" t="n"/>
      <c r="C895" s="334" t="n"/>
      <c r="D895" s="334" t="n"/>
      <c r="E895" s="334" t="n"/>
      <c r="F895" s="334" t="n"/>
      <c r="G895" s="334" t="n"/>
      <c r="H895" s="334" t="n"/>
      <c r="I895" s="334" t="n"/>
      <c r="J895" s="334" t="n"/>
      <c r="K895" s="334" t="n"/>
      <c r="L895" s="334" t="n"/>
      <c r="M895" s="334" t="n"/>
      <c r="N895" s="334" t="n"/>
      <c r="O895" s="334" t="n"/>
      <c r="P895" s="334" t="n"/>
      <c r="Q895" s="334" t="n"/>
      <c r="R895" s="334" t="n"/>
      <c r="S895" s="334" t="n"/>
      <c r="T895" s="334" t="n"/>
    </row>
    <row r="896">
      <c r="A896" s="334" t="n"/>
      <c r="B896" s="334" t="n"/>
      <c r="C896" s="334" t="n"/>
      <c r="D896" s="334" t="n"/>
      <c r="E896" s="334" t="n"/>
      <c r="F896" s="334" t="n"/>
      <c r="G896" s="334" t="n"/>
      <c r="H896" s="334" t="n"/>
      <c r="I896" s="334" t="n"/>
      <c r="J896" s="334" t="n"/>
      <c r="K896" s="334" t="n"/>
      <c r="L896" s="334" t="n"/>
      <c r="M896" s="334" t="n"/>
      <c r="N896" s="334" t="n"/>
      <c r="O896" s="334" t="n"/>
      <c r="P896" s="334" t="n"/>
      <c r="Q896" s="334" t="n"/>
      <c r="R896" s="334" t="n"/>
      <c r="S896" s="334" t="n"/>
      <c r="T896" s="334" t="n"/>
    </row>
    <row r="897">
      <c r="A897" s="334" t="n"/>
      <c r="B897" s="334" t="n"/>
      <c r="C897" s="334" t="n"/>
      <c r="D897" s="334" t="n"/>
      <c r="E897" s="334" t="n"/>
      <c r="F897" s="334" t="n"/>
      <c r="G897" s="334" t="n"/>
      <c r="H897" s="334" t="n"/>
      <c r="I897" s="334" t="n"/>
      <c r="J897" s="334" t="n"/>
      <c r="K897" s="334" t="n"/>
      <c r="L897" s="334" t="n"/>
      <c r="M897" s="334" t="n"/>
      <c r="N897" s="334" t="n"/>
      <c r="O897" s="334" t="n"/>
      <c r="P897" s="334" t="n"/>
      <c r="Q897" s="334" t="n"/>
      <c r="R897" s="334" t="n"/>
      <c r="S897" s="334" t="n"/>
      <c r="T897" s="334" t="n"/>
    </row>
    <row r="898">
      <c r="A898" s="334" t="n"/>
      <c r="B898" s="334" t="n"/>
      <c r="C898" s="334" t="n"/>
      <c r="D898" s="334" t="n"/>
      <c r="E898" s="334" t="n"/>
      <c r="F898" s="334" t="n"/>
      <c r="G898" s="334" t="n"/>
      <c r="H898" s="334" t="n"/>
      <c r="I898" s="334" t="n"/>
      <c r="J898" s="334" t="n"/>
      <c r="K898" s="334" t="n"/>
      <c r="L898" s="334" t="n"/>
      <c r="M898" s="334" t="n"/>
      <c r="N898" s="334" t="n"/>
      <c r="O898" s="334" t="n"/>
      <c r="P898" s="334" t="n"/>
      <c r="Q898" s="334" t="n"/>
      <c r="R898" s="334" t="n"/>
      <c r="S898" s="334" t="n"/>
      <c r="T898" s="334" t="n"/>
    </row>
    <row r="899">
      <c r="A899" s="334" t="n"/>
      <c r="B899" s="334" t="n"/>
      <c r="C899" s="334" t="n"/>
      <c r="D899" s="334" t="n"/>
      <c r="E899" s="334" t="n"/>
      <c r="F899" s="334" t="n"/>
      <c r="G899" s="334" t="n"/>
      <c r="H899" s="334" t="n"/>
      <c r="I899" s="334" t="n"/>
      <c r="J899" s="334" t="n"/>
      <c r="K899" s="334" t="n"/>
      <c r="L899" s="334" t="n"/>
      <c r="M899" s="334" t="n"/>
      <c r="N899" s="334" t="n"/>
      <c r="O899" s="334" t="n"/>
      <c r="P899" s="334" t="n"/>
      <c r="Q899" s="334" t="n"/>
      <c r="R899" s="334" t="n"/>
      <c r="S899" s="334" t="n"/>
      <c r="T899" s="334" t="n"/>
    </row>
    <row r="900">
      <c r="A900" s="334" t="n"/>
      <c r="B900" s="334" t="n"/>
      <c r="C900" s="334" t="n"/>
      <c r="D900" s="334" t="n"/>
      <c r="E900" s="334" t="n"/>
      <c r="F900" s="334" t="n"/>
      <c r="G900" s="334" t="n"/>
      <c r="H900" s="334" t="n"/>
      <c r="I900" s="334" t="n"/>
      <c r="J900" s="334" t="n"/>
      <c r="K900" s="334" t="n"/>
      <c r="L900" s="334" t="n"/>
      <c r="M900" s="334" t="n"/>
      <c r="N900" s="334" t="n"/>
      <c r="O900" s="334" t="n"/>
      <c r="P900" s="334" t="n"/>
      <c r="Q900" s="334" t="n"/>
      <c r="R900" s="334" t="n"/>
      <c r="S900" s="334" t="n"/>
      <c r="T900" s="334" t="n"/>
    </row>
    <row r="901">
      <c r="A901" s="334" t="n"/>
      <c r="B901" s="334" t="n"/>
      <c r="C901" s="334" t="n"/>
      <c r="D901" s="334" t="n"/>
      <c r="E901" s="334" t="n"/>
      <c r="F901" s="334" t="n"/>
      <c r="G901" s="334" t="n"/>
      <c r="H901" s="334" t="n"/>
      <c r="I901" s="334" t="n"/>
      <c r="J901" s="334" t="n"/>
      <c r="K901" s="334" t="n"/>
      <c r="L901" s="334" t="n"/>
      <c r="M901" s="334" t="n"/>
      <c r="N901" s="334" t="n"/>
      <c r="O901" s="334" t="n"/>
      <c r="P901" s="334" t="n"/>
      <c r="Q901" s="334" t="n"/>
      <c r="R901" s="334" t="n"/>
      <c r="S901" s="334" t="n"/>
      <c r="T901" s="334" t="n"/>
    </row>
    <row r="902">
      <c r="A902" s="334" t="n"/>
      <c r="B902" s="334" t="n"/>
      <c r="C902" s="334" t="n"/>
      <c r="D902" s="334" t="n"/>
      <c r="E902" s="334" t="n"/>
      <c r="F902" s="334" t="n"/>
      <c r="G902" s="334" t="n"/>
      <c r="H902" s="334" t="n"/>
      <c r="I902" s="334" t="n"/>
      <c r="J902" s="334" t="n"/>
      <c r="K902" s="334" t="n"/>
      <c r="L902" s="334" t="n"/>
      <c r="M902" s="334" t="n"/>
      <c r="N902" s="334" t="n"/>
      <c r="O902" s="334" t="n"/>
      <c r="P902" s="334" t="n"/>
      <c r="Q902" s="334" t="n"/>
      <c r="R902" s="334" t="n"/>
      <c r="S902" s="334" t="n"/>
      <c r="T902" s="334" t="n"/>
    </row>
    <row r="903">
      <c r="A903" s="334" t="n"/>
      <c r="B903" s="334" t="n"/>
      <c r="C903" s="334" t="n"/>
      <c r="D903" s="334" t="n"/>
      <c r="E903" s="334" t="n"/>
      <c r="F903" s="334" t="n"/>
      <c r="G903" s="334" t="n"/>
      <c r="H903" s="334" t="n"/>
      <c r="I903" s="334" t="n"/>
      <c r="J903" s="334" t="n"/>
      <c r="K903" s="334" t="n"/>
      <c r="L903" s="334" t="n"/>
      <c r="M903" s="334" t="n"/>
      <c r="N903" s="334" t="n"/>
      <c r="O903" s="334" t="n"/>
      <c r="P903" s="334" t="n"/>
      <c r="Q903" s="334" t="n"/>
      <c r="R903" s="334" t="n"/>
      <c r="S903" s="334" t="n"/>
      <c r="T903" s="334" t="n"/>
    </row>
    <row r="904">
      <c r="A904" s="334" t="n"/>
      <c r="B904" s="334" t="n"/>
      <c r="C904" s="334" t="n"/>
      <c r="D904" s="334" t="n"/>
      <c r="E904" s="334" t="n"/>
      <c r="F904" s="334" t="n"/>
      <c r="G904" s="334" t="n"/>
      <c r="H904" s="334" t="n"/>
      <c r="I904" s="334" t="n"/>
      <c r="J904" s="334" t="n"/>
      <c r="K904" s="334" t="n"/>
      <c r="L904" s="334" t="n"/>
      <c r="M904" s="334" t="n"/>
      <c r="N904" s="334" t="n"/>
      <c r="O904" s="334" t="n"/>
      <c r="P904" s="334" t="n"/>
      <c r="Q904" s="334" t="n"/>
      <c r="R904" s="334" t="n"/>
      <c r="S904" s="334" t="n"/>
      <c r="T904" s="334" t="n"/>
    </row>
    <row r="905">
      <c r="A905" s="334" t="n"/>
      <c r="B905" s="334" t="n"/>
      <c r="C905" s="334" t="n"/>
      <c r="D905" s="334" t="n"/>
      <c r="E905" s="334" t="n"/>
      <c r="F905" s="334" t="n"/>
      <c r="G905" s="334" t="n"/>
      <c r="H905" s="334" t="n"/>
      <c r="I905" s="334" t="n"/>
      <c r="J905" s="334" t="n"/>
      <c r="K905" s="334" t="n"/>
      <c r="L905" s="334" t="n"/>
      <c r="M905" s="334" t="n"/>
      <c r="N905" s="334" t="n"/>
      <c r="O905" s="334" t="n"/>
      <c r="P905" s="334" t="n"/>
      <c r="Q905" s="334" t="n"/>
      <c r="R905" s="334" t="n"/>
      <c r="S905" s="334" t="n"/>
      <c r="T905" s="334" t="n"/>
    </row>
    <row r="906">
      <c r="A906" s="334" t="n"/>
      <c r="B906" s="334" t="n"/>
      <c r="C906" s="334" t="n"/>
      <c r="D906" s="334" t="n"/>
      <c r="E906" s="334" t="n"/>
      <c r="F906" s="334" t="n"/>
      <c r="G906" s="334" t="n"/>
      <c r="H906" s="334" t="n"/>
      <c r="I906" s="334" t="n"/>
      <c r="J906" s="334" t="n"/>
      <c r="K906" s="334" t="n"/>
      <c r="L906" s="334" t="n"/>
      <c r="M906" s="334" t="n"/>
      <c r="N906" s="334" t="n"/>
      <c r="O906" s="334" t="n"/>
      <c r="P906" s="334" t="n"/>
      <c r="Q906" s="334" t="n"/>
      <c r="R906" s="334" t="n"/>
      <c r="S906" s="334" t="n"/>
      <c r="T906" s="334" t="n"/>
    </row>
    <row r="907">
      <c r="A907" s="334" t="n"/>
      <c r="B907" s="334" t="n"/>
      <c r="C907" s="334" t="n"/>
      <c r="D907" s="334" t="n"/>
      <c r="E907" s="334" t="n"/>
      <c r="F907" s="334" t="n"/>
      <c r="G907" s="334" t="n"/>
      <c r="H907" s="334" t="n"/>
      <c r="I907" s="334" t="n"/>
      <c r="J907" s="334" t="n"/>
      <c r="K907" s="334" t="n"/>
      <c r="L907" s="334" t="n"/>
      <c r="M907" s="334" t="n"/>
      <c r="N907" s="334" t="n"/>
      <c r="O907" s="334" t="n"/>
      <c r="P907" s="334" t="n"/>
      <c r="Q907" s="334" t="n"/>
      <c r="R907" s="334" t="n"/>
      <c r="S907" s="334" t="n"/>
      <c r="T907" s="334" t="n"/>
    </row>
    <row r="908">
      <c r="A908" s="334" t="n"/>
      <c r="B908" s="334" t="n"/>
      <c r="C908" s="334" t="n"/>
      <c r="D908" s="334" t="n"/>
      <c r="E908" s="334" t="n"/>
      <c r="F908" s="334" t="n"/>
      <c r="G908" s="334" t="n"/>
      <c r="H908" s="334" t="n"/>
      <c r="I908" s="334" t="n"/>
      <c r="J908" s="334" t="n"/>
      <c r="K908" s="334" t="n"/>
      <c r="L908" s="334" t="n"/>
      <c r="M908" s="334" t="n"/>
      <c r="N908" s="334" t="n"/>
      <c r="O908" s="334" t="n"/>
      <c r="P908" s="334" t="n"/>
      <c r="Q908" s="334" t="n"/>
      <c r="R908" s="334" t="n"/>
      <c r="S908" s="334" t="n"/>
      <c r="T908" s="334" t="n"/>
    </row>
    <row r="909">
      <c r="A909" s="334" t="n"/>
      <c r="B909" s="334" t="n"/>
      <c r="C909" s="334" t="n"/>
      <c r="D909" s="334" t="n"/>
      <c r="E909" s="334" t="n"/>
      <c r="F909" s="334" t="n"/>
      <c r="G909" s="334" t="n"/>
      <c r="H909" s="334" t="n"/>
      <c r="I909" s="334" t="n"/>
      <c r="J909" s="334" t="n"/>
      <c r="K909" s="334" t="n"/>
      <c r="L909" s="334" t="n"/>
      <c r="M909" s="334" t="n"/>
      <c r="N909" s="334" t="n"/>
      <c r="O909" s="334" t="n"/>
      <c r="P909" s="334" t="n"/>
      <c r="Q909" s="334" t="n"/>
      <c r="R909" s="334" t="n"/>
      <c r="S909" s="334" t="n"/>
      <c r="T909" s="334" t="n"/>
    </row>
    <row r="910">
      <c r="A910" s="334" t="n"/>
      <c r="B910" s="334" t="n"/>
      <c r="C910" s="334" t="n"/>
      <c r="D910" s="334" t="n"/>
      <c r="E910" s="334" t="n"/>
      <c r="F910" s="334" t="n"/>
      <c r="G910" s="334" t="n"/>
      <c r="H910" s="334" t="n"/>
      <c r="I910" s="334" t="n"/>
      <c r="J910" s="334" t="n"/>
      <c r="K910" s="334" t="n"/>
      <c r="L910" s="334" t="n"/>
      <c r="M910" s="334" t="n"/>
      <c r="N910" s="334" t="n"/>
      <c r="O910" s="334" t="n"/>
      <c r="P910" s="334" t="n"/>
      <c r="Q910" s="334" t="n"/>
      <c r="R910" s="334" t="n"/>
      <c r="S910" s="334" t="n"/>
      <c r="T910" s="334" t="n"/>
    </row>
    <row r="911">
      <c r="A911" s="334" t="n"/>
      <c r="B911" s="334" t="n"/>
      <c r="C911" s="334" t="n"/>
      <c r="D911" s="334" t="n"/>
      <c r="E911" s="334" t="n"/>
      <c r="F911" s="334" t="n"/>
      <c r="G911" s="334" t="n"/>
      <c r="H911" s="334" t="n"/>
      <c r="I911" s="334" t="n"/>
      <c r="J911" s="334" t="n"/>
      <c r="K911" s="334" t="n"/>
      <c r="L911" s="334" t="n"/>
      <c r="M911" s="334" t="n"/>
      <c r="N911" s="334" t="n"/>
      <c r="O911" s="334" t="n"/>
      <c r="P911" s="334" t="n"/>
      <c r="Q911" s="334" t="n"/>
      <c r="R911" s="334" t="n"/>
      <c r="S911" s="334" t="n"/>
      <c r="T911" s="334" t="n"/>
    </row>
    <row r="912">
      <c r="A912" s="334" t="n"/>
      <c r="B912" s="334" t="n"/>
      <c r="C912" s="334" t="n"/>
      <c r="D912" s="334" t="n"/>
      <c r="E912" s="334" t="n"/>
      <c r="F912" s="334" t="n"/>
      <c r="G912" s="334" t="n"/>
      <c r="H912" s="334" t="n"/>
      <c r="I912" s="334" t="n"/>
      <c r="J912" s="334" t="n"/>
      <c r="K912" s="334" t="n"/>
      <c r="L912" s="334" t="n"/>
      <c r="M912" s="334" t="n"/>
      <c r="N912" s="334" t="n"/>
      <c r="O912" s="334" t="n"/>
      <c r="P912" s="334" t="n"/>
      <c r="Q912" s="334" t="n"/>
      <c r="R912" s="334" t="n"/>
      <c r="S912" s="334" t="n"/>
      <c r="T912" s="334" t="n"/>
    </row>
    <row r="913">
      <c r="A913" s="334" t="n"/>
      <c r="B913" s="334" t="n"/>
      <c r="C913" s="334" t="n"/>
      <c r="D913" s="334" t="n"/>
      <c r="E913" s="334" t="n"/>
      <c r="F913" s="334" t="n"/>
      <c r="G913" s="334" t="n"/>
      <c r="H913" s="334" t="n"/>
      <c r="I913" s="334" t="n"/>
      <c r="J913" s="334" t="n"/>
      <c r="K913" s="334" t="n"/>
      <c r="L913" s="334" t="n"/>
      <c r="M913" s="334" t="n"/>
      <c r="N913" s="334" t="n"/>
      <c r="O913" s="334" t="n"/>
      <c r="P913" s="334" t="n"/>
      <c r="Q913" s="334" t="n"/>
      <c r="R913" s="334" t="n"/>
      <c r="S913" s="334" t="n"/>
      <c r="T913" s="334" t="n"/>
    </row>
    <row r="914">
      <c r="A914" s="334" t="n"/>
      <c r="B914" s="334" t="n"/>
      <c r="C914" s="334" t="n"/>
      <c r="D914" s="334" t="n"/>
      <c r="E914" s="334" t="n"/>
      <c r="F914" s="334" t="n"/>
      <c r="G914" s="334" t="n"/>
      <c r="H914" s="334" t="n"/>
      <c r="I914" s="334" t="n"/>
      <c r="J914" s="334" t="n"/>
      <c r="K914" s="334" t="n"/>
      <c r="L914" s="334" t="n"/>
      <c r="M914" s="334" t="n"/>
      <c r="N914" s="334" t="n"/>
      <c r="O914" s="334" t="n"/>
      <c r="P914" s="334" t="n"/>
      <c r="Q914" s="334" t="n"/>
      <c r="R914" s="334" t="n"/>
      <c r="S914" s="334" t="n"/>
      <c r="T914" s="334" t="n"/>
    </row>
    <row r="915">
      <c r="A915" s="334" t="n"/>
      <c r="B915" s="334" t="n"/>
      <c r="C915" s="334" t="n"/>
      <c r="D915" s="334" t="n"/>
      <c r="E915" s="334" t="n"/>
      <c r="F915" s="334" t="n"/>
      <c r="G915" s="334" t="n"/>
      <c r="H915" s="334" t="n"/>
      <c r="I915" s="334" t="n"/>
      <c r="J915" s="334" t="n"/>
      <c r="K915" s="334" t="n"/>
      <c r="L915" s="334" t="n"/>
      <c r="M915" s="334" t="n"/>
      <c r="N915" s="334" t="n"/>
      <c r="O915" s="334" t="n"/>
      <c r="P915" s="334" t="n"/>
      <c r="Q915" s="334" t="n"/>
      <c r="R915" s="334" t="n"/>
      <c r="S915" s="334" t="n"/>
      <c r="T915" s="334" t="n"/>
    </row>
    <row r="916">
      <c r="A916" s="334" t="n"/>
      <c r="B916" s="334" t="n"/>
      <c r="C916" s="334" t="n"/>
      <c r="D916" s="334" t="n"/>
      <c r="E916" s="334" t="n"/>
      <c r="F916" s="334" t="n"/>
      <c r="G916" s="334" t="n"/>
      <c r="H916" s="334" t="n"/>
      <c r="I916" s="334" t="n"/>
      <c r="J916" s="334" t="n"/>
      <c r="K916" s="334" t="n"/>
      <c r="L916" s="334" t="n"/>
      <c r="M916" s="334" t="n"/>
      <c r="N916" s="334" t="n"/>
      <c r="O916" s="334" t="n"/>
      <c r="P916" s="334" t="n"/>
      <c r="Q916" s="334" t="n"/>
      <c r="R916" s="334" t="n"/>
      <c r="S916" s="334" t="n"/>
      <c r="T916" s="334" t="n"/>
    </row>
    <row r="917">
      <c r="A917" s="334" t="n"/>
      <c r="B917" s="334" t="n"/>
      <c r="C917" s="334" t="n"/>
      <c r="D917" s="334" t="n"/>
      <c r="E917" s="334" t="n"/>
      <c r="F917" s="334" t="n"/>
      <c r="G917" s="334" t="n"/>
      <c r="H917" s="334" t="n"/>
      <c r="I917" s="334" t="n"/>
      <c r="J917" s="334" t="n"/>
      <c r="K917" s="334" t="n"/>
      <c r="L917" s="334" t="n"/>
      <c r="M917" s="334" t="n"/>
      <c r="N917" s="334" t="n"/>
      <c r="O917" s="334" t="n"/>
      <c r="P917" s="334" t="n"/>
      <c r="Q917" s="334" t="n"/>
      <c r="R917" s="334" t="n"/>
      <c r="S917" s="334" t="n"/>
      <c r="T917" s="334" t="n"/>
    </row>
    <row r="918">
      <c r="A918" s="334" t="n"/>
      <c r="B918" s="334" t="n"/>
      <c r="C918" s="334" t="n"/>
      <c r="D918" s="334" t="n"/>
      <c r="E918" s="334" t="n"/>
      <c r="F918" s="334" t="n"/>
      <c r="G918" s="334" t="n"/>
      <c r="H918" s="334" t="n"/>
      <c r="I918" s="334" t="n"/>
      <c r="J918" s="334" t="n"/>
      <c r="K918" s="334" t="n"/>
      <c r="L918" s="334" t="n"/>
      <c r="M918" s="334" t="n"/>
      <c r="N918" s="334" t="n"/>
      <c r="O918" s="334" t="n"/>
      <c r="P918" s="334" t="n"/>
      <c r="Q918" s="334" t="n"/>
      <c r="R918" s="334" t="n"/>
      <c r="S918" s="334" t="n"/>
      <c r="T918" s="334" t="n"/>
    </row>
    <row r="919">
      <c r="A919" s="334" t="n"/>
      <c r="B919" s="334" t="n"/>
      <c r="C919" s="334" t="n"/>
      <c r="D919" s="334" t="n"/>
      <c r="E919" s="334" t="n"/>
      <c r="F919" s="334" t="n"/>
      <c r="G919" s="334" t="n"/>
      <c r="H919" s="334" t="n"/>
      <c r="I919" s="334" t="n"/>
      <c r="J919" s="334" t="n"/>
      <c r="K919" s="334" t="n"/>
      <c r="L919" s="334" t="n"/>
      <c r="M919" s="334" t="n"/>
      <c r="N919" s="334" t="n"/>
      <c r="O919" s="334" t="n"/>
      <c r="P919" s="334" t="n"/>
      <c r="Q919" s="334" t="n"/>
      <c r="R919" s="334" t="n"/>
      <c r="S919" s="334" t="n"/>
      <c r="T919" s="334" t="n"/>
    </row>
    <row r="920">
      <c r="A920" s="334" t="n"/>
      <c r="B920" s="334" t="n"/>
      <c r="C920" s="334" t="n"/>
      <c r="D920" s="334" t="n"/>
      <c r="E920" s="334" t="n"/>
      <c r="F920" s="334" t="n"/>
      <c r="G920" s="334" t="n"/>
      <c r="H920" s="334" t="n"/>
      <c r="I920" s="334" t="n"/>
      <c r="J920" s="334" t="n"/>
      <c r="K920" s="334" t="n"/>
      <c r="L920" s="334" t="n"/>
      <c r="M920" s="334" t="n"/>
      <c r="N920" s="334" t="n"/>
      <c r="O920" s="334" t="n"/>
      <c r="P920" s="334" t="n"/>
      <c r="Q920" s="334" t="n"/>
      <c r="R920" s="334" t="n"/>
      <c r="S920" s="334" t="n"/>
      <c r="T920" s="334" t="n"/>
    </row>
    <row r="921">
      <c r="A921" s="334" t="n"/>
      <c r="B921" s="334" t="n"/>
      <c r="C921" s="334" t="n"/>
      <c r="D921" s="334" t="n"/>
      <c r="E921" s="334" t="n"/>
      <c r="F921" s="334" t="n"/>
      <c r="G921" s="334" t="n"/>
      <c r="H921" s="334" t="n"/>
      <c r="I921" s="334" t="n"/>
      <c r="J921" s="334" t="n"/>
      <c r="K921" s="334" t="n"/>
      <c r="L921" s="334" t="n"/>
      <c r="M921" s="334" t="n"/>
      <c r="N921" s="334" t="n"/>
      <c r="O921" s="334" t="n"/>
      <c r="P921" s="334" t="n"/>
      <c r="Q921" s="334" t="n"/>
      <c r="R921" s="334" t="n"/>
      <c r="S921" s="334" t="n"/>
      <c r="T921" s="334" t="n"/>
    </row>
    <row r="922">
      <c r="A922" s="334" t="n"/>
      <c r="B922" s="334" t="n"/>
      <c r="C922" s="334" t="n"/>
      <c r="D922" s="334" t="n"/>
      <c r="E922" s="334" t="n"/>
      <c r="F922" s="334" t="n"/>
      <c r="G922" s="334" t="n"/>
      <c r="H922" s="334" t="n"/>
      <c r="I922" s="334" t="n"/>
      <c r="J922" s="334" t="n"/>
      <c r="K922" s="334" t="n"/>
      <c r="L922" s="334" t="n"/>
      <c r="M922" s="334" t="n"/>
      <c r="N922" s="334" t="n"/>
      <c r="O922" s="334" t="n"/>
      <c r="P922" s="334" t="n"/>
      <c r="Q922" s="334" t="n"/>
      <c r="R922" s="334" t="n"/>
      <c r="S922" s="334" t="n"/>
      <c r="T922" s="334" t="n"/>
    </row>
    <row r="923">
      <c r="A923" s="334" t="n"/>
      <c r="B923" s="334" t="n"/>
      <c r="C923" s="334" t="n"/>
      <c r="D923" s="334" t="n"/>
      <c r="E923" s="334" t="n"/>
      <c r="F923" s="334" t="n"/>
      <c r="G923" s="334" t="n"/>
      <c r="H923" s="334" t="n"/>
      <c r="I923" s="334" t="n"/>
      <c r="J923" s="334" t="n"/>
      <c r="K923" s="334" t="n"/>
      <c r="L923" s="334" t="n"/>
      <c r="M923" s="334" t="n"/>
      <c r="N923" s="334" t="n"/>
      <c r="O923" s="334" t="n"/>
      <c r="P923" s="334" t="n"/>
      <c r="Q923" s="334" t="n"/>
      <c r="R923" s="334" t="n"/>
      <c r="S923" s="334" t="n"/>
      <c r="T923" s="334" t="n"/>
    </row>
    <row r="924">
      <c r="A924" s="334" t="n"/>
      <c r="B924" s="334" t="n"/>
      <c r="C924" s="334" t="n"/>
      <c r="D924" s="334" t="n"/>
      <c r="E924" s="334" t="n"/>
      <c r="F924" s="334" t="n"/>
      <c r="G924" s="334" t="n"/>
      <c r="H924" s="334" t="n"/>
      <c r="I924" s="334" t="n"/>
      <c r="J924" s="334" t="n"/>
      <c r="K924" s="334" t="n"/>
      <c r="L924" s="334" t="n"/>
      <c r="M924" s="334" t="n"/>
      <c r="N924" s="334" t="n"/>
      <c r="O924" s="334" t="n"/>
      <c r="P924" s="334" t="n"/>
      <c r="Q924" s="334" t="n"/>
      <c r="R924" s="334" t="n"/>
      <c r="S924" s="334" t="n"/>
      <c r="T924" s="334" t="n"/>
    </row>
    <row r="925">
      <c r="A925" s="334" t="n"/>
      <c r="B925" s="334" t="n"/>
      <c r="C925" s="334" t="n"/>
      <c r="D925" s="334" t="n"/>
      <c r="E925" s="334" t="n"/>
      <c r="F925" s="334" t="n"/>
      <c r="G925" s="334" t="n"/>
      <c r="H925" s="334" t="n"/>
      <c r="I925" s="334" t="n"/>
      <c r="J925" s="334" t="n"/>
      <c r="K925" s="334" t="n"/>
      <c r="L925" s="334" t="n"/>
      <c r="M925" s="334" t="n"/>
      <c r="N925" s="334" t="n"/>
      <c r="O925" s="334" t="n"/>
      <c r="P925" s="334" t="n"/>
      <c r="Q925" s="334" t="n"/>
      <c r="R925" s="334" t="n"/>
      <c r="S925" s="334" t="n"/>
      <c r="T925" s="334" t="n"/>
    </row>
    <row r="926">
      <c r="A926" s="334" t="n"/>
      <c r="B926" s="334" t="n"/>
      <c r="C926" s="334" t="n"/>
      <c r="D926" s="334" t="n"/>
      <c r="E926" s="334" t="n"/>
      <c r="F926" s="334" t="n"/>
      <c r="G926" s="334" t="n"/>
      <c r="H926" s="334" t="n"/>
      <c r="I926" s="334" t="n"/>
      <c r="J926" s="334" t="n"/>
      <c r="K926" s="334" t="n"/>
      <c r="L926" s="334" t="n"/>
      <c r="M926" s="334" t="n"/>
      <c r="N926" s="334" t="n"/>
      <c r="O926" s="334" t="n"/>
      <c r="P926" s="334" t="n"/>
      <c r="Q926" s="334" t="n"/>
      <c r="R926" s="334" t="n"/>
      <c r="S926" s="334" t="n"/>
      <c r="T926" s="334" t="n"/>
    </row>
    <row r="927">
      <c r="A927" s="334" t="n"/>
      <c r="B927" s="334" t="n"/>
      <c r="C927" s="334" t="n"/>
      <c r="D927" s="334" t="n"/>
      <c r="E927" s="334" t="n"/>
      <c r="F927" s="334" t="n"/>
      <c r="G927" s="334" t="n"/>
      <c r="H927" s="334" t="n"/>
      <c r="I927" s="334" t="n"/>
      <c r="J927" s="334" t="n"/>
      <c r="K927" s="334" t="n"/>
      <c r="L927" s="334" t="n"/>
      <c r="M927" s="334" t="n"/>
      <c r="N927" s="334" t="n"/>
      <c r="O927" s="334" t="n"/>
      <c r="P927" s="334" t="n"/>
      <c r="Q927" s="334" t="n"/>
      <c r="R927" s="334" t="n"/>
      <c r="S927" s="334" t="n"/>
      <c r="T927" s="334" t="n"/>
    </row>
    <row r="928">
      <c r="A928" s="334" t="n"/>
      <c r="B928" s="334" t="n"/>
      <c r="C928" s="334" t="n"/>
      <c r="D928" s="334" t="n"/>
      <c r="E928" s="334" t="n"/>
      <c r="F928" s="334" t="n"/>
      <c r="G928" s="334" t="n"/>
      <c r="H928" s="334" t="n"/>
      <c r="I928" s="334" t="n"/>
      <c r="J928" s="334" t="n"/>
      <c r="K928" s="334" t="n"/>
      <c r="L928" s="334" t="n"/>
      <c r="M928" s="334" t="n"/>
      <c r="N928" s="334" t="n"/>
      <c r="O928" s="334" t="n"/>
      <c r="P928" s="334" t="n"/>
      <c r="Q928" s="334" t="n"/>
      <c r="R928" s="334" t="n"/>
      <c r="S928" s="334" t="n"/>
      <c r="T928" s="334" t="n"/>
    </row>
    <row r="929">
      <c r="A929" s="334" t="n"/>
      <c r="B929" s="334" t="n"/>
      <c r="C929" s="334" t="n"/>
      <c r="D929" s="334" t="n"/>
      <c r="E929" s="334" t="n"/>
      <c r="F929" s="334" t="n"/>
      <c r="G929" s="334" t="n"/>
      <c r="H929" s="334" t="n"/>
      <c r="I929" s="334" t="n"/>
      <c r="J929" s="334" t="n"/>
      <c r="K929" s="334" t="n"/>
      <c r="L929" s="334" t="n"/>
      <c r="M929" s="334" t="n"/>
      <c r="N929" s="334" t="n"/>
      <c r="O929" s="334" t="n"/>
      <c r="P929" s="334" t="n"/>
      <c r="Q929" s="334" t="n"/>
      <c r="R929" s="334" t="n"/>
      <c r="S929" s="334" t="n"/>
      <c r="T929" s="334" t="n"/>
    </row>
    <row r="930">
      <c r="A930" s="334" t="n"/>
      <c r="B930" s="334" t="n"/>
      <c r="C930" s="334" t="n"/>
      <c r="D930" s="334" t="n"/>
      <c r="E930" s="334" t="n"/>
      <c r="F930" s="334" t="n"/>
      <c r="G930" s="334" t="n"/>
      <c r="H930" s="334" t="n"/>
      <c r="I930" s="334" t="n"/>
      <c r="J930" s="334" t="n"/>
      <c r="K930" s="334" t="n"/>
      <c r="L930" s="334" t="n"/>
      <c r="M930" s="334" t="n"/>
      <c r="N930" s="334" t="n"/>
      <c r="O930" s="334" t="n"/>
      <c r="P930" s="334" t="n"/>
      <c r="Q930" s="334" t="n"/>
      <c r="R930" s="334" t="n"/>
      <c r="S930" s="334" t="n"/>
      <c r="T930" s="334" t="n"/>
    </row>
    <row r="931">
      <c r="A931" s="334" t="n"/>
      <c r="B931" s="334" t="n"/>
      <c r="C931" s="334" t="n"/>
      <c r="D931" s="334" t="n"/>
      <c r="E931" s="334" t="n"/>
      <c r="F931" s="334" t="n"/>
      <c r="G931" s="334" t="n"/>
      <c r="H931" s="334" t="n"/>
      <c r="I931" s="334" t="n"/>
      <c r="J931" s="334" t="n"/>
      <c r="K931" s="334" t="n"/>
      <c r="L931" s="334" t="n"/>
      <c r="M931" s="334" t="n"/>
      <c r="N931" s="334" t="n"/>
      <c r="O931" s="334" t="n"/>
      <c r="P931" s="334" t="n"/>
      <c r="Q931" s="334" t="n"/>
      <c r="R931" s="334" t="n"/>
      <c r="S931" s="334" t="n"/>
      <c r="T931" s="334" t="n"/>
    </row>
    <row r="932">
      <c r="A932" s="334" t="n"/>
      <c r="B932" s="334" t="n"/>
      <c r="C932" s="334" t="n"/>
      <c r="D932" s="334" t="n"/>
      <c r="E932" s="334" t="n"/>
      <c r="F932" s="334" t="n"/>
      <c r="G932" s="334" t="n"/>
      <c r="H932" s="334" t="n"/>
      <c r="I932" s="334" t="n"/>
      <c r="J932" s="334" t="n"/>
      <c r="K932" s="334" t="n"/>
      <c r="L932" s="334" t="n"/>
      <c r="M932" s="334" t="n"/>
      <c r="N932" s="334" t="n"/>
      <c r="O932" s="334" t="n"/>
      <c r="P932" s="334" t="n"/>
      <c r="Q932" s="334" t="n"/>
      <c r="R932" s="334" t="n"/>
      <c r="S932" s="334" t="n"/>
      <c r="T932" s="334" t="n"/>
    </row>
    <row r="933">
      <c r="A933" s="334" t="n"/>
      <c r="B933" s="334" t="n"/>
      <c r="C933" s="334" t="n"/>
      <c r="D933" s="334" t="n"/>
      <c r="E933" s="334" t="n"/>
      <c r="F933" s="334" t="n"/>
      <c r="G933" s="334" t="n"/>
      <c r="H933" s="334" t="n"/>
      <c r="I933" s="334" t="n"/>
      <c r="J933" s="334" t="n"/>
      <c r="K933" s="334" t="n"/>
      <c r="L933" s="334" t="n"/>
      <c r="M933" s="334" t="n"/>
      <c r="N933" s="334" t="n"/>
      <c r="O933" s="334" t="n"/>
      <c r="P933" s="334" t="n"/>
      <c r="Q933" s="334" t="n"/>
      <c r="R933" s="334" t="n"/>
      <c r="S933" s="334" t="n"/>
      <c r="T933" s="334" t="n"/>
    </row>
    <row r="934">
      <c r="A934" s="334" t="n"/>
      <c r="B934" s="334" t="n"/>
      <c r="C934" s="334" t="n"/>
      <c r="D934" s="334" t="n"/>
      <c r="E934" s="334" t="n"/>
      <c r="F934" s="334" t="n"/>
      <c r="G934" s="334" t="n"/>
      <c r="H934" s="334" t="n"/>
      <c r="I934" s="334" t="n"/>
      <c r="J934" s="334" t="n"/>
      <c r="K934" s="334" t="n"/>
      <c r="L934" s="334" t="n"/>
      <c r="M934" s="334" t="n"/>
      <c r="N934" s="334" t="n"/>
      <c r="O934" s="334" t="n"/>
      <c r="P934" s="334" t="n"/>
      <c r="Q934" s="334" t="n"/>
      <c r="R934" s="334" t="n"/>
      <c r="S934" s="334" t="n"/>
      <c r="T934" s="334" t="n"/>
    </row>
    <row r="935">
      <c r="A935" s="334" t="n"/>
      <c r="B935" s="334" t="n"/>
      <c r="C935" s="334" t="n"/>
      <c r="D935" s="334" t="n"/>
      <c r="E935" s="334" t="n"/>
      <c r="F935" s="334" t="n"/>
      <c r="G935" s="334" t="n"/>
      <c r="H935" s="334" t="n"/>
      <c r="I935" s="334" t="n"/>
      <c r="J935" s="334" t="n"/>
      <c r="K935" s="334" t="n"/>
      <c r="L935" s="334" t="n"/>
      <c r="M935" s="334" t="n"/>
      <c r="N935" s="334" t="n"/>
      <c r="O935" s="334" t="n"/>
      <c r="P935" s="334" t="n"/>
      <c r="Q935" s="334" t="n"/>
      <c r="R935" s="334" t="n"/>
      <c r="S935" s="334" t="n"/>
      <c r="T935" s="334" t="n"/>
    </row>
    <row r="936">
      <c r="A936" s="334" t="n"/>
      <c r="B936" s="334" t="n"/>
      <c r="C936" s="334" t="n"/>
      <c r="D936" s="334" t="n"/>
      <c r="E936" s="334" t="n"/>
      <c r="F936" s="334" t="n"/>
      <c r="G936" s="334" t="n"/>
      <c r="H936" s="334" t="n"/>
      <c r="I936" s="334" t="n"/>
      <c r="J936" s="334" t="n"/>
      <c r="K936" s="334" t="n"/>
      <c r="L936" s="334" t="n"/>
      <c r="M936" s="334" t="n"/>
      <c r="N936" s="334" t="n"/>
      <c r="O936" s="334" t="n"/>
      <c r="P936" s="334" t="n"/>
      <c r="Q936" s="334" t="n"/>
      <c r="R936" s="334" t="n"/>
      <c r="S936" s="334" t="n"/>
      <c r="T936" s="334" t="n"/>
    </row>
    <row r="937">
      <c r="A937" s="334" t="n"/>
      <c r="B937" s="334" t="n"/>
      <c r="C937" s="334" t="n"/>
      <c r="D937" s="334" t="n"/>
      <c r="E937" s="334" t="n"/>
      <c r="F937" s="334" t="n"/>
      <c r="G937" s="334" t="n"/>
      <c r="H937" s="334" t="n"/>
      <c r="I937" s="334" t="n"/>
      <c r="J937" s="334" t="n"/>
      <c r="K937" s="334" t="n"/>
      <c r="L937" s="334" t="n"/>
      <c r="M937" s="334" t="n"/>
      <c r="N937" s="334" t="n"/>
      <c r="O937" s="334" t="n"/>
      <c r="P937" s="334" t="n"/>
      <c r="Q937" s="334" t="n"/>
      <c r="R937" s="334" t="n"/>
      <c r="S937" s="334" t="n"/>
      <c r="T937" s="334" t="n"/>
    </row>
    <row r="938">
      <c r="A938" s="334" t="n"/>
      <c r="B938" s="334" t="n"/>
      <c r="C938" s="334" t="n"/>
      <c r="D938" s="334" t="n"/>
      <c r="E938" s="334" t="n"/>
      <c r="F938" s="334" t="n"/>
      <c r="G938" s="334" t="n"/>
      <c r="H938" s="334" t="n"/>
      <c r="I938" s="334" t="n"/>
      <c r="J938" s="334" t="n"/>
      <c r="K938" s="334" t="n"/>
      <c r="L938" s="334" t="n"/>
      <c r="M938" s="334" t="n"/>
      <c r="N938" s="334" t="n"/>
      <c r="O938" s="334" t="n"/>
      <c r="P938" s="334" t="n"/>
      <c r="Q938" s="334" t="n"/>
      <c r="R938" s="334" t="n"/>
      <c r="S938" s="334" t="n"/>
      <c r="T938" s="334" t="n"/>
    </row>
    <row r="939">
      <c r="A939" s="334" t="n"/>
      <c r="B939" s="334" t="n"/>
      <c r="C939" s="334" t="n"/>
      <c r="D939" s="334" t="n"/>
      <c r="E939" s="334" t="n"/>
      <c r="F939" s="334" t="n"/>
      <c r="G939" s="334" t="n"/>
      <c r="H939" s="334" t="n"/>
      <c r="I939" s="334" t="n"/>
      <c r="J939" s="334" t="n"/>
      <c r="K939" s="334" t="n"/>
      <c r="L939" s="334" t="n"/>
      <c r="M939" s="334" t="n"/>
      <c r="N939" s="334" t="n"/>
      <c r="O939" s="334" t="n"/>
      <c r="P939" s="334" t="n"/>
      <c r="Q939" s="334" t="n"/>
      <c r="R939" s="334" t="n"/>
      <c r="S939" s="334" t="n"/>
      <c r="T939" s="334" t="n"/>
    </row>
    <row r="940">
      <c r="A940" s="334" t="n"/>
      <c r="B940" s="334" t="n"/>
      <c r="C940" s="334" t="n"/>
      <c r="D940" s="334" t="n"/>
      <c r="E940" s="334" t="n"/>
      <c r="F940" s="334" t="n"/>
      <c r="G940" s="334" t="n"/>
      <c r="H940" s="334" t="n"/>
      <c r="I940" s="334" t="n"/>
      <c r="J940" s="334" t="n"/>
      <c r="K940" s="334" t="n"/>
      <c r="L940" s="334" t="n"/>
      <c r="M940" s="334" t="n"/>
      <c r="N940" s="334" t="n"/>
      <c r="O940" s="334" t="n"/>
      <c r="P940" s="334" t="n"/>
      <c r="Q940" s="334" t="n"/>
      <c r="R940" s="334" t="n"/>
      <c r="S940" s="334" t="n"/>
      <c r="T940" s="334" t="n"/>
    </row>
    <row r="941">
      <c r="A941" s="334" t="n"/>
      <c r="B941" s="334" t="n"/>
      <c r="C941" s="334" t="n"/>
      <c r="D941" s="334" t="n"/>
      <c r="E941" s="334" t="n"/>
      <c r="F941" s="334" t="n"/>
      <c r="G941" s="334" t="n"/>
      <c r="H941" s="334" t="n"/>
      <c r="I941" s="334" t="n"/>
      <c r="J941" s="334" t="n"/>
      <c r="K941" s="334" t="n"/>
      <c r="L941" s="334" t="n"/>
      <c r="M941" s="334" t="n"/>
      <c r="N941" s="334" t="n"/>
      <c r="O941" s="334" t="n"/>
      <c r="P941" s="334" t="n"/>
      <c r="Q941" s="334" t="n"/>
      <c r="R941" s="334" t="n"/>
      <c r="S941" s="334" t="n"/>
      <c r="T941" s="334" t="n"/>
    </row>
    <row r="942">
      <c r="A942" s="334" t="n"/>
      <c r="B942" s="334" t="n"/>
      <c r="C942" s="334" t="n"/>
      <c r="D942" s="334" t="n"/>
      <c r="E942" s="334" t="n"/>
      <c r="F942" s="334" t="n"/>
      <c r="G942" s="334" t="n"/>
      <c r="H942" s="334" t="n"/>
      <c r="I942" s="334" t="n"/>
      <c r="J942" s="334" t="n"/>
      <c r="K942" s="334" t="n"/>
      <c r="L942" s="334" t="n"/>
      <c r="M942" s="334" t="n"/>
      <c r="N942" s="334" t="n"/>
      <c r="O942" s="334" t="n"/>
      <c r="P942" s="334" t="n"/>
      <c r="Q942" s="334" t="n"/>
      <c r="R942" s="334" t="n"/>
      <c r="S942" s="334" t="n"/>
      <c r="T942" s="334" t="n"/>
    </row>
    <row r="943">
      <c r="A943" s="334" t="n"/>
      <c r="B943" s="334" t="n"/>
      <c r="C943" s="334" t="n"/>
      <c r="D943" s="334" t="n"/>
      <c r="E943" s="334" t="n"/>
      <c r="F943" s="334" t="n"/>
      <c r="G943" s="334" t="n"/>
      <c r="H943" s="334" t="n"/>
      <c r="I943" s="334" t="n"/>
      <c r="J943" s="334" t="n"/>
      <c r="K943" s="334" t="n"/>
      <c r="L943" s="334" t="n"/>
      <c r="M943" s="334" t="n"/>
      <c r="N943" s="334" t="n"/>
      <c r="O943" s="334" t="n"/>
      <c r="P943" s="334" t="n"/>
      <c r="Q943" s="334" t="n"/>
      <c r="R943" s="334" t="n"/>
      <c r="S943" s="334" t="n"/>
      <c r="T943" s="334" t="n"/>
    </row>
    <row r="944">
      <c r="A944" s="334" t="n"/>
      <c r="B944" s="334" t="n"/>
      <c r="C944" s="334" t="n"/>
      <c r="D944" s="334" t="n"/>
      <c r="E944" s="334" t="n"/>
      <c r="F944" s="334" t="n"/>
      <c r="G944" s="334" t="n"/>
      <c r="H944" s="334" t="n"/>
      <c r="I944" s="334" t="n"/>
      <c r="J944" s="334" t="n"/>
      <c r="K944" s="334" t="n"/>
      <c r="L944" s="334" t="n"/>
      <c r="M944" s="334" t="n"/>
      <c r="N944" s="334" t="n"/>
      <c r="O944" s="334" t="n"/>
      <c r="P944" s="334" t="n"/>
      <c r="Q944" s="334" t="n"/>
      <c r="R944" s="334" t="n"/>
      <c r="S944" s="334" t="n"/>
      <c r="T944" s="334" t="n"/>
    </row>
    <row r="945">
      <c r="A945" s="334" t="n"/>
      <c r="B945" s="334" t="n"/>
      <c r="C945" s="334" t="n"/>
      <c r="D945" s="334" t="n"/>
      <c r="E945" s="334" t="n"/>
      <c r="F945" s="334" t="n"/>
      <c r="G945" s="334" t="n"/>
      <c r="H945" s="334" t="n"/>
      <c r="I945" s="334" t="n"/>
      <c r="J945" s="334" t="n"/>
      <c r="K945" s="334" t="n"/>
      <c r="L945" s="334" t="n"/>
      <c r="M945" s="334" t="n"/>
      <c r="N945" s="334" t="n"/>
      <c r="O945" s="334" t="n"/>
      <c r="P945" s="334" t="n"/>
      <c r="Q945" s="334" t="n"/>
      <c r="R945" s="334" t="n"/>
      <c r="S945" s="334" t="n"/>
      <c r="T945" s="334" t="n"/>
    </row>
    <row r="946">
      <c r="A946" s="334" t="n"/>
      <c r="B946" s="334" t="n"/>
      <c r="C946" s="334" t="n"/>
      <c r="D946" s="334" t="n"/>
      <c r="E946" s="334" t="n"/>
      <c r="F946" s="334" t="n"/>
      <c r="G946" s="334" t="n"/>
      <c r="H946" s="334" t="n"/>
      <c r="I946" s="334" t="n"/>
      <c r="J946" s="334" t="n"/>
      <c r="K946" s="334" t="n"/>
      <c r="L946" s="334" t="n"/>
      <c r="M946" s="334" t="n"/>
      <c r="N946" s="334" t="n"/>
      <c r="O946" s="334" t="n"/>
      <c r="P946" s="334" t="n"/>
      <c r="Q946" s="334" t="n"/>
      <c r="R946" s="334" t="n"/>
      <c r="S946" s="334" t="n"/>
      <c r="T946" s="334" t="n"/>
    </row>
    <row r="947">
      <c r="A947" s="334" t="n"/>
      <c r="B947" s="334" t="n"/>
      <c r="C947" s="334" t="n"/>
      <c r="D947" s="334" t="n"/>
      <c r="E947" s="334" t="n"/>
      <c r="F947" s="334" t="n"/>
      <c r="G947" s="334" t="n"/>
      <c r="H947" s="334" t="n"/>
      <c r="I947" s="334" t="n"/>
      <c r="J947" s="334" t="n"/>
      <c r="K947" s="334" t="n"/>
      <c r="L947" s="334" t="n"/>
      <c r="M947" s="334" t="n"/>
      <c r="N947" s="334" t="n"/>
      <c r="O947" s="334" t="n"/>
      <c r="P947" s="334" t="n"/>
      <c r="Q947" s="334" t="n"/>
      <c r="R947" s="334" t="n"/>
      <c r="S947" s="334" t="n"/>
      <c r="T947" s="334" t="n"/>
    </row>
    <row r="948">
      <c r="A948" s="334" t="n"/>
      <c r="B948" s="334" t="n"/>
      <c r="C948" s="334" t="n"/>
      <c r="D948" s="334" t="n"/>
      <c r="E948" s="334" t="n"/>
      <c r="F948" s="334" t="n"/>
      <c r="G948" s="334" t="n"/>
      <c r="H948" s="334" t="n"/>
      <c r="I948" s="334" t="n"/>
      <c r="J948" s="334" t="n"/>
      <c r="K948" s="334" t="n"/>
      <c r="L948" s="334" t="n"/>
      <c r="M948" s="334" t="n"/>
      <c r="N948" s="334" t="n"/>
      <c r="O948" s="334" t="n"/>
      <c r="P948" s="334" t="n"/>
      <c r="Q948" s="334" t="n"/>
      <c r="R948" s="334" t="n"/>
      <c r="S948" s="334" t="n"/>
      <c r="T948" s="334" t="n"/>
    </row>
    <row r="949">
      <c r="A949" s="334" t="n"/>
      <c r="B949" s="334" t="n"/>
      <c r="C949" s="334" t="n"/>
      <c r="D949" s="334" t="n"/>
      <c r="E949" s="334" t="n"/>
      <c r="F949" s="334" t="n"/>
      <c r="G949" s="334" t="n"/>
      <c r="H949" s="334" t="n"/>
      <c r="I949" s="334" t="n"/>
      <c r="J949" s="334" t="n"/>
      <c r="K949" s="334" t="n"/>
      <c r="L949" s="334" t="n"/>
      <c r="M949" s="334" t="n"/>
      <c r="N949" s="334" t="n"/>
      <c r="O949" s="334" t="n"/>
      <c r="P949" s="334" t="n"/>
      <c r="Q949" s="334" t="n"/>
      <c r="R949" s="334" t="n"/>
      <c r="S949" s="334" t="n"/>
      <c r="T949" s="334" t="n"/>
    </row>
    <row r="950">
      <c r="A950" s="334" t="n"/>
      <c r="B950" s="334" t="n"/>
      <c r="C950" s="334" t="n"/>
      <c r="D950" s="334" t="n"/>
      <c r="E950" s="334" t="n"/>
      <c r="F950" s="334" t="n"/>
      <c r="G950" s="334" t="n"/>
      <c r="H950" s="334" t="n"/>
      <c r="I950" s="334" t="n"/>
      <c r="J950" s="334" t="n"/>
      <c r="K950" s="334" t="n"/>
      <c r="L950" s="334" t="n"/>
      <c r="M950" s="334" t="n"/>
      <c r="N950" s="334" t="n"/>
      <c r="O950" s="334" t="n"/>
      <c r="P950" s="334" t="n"/>
      <c r="Q950" s="334" t="n"/>
      <c r="R950" s="334" t="n"/>
      <c r="S950" s="334" t="n"/>
      <c r="T950" s="334" t="n"/>
    </row>
    <row r="951">
      <c r="A951" s="334" t="n"/>
      <c r="B951" s="334" t="n"/>
      <c r="C951" s="334" t="n"/>
      <c r="D951" s="334" t="n"/>
      <c r="E951" s="334" t="n"/>
      <c r="F951" s="334" t="n"/>
      <c r="G951" s="334" t="n"/>
      <c r="H951" s="334" t="n"/>
      <c r="I951" s="334" t="n"/>
      <c r="J951" s="334" t="n"/>
      <c r="K951" s="334" t="n"/>
      <c r="L951" s="334" t="n"/>
      <c r="M951" s="334" t="n"/>
      <c r="N951" s="334" t="n"/>
      <c r="O951" s="334" t="n"/>
      <c r="P951" s="334" t="n"/>
      <c r="Q951" s="334" t="n"/>
      <c r="R951" s="334" t="n"/>
      <c r="S951" s="334" t="n"/>
      <c r="T951" s="334" t="n"/>
    </row>
    <row r="952">
      <c r="A952" s="334" t="n"/>
      <c r="B952" s="334" t="n"/>
      <c r="C952" s="334" t="n"/>
      <c r="D952" s="334" t="n"/>
      <c r="E952" s="334" t="n"/>
      <c r="F952" s="334" t="n"/>
      <c r="G952" s="334" t="n"/>
      <c r="H952" s="334" t="n"/>
      <c r="I952" s="334" t="n"/>
      <c r="J952" s="334" t="n"/>
      <c r="K952" s="334" t="n"/>
      <c r="L952" s="334" t="n"/>
      <c r="M952" s="334" t="n"/>
      <c r="N952" s="334" t="n"/>
      <c r="O952" s="334" t="n"/>
      <c r="P952" s="334" t="n"/>
      <c r="Q952" s="334" t="n"/>
      <c r="R952" s="334" t="n"/>
      <c r="S952" s="334" t="n"/>
      <c r="T952" s="334" t="n"/>
    </row>
    <row r="953">
      <c r="A953" s="334" t="n"/>
      <c r="B953" s="334" t="n"/>
      <c r="C953" s="334" t="n"/>
      <c r="D953" s="334" t="n"/>
      <c r="E953" s="334" t="n"/>
      <c r="F953" s="334" t="n"/>
      <c r="G953" s="334" t="n"/>
      <c r="H953" s="334" t="n"/>
      <c r="I953" s="334" t="n"/>
      <c r="J953" s="334" t="n"/>
      <c r="K953" s="334" t="n"/>
      <c r="L953" s="334" t="n"/>
      <c r="M953" s="334" t="n"/>
      <c r="N953" s="334" t="n"/>
      <c r="O953" s="334" t="n"/>
      <c r="P953" s="334" t="n"/>
      <c r="Q953" s="334" t="n"/>
      <c r="R953" s="334" t="n"/>
      <c r="S953" s="334" t="n"/>
      <c r="T953" s="334" t="n"/>
    </row>
    <row r="954">
      <c r="A954" s="334" t="n"/>
      <c r="B954" s="334" t="n"/>
      <c r="C954" s="334" t="n"/>
      <c r="D954" s="334" t="n"/>
      <c r="E954" s="334" t="n"/>
      <c r="F954" s="334" t="n"/>
      <c r="G954" s="334" t="n"/>
      <c r="H954" s="334" t="n"/>
      <c r="I954" s="334" t="n"/>
      <c r="J954" s="334" t="n"/>
      <c r="K954" s="334" t="n"/>
      <c r="L954" s="334" t="n"/>
      <c r="M954" s="334" t="n"/>
      <c r="N954" s="334" t="n"/>
      <c r="O954" s="334" t="n"/>
      <c r="P954" s="334" t="n"/>
      <c r="Q954" s="334" t="n"/>
      <c r="R954" s="334" t="n"/>
      <c r="S954" s="334" t="n"/>
      <c r="T954" s="334" t="n"/>
    </row>
    <row r="955">
      <c r="A955" s="334" t="n"/>
      <c r="B955" s="334" t="n"/>
      <c r="C955" s="334" t="n"/>
      <c r="D955" s="334" t="n"/>
      <c r="E955" s="334" t="n"/>
      <c r="F955" s="334" t="n"/>
      <c r="G955" s="334" t="n"/>
      <c r="H955" s="334" t="n"/>
      <c r="I955" s="334" t="n"/>
      <c r="J955" s="334" t="n"/>
      <c r="K955" s="334" t="n"/>
      <c r="L955" s="334" t="n"/>
      <c r="M955" s="334" t="n"/>
      <c r="N955" s="334" t="n"/>
      <c r="O955" s="334" t="n"/>
      <c r="P955" s="334" t="n"/>
      <c r="Q955" s="334" t="n"/>
      <c r="R955" s="334" t="n"/>
      <c r="S955" s="334" t="n"/>
      <c r="T955" s="334" t="n"/>
    </row>
    <row r="956">
      <c r="A956" s="334" t="n"/>
      <c r="B956" s="334" t="n"/>
      <c r="C956" s="334" t="n"/>
      <c r="D956" s="334" t="n"/>
      <c r="E956" s="334" t="n"/>
      <c r="F956" s="334" t="n"/>
      <c r="G956" s="334" t="n"/>
      <c r="H956" s="334" t="n"/>
      <c r="I956" s="334" t="n"/>
      <c r="J956" s="334" t="n"/>
      <c r="K956" s="334" t="n"/>
      <c r="L956" s="334" t="n"/>
      <c r="M956" s="334" t="n"/>
      <c r="N956" s="334" t="n"/>
      <c r="O956" s="334" t="n"/>
      <c r="P956" s="334" t="n"/>
      <c r="Q956" s="334" t="n"/>
      <c r="R956" s="334" t="n"/>
      <c r="S956" s="334" t="n"/>
      <c r="T956" s="334" t="n"/>
    </row>
    <row r="957">
      <c r="A957" s="334" t="n"/>
      <c r="B957" s="334" t="n"/>
      <c r="C957" s="334" t="n"/>
      <c r="D957" s="334" t="n"/>
      <c r="E957" s="334" t="n"/>
      <c r="F957" s="334" t="n"/>
      <c r="G957" s="334" t="n"/>
      <c r="H957" s="334" t="n"/>
      <c r="I957" s="334" t="n"/>
      <c r="J957" s="334" t="n"/>
      <c r="K957" s="334" t="n"/>
      <c r="L957" s="334" t="n"/>
      <c r="M957" s="334" t="n"/>
      <c r="N957" s="334" t="n"/>
      <c r="O957" s="334" t="n"/>
      <c r="P957" s="334" t="n"/>
      <c r="Q957" s="334" t="n"/>
      <c r="R957" s="334" t="n"/>
      <c r="S957" s="334" t="n"/>
      <c r="T957" s="334" t="n"/>
    </row>
    <row r="958">
      <c r="A958" s="334" t="n"/>
      <c r="B958" s="334" t="n"/>
      <c r="C958" s="334" t="n"/>
      <c r="D958" s="334" t="n"/>
      <c r="E958" s="334" t="n"/>
      <c r="F958" s="334" t="n"/>
      <c r="G958" s="334" t="n"/>
      <c r="H958" s="334" t="n"/>
      <c r="I958" s="334" t="n"/>
      <c r="J958" s="334" t="n"/>
      <c r="K958" s="334" t="n"/>
      <c r="L958" s="334" t="n"/>
      <c r="M958" s="334" t="n"/>
      <c r="N958" s="334" t="n"/>
      <c r="O958" s="334" t="n"/>
      <c r="P958" s="334" t="n"/>
      <c r="Q958" s="334" t="n"/>
      <c r="R958" s="334" t="n"/>
      <c r="S958" s="334" t="n"/>
      <c r="T958" s="334" t="n"/>
    </row>
    <row r="959">
      <c r="A959" s="334" t="n"/>
      <c r="B959" s="334" t="n"/>
      <c r="C959" s="334" t="n"/>
      <c r="D959" s="334" t="n"/>
      <c r="E959" s="334" t="n"/>
      <c r="F959" s="334" t="n"/>
      <c r="G959" s="334" t="n"/>
      <c r="H959" s="334" t="n"/>
      <c r="I959" s="334" t="n"/>
      <c r="J959" s="334" t="n"/>
      <c r="K959" s="334" t="n"/>
      <c r="L959" s="334" t="n"/>
      <c r="M959" s="334" t="n"/>
      <c r="N959" s="334" t="n"/>
      <c r="O959" s="334" t="n"/>
      <c r="P959" s="334" t="n"/>
      <c r="Q959" s="334" t="n"/>
      <c r="R959" s="334" t="n"/>
      <c r="S959" s="334" t="n"/>
      <c r="T959" s="334" t="n"/>
    </row>
    <row r="960">
      <c r="A960" s="334" t="n"/>
      <c r="B960" s="334" t="n"/>
      <c r="C960" s="334" t="n"/>
      <c r="D960" s="334" t="n"/>
      <c r="E960" s="334" t="n"/>
      <c r="F960" s="334" t="n"/>
      <c r="G960" s="334" t="n"/>
      <c r="H960" s="334" t="n"/>
      <c r="I960" s="334" t="n"/>
      <c r="J960" s="334" t="n"/>
      <c r="K960" s="334" t="n"/>
      <c r="L960" s="334" t="n"/>
      <c r="M960" s="334" t="n"/>
      <c r="N960" s="334" t="n"/>
      <c r="O960" s="334" t="n"/>
      <c r="P960" s="334" t="n"/>
      <c r="Q960" s="334" t="n"/>
      <c r="R960" s="334" t="n"/>
      <c r="S960" s="334" t="n"/>
      <c r="T960" s="334" t="n"/>
    </row>
    <row r="961">
      <c r="A961" s="334" t="n"/>
      <c r="B961" s="334" t="n"/>
      <c r="C961" s="334" t="n"/>
      <c r="D961" s="334" t="n"/>
      <c r="E961" s="334" t="n"/>
      <c r="F961" s="334" t="n"/>
      <c r="G961" s="334" t="n"/>
      <c r="H961" s="334" t="n"/>
      <c r="I961" s="334" t="n"/>
      <c r="J961" s="334" t="n"/>
      <c r="K961" s="334" t="n"/>
      <c r="L961" s="334" t="n"/>
      <c r="M961" s="334" t="n"/>
      <c r="N961" s="334" t="n"/>
      <c r="O961" s="334" t="n"/>
      <c r="P961" s="334" t="n"/>
      <c r="Q961" s="334" t="n"/>
      <c r="R961" s="334" t="n"/>
      <c r="S961" s="334" t="n"/>
      <c r="T961" s="334" t="n"/>
    </row>
    <row r="962">
      <c r="A962" s="334" t="n"/>
      <c r="B962" s="334" t="n"/>
      <c r="C962" s="334" t="n"/>
      <c r="D962" s="334" t="n"/>
      <c r="E962" s="334" t="n"/>
      <c r="F962" s="334" t="n"/>
      <c r="G962" s="334" t="n"/>
      <c r="H962" s="334" t="n"/>
      <c r="I962" s="334" t="n"/>
      <c r="J962" s="334" t="n"/>
      <c r="K962" s="334" t="n"/>
      <c r="L962" s="334" t="n"/>
      <c r="M962" s="334" t="n"/>
      <c r="N962" s="334" t="n"/>
      <c r="O962" s="334" t="n"/>
      <c r="P962" s="334" t="n"/>
      <c r="Q962" s="334" t="n"/>
      <c r="R962" s="334" t="n"/>
      <c r="S962" s="334" t="n"/>
      <c r="T962" s="334" t="n"/>
    </row>
    <row r="963">
      <c r="A963" s="334" t="n"/>
      <c r="B963" s="334" t="n"/>
      <c r="C963" s="334" t="n"/>
      <c r="D963" s="334" t="n"/>
      <c r="E963" s="334" t="n"/>
      <c r="F963" s="334" t="n"/>
      <c r="G963" s="334" t="n"/>
      <c r="H963" s="334" t="n"/>
      <c r="I963" s="334" t="n"/>
      <c r="J963" s="334" t="n"/>
      <c r="K963" s="334" t="n"/>
      <c r="L963" s="334" t="n"/>
      <c r="M963" s="334" t="n"/>
      <c r="N963" s="334" t="n"/>
      <c r="O963" s="334" t="n"/>
      <c r="P963" s="334" t="n"/>
      <c r="Q963" s="334" t="n"/>
      <c r="R963" s="334" t="n"/>
      <c r="S963" s="334" t="n"/>
      <c r="T963" s="334" t="n"/>
    </row>
    <row r="964">
      <c r="A964" s="334" t="n"/>
      <c r="B964" s="334" t="n"/>
      <c r="C964" s="334" t="n"/>
      <c r="D964" s="334" t="n"/>
      <c r="E964" s="334" t="n"/>
      <c r="F964" s="334" t="n"/>
      <c r="G964" s="334" t="n"/>
      <c r="H964" s="334" t="n"/>
      <c r="I964" s="334" t="n"/>
      <c r="J964" s="334" t="n"/>
      <c r="K964" s="334" t="n"/>
      <c r="L964" s="334" t="n"/>
      <c r="M964" s="334" t="n"/>
      <c r="N964" s="334" t="n"/>
      <c r="O964" s="334" t="n"/>
      <c r="P964" s="334" t="n"/>
      <c r="Q964" s="334" t="n"/>
      <c r="R964" s="334" t="n"/>
      <c r="S964" s="334" t="n"/>
      <c r="T964" s="334" t="n"/>
    </row>
    <row r="965">
      <c r="A965" s="334" t="n"/>
      <c r="B965" s="334" t="n"/>
      <c r="C965" s="334" t="n"/>
      <c r="D965" s="334" t="n"/>
      <c r="E965" s="334" t="n"/>
      <c r="F965" s="334" t="n"/>
      <c r="G965" s="334" t="n"/>
      <c r="H965" s="334" t="n"/>
      <c r="I965" s="334" t="n"/>
      <c r="J965" s="334" t="n"/>
      <c r="K965" s="334" t="n"/>
      <c r="L965" s="334" t="n"/>
      <c r="M965" s="334" t="n"/>
      <c r="N965" s="334" t="n"/>
      <c r="O965" s="334" t="n"/>
      <c r="P965" s="334" t="n"/>
      <c r="Q965" s="334" t="n"/>
      <c r="R965" s="334" t="n"/>
      <c r="S965" s="334" t="n"/>
      <c r="T965" s="334" t="n"/>
    </row>
    <row r="966">
      <c r="A966" s="334" t="n"/>
      <c r="B966" s="334" t="n"/>
      <c r="C966" s="334" t="n"/>
      <c r="D966" s="334" t="n"/>
      <c r="E966" s="334" t="n"/>
      <c r="F966" s="334" t="n"/>
      <c r="G966" s="334" t="n"/>
      <c r="H966" s="334" t="n"/>
      <c r="I966" s="334" t="n"/>
      <c r="J966" s="334" t="n"/>
      <c r="K966" s="334" t="n"/>
      <c r="L966" s="334" t="n"/>
      <c r="M966" s="334" t="n"/>
      <c r="N966" s="334" t="n"/>
      <c r="O966" s="334" t="n"/>
      <c r="P966" s="334" t="n"/>
      <c r="Q966" s="334" t="n"/>
      <c r="R966" s="334" t="n"/>
      <c r="S966" s="334" t="n"/>
      <c r="T966" s="334" t="n"/>
    </row>
    <row r="967">
      <c r="A967" s="334" t="n"/>
      <c r="B967" s="334" t="n"/>
      <c r="C967" s="334" t="n"/>
      <c r="D967" s="334" t="n"/>
      <c r="E967" s="334" t="n"/>
      <c r="F967" s="334" t="n"/>
      <c r="G967" s="334" t="n"/>
      <c r="H967" s="334" t="n"/>
      <c r="I967" s="334" t="n"/>
      <c r="J967" s="334" t="n"/>
      <c r="K967" s="334" t="n"/>
      <c r="L967" s="334" t="n"/>
      <c r="M967" s="334" t="n"/>
      <c r="N967" s="334" t="n"/>
      <c r="O967" s="334" t="n"/>
      <c r="P967" s="334" t="n"/>
      <c r="Q967" s="334" t="n"/>
      <c r="R967" s="334" t="n"/>
      <c r="S967" s="334" t="n"/>
      <c r="T967" s="334" t="n"/>
    </row>
    <row r="968">
      <c r="A968" s="334" t="n"/>
      <c r="B968" s="334" t="n"/>
      <c r="C968" s="334" t="n"/>
      <c r="D968" s="334" t="n"/>
      <c r="E968" s="334" t="n"/>
      <c r="F968" s="334" t="n"/>
      <c r="G968" s="334" t="n"/>
      <c r="H968" s="334" t="n"/>
      <c r="I968" s="334" t="n"/>
      <c r="J968" s="334" t="n"/>
      <c r="K968" s="334" t="n"/>
      <c r="L968" s="334" t="n"/>
      <c r="M968" s="334" t="n"/>
      <c r="N968" s="334" t="n"/>
      <c r="O968" s="334" t="n"/>
      <c r="P968" s="334" t="n"/>
      <c r="Q968" s="334" t="n"/>
      <c r="R968" s="334" t="n"/>
      <c r="S968" s="334" t="n"/>
      <c r="T968" s="334" t="n"/>
    </row>
    <row r="969">
      <c r="A969" s="334" t="n"/>
      <c r="B969" s="334" t="n"/>
      <c r="C969" s="334" t="n"/>
      <c r="D969" s="334" t="n"/>
      <c r="E969" s="334" t="n"/>
      <c r="F969" s="334" t="n"/>
      <c r="G969" s="334" t="n"/>
      <c r="H969" s="334" t="n"/>
      <c r="I969" s="334" t="n"/>
      <c r="J969" s="334" t="n"/>
      <c r="K969" s="334" t="n"/>
      <c r="L969" s="334" t="n"/>
      <c r="M969" s="334" t="n"/>
      <c r="N969" s="334" t="n"/>
      <c r="O969" s="334" t="n"/>
      <c r="P969" s="334" t="n"/>
      <c r="Q969" s="334" t="n"/>
      <c r="R969" s="334" t="n"/>
      <c r="S969" s="334" t="n"/>
      <c r="T969" s="334" t="n"/>
    </row>
    <row r="970">
      <c r="A970" s="334" t="n"/>
      <c r="B970" s="334" t="n"/>
      <c r="C970" s="334" t="n"/>
      <c r="D970" s="334" t="n"/>
      <c r="E970" s="334" t="n"/>
      <c r="F970" s="334" t="n"/>
      <c r="G970" s="334" t="n"/>
      <c r="H970" s="334" t="n"/>
      <c r="I970" s="334" t="n"/>
      <c r="J970" s="334" t="n"/>
      <c r="K970" s="334" t="n"/>
      <c r="L970" s="334" t="n"/>
      <c r="M970" s="334" t="n"/>
      <c r="N970" s="334" t="n"/>
      <c r="O970" s="334" t="n"/>
      <c r="P970" s="334" t="n"/>
      <c r="Q970" s="334" t="n"/>
      <c r="R970" s="334" t="n"/>
      <c r="S970" s="334" t="n"/>
      <c r="T970" s="334" t="n"/>
    </row>
    <row r="971">
      <c r="A971" s="334" t="n"/>
      <c r="B971" s="334" t="n"/>
      <c r="C971" s="334" t="n"/>
      <c r="D971" s="334" t="n"/>
      <c r="E971" s="334" t="n"/>
      <c r="F971" s="334" t="n"/>
      <c r="G971" s="334" t="n"/>
      <c r="H971" s="334" t="n"/>
      <c r="I971" s="334" t="n"/>
      <c r="J971" s="334" t="n"/>
      <c r="K971" s="334" t="n"/>
      <c r="L971" s="334" t="n"/>
      <c r="M971" s="334" t="n"/>
      <c r="N971" s="334" t="n"/>
      <c r="O971" s="334" t="n"/>
      <c r="P971" s="334" t="n"/>
      <c r="Q971" s="334" t="n"/>
      <c r="R971" s="334" t="n"/>
      <c r="S971" s="334" t="n"/>
      <c r="T971" s="334" t="n"/>
    </row>
    <row r="972">
      <c r="A972" s="334" t="n"/>
      <c r="B972" s="334" t="n"/>
      <c r="C972" s="334" t="n"/>
      <c r="D972" s="334" t="n"/>
      <c r="E972" s="334" t="n"/>
      <c r="F972" s="334" t="n"/>
      <c r="G972" s="334" t="n"/>
      <c r="H972" s="334" t="n"/>
      <c r="I972" s="334" t="n"/>
      <c r="J972" s="334" t="n"/>
      <c r="K972" s="334" t="n"/>
      <c r="L972" s="334" t="n"/>
      <c r="M972" s="334" t="n"/>
      <c r="N972" s="334" t="n"/>
      <c r="O972" s="334" t="n"/>
      <c r="P972" s="334" t="n"/>
      <c r="Q972" s="334" t="n"/>
      <c r="R972" s="334" t="n"/>
      <c r="S972" s="334" t="n"/>
      <c r="T972" s="334" t="n"/>
    </row>
    <row r="973">
      <c r="A973" s="334" t="n"/>
      <c r="B973" s="334" t="n"/>
      <c r="C973" s="334" t="n"/>
      <c r="D973" s="334" t="n"/>
      <c r="E973" s="334" t="n"/>
      <c r="F973" s="334" t="n"/>
      <c r="G973" s="334" t="n"/>
      <c r="H973" s="334" t="n"/>
      <c r="I973" s="334" t="n"/>
      <c r="J973" s="334" t="n"/>
      <c r="K973" s="334" t="n"/>
      <c r="L973" s="334" t="n"/>
      <c r="M973" s="334" t="n"/>
      <c r="N973" s="334" t="n"/>
      <c r="O973" s="334" t="n"/>
      <c r="P973" s="334" t="n"/>
      <c r="Q973" s="334" t="n"/>
      <c r="R973" s="334" t="n"/>
      <c r="S973" s="334" t="n"/>
      <c r="T973" s="334" t="n"/>
    </row>
    <row r="974">
      <c r="A974" s="334" t="n"/>
      <c r="B974" s="334" t="n"/>
      <c r="C974" s="334" t="n"/>
      <c r="D974" s="334" t="n"/>
      <c r="E974" s="334" t="n"/>
      <c r="F974" s="334" t="n"/>
      <c r="G974" s="334" t="n"/>
      <c r="H974" s="334" t="n"/>
      <c r="I974" s="334" t="n"/>
      <c r="J974" s="334" t="n"/>
      <c r="K974" s="334" t="n"/>
      <c r="L974" s="334" t="n"/>
      <c r="M974" s="334" t="n"/>
      <c r="N974" s="334" t="n"/>
      <c r="O974" s="334" t="n"/>
      <c r="P974" s="334" t="n"/>
      <c r="Q974" s="334" t="n"/>
      <c r="R974" s="334" t="n"/>
      <c r="S974" s="334" t="n"/>
      <c r="T974" s="334" t="n"/>
    </row>
    <row r="975">
      <c r="A975" s="334" t="n"/>
      <c r="B975" s="334" t="n"/>
      <c r="C975" s="334" t="n"/>
      <c r="D975" s="334" t="n"/>
      <c r="E975" s="334" t="n"/>
      <c r="F975" s="334" t="n"/>
      <c r="G975" s="334" t="n"/>
      <c r="H975" s="334" t="n"/>
      <c r="I975" s="334" t="n"/>
      <c r="J975" s="334" t="n"/>
      <c r="K975" s="334" t="n"/>
      <c r="L975" s="334" t="n"/>
      <c r="M975" s="334" t="n"/>
      <c r="N975" s="334" t="n"/>
      <c r="O975" s="334" t="n"/>
      <c r="P975" s="334" t="n"/>
      <c r="Q975" s="334" t="n"/>
      <c r="R975" s="334" t="n"/>
      <c r="S975" s="334" t="n"/>
      <c r="T975" s="334" t="n"/>
    </row>
    <row r="976">
      <c r="A976" s="334" t="n"/>
      <c r="B976" s="334" t="n"/>
      <c r="C976" s="334" t="n"/>
      <c r="D976" s="334" t="n"/>
      <c r="E976" s="334" t="n"/>
      <c r="F976" s="334" t="n"/>
      <c r="G976" s="334" t="n"/>
      <c r="H976" s="334" t="n"/>
      <c r="I976" s="334" t="n"/>
      <c r="J976" s="334" t="n"/>
      <c r="K976" s="334" t="n"/>
      <c r="L976" s="334" t="n"/>
      <c r="M976" s="334" t="n"/>
      <c r="N976" s="334" t="n"/>
      <c r="O976" s="334" t="n"/>
      <c r="P976" s="334" t="n"/>
      <c r="Q976" s="334" t="n"/>
      <c r="R976" s="334" t="n"/>
      <c r="S976" s="334" t="n"/>
      <c r="T976" s="334" t="n"/>
    </row>
    <row r="977">
      <c r="A977" s="334" t="n"/>
      <c r="B977" s="334" t="n"/>
      <c r="C977" s="334" t="n"/>
      <c r="D977" s="334" t="n"/>
      <c r="E977" s="334" t="n"/>
      <c r="F977" s="334" t="n"/>
      <c r="G977" s="334" t="n"/>
      <c r="H977" s="334" t="n"/>
      <c r="I977" s="334" t="n"/>
      <c r="J977" s="334" t="n"/>
      <c r="K977" s="334" t="n"/>
      <c r="L977" s="334" t="n"/>
      <c r="M977" s="334" t="n"/>
      <c r="N977" s="334" t="n"/>
      <c r="O977" s="334" t="n"/>
      <c r="P977" s="334" t="n"/>
      <c r="Q977" s="334" t="n"/>
      <c r="R977" s="334" t="n"/>
      <c r="S977" s="334" t="n"/>
      <c r="T977" s="334" t="n"/>
    </row>
    <row r="978">
      <c r="A978" s="334" t="n"/>
      <c r="B978" s="334" t="n"/>
      <c r="C978" s="334" t="n"/>
      <c r="D978" s="334" t="n"/>
      <c r="E978" s="334" t="n"/>
      <c r="F978" s="334" t="n"/>
      <c r="G978" s="334" t="n"/>
      <c r="H978" s="334" t="n"/>
      <c r="I978" s="334" t="n"/>
      <c r="J978" s="334" t="n"/>
      <c r="K978" s="334" t="n"/>
      <c r="L978" s="334" t="n"/>
      <c r="M978" s="334" t="n"/>
      <c r="N978" s="334" t="n"/>
      <c r="O978" s="334" t="n"/>
      <c r="P978" s="334" t="n"/>
      <c r="Q978" s="334" t="n"/>
      <c r="R978" s="334" t="n"/>
      <c r="S978" s="334" t="n"/>
      <c r="T978" s="334" t="n"/>
    </row>
    <row r="979">
      <c r="A979" s="334" t="n"/>
      <c r="B979" s="334" t="n"/>
      <c r="C979" s="334" t="n"/>
      <c r="D979" s="334" t="n"/>
      <c r="E979" s="334" t="n"/>
      <c r="F979" s="334" t="n"/>
      <c r="G979" s="334" t="n"/>
      <c r="H979" s="334" t="n"/>
      <c r="I979" s="334" t="n"/>
      <c r="J979" s="334" t="n"/>
      <c r="K979" s="334" t="n"/>
      <c r="L979" s="334" t="n"/>
      <c r="M979" s="334" t="n"/>
      <c r="N979" s="334" t="n"/>
      <c r="O979" s="334" t="n"/>
      <c r="P979" s="334" t="n"/>
      <c r="Q979" s="334" t="n"/>
      <c r="R979" s="334" t="n"/>
      <c r="S979" s="334" t="n"/>
      <c r="T979" s="334" t="n"/>
    </row>
    <row r="980">
      <c r="A980" s="334" t="n"/>
      <c r="B980" s="334" t="n"/>
      <c r="C980" s="334" t="n"/>
      <c r="D980" s="334" t="n"/>
      <c r="E980" s="334" t="n"/>
      <c r="F980" s="334" t="n"/>
      <c r="G980" s="334" t="n"/>
      <c r="H980" s="334" t="n"/>
      <c r="I980" s="334" t="n"/>
      <c r="J980" s="334" t="n"/>
      <c r="K980" s="334" t="n"/>
      <c r="L980" s="334" t="n"/>
      <c r="M980" s="334" t="n"/>
      <c r="N980" s="334" t="n"/>
      <c r="O980" s="334" t="n"/>
      <c r="P980" s="334" t="n"/>
      <c r="Q980" s="334" t="n"/>
      <c r="R980" s="334" t="n"/>
      <c r="S980" s="334" t="n"/>
      <c r="T980" s="334" t="n"/>
    </row>
    <row r="981">
      <c r="A981" s="334" t="n"/>
      <c r="B981" s="334" t="n"/>
      <c r="C981" s="334" t="n"/>
      <c r="D981" s="334" t="n"/>
      <c r="E981" s="334" t="n"/>
      <c r="F981" s="334" t="n"/>
      <c r="G981" s="334" t="n"/>
      <c r="H981" s="334" t="n"/>
      <c r="I981" s="334" t="n"/>
      <c r="J981" s="334" t="n"/>
      <c r="K981" s="334" t="n"/>
      <c r="L981" s="334" t="n"/>
      <c r="M981" s="334" t="n"/>
      <c r="N981" s="334" t="n"/>
      <c r="O981" s="334" t="n"/>
      <c r="P981" s="334" t="n"/>
      <c r="Q981" s="334" t="n"/>
      <c r="R981" s="334" t="n"/>
      <c r="S981" s="334" t="n"/>
      <c r="T981" s="334" t="n"/>
    </row>
    <row r="982">
      <c r="A982" s="334" t="n"/>
      <c r="B982" s="334" t="n"/>
      <c r="C982" s="334" t="n"/>
      <c r="D982" s="334" t="n"/>
      <c r="E982" s="334" t="n"/>
      <c r="F982" s="334" t="n"/>
      <c r="G982" s="334" t="n"/>
      <c r="H982" s="334" t="n"/>
      <c r="I982" s="334" t="n"/>
      <c r="J982" s="334" t="n"/>
      <c r="K982" s="334" t="n"/>
      <c r="L982" s="334" t="n"/>
      <c r="M982" s="334" t="n"/>
      <c r="N982" s="334" t="n"/>
      <c r="O982" s="334" t="n"/>
      <c r="P982" s="334" t="n"/>
      <c r="Q982" s="334" t="n"/>
      <c r="R982" s="334" t="n"/>
      <c r="S982" s="334" t="n"/>
      <c r="T982" s="334" t="n"/>
    </row>
    <row r="983">
      <c r="A983" s="334" t="n"/>
      <c r="B983" s="334" t="n"/>
      <c r="C983" s="334" t="n"/>
      <c r="D983" s="334" t="n"/>
      <c r="E983" s="334" t="n"/>
      <c r="F983" s="334" t="n"/>
      <c r="G983" s="334" t="n"/>
      <c r="H983" s="334" t="n"/>
      <c r="I983" s="334" t="n"/>
      <c r="J983" s="334" t="n"/>
      <c r="K983" s="334" t="n"/>
      <c r="L983" s="334" t="n"/>
      <c r="M983" s="334" t="n"/>
      <c r="N983" s="334" t="n"/>
      <c r="O983" s="334" t="n"/>
      <c r="P983" s="334" t="n"/>
      <c r="Q983" s="334" t="n"/>
      <c r="R983" s="334" t="n"/>
      <c r="S983" s="334" t="n"/>
      <c r="T983" s="334" t="n"/>
    </row>
    <row r="984">
      <c r="A984" s="334" t="n"/>
      <c r="B984" s="334" t="n"/>
      <c r="C984" s="334" t="n"/>
      <c r="D984" s="334" t="n"/>
      <c r="E984" s="334" t="n"/>
      <c r="F984" s="334" t="n"/>
      <c r="G984" s="334" t="n"/>
      <c r="H984" s="334" t="n"/>
      <c r="I984" s="334" t="n"/>
      <c r="J984" s="334" t="n"/>
      <c r="K984" s="334" t="n"/>
      <c r="L984" s="334" t="n"/>
      <c r="M984" s="334" t="n"/>
      <c r="N984" s="334" t="n"/>
      <c r="O984" s="334" t="n"/>
      <c r="P984" s="334" t="n"/>
      <c r="Q984" s="334" t="n"/>
      <c r="R984" s="334" t="n"/>
      <c r="S984" s="334" t="n"/>
      <c r="T984" s="334" t="n"/>
    </row>
    <row r="985">
      <c r="A985" s="334" t="n"/>
      <c r="B985" s="334" t="n"/>
      <c r="C985" s="334" t="n"/>
      <c r="D985" s="334" t="n"/>
      <c r="E985" s="334" t="n"/>
      <c r="F985" s="334" t="n"/>
      <c r="G985" s="334" t="n"/>
      <c r="H985" s="334" t="n"/>
      <c r="I985" s="334" t="n"/>
      <c r="J985" s="334" t="n"/>
      <c r="K985" s="334" t="n"/>
      <c r="L985" s="334" t="n"/>
      <c r="M985" s="334" t="n"/>
      <c r="N985" s="334" t="n"/>
      <c r="O985" s="334" t="n"/>
      <c r="P985" s="334" t="n"/>
      <c r="Q985" s="334" t="n"/>
      <c r="R985" s="334" t="n"/>
      <c r="S985" s="334" t="n"/>
      <c r="T985" s="334" t="n"/>
    </row>
    <row r="986">
      <c r="A986" s="334" t="n"/>
      <c r="B986" s="334" t="n"/>
      <c r="C986" s="334" t="n"/>
      <c r="D986" s="334" t="n"/>
      <c r="E986" s="334" t="n"/>
      <c r="F986" s="334" t="n"/>
      <c r="G986" s="334" t="n"/>
      <c r="H986" s="334" t="n"/>
      <c r="I986" s="334" t="n"/>
      <c r="J986" s="334" t="n"/>
      <c r="K986" s="334" t="n"/>
      <c r="L986" s="334" t="n"/>
      <c r="M986" s="334" t="n"/>
      <c r="N986" s="334" t="n"/>
      <c r="O986" s="334" t="n"/>
      <c r="P986" s="334" t="n"/>
      <c r="Q986" s="334" t="n"/>
      <c r="R986" s="334" t="n"/>
      <c r="S986" s="334" t="n"/>
      <c r="T986" s="334" t="n"/>
    </row>
    <row r="987">
      <c r="A987" s="334" t="n"/>
      <c r="B987" s="334" t="n"/>
      <c r="C987" s="334" t="n"/>
      <c r="D987" s="334" t="n"/>
      <c r="E987" s="334" t="n"/>
      <c r="F987" s="334" t="n"/>
      <c r="G987" s="334" t="n"/>
      <c r="H987" s="334" t="n"/>
      <c r="I987" s="334" t="n"/>
      <c r="J987" s="334" t="n"/>
      <c r="K987" s="334" t="n"/>
      <c r="L987" s="334" t="n"/>
      <c r="M987" s="334" t="n"/>
      <c r="N987" s="334" t="n"/>
      <c r="O987" s="334" t="n"/>
      <c r="P987" s="334" t="n"/>
      <c r="Q987" s="334" t="n"/>
      <c r="R987" s="334" t="n"/>
      <c r="S987" s="334" t="n"/>
      <c r="T987" s="334" t="n"/>
    </row>
    <row r="988">
      <c r="A988" s="334" t="n"/>
      <c r="B988" s="334" t="n"/>
      <c r="C988" s="334" t="n"/>
      <c r="D988" s="334" t="n"/>
      <c r="E988" s="334" t="n"/>
      <c r="F988" s="334" t="n"/>
      <c r="G988" s="334" t="n"/>
      <c r="H988" s="334" t="n"/>
      <c r="I988" s="334" t="n"/>
      <c r="J988" s="334" t="n"/>
      <c r="K988" s="334" t="n"/>
      <c r="L988" s="334" t="n"/>
      <c r="M988" s="334" t="n"/>
      <c r="N988" s="334" t="n"/>
      <c r="O988" s="334" t="n"/>
      <c r="P988" s="334" t="n"/>
      <c r="Q988" s="334" t="n"/>
      <c r="R988" s="334" t="n"/>
      <c r="S988" s="334" t="n"/>
      <c r="T988" s="334" t="n"/>
    </row>
    <row r="989">
      <c r="A989" s="334" t="n"/>
      <c r="B989" s="334" t="n"/>
      <c r="C989" s="334" t="n"/>
      <c r="D989" s="334" t="n"/>
      <c r="E989" s="334" t="n"/>
      <c r="F989" s="334" t="n"/>
      <c r="G989" s="334" t="n"/>
      <c r="H989" s="334" t="n"/>
      <c r="I989" s="334" t="n"/>
      <c r="J989" s="334" t="n"/>
      <c r="K989" s="334" t="n"/>
      <c r="L989" s="334" t="n"/>
      <c r="M989" s="334" t="n"/>
      <c r="N989" s="334" t="n"/>
      <c r="O989" s="334" t="n"/>
      <c r="P989" s="334" t="n"/>
      <c r="Q989" s="334" t="n"/>
      <c r="R989" s="334" t="n"/>
      <c r="S989" s="334" t="n"/>
      <c r="T989" s="334" t="n"/>
    </row>
    <row r="990">
      <c r="A990" s="334" t="n"/>
      <c r="B990" s="334" t="n"/>
      <c r="C990" s="334" t="n"/>
      <c r="D990" s="334" t="n"/>
      <c r="E990" s="334" t="n"/>
      <c r="F990" s="334" t="n"/>
      <c r="G990" s="334" t="n"/>
      <c r="H990" s="334" t="n"/>
      <c r="I990" s="334" t="n"/>
      <c r="J990" s="334" t="n"/>
      <c r="K990" s="334" t="n"/>
      <c r="L990" s="334" t="n"/>
      <c r="M990" s="334" t="n"/>
      <c r="N990" s="334" t="n"/>
      <c r="O990" s="334" t="n"/>
      <c r="P990" s="334" t="n"/>
      <c r="Q990" s="334" t="n"/>
      <c r="R990" s="334" t="n"/>
      <c r="S990" s="334" t="n"/>
      <c r="T990" s="334" t="n"/>
    </row>
    <row r="991">
      <c r="A991" s="334" t="n"/>
      <c r="B991" s="334" t="n"/>
      <c r="C991" s="334" t="n"/>
      <c r="D991" s="334" t="n"/>
      <c r="E991" s="334" t="n"/>
      <c r="F991" s="334" t="n"/>
      <c r="G991" s="334" t="n"/>
      <c r="H991" s="334" t="n"/>
      <c r="I991" s="334" t="n"/>
      <c r="J991" s="334" t="n"/>
      <c r="K991" s="334" t="n"/>
      <c r="L991" s="334" t="n"/>
      <c r="M991" s="334" t="n"/>
      <c r="N991" s="334" t="n"/>
      <c r="O991" s="334" t="n"/>
      <c r="P991" s="334" t="n"/>
      <c r="Q991" s="334" t="n"/>
      <c r="R991" s="334" t="n"/>
      <c r="S991" s="334" t="n"/>
      <c r="T991" s="334" t="n"/>
    </row>
    <row r="992">
      <c r="A992" s="334" t="n"/>
      <c r="B992" s="334" t="n"/>
      <c r="C992" s="334" t="n"/>
      <c r="D992" s="334" t="n"/>
      <c r="E992" s="334" t="n"/>
      <c r="F992" s="334" t="n"/>
      <c r="G992" s="334" t="n"/>
      <c r="H992" s="334" t="n"/>
      <c r="I992" s="334" t="n"/>
      <c r="J992" s="334" t="n"/>
      <c r="K992" s="334" t="n"/>
      <c r="L992" s="334" t="n"/>
      <c r="M992" s="334" t="n"/>
      <c r="N992" s="334" t="n"/>
      <c r="O992" s="334" t="n"/>
      <c r="P992" s="334" t="n"/>
      <c r="Q992" s="334" t="n"/>
      <c r="R992" s="334" t="n"/>
      <c r="S992" s="334" t="n"/>
      <c r="T992" s="334" t="n"/>
    </row>
    <row r="993">
      <c r="A993" s="334" t="n"/>
      <c r="B993" s="334" t="n"/>
      <c r="C993" s="334" t="n"/>
      <c r="D993" s="334" t="n"/>
      <c r="E993" s="334" t="n"/>
      <c r="F993" s="334" t="n"/>
      <c r="G993" s="334" t="n"/>
      <c r="H993" s="334" t="n"/>
      <c r="I993" s="334" t="n"/>
      <c r="J993" s="334" t="n"/>
      <c r="K993" s="334" t="n"/>
      <c r="L993" s="334" t="n"/>
      <c r="M993" s="334" t="n"/>
      <c r="N993" s="334" t="n"/>
      <c r="O993" s="334" t="n"/>
      <c r="P993" s="334" t="n"/>
      <c r="Q993" s="334" t="n"/>
      <c r="R993" s="334" t="n"/>
      <c r="S993" s="334" t="n"/>
      <c r="T993" s="334" t="n"/>
    </row>
    <row r="994">
      <c r="A994" s="334" t="n"/>
      <c r="B994" s="334" t="n"/>
      <c r="C994" s="334" t="n"/>
      <c r="D994" s="334" t="n"/>
      <c r="E994" s="334" t="n"/>
      <c r="F994" s="334" t="n"/>
      <c r="G994" s="334" t="n"/>
      <c r="H994" s="334" t="n"/>
      <c r="I994" s="334" t="n"/>
      <c r="J994" s="334" t="n"/>
      <c r="K994" s="334" t="n"/>
      <c r="L994" s="334" t="n"/>
      <c r="M994" s="334" t="n"/>
      <c r="N994" s="334" t="n"/>
      <c r="O994" s="334" t="n"/>
      <c r="P994" s="334" t="n"/>
      <c r="Q994" s="334" t="n"/>
      <c r="R994" s="334" t="n"/>
      <c r="S994" s="334" t="n"/>
      <c r="T994" s="334" t="n"/>
    </row>
    <row r="995">
      <c r="A995" s="334" t="n"/>
      <c r="B995" s="334" t="n"/>
      <c r="C995" s="334" t="n"/>
      <c r="D995" s="334" t="n"/>
      <c r="E995" s="334" t="n"/>
      <c r="F995" s="334" t="n"/>
      <c r="G995" s="334" t="n"/>
      <c r="H995" s="334" t="n"/>
      <c r="I995" s="334" t="n"/>
      <c r="J995" s="334" t="n"/>
      <c r="K995" s="334" t="n"/>
      <c r="L995" s="334" t="n"/>
      <c r="M995" s="334" t="n"/>
      <c r="N995" s="334" t="n"/>
      <c r="O995" s="334" t="n"/>
      <c r="P995" s="334" t="n"/>
      <c r="Q995" s="334" t="n"/>
      <c r="R995" s="334" t="n"/>
      <c r="S995" s="334" t="n"/>
      <c r="T995" s="334" t="n"/>
    </row>
    <row r="996">
      <c r="A996" s="334" t="n"/>
      <c r="B996" s="334" t="n"/>
      <c r="C996" s="334" t="n"/>
      <c r="D996" s="334" t="n"/>
      <c r="E996" s="334" t="n"/>
      <c r="F996" s="334" t="n"/>
      <c r="G996" s="334" t="n"/>
      <c r="H996" s="334" t="n"/>
      <c r="I996" s="334" t="n"/>
      <c r="J996" s="334" t="n"/>
      <c r="K996" s="334" t="n"/>
      <c r="L996" s="334" t="n"/>
      <c r="M996" s="334" t="n"/>
      <c r="N996" s="334" t="n"/>
      <c r="O996" s="334" t="n"/>
      <c r="P996" s="334" t="n"/>
      <c r="Q996" s="334" t="n"/>
      <c r="R996" s="334" t="n"/>
      <c r="S996" s="334" t="n"/>
      <c r="T996" s="334" t="n"/>
    </row>
    <row r="997">
      <c r="A997" s="334" t="n"/>
      <c r="B997" s="334" t="n"/>
      <c r="C997" s="334" t="n"/>
      <c r="D997" s="334" t="n"/>
      <c r="E997" s="334" t="n"/>
      <c r="F997" s="334" t="n"/>
      <c r="G997" s="334" t="n"/>
      <c r="H997" s="334" t="n"/>
      <c r="I997" s="334" t="n"/>
      <c r="J997" s="334" t="n"/>
      <c r="K997" s="334" t="n"/>
      <c r="L997" s="334" t="n"/>
      <c r="M997" s="334" t="n"/>
      <c r="N997" s="334" t="n"/>
      <c r="O997" s="334" t="n"/>
      <c r="P997" s="334" t="n"/>
      <c r="Q997" s="334" t="n"/>
      <c r="R997" s="334" t="n"/>
      <c r="S997" s="334" t="n"/>
      <c r="T997" s="334" t="n"/>
    </row>
    <row r="998">
      <c r="A998" s="334" t="n"/>
      <c r="B998" s="334" t="n"/>
      <c r="C998" s="334" t="n"/>
      <c r="D998" s="334" t="n"/>
      <c r="E998" s="334" t="n"/>
      <c r="F998" s="334" t="n"/>
      <c r="G998" s="334" t="n"/>
      <c r="H998" s="334" t="n"/>
      <c r="I998" s="334" t="n"/>
      <c r="J998" s="334" t="n"/>
      <c r="K998" s="334" t="n"/>
      <c r="L998" s="334" t="n"/>
      <c r="M998" s="334" t="n"/>
      <c r="N998" s="334" t="n"/>
      <c r="O998" s="334" t="n"/>
      <c r="P998" s="334" t="n"/>
      <c r="Q998" s="334" t="n"/>
      <c r="R998" s="334" t="n"/>
      <c r="S998" s="334" t="n"/>
      <c r="T998" s="334" t="n"/>
    </row>
    <row r="999">
      <c r="A999" s="334" t="n"/>
      <c r="B999" s="334" t="n"/>
      <c r="C999" s="334" t="n"/>
      <c r="D999" s="334" t="n"/>
      <c r="E999" s="334" t="n"/>
      <c r="F999" s="334" t="n"/>
      <c r="G999" s="334" t="n"/>
      <c r="H999" s="334" t="n"/>
      <c r="I999" s="334" t="n"/>
      <c r="J999" s="334" t="n"/>
      <c r="K999" s="334" t="n"/>
      <c r="L999" s="334" t="n"/>
      <c r="M999" s="334" t="n"/>
      <c r="N999" s="334" t="n"/>
      <c r="O999" s="334" t="n"/>
      <c r="P999" s="334" t="n"/>
      <c r="Q999" s="334" t="n"/>
      <c r="R999" s="334" t="n"/>
      <c r="S999" s="334" t="n"/>
      <c r="T999" s="334" t="n"/>
    </row>
    <row r="1000">
      <c r="A1000" s="334" t="n"/>
      <c r="B1000" s="334" t="n"/>
      <c r="C1000" s="334" t="n"/>
      <c r="D1000" s="334" t="n"/>
      <c r="E1000" s="334" t="n"/>
      <c r="F1000" s="334" t="n"/>
      <c r="G1000" s="334" t="n"/>
      <c r="H1000" s="334" t="n"/>
      <c r="I1000" s="334" t="n"/>
      <c r="J1000" s="334" t="n"/>
      <c r="K1000" s="334" t="n"/>
      <c r="L1000" s="334" t="n"/>
      <c r="M1000" s="334" t="n"/>
      <c r="N1000" s="334" t="n"/>
      <c r="O1000" s="334" t="n"/>
      <c r="P1000" s="334" t="n"/>
      <c r="Q1000" s="334" t="n"/>
      <c r="R1000" s="334" t="n"/>
      <c r="S1000" s="334" t="n"/>
      <c r="T1000" s="334" t="n"/>
    </row>
  </sheetData>
  <hyperlinks>
    <hyperlink xmlns:r="http://schemas.openxmlformats.org/officeDocument/2006/relationships" ref="H1" r:id="rId1"/>
    <hyperlink xmlns:r="http://schemas.openxmlformats.org/officeDocument/2006/relationships" ref="N1" r:id="rId2"/>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2:J17"/>
  <sheetViews>
    <sheetView workbookViewId="0">
      <selection activeCell="A1" sqref="A1"/>
    </sheetView>
  </sheetViews>
  <sheetFormatPr baseColWidth="8" defaultColWidth="12.63" defaultRowHeight="15.75" customHeight="1"/>
  <cols>
    <col width="3.5" customWidth="1" style="482" min="1" max="1"/>
  </cols>
  <sheetData>
    <row r="2">
      <c r="A2" s="190" t="n"/>
      <c r="B2" s="336" t="inlineStr">
        <is>
          <t>事前準備</t>
        </is>
      </c>
      <c r="C2" s="190" t="n"/>
      <c r="D2" s="190" t="n"/>
      <c r="E2" s="190" t="n"/>
      <c r="F2" s="190" t="n"/>
      <c r="G2" s="190" t="n"/>
      <c r="H2" s="190" t="n"/>
      <c r="I2" s="190" t="n"/>
      <c r="J2" s="190" t="n"/>
    </row>
    <row r="4">
      <c r="B4" s="327" t="inlineStr">
        <is>
          <t>変身先になるEnemyIDやステータスを以下に登録しておく</t>
        </is>
      </c>
    </row>
    <row r="5">
      <c r="B5" s="327" t="inlineStr">
        <is>
          <t>・MstEnemyCharacter</t>
        </is>
      </c>
    </row>
    <row r="6">
      <c r="B6" s="327" t="inlineStr">
        <is>
          <t>・MstEnemyCharacterI18n</t>
        </is>
      </c>
    </row>
    <row r="7">
      <c r="B7" s="327" t="inlineStr">
        <is>
          <t>・MstEnemyStageParameter</t>
        </is>
      </c>
    </row>
    <row r="8">
      <c r="B8" s="327" t="inlineStr">
        <is>
          <t>・MstAttack</t>
        </is>
      </c>
    </row>
    <row r="9">
      <c r="B9" s="327" t="inlineStr">
        <is>
          <t>・MstAttackI18n</t>
        </is>
      </c>
    </row>
    <row r="10">
      <c r="B10" s="327" t="inlineStr">
        <is>
          <t>・MstAttackElement</t>
        </is>
      </c>
    </row>
    <row r="12">
      <c r="A12" s="190" t="n"/>
      <c r="B12" s="336" t="inlineStr">
        <is>
          <t>設定方法</t>
        </is>
      </c>
      <c r="C12" s="190" t="n"/>
      <c r="D12" s="190" t="n"/>
      <c r="E12" s="190" t="n"/>
      <c r="F12" s="190" t="n"/>
      <c r="G12" s="190" t="n"/>
      <c r="H12" s="190" t="n"/>
      <c r="I12" s="190" t="n"/>
      <c r="J12" s="190" t="n"/>
    </row>
    <row r="14">
      <c r="B14" s="327" t="inlineStr">
        <is>
          <t>・「MstEnemyStageParameter」のT列「mstTransformationEnemyStageParameterId」に変身先の「MstEnemyCharacter ID」を入力</t>
        </is>
      </c>
    </row>
    <row r="15">
      <c r="B15" s="327" t="inlineStr">
        <is>
          <t>・「MstEnemyStageParameter」のU列「transformationConditionType」に変身条件を入力</t>
        </is>
      </c>
    </row>
    <row r="16">
      <c r="B16" s="327" t="inlineStr">
        <is>
          <t>→HpPercentageなど</t>
        </is>
      </c>
    </row>
    <row r="17">
      <c r="B17" s="327" t="inlineStr">
        <is>
          <t>・「MstEnemyStageParameter」のV列「transformationConditionValue」に変身条件数値を入力</t>
        </is>
      </c>
    </row>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AC100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2.63" defaultRowHeight="15.75" customHeight="1"/>
  <cols>
    <col width="3.88" customWidth="1" style="482" min="1" max="1"/>
    <col width="5" customWidth="1" style="482" min="3" max="3"/>
    <col width="21.13" customWidth="1" style="482" min="5" max="5"/>
    <col width="24.13" customWidth="1" style="482" min="6" max="6"/>
    <col width="10.13" customWidth="1" style="482" min="9" max="17"/>
    <col width="13.38" customWidth="1" style="482" min="18" max="18"/>
    <col width="10.13" customWidth="1" style="482" min="19" max="20"/>
    <col width="14.38" customWidth="1" style="482" min="21" max="21"/>
    <col width="10.13" customWidth="1" style="482" min="22" max="24"/>
  </cols>
  <sheetData>
    <row r="1">
      <c r="A1" s="334">
        <f>IFERROR(__xludf.DUMMYFUNCTION("IMPORTRANGE(""https://docs.google.com/spreadsheets/d/1-a-cwR6zd3n4WYdDeMbaZ8h8KRnYlL8SOdp0o28XPPQ/edit#gid=0"",""ファントムマスター_降臨!A:ac"")"),"")</f>
        <v/>
      </c>
      <c r="B1" s="338">
        <f>IFERROR(__xludf.DUMMYFUNCTION("""COMPUTED_VALUE"""),"※同IDが存在してないように使用用途を識別に入力する。　「general」や「normal_01only」など")</f>
        <v/>
      </c>
      <c r="C1" s="338" t="n"/>
      <c r="D1" s="338" t="n"/>
      <c r="E1" s="338" t="n"/>
      <c r="F1" s="338" t="n"/>
      <c r="G1" s="338" t="n"/>
      <c r="H1" s="338" t="n"/>
      <c r="I1" s="338">
        <f>IFERROR(__xludf.DUMMYFUNCTION("""COMPUTED_VALUE"""),"※手打ち可能")</f>
        <v/>
      </c>
      <c r="J1" s="338" t="n"/>
      <c r="K1" s="338" t="n"/>
      <c r="L1" s="338" t="n"/>
      <c r="M1" s="338" t="n"/>
      <c r="N1" s="338" t="n"/>
      <c r="O1" s="338" t="n"/>
      <c r="P1" s="338" t="n"/>
      <c r="Q1" s="338" t="n"/>
      <c r="R1" s="338" t="n"/>
      <c r="S1" s="338" t="n"/>
      <c r="T1" s="334" t="n"/>
      <c r="U1" s="327" t="n"/>
      <c r="V1" s="327" t="n"/>
      <c r="W1" s="327" t="n"/>
      <c r="X1" s="327" t="n"/>
      <c r="Y1" s="327" t="n"/>
      <c r="Z1" s="327" t="n"/>
      <c r="AA1" s="327" t="n"/>
      <c r="AB1" s="327" t="n"/>
      <c r="AC1" s="327" t="n"/>
    </row>
    <row r="2">
      <c r="A2" s="339" t="n"/>
      <c r="B2" s="340">
        <f>IFERROR(__xludf.DUMMYFUNCTION("""COMPUTED_VALUE"""),"master_id")</f>
        <v/>
      </c>
      <c r="C2" s="340">
        <f>IFERROR(__xludf.DUMMYFUNCTION("""COMPUTED_VALUE"""),"識別")</f>
        <v/>
      </c>
      <c r="D2" s="340">
        <f>IFERROR(__xludf.DUMMYFUNCTION("""COMPUTED_VALUE"""),"enemy_ID")</f>
        <v/>
      </c>
      <c r="E2" s="340">
        <f>IFERROR(__xludf.DUMMYFUNCTION("""COMPUTED_VALUE"""),"作品")</f>
        <v/>
      </c>
      <c r="F2" s="357">
        <f>IFERROR(__xludf.DUMMYFUNCTION("""COMPUTED_VALUE"""),"キャラ名(監修名)")</f>
        <v/>
      </c>
      <c r="G2" s="357">
        <f>IFERROR(__xludf.DUMMYFUNCTION("""COMPUTED_VALUE"""),"識別キャラ名")</f>
        <v/>
      </c>
      <c r="H2" s="357">
        <f>IFERROR(__xludf.DUMMYFUNCTION("""COMPUTED_VALUE"""),"unit_kind")</f>
        <v/>
      </c>
      <c r="I2" s="357">
        <f>IFERROR(__xludf.DUMMYFUNCTION("""COMPUTED_VALUE"""),"role_type")</f>
        <v/>
      </c>
      <c r="J2" s="342">
        <f>IFERROR(__xludf.DUMMYFUNCTION("""COMPUTED_VALUE"""),"color")</f>
        <v/>
      </c>
      <c r="K2" s="342">
        <f>IFERROR(__xludf.DUMMYFUNCTION("""COMPUTED_VALUE"""),"HP")</f>
        <v/>
      </c>
      <c r="L2" s="342">
        <f>IFERROR(__xludf.DUMMYFUNCTION("""COMPUTED_VALUE"""),"knock_back")</f>
        <v/>
      </c>
      <c r="M2" s="342">
        <f>IFERROR(__xludf.DUMMYFUNCTION("""COMPUTED_VALUE"""),"move_speed")</f>
        <v/>
      </c>
      <c r="N2" s="342">
        <f>IFERROR(__xludf.DUMMYFUNCTION("""COMPUTED_VALUE"""),"well_distance")</f>
        <v/>
      </c>
      <c r="O2" s="342">
        <f>IFERROR(__xludf.DUMMYFUNCTION("""COMPUTED_VALUE"""),"attack_power")</f>
        <v/>
      </c>
      <c r="P2" s="342">
        <f>IFERROR(__xludf.DUMMYFUNCTION("""COMPUTED_VALUE"""),"start_range")</f>
        <v/>
      </c>
      <c r="Q2" s="342">
        <f>IFERROR(__xludf.DUMMYFUNCTION("""COMPUTED_VALUE"""),"end_range")</f>
        <v/>
      </c>
      <c r="R2" s="342">
        <f>IFERROR(__xludf.DUMMYFUNCTION("""COMPUTED_VALUE"""),"攻撃範囲")</f>
        <v/>
      </c>
      <c r="S2" s="342">
        <f>IFERROR(__xludf.DUMMYFUNCTION("""COMPUTED_VALUE"""),"撃破リーダーP")</f>
        <v/>
      </c>
      <c r="T2" s="343">
        <f>IFERROR(__xludf.DUMMYFUNCTION("""COMPUTED_VALUE"""),"通常攻撃モーション秒")</f>
        <v/>
      </c>
      <c r="U2" s="343">
        <f>IFERROR(__xludf.DUMMYFUNCTION("""COMPUTED_VALUE"""),"通常攻撃発生秒")</f>
        <v/>
      </c>
      <c r="V2" s="343">
        <f>IFERROR(__xludf.DUMMYFUNCTION("""COMPUTED_VALUE"""),"通常攻撃CDF")</f>
        <v/>
      </c>
      <c r="W2" s="344">
        <f>IFERROR(__xludf.DUMMYFUNCTION("""COMPUTED_VALUE"""),"必殺攻撃モーション秒")</f>
        <v/>
      </c>
      <c r="X2" s="344">
        <f>IFERROR(__xludf.DUMMYFUNCTION("""COMPUTED_VALUE"""),"必殺攻撃発生秒")</f>
        <v/>
      </c>
      <c r="Y2" s="345">
        <f>IFERROR(__xludf.DUMMYFUNCTION("""COMPUTED_VALUE"""),"必殺ワザ内容")</f>
        <v/>
      </c>
      <c r="Z2" s="345">
        <f>IFERROR(__xludf.DUMMYFUNCTION("""COMPUTED_VALUE"""),"必殺発動回数")</f>
        <v/>
      </c>
      <c r="AA2" s="342">
        <f>IFERROR(__xludf.DUMMYFUNCTION("""COMPUTED_VALUE"""),"特性")</f>
        <v/>
      </c>
      <c r="AB2" s="346">
        <f>IFERROR(__xludf.DUMMYFUNCTION("""COMPUTED_VALUE"""),"オノマトペ")</f>
        <v/>
      </c>
      <c r="AC2" s="347">
        <f>IFERROR(__xludf.DUMMYFUNCTION("""COMPUTED_VALUE"""),"通常攻撃備考")</f>
        <v/>
      </c>
    </row>
    <row r="3">
      <c r="A3" s="339" t="n"/>
      <c r="B3" s="348">
        <f>IFERROR(__xludf.DUMMYFUNCTION("""COMPUTED_VALUE"""),"enemy_kai_00301")</f>
        <v/>
      </c>
      <c r="C3" s="295">
        <f>IFERROR(__xludf.DUMMYFUNCTION("""COMPUTED_VALUE"""),"_kai1_advent")</f>
        <v/>
      </c>
      <c r="D3" s="295">
        <f>IFERROR(__xludf.DUMMYFUNCTION("""COMPUTED_VALUE"""),"e_kai_00301_kai1_advent_Normal_Colorless")</f>
        <v/>
      </c>
      <c r="E3" s="349">
        <f>IFERROR(__xludf.DUMMYFUNCTION("""COMPUTED_VALUE"""),"怪獣８号")</f>
        <v/>
      </c>
      <c r="F3" s="349">
        <f>IFERROR(__xludf.DUMMYFUNCTION("""COMPUTED_VALUE"""),"蜘蛛の怪獣")</f>
        <v/>
      </c>
      <c r="G3" s="349">
        <f>IFERROR(__xludf.DUMMYFUNCTION("""COMPUTED_VALUE"""),"蜘蛛の怪獣_kai1_advent")</f>
        <v/>
      </c>
      <c r="H3" s="17">
        <f>IFERROR(__xludf.DUMMYFUNCTION("""COMPUTED_VALUE"""),"Normal")</f>
        <v/>
      </c>
      <c r="I3" s="17">
        <f>IFERROR(__xludf.DUMMYFUNCTION("""COMPUTED_VALUE"""),"Defense")</f>
        <v/>
      </c>
      <c r="J3" s="17">
        <f>IFERROR(__xludf.DUMMYFUNCTION("""COMPUTED_VALUE"""),"Colorless")</f>
        <v/>
      </c>
      <c r="K3" s="17">
        <f>IFERROR(__xludf.DUMMYFUNCTION("""COMPUTED_VALUE"""),10000.0)</f>
        <v/>
      </c>
      <c r="L3" s="17">
        <f>IFERROR(__xludf.DUMMYFUNCTION("""COMPUTED_VALUE"""),2.0)</f>
        <v/>
      </c>
      <c r="M3" s="17">
        <f>IFERROR(__xludf.DUMMYFUNCTION("""COMPUTED_VALUE"""),31.0)</f>
        <v/>
      </c>
      <c r="N3" s="17">
        <f>IFERROR(__xludf.DUMMYFUNCTION("""COMPUTED_VALUE"""),0.17)</f>
        <v/>
      </c>
      <c r="O3" s="17">
        <f>IFERROR(__xludf.DUMMYFUNCTION("""COMPUTED_VALUE"""),300.0)</f>
        <v/>
      </c>
      <c r="P3" s="17">
        <f>IFERROR(__xludf.DUMMYFUNCTION("""COMPUTED_VALUE"""),0.0)</f>
        <v/>
      </c>
      <c r="Q3" s="17">
        <f>IFERROR(__xludf.DUMMYFUNCTION("""COMPUTED_VALUE"""),0.18)</f>
        <v/>
      </c>
      <c r="R3" s="17">
        <f>IFERROR(__xludf.DUMMYFUNCTION("""COMPUTED_VALUE"""),1.0)</f>
        <v/>
      </c>
      <c r="S3" s="17">
        <f>IFERROR(__xludf.DUMMYFUNCTION("""COMPUTED_VALUE"""),200.0)</f>
        <v/>
      </c>
      <c r="T3" s="350">
        <f>IFERROR(__xludf.DUMMYFUNCTION("""COMPUTED_VALUE"""),"1.00")</f>
        <v/>
      </c>
      <c r="U3" s="351">
        <f>IFERROR(__xludf.DUMMYFUNCTION("""COMPUTED_VALUE"""),"0.40")</f>
        <v/>
      </c>
      <c r="V3" s="351">
        <f>IFERROR(__xludf.DUMMYFUNCTION("""COMPUTED_VALUE"""),50.0)</f>
        <v/>
      </c>
      <c r="W3" s="351">
        <f>IFERROR(__xludf.DUMMYFUNCTION("""COMPUTED_VALUE"""),"-")</f>
        <v/>
      </c>
      <c r="X3" s="351">
        <f>IFERROR(__xludf.DUMMYFUNCTION("""COMPUTED_VALUE"""),"-")</f>
        <v/>
      </c>
      <c r="Y3" s="351" t="n"/>
      <c r="Z3" s="351">
        <f>IFERROR(__xludf.DUMMYFUNCTION("""COMPUTED_VALUE"""),"-")</f>
        <v/>
      </c>
      <c r="AA3" s="327" t="n"/>
      <c r="AB3" s="327">
        <f>IFERROR(__xludf.DUMMYFUNCTION("""COMPUTED_VALUE"""),"dageki_1")</f>
        <v/>
      </c>
      <c r="AC3" s="327" t="n"/>
    </row>
    <row r="4">
      <c r="A4" s="339" t="n"/>
      <c r="B4" s="348">
        <f>IFERROR(__xludf.DUMMYFUNCTION("""COMPUTED_VALUE"""),"enemy_kai_00301")</f>
        <v/>
      </c>
      <c r="C4" s="295">
        <f>IFERROR(__xludf.DUMMYFUNCTION("""COMPUTED_VALUE"""),"_kai1_advent")</f>
        <v/>
      </c>
      <c r="D4" s="295">
        <f>IFERROR(__xludf.DUMMYFUNCTION("""COMPUTED_VALUE"""),"e_kai_00301_kai1_advent_Boss_Red")</f>
        <v/>
      </c>
      <c r="E4" s="349">
        <f>IFERROR(__xludf.DUMMYFUNCTION("""COMPUTED_VALUE"""),"怪獣８号")</f>
        <v/>
      </c>
      <c r="F4" s="349">
        <f>IFERROR(__xludf.DUMMYFUNCTION("""COMPUTED_VALUE"""),"蜘蛛の怪獣")</f>
        <v/>
      </c>
      <c r="G4" s="349">
        <f>IFERROR(__xludf.DUMMYFUNCTION("""COMPUTED_VALUE"""),"蜘蛛の怪獣_kai1_advent")</f>
        <v/>
      </c>
      <c r="H4" s="17">
        <f>IFERROR(__xludf.DUMMYFUNCTION("""COMPUTED_VALUE"""),"Boss")</f>
        <v/>
      </c>
      <c r="I4" s="17">
        <f>IFERROR(__xludf.DUMMYFUNCTION("""COMPUTED_VALUE"""),"Attack")</f>
        <v/>
      </c>
      <c r="J4" s="17">
        <f>IFERROR(__xludf.DUMMYFUNCTION("""COMPUTED_VALUE"""),"Red")</f>
        <v/>
      </c>
      <c r="K4" s="17">
        <f>IFERROR(__xludf.DUMMYFUNCTION("""COMPUTED_VALUE"""),10000.0)</f>
        <v/>
      </c>
      <c r="L4" s="17">
        <f>IFERROR(__xludf.DUMMYFUNCTION("""COMPUTED_VALUE"""),3.0)</f>
        <v/>
      </c>
      <c r="M4" s="17">
        <f>IFERROR(__xludf.DUMMYFUNCTION("""COMPUTED_VALUE"""),37.0)</f>
        <v/>
      </c>
      <c r="N4" s="17">
        <f>IFERROR(__xludf.DUMMYFUNCTION("""COMPUTED_VALUE"""),0.19)</f>
        <v/>
      </c>
      <c r="O4" s="17">
        <f>IFERROR(__xludf.DUMMYFUNCTION("""COMPUTED_VALUE"""),300.0)</f>
        <v/>
      </c>
      <c r="P4" s="17">
        <f>IFERROR(__xludf.DUMMYFUNCTION("""COMPUTED_VALUE"""),0.0)</f>
        <v/>
      </c>
      <c r="Q4" s="17">
        <f>IFERROR(__xludf.DUMMYFUNCTION("""COMPUTED_VALUE"""),0.2)</f>
        <v/>
      </c>
      <c r="R4" s="17">
        <f>IFERROR(__xludf.DUMMYFUNCTION("""COMPUTED_VALUE"""),1.0)</f>
        <v/>
      </c>
      <c r="S4" s="17">
        <f>IFERROR(__xludf.DUMMYFUNCTION("""COMPUTED_VALUE"""),100.0)</f>
        <v/>
      </c>
      <c r="T4" s="350">
        <f>IFERROR(__xludf.DUMMYFUNCTION("""COMPUTED_VALUE"""),"1.00")</f>
        <v/>
      </c>
      <c r="U4" s="351">
        <f>IFERROR(__xludf.DUMMYFUNCTION("""COMPUTED_VALUE"""),"0.40")</f>
        <v/>
      </c>
      <c r="V4" s="351">
        <f>IFERROR(__xludf.DUMMYFUNCTION("""COMPUTED_VALUE"""),75.0)</f>
        <v/>
      </c>
      <c r="W4" s="351">
        <f>IFERROR(__xludf.DUMMYFUNCTION("""COMPUTED_VALUE"""),"-")</f>
        <v/>
      </c>
      <c r="X4" s="351">
        <f>IFERROR(__xludf.DUMMYFUNCTION("""COMPUTED_VALUE"""),"-")</f>
        <v/>
      </c>
      <c r="Y4" s="351" t="n"/>
      <c r="Z4" s="351">
        <f>IFERROR(__xludf.DUMMYFUNCTION("""COMPUTED_VALUE"""),"-")</f>
        <v/>
      </c>
      <c r="AA4" s="327" t="n"/>
      <c r="AB4" s="327">
        <f>IFERROR(__xludf.DUMMYFUNCTION("""COMPUTED_VALUE"""),"dageki_1")</f>
        <v/>
      </c>
      <c r="AC4" s="327" t="n"/>
    </row>
    <row r="5">
      <c r="A5" s="339" t="n"/>
      <c r="B5" s="348">
        <f>IFERROR(__xludf.DUMMYFUNCTION("""COMPUTED_VALUE"""),"enemy_kai_00301")</f>
        <v/>
      </c>
      <c r="C5" s="295">
        <f>IFERROR(__xludf.DUMMYFUNCTION("""COMPUTED_VALUE"""),"_kai1_advent")</f>
        <v/>
      </c>
      <c r="D5" s="295">
        <f>IFERROR(__xludf.DUMMYFUNCTION("""COMPUTED_VALUE"""),"e_kai_00301_kai1_advent_Boss_Blue")</f>
        <v/>
      </c>
      <c r="E5" s="349">
        <f>IFERROR(__xludf.DUMMYFUNCTION("""COMPUTED_VALUE"""),"怪獣８号")</f>
        <v/>
      </c>
      <c r="F5" s="349">
        <f>IFERROR(__xludf.DUMMYFUNCTION("""COMPUTED_VALUE"""),"蜘蛛の怪獣")</f>
        <v/>
      </c>
      <c r="G5" s="349">
        <f>IFERROR(__xludf.DUMMYFUNCTION("""COMPUTED_VALUE"""),"蜘蛛の怪獣_kai1_advent")</f>
        <v/>
      </c>
      <c r="H5" s="17">
        <f>IFERROR(__xludf.DUMMYFUNCTION("""COMPUTED_VALUE"""),"Boss")</f>
        <v/>
      </c>
      <c r="I5" s="17">
        <f>IFERROR(__xludf.DUMMYFUNCTION("""COMPUTED_VALUE"""),"Attack")</f>
        <v/>
      </c>
      <c r="J5" s="17">
        <f>IFERROR(__xludf.DUMMYFUNCTION("""COMPUTED_VALUE"""),"Blue")</f>
        <v/>
      </c>
      <c r="K5" s="17">
        <f>IFERROR(__xludf.DUMMYFUNCTION("""COMPUTED_VALUE"""),10000.0)</f>
        <v/>
      </c>
      <c r="L5" s="17">
        <f>IFERROR(__xludf.DUMMYFUNCTION("""COMPUTED_VALUE"""),3.0)</f>
        <v/>
      </c>
      <c r="M5" s="17">
        <f>IFERROR(__xludf.DUMMYFUNCTION("""COMPUTED_VALUE"""),40.0)</f>
        <v/>
      </c>
      <c r="N5" s="17">
        <f>IFERROR(__xludf.DUMMYFUNCTION("""COMPUTED_VALUE"""),0.18)</f>
        <v/>
      </c>
      <c r="O5" s="17">
        <f>IFERROR(__xludf.DUMMYFUNCTION("""COMPUTED_VALUE"""),300.0)</f>
        <v/>
      </c>
      <c r="P5" s="17">
        <f>IFERROR(__xludf.DUMMYFUNCTION("""COMPUTED_VALUE"""),0.0)</f>
        <v/>
      </c>
      <c r="Q5" s="17">
        <f>IFERROR(__xludf.DUMMYFUNCTION("""COMPUTED_VALUE"""),0.19)</f>
        <v/>
      </c>
      <c r="R5" s="17">
        <f>IFERROR(__xludf.DUMMYFUNCTION("""COMPUTED_VALUE"""),1.0)</f>
        <v/>
      </c>
      <c r="S5" s="17">
        <f>IFERROR(__xludf.DUMMYFUNCTION("""COMPUTED_VALUE"""),100.0)</f>
        <v/>
      </c>
      <c r="T5" s="350">
        <f>IFERROR(__xludf.DUMMYFUNCTION("""COMPUTED_VALUE"""),"1.00")</f>
        <v/>
      </c>
      <c r="U5" s="351">
        <f>IFERROR(__xludf.DUMMYFUNCTION("""COMPUTED_VALUE"""),"0.40")</f>
        <v/>
      </c>
      <c r="V5" s="351">
        <f>IFERROR(__xludf.DUMMYFUNCTION("""COMPUTED_VALUE"""),100.0)</f>
        <v/>
      </c>
      <c r="W5" s="351">
        <f>IFERROR(__xludf.DUMMYFUNCTION("""COMPUTED_VALUE"""),"-")</f>
        <v/>
      </c>
      <c r="X5" s="351">
        <f>IFERROR(__xludf.DUMMYFUNCTION("""COMPUTED_VALUE"""),"-")</f>
        <v/>
      </c>
      <c r="Y5" s="351" t="n"/>
      <c r="Z5" s="351">
        <f>IFERROR(__xludf.DUMMYFUNCTION("""COMPUTED_VALUE"""),"-")</f>
        <v/>
      </c>
      <c r="AA5" s="327" t="n"/>
      <c r="AB5" s="327">
        <f>IFERROR(__xludf.DUMMYFUNCTION("""COMPUTED_VALUE"""),"dageki_1")</f>
        <v/>
      </c>
      <c r="AC5" s="327" t="n"/>
    </row>
    <row r="6">
      <c r="A6" s="339" t="n"/>
      <c r="B6" s="348" t="n"/>
      <c r="C6" s="295" t="n"/>
      <c r="D6" s="295">
        <f>IFERROR(__xludf.DUMMYFUNCTION("""COMPUTED_VALUE"""),"___")</f>
        <v/>
      </c>
      <c r="E6" s="349">
        <f>IFERROR(__xludf.DUMMYFUNCTION("""COMPUTED_VALUE"""),"none")</f>
        <v/>
      </c>
      <c r="F6" s="349">
        <f>IFERROR(__xludf.DUMMYFUNCTION("""COMPUTED_VALUE"""),"none")</f>
        <v/>
      </c>
      <c r="G6" s="349">
        <f>IFERROR(__xludf.DUMMYFUNCTION("""COMPUTED_VALUE"""),"none")</f>
        <v/>
      </c>
      <c r="H6" s="17" t="n"/>
      <c r="I6" s="17">
        <f>IFERROR(__xludf.DUMMYFUNCTION("""COMPUTED_VALUE"""),"none")</f>
        <v/>
      </c>
      <c r="J6" s="17" t="n"/>
      <c r="K6" s="17" t="n"/>
      <c r="L6" s="17" t="n"/>
      <c r="M6" s="17" t="n"/>
      <c r="N6" s="17" t="n"/>
      <c r="O6" s="17" t="n"/>
      <c r="P6" s="17" t="n"/>
      <c r="Q6" s="17" t="n"/>
      <c r="R6" s="17" t="n"/>
      <c r="S6" s="17" t="n"/>
      <c r="T6" s="350">
        <f>IFERROR(__xludf.DUMMYFUNCTION("""COMPUTED_VALUE"""),"none")</f>
        <v/>
      </c>
      <c r="U6" s="351">
        <f>IFERROR(__xludf.DUMMYFUNCTION("""COMPUTED_VALUE"""),"none")</f>
        <v/>
      </c>
      <c r="V6" s="351" t="n"/>
      <c r="W6" s="351">
        <f>IFERROR(__xludf.DUMMYFUNCTION("""COMPUTED_VALUE"""),"none")</f>
        <v/>
      </c>
      <c r="X6" s="351">
        <f>IFERROR(__xludf.DUMMYFUNCTION("""COMPUTED_VALUE"""),"none")</f>
        <v/>
      </c>
      <c r="Y6" s="351" t="n"/>
      <c r="Z6" s="351">
        <f>IFERROR(__xludf.DUMMYFUNCTION("""COMPUTED_VALUE"""),"-")</f>
        <v/>
      </c>
      <c r="AA6" s="327" t="n"/>
      <c r="AB6" s="327">
        <f>IFERROR(__xludf.DUMMYFUNCTION("""COMPUTED_VALUE"""),"none")</f>
        <v/>
      </c>
      <c r="AC6" s="327" t="n"/>
    </row>
    <row r="7">
      <c r="A7" s="339" t="n"/>
      <c r="B7" s="348">
        <f>IFERROR(__xludf.DUMMYFUNCTION("""COMPUTED_VALUE"""),"enemy_kai_00101")</f>
        <v/>
      </c>
      <c r="C7" s="295">
        <f>IFERROR(__xludf.DUMMYFUNCTION("""COMPUTED_VALUE"""),"_kai1_advent")</f>
        <v/>
      </c>
      <c r="D7" s="295">
        <f>IFERROR(__xludf.DUMMYFUNCTION("""COMPUTED_VALUE"""),"e_kai_00101_kai1_advent_Normal_Colorless")</f>
        <v/>
      </c>
      <c r="E7" s="349">
        <f>IFERROR(__xludf.DUMMYFUNCTION("""COMPUTED_VALUE"""),"怪獣８号")</f>
        <v/>
      </c>
      <c r="F7" s="349">
        <f>IFERROR(__xludf.DUMMYFUNCTION("""COMPUTED_VALUE"""),"怪獣 余獣")</f>
        <v/>
      </c>
      <c r="G7" s="349">
        <f>IFERROR(__xludf.DUMMYFUNCTION("""COMPUTED_VALUE"""),"怪獣 余獣_kai1_advent")</f>
        <v/>
      </c>
      <c r="H7" s="17">
        <f>IFERROR(__xludf.DUMMYFUNCTION("""COMPUTED_VALUE"""),"Normal")</f>
        <v/>
      </c>
      <c r="I7" s="17">
        <f>IFERROR(__xludf.DUMMYFUNCTION("""COMPUTED_VALUE"""),"Defense")</f>
        <v/>
      </c>
      <c r="J7" s="17">
        <f>IFERROR(__xludf.DUMMYFUNCTION("""COMPUTED_VALUE"""),"Colorless")</f>
        <v/>
      </c>
      <c r="K7" s="17">
        <f>IFERROR(__xludf.DUMMYFUNCTION("""COMPUTED_VALUE"""),10000.0)</f>
        <v/>
      </c>
      <c r="L7" s="17">
        <f>IFERROR(__xludf.DUMMYFUNCTION("""COMPUTED_VALUE"""),3.0)</f>
        <v/>
      </c>
      <c r="M7" s="17">
        <f>IFERROR(__xludf.DUMMYFUNCTION("""COMPUTED_VALUE"""),21.0)</f>
        <v/>
      </c>
      <c r="N7" s="17">
        <f>IFERROR(__xludf.DUMMYFUNCTION("""COMPUTED_VALUE"""),0.22)</f>
        <v/>
      </c>
      <c r="O7" s="17">
        <f>IFERROR(__xludf.DUMMYFUNCTION("""COMPUTED_VALUE"""),500.0)</f>
        <v/>
      </c>
      <c r="P7" s="17">
        <f>IFERROR(__xludf.DUMMYFUNCTION("""COMPUTED_VALUE"""),0.0)</f>
        <v/>
      </c>
      <c r="Q7" s="17">
        <f>IFERROR(__xludf.DUMMYFUNCTION("""COMPUTED_VALUE"""),0.23)</f>
        <v/>
      </c>
      <c r="R7" s="17">
        <f>IFERROR(__xludf.DUMMYFUNCTION("""COMPUTED_VALUE"""),1.0)</f>
        <v/>
      </c>
      <c r="S7" s="17">
        <f>IFERROR(__xludf.DUMMYFUNCTION("""COMPUTED_VALUE"""),200.0)</f>
        <v/>
      </c>
      <c r="T7" s="350">
        <f>IFERROR(__xludf.DUMMYFUNCTION("""COMPUTED_VALUE"""),"1.23")</f>
        <v/>
      </c>
      <c r="U7" s="351">
        <f>IFERROR(__xludf.DUMMYFUNCTION("""COMPUTED_VALUE"""),"stop有:1回目 0.56")</f>
        <v/>
      </c>
      <c r="V7" s="351">
        <f>IFERROR(__xludf.DUMMYFUNCTION("""COMPUTED_VALUE"""),50.0)</f>
        <v/>
      </c>
      <c r="W7" s="351">
        <f>IFERROR(__xludf.DUMMYFUNCTION("""COMPUTED_VALUE"""),"-")</f>
        <v/>
      </c>
      <c r="X7" s="351">
        <f>IFERROR(__xludf.DUMMYFUNCTION("""COMPUTED_VALUE"""),"-")</f>
        <v/>
      </c>
      <c r="Y7" s="351" t="n"/>
      <c r="Z7" s="351">
        <f>IFERROR(__xludf.DUMMYFUNCTION("""COMPUTED_VALUE"""),"-")</f>
        <v/>
      </c>
      <c r="AA7" s="327" t="n"/>
      <c r="AB7" s="327">
        <f>IFERROR(__xludf.DUMMYFUNCTION("""COMPUTED_VALUE"""),"dageki_1")</f>
        <v/>
      </c>
      <c r="AC7" s="327" t="n"/>
    </row>
    <row r="8">
      <c r="A8" s="339" t="n"/>
      <c r="B8" s="348">
        <f>IFERROR(__xludf.DUMMYFUNCTION("""COMPUTED_VALUE"""),"enemy_kai_00101")</f>
        <v/>
      </c>
      <c r="C8" s="295">
        <f>IFERROR(__xludf.DUMMYFUNCTION("""COMPUTED_VALUE"""),"_kai1_advent")</f>
        <v/>
      </c>
      <c r="D8" s="295">
        <f>IFERROR(__xludf.DUMMYFUNCTION("""COMPUTED_VALUE"""),"e_kai_00101_kai1_advent_Boss_Red")</f>
        <v/>
      </c>
      <c r="E8" s="349">
        <f>IFERROR(__xludf.DUMMYFUNCTION("""COMPUTED_VALUE"""),"怪獣８号")</f>
        <v/>
      </c>
      <c r="F8" s="349">
        <f>IFERROR(__xludf.DUMMYFUNCTION("""COMPUTED_VALUE"""),"怪獣 余獣")</f>
        <v/>
      </c>
      <c r="G8" s="349">
        <f>IFERROR(__xludf.DUMMYFUNCTION("""COMPUTED_VALUE"""),"怪獣 余獣_kai1_advent")</f>
        <v/>
      </c>
      <c r="H8" s="17">
        <f>IFERROR(__xludf.DUMMYFUNCTION("""COMPUTED_VALUE"""),"Boss")</f>
        <v/>
      </c>
      <c r="I8" s="17">
        <f>IFERROR(__xludf.DUMMYFUNCTION("""COMPUTED_VALUE"""),"Attack")</f>
        <v/>
      </c>
      <c r="J8" s="17">
        <f>IFERROR(__xludf.DUMMYFUNCTION("""COMPUTED_VALUE"""),"Red")</f>
        <v/>
      </c>
      <c r="K8" s="17">
        <f>IFERROR(__xludf.DUMMYFUNCTION("""COMPUTED_VALUE"""),10000.0)</f>
        <v/>
      </c>
      <c r="L8" s="17">
        <f>IFERROR(__xludf.DUMMYFUNCTION("""COMPUTED_VALUE"""),2.0)</f>
        <v/>
      </c>
      <c r="M8" s="17">
        <f>IFERROR(__xludf.DUMMYFUNCTION("""COMPUTED_VALUE"""),25.0)</f>
        <v/>
      </c>
      <c r="N8" s="17">
        <f>IFERROR(__xludf.DUMMYFUNCTION("""COMPUTED_VALUE"""),0.19)</f>
        <v/>
      </c>
      <c r="O8" s="17">
        <f>IFERROR(__xludf.DUMMYFUNCTION("""COMPUTED_VALUE"""),500.0)</f>
        <v/>
      </c>
      <c r="P8" s="17">
        <f>IFERROR(__xludf.DUMMYFUNCTION("""COMPUTED_VALUE"""),0.0)</f>
        <v/>
      </c>
      <c r="Q8" s="17">
        <f>IFERROR(__xludf.DUMMYFUNCTION("""COMPUTED_VALUE"""),0.2)</f>
        <v/>
      </c>
      <c r="R8" s="17">
        <f>IFERROR(__xludf.DUMMYFUNCTION("""COMPUTED_VALUE"""),1.0)</f>
        <v/>
      </c>
      <c r="S8" s="17">
        <f>IFERROR(__xludf.DUMMYFUNCTION("""COMPUTED_VALUE"""),100.0)</f>
        <v/>
      </c>
      <c r="T8" s="350">
        <f>IFERROR(__xludf.DUMMYFUNCTION("""COMPUTED_VALUE"""),"1.23")</f>
        <v/>
      </c>
      <c r="U8" s="351">
        <f>IFERROR(__xludf.DUMMYFUNCTION("""COMPUTED_VALUE"""),"stop有:1回目 0.56")</f>
        <v/>
      </c>
      <c r="V8" s="351">
        <f>IFERROR(__xludf.DUMMYFUNCTION("""COMPUTED_VALUE"""),75.0)</f>
        <v/>
      </c>
      <c r="W8" s="351">
        <f>IFERROR(__xludf.DUMMYFUNCTION("""COMPUTED_VALUE"""),"-")</f>
        <v/>
      </c>
      <c r="X8" s="351">
        <f>IFERROR(__xludf.DUMMYFUNCTION("""COMPUTED_VALUE"""),"-")</f>
        <v/>
      </c>
      <c r="Y8" s="351" t="n"/>
      <c r="Z8" s="351">
        <f>IFERROR(__xludf.DUMMYFUNCTION("""COMPUTED_VALUE"""),"-")</f>
        <v/>
      </c>
      <c r="AA8" s="327" t="n"/>
      <c r="AB8" s="327">
        <f>IFERROR(__xludf.DUMMYFUNCTION("""COMPUTED_VALUE"""),"dageki_1")</f>
        <v/>
      </c>
      <c r="AC8" s="327" t="n"/>
    </row>
    <row r="9">
      <c r="A9" s="339" t="n"/>
      <c r="B9" s="348">
        <f>IFERROR(__xludf.DUMMYFUNCTION("""COMPUTED_VALUE"""),"enemy_kai_00101")</f>
        <v/>
      </c>
      <c r="C9" s="295">
        <f>IFERROR(__xludf.DUMMYFUNCTION("""COMPUTED_VALUE"""),"_kai1_advent")</f>
        <v/>
      </c>
      <c r="D9" s="295">
        <f>IFERROR(__xludf.DUMMYFUNCTION("""COMPUTED_VALUE"""),"e_kai_00101_kai1_advent_Boss_Blue")</f>
        <v/>
      </c>
      <c r="E9" s="349">
        <f>IFERROR(__xludf.DUMMYFUNCTION("""COMPUTED_VALUE"""),"怪獣８号")</f>
        <v/>
      </c>
      <c r="F9" s="349">
        <f>IFERROR(__xludf.DUMMYFUNCTION("""COMPUTED_VALUE"""),"怪獣 余獣")</f>
        <v/>
      </c>
      <c r="G9" s="349">
        <f>IFERROR(__xludf.DUMMYFUNCTION("""COMPUTED_VALUE"""),"怪獣 余獣_kai1_advent")</f>
        <v/>
      </c>
      <c r="H9" s="17">
        <f>IFERROR(__xludf.DUMMYFUNCTION("""COMPUTED_VALUE"""),"Boss")</f>
        <v/>
      </c>
      <c r="I9" s="17">
        <f>IFERROR(__xludf.DUMMYFUNCTION("""COMPUTED_VALUE"""),"Attack")</f>
        <v/>
      </c>
      <c r="J9" s="17">
        <f>IFERROR(__xludf.DUMMYFUNCTION("""COMPUTED_VALUE"""),"Blue")</f>
        <v/>
      </c>
      <c r="K9" s="17">
        <f>IFERROR(__xludf.DUMMYFUNCTION("""COMPUTED_VALUE"""),10000.0)</f>
        <v/>
      </c>
      <c r="L9" s="17">
        <f>IFERROR(__xludf.DUMMYFUNCTION("""COMPUTED_VALUE"""),2.0)</f>
        <v/>
      </c>
      <c r="M9" s="17">
        <f>IFERROR(__xludf.DUMMYFUNCTION("""COMPUTED_VALUE"""),28.0)</f>
        <v/>
      </c>
      <c r="N9" s="17">
        <f>IFERROR(__xludf.DUMMYFUNCTION("""COMPUTED_VALUE"""),0.17)</f>
        <v/>
      </c>
      <c r="O9" s="17">
        <f>IFERROR(__xludf.DUMMYFUNCTION("""COMPUTED_VALUE"""),500.0)</f>
        <v/>
      </c>
      <c r="P9" s="17">
        <f>IFERROR(__xludf.DUMMYFUNCTION("""COMPUTED_VALUE"""),0.0)</f>
        <v/>
      </c>
      <c r="Q9" s="17">
        <f>IFERROR(__xludf.DUMMYFUNCTION("""COMPUTED_VALUE"""),0.18)</f>
        <v/>
      </c>
      <c r="R9" s="17">
        <f>IFERROR(__xludf.DUMMYFUNCTION("""COMPUTED_VALUE"""),1.0)</f>
        <v/>
      </c>
      <c r="S9" s="17">
        <f>IFERROR(__xludf.DUMMYFUNCTION("""COMPUTED_VALUE"""),100.0)</f>
        <v/>
      </c>
      <c r="T9" s="350">
        <f>IFERROR(__xludf.DUMMYFUNCTION("""COMPUTED_VALUE"""),"1.23")</f>
        <v/>
      </c>
      <c r="U9" s="351">
        <f>IFERROR(__xludf.DUMMYFUNCTION("""COMPUTED_VALUE"""),"stop有:1回目 0.56")</f>
        <v/>
      </c>
      <c r="V9" s="351">
        <f>IFERROR(__xludf.DUMMYFUNCTION("""COMPUTED_VALUE"""),100.0)</f>
        <v/>
      </c>
      <c r="W9" s="351">
        <f>IFERROR(__xludf.DUMMYFUNCTION("""COMPUTED_VALUE"""),"-")</f>
        <v/>
      </c>
      <c r="X9" s="351">
        <f>IFERROR(__xludf.DUMMYFUNCTION("""COMPUTED_VALUE"""),"-")</f>
        <v/>
      </c>
      <c r="Y9" s="351" t="n"/>
      <c r="Z9" s="351">
        <f>IFERROR(__xludf.DUMMYFUNCTION("""COMPUTED_VALUE"""),"-")</f>
        <v/>
      </c>
      <c r="AA9" s="327" t="n"/>
      <c r="AB9" s="327">
        <f>IFERROR(__xludf.DUMMYFUNCTION("""COMPUTED_VALUE"""),"dageki_1")</f>
        <v/>
      </c>
      <c r="AC9" s="327" t="n"/>
    </row>
    <row r="10">
      <c r="A10" s="339" t="n"/>
      <c r="B10" s="348" t="n"/>
      <c r="C10" s="295" t="n"/>
      <c r="D10" s="295" t="n"/>
      <c r="E10" s="349" t="n"/>
      <c r="F10" s="349">
        <f>IFERROR(__xludf.DUMMYFUNCTION("""COMPUTED_VALUE"""),"none")</f>
        <v/>
      </c>
      <c r="G10" s="349" t="n"/>
      <c r="H10" s="17" t="n"/>
      <c r="I10" s="17" t="n"/>
      <c r="J10" s="17" t="n"/>
      <c r="K10" s="17" t="n"/>
      <c r="L10" s="17" t="n"/>
      <c r="M10" s="17" t="n"/>
      <c r="N10" s="17" t="n"/>
      <c r="O10" s="17" t="n"/>
      <c r="P10" s="17" t="n"/>
      <c r="Q10" s="17" t="n"/>
      <c r="R10" s="17" t="n"/>
      <c r="S10" s="17" t="n"/>
      <c r="T10" s="17" t="n"/>
      <c r="U10" s="351" t="n"/>
      <c r="V10" s="351" t="n"/>
      <c r="W10" s="351" t="n"/>
      <c r="X10" s="351" t="n"/>
      <c r="Y10" s="351" t="n"/>
      <c r="Z10" s="351" t="n"/>
      <c r="AA10" s="327" t="n"/>
      <c r="AB10" s="327" t="n"/>
      <c r="AC10" s="327" t="n"/>
    </row>
    <row r="11">
      <c r="A11" s="339" t="n"/>
      <c r="B11" s="348">
        <f>IFERROR(__xludf.DUMMYFUNCTION("""COMPUTED_VALUE"""),"enemy_kai_00001")</f>
        <v/>
      </c>
      <c r="C11" s="295">
        <f>IFERROR(__xludf.DUMMYFUNCTION("""COMPUTED_VALUE"""),"_kai1_advent")</f>
        <v/>
      </c>
      <c r="D11" s="295">
        <f>IFERROR(__xludf.DUMMYFUNCTION("""COMPUTED_VALUE"""),"e_kai_00001_kai1_advent_Normal_Colorless")</f>
        <v/>
      </c>
      <c r="E11" s="349">
        <f>IFERROR(__xludf.DUMMYFUNCTION("""COMPUTED_VALUE"""),"怪獣８号")</f>
        <v/>
      </c>
      <c r="F11" s="349">
        <f>IFERROR(__xludf.DUMMYFUNCTION("""COMPUTED_VALUE"""),"怪獣 本獣")</f>
        <v/>
      </c>
      <c r="G11" s="349">
        <f>IFERROR(__xludf.DUMMYFUNCTION("""COMPUTED_VALUE"""),"怪獣 本獣_kai1_advent")</f>
        <v/>
      </c>
      <c r="H11" s="17">
        <f>IFERROR(__xludf.DUMMYFUNCTION("""COMPUTED_VALUE"""),"Normal")</f>
        <v/>
      </c>
      <c r="I11" s="17">
        <f>IFERROR(__xludf.DUMMYFUNCTION("""COMPUTED_VALUE"""),"Attack")</f>
        <v/>
      </c>
      <c r="J11" s="17">
        <f>IFERROR(__xludf.DUMMYFUNCTION("""COMPUTED_VALUE"""),"Colorless")</f>
        <v/>
      </c>
      <c r="K11" s="17">
        <f>IFERROR(__xludf.DUMMYFUNCTION("""COMPUTED_VALUE"""),10000.0)</f>
        <v/>
      </c>
      <c r="L11" s="17">
        <f>IFERROR(__xludf.DUMMYFUNCTION("""COMPUTED_VALUE"""),3.0)</f>
        <v/>
      </c>
      <c r="M11" s="17">
        <f>IFERROR(__xludf.DUMMYFUNCTION("""COMPUTED_VALUE"""),25.0)</f>
        <v/>
      </c>
      <c r="N11" s="17">
        <f>IFERROR(__xludf.DUMMYFUNCTION("""COMPUTED_VALUE"""),0.3)</f>
        <v/>
      </c>
      <c r="O11" s="17">
        <f>IFERROR(__xludf.DUMMYFUNCTION("""COMPUTED_VALUE"""),500.0)</f>
        <v/>
      </c>
      <c r="P11" s="17">
        <f>IFERROR(__xludf.DUMMYFUNCTION("""COMPUTED_VALUE"""),0.0)</f>
        <v/>
      </c>
      <c r="Q11" s="17">
        <f>IFERROR(__xludf.DUMMYFUNCTION("""COMPUTED_VALUE"""),0.4)</f>
        <v/>
      </c>
      <c r="R11" s="17">
        <f>IFERROR(__xludf.DUMMYFUNCTION("""COMPUTED_VALUE"""),100.0)</f>
        <v/>
      </c>
      <c r="S11" s="17">
        <f>IFERROR(__xludf.DUMMYFUNCTION("""COMPUTED_VALUE"""),100.0)</f>
        <v/>
      </c>
      <c r="T11" s="350">
        <f>IFERROR(__xludf.DUMMYFUNCTION("""COMPUTED_VALUE"""),"2.34")</f>
        <v/>
      </c>
      <c r="U11" s="351">
        <f>IFERROR(__xludf.DUMMYFUNCTION("""COMPUTED_VALUE"""),"stop有:1回目 1.00")</f>
        <v/>
      </c>
      <c r="V11" s="351">
        <f>IFERROR(__xludf.DUMMYFUNCTION("""COMPUTED_VALUE"""),100.0)</f>
        <v/>
      </c>
      <c r="W11" s="351">
        <f>IFERROR(__xludf.DUMMYFUNCTION("""COMPUTED_VALUE"""),"-")</f>
        <v/>
      </c>
      <c r="X11" s="351">
        <f>IFERROR(__xludf.DUMMYFUNCTION("""COMPUTED_VALUE"""),"-")</f>
        <v/>
      </c>
      <c r="Y11" s="351" t="n"/>
      <c r="Z11" s="351">
        <f>IFERROR(__xludf.DUMMYFUNCTION("""COMPUTED_VALUE"""),"-")</f>
        <v/>
      </c>
      <c r="AA11" s="327" t="n"/>
      <c r="AB11" s="327">
        <f>IFERROR(__xludf.DUMMYFUNCTION("""COMPUTED_VALUE"""),"dageki_1")</f>
        <v/>
      </c>
      <c r="AC11" s="327" t="n"/>
    </row>
    <row r="12">
      <c r="A12" s="339" t="n"/>
      <c r="B12" s="348">
        <f>IFERROR(__xludf.DUMMYFUNCTION("""COMPUTED_VALUE"""),"enemy_kai_00001")</f>
        <v/>
      </c>
      <c r="C12" s="295">
        <f>IFERROR(__xludf.DUMMYFUNCTION("""COMPUTED_VALUE"""),"_kai1_advent")</f>
        <v/>
      </c>
      <c r="D12" s="295">
        <f>IFERROR(__xludf.DUMMYFUNCTION("""COMPUTED_VALUE"""),"e_kai_00001_kai1_advent_Boss_Red")</f>
        <v/>
      </c>
      <c r="E12" s="349">
        <f>IFERROR(__xludf.DUMMYFUNCTION("""COMPUTED_VALUE"""),"怪獣８号")</f>
        <v/>
      </c>
      <c r="F12" s="349">
        <f>IFERROR(__xludf.DUMMYFUNCTION("""COMPUTED_VALUE"""),"怪獣 本獣")</f>
        <v/>
      </c>
      <c r="G12" s="349">
        <f>IFERROR(__xludf.DUMMYFUNCTION("""COMPUTED_VALUE"""),"怪獣 本獣_kai1_advent")</f>
        <v/>
      </c>
      <c r="H12" s="17">
        <f>IFERROR(__xludf.DUMMYFUNCTION("""COMPUTED_VALUE"""),"Boss")</f>
        <v/>
      </c>
      <c r="I12" s="17">
        <f>IFERROR(__xludf.DUMMYFUNCTION("""COMPUTED_VALUE"""),"Attack")</f>
        <v/>
      </c>
      <c r="J12" s="17">
        <f>IFERROR(__xludf.DUMMYFUNCTION("""COMPUTED_VALUE"""),"Red")</f>
        <v/>
      </c>
      <c r="K12" s="17">
        <f>IFERROR(__xludf.DUMMYFUNCTION("""COMPUTED_VALUE"""),10000.0)</f>
        <v/>
      </c>
      <c r="L12" s="17">
        <f>IFERROR(__xludf.DUMMYFUNCTION("""COMPUTED_VALUE"""),3.0)</f>
        <v/>
      </c>
      <c r="M12" s="17">
        <f>IFERROR(__xludf.DUMMYFUNCTION("""COMPUTED_VALUE"""),21.0)</f>
        <v/>
      </c>
      <c r="N12" s="17">
        <f>IFERROR(__xludf.DUMMYFUNCTION("""COMPUTED_VALUE"""),0.35)</f>
        <v/>
      </c>
      <c r="O12" s="17">
        <f>IFERROR(__xludf.DUMMYFUNCTION("""COMPUTED_VALUE"""),500.0)</f>
        <v/>
      </c>
      <c r="P12" s="17">
        <f>IFERROR(__xludf.DUMMYFUNCTION("""COMPUTED_VALUE"""),0.0)</f>
        <v/>
      </c>
      <c r="Q12" s="17">
        <f>IFERROR(__xludf.DUMMYFUNCTION("""COMPUTED_VALUE"""),0.45)</f>
        <v/>
      </c>
      <c r="R12" s="17">
        <f>IFERROR(__xludf.DUMMYFUNCTION("""COMPUTED_VALUE"""),100.0)</f>
        <v/>
      </c>
      <c r="S12" s="17">
        <f>IFERROR(__xludf.DUMMYFUNCTION("""COMPUTED_VALUE"""),300.0)</f>
        <v/>
      </c>
      <c r="T12" s="350">
        <f>IFERROR(__xludf.DUMMYFUNCTION("""COMPUTED_VALUE"""),"2.34")</f>
        <v/>
      </c>
      <c r="U12" s="351">
        <f>IFERROR(__xludf.DUMMYFUNCTION("""COMPUTED_VALUE"""),"stop有:1回目 1.00")</f>
        <v/>
      </c>
      <c r="V12" s="351">
        <f>IFERROR(__xludf.DUMMYFUNCTION("""COMPUTED_VALUE"""),150.0)</f>
        <v/>
      </c>
      <c r="W12" s="351">
        <f>IFERROR(__xludf.DUMMYFUNCTION("""COMPUTED_VALUE"""),"-")</f>
        <v/>
      </c>
      <c r="X12" s="351">
        <f>IFERROR(__xludf.DUMMYFUNCTION("""COMPUTED_VALUE"""),"-")</f>
        <v/>
      </c>
      <c r="Y12" s="351" t="n"/>
      <c r="Z12" s="351">
        <f>IFERROR(__xludf.DUMMYFUNCTION("""COMPUTED_VALUE"""),"-")</f>
        <v/>
      </c>
      <c r="AA12" s="327" t="n"/>
      <c r="AB12" s="327">
        <f>IFERROR(__xludf.DUMMYFUNCTION("""COMPUTED_VALUE"""),"dageki_1")</f>
        <v/>
      </c>
      <c r="AC12" s="327" t="n"/>
    </row>
    <row r="13">
      <c r="A13" s="339" t="n"/>
      <c r="B13" s="348">
        <f>IFERROR(__xludf.DUMMYFUNCTION("""COMPUTED_VALUE"""),"enemy_kai_00001")</f>
        <v/>
      </c>
      <c r="C13" s="295">
        <f>IFERROR(__xludf.DUMMYFUNCTION("""COMPUTED_VALUE"""),"_kai1_advent")</f>
        <v/>
      </c>
      <c r="D13" s="295">
        <f>IFERROR(__xludf.DUMMYFUNCTION("""COMPUTED_VALUE"""),"e_kai_00001_kai1_advent_Boss_Blue")</f>
        <v/>
      </c>
      <c r="E13" s="349">
        <f>IFERROR(__xludf.DUMMYFUNCTION("""COMPUTED_VALUE"""),"怪獣８号")</f>
        <v/>
      </c>
      <c r="F13" s="349">
        <f>IFERROR(__xludf.DUMMYFUNCTION("""COMPUTED_VALUE"""),"怪獣 本獣")</f>
        <v/>
      </c>
      <c r="G13" s="349">
        <f>IFERROR(__xludf.DUMMYFUNCTION("""COMPUTED_VALUE"""),"怪獣 本獣_kai1_advent")</f>
        <v/>
      </c>
      <c r="H13" s="17">
        <f>IFERROR(__xludf.DUMMYFUNCTION("""COMPUTED_VALUE"""),"Boss")</f>
        <v/>
      </c>
      <c r="I13" s="17">
        <f>IFERROR(__xludf.DUMMYFUNCTION("""COMPUTED_VALUE"""),"Attack")</f>
        <v/>
      </c>
      <c r="J13" s="17">
        <f>IFERROR(__xludf.DUMMYFUNCTION("""COMPUTED_VALUE"""),"Blue")</f>
        <v/>
      </c>
      <c r="K13" s="17">
        <f>IFERROR(__xludf.DUMMYFUNCTION("""COMPUTED_VALUE"""),10000.0)</f>
        <v/>
      </c>
      <c r="L13" s="17">
        <f>IFERROR(__xludf.DUMMYFUNCTION("""COMPUTED_VALUE"""),3.0)</f>
        <v/>
      </c>
      <c r="M13" s="17">
        <f>IFERROR(__xludf.DUMMYFUNCTION("""COMPUTED_VALUE"""),23.0)</f>
        <v/>
      </c>
      <c r="N13" s="17">
        <f>IFERROR(__xludf.DUMMYFUNCTION("""COMPUTED_VALUE"""),0.31)</f>
        <v/>
      </c>
      <c r="O13" s="17">
        <f>IFERROR(__xludf.DUMMYFUNCTION("""COMPUTED_VALUE"""),500.0)</f>
        <v/>
      </c>
      <c r="P13" s="17">
        <f>IFERROR(__xludf.DUMMYFUNCTION("""COMPUTED_VALUE"""),0.0)</f>
        <v/>
      </c>
      <c r="Q13" s="17">
        <f>IFERROR(__xludf.DUMMYFUNCTION("""COMPUTED_VALUE"""),0.41)</f>
        <v/>
      </c>
      <c r="R13" s="17">
        <f>IFERROR(__xludf.DUMMYFUNCTION("""COMPUTED_VALUE"""),100.0)</f>
        <v/>
      </c>
      <c r="S13" s="17">
        <f>IFERROR(__xludf.DUMMYFUNCTION("""COMPUTED_VALUE"""),300.0)</f>
        <v/>
      </c>
      <c r="T13" s="350">
        <f>IFERROR(__xludf.DUMMYFUNCTION("""COMPUTED_VALUE"""),"2.34")</f>
        <v/>
      </c>
      <c r="U13" s="351">
        <f>IFERROR(__xludf.DUMMYFUNCTION("""COMPUTED_VALUE"""),"stop有:1回目 1.00")</f>
        <v/>
      </c>
      <c r="V13" s="351">
        <f>IFERROR(__xludf.DUMMYFUNCTION("""COMPUTED_VALUE"""),125.0)</f>
        <v/>
      </c>
      <c r="W13" s="351">
        <f>IFERROR(__xludf.DUMMYFUNCTION("""COMPUTED_VALUE"""),"-")</f>
        <v/>
      </c>
      <c r="X13" s="351">
        <f>IFERROR(__xludf.DUMMYFUNCTION("""COMPUTED_VALUE"""),"-")</f>
        <v/>
      </c>
      <c r="Y13" s="351" t="n"/>
      <c r="Z13" s="351">
        <f>IFERROR(__xludf.DUMMYFUNCTION("""COMPUTED_VALUE"""),"-")</f>
        <v/>
      </c>
      <c r="AA13" s="327" t="n"/>
      <c r="AB13" s="327">
        <f>IFERROR(__xludf.DUMMYFUNCTION("""COMPUTED_VALUE"""),"dageki_1")</f>
        <v/>
      </c>
      <c r="AC13" s="327" t="n"/>
    </row>
    <row r="14">
      <c r="A14" s="339" t="n"/>
      <c r="B14" s="348" t="n"/>
      <c r="C14" s="295" t="n"/>
      <c r="D14" s="295">
        <f>IFERROR(__xludf.DUMMYFUNCTION("""COMPUTED_VALUE"""),"___")</f>
        <v/>
      </c>
      <c r="E14" s="349">
        <f>IFERROR(__xludf.DUMMYFUNCTION("""COMPUTED_VALUE"""),"none")</f>
        <v/>
      </c>
      <c r="F14" s="349">
        <f>IFERROR(__xludf.DUMMYFUNCTION("""COMPUTED_VALUE"""),"none")</f>
        <v/>
      </c>
      <c r="G14" s="349">
        <f>IFERROR(__xludf.DUMMYFUNCTION("""COMPUTED_VALUE"""),"none")</f>
        <v/>
      </c>
      <c r="H14" s="17" t="n"/>
      <c r="I14" s="17">
        <f>IFERROR(__xludf.DUMMYFUNCTION("""COMPUTED_VALUE"""),"none")</f>
        <v/>
      </c>
      <c r="J14" s="17" t="n"/>
      <c r="K14" s="17" t="n"/>
      <c r="L14" s="17" t="n"/>
      <c r="M14" s="17" t="n"/>
      <c r="N14" s="17" t="n"/>
      <c r="O14" s="17" t="n"/>
      <c r="P14" s="17" t="n"/>
      <c r="Q14" s="17" t="n"/>
      <c r="R14" s="17" t="n"/>
      <c r="S14" s="17" t="n"/>
      <c r="T14" s="350">
        <f>IFERROR(__xludf.DUMMYFUNCTION("""COMPUTED_VALUE"""),"none")</f>
        <v/>
      </c>
      <c r="U14" s="351">
        <f>IFERROR(__xludf.DUMMYFUNCTION("""COMPUTED_VALUE"""),"none")</f>
        <v/>
      </c>
      <c r="V14" s="351" t="n"/>
      <c r="W14" s="351">
        <f>IFERROR(__xludf.DUMMYFUNCTION("""COMPUTED_VALUE"""),"none")</f>
        <v/>
      </c>
      <c r="X14" s="351">
        <f>IFERROR(__xludf.DUMMYFUNCTION("""COMPUTED_VALUE"""),"none")</f>
        <v/>
      </c>
      <c r="Y14" s="351" t="n"/>
      <c r="Z14" s="351">
        <f>IFERROR(__xludf.DUMMYFUNCTION("""COMPUTED_VALUE"""),"-")</f>
        <v/>
      </c>
      <c r="AA14" s="327" t="n"/>
      <c r="AB14" s="327">
        <f>IFERROR(__xludf.DUMMYFUNCTION("""COMPUTED_VALUE"""),"none")</f>
        <v/>
      </c>
      <c r="AC14" s="327" t="n"/>
    </row>
    <row r="15">
      <c r="A15" s="339" t="n"/>
      <c r="B15" s="348">
        <f>IFERROR(__xludf.DUMMYFUNCTION("""COMPUTED_VALUE"""),"enemy_kai_00401")</f>
        <v/>
      </c>
      <c r="C15" s="295">
        <f>IFERROR(__xludf.DUMMYFUNCTION("""COMPUTED_VALUE"""),"_kai1_advent")</f>
        <v/>
      </c>
      <c r="D15" s="295">
        <f>IFERROR(__xludf.DUMMYFUNCTION("""COMPUTED_VALUE"""),"e_kai_00401_kai1_advent_Boss_Red")</f>
        <v/>
      </c>
      <c r="E15" s="349">
        <f>IFERROR(__xludf.DUMMYFUNCTION("""COMPUTED_VALUE"""),"怪獣８号")</f>
        <v/>
      </c>
      <c r="F15" s="349">
        <f>IFERROR(__xludf.DUMMYFUNCTION("""COMPUTED_VALUE"""),"怪獣１０号")</f>
        <v/>
      </c>
      <c r="G15" s="349">
        <f>IFERROR(__xludf.DUMMYFUNCTION("""COMPUTED_VALUE"""),"怪獣１０号_kai1_advent")</f>
        <v/>
      </c>
      <c r="H15" s="17">
        <f>IFERROR(__xludf.DUMMYFUNCTION("""COMPUTED_VALUE"""),"Boss")</f>
        <v/>
      </c>
      <c r="I15" s="17">
        <f>IFERROR(__xludf.DUMMYFUNCTION("""COMPUTED_VALUE"""),"Attack")</f>
        <v/>
      </c>
      <c r="J15" s="17">
        <f>IFERROR(__xludf.DUMMYFUNCTION("""COMPUTED_VALUE"""),"Red")</f>
        <v/>
      </c>
      <c r="K15" s="17">
        <f>IFERROR(__xludf.DUMMYFUNCTION("""COMPUTED_VALUE"""),100000.0)</f>
        <v/>
      </c>
      <c r="L15" s="17">
        <f>IFERROR(__xludf.DUMMYFUNCTION("""COMPUTED_VALUE"""),2.0)</f>
        <v/>
      </c>
      <c r="M15" s="17">
        <f>IFERROR(__xludf.DUMMYFUNCTION("""COMPUTED_VALUE"""),65.0)</f>
        <v/>
      </c>
      <c r="N15" s="17">
        <f>IFERROR(__xludf.DUMMYFUNCTION("""COMPUTED_VALUE"""),0.22)</f>
        <v/>
      </c>
      <c r="O15" s="17">
        <f>IFERROR(__xludf.DUMMYFUNCTION("""COMPUTED_VALUE"""),2000.0)</f>
        <v/>
      </c>
      <c r="P15" s="17">
        <f>IFERROR(__xludf.DUMMYFUNCTION("""COMPUTED_VALUE"""),0.0)</f>
        <v/>
      </c>
      <c r="Q15" s="17">
        <f>IFERROR(__xludf.DUMMYFUNCTION("""COMPUTED_VALUE"""),0.23)</f>
        <v/>
      </c>
      <c r="R15" s="17">
        <f>IFERROR(__xludf.DUMMYFUNCTION("""COMPUTED_VALUE"""),1.0)</f>
        <v/>
      </c>
      <c r="S15" s="17">
        <f>IFERROR(__xludf.DUMMYFUNCTION("""COMPUTED_VALUE"""),500.0)</f>
        <v/>
      </c>
      <c r="T15" s="350">
        <f>IFERROR(__xludf.DUMMYFUNCTION("""COMPUTED_VALUE"""),"1.30")</f>
        <v/>
      </c>
      <c r="U15" s="351">
        <f>IFERROR(__xludf.DUMMYFUNCTION("""COMPUTED_VALUE"""),"stop有:1回目 0.55")</f>
        <v/>
      </c>
      <c r="V15" s="351">
        <f>IFERROR(__xludf.DUMMYFUNCTION("""COMPUTED_VALUE"""),25.0)</f>
        <v/>
      </c>
      <c r="W15" s="351">
        <f>IFERROR(__xludf.DUMMYFUNCTION("""COMPUTED_VALUE"""),"-")</f>
        <v/>
      </c>
      <c r="X15" s="351">
        <f>IFERROR(__xludf.DUMMYFUNCTION("""COMPUTED_VALUE"""),"-")</f>
        <v/>
      </c>
      <c r="Y15" s="351" t="n"/>
      <c r="Z15" s="351">
        <f>IFERROR(__xludf.DUMMYFUNCTION("""COMPUTED_VALUE"""),"-")</f>
        <v/>
      </c>
      <c r="AA15" s="327" t="n"/>
      <c r="AB15" s="327">
        <f>IFERROR(__xludf.DUMMYFUNCTION("""COMPUTED_VALUE"""),"dageki_1")</f>
        <v/>
      </c>
      <c r="AC15" s="327" t="n"/>
    </row>
    <row r="16">
      <c r="A16" s="339" t="n"/>
      <c r="B16" s="348">
        <f>IFERROR(__xludf.DUMMYFUNCTION("""COMPUTED_VALUE"""),"enemy_kai_00401")</f>
        <v/>
      </c>
      <c r="C16" s="295">
        <f>IFERROR(__xludf.DUMMYFUNCTION("""COMPUTED_VALUE"""),"_kai1_advent")</f>
        <v/>
      </c>
      <c r="D16" s="295">
        <f>IFERROR(__xludf.DUMMYFUNCTION("""COMPUTED_VALUE"""),"e_kai_00401_kai1_advent_Boss_Blue")</f>
        <v/>
      </c>
      <c r="E16" s="349">
        <f>IFERROR(__xludf.DUMMYFUNCTION("""COMPUTED_VALUE"""),"怪獣８号")</f>
        <v/>
      </c>
      <c r="F16" s="349">
        <f>IFERROR(__xludf.DUMMYFUNCTION("""COMPUTED_VALUE"""),"怪獣１０号")</f>
        <v/>
      </c>
      <c r="G16" s="349">
        <f>IFERROR(__xludf.DUMMYFUNCTION("""COMPUTED_VALUE"""),"怪獣１０号_kai1_advent")</f>
        <v/>
      </c>
      <c r="H16" s="17">
        <f>IFERROR(__xludf.DUMMYFUNCTION("""COMPUTED_VALUE"""),"Boss")</f>
        <v/>
      </c>
      <c r="I16" s="17">
        <f>IFERROR(__xludf.DUMMYFUNCTION("""COMPUTED_VALUE"""),"Attack")</f>
        <v/>
      </c>
      <c r="J16" s="17">
        <f>IFERROR(__xludf.DUMMYFUNCTION("""COMPUTED_VALUE"""),"Blue")</f>
        <v/>
      </c>
      <c r="K16" s="17">
        <f>IFERROR(__xludf.DUMMYFUNCTION("""COMPUTED_VALUE"""),100000.0)</f>
        <v/>
      </c>
      <c r="L16" s="17">
        <f>IFERROR(__xludf.DUMMYFUNCTION("""COMPUTED_VALUE"""),2.0)</f>
        <v/>
      </c>
      <c r="M16" s="17">
        <f>IFERROR(__xludf.DUMMYFUNCTION("""COMPUTED_VALUE"""),70.0)</f>
        <v/>
      </c>
      <c r="N16" s="17">
        <f>IFERROR(__xludf.DUMMYFUNCTION("""COMPUTED_VALUE"""),0.2)</f>
        <v/>
      </c>
      <c r="O16" s="17">
        <f>IFERROR(__xludf.DUMMYFUNCTION("""COMPUTED_VALUE"""),2000.0)</f>
        <v/>
      </c>
      <c r="P16" s="17">
        <f>IFERROR(__xludf.DUMMYFUNCTION("""COMPUTED_VALUE"""),0.0)</f>
        <v/>
      </c>
      <c r="Q16" s="17">
        <f>IFERROR(__xludf.DUMMYFUNCTION("""COMPUTED_VALUE"""),0.21)</f>
        <v/>
      </c>
      <c r="R16" s="17">
        <f>IFERROR(__xludf.DUMMYFUNCTION("""COMPUTED_VALUE"""),1.0)</f>
        <v/>
      </c>
      <c r="S16" s="17">
        <f>IFERROR(__xludf.DUMMYFUNCTION("""COMPUTED_VALUE"""),500.0)</f>
        <v/>
      </c>
      <c r="T16" s="350">
        <f>IFERROR(__xludf.DUMMYFUNCTION("""COMPUTED_VALUE"""),"1.30")</f>
        <v/>
      </c>
      <c r="U16" s="351">
        <f>IFERROR(__xludf.DUMMYFUNCTION("""COMPUTED_VALUE"""),"stop有:1回目 0.55")</f>
        <v/>
      </c>
      <c r="V16" s="351">
        <f>IFERROR(__xludf.DUMMYFUNCTION("""COMPUTED_VALUE"""),100.0)</f>
        <v/>
      </c>
      <c r="W16" s="351">
        <f>IFERROR(__xludf.DUMMYFUNCTION("""COMPUTED_VALUE"""),"-")</f>
        <v/>
      </c>
      <c r="X16" s="351">
        <f>IFERROR(__xludf.DUMMYFUNCTION("""COMPUTED_VALUE"""),"-")</f>
        <v/>
      </c>
      <c r="Y16" s="351" t="n"/>
      <c r="Z16" s="351">
        <f>IFERROR(__xludf.DUMMYFUNCTION("""COMPUTED_VALUE"""),"-")</f>
        <v/>
      </c>
      <c r="AA16" s="327" t="n"/>
      <c r="AB16" s="327">
        <f>IFERROR(__xludf.DUMMYFUNCTION("""COMPUTED_VALUE"""),"dageki_1")</f>
        <v/>
      </c>
      <c r="AC16" s="327" t="n"/>
    </row>
    <row r="17">
      <c r="A17" s="339" t="n"/>
      <c r="B17" s="348" t="n"/>
      <c r="C17" s="295" t="n"/>
      <c r="D17" s="295">
        <f>IFERROR(__xludf.DUMMYFUNCTION("""COMPUTED_VALUE"""),"___")</f>
        <v/>
      </c>
      <c r="E17" s="349">
        <f>IFERROR(__xludf.DUMMYFUNCTION("""COMPUTED_VALUE"""),"none")</f>
        <v/>
      </c>
      <c r="F17" s="349">
        <f>IFERROR(__xludf.DUMMYFUNCTION("""COMPUTED_VALUE"""),"none")</f>
        <v/>
      </c>
      <c r="G17" s="349">
        <f>IFERROR(__xludf.DUMMYFUNCTION("""COMPUTED_VALUE"""),"none")</f>
        <v/>
      </c>
      <c r="H17" s="17" t="n"/>
      <c r="I17" s="17">
        <f>IFERROR(__xludf.DUMMYFUNCTION("""COMPUTED_VALUE"""),"none")</f>
        <v/>
      </c>
      <c r="J17" s="17" t="n"/>
      <c r="K17" s="17" t="n"/>
      <c r="L17" s="17" t="n"/>
      <c r="M17" s="17" t="n"/>
      <c r="N17" s="17" t="n"/>
      <c r="O17" s="17" t="n"/>
      <c r="P17" s="17" t="n"/>
      <c r="Q17" s="17" t="n"/>
      <c r="R17" s="17" t="n"/>
      <c r="S17" s="17" t="n"/>
      <c r="T17" s="350">
        <f>IFERROR(__xludf.DUMMYFUNCTION("""COMPUTED_VALUE"""),"none")</f>
        <v/>
      </c>
      <c r="U17" s="351">
        <f>IFERROR(__xludf.DUMMYFUNCTION("""COMPUTED_VALUE"""),"none")</f>
        <v/>
      </c>
      <c r="V17" s="351" t="n"/>
      <c r="W17" s="351">
        <f>IFERROR(__xludf.DUMMYFUNCTION("""COMPUTED_VALUE"""),"none")</f>
        <v/>
      </c>
      <c r="X17" s="351">
        <f>IFERROR(__xludf.DUMMYFUNCTION("""COMPUTED_VALUE"""),"none")</f>
        <v/>
      </c>
      <c r="Y17" s="351" t="n"/>
      <c r="Z17" s="351">
        <f>IFERROR(__xludf.DUMMYFUNCTION("""COMPUTED_VALUE"""),"-")</f>
        <v/>
      </c>
      <c r="AA17" s="327" t="n"/>
      <c r="AB17" s="327">
        <f>IFERROR(__xludf.DUMMYFUNCTION("""COMPUTED_VALUE"""),"none")</f>
        <v/>
      </c>
      <c r="AC17" s="327" t="n"/>
    </row>
    <row r="18">
      <c r="A18" s="339" t="n"/>
      <c r="B18" s="348">
        <f>IFERROR(__xludf.DUMMYFUNCTION("""COMPUTED_VALUE"""),"enemy_spy_00001")</f>
        <v/>
      </c>
      <c r="C18" s="295">
        <f>IFERROR(__xludf.DUMMYFUNCTION("""COMPUTED_VALUE"""),"_frankyget")</f>
        <v/>
      </c>
      <c r="D18" s="295">
        <f>IFERROR(__xludf.DUMMYFUNCTION("""COMPUTED_VALUE"""),"e_spy_00001_frankyget_Normal_Colorless")</f>
        <v/>
      </c>
      <c r="E18" s="349">
        <f>IFERROR(__xludf.DUMMYFUNCTION("""COMPUTED_VALUE"""),"SPY×FAMILY")</f>
        <v/>
      </c>
      <c r="F18" s="349">
        <f>IFERROR(__xludf.DUMMYFUNCTION("""COMPUTED_VALUE"""),"密輸組織の残党")</f>
        <v/>
      </c>
      <c r="G18" s="349">
        <f>IFERROR(__xludf.DUMMYFUNCTION("""COMPUTED_VALUE"""),"密輸組織の残党_frankyget")</f>
        <v/>
      </c>
      <c r="H18" s="17">
        <f>IFERROR(__xludf.DUMMYFUNCTION("""COMPUTED_VALUE"""),"Normal")</f>
        <v/>
      </c>
      <c r="I18" s="17">
        <f>IFERROR(__xludf.DUMMYFUNCTION("""COMPUTED_VALUE"""),"Attack")</f>
        <v/>
      </c>
      <c r="J18" s="17">
        <f>IFERROR(__xludf.DUMMYFUNCTION("""COMPUTED_VALUE"""),"Colorless")</f>
        <v/>
      </c>
      <c r="K18" s="17">
        <f>IFERROR(__xludf.DUMMYFUNCTION("""COMPUTED_VALUE"""),5000.0)</f>
        <v/>
      </c>
      <c r="L18" s="17">
        <f>IFERROR(__xludf.DUMMYFUNCTION("""COMPUTED_VALUE"""),3.0)</f>
        <v/>
      </c>
      <c r="M18" s="17">
        <f>IFERROR(__xludf.DUMMYFUNCTION("""COMPUTED_VALUE"""),25.0)</f>
        <v/>
      </c>
      <c r="N18" s="17">
        <f>IFERROR(__xludf.DUMMYFUNCTION("""COMPUTED_VALUE"""),0.32)</f>
        <v/>
      </c>
      <c r="O18" s="17">
        <f>IFERROR(__xludf.DUMMYFUNCTION("""COMPUTED_VALUE"""),300.0)</f>
        <v/>
      </c>
      <c r="P18" s="17">
        <f>IFERROR(__xludf.DUMMYFUNCTION("""COMPUTED_VALUE"""),0.0)</f>
        <v/>
      </c>
      <c r="Q18" s="17">
        <f>IFERROR(__xludf.DUMMYFUNCTION("""COMPUTED_VALUE"""),0.33)</f>
        <v/>
      </c>
      <c r="R18" s="17">
        <f>IFERROR(__xludf.DUMMYFUNCTION("""COMPUTED_VALUE"""),1.0)</f>
        <v/>
      </c>
      <c r="S18" s="17">
        <f>IFERROR(__xludf.DUMMYFUNCTION("""COMPUTED_VALUE"""),250.0)</f>
        <v/>
      </c>
      <c r="T18" s="350">
        <f>IFERROR(__xludf.DUMMYFUNCTION("""COMPUTED_VALUE"""),"1.00")</f>
        <v/>
      </c>
      <c r="U18" s="351">
        <f>IFERROR(__xludf.DUMMYFUNCTION("""COMPUTED_VALUE"""),"0.17")</f>
        <v/>
      </c>
      <c r="V18" s="351">
        <f>IFERROR(__xludf.DUMMYFUNCTION("""COMPUTED_VALUE"""),50.0)</f>
        <v/>
      </c>
      <c r="W18" s="351">
        <f>IFERROR(__xludf.DUMMYFUNCTION("""COMPUTED_VALUE"""),"-")</f>
        <v/>
      </c>
      <c r="X18" s="351">
        <f>IFERROR(__xludf.DUMMYFUNCTION("""COMPUTED_VALUE"""),"-")</f>
        <v/>
      </c>
      <c r="Y18" s="351" t="n"/>
      <c r="Z18" s="351">
        <f>IFERROR(__xludf.DUMMYFUNCTION("""COMPUTED_VALUE"""),"-")</f>
        <v/>
      </c>
      <c r="AA18" s="327" t="n"/>
      <c r="AB18" s="327">
        <f>IFERROR(__xludf.DUMMYFUNCTION("""COMPUTED_VALUE"""),"shageki_1")</f>
        <v/>
      </c>
      <c r="AC18" s="327" t="n"/>
    </row>
    <row r="19">
      <c r="A19" s="339" t="n"/>
      <c r="B19" s="348">
        <f>IFERROR(__xludf.DUMMYFUNCTION("""COMPUTED_VALUE"""),"enemy_spy_00001")</f>
        <v/>
      </c>
      <c r="C19" s="295">
        <f>IFERROR(__xludf.DUMMYFUNCTION("""COMPUTED_VALUE"""),"_spy1savage")</f>
        <v/>
      </c>
      <c r="D19" s="295">
        <f>IFERROR(__xludf.DUMMYFUNCTION("""COMPUTED_VALUE"""),"e_spy_00001_spy1savage_Normal_Colorless")</f>
        <v/>
      </c>
      <c r="E19" s="349">
        <f>IFERROR(__xludf.DUMMYFUNCTION("""COMPUTED_VALUE"""),"SPY×FAMILY")</f>
        <v/>
      </c>
      <c r="F19" s="349">
        <f>IFERROR(__xludf.DUMMYFUNCTION("""COMPUTED_VALUE"""),"密輸組織の残党")</f>
        <v/>
      </c>
      <c r="G19" s="349">
        <f>IFERROR(__xludf.DUMMYFUNCTION("""COMPUTED_VALUE"""),"密輸組織の残党_spy1savage")</f>
        <v/>
      </c>
      <c r="H19" s="17">
        <f>IFERROR(__xludf.DUMMYFUNCTION("""COMPUTED_VALUE"""),"Normal")</f>
        <v/>
      </c>
      <c r="I19" s="17">
        <f>IFERROR(__xludf.DUMMYFUNCTION("""COMPUTED_VALUE"""),"Attack")</f>
        <v/>
      </c>
      <c r="J19" s="17">
        <f>IFERROR(__xludf.DUMMYFUNCTION("""COMPUTED_VALUE"""),"Colorless")</f>
        <v/>
      </c>
      <c r="K19" s="17">
        <f>IFERROR(__xludf.DUMMYFUNCTION("""COMPUTED_VALUE"""),5000.0)</f>
        <v/>
      </c>
      <c r="L19" s="17">
        <f>IFERROR(__xludf.DUMMYFUNCTION("""COMPUTED_VALUE"""),3.0)</f>
        <v/>
      </c>
      <c r="M19" s="17">
        <f>IFERROR(__xludf.DUMMYFUNCTION("""COMPUTED_VALUE"""),70.0)</f>
        <v/>
      </c>
      <c r="N19" s="17">
        <f>IFERROR(__xludf.DUMMYFUNCTION("""COMPUTED_VALUE"""),0.32)</f>
        <v/>
      </c>
      <c r="O19" s="17">
        <f>IFERROR(__xludf.DUMMYFUNCTION("""COMPUTED_VALUE"""),300.0)</f>
        <v/>
      </c>
      <c r="P19" s="17">
        <f>IFERROR(__xludf.DUMMYFUNCTION("""COMPUTED_VALUE"""),0.0)</f>
        <v/>
      </c>
      <c r="Q19" s="17">
        <f>IFERROR(__xludf.DUMMYFUNCTION("""COMPUTED_VALUE"""),0.33)</f>
        <v/>
      </c>
      <c r="R19" s="17">
        <f>IFERROR(__xludf.DUMMYFUNCTION("""COMPUTED_VALUE"""),1.0)</f>
        <v/>
      </c>
      <c r="S19" s="17">
        <f>IFERROR(__xludf.DUMMYFUNCTION("""COMPUTED_VALUE"""),250.0)</f>
        <v/>
      </c>
      <c r="T19" s="350">
        <f>IFERROR(__xludf.DUMMYFUNCTION("""COMPUTED_VALUE"""),"1.00")</f>
        <v/>
      </c>
      <c r="U19" s="351">
        <f>IFERROR(__xludf.DUMMYFUNCTION("""COMPUTED_VALUE"""),"0.17")</f>
        <v/>
      </c>
      <c r="V19" s="351">
        <f>IFERROR(__xludf.DUMMYFUNCTION("""COMPUTED_VALUE"""),50.0)</f>
        <v/>
      </c>
      <c r="W19" s="351">
        <f>IFERROR(__xludf.DUMMYFUNCTION("""COMPUTED_VALUE"""),"-")</f>
        <v/>
      </c>
      <c r="X19" s="351">
        <f>IFERROR(__xludf.DUMMYFUNCTION("""COMPUTED_VALUE"""),"-")</f>
        <v/>
      </c>
      <c r="Y19" s="351" t="n"/>
      <c r="Z19" s="351">
        <f>IFERROR(__xludf.DUMMYFUNCTION("""COMPUTED_VALUE"""),"-")</f>
        <v/>
      </c>
      <c r="AA19" s="327" t="n"/>
      <c r="AB19" s="327">
        <f>IFERROR(__xludf.DUMMYFUNCTION("""COMPUTED_VALUE"""),"shageki_1")</f>
        <v/>
      </c>
      <c r="AC19" s="327" t="n"/>
    </row>
    <row r="20">
      <c r="A20" s="339" t="n"/>
      <c r="B20" s="348">
        <f>IFERROR(__xludf.DUMMYFUNCTION("""COMPUTED_VALUE"""),"chara_spy_00401")</f>
        <v/>
      </c>
      <c r="C20" s="295">
        <f>IFERROR(__xludf.DUMMYFUNCTION("""COMPUTED_VALUE"""),"_frankyget")</f>
        <v/>
      </c>
      <c r="D20" s="295">
        <f>IFERROR(__xludf.DUMMYFUNCTION("""COMPUTED_VALUE"""),"c_spy_00401_frankyget_Boss_Colorless")</f>
        <v/>
      </c>
      <c r="E20" s="349">
        <f>IFERROR(__xludf.DUMMYFUNCTION("""COMPUTED_VALUE"""),"SPY×FAMILY")</f>
        <v/>
      </c>
      <c r="F20" s="349">
        <f>IFERROR(__xludf.DUMMYFUNCTION("""COMPUTED_VALUE"""),"フランキー・フランクリン")</f>
        <v/>
      </c>
      <c r="G20" s="349">
        <f>IFERROR(__xludf.DUMMYFUNCTION("""COMPUTED_VALUE"""),"フランキー・フランクリン_frankyget")</f>
        <v/>
      </c>
      <c r="H20" s="17">
        <f>IFERROR(__xludf.DUMMYFUNCTION("""COMPUTED_VALUE"""),"Boss")</f>
        <v/>
      </c>
      <c r="I20" s="17">
        <f>IFERROR(__xludf.DUMMYFUNCTION("""COMPUTED_VALUE"""),"Defense")</f>
        <v/>
      </c>
      <c r="J20" s="17">
        <f>IFERROR(__xludf.DUMMYFUNCTION("""COMPUTED_VALUE"""),"Colorless")</f>
        <v/>
      </c>
      <c r="K20" s="17">
        <f>IFERROR(__xludf.DUMMYFUNCTION("""COMPUTED_VALUE"""),40000.0)</f>
        <v/>
      </c>
      <c r="L20" s="17">
        <f>IFERROR(__xludf.DUMMYFUNCTION("""COMPUTED_VALUE"""),3.0)</f>
        <v/>
      </c>
      <c r="M20" s="17">
        <f>IFERROR(__xludf.DUMMYFUNCTION("""COMPUTED_VALUE"""),30.0)</f>
        <v/>
      </c>
      <c r="N20" s="17">
        <f>IFERROR(__xludf.DUMMYFUNCTION("""COMPUTED_VALUE"""),0.17)</f>
        <v/>
      </c>
      <c r="O20" s="17">
        <f>IFERROR(__xludf.DUMMYFUNCTION("""COMPUTED_VALUE"""),100.0)</f>
        <v/>
      </c>
      <c r="P20" s="17">
        <f>IFERROR(__xludf.DUMMYFUNCTION("""COMPUTED_VALUE"""),0.0)</f>
        <v/>
      </c>
      <c r="Q20" s="17">
        <f>IFERROR(__xludf.DUMMYFUNCTION("""COMPUTED_VALUE"""),0.18)</f>
        <v/>
      </c>
      <c r="R20" s="17">
        <f>IFERROR(__xludf.DUMMYFUNCTION("""COMPUTED_VALUE"""),1.0)</f>
        <v/>
      </c>
      <c r="S20" s="17">
        <f>IFERROR(__xludf.DUMMYFUNCTION("""COMPUTED_VALUE"""),500.0)</f>
        <v/>
      </c>
      <c r="T20" s="350">
        <f>IFERROR(__xludf.DUMMYFUNCTION("""COMPUTED_VALUE"""),"1.20")</f>
        <v/>
      </c>
      <c r="U20" s="351">
        <f>IFERROR(__xludf.DUMMYFUNCTION("""COMPUTED_VALUE"""),"0.50")</f>
        <v/>
      </c>
      <c r="V20" s="351">
        <f>IFERROR(__xludf.DUMMYFUNCTION("""COMPUTED_VALUE"""),60.0)</f>
        <v/>
      </c>
      <c r="W20" s="351">
        <f>IFERROR(__xludf.DUMMYFUNCTION("""COMPUTED_VALUE"""),"2.75")</f>
        <v/>
      </c>
      <c r="X20" s="351">
        <f>IFERROR(__xludf.DUMMYFUNCTION("""COMPUTED_VALUE"""),"1.34")</f>
        <v/>
      </c>
      <c r="Y20" s="351">
        <f>IFERROR(__xludf.DUMMYFUNCTION("""COMPUTED_VALUE"""),"単体に150%ダメージ")</f>
        <v/>
      </c>
      <c r="Z20" s="351">
        <f>IFERROR(__xludf.DUMMYFUNCTION("""COMPUTED_VALUE"""),7.0)</f>
        <v/>
      </c>
      <c r="AA20" s="327" t="n"/>
      <c r="AB20" s="327">
        <f>IFERROR(__xludf.DUMMYFUNCTION("""COMPUTED_VALUE"""),"dageki_2")</f>
        <v/>
      </c>
      <c r="AC20" s="327" t="n"/>
    </row>
    <row r="21">
      <c r="A21" s="339" t="n"/>
      <c r="B21" s="348">
        <f>IFERROR(__xludf.DUMMYFUNCTION("""COMPUTED_VALUE"""),"chara_spy_00401")</f>
        <v/>
      </c>
      <c r="C21" s="295">
        <f>IFERROR(__xludf.DUMMYFUNCTION("""COMPUTED_VALUE"""),"_frankyget")</f>
        <v/>
      </c>
      <c r="D21" s="295">
        <f>IFERROR(__xludf.DUMMYFUNCTION("""COMPUTED_VALUE"""),"c_spy_00401_frankyget_Boss_Red")</f>
        <v/>
      </c>
      <c r="E21" s="349">
        <f>IFERROR(__xludf.DUMMYFUNCTION("""COMPUTED_VALUE"""),"SPY×FAMILY")</f>
        <v/>
      </c>
      <c r="F21" s="349">
        <f>IFERROR(__xludf.DUMMYFUNCTION("""COMPUTED_VALUE"""),"フランキー・フランクリン")</f>
        <v/>
      </c>
      <c r="G21" s="349">
        <f>IFERROR(__xludf.DUMMYFUNCTION("""COMPUTED_VALUE"""),"フランキー・フランクリン_frankyget")</f>
        <v/>
      </c>
      <c r="H21" s="17">
        <f>IFERROR(__xludf.DUMMYFUNCTION("""COMPUTED_VALUE"""),"Boss")</f>
        <v/>
      </c>
      <c r="I21" s="17">
        <f>IFERROR(__xludf.DUMMYFUNCTION("""COMPUTED_VALUE"""),"Technical")</f>
        <v/>
      </c>
      <c r="J21" s="17">
        <f>IFERROR(__xludf.DUMMYFUNCTION("""COMPUTED_VALUE"""),"Red")</f>
        <v/>
      </c>
      <c r="K21" s="17">
        <f>IFERROR(__xludf.DUMMYFUNCTION("""COMPUTED_VALUE"""),40000.0)</f>
        <v/>
      </c>
      <c r="L21" s="17">
        <f>IFERROR(__xludf.DUMMYFUNCTION("""COMPUTED_VALUE"""),3.0)</f>
        <v/>
      </c>
      <c r="M21" s="17">
        <f>IFERROR(__xludf.DUMMYFUNCTION("""COMPUTED_VALUE"""),28.0)</f>
        <v/>
      </c>
      <c r="N21" s="17">
        <f>IFERROR(__xludf.DUMMYFUNCTION("""COMPUTED_VALUE"""),0.18)</f>
        <v/>
      </c>
      <c r="O21" s="17">
        <f>IFERROR(__xludf.DUMMYFUNCTION("""COMPUTED_VALUE"""),100.0)</f>
        <v/>
      </c>
      <c r="P21" s="17">
        <f>IFERROR(__xludf.DUMMYFUNCTION("""COMPUTED_VALUE"""),0.0)</f>
        <v/>
      </c>
      <c r="Q21" s="17">
        <f>IFERROR(__xludf.DUMMYFUNCTION("""COMPUTED_VALUE"""),0.19)</f>
        <v/>
      </c>
      <c r="R21" s="17">
        <f>IFERROR(__xludf.DUMMYFUNCTION("""COMPUTED_VALUE"""),1.0)</f>
        <v/>
      </c>
      <c r="S21" s="17">
        <f>IFERROR(__xludf.DUMMYFUNCTION("""COMPUTED_VALUE"""),500.0)</f>
        <v/>
      </c>
      <c r="T21" s="350">
        <f>IFERROR(__xludf.DUMMYFUNCTION("""COMPUTED_VALUE"""),"1.20")</f>
        <v/>
      </c>
      <c r="U21" s="351">
        <f>IFERROR(__xludf.DUMMYFUNCTION("""COMPUTED_VALUE"""),"0.50")</f>
        <v/>
      </c>
      <c r="V21" s="351">
        <f>IFERROR(__xludf.DUMMYFUNCTION("""COMPUTED_VALUE"""),30.0)</f>
        <v/>
      </c>
      <c r="W21" s="351">
        <f>IFERROR(__xludf.DUMMYFUNCTION("""COMPUTED_VALUE"""),"2.75")</f>
        <v/>
      </c>
      <c r="X21" s="351">
        <f>IFERROR(__xludf.DUMMYFUNCTION("""COMPUTED_VALUE"""),"1.34")</f>
        <v/>
      </c>
      <c r="Y21" s="351">
        <f>IFERROR(__xludf.DUMMYFUNCTION("""COMPUTED_VALUE"""),"単体に100%ダメージ+6秒間、小ノックバック攻撃")</f>
        <v/>
      </c>
      <c r="Z21" s="351">
        <f>IFERROR(__xludf.DUMMYFUNCTION("""COMPUTED_VALUE"""),3.0)</f>
        <v/>
      </c>
      <c r="AA21" s="327" t="n"/>
      <c r="AB21" s="327">
        <f>IFERROR(__xludf.DUMMYFUNCTION("""COMPUTED_VALUE"""),"dageki_2")</f>
        <v/>
      </c>
      <c r="AC21" s="327" t="n"/>
    </row>
    <row r="22">
      <c r="A22" s="339" t="n"/>
      <c r="B22" s="348">
        <f>IFERROR(__xludf.DUMMYFUNCTION("""COMPUTED_VALUE"""),"enemy_spy_00101")</f>
        <v/>
      </c>
      <c r="C22" s="295">
        <f>IFERROR(__xludf.DUMMYFUNCTION("""COMPUTED_VALUE"""),"_spy1challenge")</f>
        <v/>
      </c>
      <c r="D22" s="295">
        <f>IFERROR(__xludf.DUMMYFUNCTION("""COMPUTED_VALUE"""),"e_spy_00101_spy1challenge_Normal_Red")</f>
        <v/>
      </c>
      <c r="E22" s="349">
        <f>IFERROR(__xludf.DUMMYFUNCTION("""COMPUTED_VALUE"""),"SPY×FAMILY")</f>
        <v/>
      </c>
      <c r="F22" s="349">
        <f>IFERROR(__xludf.DUMMYFUNCTION("""COMPUTED_VALUE"""),"グエン")</f>
        <v/>
      </c>
      <c r="G22" s="349">
        <f>IFERROR(__xludf.DUMMYFUNCTION("""COMPUTED_VALUE"""),"グエン_spy1challenge")</f>
        <v/>
      </c>
      <c r="H22" s="17">
        <f>IFERROR(__xludf.DUMMYFUNCTION("""COMPUTED_VALUE"""),"Normal")</f>
        <v/>
      </c>
      <c r="I22" s="17">
        <f>IFERROR(__xludf.DUMMYFUNCTION("""COMPUTED_VALUE"""),"Attack")</f>
        <v/>
      </c>
      <c r="J22" s="17">
        <f>IFERROR(__xludf.DUMMYFUNCTION("""COMPUTED_VALUE"""),"Red")</f>
        <v/>
      </c>
      <c r="K22" s="17">
        <f>IFERROR(__xludf.DUMMYFUNCTION("""COMPUTED_VALUE"""),5000.0)</f>
        <v/>
      </c>
      <c r="L22" s="17">
        <f>IFERROR(__xludf.DUMMYFUNCTION("""COMPUTED_VALUE"""),2.0)</f>
        <v/>
      </c>
      <c r="M22" s="17">
        <f>IFERROR(__xludf.DUMMYFUNCTION("""COMPUTED_VALUE"""),30.0)</f>
        <v/>
      </c>
      <c r="N22" s="17">
        <f>IFERROR(__xludf.DUMMYFUNCTION("""COMPUTED_VALUE"""),0.18)</f>
        <v/>
      </c>
      <c r="O22" s="17">
        <f>IFERROR(__xludf.DUMMYFUNCTION("""COMPUTED_VALUE"""),200.0)</f>
        <v/>
      </c>
      <c r="P22" s="17">
        <f>IFERROR(__xludf.DUMMYFUNCTION("""COMPUTED_VALUE"""),0.0)</f>
        <v/>
      </c>
      <c r="Q22" s="17">
        <f>IFERROR(__xludf.DUMMYFUNCTION("""COMPUTED_VALUE"""),0.19)</f>
        <v/>
      </c>
      <c r="R22" s="17">
        <f>IFERROR(__xludf.DUMMYFUNCTION("""COMPUTED_VALUE"""),1.0)</f>
        <v/>
      </c>
      <c r="S22" s="17">
        <f>IFERROR(__xludf.DUMMYFUNCTION("""COMPUTED_VALUE"""),250.0)</f>
        <v/>
      </c>
      <c r="T22" s="350">
        <f>IFERROR(__xludf.DUMMYFUNCTION("""COMPUTED_VALUE"""),"1.20")</f>
        <v/>
      </c>
      <c r="U22" s="351">
        <f>IFERROR(__xludf.DUMMYFUNCTION("""COMPUTED_VALUE"""),"0.50")</f>
        <v/>
      </c>
      <c r="V22" s="351">
        <f>IFERROR(__xludf.DUMMYFUNCTION("""COMPUTED_VALUE"""),75.0)</f>
        <v/>
      </c>
      <c r="W22" s="351">
        <f>IFERROR(__xludf.DUMMYFUNCTION("""COMPUTED_VALUE"""),"-")</f>
        <v/>
      </c>
      <c r="X22" s="351">
        <f>IFERROR(__xludf.DUMMYFUNCTION("""COMPUTED_VALUE"""),"-")</f>
        <v/>
      </c>
      <c r="Y22" s="351" t="n"/>
      <c r="Z22" s="351">
        <f>IFERROR(__xludf.DUMMYFUNCTION("""COMPUTED_VALUE"""),"-")</f>
        <v/>
      </c>
      <c r="AA22" s="327" t="n"/>
      <c r="AB22" s="327">
        <f>IFERROR(__xludf.DUMMYFUNCTION("""COMPUTED_VALUE"""),"dageki_1")</f>
        <v/>
      </c>
      <c r="AC22" s="327" t="n"/>
    </row>
    <row r="23">
      <c r="A23" s="339" t="n"/>
      <c r="B23" s="348">
        <f>IFERROR(__xludf.DUMMYFUNCTION("""COMPUTED_VALUE"""),"enemy_spy_00001")</f>
        <v/>
      </c>
      <c r="C23" s="295">
        <f>IFERROR(__xludf.DUMMYFUNCTION("""COMPUTED_VALUE"""),"_damianget")</f>
        <v/>
      </c>
      <c r="D23" s="295">
        <f>IFERROR(__xludf.DUMMYFUNCTION("""COMPUTED_VALUE"""),"e_spy_00001_damianget_Normal_Red")</f>
        <v/>
      </c>
      <c r="E23" s="349">
        <f>IFERROR(__xludf.DUMMYFUNCTION("""COMPUTED_VALUE"""),"SPY×FAMILY")</f>
        <v/>
      </c>
      <c r="F23" s="349">
        <f>IFERROR(__xludf.DUMMYFUNCTION("""COMPUTED_VALUE"""),"密輸組織の残党")</f>
        <v/>
      </c>
      <c r="G23" s="349">
        <f>IFERROR(__xludf.DUMMYFUNCTION("""COMPUTED_VALUE"""),"密輸組織の残党_damianget")</f>
        <v/>
      </c>
      <c r="H23" s="17">
        <f>IFERROR(__xludf.DUMMYFUNCTION("""COMPUTED_VALUE"""),"Normal")</f>
        <v/>
      </c>
      <c r="I23" s="17">
        <f>IFERROR(__xludf.DUMMYFUNCTION("""COMPUTED_VALUE"""),"Attack")</f>
        <v/>
      </c>
      <c r="J23" s="17">
        <f>IFERROR(__xludf.DUMMYFUNCTION("""COMPUTED_VALUE"""),"Red")</f>
        <v/>
      </c>
      <c r="K23" s="17">
        <f>IFERROR(__xludf.DUMMYFUNCTION("""COMPUTED_VALUE"""),5000.0)</f>
        <v/>
      </c>
      <c r="L23" s="17">
        <f>IFERROR(__xludf.DUMMYFUNCTION("""COMPUTED_VALUE"""),3.0)</f>
        <v/>
      </c>
      <c r="M23" s="17">
        <f>IFERROR(__xludf.DUMMYFUNCTION("""COMPUTED_VALUE"""),25.0)</f>
        <v/>
      </c>
      <c r="N23" s="17">
        <f>IFERROR(__xludf.DUMMYFUNCTION("""COMPUTED_VALUE"""),0.32)</f>
        <v/>
      </c>
      <c r="O23" s="17">
        <f>IFERROR(__xludf.DUMMYFUNCTION("""COMPUTED_VALUE"""),300.0)</f>
        <v/>
      </c>
      <c r="P23" s="17">
        <f>IFERROR(__xludf.DUMMYFUNCTION("""COMPUTED_VALUE"""),0.0)</f>
        <v/>
      </c>
      <c r="Q23" s="17">
        <f>IFERROR(__xludf.DUMMYFUNCTION("""COMPUTED_VALUE"""),0.33)</f>
        <v/>
      </c>
      <c r="R23" s="17">
        <f>IFERROR(__xludf.DUMMYFUNCTION("""COMPUTED_VALUE"""),1.0)</f>
        <v/>
      </c>
      <c r="S23" s="17">
        <f>IFERROR(__xludf.DUMMYFUNCTION("""COMPUTED_VALUE"""),250.0)</f>
        <v/>
      </c>
      <c r="T23" s="350">
        <f>IFERROR(__xludf.DUMMYFUNCTION("""COMPUTED_VALUE"""),"1.00")</f>
        <v/>
      </c>
      <c r="U23" s="351">
        <f>IFERROR(__xludf.DUMMYFUNCTION("""COMPUTED_VALUE"""),"0.17")</f>
        <v/>
      </c>
      <c r="V23" s="351">
        <f>IFERROR(__xludf.DUMMYFUNCTION("""COMPUTED_VALUE"""),50.0)</f>
        <v/>
      </c>
      <c r="W23" s="351">
        <f>IFERROR(__xludf.DUMMYFUNCTION("""COMPUTED_VALUE"""),"-")</f>
        <v/>
      </c>
      <c r="X23" s="351">
        <f>IFERROR(__xludf.DUMMYFUNCTION("""COMPUTED_VALUE"""),"-")</f>
        <v/>
      </c>
      <c r="Y23" s="351" t="n"/>
      <c r="Z23" s="351">
        <f>IFERROR(__xludf.DUMMYFUNCTION("""COMPUTED_VALUE"""),"-")</f>
        <v/>
      </c>
      <c r="AA23" s="327" t="n"/>
      <c r="AB23" s="327">
        <f>IFERROR(__xludf.DUMMYFUNCTION("""COMPUTED_VALUE"""),"shageki_1")</f>
        <v/>
      </c>
      <c r="AC23" s="327" t="n"/>
    </row>
    <row r="24">
      <c r="A24" s="339" t="n"/>
      <c r="B24" s="348">
        <f>IFERROR(__xludf.DUMMYFUNCTION("""COMPUTED_VALUE"""),"chara_spy_00201")</f>
        <v/>
      </c>
      <c r="C24" s="295">
        <f>IFERROR(__xludf.DUMMYFUNCTION("""COMPUTED_VALUE"""),"_damianget")</f>
        <v/>
      </c>
      <c r="D24" s="295">
        <f>IFERROR(__xludf.DUMMYFUNCTION("""COMPUTED_VALUE"""),"c_spy_00201_damianget_Boss_Red")</f>
        <v/>
      </c>
      <c r="E24" s="349">
        <f>IFERROR(__xludf.DUMMYFUNCTION("""COMPUTED_VALUE"""),"SPY×FAMILY")</f>
        <v/>
      </c>
      <c r="F24" s="349">
        <f>IFERROR(__xludf.DUMMYFUNCTION("""COMPUTED_VALUE"""),"&lt;いばら姫&gt; ヨル")</f>
        <v/>
      </c>
      <c r="G24" s="349">
        <f>IFERROR(__xludf.DUMMYFUNCTION("""COMPUTED_VALUE"""),"&lt;いばら姫&gt; ヨル_damianget")</f>
        <v/>
      </c>
      <c r="H24" s="17">
        <f>IFERROR(__xludf.DUMMYFUNCTION("""COMPUTED_VALUE"""),"Boss")</f>
        <v/>
      </c>
      <c r="I24" s="17">
        <f>IFERROR(__xludf.DUMMYFUNCTION("""COMPUTED_VALUE"""),"Attack")</f>
        <v/>
      </c>
      <c r="J24" s="17">
        <f>IFERROR(__xludf.DUMMYFUNCTION("""COMPUTED_VALUE"""),"Red")</f>
        <v/>
      </c>
      <c r="K24" s="17">
        <f>IFERROR(__xludf.DUMMYFUNCTION("""COMPUTED_VALUE"""),40000.0)</f>
        <v/>
      </c>
      <c r="L24" s="17">
        <f>IFERROR(__xludf.DUMMYFUNCTION("""COMPUTED_VALUE"""),2.0)</f>
        <v/>
      </c>
      <c r="M24" s="17">
        <f>IFERROR(__xludf.DUMMYFUNCTION("""COMPUTED_VALUE"""),40.0)</f>
        <v/>
      </c>
      <c r="N24" s="17">
        <f>IFERROR(__xludf.DUMMYFUNCTION("""COMPUTED_VALUE"""),0.22)</f>
        <v/>
      </c>
      <c r="O24" s="17">
        <f>IFERROR(__xludf.DUMMYFUNCTION("""COMPUTED_VALUE"""),500.0)</f>
        <v/>
      </c>
      <c r="P24" s="17">
        <f>IFERROR(__xludf.DUMMYFUNCTION("""COMPUTED_VALUE"""),0.0)</f>
        <v/>
      </c>
      <c r="Q24" s="17">
        <f>IFERROR(__xludf.DUMMYFUNCTION("""COMPUTED_VALUE"""),0.28)</f>
        <v/>
      </c>
      <c r="R24" s="17">
        <f>IFERROR(__xludf.DUMMYFUNCTION("""COMPUTED_VALUE"""),1.0)</f>
        <v/>
      </c>
      <c r="S24" s="17">
        <f>IFERROR(__xludf.DUMMYFUNCTION("""COMPUTED_VALUE"""),500.0)</f>
        <v/>
      </c>
      <c r="T24" s="350">
        <f>IFERROR(__xludf.DUMMYFUNCTION("""COMPUTED_VALUE"""),"1.42")</f>
        <v/>
      </c>
      <c r="U24" s="351">
        <f>IFERROR(__xludf.DUMMYFUNCTION("""COMPUTED_VALUE"""),"stop無:1回目 0.61")</f>
        <v/>
      </c>
      <c r="V24" s="351">
        <f>IFERROR(__xludf.DUMMYFUNCTION("""COMPUTED_VALUE"""),85.0)</f>
        <v/>
      </c>
      <c r="W24" s="351">
        <f>IFERROR(__xludf.DUMMYFUNCTION("""COMPUTED_VALUE"""),"2.50")</f>
        <v/>
      </c>
      <c r="X24" s="351">
        <f>IFERROR(__xludf.DUMMYFUNCTION("""COMPUTED_VALUE"""),"stop有:1回目 0.73")</f>
        <v/>
      </c>
      <c r="Y24" s="351">
        <f>IFERROR(__xludf.DUMMYFUNCTION("""COMPUTED_VALUE"""),"敵複数体に200%ダメージ")</f>
        <v/>
      </c>
      <c r="Z24" s="351">
        <f>IFERROR(__xludf.DUMMYFUNCTION("""COMPUTED_VALUE"""),5.0)</f>
        <v/>
      </c>
      <c r="AA24" s="327" t="n"/>
      <c r="AB24" s="327">
        <f>IFERROR(__xludf.DUMMYFUNCTION("""COMPUTED_VALUE"""),"zangeki_1")</f>
        <v/>
      </c>
      <c r="AC24" s="327" t="n"/>
    </row>
    <row r="25">
      <c r="A25" s="339" t="n"/>
      <c r="B25" s="348">
        <f>IFERROR(__xludf.DUMMYFUNCTION("""COMPUTED_VALUE"""),"chara_spy_00501")</f>
        <v/>
      </c>
      <c r="C25" s="295">
        <f>IFERROR(__xludf.DUMMYFUNCTION("""COMPUTED_VALUE"""),"_spy1_advent")</f>
        <v/>
      </c>
      <c r="D25" s="295">
        <f>IFERROR(__xludf.DUMMYFUNCTION("""COMPUTED_VALUE"""),"c_spy_00501_spy1_advent_Boss_Red")</f>
        <v/>
      </c>
      <c r="E25" s="349">
        <f>IFERROR(__xludf.DUMMYFUNCTION("""COMPUTED_VALUE"""),"SPY×FAMILY")</f>
        <v/>
      </c>
      <c r="F25" s="349">
        <f>IFERROR(__xludf.DUMMYFUNCTION("""COMPUTED_VALUE"""),"姉を想う盲愛 ユーリ・ブライア")</f>
        <v/>
      </c>
      <c r="G25" s="349">
        <f>IFERROR(__xludf.DUMMYFUNCTION("""COMPUTED_VALUE"""),"ユーリ・ブライア_spy1_advent")</f>
        <v/>
      </c>
      <c r="H25" s="17">
        <f>IFERROR(__xludf.DUMMYFUNCTION("""COMPUTED_VALUE"""),"Boss")</f>
        <v/>
      </c>
      <c r="I25" s="17">
        <f>IFERROR(__xludf.DUMMYFUNCTION("""COMPUTED_VALUE"""),"Defense")</f>
        <v/>
      </c>
      <c r="J25" s="17">
        <f>IFERROR(__xludf.DUMMYFUNCTION("""COMPUTED_VALUE"""),"Red")</f>
        <v/>
      </c>
      <c r="K25" s="17">
        <f>IFERROR(__xludf.DUMMYFUNCTION("""COMPUTED_VALUE"""),100000.0)</f>
        <v/>
      </c>
      <c r="L25" s="17">
        <f>IFERROR(__xludf.DUMMYFUNCTION("""COMPUTED_VALUE"""),2.0)</f>
        <v/>
      </c>
      <c r="M25" s="17">
        <f>IFERROR(__xludf.DUMMYFUNCTION("""COMPUTED_VALUE"""),25.0)</f>
        <v/>
      </c>
      <c r="N25" s="17">
        <f>IFERROR(__xludf.DUMMYFUNCTION("""COMPUTED_VALUE"""),0.17)</f>
        <v/>
      </c>
      <c r="O25" s="17">
        <f>IFERROR(__xludf.DUMMYFUNCTION("""COMPUTED_VALUE"""),100.0)</f>
        <v/>
      </c>
      <c r="P25" s="17">
        <f>IFERROR(__xludf.DUMMYFUNCTION("""COMPUTED_VALUE"""),0.0)</f>
        <v/>
      </c>
      <c r="Q25" s="17">
        <f>IFERROR(__xludf.DUMMYFUNCTION("""COMPUTED_VALUE"""),0.18)</f>
        <v/>
      </c>
      <c r="R25" s="17">
        <f>IFERROR(__xludf.DUMMYFUNCTION("""COMPUTED_VALUE"""),1.0)</f>
        <v/>
      </c>
      <c r="S25" s="17">
        <f>IFERROR(__xludf.DUMMYFUNCTION("""COMPUTED_VALUE"""),500.0)</f>
        <v/>
      </c>
      <c r="T25" s="350">
        <f>IFERROR(__xludf.DUMMYFUNCTION("""COMPUTED_VALUE"""),"1.13")</f>
        <v/>
      </c>
      <c r="U25" s="351">
        <f>IFERROR(__xludf.DUMMYFUNCTION("""COMPUTED_VALUE"""),"stop有:1回目 0.33")</f>
        <v/>
      </c>
      <c r="V25" s="351">
        <f>IFERROR(__xludf.DUMMYFUNCTION("""COMPUTED_VALUE"""),50.0)</f>
        <v/>
      </c>
      <c r="W25" s="351">
        <f>IFERROR(__xludf.DUMMYFUNCTION("""COMPUTED_VALUE"""),"2.33")</f>
        <v/>
      </c>
      <c r="X25" s="351">
        <f>IFERROR(__xludf.DUMMYFUNCTION("""COMPUTED_VALUE"""),"stop無:1回目 1.17")</f>
        <v/>
      </c>
      <c r="Y25" s="351">
        <f>IFERROR(__xludf.DUMMYFUNCTION("""COMPUTED_VALUE"""),"20秒間、自身が受けるダメージ20%カット")</f>
        <v/>
      </c>
      <c r="Z25" s="351">
        <f>IFERROR(__xludf.DUMMYFUNCTION("""COMPUTED_VALUE"""),6.0)</f>
        <v/>
      </c>
      <c r="AA25" s="327" t="n"/>
      <c r="AB25" s="327">
        <f>IFERROR(__xludf.DUMMYFUNCTION("""COMPUTED_VALUE"""),"dageki_1")</f>
        <v/>
      </c>
      <c r="AC25" s="327" t="n"/>
    </row>
    <row r="26">
      <c r="A26" s="339" t="n"/>
      <c r="B26" s="348">
        <f>IFERROR(__xludf.DUMMYFUNCTION("""COMPUTED_VALUE"""),"chara_spy_00101")</f>
        <v/>
      </c>
      <c r="C26" s="295">
        <f>IFERROR(__xludf.DUMMYFUNCTION("""COMPUTED_VALUE"""),"_damianget")</f>
        <v/>
      </c>
      <c r="D26" s="295">
        <f>IFERROR(__xludf.DUMMYFUNCTION("""COMPUTED_VALUE"""),"c_spy_00101_damianget_Boss_Red")</f>
        <v/>
      </c>
      <c r="E26" s="349">
        <f>IFERROR(__xludf.DUMMYFUNCTION("""COMPUTED_VALUE"""),"SPY×FAMILY")</f>
        <v/>
      </c>
      <c r="F26" s="349">
        <f>IFERROR(__xludf.DUMMYFUNCTION("""COMPUTED_VALUE"""),"&lt;黄昏&gt; ロイド")</f>
        <v/>
      </c>
      <c r="G26" s="349">
        <f>IFERROR(__xludf.DUMMYFUNCTION("""COMPUTED_VALUE"""),"&lt;黄昏&gt; ロイド_damianget")</f>
        <v/>
      </c>
      <c r="H26" s="17">
        <f>IFERROR(__xludf.DUMMYFUNCTION("""COMPUTED_VALUE"""),"Boss")</f>
        <v/>
      </c>
      <c r="I26" s="17">
        <f>IFERROR(__xludf.DUMMYFUNCTION("""COMPUTED_VALUE"""),"Attack")</f>
        <v/>
      </c>
      <c r="J26" s="17">
        <f>IFERROR(__xludf.DUMMYFUNCTION("""COMPUTED_VALUE"""),"Red")</f>
        <v/>
      </c>
      <c r="K26" s="17">
        <f>IFERROR(__xludf.DUMMYFUNCTION("""COMPUTED_VALUE"""),25000.0)</f>
        <v/>
      </c>
      <c r="L26" s="17">
        <f>IFERROR(__xludf.DUMMYFUNCTION("""COMPUTED_VALUE"""),1.0)</f>
        <v/>
      </c>
      <c r="M26" s="17">
        <f>IFERROR(__xludf.DUMMYFUNCTION("""COMPUTED_VALUE"""),30.0)</f>
        <v/>
      </c>
      <c r="N26" s="17">
        <f>IFERROR(__xludf.DUMMYFUNCTION("""COMPUTED_VALUE"""),0.35)</f>
        <v/>
      </c>
      <c r="O26" s="17">
        <f>IFERROR(__xludf.DUMMYFUNCTION("""COMPUTED_VALUE"""),400.0)</f>
        <v/>
      </c>
      <c r="P26" s="17">
        <f>IFERROR(__xludf.DUMMYFUNCTION("""COMPUTED_VALUE"""),0.0)</f>
        <v/>
      </c>
      <c r="Q26" s="17">
        <f>IFERROR(__xludf.DUMMYFUNCTION("""COMPUTED_VALUE"""),0.36)</f>
        <v/>
      </c>
      <c r="R26" s="17">
        <f>IFERROR(__xludf.DUMMYFUNCTION("""COMPUTED_VALUE"""),1.0)</f>
        <v/>
      </c>
      <c r="S26" s="17">
        <f>IFERROR(__xludf.DUMMYFUNCTION("""COMPUTED_VALUE"""),500.0)</f>
        <v/>
      </c>
      <c r="T26" s="350">
        <f>IFERROR(__xludf.DUMMYFUNCTION("""COMPUTED_VALUE"""),"1.64")</f>
        <v/>
      </c>
      <c r="U26" s="351">
        <f>IFERROR(__xludf.DUMMYFUNCTION("""COMPUTED_VALUE"""),"0.83")</f>
        <v/>
      </c>
      <c r="V26" s="351">
        <f>IFERROR(__xludf.DUMMYFUNCTION("""COMPUTED_VALUE"""),80.0)</f>
        <v/>
      </c>
      <c r="W26" s="351">
        <f>IFERROR(__xludf.DUMMYFUNCTION("""COMPUTED_VALUE"""),"2.50")</f>
        <v/>
      </c>
      <c r="X26" s="351">
        <f>IFERROR(__xludf.DUMMYFUNCTION("""COMPUTED_VALUE"""),"1.33")</f>
        <v/>
      </c>
      <c r="Y26" s="351">
        <f>IFERROR(__xludf.DUMMYFUNCTION("""COMPUTED_VALUE"""),"単体に200%ダメージ")</f>
        <v/>
      </c>
      <c r="Z26" s="351">
        <f>IFERROR(__xludf.DUMMYFUNCTION("""COMPUTED_VALUE"""),5.0)</f>
        <v/>
      </c>
      <c r="AA26" s="327" t="n"/>
      <c r="AB26" s="327">
        <f>IFERROR(__xludf.DUMMYFUNCTION("""COMPUTED_VALUE"""),"shageki_1")</f>
        <v/>
      </c>
      <c r="AC26" s="327" t="n"/>
    </row>
    <row r="27">
      <c r="A27" s="339" t="n"/>
      <c r="B27" s="348" t="n"/>
      <c r="C27" s="295" t="n"/>
      <c r="D27" s="295">
        <f>IFERROR(__xludf.DUMMYFUNCTION("""COMPUTED_VALUE"""),"___")</f>
        <v/>
      </c>
      <c r="E27" s="349">
        <f>IFERROR(__xludf.DUMMYFUNCTION("""COMPUTED_VALUE"""),"none")</f>
        <v/>
      </c>
      <c r="F27" s="349">
        <f>IFERROR(__xludf.DUMMYFUNCTION("""COMPUTED_VALUE"""),"none")</f>
        <v/>
      </c>
      <c r="G27" s="349">
        <f>IFERROR(__xludf.DUMMYFUNCTION("""COMPUTED_VALUE"""),"none")</f>
        <v/>
      </c>
      <c r="H27" s="17" t="n"/>
      <c r="I27" s="17">
        <f>IFERROR(__xludf.DUMMYFUNCTION("""COMPUTED_VALUE"""),"none")</f>
        <v/>
      </c>
      <c r="J27" s="17" t="n"/>
      <c r="K27" s="17" t="n"/>
      <c r="L27" s="17" t="n"/>
      <c r="M27" s="17" t="n"/>
      <c r="N27" s="17" t="n"/>
      <c r="O27" s="17" t="n"/>
      <c r="P27" s="17" t="n"/>
      <c r="Q27" s="17" t="n"/>
      <c r="R27" s="17" t="n"/>
      <c r="S27" s="17" t="n"/>
      <c r="T27" s="350">
        <f>IFERROR(__xludf.DUMMYFUNCTION("""COMPUTED_VALUE"""),"none")</f>
        <v/>
      </c>
      <c r="U27" s="351">
        <f>IFERROR(__xludf.DUMMYFUNCTION("""COMPUTED_VALUE"""),"none")</f>
        <v/>
      </c>
      <c r="V27" s="351" t="n"/>
      <c r="W27" s="351">
        <f>IFERROR(__xludf.DUMMYFUNCTION("""COMPUTED_VALUE"""),"none")</f>
        <v/>
      </c>
      <c r="X27" s="351">
        <f>IFERROR(__xludf.DUMMYFUNCTION("""COMPUTED_VALUE"""),"none")</f>
        <v/>
      </c>
      <c r="Y27" s="351" t="n"/>
      <c r="Z27" s="351">
        <f>IFERROR(__xludf.DUMMYFUNCTION("""COMPUTED_VALUE"""),"-")</f>
        <v/>
      </c>
      <c r="AA27" s="327" t="n"/>
      <c r="AB27" s="327">
        <f>IFERROR(__xludf.DUMMYFUNCTION("""COMPUTED_VALUE"""),"none")</f>
        <v/>
      </c>
      <c r="AC27" s="327" t="n"/>
    </row>
    <row r="28">
      <c r="A28" s="339" t="n"/>
      <c r="B28" s="348">
        <f>IFERROR(__xludf.DUMMYFUNCTION("""COMPUTED_VALUE"""),"enemy_glo_00001")</f>
        <v/>
      </c>
      <c r="C28" s="295">
        <f>IFERROR(__xludf.DUMMYFUNCTION("""COMPUTED_VALUE"""),"_dan1_advent")</f>
        <v/>
      </c>
      <c r="D28" s="295">
        <f>IFERROR(__xludf.DUMMYFUNCTION("""COMPUTED_VALUE"""),"e_glo_00001_dan1_advent_Normal_Colorless")</f>
        <v/>
      </c>
      <c r="E28" s="349">
        <f>IFERROR(__xludf.DUMMYFUNCTION("""COMPUTED_VALUE"""),"GLOW")</f>
        <v/>
      </c>
      <c r="F28" s="349">
        <f>IFERROR(__xludf.DUMMYFUNCTION("""COMPUTED_VALUE"""),"ファントム")</f>
        <v/>
      </c>
      <c r="G28" s="349">
        <f>IFERROR(__xludf.DUMMYFUNCTION("""COMPUTED_VALUE"""),"ファントム_dan1_advent")</f>
        <v/>
      </c>
      <c r="H28" s="17">
        <f>IFERROR(__xludf.DUMMYFUNCTION("""COMPUTED_VALUE"""),"Normal")</f>
        <v/>
      </c>
      <c r="I28" s="17">
        <f>IFERROR(__xludf.DUMMYFUNCTION("""COMPUTED_VALUE"""),"Attack")</f>
        <v/>
      </c>
      <c r="J28" s="17">
        <f>IFERROR(__xludf.DUMMYFUNCTION("""COMPUTED_VALUE"""),"Colorless")</f>
        <v/>
      </c>
      <c r="K28" s="17">
        <f>IFERROR(__xludf.DUMMYFUNCTION("""COMPUTED_VALUE"""),10000.0)</f>
        <v/>
      </c>
      <c r="L28" s="17">
        <f>IFERROR(__xludf.DUMMYFUNCTION("""COMPUTED_VALUE"""),2.0)</f>
        <v/>
      </c>
      <c r="M28" s="17">
        <f>IFERROR(__xludf.DUMMYFUNCTION("""COMPUTED_VALUE"""),40.0)</f>
        <v/>
      </c>
      <c r="N28" s="17">
        <f>IFERROR(__xludf.DUMMYFUNCTION("""COMPUTED_VALUE"""),0.22)</f>
        <v/>
      </c>
      <c r="O28" s="17">
        <f>IFERROR(__xludf.DUMMYFUNCTION("""COMPUTED_VALUE"""),500.0)</f>
        <v/>
      </c>
      <c r="P28" s="17">
        <f>IFERROR(__xludf.DUMMYFUNCTION("""COMPUTED_VALUE"""),0.0)</f>
        <v/>
      </c>
      <c r="Q28" s="17">
        <f>IFERROR(__xludf.DUMMYFUNCTION("""COMPUTED_VALUE"""),0.23)</f>
        <v/>
      </c>
      <c r="R28" s="17">
        <f>IFERROR(__xludf.DUMMYFUNCTION("""COMPUTED_VALUE"""),1.0)</f>
        <v/>
      </c>
      <c r="S28" s="17">
        <f>IFERROR(__xludf.DUMMYFUNCTION("""COMPUTED_VALUE"""),50.0)</f>
        <v/>
      </c>
      <c r="T28" s="350">
        <f>IFERROR(__xludf.DUMMYFUNCTION("""COMPUTED_VALUE"""),"1.00")</f>
        <v/>
      </c>
      <c r="U28" s="351">
        <f>IFERROR(__xludf.DUMMYFUNCTION("""COMPUTED_VALUE"""),"0.50")</f>
        <v/>
      </c>
      <c r="V28" s="351">
        <f>IFERROR(__xludf.DUMMYFUNCTION("""COMPUTED_VALUE"""),50.0)</f>
        <v/>
      </c>
      <c r="W28" s="351" t="n"/>
      <c r="X28" s="351" t="n"/>
      <c r="Y28" s="351" t="n"/>
      <c r="Z28" s="351">
        <f>IFERROR(__xludf.DUMMYFUNCTION("""COMPUTED_VALUE"""),"-")</f>
        <v/>
      </c>
      <c r="AA28" s="327" t="n"/>
      <c r="AB28" s="327">
        <f>IFERROR(__xludf.DUMMYFUNCTION("""COMPUTED_VALUE"""),"dageki_1")</f>
        <v/>
      </c>
      <c r="AC28" s="327" t="n"/>
    </row>
    <row r="29">
      <c r="A29" s="339" t="n"/>
      <c r="B29" s="348">
        <f>IFERROR(__xludf.DUMMYFUNCTION("""COMPUTED_VALUE"""),"enemy_glo_00001")</f>
        <v/>
      </c>
      <c r="C29" s="295">
        <f>IFERROR(__xludf.DUMMYFUNCTION("""COMPUTED_VALUE"""),"_dan1_advent")</f>
        <v/>
      </c>
      <c r="D29" s="295">
        <f>IFERROR(__xludf.DUMMYFUNCTION("""COMPUTED_VALUE"""),"e_glo_00001_dan1_advent_Normal_Yellow")</f>
        <v/>
      </c>
      <c r="E29" s="349">
        <f>IFERROR(__xludf.DUMMYFUNCTION("""COMPUTED_VALUE"""),"GLOW")</f>
        <v/>
      </c>
      <c r="F29" s="349">
        <f>IFERROR(__xludf.DUMMYFUNCTION("""COMPUTED_VALUE"""),"ファントム")</f>
        <v/>
      </c>
      <c r="G29" s="349">
        <f>IFERROR(__xludf.DUMMYFUNCTION("""COMPUTED_VALUE"""),"ファントム_dan1_advent")</f>
        <v/>
      </c>
      <c r="H29" s="17">
        <f>IFERROR(__xludf.DUMMYFUNCTION("""COMPUTED_VALUE"""),"Normal")</f>
        <v/>
      </c>
      <c r="I29" s="17">
        <f>IFERROR(__xludf.DUMMYFUNCTION("""COMPUTED_VALUE"""),"Attack")</f>
        <v/>
      </c>
      <c r="J29" s="17">
        <f>IFERROR(__xludf.DUMMYFUNCTION("""COMPUTED_VALUE"""),"Yellow")</f>
        <v/>
      </c>
      <c r="K29" s="17">
        <f>IFERROR(__xludf.DUMMYFUNCTION("""COMPUTED_VALUE"""),10000.0)</f>
        <v/>
      </c>
      <c r="L29" s="17">
        <f>IFERROR(__xludf.DUMMYFUNCTION("""COMPUTED_VALUE"""),2.0)</f>
        <v/>
      </c>
      <c r="M29" s="17">
        <f>IFERROR(__xludf.DUMMYFUNCTION("""COMPUTED_VALUE"""),35.0)</f>
        <v/>
      </c>
      <c r="N29" s="17">
        <f>IFERROR(__xludf.DUMMYFUNCTION("""COMPUTED_VALUE"""),0.23)</f>
        <v/>
      </c>
      <c r="O29" s="17">
        <f>IFERROR(__xludf.DUMMYFUNCTION("""COMPUTED_VALUE"""),500.0)</f>
        <v/>
      </c>
      <c r="P29" s="17">
        <f>IFERROR(__xludf.DUMMYFUNCTION("""COMPUTED_VALUE"""),0.0)</f>
        <v/>
      </c>
      <c r="Q29" s="17">
        <f>IFERROR(__xludf.DUMMYFUNCTION("""COMPUTED_VALUE"""),0.24)</f>
        <v/>
      </c>
      <c r="R29" s="17">
        <f>IFERROR(__xludf.DUMMYFUNCTION("""COMPUTED_VALUE"""),1.0)</f>
        <v/>
      </c>
      <c r="S29" s="17">
        <f>IFERROR(__xludf.DUMMYFUNCTION("""COMPUTED_VALUE"""),50.0)</f>
        <v/>
      </c>
      <c r="T29" s="350">
        <f>IFERROR(__xludf.DUMMYFUNCTION("""COMPUTED_VALUE"""),"1.00")</f>
        <v/>
      </c>
      <c r="U29" s="351">
        <f>IFERROR(__xludf.DUMMYFUNCTION("""COMPUTED_VALUE"""),"0.50")</f>
        <v/>
      </c>
      <c r="V29" s="351">
        <f>IFERROR(__xludf.DUMMYFUNCTION("""COMPUTED_VALUE"""),50.0)</f>
        <v/>
      </c>
      <c r="W29" s="351" t="n"/>
      <c r="X29" s="351" t="n"/>
      <c r="Y29" s="351" t="n"/>
      <c r="Z29" s="351">
        <f>IFERROR(__xludf.DUMMYFUNCTION("""COMPUTED_VALUE"""),"-")</f>
        <v/>
      </c>
      <c r="AA29" s="327" t="n"/>
      <c r="AB29" s="327">
        <f>IFERROR(__xludf.DUMMYFUNCTION("""COMPUTED_VALUE"""),"dageki_1")</f>
        <v/>
      </c>
      <c r="AC29" s="327" t="n"/>
    </row>
    <row r="30">
      <c r="A30" s="339" t="n"/>
      <c r="B30" s="348">
        <f>IFERROR(__xludf.DUMMYFUNCTION("""COMPUTED_VALUE"""),"enemy_dan_00001")</f>
        <v/>
      </c>
      <c r="C30" s="295">
        <f>IFERROR(__xludf.DUMMYFUNCTION("""COMPUTED_VALUE"""),"_dan1_advent")</f>
        <v/>
      </c>
      <c r="D30" s="295">
        <f>IFERROR(__xludf.DUMMYFUNCTION("""COMPUTED_VALUE"""),"e_dan_00001_dan1_advent_Normal_Colorless")</f>
        <v/>
      </c>
      <c r="E30" s="349">
        <f>IFERROR(__xludf.DUMMYFUNCTION("""COMPUTED_VALUE"""),"ダンダダン")</f>
        <v/>
      </c>
      <c r="F30" s="349">
        <f>IFERROR(__xludf.DUMMYFUNCTION("""COMPUTED_VALUE"""),"セルポ星人")</f>
        <v/>
      </c>
      <c r="G30" s="349">
        <f>IFERROR(__xludf.DUMMYFUNCTION("""COMPUTED_VALUE"""),"セルポ星人_dan1_advent")</f>
        <v/>
      </c>
      <c r="H30" s="17">
        <f>IFERROR(__xludf.DUMMYFUNCTION("""COMPUTED_VALUE"""),"Normal")</f>
        <v/>
      </c>
      <c r="I30" s="17">
        <f>IFERROR(__xludf.DUMMYFUNCTION("""COMPUTED_VALUE"""),"Attack")</f>
        <v/>
      </c>
      <c r="J30" s="17">
        <f>IFERROR(__xludf.DUMMYFUNCTION("""COMPUTED_VALUE"""),"Colorless")</f>
        <v/>
      </c>
      <c r="K30" s="17">
        <f>IFERROR(__xludf.DUMMYFUNCTION("""COMPUTED_VALUE"""),30000.0)</f>
        <v/>
      </c>
      <c r="L30" s="17">
        <f>IFERROR(__xludf.DUMMYFUNCTION("""COMPUTED_VALUE"""),3.0)</f>
        <v/>
      </c>
      <c r="M30" s="17">
        <f>IFERROR(__xludf.DUMMYFUNCTION("""COMPUTED_VALUE"""),25.0)</f>
        <v/>
      </c>
      <c r="N30" s="17">
        <f>IFERROR(__xludf.DUMMYFUNCTION("""COMPUTED_VALUE"""),0.25)</f>
        <v/>
      </c>
      <c r="O30" s="17">
        <f>IFERROR(__xludf.DUMMYFUNCTION("""COMPUTED_VALUE"""),200.0)</f>
        <v/>
      </c>
      <c r="P30" s="17">
        <f>IFERROR(__xludf.DUMMYFUNCTION("""COMPUTED_VALUE"""),0.0)</f>
        <v/>
      </c>
      <c r="Q30" s="17">
        <f>IFERROR(__xludf.DUMMYFUNCTION("""COMPUTED_VALUE"""),0.26)</f>
        <v/>
      </c>
      <c r="R30" s="17">
        <f>IFERROR(__xludf.DUMMYFUNCTION("""COMPUTED_VALUE"""),1.0)</f>
        <v/>
      </c>
      <c r="S30" s="17">
        <f>IFERROR(__xludf.DUMMYFUNCTION("""COMPUTED_VALUE"""),100.0)</f>
        <v/>
      </c>
      <c r="T30" s="350">
        <f>IFERROR(__xludf.DUMMYFUNCTION("""COMPUTED_VALUE"""),"1.16")</f>
        <v/>
      </c>
      <c r="U30" s="351">
        <f>IFERROR(__xludf.DUMMYFUNCTION("""COMPUTED_VALUE"""),"0.50")</f>
        <v/>
      </c>
      <c r="V30" s="351">
        <f>IFERROR(__xludf.DUMMYFUNCTION("""COMPUTED_VALUE"""),50.0)</f>
        <v/>
      </c>
      <c r="W30" s="351">
        <f>IFERROR(__xludf.DUMMYFUNCTION("""COMPUTED_VALUE"""),"-")</f>
        <v/>
      </c>
      <c r="X30" s="351">
        <f>IFERROR(__xludf.DUMMYFUNCTION("""COMPUTED_VALUE"""),"-")</f>
        <v/>
      </c>
      <c r="Y30" s="351" t="n"/>
      <c r="Z30" s="351">
        <f>IFERROR(__xludf.DUMMYFUNCTION("""COMPUTED_VALUE"""),"-")</f>
        <v/>
      </c>
      <c r="AA30" s="327" t="n"/>
      <c r="AB30" s="327">
        <f>IFERROR(__xludf.DUMMYFUNCTION("""COMPUTED_VALUE"""),"dageki_1")</f>
        <v/>
      </c>
      <c r="AC30" s="327" t="n"/>
    </row>
    <row r="31">
      <c r="A31" s="339" t="n"/>
      <c r="B31" s="348">
        <f>IFERROR(__xludf.DUMMYFUNCTION("""COMPUTED_VALUE"""),"enemy_dan_00001")</f>
        <v/>
      </c>
      <c r="C31" s="295">
        <f>IFERROR(__xludf.DUMMYFUNCTION("""COMPUTED_VALUE"""),"_dan1_advent")</f>
        <v/>
      </c>
      <c r="D31" s="295">
        <f>IFERROR(__xludf.DUMMYFUNCTION("""COMPUTED_VALUE"""),"e_dan_00001_dan1_advent_Boss_Colorless")</f>
        <v/>
      </c>
      <c r="E31" s="349">
        <f>IFERROR(__xludf.DUMMYFUNCTION("""COMPUTED_VALUE"""),"ダンダダン")</f>
        <v/>
      </c>
      <c r="F31" s="349">
        <f>IFERROR(__xludf.DUMMYFUNCTION("""COMPUTED_VALUE"""),"セルポ星人")</f>
        <v/>
      </c>
      <c r="G31" s="349">
        <f>IFERROR(__xludf.DUMMYFUNCTION("""COMPUTED_VALUE"""),"セルポ星人_dan1_advent")</f>
        <v/>
      </c>
      <c r="H31" s="17">
        <f>IFERROR(__xludf.DUMMYFUNCTION("""COMPUTED_VALUE"""),"Boss")</f>
        <v/>
      </c>
      <c r="I31" s="17">
        <f>IFERROR(__xludf.DUMMYFUNCTION("""COMPUTED_VALUE"""),"Attack")</f>
        <v/>
      </c>
      <c r="J31" s="17">
        <f>IFERROR(__xludf.DUMMYFUNCTION("""COMPUTED_VALUE"""),"Colorless")</f>
        <v/>
      </c>
      <c r="K31" s="17">
        <f>IFERROR(__xludf.DUMMYFUNCTION("""COMPUTED_VALUE"""),10000.0)</f>
        <v/>
      </c>
      <c r="L31" s="17">
        <f>IFERROR(__xludf.DUMMYFUNCTION("""COMPUTED_VALUE"""),3.0)</f>
        <v/>
      </c>
      <c r="M31" s="17">
        <f>IFERROR(__xludf.DUMMYFUNCTION("""COMPUTED_VALUE"""),28.0)</f>
        <v/>
      </c>
      <c r="N31" s="17">
        <f>IFERROR(__xludf.DUMMYFUNCTION("""COMPUTED_VALUE"""),0.23)</f>
        <v/>
      </c>
      <c r="O31" s="17">
        <f>IFERROR(__xludf.DUMMYFUNCTION("""COMPUTED_VALUE"""),100.0)</f>
        <v/>
      </c>
      <c r="P31" s="17">
        <f>IFERROR(__xludf.DUMMYFUNCTION("""COMPUTED_VALUE"""),0.0)</f>
        <v/>
      </c>
      <c r="Q31" s="17">
        <f>IFERROR(__xludf.DUMMYFUNCTION("""COMPUTED_VALUE"""),0.24)</f>
        <v/>
      </c>
      <c r="R31" s="17">
        <f>IFERROR(__xludf.DUMMYFUNCTION("""COMPUTED_VALUE"""),1.0)</f>
        <v/>
      </c>
      <c r="S31" s="17">
        <f>IFERROR(__xludf.DUMMYFUNCTION("""COMPUTED_VALUE"""),100.0)</f>
        <v/>
      </c>
      <c r="T31" s="350">
        <f>IFERROR(__xludf.DUMMYFUNCTION("""COMPUTED_VALUE"""),"1.16")</f>
        <v/>
      </c>
      <c r="U31" s="351">
        <f>IFERROR(__xludf.DUMMYFUNCTION("""COMPUTED_VALUE"""),"0.50")</f>
        <v/>
      </c>
      <c r="V31" s="351">
        <f>IFERROR(__xludf.DUMMYFUNCTION("""COMPUTED_VALUE"""),40.0)</f>
        <v/>
      </c>
      <c r="W31" s="351">
        <f>IFERROR(__xludf.DUMMYFUNCTION("""COMPUTED_VALUE"""),"-")</f>
        <v/>
      </c>
      <c r="X31" s="351">
        <f>IFERROR(__xludf.DUMMYFUNCTION("""COMPUTED_VALUE"""),"-")</f>
        <v/>
      </c>
      <c r="Y31" s="351" t="n"/>
      <c r="Z31" s="351">
        <f>IFERROR(__xludf.DUMMYFUNCTION("""COMPUTED_VALUE"""),"-")</f>
        <v/>
      </c>
      <c r="AA31" s="327" t="n"/>
      <c r="AB31" s="327">
        <f>IFERROR(__xludf.DUMMYFUNCTION("""COMPUTED_VALUE"""),"dageki_1")</f>
        <v/>
      </c>
      <c r="AC31" s="327" t="n"/>
    </row>
    <row r="32">
      <c r="A32" s="339" t="n"/>
      <c r="B32" s="296">
        <f>IFERROR(__xludf.DUMMYFUNCTION("""COMPUTED_VALUE"""),"enemy_dan_00001")</f>
        <v/>
      </c>
      <c r="C32" s="295">
        <f>IFERROR(__xludf.DUMMYFUNCTION("""COMPUTED_VALUE"""),"_dan1_advent_trans1")</f>
        <v/>
      </c>
      <c r="D32" s="295">
        <f>IFERROR(__xludf.DUMMYFUNCTION("""COMPUTED_VALUE"""),"e_dan_00001_dan1_advent_trans1_Boss_Colorless")</f>
        <v/>
      </c>
      <c r="E32" s="295">
        <f>IFERROR(__xludf.DUMMYFUNCTION("""COMPUTED_VALUE"""),"ダンダダン")</f>
        <v/>
      </c>
      <c r="F32" s="349">
        <f>IFERROR(__xludf.DUMMYFUNCTION("""COMPUTED_VALUE"""),"セルポ星人")</f>
        <v/>
      </c>
      <c r="G32" s="349">
        <f>IFERROR(__xludf.DUMMYFUNCTION("""COMPUTED_VALUE"""),"セルポ星人_dan1_advent_trans1")</f>
        <v/>
      </c>
      <c r="H32" s="17">
        <f>IFERROR(__xludf.DUMMYFUNCTION("""COMPUTED_VALUE"""),"Boss")</f>
        <v/>
      </c>
      <c r="I32" s="17">
        <f>IFERROR(__xludf.DUMMYFUNCTION("""COMPUTED_VALUE"""),"Attack")</f>
        <v/>
      </c>
      <c r="J32" s="17">
        <f>IFERROR(__xludf.DUMMYFUNCTION("""COMPUTED_VALUE"""),"Colorless")</f>
        <v/>
      </c>
      <c r="K32" s="17">
        <f>IFERROR(__xludf.DUMMYFUNCTION("""COMPUTED_VALUE"""),10000.0)</f>
        <v/>
      </c>
      <c r="L32" s="17">
        <f>IFERROR(__xludf.DUMMYFUNCTION("""COMPUTED_VALUE"""),3.0)</f>
        <v/>
      </c>
      <c r="M32" s="17">
        <f>IFERROR(__xludf.DUMMYFUNCTION("""COMPUTED_VALUE"""),28.0)</f>
        <v/>
      </c>
      <c r="N32" s="17">
        <f>IFERROR(__xludf.DUMMYFUNCTION("""COMPUTED_VALUE"""),0.23)</f>
        <v/>
      </c>
      <c r="O32" s="17">
        <f>IFERROR(__xludf.DUMMYFUNCTION("""COMPUTED_VALUE"""),100.0)</f>
        <v/>
      </c>
      <c r="P32" s="17">
        <f>IFERROR(__xludf.DUMMYFUNCTION("""COMPUTED_VALUE"""),0.0)</f>
        <v/>
      </c>
      <c r="Q32" s="17">
        <f>IFERROR(__xludf.DUMMYFUNCTION("""COMPUTED_VALUE"""),0.24)</f>
        <v/>
      </c>
      <c r="R32" s="17">
        <f>IFERROR(__xludf.DUMMYFUNCTION("""COMPUTED_VALUE"""),1.0)</f>
        <v/>
      </c>
      <c r="S32" s="17">
        <f>IFERROR(__xludf.DUMMYFUNCTION("""COMPUTED_VALUE"""),100.0)</f>
        <v/>
      </c>
      <c r="T32" s="350">
        <f>IFERROR(__xludf.DUMMYFUNCTION("""COMPUTED_VALUE"""),"1.16")</f>
        <v/>
      </c>
      <c r="U32" s="351">
        <f>IFERROR(__xludf.DUMMYFUNCTION("""COMPUTED_VALUE"""),"0.50")</f>
        <v/>
      </c>
      <c r="V32" s="351">
        <f>IFERROR(__xludf.DUMMYFUNCTION("""COMPUTED_VALUE"""),40.0)</f>
        <v/>
      </c>
      <c r="W32" s="351">
        <f>IFERROR(__xludf.DUMMYFUNCTION("""COMPUTED_VALUE"""),"-")</f>
        <v/>
      </c>
      <c r="X32" s="351">
        <f>IFERROR(__xludf.DUMMYFUNCTION("""COMPUTED_VALUE"""),"-")</f>
        <v/>
      </c>
      <c r="Y32" s="351" t="n"/>
      <c r="Z32" s="351">
        <f>IFERROR(__xludf.DUMMYFUNCTION("""COMPUTED_VALUE"""),"-")</f>
        <v/>
      </c>
      <c r="AA32" s="327" t="n"/>
      <c r="AB32" s="327">
        <f>IFERROR(__xludf.DUMMYFUNCTION("""COMPUTED_VALUE"""),"dageki_1")</f>
        <v/>
      </c>
      <c r="AC32" s="327" t="n"/>
    </row>
    <row r="33">
      <c r="A33" s="339" t="n"/>
      <c r="B33" s="296">
        <f>IFERROR(__xludf.DUMMYFUNCTION("""COMPUTED_VALUE"""),"enemy_dan_00001")</f>
        <v/>
      </c>
      <c r="C33" s="295">
        <f>IFERROR(__xludf.DUMMYFUNCTION("""COMPUTED_VALUE"""),"_dan1_advent")</f>
        <v/>
      </c>
      <c r="D33" s="295">
        <f>IFERROR(__xludf.DUMMYFUNCTION("""COMPUTED_VALUE"""),"e_dan_00001_dan1_advent_Normal_Yellow")</f>
        <v/>
      </c>
      <c r="E33" s="295">
        <f>IFERROR(__xludf.DUMMYFUNCTION("""COMPUTED_VALUE"""),"ダンダダン")</f>
        <v/>
      </c>
      <c r="F33" s="349">
        <f>IFERROR(__xludf.DUMMYFUNCTION("""COMPUTED_VALUE"""),"セルポ星人")</f>
        <v/>
      </c>
      <c r="G33" s="349">
        <f>IFERROR(__xludf.DUMMYFUNCTION("""COMPUTED_VALUE"""),"セルポ星人_dan1_advent")</f>
        <v/>
      </c>
      <c r="H33" s="17">
        <f>IFERROR(__xludf.DUMMYFUNCTION("""COMPUTED_VALUE"""),"Normal")</f>
        <v/>
      </c>
      <c r="I33" s="17">
        <f>IFERROR(__xludf.DUMMYFUNCTION("""COMPUTED_VALUE"""),"Technical")</f>
        <v/>
      </c>
      <c r="J33" s="17">
        <f>IFERROR(__xludf.DUMMYFUNCTION("""COMPUTED_VALUE"""),"Yellow")</f>
        <v/>
      </c>
      <c r="K33" s="17">
        <f>IFERROR(__xludf.DUMMYFUNCTION("""COMPUTED_VALUE"""),30000.0)</f>
        <v/>
      </c>
      <c r="L33" s="17">
        <f>IFERROR(__xludf.DUMMYFUNCTION("""COMPUTED_VALUE"""),3.0)</f>
        <v/>
      </c>
      <c r="M33" s="17">
        <f>IFERROR(__xludf.DUMMYFUNCTION("""COMPUTED_VALUE"""),30.0)</f>
        <v/>
      </c>
      <c r="N33" s="17">
        <f>IFERROR(__xludf.DUMMYFUNCTION("""COMPUTED_VALUE"""),0.25)</f>
        <v/>
      </c>
      <c r="O33" s="17">
        <f>IFERROR(__xludf.DUMMYFUNCTION("""COMPUTED_VALUE"""),200.0)</f>
        <v/>
      </c>
      <c r="P33" s="17">
        <f>IFERROR(__xludf.DUMMYFUNCTION("""COMPUTED_VALUE"""),0.0)</f>
        <v/>
      </c>
      <c r="Q33" s="17">
        <f>IFERROR(__xludf.DUMMYFUNCTION("""COMPUTED_VALUE"""),0.26)</f>
        <v/>
      </c>
      <c r="R33" s="17">
        <f>IFERROR(__xludf.DUMMYFUNCTION("""COMPUTED_VALUE"""),1.0)</f>
        <v/>
      </c>
      <c r="S33" s="17">
        <f>IFERROR(__xludf.DUMMYFUNCTION("""COMPUTED_VALUE"""),100.0)</f>
        <v/>
      </c>
      <c r="T33" s="350">
        <f>IFERROR(__xludf.DUMMYFUNCTION("""COMPUTED_VALUE"""),"1.16")</f>
        <v/>
      </c>
      <c r="U33" s="351">
        <f>IFERROR(__xludf.DUMMYFUNCTION("""COMPUTED_VALUE"""),"0.50")</f>
        <v/>
      </c>
      <c r="V33" s="351">
        <f>IFERROR(__xludf.DUMMYFUNCTION("""COMPUTED_VALUE"""),30.0)</f>
        <v/>
      </c>
      <c r="W33" s="351">
        <f>IFERROR(__xludf.DUMMYFUNCTION("""COMPUTED_VALUE"""),"-")</f>
        <v/>
      </c>
      <c r="X33" s="351">
        <f>IFERROR(__xludf.DUMMYFUNCTION("""COMPUTED_VALUE"""),"-")</f>
        <v/>
      </c>
      <c r="Y33" s="351" t="n"/>
      <c r="Z33" s="351">
        <f>IFERROR(__xludf.DUMMYFUNCTION("""COMPUTED_VALUE"""),"-")</f>
        <v/>
      </c>
      <c r="AA33" s="327" t="n"/>
      <c r="AB33" s="327">
        <f>IFERROR(__xludf.DUMMYFUNCTION("""COMPUTED_VALUE"""),"dageki_1")</f>
        <v/>
      </c>
      <c r="AC33" s="327" t="n"/>
    </row>
    <row r="34">
      <c r="A34" s="339" t="n"/>
      <c r="B34" s="296">
        <f>IFERROR(__xludf.DUMMYFUNCTION("""COMPUTED_VALUE"""),"enemy_dan_00101")</f>
        <v/>
      </c>
      <c r="C34" s="295">
        <f>IFERROR(__xludf.DUMMYFUNCTION("""COMPUTED_VALUE"""),"_dan1_advent_trans1")</f>
        <v/>
      </c>
      <c r="D34" s="295">
        <f>IFERROR(__xludf.DUMMYFUNCTION("""COMPUTED_VALUE"""),"e_dan_00101_dan1_advent_trans1_Normal_Colorless")</f>
        <v/>
      </c>
      <c r="E34" s="295">
        <f>IFERROR(__xludf.DUMMYFUNCTION("""COMPUTED_VALUE"""),"ダンダダン")</f>
        <v/>
      </c>
      <c r="F34" s="349">
        <f>IFERROR(__xludf.DUMMYFUNCTION("""COMPUTED_VALUE"""),"セルポ星人(変身)")</f>
        <v/>
      </c>
      <c r="G34" s="349">
        <f>IFERROR(__xludf.DUMMYFUNCTION("""COMPUTED_VALUE"""),"セルポ星人（変身）_dan1_advent_trans1")</f>
        <v/>
      </c>
      <c r="H34" s="17">
        <f>IFERROR(__xludf.DUMMYFUNCTION("""COMPUTED_VALUE"""),"Normal")</f>
        <v/>
      </c>
      <c r="I34" s="17">
        <f>IFERROR(__xludf.DUMMYFUNCTION("""COMPUTED_VALUE"""),"Attack")</f>
        <v/>
      </c>
      <c r="J34" s="17">
        <f>IFERROR(__xludf.DUMMYFUNCTION("""COMPUTED_VALUE"""),"Colorless")</f>
        <v/>
      </c>
      <c r="K34" s="17">
        <f>IFERROR(__xludf.DUMMYFUNCTION("""COMPUTED_VALUE"""),10000.0)</f>
        <v/>
      </c>
      <c r="L34" s="17">
        <f>IFERROR(__xludf.DUMMYFUNCTION("""COMPUTED_VALUE"""),2.0)</f>
        <v/>
      </c>
      <c r="M34" s="17">
        <f>IFERROR(__xludf.DUMMYFUNCTION("""COMPUTED_VALUE"""),35.0)</f>
        <v/>
      </c>
      <c r="N34" s="17">
        <f>IFERROR(__xludf.DUMMYFUNCTION("""COMPUTED_VALUE"""),0.24)</f>
        <v/>
      </c>
      <c r="O34" s="17">
        <f>IFERROR(__xludf.DUMMYFUNCTION("""COMPUTED_VALUE"""),200.0)</f>
        <v/>
      </c>
      <c r="P34" s="17">
        <f>IFERROR(__xludf.DUMMYFUNCTION("""COMPUTED_VALUE"""),0.0)</f>
        <v/>
      </c>
      <c r="Q34" s="17">
        <f>IFERROR(__xludf.DUMMYFUNCTION("""COMPUTED_VALUE"""),0.25)</f>
        <v/>
      </c>
      <c r="R34" s="17">
        <f>IFERROR(__xludf.DUMMYFUNCTION("""COMPUTED_VALUE"""),1.0)</f>
        <v/>
      </c>
      <c r="S34" s="17">
        <f>IFERROR(__xludf.DUMMYFUNCTION("""COMPUTED_VALUE"""),100.0)</f>
        <v/>
      </c>
      <c r="T34" s="350">
        <f>IFERROR(__xludf.DUMMYFUNCTION("""COMPUTED_VALUE"""),"1.40")</f>
        <v/>
      </c>
      <c r="U34" s="351">
        <f>IFERROR(__xludf.DUMMYFUNCTION("""COMPUTED_VALUE"""),"0.70")</f>
        <v/>
      </c>
      <c r="V34" s="351">
        <f>IFERROR(__xludf.DUMMYFUNCTION("""COMPUTED_VALUE"""),70.0)</f>
        <v/>
      </c>
      <c r="W34" s="351">
        <f>IFERROR(__xludf.DUMMYFUNCTION("""COMPUTED_VALUE"""),"-")</f>
        <v/>
      </c>
      <c r="X34" s="351">
        <f>IFERROR(__xludf.DUMMYFUNCTION("""COMPUTED_VALUE"""),"-")</f>
        <v/>
      </c>
      <c r="Y34" s="351" t="n"/>
      <c r="Z34" s="351">
        <f>IFERROR(__xludf.DUMMYFUNCTION("""COMPUTED_VALUE"""),"-")</f>
        <v/>
      </c>
      <c r="AA34" s="327" t="n"/>
      <c r="AB34" s="327">
        <f>IFERROR(__xludf.DUMMYFUNCTION("""COMPUTED_VALUE"""),"dageki_1")</f>
        <v/>
      </c>
      <c r="AC34" s="327">
        <f>IFERROR(__xludf.DUMMYFUNCTION("""COMPUTED_VALUE"""),"小ノックバック")</f>
        <v/>
      </c>
    </row>
    <row r="35">
      <c r="A35" s="339" t="n"/>
      <c r="B35" s="296">
        <f>IFERROR(__xludf.DUMMYFUNCTION("""COMPUTED_VALUE"""),"enemy_dan_00101")</f>
        <v/>
      </c>
      <c r="C35" s="295">
        <f>IFERROR(__xludf.DUMMYFUNCTION("""COMPUTED_VALUE"""),"_dan1_advent")</f>
        <v/>
      </c>
      <c r="D35" s="295">
        <f>IFERROR(__xludf.DUMMYFUNCTION("""COMPUTED_VALUE"""),"e_dan_00101_dan1_advent_Boss_Colorless")</f>
        <v/>
      </c>
      <c r="E35" s="295">
        <f>IFERROR(__xludf.DUMMYFUNCTION("""COMPUTED_VALUE"""),"ダンダダン")</f>
        <v/>
      </c>
      <c r="F35" s="349">
        <f>IFERROR(__xludf.DUMMYFUNCTION("""COMPUTED_VALUE"""),"セルポ星人(変身)")</f>
        <v/>
      </c>
      <c r="G35" s="349">
        <f>IFERROR(__xludf.DUMMYFUNCTION("""COMPUTED_VALUE"""),"セルポ星人（変身）_dan1_advent")</f>
        <v/>
      </c>
      <c r="H35" s="17">
        <f>IFERROR(__xludf.DUMMYFUNCTION("""COMPUTED_VALUE"""),"Boss")</f>
        <v/>
      </c>
      <c r="I35" s="17">
        <f>IFERROR(__xludf.DUMMYFUNCTION("""COMPUTED_VALUE"""),"Attack")</f>
        <v/>
      </c>
      <c r="J35" s="17">
        <f>IFERROR(__xludf.DUMMYFUNCTION("""COMPUTED_VALUE"""),"Colorless")</f>
        <v/>
      </c>
      <c r="K35" s="17">
        <f>IFERROR(__xludf.DUMMYFUNCTION("""COMPUTED_VALUE"""),50000.0)</f>
        <v/>
      </c>
      <c r="L35" s="17">
        <f>IFERROR(__xludf.DUMMYFUNCTION("""COMPUTED_VALUE"""),3.0)</f>
        <v/>
      </c>
      <c r="M35" s="17">
        <f>IFERROR(__xludf.DUMMYFUNCTION("""COMPUTED_VALUE"""),32.0)</f>
        <v/>
      </c>
      <c r="N35" s="17">
        <f>IFERROR(__xludf.DUMMYFUNCTION("""COMPUTED_VALUE"""),0.25)</f>
        <v/>
      </c>
      <c r="O35" s="17">
        <f>IFERROR(__xludf.DUMMYFUNCTION("""COMPUTED_VALUE"""),300.0)</f>
        <v/>
      </c>
      <c r="P35" s="17">
        <f>IFERROR(__xludf.DUMMYFUNCTION("""COMPUTED_VALUE"""),0.0)</f>
        <v/>
      </c>
      <c r="Q35" s="17">
        <f>IFERROR(__xludf.DUMMYFUNCTION("""COMPUTED_VALUE"""),0.32)</f>
        <v/>
      </c>
      <c r="R35" s="17">
        <f>IFERROR(__xludf.DUMMYFUNCTION("""COMPUTED_VALUE"""),100.0)</f>
        <v/>
      </c>
      <c r="S35" s="17">
        <f>IFERROR(__xludf.DUMMYFUNCTION("""COMPUTED_VALUE"""),100.0)</f>
        <v/>
      </c>
      <c r="T35" s="350">
        <f>IFERROR(__xludf.DUMMYFUNCTION("""COMPUTED_VALUE"""),"1.40")</f>
        <v/>
      </c>
      <c r="U35" s="351">
        <f>IFERROR(__xludf.DUMMYFUNCTION("""COMPUTED_VALUE"""),"0.70")</f>
        <v/>
      </c>
      <c r="V35" s="351">
        <f>IFERROR(__xludf.DUMMYFUNCTION("""COMPUTED_VALUE"""),100.0)</f>
        <v/>
      </c>
      <c r="W35" s="351">
        <f>IFERROR(__xludf.DUMMYFUNCTION("""COMPUTED_VALUE"""),"-")</f>
        <v/>
      </c>
      <c r="X35" s="351">
        <f>IFERROR(__xludf.DUMMYFUNCTION("""COMPUTED_VALUE"""),"-")</f>
        <v/>
      </c>
      <c r="Y35" s="351" t="n"/>
      <c r="Z35" s="351">
        <f>IFERROR(__xludf.DUMMYFUNCTION("""COMPUTED_VALUE"""),"-")</f>
        <v/>
      </c>
      <c r="AA35" s="327" t="n"/>
      <c r="AB35" s="327">
        <f>IFERROR(__xludf.DUMMYFUNCTION("""COMPUTED_VALUE"""),"dageki_1")</f>
        <v/>
      </c>
      <c r="AC35" s="327" t="n"/>
    </row>
    <row r="36">
      <c r="A36" s="339" t="n"/>
      <c r="B36" s="296">
        <f>IFERROR(__xludf.DUMMYFUNCTION("""COMPUTED_VALUE"""),"enemy_dan_00101")</f>
        <v/>
      </c>
      <c r="C36" s="295">
        <f>IFERROR(__xludf.DUMMYFUNCTION("""COMPUTED_VALUE"""),"_dan1_advent")</f>
        <v/>
      </c>
      <c r="D36" s="295">
        <f>IFERROR(__xludf.DUMMYFUNCTION("""COMPUTED_VALUE"""),"e_dan_00101_dan1_advent_Normal_Yellow")</f>
        <v/>
      </c>
      <c r="E36" s="295">
        <f>IFERROR(__xludf.DUMMYFUNCTION("""COMPUTED_VALUE"""),"ダンダダン")</f>
        <v/>
      </c>
      <c r="F36" s="349">
        <f>IFERROR(__xludf.DUMMYFUNCTION("""COMPUTED_VALUE"""),"セルポ星人(変身)")</f>
        <v/>
      </c>
      <c r="G36" s="349">
        <f>IFERROR(__xludf.DUMMYFUNCTION("""COMPUTED_VALUE"""),"セルポ星人（変身）_dan1_advent")</f>
        <v/>
      </c>
      <c r="H36" s="17">
        <f>IFERROR(__xludf.DUMMYFUNCTION("""COMPUTED_VALUE"""),"Normal")</f>
        <v/>
      </c>
      <c r="I36" s="17">
        <f>IFERROR(__xludf.DUMMYFUNCTION("""COMPUTED_VALUE"""),"Attack")</f>
        <v/>
      </c>
      <c r="J36" s="17">
        <f>IFERROR(__xludf.DUMMYFUNCTION("""COMPUTED_VALUE"""),"Yellow")</f>
        <v/>
      </c>
      <c r="K36" s="17">
        <f>IFERROR(__xludf.DUMMYFUNCTION("""COMPUTED_VALUE"""),50000.0)</f>
        <v/>
      </c>
      <c r="L36" s="17">
        <f>IFERROR(__xludf.DUMMYFUNCTION("""COMPUTED_VALUE"""),4.0)</f>
        <v/>
      </c>
      <c r="M36" s="17">
        <f>IFERROR(__xludf.DUMMYFUNCTION("""COMPUTED_VALUE"""),28.0)</f>
        <v/>
      </c>
      <c r="N36" s="17">
        <f>IFERROR(__xludf.DUMMYFUNCTION("""COMPUTED_VALUE"""),0.25)</f>
        <v/>
      </c>
      <c r="O36" s="17">
        <f>IFERROR(__xludf.DUMMYFUNCTION("""COMPUTED_VALUE"""),300.0)</f>
        <v/>
      </c>
      <c r="P36" s="17">
        <f>IFERROR(__xludf.DUMMYFUNCTION("""COMPUTED_VALUE"""),0.0)</f>
        <v/>
      </c>
      <c r="Q36" s="17">
        <f>IFERROR(__xludf.DUMMYFUNCTION("""COMPUTED_VALUE"""),0.33)</f>
        <v/>
      </c>
      <c r="R36" s="17">
        <f>IFERROR(__xludf.DUMMYFUNCTION("""COMPUTED_VALUE"""),100.0)</f>
        <v/>
      </c>
      <c r="S36" s="17">
        <f>IFERROR(__xludf.DUMMYFUNCTION("""COMPUTED_VALUE"""),100.0)</f>
        <v/>
      </c>
      <c r="T36" s="350">
        <f>IFERROR(__xludf.DUMMYFUNCTION("""COMPUTED_VALUE"""),"1.40")</f>
        <v/>
      </c>
      <c r="U36" s="351">
        <f>IFERROR(__xludf.DUMMYFUNCTION("""COMPUTED_VALUE"""),"0.70")</f>
        <v/>
      </c>
      <c r="V36" s="351">
        <f>IFERROR(__xludf.DUMMYFUNCTION("""COMPUTED_VALUE"""),100.0)</f>
        <v/>
      </c>
      <c r="W36" s="351">
        <f>IFERROR(__xludf.DUMMYFUNCTION("""COMPUTED_VALUE"""),"-")</f>
        <v/>
      </c>
      <c r="X36" s="351">
        <f>IFERROR(__xludf.DUMMYFUNCTION("""COMPUTED_VALUE"""),"-")</f>
        <v/>
      </c>
      <c r="Y36" s="351" t="n"/>
      <c r="Z36" s="351">
        <f>IFERROR(__xludf.DUMMYFUNCTION("""COMPUTED_VALUE"""),"-")</f>
        <v/>
      </c>
      <c r="AA36" s="327" t="n"/>
      <c r="AB36" s="327">
        <f>IFERROR(__xludf.DUMMYFUNCTION("""COMPUTED_VALUE"""),"dageki_1")</f>
        <v/>
      </c>
      <c r="AC36" s="327" t="n"/>
    </row>
    <row r="37">
      <c r="A37" s="339" t="n"/>
      <c r="B37" s="296">
        <f>IFERROR(__xludf.DUMMYFUNCTION("""COMPUTED_VALUE"""),"enemy_dan_00101")</f>
        <v/>
      </c>
      <c r="C37" s="295">
        <f>IFERROR(__xludf.DUMMYFUNCTION("""COMPUTED_VALUE"""),"_dan1_advent")</f>
        <v/>
      </c>
      <c r="D37" s="295">
        <f>IFERROR(__xludf.DUMMYFUNCTION("""COMPUTED_VALUE"""),"e_dan_00101_dan1_advent_Boss_Yellow")</f>
        <v/>
      </c>
      <c r="E37" s="295">
        <f>IFERROR(__xludf.DUMMYFUNCTION("""COMPUTED_VALUE"""),"ダンダダン")</f>
        <v/>
      </c>
      <c r="F37" s="349">
        <f>IFERROR(__xludf.DUMMYFUNCTION("""COMPUTED_VALUE"""),"セルポ星人(変身)")</f>
        <v/>
      </c>
      <c r="G37" s="349">
        <f>IFERROR(__xludf.DUMMYFUNCTION("""COMPUTED_VALUE"""),"セルポ星人（変身）_dan1_advent")</f>
        <v/>
      </c>
      <c r="H37" s="17">
        <f>IFERROR(__xludf.DUMMYFUNCTION("""COMPUTED_VALUE"""),"Boss")</f>
        <v/>
      </c>
      <c r="I37" s="17">
        <f>IFERROR(__xludf.DUMMYFUNCTION("""COMPUTED_VALUE"""),"Attack")</f>
        <v/>
      </c>
      <c r="J37" s="17">
        <f>IFERROR(__xludf.DUMMYFUNCTION("""COMPUTED_VALUE"""),"Yellow")</f>
        <v/>
      </c>
      <c r="K37" s="17">
        <f>IFERROR(__xludf.DUMMYFUNCTION("""COMPUTED_VALUE"""),50000.0)</f>
        <v/>
      </c>
      <c r="L37" s="17">
        <f>IFERROR(__xludf.DUMMYFUNCTION("""COMPUTED_VALUE"""),4.0)</f>
        <v/>
      </c>
      <c r="M37" s="17">
        <f>IFERROR(__xludf.DUMMYFUNCTION("""COMPUTED_VALUE"""),28.0)</f>
        <v/>
      </c>
      <c r="N37" s="17">
        <f>IFERROR(__xludf.DUMMYFUNCTION("""COMPUTED_VALUE"""),0.25)</f>
        <v/>
      </c>
      <c r="O37" s="17">
        <f>IFERROR(__xludf.DUMMYFUNCTION("""COMPUTED_VALUE"""),300.0)</f>
        <v/>
      </c>
      <c r="P37" s="17">
        <f>IFERROR(__xludf.DUMMYFUNCTION("""COMPUTED_VALUE"""),0.0)</f>
        <v/>
      </c>
      <c r="Q37" s="17">
        <f>IFERROR(__xludf.DUMMYFUNCTION("""COMPUTED_VALUE"""),0.33)</f>
        <v/>
      </c>
      <c r="R37" s="17">
        <f>IFERROR(__xludf.DUMMYFUNCTION("""COMPUTED_VALUE"""),100.0)</f>
        <v/>
      </c>
      <c r="S37" s="17">
        <f>IFERROR(__xludf.DUMMYFUNCTION("""COMPUTED_VALUE"""),100.0)</f>
        <v/>
      </c>
      <c r="T37" s="350">
        <f>IFERROR(__xludf.DUMMYFUNCTION("""COMPUTED_VALUE"""),"1.40")</f>
        <v/>
      </c>
      <c r="U37" s="351">
        <f>IFERROR(__xludf.DUMMYFUNCTION("""COMPUTED_VALUE"""),"0.70")</f>
        <v/>
      </c>
      <c r="V37" s="351">
        <f>IFERROR(__xludf.DUMMYFUNCTION("""COMPUTED_VALUE"""),100.0)</f>
        <v/>
      </c>
      <c r="W37" s="351">
        <f>IFERROR(__xludf.DUMMYFUNCTION("""COMPUTED_VALUE"""),"-")</f>
        <v/>
      </c>
      <c r="X37" s="351">
        <f>IFERROR(__xludf.DUMMYFUNCTION("""COMPUTED_VALUE"""),"-")</f>
        <v/>
      </c>
      <c r="Y37" s="351" t="n"/>
      <c r="Z37" s="351">
        <f>IFERROR(__xludf.DUMMYFUNCTION("""COMPUTED_VALUE"""),"-")</f>
        <v/>
      </c>
      <c r="AA37" s="327" t="n"/>
      <c r="AB37" s="327">
        <f>IFERROR(__xludf.DUMMYFUNCTION("""COMPUTED_VALUE"""),"dageki_1")</f>
        <v/>
      </c>
      <c r="AC37" s="327" t="n"/>
    </row>
    <row r="38">
      <c r="A38" s="339" t="n"/>
      <c r="B38" s="296">
        <f>IFERROR(__xludf.DUMMYFUNCTION("""COMPUTED_VALUE"""),"enemy_dan_00201")</f>
        <v/>
      </c>
      <c r="C38" s="295">
        <f>IFERROR(__xludf.DUMMYFUNCTION("""COMPUTED_VALUE"""),"_dan1_advent")</f>
        <v/>
      </c>
      <c r="D38" s="295">
        <f>IFERROR(__xludf.DUMMYFUNCTION("""COMPUTED_VALUE"""),"e_dan_00201_dan1_advent_Boss_Yellow")</f>
        <v/>
      </c>
      <c r="E38" s="295">
        <f>IFERROR(__xludf.DUMMYFUNCTION("""COMPUTED_VALUE"""),"ダンダダン")</f>
        <v/>
      </c>
      <c r="F38" s="349">
        <f>IFERROR(__xludf.DUMMYFUNCTION("""COMPUTED_VALUE"""),"ターボババア")</f>
        <v/>
      </c>
      <c r="G38" s="349">
        <f>IFERROR(__xludf.DUMMYFUNCTION("""COMPUTED_VALUE"""),"ターボババア_dan1_advent")</f>
        <v/>
      </c>
      <c r="H38" s="17">
        <f>IFERROR(__xludf.DUMMYFUNCTION("""COMPUTED_VALUE"""),"Boss")</f>
        <v/>
      </c>
      <c r="I38" s="17">
        <f>IFERROR(__xludf.DUMMYFUNCTION("""COMPUTED_VALUE"""),"Technical")</f>
        <v/>
      </c>
      <c r="J38" s="17">
        <f>IFERROR(__xludf.DUMMYFUNCTION("""COMPUTED_VALUE"""),"Yellow")</f>
        <v/>
      </c>
      <c r="K38" s="17">
        <f>IFERROR(__xludf.DUMMYFUNCTION("""COMPUTED_VALUE"""),100000.0)</f>
        <v/>
      </c>
      <c r="L38" s="17">
        <f>IFERROR(__xludf.DUMMYFUNCTION("""COMPUTED_VALUE"""),2.0)</f>
        <v/>
      </c>
      <c r="M38" s="17">
        <f>IFERROR(__xludf.DUMMYFUNCTION("""COMPUTED_VALUE"""),50.0)</f>
        <v/>
      </c>
      <c r="N38" s="17">
        <f>IFERROR(__xludf.DUMMYFUNCTION("""COMPUTED_VALUE"""),0.24)</f>
        <v/>
      </c>
      <c r="O38" s="17">
        <f>IFERROR(__xludf.DUMMYFUNCTION("""COMPUTED_VALUE"""),500.0)</f>
        <v/>
      </c>
      <c r="P38" s="17">
        <f>IFERROR(__xludf.DUMMYFUNCTION("""COMPUTED_VALUE"""),0.0)</f>
        <v/>
      </c>
      <c r="Q38" s="17">
        <f>IFERROR(__xludf.DUMMYFUNCTION("""COMPUTED_VALUE"""),0.25)</f>
        <v/>
      </c>
      <c r="R38" s="17">
        <f>IFERROR(__xludf.DUMMYFUNCTION("""COMPUTED_VALUE"""),1.0)</f>
        <v/>
      </c>
      <c r="S38" s="17">
        <f>IFERROR(__xludf.DUMMYFUNCTION("""COMPUTED_VALUE"""),100.0)</f>
        <v/>
      </c>
      <c r="T38" s="350">
        <f>IFERROR(__xludf.DUMMYFUNCTION("""COMPUTED_VALUE"""),"1.50")</f>
        <v/>
      </c>
      <c r="U38" s="351">
        <f>IFERROR(__xludf.DUMMYFUNCTION("""COMPUTED_VALUE"""),"0.40")</f>
        <v/>
      </c>
      <c r="V38" s="351">
        <f>IFERROR(__xludf.DUMMYFUNCTION("""COMPUTED_VALUE"""),25.0)</f>
        <v/>
      </c>
      <c r="W38" s="351">
        <f>IFERROR(__xludf.DUMMYFUNCTION("""COMPUTED_VALUE"""),"-")</f>
        <v/>
      </c>
      <c r="X38" s="351">
        <f>IFERROR(__xludf.DUMMYFUNCTION("""COMPUTED_VALUE"""),"-")</f>
        <v/>
      </c>
      <c r="Y38" s="351" t="n"/>
      <c r="Z38" s="351">
        <f>IFERROR(__xludf.DUMMYFUNCTION("""COMPUTED_VALUE"""),"-")</f>
        <v/>
      </c>
      <c r="AA38" s="327" t="n"/>
      <c r="AB38" s="327">
        <f>IFERROR(__xludf.DUMMYFUNCTION("""COMPUTED_VALUE"""),"dageki_1")</f>
        <v/>
      </c>
      <c r="AC38" s="327">
        <f>IFERROR(__xludf.DUMMYFUNCTION("""COMPUTED_VALUE"""),"中ノックバック")</f>
        <v/>
      </c>
    </row>
    <row r="39">
      <c r="A39" s="339" t="n"/>
      <c r="B39" s="296">
        <f>IFERROR(__xludf.DUMMYFUNCTION("""COMPUTED_VALUE"""),"enemy_dan_00301")</f>
        <v/>
      </c>
      <c r="C39" s="295">
        <f>IFERROR(__xludf.DUMMYFUNCTION("""COMPUTED_VALUE"""),"_dan1_advent")</f>
        <v/>
      </c>
      <c r="D39" s="295">
        <f>IFERROR(__xludf.DUMMYFUNCTION("""COMPUTED_VALUE"""),"e_dan_00301_dan1_advent_Boss_Yellow")</f>
        <v/>
      </c>
      <c r="E39" s="295">
        <f>IFERROR(__xludf.DUMMYFUNCTION("""COMPUTED_VALUE"""),"ダンダダン")</f>
        <v/>
      </c>
      <c r="F39" s="349">
        <f>IFERROR(__xludf.DUMMYFUNCTION("""COMPUTED_VALUE"""),"アクロバティックさらさら")</f>
        <v/>
      </c>
      <c r="G39" s="349">
        <f>IFERROR(__xludf.DUMMYFUNCTION("""COMPUTED_VALUE"""),"アクロバティックさらさら_dan1_advent")</f>
        <v/>
      </c>
      <c r="H39" s="17">
        <f>IFERROR(__xludf.DUMMYFUNCTION("""COMPUTED_VALUE"""),"Boss")</f>
        <v/>
      </c>
      <c r="I39" s="17">
        <f>IFERROR(__xludf.DUMMYFUNCTION("""COMPUTED_VALUE"""),"Technical")</f>
        <v/>
      </c>
      <c r="J39" s="17">
        <f>IFERROR(__xludf.DUMMYFUNCTION("""COMPUTED_VALUE"""),"Yellow")</f>
        <v/>
      </c>
      <c r="K39" s="17">
        <f>IFERROR(__xludf.DUMMYFUNCTION("""COMPUTED_VALUE"""),100000.0)</f>
        <v/>
      </c>
      <c r="L39" s="17">
        <f>IFERROR(__xludf.DUMMYFUNCTION("""COMPUTED_VALUE"""),3.0)</f>
        <v/>
      </c>
      <c r="M39" s="17">
        <f>IFERROR(__xludf.DUMMYFUNCTION("""COMPUTED_VALUE"""),45.0)</f>
        <v/>
      </c>
      <c r="N39" s="17">
        <f>IFERROR(__xludf.DUMMYFUNCTION("""COMPUTED_VALUE"""),0.24)</f>
        <v/>
      </c>
      <c r="O39" s="17">
        <f>IFERROR(__xludf.DUMMYFUNCTION("""COMPUTED_VALUE"""),300.0)</f>
        <v/>
      </c>
      <c r="P39" s="17">
        <f>IFERROR(__xludf.DUMMYFUNCTION("""COMPUTED_VALUE"""),0.0)</f>
        <v/>
      </c>
      <c r="Q39" s="17">
        <f>IFERROR(__xludf.DUMMYFUNCTION("""COMPUTED_VALUE"""),0.3)</f>
        <v/>
      </c>
      <c r="R39" s="17">
        <f>IFERROR(__xludf.DUMMYFUNCTION("""COMPUTED_VALUE"""),100.0)</f>
        <v/>
      </c>
      <c r="S39" s="17">
        <f>IFERROR(__xludf.DUMMYFUNCTION("""COMPUTED_VALUE"""),200.0)</f>
        <v/>
      </c>
      <c r="T39" s="350">
        <f>IFERROR(__xludf.DUMMYFUNCTION("""COMPUTED_VALUE"""),"1.20")</f>
        <v/>
      </c>
      <c r="U39" s="351">
        <f>IFERROR(__xludf.DUMMYFUNCTION("""COMPUTED_VALUE"""),"0.27")</f>
        <v/>
      </c>
      <c r="V39" s="351">
        <f>IFERROR(__xludf.DUMMYFUNCTION("""COMPUTED_VALUE"""),80.0)</f>
        <v/>
      </c>
      <c r="W39" s="351">
        <f>IFERROR(__xludf.DUMMYFUNCTION("""COMPUTED_VALUE"""),"-")</f>
        <v/>
      </c>
      <c r="X39" s="351">
        <f>IFERROR(__xludf.DUMMYFUNCTION("""COMPUTED_VALUE"""),"-")</f>
        <v/>
      </c>
      <c r="Y39" s="351" t="n"/>
      <c r="Z39" s="351">
        <f>IFERROR(__xludf.DUMMYFUNCTION("""COMPUTED_VALUE"""),"-")</f>
        <v/>
      </c>
      <c r="AA39" s="327" t="n"/>
      <c r="AB39" s="327">
        <f>IFERROR(__xludf.DUMMYFUNCTION("""COMPUTED_VALUE"""),"dageki_1")</f>
        <v/>
      </c>
      <c r="AC39" s="327">
        <f>IFERROR(__xludf.DUMMYFUNCTION("""COMPUTED_VALUE"""),"100%の確率で1秒間、スタン攻撃")</f>
        <v/>
      </c>
    </row>
    <row r="40">
      <c r="A40" s="339" t="n"/>
      <c r="B40" s="17">
        <f>IFERROR(__xludf.DUMMYFUNCTION("""COMPUTED_VALUE"""),"enemy_dan_00301")</f>
        <v/>
      </c>
      <c r="C40" s="295">
        <f>IFERROR(__xludf.DUMMYFUNCTION("""COMPUTED_VALUE"""),"_airaget")</f>
        <v/>
      </c>
      <c r="D40" s="295">
        <f>IFERROR(__xludf.DUMMYFUNCTION("""COMPUTED_VALUE"""),"e_dan_00301_airaget_Boss_Colorless")</f>
        <v/>
      </c>
      <c r="E40" s="295">
        <f>IFERROR(__xludf.DUMMYFUNCTION("""COMPUTED_VALUE"""),"ダンダダン")</f>
        <v/>
      </c>
      <c r="F40" s="349">
        <f>IFERROR(__xludf.DUMMYFUNCTION("""COMPUTED_VALUE"""),"アクロバティックさらさら")</f>
        <v/>
      </c>
      <c r="G40" s="349">
        <f>IFERROR(__xludf.DUMMYFUNCTION("""COMPUTED_VALUE"""),"アクロバティックさらさら_airaget")</f>
        <v/>
      </c>
      <c r="H40" s="17">
        <f>IFERROR(__xludf.DUMMYFUNCTION("""COMPUTED_VALUE"""),"Boss")</f>
        <v/>
      </c>
      <c r="I40" s="17">
        <f>IFERROR(__xludf.DUMMYFUNCTION("""COMPUTED_VALUE"""),"Attack")</f>
        <v/>
      </c>
      <c r="J40" s="17">
        <f>IFERROR(__xludf.DUMMYFUNCTION("""COMPUTED_VALUE"""),"Colorless")</f>
        <v/>
      </c>
      <c r="K40" s="17">
        <f>IFERROR(__xludf.DUMMYFUNCTION("""COMPUTED_VALUE"""),40000.0)</f>
        <v/>
      </c>
      <c r="L40" s="17">
        <f>IFERROR(__xludf.DUMMYFUNCTION("""COMPUTED_VALUE"""),2.0)</f>
        <v/>
      </c>
      <c r="M40" s="17">
        <f>IFERROR(__xludf.DUMMYFUNCTION("""COMPUTED_VALUE"""),35.0)</f>
        <v/>
      </c>
      <c r="N40" s="17">
        <f>IFERROR(__xludf.DUMMYFUNCTION("""COMPUTED_VALUE"""),0.24)</f>
        <v/>
      </c>
      <c r="O40" s="17">
        <f>IFERROR(__xludf.DUMMYFUNCTION("""COMPUTED_VALUE"""),300.0)</f>
        <v/>
      </c>
      <c r="P40" s="17">
        <f>IFERROR(__xludf.DUMMYFUNCTION("""COMPUTED_VALUE"""),0.0)</f>
        <v/>
      </c>
      <c r="Q40" s="17">
        <f>IFERROR(__xludf.DUMMYFUNCTION("""COMPUTED_VALUE"""),0.3)</f>
        <v/>
      </c>
      <c r="R40" s="17">
        <f>IFERROR(__xludf.DUMMYFUNCTION("""COMPUTED_VALUE"""),100.0)</f>
        <v/>
      </c>
      <c r="S40" s="17">
        <f>IFERROR(__xludf.DUMMYFUNCTION("""COMPUTED_VALUE"""),200.0)</f>
        <v/>
      </c>
      <c r="T40" s="350">
        <f>IFERROR(__xludf.DUMMYFUNCTION("""COMPUTED_VALUE"""),"1.20")</f>
        <v/>
      </c>
      <c r="U40" s="351">
        <f>IFERROR(__xludf.DUMMYFUNCTION("""COMPUTED_VALUE"""),"0.27")</f>
        <v/>
      </c>
      <c r="V40" s="351">
        <f>IFERROR(__xludf.DUMMYFUNCTION("""COMPUTED_VALUE"""),50.0)</f>
        <v/>
      </c>
      <c r="W40" s="351">
        <f>IFERROR(__xludf.DUMMYFUNCTION("""COMPUTED_VALUE"""),"-")</f>
        <v/>
      </c>
      <c r="X40" s="351">
        <f>IFERROR(__xludf.DUMMYFUNCTION("""COMPUTED_VALUE"""),"-")</f>
        <v/>
      </c>
      <c r="Y40" s="351" t="n"/>
      <c r="Z40" s="351">
        <f>IFERROR(__xludf.DUMMYFUNCTION("""COMPUTED_VALUE"""),"-")</f>
        <v/>
      </c>
      <c r="AA40" s="327" t="n"/>
      <c r="AB40" s="327">
        <f>IFERROR(__xludf.DUMMYFUNCTION("""COMPUTED_VALUE"""),"dageki_1")</f>
        <v/>
      </c>
      <c r="AC40" s="327" t="n"/>
    </row>
    <row r="41">
      <c r="A41" s="339" t="n"/>
      <c r="B41" s="17" t="n"/>
      <c r="C41" s="295" t="n"/>
      <c r="D41" s="295">
        <f>IFERROR(__xludf.DUMMYFUNCTION("""COMPUTED_VALUE"""),"___")</f>
        <v/>
      </c>
      <c r="E41" s="295">
        <f>IFERROR(__xludf.DUMMYFUNCTION("""COMPUTED_VALUE"""),"none")</f>
        <v/>
      </c>
      <c r="F41" s="349">
        <f>IFERROR(__xludf.DUMMYFUNCTION("""COMPUTED_VALUE"""),"none")</f>
        <v/>
      </c>
      <c r="G41" s="349">
        <f>IFERROR(__xludf.DUMMYFUNCTION("""COMPUTED_VALUE"""),"none")</f>
        <v/>
      </c>
      <c r="H41" s="17" t="n"/>
      <c r="I41" s="17">
        <f>IFERROR(__xludf.DUMMYFUNCTION("""COMPUTED_VALUE"""),"none")</f>
        <v/>
      </c>
      <c r="J41" s="17" t="n"/>
      <c r="K41" s="17" t="n"/>
      <c r="L41" s="17" t="n"/>
      <c r="M41" s="17" t="n"/>
      <c r="N41" s="17" t="n"/>
      <c r="O41" s="17" t="n"/>
      <c r="P41" s="17" t="n"/>
      <c r="Q41" s="17" t="n"/>
      <c r="R41" s="17" t="n"/>
      <c r="S41" s="17" t="n"/>
      <c r="T41" s="350">
        <f>IFERROR(__xludf.DUMMYFUNCTION("""COMPUTED_VALUE"""),"none")</f>
        <v/>
      </c>
      <c r="U41" s="351">
        <f>IFERROR(__xludf.DUMMYFUNCTION("""COMPUTED_VALUE"""),"none")</f>
        <v/>
      </c>
      <c r="V41" s="351" t="n"/>
      <c r="W41" s="351">
        <f>IFERROR(__xludf.DUMMYFUNCTION("""COMPUTED_VALUE"""),"none")</f>
        <v/>
      </c>
      <c r="X41" s="351">
        <f>IFERROR(__xludf.DUMMYFUNCTION("""COMPUTED_VALUE"""),"none")</f>
        <v/>
      </c>
      <c r="Y41" s="351" t="n"/>
      <c r="Z41" s="351">
        <f>IFERROR(__xludf.DUMMYFUNCTION("""COMPUTED_VALUE"""),"-")</f>
        <v/>
      </c>
      <c r="AA41" s="327" t="n"/>
      <c r="AB41" s="327">
        <f>IFERROR(__xludf.DUMMYFUNCTION("""COMPUTED_VALUE"""),"none")</f>
        <v/>
      </c>
      <c r="AC41" s="327" t="n"/>
    </row>
    <row r="42">
      <c r="A42" s="339" t="n"/>
      <c r="B42" s="17">
        <f>IFERROR(__xludf.DUMMYFUNCTION("""COMPUTED_VALUE"""),"enemy_mag_00101")</f>
        <v/>
      </c>
      <c r="C42" s="295">
        <f>IFERROR(__xludf.DUMMYFUNCTION("""COMPUTED_VALUE"""),"_mag1_advent")</f>
        <v/>
      </c>
      <c r="D42" s="295">
        <f>IFERROR(__xludf.DUMMYFUNCTION("""COMPUTED_VALUE"""),"e_mag_00101_mag1_advent_Normal_Colorless")</f>
        <v/>
      </c>
      <c r="E42" s="295">
        <f>IFERROR(__xludf.DUMMYFUNCTION("""COMPUTED_VALUE"""),"株式会社マジルミエ")</f>
        <v/>
      </c>
      <c r="F42" s="349">
        <f>IFERROR(__xludf.DUMMYFUNCTION("""COMPUTED_VALUE"""),"つらら")</f>
        <v/>
      </c>
      <c r="G42" s="349">
        <f>IFERROR(__xludf.DUMMYFUNCTION("""COMPUTED_VALUE"""),"つらら_mag1_advent")</f>
        <v/>
      </c>
      <c r="H42" s="17">
        <f>IFERROR(__xludf.DUMMYFUNCTION("""COMPUTED_VALUE"""),"Normal")</f>
        <v/>
      </c>
      <c r="I42" s="17">
        <f>IFERROR(__xludf.DUMMYFUNCTION("""COMPUTED_VALUE"""),"Technical")</f>
        <v/>
      </c>
      <c r="J42" s="17">
        <f>IFERROR(__xludf.DUMMYFUNCTION("""COMPUTED_VALUE"""),"Colorless")</f>
        <v/>
      </c>
      <c r="K42" s="17">
        <f>IFERROR(__xludf.DUMMYFUNCTION("""COMPUTED_VALUE"""),1000.0)</f>
        <v/>
      </c>
      <c r="L42" s="17">
        <f>IFERROR(__xludf.DUMMYFUNCTION("""COMPUTED_VALUE"""),1.0)</f>
        <v/>
      </c>
      <c r="M42" s="17">
        <f>IFERROR(__xludf.DUMMYFUNCTION("""COMPUTED_VALUE"""),80.0)</f>
        <v/>
      </c>
      <c r="N42" s="17">
        <f>IFERROR(__xludf.DUMMYFUNCTION("""COMPUTED_VALUE"""),0.11)</f>
        <v/>
      </c>
      <c r="O42" s="17">
        <f>IFERROR(__xludf.DUMMYFUNCTION("""COMPUTED_VALUE"""),400.0)</f>
        <v/>
      </c>
      <c r="P42" s="17">
        <f>IFERROR(__xludf.DUMMYFUNCTION("""COMPUTED_VALUE"""),0.0)</f>
        <v/>
      </c>
      <c r="Q42" s="17">
        <f>IFERROR(__xludf.DUMMYFUNCTION("""COMPUTED_VALUE"""),0.25)</f>
        <v/>
      </c>
      <c r="R42" s="17">
        <f>IFERROR(__xludf.DUMMYFUNCTION("""COMPUTED_VALUE"""),1.0)</f>
        <v/>
      </c>
      <c r="S42" s="17">
        <f>IFERROR(__xludf.DUMMYFUNCTION("""COMPUTED_VALUE"""),0.0)</f>
        <v/>
      </c>
      <c r="T42" s="350">
        <f>IFERROR(__xludf.DUMMYFUNCTION("""COMPUTED_VALUE"""),"0.37")</f>
        <v/>
      </c>
      <c r="U42" s="351">
        <f>IFERROR(__xludf.DUMMYFUNCTION("""COMPUTED_VALUE"""),"stop有:1回目 0.20")</f>
        <v/>
      </c>
      <c r="V42" s="351">
        <f>IFERROR(__xludf.DUMMYFUNCTION("""COMPUTED_VALUE"""),50.0)</f>
        <v/>
      </c>
      <c r="W42" s="351">
        <f>IFERROR(__xludf.DUMMYFUNCTION("""COMPUTED_VALUE"""),"-")</f>
        <v/>
      </c>
      <c r="X42" s="351">
        <f>IFERROR(__xludf.DUMMYFUNCTION("""COMPUTED_VALUE"""),"-")</f>
        <v/>
      </c>
      <c r="Y42" s="351" t="n"/>
      <c r="Z42" s="351">
        <f>IFERROR(__xludf.DUMMYFUNCTION("""COMPUTED_VALUE"""),"-")</f>
        <v/>
      </c>
      <c r="AA42" s="327" t="n"/>
      <c r="AB42" s="327">
        <f>IFERROR(__xludf.DUMMYFUNCTION("""COMPUTED_VALUE"""),"zangeki_1")</f>
        <v/>
      </c>
      <c r="AC42" s="327">
        <f>IFERROR(__xludf.DUMMYFUNCTION("""COMPUTED_VALUE"""),"小ノックバック+自身に即死ダメージ")</f>
        <v/>
      </c>
    </row>
    <row r="43">
      <c r="A43" s="339" t="n"/>
      <c r="B43" s="17">
        <f>IFERROR(__xludf.DUMMYFUNCTION("""COMPUTED_VALUE"""),"enemy_mag_00101")</f>
        <v/>
      </c>
      <c r="C43" s="295">
        <f>IFERROR(__xludf.DUMMYFUNCTION("""COMPUTED_VALUE"""),"_mag1_advent")</f>
        <v/>
      </c>
      <c r="D43" s="295">
        <f>IFERROR(__xludf.DUMMYFUNCTION("""COMPUTED_VALUE"""),"e_mag_00101_mag1_advent_Normal_Red")</f>
        <v/>
      </c>
      <c r="E43" s="295">
        <f>IFERROR(__xludf.DUMMYFUNCTION("""COMPUTED_VALUE"""),"株式会社マジルミエ")</f>
        <v/>
      </c>
      <c r="F43" s="349">
        <f>IFERROR(__xludf.DUMMYFUNCTION("""COMPUTED_VALUE"""),"つらら")</f>
        <v/>
      </c>
      <c r="G43" s="349">
        <f>IFERROR(__xludf.DUMMYFUNCTION("""COMPUTED_VALUE"""),"つらら_mag1_advent")</f>
        <v/>
      </c>
      <c r="H43" s="17">
        <f>IFERROR(__xludf.DUMMYFUNCTION("""COMPUTED_VALUE"""),"Normal")</f>
        <v/>
      </c>
      <c r="I43" s="17">
        <f>IFERROR(__xludf.DUMMYFUNCTION("""COMPUTED_VALUE"""),"Technical")</f>
        <v/>
      </c>
      <c r="J43" s="17">
        <f>IFERROR(__xludf.DUMMYFUNCTION("""COMPUTED_VALUE"""),"Red")</f>
        <v/>
      </c>
      <c r="K43" s="17">
        <f>IFERROR(__xludf.DUMMYFUNCTION("""COMPUTED_VALUE"""),1000.0)</f>
        <v/>
      </c>
      <c r="L43" s="17">
        <f>IFERROR(__xludf.DUMMYFUNCTION("""COMPUTED_VALUE"""),1.0)</f>
        <v/>
      </c>
      <c r="M43" s="17">
        <f>IFERROR(__xludf.DUMMYFUNCTION("""COMPUTED_VALUE"""),80.0)</f>
        <v/>
      </c>
      <c r="N43" s="17">
        <f>IFERROR(__xludf.DUMMYFUNCTION("""COMPUTED_VALUE"""),0.11)</f>
        <v/>
      </c>
      <c r="O43" s="17">
        <f>IFERROR(__xludf.DUMMYFUNCTION("""COMPUTED_VALUE"""),400.0)</f>
        <v/>
      </c>
      <c r="P43" s="17">
        <f>IFERROR(__xludf.DUMMYFUNCTION("""COMPUTED_VALUE"""),0.0)</f>
        <v/>
      </c>
      <c r="Q43" s="17">
        <f>IFERROR(__xludf.DUMMYFUNCTION("""COMPUTED_VALUE"""),0.25)</f>
        <v/>
      </c>
      <c r="R43" s="17">
        <f>IFERROR(__xludf.DUMMYFUNCTION("""COMPUTED_VALUE"""),1.0)</f>
        <v/>
      </c>
      <c r="S43" s="17">
        <f>IFERROR(__xludf.DUMMYFUNCTION("""COMPUTED_VALUE"""),0.0)</f>
        <v/>
      </c>
      <c r="T43" s="350">
        <f>IFERROR(__xludf.DUMMYFUNCTION("""COMPUTED_VALUE"""),"0.37")</f>
        <v/>
      </c>
      <c r="U43" s="351">
        <f>IFERROR(__xludf.DUMMYFUNCTION("""COMPUTED_VALUE"""),"stop有:1回目 0.20")</f>
        <v/>
      </c>
      <c r="V43" s="351">
        <f>IFERROR(__xludf.DUMMYFUNCTION("""COMPUTED_VALUE"""),50.0)</f>
        <v/>
      </c>
      <c r="W43" s="351">
        <f>IFERROR(__xludf.DUMMYFUNCTION("""COMPUTED_VALUE"""),"-")</f>
        <v/>
      </c>
      <c r="X43" s="351">
        <f>IFERROR(__xludf.DUMMYFUNCTION("""COMPUTED_VALUE"""),"-")</f>
        <v/>
      </c>
      <c r="Y43" s="351" t="n"/>
      <c r="Z43" s="351">
        <f>IFERROR(__xludf.DUMMYFUNCTION("""COMPUTED_VALUE"""),"-")</f>
        <v/>
      </c>
      <c r="AA43" s="327" t="n"/>
      <c r="AB43" s="327">
        <f>IFERROR(__xludf.DUMMYFUNCTION("""COMPUTED_VALUE"""),"zangeki_1")</f>
        <v/>
      </c>
      <c r="AC43" s="327">
        <f>IFERROR(__xludf.DUMMYFUNCTION("""COMPUTED_VALUE"""),"100%の確率で、2秒間氷結状態を付与+自身に即死ダメージ")</f>
        <v/>
      </c>
    </row>
    <row r="44">
      <c r="A44" s="339" t="n"/>
      <c r="B44" s="17">
        <f>IFERROR(__xludf.DUMMYFUNCTION("""COMPUTED_VALUE"""),"enemy_mag_00101")</f>
        <v/>
      </c>
      <c r="C44" s="295">
        <f>IFERROR(__xludf.DUMMYFUNCTION("""COMPUTED_VALUE"""),"_mag1_advent")</f>
        <v/>
      </c>
      <c r="D44" s="295">
        <f>IFERROR(__xludf.DUMMYFUNCTION("""COMPUTED_VALUE"""),"e_mag_00101_mag1_advent_Normal_Blue")</f>
        <v/>
      </c>
      <c r="E44" s="295">
        <f>IFERROR(__xludf.DUMMYFUNCTION("""COMPUTED_VALUE"""),"株式会社マジルミエ")</f>
        <v/>
      </c>
      <c r="F44" s="349">
        <f>IFERROR(__xludf.DUMMYFUNCTION("""COMPUTED_VALUE"""),"つらら")</f>
        <v/>
      </c>
      <c r="G44" s="349">
        <f>IFERROR(__xludf.DUMMYFUNCTION("""COMPUTED_VALUE"""),"つらら_mag1_advent")</f>
        <v/>
      </c>
      <c r="H44" s="17">
        <f>IFERROR(__xludf.DUMMYFUNCTION("""COMPUTED_VALUE"""),"Normal")</f>
        <v/>
      </c>
      <c r="I44" s="17">
        <f>IFERROR(__xludf.DUMMYFUNCTION("""COMPUTED_VALUE"""),"Technical")</f>
        <v/>
      </c>
      <c r="J44" s="17">
        <f>IFERROR(__xludf.DUMMYFUNCTION("""COMPUTED_VALUE"""),"Blue")</f>
        <v/>
      </c>
      <c r="K44" s="17">
        <f>IFERROR(__xludf.DUMMYFUNCTION("""COMPUTED_VALUE"""),1000.0)</f>
        <v/>
      </c>
      <c r="L44" s="17">
        <f>IFERROR(__xludf.DUMMYFUNCTION("""COMPUTED_VALUE"""),1.0)</f>
        <v/>
      </c>
      <c r="M44" s="17">
        <f>IFERROR(__xludf.DUMMYFUNCTION("""COMPUTED_VALUE"""),80.0)</f>
        <v/>
      </c>
      <c r="N44" s="17">
        <f>IFERROR(__xludf.DUMMYFUNCTION("""COMPUTED_VALUE"""),0.11)</f>
        <v/>
      </c>
      <c r="O44" s="17">
        <f>IFERROR(__xludf.DUMMYFUNCTION("""COMPUTED_VALUE"""),400.0)</f>
        <v/>
      </c>
      <c r="P44" s="17">
        <f>IFERROR(__xludf.DUMMYFUNCTION("""COMPUTED_VALUE"""),0.0)</f>
        <v/>
      </c>
      <c r="Q44" s="17">
        <f>IFERROR(__xludf.DUMMYFUNCTION("""COMPUTED_VALUE"""),0.25)</f>
        <v/>
      </c>
      <c r="R44" s="17">
        <f>IFERROR(__xludf.DUMMYFUNCTION("""COMPUTED_VALUE"""),1.0)</f>
        <v/>
      </c>
      <c r="S44" s="17">
        <f>IFERROR(__xludf.DUMMYFUNCTION("""COMPUTED_VALUE"""),0.0)</f>
        <v/>
      </c>
      <c r="T44" s="350">
        <f>IFERROR(__xludf.DUMMYFUNCTION("""COMPUTED_VALUE"""),"0.37")</f>
        <v/>
      </c>
      <c r="U44" s="351">
        <f>IFERROR(__xludf.DUMMYFUNCTION("""COMPUTED_VALUE"""),"stop有:1回目 0.20")</f>
        <v/>
      </c>
      <c r="V44" s="351">
        <f>IFERROR(__xludf.DUMMYFUNCTION("""COMPUTED_VALUE"""),50.0)</f>
        <v/>
      </c>
      <c r="W44" s="351">
        <f>IFERROR(__xludf.DUMMYFUNCTION("""COMPUTED_VALUE"""),"-")</f>
        <v/>
      </c>
      <c r="X44" s="351">
        <f>IFERROR(__xludf.DUMMYFUNCTION("""COMPUTED_VALUE"""),"-")</f>
        <v/>
      </c>
      <c r="Y44" s="351" t="n"/>
      <c r="Z44" s="351">
        <f>IFERROR(__xludf.DUMMYFUNCTION("""COMPUTED_VALUE"""),"-")</f>
        <v/>
      </c>
      <c r="AA44" s="327" t="n"/>
      <c r="AB44" s="327">
        <f>IFERROR(__xludf.DUMMYFUNCTION("""COMPUTED_VALUE"""),"zangeki_1")</f>
        <v/>
      </c>
      <c r="AC44" s="327">
        <f>IFERROR(__xludf.DUMMYFUNCTION("""COMPUTED_VALUE"""),"小ノックバック+自身に即死ダメージ")</f>
        <v/>
      </c>
    </row>
    <row r="45">
      <c r="A45" s="339" t="n"/>
      <c r="B45" s="17">
        <f>IFERROR(__xludf.DUMMYFUNCTION("""COMPUTED_VALUE"""),"enemy_mag_00101")</f>
        <v/>
      </c>
      <c r="C45" s="295">
        <f>IFERROR(__xludf.DUMMYFUNCTION("""COMPUTED_VALUE"""),"_mag1_advent")</f>
        <v/>
      </c>
      <c r="D45" s="295">
        <f>IFERROR(__xludf.DUMMYFUNCTION("""COMPUTED_VALUE"""),"e_mag_00101_mag1_advent_Normal_Yellow")</f>
        <v/>
      </c>
      <c r="E45" s="295">
        <f>IFERROR(__xludf.DUMMYFUNCTION("""COMPUTED_VALUE"""),"株式会社マジルミエ")</f>
        <v/>
      </c>
      <c r="F45" s="349">
        <f>IFERROR(__xludf.DUMMYFUNCTION("""COMPUTED_VALUE"""),"つらら")</f>
        <v/>
      </c>
      <c r="G45" s="349">
        <f>IFERROR(__xludf.DUMMYFUNCTION("""COMPUTED_VALUE"""),"つらら_mag1_advent")</f>
        <v/>
      </c>
      <c r="H45" s="17">
        <f>IFERROR(__xludf.DUMMYFUNCTION("""COMPUTED_VALUE"""),"Normal")</f>
        <v/>
      </c>
      <c r="I45" s="17">
        <f>IFERROR(__xludf.DUMMYFUNCTION("""COMPUTED_VALUE"""),"Technical")</f>
        <v/>
      </c>
      <c r="J45" s="17">
        <f>IFERROR(__xludf.DUMMYFUNCTION("""COMPUTED_VALUE"""),"Yellow")</f>
        <v/>
      </c>
      <c r="K45" s="17">
        <f>IFERROR(__xludf.DUMMYFUNCTION("""COMPUTED_VALUE"""),1000.0)</f>
        <v/>
      </c>
      <c r="L45" s="17">
        <f>IFERROR(__xludf.DUMMYFUNCTION("""COMPUTED_VALUE"""),1.0)</f>
        <v/>
      </c>
      <c r="M45" s="17">
        <f>IFERROR(__xludf.DUMMYFUNCTION("""COMPUTED_VALUE"""),80.0)</f>
        <v/>
      </c>
      <c r="N45" s="17">
        <f>IFERROR(__xludf.DUMMYFUNCTION("""COMPUTED_VALUE"""),0.11)</f>
        <v/>
      </c>
      <c r="O45" s="17">
        <f>IFERROR(__xludf.DUMMYFUNCTION("""COMPUTED_VALUE"""),400.0)</f>
        <v/>
      </c>
      <c r="P45" s="17">
        <f>IFERROR(__xludf.DUMMYFUNCTION("""COMPUTED_VALUE"""),0.0)</f>
        <v/>
      </c>
      <c r="Q45" s="17">
        <f>IFERROR(__xludf.DUMMYFUNCTION("""COMPUTED_VALUE"""),0.25)</f>
        <v/>
      </c>
      <c r="R45" s="17">
        <f>IFERROR(__xludf.DUMMYFUNCTION("""COMPUTED_VALUE"""),1.0)</f>
        <v/>
      </c>
      <c r="S45" s="17">
        <f>IFERROR(__xludf.DUMMYFUNCTION("""COMPUTED_VALUE"""),0.0)</f>
        <v/>
      </c>
      <c r="T45" s="350">
        <f>IFERROR(__xludf.DUMMYFUNCTION("""COMPUTED_VALUE"""),"0.37")</f>
        <v/>
      </c>
      <c r="U45" s="351">
        <f>IFERROR(__xludf.DUMMYFUNCTION("""COMPUTED_VALUE"""),"stop有:1回目 0.20")</f>
        <v/>
      </c>
      <c r="V45" s="351">
        <f>IFERROR(__xludf.DUMMYFUNCTION("""COMPUTED_VALUE"""),50.0)</f>
        <v/>
      </c>
      <c r="W45" s="351">
        <f>IFERROR(__xludf.DUMMYFUNCTION("""COMPUTED_VALUE"""),"-")</f>
        <v/>
      </c>
      <c r="X45" s="351">
        <f>IFERROR(__xludf.DUMMYFUNCTION("""COMPUTED_VALUE"""),"-")</f>
        <v/>
      </c>
      <c r="Y45" s="351" t="n"/>
      <c r="Z45" s="351">
        <f>IFERROR(__xludf.DUMMYFUNCTION("""COMPUTED_VALUE"""),"-")</f>
        <v/>
      </c>
      <c r="AA45" s="327" t="n"/>
      <c r="AB45" s="327">
        <f>IFERROR(__xludf.DUMMYFUNCTION("""COMPUTED_VALUE"""),"zangeki_1")</f>
        <v/>
      </c>
      <c r="AC45" s="327">
        <f>IFERROR(__xludf.DUMMYFUNCTION("""COMPUTED_VALUE"""),"100%の確率で、2秒間氷結状態を付与+自身に即死ダメージ")</f>
        <v/>
      </c>
    </row>
    <row r="46">
      <c r="A46" s="339" t="n"/>
      <c r="B46" s="17">
        <f>IFERROR(__xludf.DUMMYFUNCTION("""COMPUTED_VALUE"""),"enemy_mag_00101")</f>
        <v/>
      </c>
      <c r="C46" s="295">
        <f>IFERROR(__xludf.DUMMYFUNCTION("""COMPUTED_VALUE"""),"_mag1_advent")</f>
        <v/>
      </c>
      <c r="D46" s="295">
        <f>IFERROR(__xludf.DUMMYFUNCTION("""COMPUTED_VALUE"""),"e_mag_00101_mag1_advent_Normal_Green")</f>
        <v/>
      </c>
      <c r="E46" s="295">
        <f>IFERROR(__xludf.DUMMYFUNCTION("""COMPUTED_VALUE"""),"株式会社マジルミエ")</f>
        <v/>
      </c>
      <c r="F46" s="349">
        <f>IFERROR(__xludf.DUMMYFUNCTION("""COMPUTED_VALUE"""),"つらら")</f>
        <v/>
      </c>
      <c r="G46" s="349">
        <f>IFERROR(__xludf.DUMMYFUNCTION("""COMPUTED_VALUE"""),"つらら_mag1_advent")</f>
        <v/>
      </c>
      <c r="H46" s="17">
        <f>IFERROR(__xludf.DUMMYFUNCTION("""COMPUTED_VALUE"""),"Normal")</f>
        <v/>
      </c>
      <c r="I46" s="17">
        <f>IFERROR(__xludf.DUMMYFUNCTION("""COMPUTED_VALUE"""),"Technical")</f>
        <v/>
      </c>
      <c r="J46" s="17">
        <f>IFERROR(__xludf.DUMMYFUNCTION("""COMPUTED_VALUE"""),"Green")</f>
        <v/>
      </c>
      <c r="K46" s="17">
        <f>IFERROR(__xludf.DUMMYFUNCTION("""COMPUTED_VALUE"""),1000.0)</f>
        <v/>
      </c>
      <c r="L46" s="17">
        <f>IFERROR(__xludf.DUMMYFUNCTION("""COMPUTED_VALUE"""),1.0)</f>
        <v/>
      </c>
      <c r="M46" s="17">
        <f>IFERROR(__xludf.DUMMYFUNCTION("""COMPUTED_VALUE"""),80.0)</f>
        <v/>
      </c>
      <c r="N46" s="17">
        <f>IFERROR(__xludf.DUMMYFUNCTION("""COMPUTED_VALUE"""),0.11)</f>
        <v/>
      </c>
      <c r="O46" s="17">
        <f>IFERROR(__xludf.DUMMYFUNCTION("""COMPUTED_VALUE"""),400.0)</f>
        <v/>
      </c>
      <c r="P46" s="17">
        <f>IFERROR(__xludf.DUMMYFUNCTION("""COMPUTED_VALUE"""),0.0)</f>
        <v/>
      </c>
      <c r="Q46" s="17">
        <f>IFERROR(__xludf.DUMMYFUNCTION("""COMPUTED_VALUE"""),0.25)</f>
        <v/>
      </c>
      <c r="R46" s="17">
        <f>IFERROR(__xludf.DUMMYFUNCTION("""COMPUTED_VALUE"""),1.0)</f>
        <v/>
      </c>
      <c r="S46" s="17">
        <f>IFERROR(__xludf.DUMMYFUNCTION("""COMPUTED_VALUE"""),0.0)</f>
        <v/>
      </c>
      <c r="T46" s="350">
        <f>IFERROR(__xludf.DUMMYFUNCTION("""COMPUTED_VALUE"""),"0.37")</f>
        <v/>
      </c>
      <c r="U46" s="351">
        <f>IFERROR(__xludf.DUMMYFUNCTION("""COMPUTED_VALUE"""),"stop有:1回目 0.20")</f>
        <v/>
      </c>
      <c r="V46" s="351">
        <f>IFERROR(__xludf.DUMMYFUNCTION("""COMPUTED_VALUE"""),50.0)</f>
        <v/>
      </c>
      <c r="W46" s="351">
        <f>IFERROR(__xludf.DUMMYFUNCTION("""COMPUTED_VALUE"""),"-")</f>
        <v/>
      </c>
      <c r="X46" s="351">
        <f>IFERROR(__xludf.DUMMYFUNCTION("""COMPUTED_VALUE"""),"-")</f>
        <v/>
      </c>
      <c r="Y46" s="351" t="n"/>
      <c r="Z46" s="351">
        <f>IFERROR(__xludf.DUMMYFUNCTION("""COMPUTED_VALUE"""),"-")</f>
        <v/>
      </c>
      <c r="AA46" s="327" t="n"/>
      <c r="AB46" s="327">
        <f>IFERROR(__xludf.DUMMYFUNCTION("""COMPUTED_VALUE"""),"zangeki_1")</f>
        <v/>
      </c>
      <c r="AC46" s="327">
        <f>IFERROR(__xludf.DUMMYFUNCTION("""COMPUTED_VALUE"""),"100%の確率で、2秒間氷結状態を付与+自身に即死ダメージ")</f>
        <v/>
      </c>
    </row>
    <row r="47">
      <c r="A47" s="339" t="n"/>
      <c r="B47" s="17">
        <f>IFERROR(__xludf.DUMMYFUNCTION("""COMPUTED_VALUE"""),"enemy_mag_00301")</f>
        <v/>
      </c>
      <c r="C47" s="295">
        <f>IFERROR(__xludf.DUMMYFUNCTION("""COMPUTED_VALUE"""),"_mag1_advent")</f>
        <v/>
      </c>
      <c r="D47" s="295">
        <f>IFERROR(__xludf.DUMMYFUNCTION("""COMPUTED_VALUE"""),"e_mag_00301_mag1_advent_Normal_Blue")</f>
        <v/>
      </c>
      <c r="E47" s="295">
        <f>IFERROR(__xludf.DUMMYFUNCTION("""COMPUTED_VALUE"""),"株式会社マジルミエ")</f>
        <v/>
      </c>
      <c r="F47" s="349">
        <f>IFERROR(__xludf.DUMMYFUNCTION("""COMPUTED_VALUE"""),"建造物寄生型の怪異")</f>
        <v/>
      </c>
      <c r="G47" s="349">
        <f>IFERROR(__xludf.DUMMYFUNCTION("""COMPUTED_VALUE"""),"建造物寄生型の怪異（小）_mag1_advent")</f>
        <v/>
      </c>
      <c r="H47" s="17">
        <f>IFERROR(__xludf.DUMMYFUNCTION("""COMPUTED_VALUE"""),"Normal")</f>
        <v/>
      </c>
      <c r="I47" s="17">
        <f>IFERROR(__xludf.DUMMYFUNCTION("""COMPUTED_VALUE"""),"Attack")</f>
        <v/>
      </c>
      <c r="J47" s="17">
        <f>IFERROR(__xludf.DUMMYFUNCTION("""COMPUTED_VALUE"""),"Blue")</f>
        <v/>
      </c>
      <c r="K47" s="17">
        <f>IFERROR(__xludf.DUMMYFUNCTION("""COMPUTED_VALUE"""),10000.0)</f>
        <v/>
      </c>
      <c r="L47" s="17">
        <f>IFERROR(__xludf.DUMMYFUNCTION("""COMPUTED_VALUE"""),3.0)</f>
        <v/>
      </c>
      <c r="M47" s="17">
        <f>IFERROR(__xludf.DUMMYFUNCTION("""COMPUTED_VALUE"""),30.0)</f>
        <v/>
      </c>
      <c r="N47" s="17">
        <f>IFERROR(__xludf.DUMMYFUNCTION("""COMPUTED_VALUE"""),0.2)</f>
        <v/>
      </c>
      <c r="O47" s="17">
        <f>IFERROR(__xludf.DUMMYFUNCTION("""COMPUTED_VALUE"""),300.0)</f>
        <v/>
      </c>
      <c r="P47" s="17">
        <f>IFERROR(__xludf.DUMMYFUNCTION("""COMPUTED_VALUE"""),0.0)</f>
        <v/>
      </c>
      <c r="Q47" s="17">
        <f>IFERROR(__xludf.DUMMYFUNCTION("""COMPUTED_VALUE"""),0.21)</f>
        <v/>
      </c>
      <c r="R47" s="17">
        <f>IFERROR(__xludf.DUMMYFUNCTION("""COMPUTED_VALUE"""),1.0)</f>
        <v/>
      </c>
      <c r="S47" s="17">
        <f>IFERROR(__xludf.DUMMYFUNCTION("""COMPUTED_VALUE"""),100.0)</f>
        <v/>
      </c>
      <c r="T47" s="350">
        <f>IFERROR(__xludf.DUMMYFUNCTION("""COMPUTED_VALUE"""),"1.50")</f>
        <v/>
      </c>
      <c r="U47" s="351">
        <f>IFERROR(__xludf.DUMMYFUNCTION("""COMPUTED_VALUE"""),"0.74")</f>
        <v/>
      </c>
      <c r="V47" s="351">
        <f>IFERROR(__xludf.DUMMYFUNCTION("""COMPUTED_VALUE"""),75.0)</f>
        <v/>
      </c>
      <c r="W47" s="351">
        <f>IFERROR(__xludf.DUMMYFUNCTION("""COMPUTED_VALUE"""),"-")</f>
        <v/>
      </c>
      <c r="X47" s="351">
        <f>IFERROR(__xludf.DUMMYFUNCTION("""COMPUTED_VALUE"""),"-")</f>
        <v/>
      </c>
      <c r="Y47" s="351" t="n"/>
      <c r="Z47" s="351">
        <f>IFERROR(__xludf.DUMMYFUNCTION("""COMPUTED_VALUE"""),"-")</f>
        <v/>
      </c>
      <c r="AA47" s="327" t="n"/>
      <c r="AB47" s="327">
        <f>IFERROR(__xludf.DUMMYFUNCTION("""COMPUTED_VALUE"""),"dageki_2")</f>
        <v/>
      </c>
      <c r="AC47" s="327" t="n"/>
    </row>
    <row r="48">
      <c r="A48" s="339" t="n"/>
      <c r="B48" s="17">
        <f>IFERROR(__xludf.DUMMYFUNCTION("""COMPUTED_VALUE"""),"enemy_mag_00201")</f>
        <v/>
      </c>
      <c r="C48" s="295">
        <f>IFERROR(__xludf.DUMMYFUNCTION("""COMPUTED_VALUE"""),"_mag1_advent")</f>
        <v/>
      </c>
      <c r="D48" s="295">
        <f>IFERROR(__xludf.DUMMYFUNCTION("""COMPUTED_VALUE"""),"e_mag_00201_mag1_advent_Boss_Blue")</f>
        <v/>
      </c>
      <c r="E48" s="295">
        <f>IFERROR(__xludf.DUMMYFUNCTION("""COMPUTED_VALUE"""),"株式会社マジルミエ")</f>
        <v/>
      </c>
      <c r="F48" s="349">
        <f>IFERROR(__xludf.DUMMYFUNCTION("""COMPUTED_VALUE"""),"建造物寄生型の怪異 (大)")</f>
        <v/>
      </c>
      <c r="G48" s="349">
        <f>IFERROR(__xludf.DUMMYFUNCTION("""COMPUTED_VALUE"""),"建造物寄生型の怪異（大）_mag1_advent")</f>
        <v/>
      </c>
      <c r="H48" s="17">
        <f>IFERROR(__xludf.DUMMYFUNCTION("""COMPUTED_VALUE"""),"Boss")</f>
        <v/>
      </c>
      <c r="I48" s="17">
        <f>IFERROR(__xludf.DUMMYFUNCTION("""COMPUTED_VALUE"""),"Defense")</f>
        <v/>
      </c>
      <c r="J48" s="17">
        <f>IFERROR(__xludf.DUMMYFUNCTION("""COMPUTED_VALUE"""),"Blue")</f>
        <v/>
      </c>
      <c r="K48" s="17">
        <f>IFERROR(__xludf.DUMMYFUNCTION("""COMPUTED_VALUE"""),300000.0)</f>
        <v/>
      </c>
      <c r="L48" s="17">
        <f>IFERROR(__xludf.DUMMYFUNCTION("""COMPUTED_VALUE"""),3.0)</f>
        <v/>
      </c>
      <c r="M48" s="17">
        <f>IFERROR(__xludf.DUMMYFUNCTION("""COMPUTED_VALUE"""),25.0)</f>
        <v/>
      </c>
      <c r="N48" s="17">
        <f>IFERROR(__xludf.DUMMYFUNCTION("""COMPUTED_VALUE"""),0.17)</f>
        <v/>
      </c>
      <c r="O48" s="17">
        <f>IFERROR(__xludf.DUMMYFUNCTION("""COMPUTED_VALUE"""),500.0)</f>
        <v/>
      </c>
      <c r="P48" s="17">
        <f>IFERROR(__xludf.DUMMYFUNCTION("""COMPUTED_VALUE"""),0.0)</f>
        <v/>
      </c>
      <c r="Q48" s="17">
        <f>IFERROR(__xludf.DUMMYFUNCTION("""COMPUTED_VALUE"""),0.22)</f>
        <v/>
      </c>
      <c r="R48" s="17">
        <f>IFERROR(__xludf.DUMMYFUNCTION("""COMPUTED_VALUE"""),100.0)</f>
        <v/>
      </c>
      <c r="S48" s="17">
        <f>IFERROR(__xludf.DUMMYFUNCTION("""COMPUTED_VALUE"""),100.0)</f>
        <v/>
      </c>
      <c r="T48" s="350">
        <f>IFERROR(__xludf.DUMMYFUNCTION("""COMPUTED_VALUE"""),"1.50")</f>
        <v/>
      </c>
      <c r="U48" s="351">
        <f>IFERROR(__xludf.DUMMYFUNCTION("""COMPUTED_VALUE"""),"0.74")</f>
        <v/>
      </c>
      <c r="V48" s="351">
        <f>IFERROR(__xludf.DUMMYFUNCTION("""COMPUTED_VALUE"""),80.0)</f>
        <v/>
      </c>
      <c r="W48" s="351">
        <f>IFERROR(__xludf.DUMMYFUNCTION("""COMPUTED_VALUE"""),"-")</f>
        <v/>
      </c>
      <c r="X48" s="351">
        <f>IFERROR(__xludf.DUMMYFUNCTION("""COMPUTED_VALUE"""),"-")</f>
        <v/>
      </c>
      <c r="Y48" s="351" t="n"/>
      <c r="Z48" s="351">
        <f>IFERROR(__xludf.DUMMYFUNCTION("""COMPUTED_VALUE"""),"-")</f>
        <v/>
      </c>
      <c r="AA48" s="327" t="n"/>
      <c r="AB48" s="327">
        <f>IFERROR(__xludf.DUMMYFUNCTION("""COMPUTED_VALUE"""),"dageki_1")</f>
        <v/>
      </c>
      <c r="AC48" s="327" t="n"/>
    </row>
    <row r="49">
      <c r="A49" s="339" t="n"/>
      <c r="B49" s="17">
        <f>IFERROR(__xludf.DUMMYFUNCTION("""COMPUTED_VALUE"""),"enemy_mag_00201")</f>
        <v/>
      </c>
      <c r="C49" s="295">
        <f>IFERROR(__xludf.DUMMYFUNCTION("""COMPUTED_VALUE"""),"_mag1_advent")</f>
        <v/>
      </c>
      <c r="D49" s="295">
        <f>IFERROR(__xludf.DUMMYFUNCTION("""COMPUTED_VALUE"""),"e_mag_00201_mag1_advent_Boss_Yellow")</f>
        <v/>
      </c>
      <c r="E49" s="295">
        <f>IFERROR(__xludf.DUMMYFUNCTION("""COMPUTED_VALUE"""),"株式会社マジルミエ")</f>
        <v/>
      </c>
      <c r="F49" s="349">
        <f>IFERROR(__xludf.DUMMYFUNCTION("""COMPUTED_VALUE"""),"建造物寄生型の怪異 (大)")</f>
        <v/>
      </c>
      <c r="G49" s="349">
        <f>IFERROR(__xludf.DUMMYFUNCTION("""COMPUTED_VALUE"""),"建造物寄生型の怪異（大）_mag1_advent")</f>
        <v/>
      </c>
      <c r="H49" s="17">
        <f>IFERROR(__xludf.DUMMYFUNCTION("""COMPUTED_VALUE"""),"Boss")</f>
        <v/>
      </c>
      <c r="I49" s="17">
        <f>IFERROR(__xludf.DUMMYFUNCTION("""COMPUTED_VALUE"""),"Defense")</f>
        <v/>
      </c>
      <c r="J49" s="17">
        <f>IFERROR(__xludf.DUMMYFUNCTION("""COMPUTED_VALUE"""),"Yellow")</f>
        <v/>
      </c>
      <c r="K49" s="17">
        <f>IFERROR(__xludf.DUMMYFUNCTION("""COMPUTED_VALUE"""),300000.0)</f>
        <v/>
      </c>
      <c r="L49" s="17">
        <f>IFERROR(__xludf.DUMMYFUNCTION("""COMPUTED_VALUE"""),3.0)</f>
        <v/>
      </c>
      <c r="M49" s="17">
        <f>IFERROR(__xludf.DUMMYFUNCTION("""COMPUTED_VALUE"""),25.0)</f>
        <v/>
      </c>
      <c r="N49" s="17">
        <f>IFERROR(__xludf.DUMMYFUNCTION("""COMPUTED_VALUE"""),0.18)</f>
        <v/>
      </c>
      <c r="O49" s="17">
        <f>IFERROR(__xludf.DUMMYFUNCTION("""COMPUTED_VALUE"""),500.0)</f>
        <v/>
      </c>
      <c r="P49" s="17">
        <f>IFERROR(__xludf.DUMMYFUNCTION("""COMPUTED_VALUE"""),0.0)</f>
        <v/>
      </c>
      <c r="Q49" s="17">
        <f>IFERROR(__xludf.DUMMYFUNCTION("""COMPUTED_VALUE"""),0.23)</f>
        <v/>
      </c>
      <c r="R49" s="17">
        <f>IFERROR(__xludf.DUMMYFUNCTION("""COMPUTED_VALUE"""),100.0)</f>
        <v/>
      </c>
      <c r="S49" s="17">
        <f>IFERROR(__xludf.DUMMYFUNCTION("""COMPUTED_VALUE"""),100.0)</f>
        <v/>
      </c>
      <c r="T49" s="350">
        <f>IFERROR(__xludf.DUMMYFUNCTION("""COMPUTED_VALUE"""),"1.50")</f>
        <v/>
      </c>
      <c r="U49" s="351">
        <f>IFERROR(__xludf.DUMMYFUNCTION("""COMPUTED_VALUE"""),"0.74")</f>
        <v/>
      </c>
      <c r="V49" s="351">
        <f>IFERROR(__xludf.DUMMYFUNCTION("""COMPUTED_VALUE"""),80.0)</f>
        <v/>
      </c>
      <c r="W49" s="351">
        <f>IFERROR(__xludf.DUMMYFUNCTION("""COMPUTED_VALUE"""),"-")</f>
        <v/>
      </c>
      <c r="X49" s="351">
        <f>IFERROR(__xludf.DUMMYFUNCTION("""COMPUTED_VALUE"""),"-")</f>
        <v/>
      </c>
      <c r="Y49" s="351" t="n"/>
      <c r="Z49" s="351">
        <f>IFERROR(__xludf.DUMMYFUNCTION("""COMPUTED_VALUE"""),"-")</f>
        <v/>
      </c>
      <c r="AA49" s="327" t="n"/>
      <c r="AB49" s="327">
        <f>IFERROR(__xludf.DUMMYFUNCTION("""COMPUTED_VALUE"""),"dageki_1")</f>
        <v/>
      </c>
      <c r="AC49" s="327" t="n"/>
    </row>
    <row r="50">
      <c r="A50" s="339" t="n"/>
      <c r="B50" s="17">
        <f>IFERROR(__xludf.DUMMYFUNCTION("""COMPUTED_VALUE"""),"enemy_mag_00201")</f>
        <v/>
      </c>
      <c r="C50" s="295">
        <f>IFERROR(__xludf.DUMMYFUNCTION("""COMPUTED_VALUE"""),"_mag1_advent")</f>
        <v/>
      </c>
      <c r="D50" s="295">
        <f>IFERROR(__xludf.DUMMYFUNCTION("""COMPUTED_VALUE"""),"e_mag_00201_mag1_advent_Boss_Red")</f>
        <v/>
      </c>
      <c r="E50" s="295">
        <f>IFERROR(__xludf.DUMMYFUNCTION("""COMPUTED_VALUE"""),"株式会社マジルミエ")</f>
        <v/>
      </c>
      <c r="F50" s="349">
        <f>IFERROR(__xludf.DUMMYFUNCTION("""COMPUTED_VALUE"""),"建造物寄生型の怪異 (大)")</f>
        <v/>
      </c>
      <c r="G50" s="349">
        <f>IFERROR(__xludf.DUMMYFUNCTION("""COMPUTED_VALUE"""),"建造物寄生型の怪異（大）_mag1_advent")</f>
        <v/>
      </c>
      <c r="H50" s="17">
        <f>IFERROR(__xludf.DUMMYFUNCTION("""COMPUTED_VALUE"""),"Boss")</f>
        <v/>
      </c>
      <c r="I50" s="17">
        <f>IFERROR(__xludf.DUMMYFUNCTION("""COMPUTED_VALUE"""),"Defense")</f>
        <v/>
      </c>
      <c r="J50" s="17">
        <f>IFERROR(__xludf.DUMMYFUNCTION("""COMPUTED_VALUE"""),"Red")</f>
        <v/>
      </c>
      <c r="K50" s="17">
        <f>IFERROR(__xludf.DUMMYFUNCTION("""COMPUTED_VALUE"""),300000.0)</f>
        <v/>
      </c>
      <c r="L50" s="17">
        <f>IFERROR(__xludf.DUMMYFUNCTION("""COMPUTED_VALUE"""),3.0)</f>
        <v/>
      </c>
      <c r="M50" s="17">
        <f>IFERROR(__xludf.DUMMYFUNCTION("""COMPUTED_VALUE"""),25.0)</f>
        <v/>
      </c>
      <c r="N50" s="17">
        <f>IFERROR(__xludf.DUMMYFUNCTION("""COMPUTED_VALUE"""),0.19)</f>
        <v/>
      </c>
      <c r="O50" s="17">
        <f>IFERROR(__xludf.DUMMYFUNCTION("""COMPUTED_VALUE"""),500.0)</f>
        <v/>
      </c>
      <c r="P50" s="17">
        <f>IFERROR(__xludf.DUMMYFUNCTION("""COMPUTED_VALUE"""),0.0)</f>
        <v/>
      </c>
      <c r="Q50" s="17">
        <f>IFERROR(__xludf.DUMMYFUNCTION("""COMPUTED_VALUE"""),0.3)</f>
        <v/>
      </c>
      <c r="R50" s="17">
        <f>IFERROR(__xludf.DUMMYFUNCTION("""COMPUTED_VALUE"""),100.0)</f>
        <v/>
      </c>
      <c r="S50" s="17">
        <f>IFERROR(__xludf.DUMMYFUNCTION("""COMPUTED_VALUE"""),100.0)</f>
        <v/>
      </c>
      <c r="T50" s="350">
        <f>IFERROR(__xludf.DUMMYFUNCTION("""COMPUTED_VALUE"""),"1.50")</f>
        <v/>
      </c>
      <c r="U50" s="351">
        <f>IFERROR(__xludf.DUMMYFUNCTION("""COMPUTED_VALUE"""),"0.74")</f>
        <v/>
      </c>
      <c r="V50" s="351">
        <f>IFERROR(__xludf.DUMMYFUNCTION("""COMPUTED_VALUE"""),60.0)</f>
        <v/>
      </c>
      <c r="W50" s="351">
        <f>IFERROR(__xludf.DUMMYFUNCTION("""COMPUTED_VALUE"""),"-")</f>
        <v/>
      </c>
      <c r="X50" s="351">
        <f>IFERROR(__xludf.DUMMYFUNCTION("""COMPUTED_VALUE"""),"-")</f>
        <v/>
      </c>
      <c r="Y50" s="351" t="n"/>
      <c r="Z50" s="351">
        <f>IFERROR(__xludf.DUMMYFUNCTION("""COMPUTED_VALUE"""),"-")</f>
        <v/>
      </c>
      <c r="AA50" s="327" t="n"/>
      <c r="AB50" s="327">
        <f>IFERROR(__xludf.DUMMYFUNCTION("""COMPUTED_VALUE"""),"dageki_1")</f>
        <v/>
      </c>
      <c r="AC50" s="327" t="n"/>
    </row>
    <row r="51">
      <c r="A51" s="339" t="n"/>
      <c r="B51" s="17">
        <f>IFERROR(__xludf.DUMMYFUNCTION("""COMPUTED_VALUE"""),"enemy_mag_00401")</f>
        <v/>
      </c>
      <c r="C51" s="295">
        <f>IFERROR(__xludf.DUMMYFUNCTION("""COMPUTED_VALUE"""),"_mag1_advent")</f>
        <v/>
      </c>
      <c r="D51" s="295">
        <f>IFERROR(__xludf.DUMMYFUNCTION("""COMPUTED_VALUE"""),"e_mag_00401_mag1_advent_Boss_Colorless")</f>
        <v/>
      </c>
      <c r="E51" s="295">
        <f>IFERROR(__xludf.DUMMYFUNCTION("""COMPUTED_VALUE"""),"株式会社マジルミエ")</f>
        <v/>
      </c>
      <c r="F51" s="349">
        <f>IFERROR(__xludf.DUMMYFUNCTION("""COMPUTED_VALUE"""),"工事現場の怪異")</f>
        <v/>
      </c>
      <c r="G51" s="349">
        <f>IFERROR(__xludf.DUMMYFUNCTION("""COMPUTED_VALUE"""),"工事現場の怪異_mag1_advent")</f>
        <v/>
      </c>
      <c r="H51" s="17">
        <f>IFERROR(__xludf.DUMMYFUNCTION("""COMPUTED_VALUE"""),"Boss")</f>
        <v/>
      </c>
      <c r="I51" s="17">
        <f>IFERROR(__xludf.DUMMYFUNCTION("""COMPUTED_VALUE"""),"Defense")</f>
        <v/>
      </c>
      <c r="J51" s="17">
        <f>IFERROR(__xludf.DUMMYFUNCTION("""COMPUTED_VALUE"""),"Colorless")</f>
        <v/>
      </c>
      <c r="K51" s="17">
        <f>IFERROR(__xludf.DUMMYFUNCTION("""COMPUTED_VALUE"""),30000.0)</f>
        <v/>
      </c>
      <c r="L51" s="17">
        <f>IFERROR(__xludf.DUMMYFUNCTION("""COMPUTED_VALUE"""),3.0)</f>
        <v/>
      </c>
      <c r="M51" s="17">
        <f>IFERROR(__xludf.DUMMYFUNCTION("""COMPUTED_VALUE"""),30.0)</f>
        <v/>
      </c>
      <c r="N51" s="17">
        <f>IFERROR(__xludf.DUMMYFUNCTION("""COMPUTED_VALUE"""),0.17)</f>
        <v/>
      </c>
      <c r="O51" s="17">
        <f>IFERROR(__xludf.DUMMYFUNCTION("""COMPUTED_VALUE"""),400.0)</f>
        <v/>
      </c>
      <c r="P51" s="17">
        <f>IFERROR(__xludf.DUMMYFUNCTION("""COMPUTED_VALUE"""),0.0)</f>
        <v/>
      </c>
      <c r="Q51" s="17">
        <f>IFERROR(__xludf.DUMMYFUNCTION("""COMPUTED_VALUE"""),0.19)</f>
        <v/>
      </c>
      <c r="R51" s="17">
        <f>IFERROR(__xludf.DUMMYFUNCTION("""COMPUTED_VALUE"""),1.0)</f>
        <v/>
      </c>
      <c r="S51" s="17">
        <f>IFERROR(__xludf.DUMMYFUNCTION("""COMPUTED_VALUE"""),400.0)</f>
        <v/>
      </c>
      <c r="T51" s="350">
        <f>IFERROR(__xludf.DUMMYFUNCTION("""COMPUTED_VALUE"""),"1.67")</f>
        <v/>
      </c>
      <c r="U51" s="351">
        <f>IFERROR(__xludf.DUMMYFUNCTION("""COMPUTED_VALUE"""),"stop有:0.84")</f>
        <v/>
      </c>
      <c r="V51" s="351">
        <f>IFERROR(__xludf.DUMMYFUNCTION("""COMPUTED_VALUE"""),50.0)</f>
        <v/>
      </c>
      <c r="W51" s="351">
        <f>IFERROR(__xludf.DUMMYFUNCTION("""COMPUTED_VALUE"""),"-")</f>
        <v/>
      </c>
      <c r="X51" s="351">
        <f>IFERROR(__xludf.DUMMYFUNCTION("""COMPUTED_VALUE"""),"-")</f>
        <v/>
      </c>
      <c r="Y51" s="351" t="n"/>
      <c r="Z51" s="351">
        <f>IFERROR(__xludf.DUMMYFUNCTION("""COMPUTED_VALUE"""),"-")</f>
        <v/>
      </c>
      <c r="AA51" s="327" t="n"/>
      <c r="AB51" s="327" t="n"/>
      <c r="AC51" s="327" t="n"/>
    </row>
    <row r="52">
      <c r="A52" s="339" t="n"/>
      <c r="B52" s="17">
        <f>IFERROR(__xludf.DUMMYFUNCTION("""COMPUTED_VALUE"""),"enemy_mag_00401")</f>
        <v/>
      </c>
      <c r="C52" s="295">
        <f>IFERROR(__xludf.DUMMYFUNCTION("""COMPUTED_VALUE"""),"_mag1_advent")</f>
        <v/>
      </c>
      <c r="D52" s="295">
        <f>IFERROR(__xludf.DUMMYFUNCTION("""COMPUTED_VALUE"""),"e_mag_00401_mag1_advent_Boss_Green")</f>
        <v/>
      </c>
      <c r="E52" s="295">
        <f>IFERROR(__xludf.DUMMYFUNCTION("""COMPUTED_VALUE"""),"株式会社マジルミエ")</f>
        <v/>
      </c>
      <c r="F52" s="349">
        <f>IFERROR(__xludf.DUMMYFUNCTION("""COMPUTED_VALUE"""),"工事現場の怪異")</f>
        <v/>
      </c>
      <c r="G52" s="349">
        <f>IFERROR(__xludf.DUMMYFUNCTION("""COMPUTED_VALUE"""),"工事現場の怪異_mag1_advent")</f>
        <v/>
      </c>
      <c r="H52" s="17">
        <f>IFERROR(__xludf.DUMMYFUNCTION("""COMPUTED_VALUE"""),"Boss")</f>
        <v/>
      </c>
      <c r="I52" s="17">
        <f>IFERROR(__xludf.DUMMYFUNCTION("""COMPUTED_VALUE"""),"Defense")</f>
        <v/>
      </c>
      <c r="J52" s="17">
        <f>IFERROR(__xludf.DUMMYFUNCTION("""COMPUTED_VALUE"""),"Green")</f>
        <v/>
      </c>
      <c r="K52" s="17">
        <f>IFERROR(__xludf.DUMMYFUNCTION("""COMPUTED_VALUE"""),30000.0)</f>
        <v/>
      </c>
      <c r="L52" s="17">
        <f>IFERROR(__xludf.DUMMYFUNCTION("""COMPUTED_VALUE"""),3.0)</f>
        <v/>
      </c>
      <c r="M52" s="17">
        <f>IFERROR(__xludf.DUMMYFUNCTION("""COMPUTED_VALUE"""),30.0)</f>
        <v/>
      </c>
      <c r="N52" s="17">
        <f>IFERROR(__xludf.DUMMYFUNCTION("""COMPUTED_VALUE"""),0.17)</f>
        <v/>
      </c>
      <c r="O52" s="17">
        <f>IFERROR(__xludf.DUMMYFUNCTION("""COMPUTED_VALUE"""),400.0)</f>
        <v/>
      </c>
      <c r="P52" s="17">
        <f>IFERROR(__xludf.DUMMYFUNCTION("""COMPUTED_VALUE"""),0.0)</f>
        <v/>
      </c>
      <c r="Q52" s="17">
        <f>IFERROR(__xludf.DUMMYFUNCTION("""COMPUTED_VALUE"""),0.19)</f>
        <v/>
      </c>
      <c r="R52" s="17">
        <f>IFERROR(__xludf.DUMMYFUNCTION("""COMPUTED_VALUE"""),1.0)</f>
        <v/>
      </c>
      <c r="S52" s="17">
        <f>IFERROR(__xludf.DUMMYFUNCTION("""COMPUTED_VALUE"""),400.0)</f>
        <v/>
      </c>
      <c r="T52" s="350">
        <f>IFERROR(__xludf.DUMMYFUNCTION("""COMPUTED_VALUE"""),"1.67")</f>
        <v/>
      </c>
      <c r="U52" s="351">
        <f>IFERROR(__xludf.DUMMYFUNCTION("""COMPUTED_VALUE"""),"stop有:0.84")</f>
        <v/>
      </c>
      <c r="V52" s="351">
        <f>IFERROR(__xludf.DUMMYFUNCTION("""COMPUTED_VALUE"""),50.0)</f>
        <v/>
      </c>
      <c r="W52" s="351">
        <f>IFERROR(__xludf.DUMMYFUNCTION("""COMPUTED_VALUE"""),"-")</f>
        <v/>
      </c>
      <c r="X52" s="351">
        <f>IFERROR(__xludf.DUMMYFUNCTION("""COMPUTED_VALUE"""),"-")</f>
        <v/>
      </c>
      <c r="Y52" s="351" t="n"/>
      <c r="Z52" s="351">
        <f>IFERROR(__xludf.DUMMYFUNCTION("""COMPUTED_VALUE"""),"-")</f>
        <v/>
      </c>
      <c r="AA52" s="327" t="n"/>
      <c r="AB52" s="327" t="n"/>
      <c r="AC52" s="327" t="n"/>
    </row>
    <row r="53">
      <c r="A53" s="339" t="n"/>
      <c r="B53" s="17">
        <f>IFERROR(__xludf.DUMMYFUNCTION("""COMPUTED_VALUE"""),"enemy_mag_00001")</f>
        <v/>
      </c>
      <c r="C53" s="295">
        <f>IFERROR(__xludf.DUMMYFUNCTION("""COMPUTED_VALUE"""),"_mag1_advent")</f>
        <v/>
      </c>
      <c r="D53" s="295">
        <f>IFERROR(__xludf.DUMMYFUNCTION("""COMPUTED_VALUE"""),"e_mag_00001_mag1_advent_Boss_Green")</f>
        <v/>
      </c>
      <c r="E53" s="295">
        <f>IFERROR(__xludf.DUMMYFUNCTION("""COMPUTED_VALUE"""),"株式会社マジルミエ")</f>
        <v/>
      </c>
      <c r="F53" s="349">
        <f>IFERROR(__xludf.DUMMYFUNCTION("""COMPUTED_VALUE"""),"冷却系怪異")</f>
        <v/>
      </c>
      <c r="G53" s="349">
        <f>IFERROR(__xludf.DUMMYFUNCTION("""COMPUTED_VALUE"""),"冷却系の怪異_mag1_advent")</f>
        <v/>
      </c>
      <c r="H53" s="17">
        <f>IFERROR(__xludf.DUMMYFUNCTION("""COMPUTED_VALUE"""),"Boss")</f>
        <v/>
      </c>
      <c r="I53" s="17">
        <f>IFERROR(__xludf.DUMMYFUNCTION("""COMPUTED_VALUE"""),"Technical")</f>
        <v/>
      </c>
      <c r="J53" s="17">
        <f>IFERROR(__xludf.DUMMYFUNCTION("""COMPUTED_VALUE"""),"Green")</f>
        <v/>
      </c>
      <c r="K53" s="17">
        <f>IFERROR(__xludf.DUMMYFUNCTION("""COMPUTED_VALUE"""),100000.0)</f>
        <v/>
      </c>
      <c r="L53" s="17">
        <f>IFERROR(__xludf.DUMMYFUNCTION("""COMPUTED_VALUE"""),2.0)</f>
        <v/>
      </c>
      <c r="M53" s="17">
        <f>IFERROR(__xludf.DUMMYFUNCTION("""COMPUTED_VALUE"""),25.0)</f>
        <v/>
      </c>
      <c r="N53" s="17">
        <f>IFERROR(__xludf.DUMMYFUNCTION("""COMPUTED_VALUE"""),0.2)</f>
        <v/>
      </c>
      <c r="O53" s="17">
        <f>IFERROR(__xludf.DUMMYFUNCTION("""COMPUTED_VALUE"""),300.0)</f>
        <v/>
      </c>
      <c r="P53" s="17">
        <f>IFERROR(__xludf.DUMMYFUNCTION("""COMPUTED_VALUE"""),0.0)</f>
        <v/>
      </c>
      <c r="Q53" s="17">
        <f>IFERROR(__xludf.DUMMYFUNCTION("""COMPUTED_VALUE"""),0.25)</f>
        <v/>
      </c>
      <c r="R53" s="17">
        <f>IFERROR(__xludf.DUMMYFUNCTION("""COMPUTED_VALUE"""),1.0)</f>
        <v/>
      </c>
      <c r="S53" s="17">
        <f>IFERROR(__xludf.DUMMYFUNCTION("""COMPUTED_VALUE"""),200.0)</f>
        <v/>
      </c>
      <c r="T53" s="350">
        <f>IFERROR(__xludf.DUMMYFUNCTION("""COMPUTED_VALUE"""),"1.50")</f>
        <v/>
      </c>
      <c r="U53" s="351">
        <f>IFERROR(__xludf.DUMMYFUNCTION("""COMPUTED_VALUE"""),"0.80")</f>
        <v/>
      </c>
      <c r="V53" s="351">
        <f>IFERROR(__xludf.DUMMYFUNCTION("""COMPUTED_VALUE"""),200.0)</f>
        <v/>
      </c>
      <c r="W53" s="351">
        <f>IFERROR(__xludf.DUMMYFUNCTION("""COMPUTED_VALUE"""),"-")</f>
        <v/>
      </c>
      <c r="X53" s="351">
        <f>IFERROR(__xludf.DUMMYFUNCTION("""COMPUTED_VALUE"""),"-")</f>
        <v/>
      </c>
      <c r="Y53" s="351" t="n"/>
      <c r="Z53" s="351">
        <f>IFERROR(__xludf.DUMMYFUNCTION("""COMPUTED_VALUE"""),"-")</f>
        <v/>
      </c>
      <c r="AA53" s="327" t="n"/>
      <c r="AB53" s="327">
        <f>IFERROR(__xludf.DUMMYFUNCTION("""COMPUTED_VALUE"""),"shageki_1")</f>
        <v/>
      </c>
      <c r="AC53" s="327" t="n"/>
    </row>
    <row r="54">
      <c r="A54" s="339" t="n"/>
      <c r="B54" s="17">
        <f>IFERROR(__xludf.DUMMYFUNCTION("""COMPUTED_VALUE"""),"enemy_mag_00301")</f>
        <v/>
      </c>
      <c r="C54" s="295">
        <f>IFERROR(__xludf.DUMMYFUNCTION("""COMPUTED_VALUE"""),"_siget")</f>
        <v/>
      </c>
      <c r="D54" s="295">
        <f>IFERROR(__xludf.DUMMYFUNCTION("""COMPUTED_VALUE"""),"e_mag_00301_siget_Normal_Colorless")</f>
        <v/>
      </c>
      <c r="E54" s="295">
        <f>IFERROR(__xludf.DUMMYFUNCTION("""COMPUTED_VALUE"""),"株式会社マジルミエ")</f>
        <v/>
      </c>
      <c r="F54" s="349">
        <f>IFERROR(__xludf.DUMMYFUNCTION("""COMPUTED_VALUE"""),"建造物寄生型の怪異")</f>
        <v/>
      </c>
      <c r="G54" s="349">
        <f>IFERROR(__xludf.DUMMYFUNCTION("""COMPUTED_VALUE"""),"建造物寄生型の怪異（小）_siget")</f>
        <v/>
      </c>
      <c r="H54" s="17">
        <f>IFERROR(__xludf.DUMMYFUNCTION("""COMPUTED_VALUE"""),"Normal")</f>
        <v/>
      </c>
      <c r="I54" s="17">
        <f>IFERROR(__xludf.DUMMYFUNCTION("""COMPUTED_VALUE"""),"Attack")</f>
        <v/>
      </c>
      <c r="J54" s="17">
        <f>IFERROR(__xludf.DUMMYFUNCTION("""COMPUTED_VALUE"""),"Colorless")</f>
        <v/>
      </c>
      <c r="K54" s="17">
        <f>IFERROR(__xludf.DUMMYFUNCTION("""COMPUTED_VALUE"""),10000.0)</f>
        <v/>
      </c>
      <c r="L54" s="17">
        <f>IFERROR(__xludf.DUMMYFUNCTION("""COMPUTED_VALUE"""),3.0)</f>
        <v/>
      </c>
      <c r="M54" s="17">
        <f>IFERROR(__xludf.DUMMYFUNCTION("""COMPUTED_VALUE"""),30.0)</f>
        <v/>
      </c>
      <c r="N54" s="17">
        <f>IFERROR(__xludf.DUMMYFUNCTION("""COMPUTED_VALUE"""),0.2)</f>
        <v/>
      </c>
      <c r="O54" s="17">
        <f>IFERROR(__xludf.DUMMYFUNCTION("""COMPUTED_VALUE"""),300.0)</f>
        <v/>
      </c>
      <c r="P54" s="17">
        <f>IFERROR(__xludf.DUMMYFUNCTION("""COMPUTED_VALUE"""),0.0)</f>
        <v/>
      </c>
      <c r="Q54" s="17">
        <f>IFERROR(__xludf.DUMMYFUNCTION("""COMPUTED_VALUE"""),0.21)</f>
        <v/>
      </c>
      <c r="R54" s="17">
        <f>IFERROR(__xludf.DUMMYFUNCTION("""COMPUTED_VALUE"""),1.0)</f>
        <v/>
      </c>
      <c r="S54" s="17">
        <f>IFERROR(__xludf.DUMMYFUNCTION("""COMPUTED_VALUE"""),100.0)</f>
        <v/>
      </c>
      <c r="T54" s="350">
        <f>IFERROR(__xludf.DUMMYFUNCTION("""COMPUTED_VALUE"""),"1.50")</f>
        <v/>
      </c>
      <c r="U54" s="351">
        <f>IFERROR(__xludf.DUMMYFUNCTION("""COMPUTED_VALUE"""),"0.74")</f>
        <v/>
      </c>
      <c r="V54" s="351">
        <f>IFERROR(__xludf.DUMMYFUNCTION("""COMPUTED_VALUE"""),75.0)</f>
        <v/>
      </c>
      <c r="W54" s="351">
        <f>IFERROR(__xludf.DUMMYFUNCTION("""COMPUTED_VALUE"""),"-")</f>
        <v/>
      </c>
      <c r="X54" s="351">
        <f>IFERROR(__xludf.DUMMYFUNCTION("""COMPUTED_VALUE"""),"-")</f>
        <v/>
      </c>
      <c r="Y54" s="351" t="n"/>
      <c r="Z54" s="351">
        <f>IFERROR(__xludf.DUMMYFUNCTION("""COMPUTED_VALUE"""),"-")</f>
        <v/>
      </c>
      <c r="AA54" s="327" t="n"/>
      <c r="AB54" s="327">
        <f>IFERROR(__xludf.DUMMYFUNCTION("""COMPUTED_VALUE"""),"dageki_2")</f>
        <v/>
      </c>
      <c r="AC54" s="327" t="n"/>
    </row>
    <row r="55">
      <c r="A55" s="339" t="n"/>
      <c r="B55" s="17">
        <f>IFERROR(__xludf.DUMMYFUNCTION("""COMPUTED_VALUE"""),"enemy_mag_00301")</f>
        <v/>
      </c>
      <c r="C55" s="295">
        <f>IFERROR(__xludf.DUMMYFUNCTION("""COMPUTED_VALUE"""),"_siget")</f>
        <v/>
      </c>
      <c r="D55" s="295">
        <f>IFERROR(__xludf.DUMMYFUNCTION("""COMPUTED_VALUE"""),"e_mag_00301_siget_Normal_Yellow")</f>
        <v/>
      </c>
      <c r="E55" s="295">
        <f>IFERROR(__xludf.DUMMYFUNCTION("""COMPUTED_VALUE"""),"株式会社マジルミエ")</f>
        <v/>
      </c>
      <c r="F55" s="349">
        <f>IFERROR(__xludf.DUMMYFUNCTION("""COMPUTED_VALUE"""),"建造物寄生型の怪異")</f>
        <v/>
      </c>
      <c r="G55" s="349">
        <f>IFERROR(__xludf.DUMMYFUNCTION("""COMPUTED_VALUE"""),"建造物寄生型の怪異（小）_siget")</f>
        <v/>
      </c>
      <c r="H55" s="17">
        <f>IFERROR(__xludf.DUMMYFUNCTION("""COMPUTED_VALUE"""),"Normal")</f>
        <v/>
      </c>
      <c r="I55" s="17">
        <f>IFERROR(__xludf.DUMMYFUNCTION("""COMPUTED_VALUE"""),"Attack")</f>
        <v/>
      </c>
      <c r="J55" s="17">
        <f>IFERROR(__xludf.DUMMYFUNCTION("""COMPUTED_VALUE"""),"Yellow")</f>
        <v/>
      </c>
      <c r="K55" s="17">
        <f>IFERROR(__xludf.DUMMYFUNCTION("""COMPUTED_VALUE"""),10000.0)</f>
        <v/>
      </c>
      <c r="L55" s="17">
        <f>IFERROR(__xludf.DUMMYFUNCTION("""COMPUTED_VALUE"""),3.0)</f>
        <v/>
      </c>
      <c r="M55" s="17">
        <f>IFERROR(__xludf.DUMMYFUNCTION("""COMPUTED_VALUE"""),30.0)</f>
        <v/>
      </c>
      <c r="N55" s="17">
        <f>IFERROR(__xludf.DUMMYFUNCTION("""COMPUTED_VALUE"""),0.2)</f>
        <v/>
      </c>
      <c r="O55" s="17">
        <f>IFERROR(__xludf.DUMMYFUNCTION("""COMPUTED_VALUE"""),300.0)</f>
        <v/>
      </c>
      <c r="P55" s="17">
        <f>IFERROR(__xludf.DUMMYFUNCTION("""COMPUTED_VALUE"""),0.0)</f>
        <v/>
      </c>
      <c r="Q55" s="17">
        <f>IFERROR(__xludf.DUMMYFUNCTION("""COMPUTED_VALUE"""),0.21)</f>
        <v/>
      </c>
      <c r="R55" s="17">
        <f>IFERROR(__xludf.DUMMYFUNCTION("""COMPUTED_VALUE"""),1.0)</f>
        <v/>
      </c>
      <c r="S55" s="17">
        <f>IFERROR(__xludf.DUMMYFUNCTION("""COMPUTED_VALUE"""),100.0)</f>
        <v/>
      </c>
      <c r="T55" s="350">
        <f>IFERROR(__xludf.DUMMYFUNCTION("""COMPUTED_VALUE"""),"1.50")</f>
        <v/>
      </c>
      <c r="U55" s="351">
        <f>IFERROR(__xludf.DUMMYFUNCTION("""COMPUTED_VALUE"""),"0.74")</f>
        <v/>
      </c>
      <c r="V55" s="351">
        <f>IFERROR(__xludf.DUMMYFUNCTION("""COMPUTED_VALUE"""),50.0)</f>
        <v/>
      </c>
      <c r="W55" s="351">
        <f>IFERROR(__xludf.DUMMYFUNCTION("""COMPUTED_VALUE"""),"-")</f>
        <v/>
      </c>
      <c r="X55" s="351">
        <f>IFERROR(__xludf.DUMMYFUNCTION("""COMPUTED_VALUE"""),"-")</f>
        <v/>
      </c>
      <c r="Y55" s="351" t="n"/>
      <c r="Z55" s="351">
        <f>IFERROR(__xludf.DUMMYFUNCTION("""COMPUTED_VALUE"""),"-")</f>
        <v/>
      </c>
      <c r="AA55" s="327" t="n"/>
      <c r="AB55" s="327">
        <f>IFERROR(__xludf.DUMMYFUNCTION("""COMPUTED_VALUE"""),"dageki_2")</f>
        <v/>
      </c>
      <c r="AC55" s="327" t="n"/>
    </row>
    <row r="56">
      <c r="A56" s="339" t="n"/>
      <c r="B56" s="17">
        <f>IFERROR(__xludf.DUMMYFUNCTION("""COMPUTED_VALUE"""),"enemy_mag_00301")</f>
        <v/>
      </c>
      <c r="C56" s="295">
        <f>IFERROR(__xludf.DUMMYFUNCTION("""COMPUTED_VALUE"""),"_aknget")</f>
        <v/>
      </c>
      <c r="D56" s="295">
        <f>IFERROR(__xludf.DUMMYFUNCTION("""COMPUTED_VALUE"""),"e_mag_00301_aknget_Normal_Green")</f>
        <v/>
      </c>
      <c r="E56" s="295">
        <f>IFERROR(__xludf.DUMMYFUNCTION("""COMPUTED_VALUE"""),"株式会社マジルミエ")</f>
        <v/>
      </c>
      <c r="F56" s="349">
        <f>IFERROR(__xludf.DUMMYFUNCTION("""COMPUTED_VALUE"""),"建造物寄生型の怪異")</f>
        <v/>
      </c>
      <c r="G56" s="349">
        <f>IFERROR(__xludf.DUMMYFUNCTION("""COMPUTED_VALUE"""),"建造物寄生型の怪異（小）_aknget")</f>
        <v/>
      </c>
      <c r="H56" s="17">
        <f>IFERROR(__xludf.DUMMYFUNCTION("""COMPUTED_VALUE"""),"Normal")</f>
        <v/>
      </c>
      <c r="I56" s="17">
        <f>IFERROR(__xludf.DUMMYFUNCTION("""COMPUTED_VALUE"""),"Attack")</f>
        <v/>
      </c>
      <c r="J56" s="17">
        <f>IFERROR(__xludf.DUMMYFUNCTION("""COMPUTED_VALUE"""),"Green")</f>
        <v/>
      </c>
      <c r="K56" s="17">
        <f>IFERROR(__xludf.DUMMYFUNCTION("""COMPUTED_VALUE"""),10000.0)</f>
        <v/>
      </c>
      <c r="L56" s="17">
        <f>IFERROR(__xludf.DUMMYFUNCTION("""COMPUTED_VALUE"""),3.0)</f>
        <v/>
      </c>
      <c r="M56" s="17">
        <f>IFERROR(__xludf.DUMMYFUNCTION("""COMPUTED_VALUE"""),30.0)</f>
        <v/>
      </c>
      <c r="N56" s="17">
        <f>IFERROR(__xludf.DUMMYFUNCTION("""COMPUTED_VALUE"""),0.2)</f>
        <v/>
      </c>
      <c r="O56" s="17">
        <f>IFERROR(__xludf.DUMMYFUNCTION("""COMPUTED_VALUE"""),300.0)</f>
        <v/>
      </c>
      <c r="P56" s="17">
        <f>IFERROR(__xludf.DUMMYFUNCTION("""COMPUTED_VALUE"""),0.0)</f>
        <v/>
      </c>
      <c r="Q56" s="17">
        <f>IFERROR(__xludf.DUMMYFUNCTION("""COMPUTED_VALUE"""),0.21)</f>
        <v/>
      </c>
      <c r="R56" s="17">
        <f>IFERROR(__xludf.DUMMYFUNCTION("""COMPUTED_VALUE"""),1.0)</f>
        <v/>
      </c>
      <c r="S56" s="17">
        <f>IFERROR(__xludf.DUMMYFUNCTION("""COMPUTED_VALUE"""),100.0)</f>
        <v/>
      </c>
      <c r="T56" s="350">
        <f>IFERROR(__xludf.DUMMYFUNCTION("""COMPUTED_VALUE"""),"1.50")</f>
        <v/>
      </c>
      <c r="U56" s="351">
        <f>IFERROR(__xludf.DUMMYFUNCTION("""COMPUTED_VALUE"""),"0.74")</f>
        <v/>
      </c>
      <c r="V56" s="351">
        <f>IFERROR(__xludf.DUMMYFUNCTION("""COMPUTED_VALUE"""),50.0)</f>
        <v/>
      </c>
      <c r="W56" s="351">
        <f>IFERROR(__xludf.DUMMYFUNCTION("""COMPUTED_VALUE"""),"-")</f>
        <v/>
      </c>
      <c r="X56" s="351">
        <f>IFERROR(__xludf.DUMMYFUNCTION("""COMPUTED_VALUE"""),"-")</f>
        <v/>
      </c>
      <c r="Y56" s="351" t="n"/>
      <c r="Z56" s="351">
        <f>IFERROR(__xludf.DUMMYFUNCTION("""COMPUTED_VALUE"""),"-")</f>
        <v/>
      </c>
      <c r="AA56" s="327" t="n"/>
      <c r="AB56" s="327">
        <f>IFERROR(__xludf.DUMMYFUNCTION("""COMPUTED_VALUE"""),"dageki_2")</f>
        <v/>
      </c>
      <c r="AC56" s="327" t="n"/>
    </row>
    <row r="57">
      <c r="A57" s="339" t="n"/>
      <c r="B57" s="17">
        <f>IFERROR(__xludf.DUMMYFUNCTION("""COMPUTED_VALUE"""),"enemy_mag_00301")</f>
        <v/>
      </c>
      <c r="C57" s="295">
        <f>IFERROR(__xludf.DUMMYFUNCTION("""COMPUTED_VALUE"""),"_challange")</f>
        <v/>
      </c>
      <c r="D57" s="295">
        <f>IFERROR(__xludf.DUMMYFUNCTION("""COMPUTED_VALUE"""),"e_mag_00301_challange_Normal_Red")</f>
        <v/>
      </c>
      <c r="E57" s="295">
        <f>IFERROR(__xludf.DUMMYFUNCTION("""COMPUTED_VALUE"""),"株式会社マジルミエ")</f>
        <v/>
      </c>
      <c r="F57" s="349">
        <f>IFERROR(__xludf.DUMMYFUNCTION("""COMPUTED_VALUE"""),"建造物寄生型の怪異")</f>
        <v/>
      </c>
      <c r="G57" s="349">
        <f>IFERROR(__xludf.DUMMYFUNCTION("""COMPUTED_VALUE"""),"建造物寄生型の怪異（小）_challange")</f>
        <v/>
      </c>
      <c r="H57" s="17">
        <f>IFERROR(__xludf.DUMMYFUNCTION("""COMPUTED_VALUE"""),"Normal")</f>
        <v/>
      </c>
      <c r="I57" s="17">
        <f>IFERROR(__xludf.DUMMYFUNCTION("""COMPUTED_VALUE"""),"Attack")</f>
        <v/>
      </c>
      <c r="J57" s="17">
        <f>IFERROR(__xludf.DUMMYFUNCTION("""COMPUTED_VALUE"""),"Red")</f>
        <v/>
      </c>
      <c r="K57" s="17">
        <f>IFERROR(__xludf.DUMMYFUNCTION("""COMPUTED_VALUE"""),10000.0)</f>
        <v/>
      </c>
      <c r="L57" s="17">
        <f>IFERROR(__xludf.DUMMYFUNCTION("""COMPUTED_VALUE"""),3.0)</f>
        <v/>
      </c>
      <c r="M57" s="17">
        <f>IFERROR(__xludf.DUMMYFUNCTION("""COMPUTED_VALUE"""),30.0)</f>
        <v/>
      </c>
      <c r="N57" s="17">
        <f>IFERROR(__xludf.DUMMYFUNCTION("""COMPUTED_VALUE"""),0.2)</f>
        <v/>
      </c>
      <c r="O57" s="17">
        <f>IFERROR(__xludf.DUMMYFUNCTION("""COMPUTED_VALUE"""),300.0)</f>
        <v/>
      </c>
      <c r="P57" s="17">
        <f>IFERROR(__xludf.DUMMYFUNCTION("""COMPUTED_VALUE"""),0.0)</f>
        <v/>
      </c>
      <c r="Q57" s="17">
        <f>IFERROR(__xludf.DUMMYFUNCTION("""COMPUTED_VALUE"""),0.21)</f>
        <v/>
      </c>
      <c r="R57" s="17">
        <f>IFERROR(__xludf.DUMMYFUNCTION("""COMPUTED_VALUE"""),1.0)</f>
        <v/>
      </c>
      <c r="S57" s="17">
        <f>IFERROR(__xludf.DUMMYFUNCTION("""COMPUTED_VALUE"""),100.0)</f>
        <v/>
      </c>
      <c r="T57" s="350">
        <f>IFERROR(__xludf.DUMMYFUNCTION("""COMPUTED_VALUE"""),"1.50")</f>
        <v/>
      </c>
      <c r="U57" s="351">
        <f>IFERROR(__xludf.DUMMYFUNCTION("""COMPUTED_VALUE"""),"0.74")</f>
        <v/>
      </c>
      <c r="V57" s="351">
        <f>IFERROR(__xludf.DUMMYFUNCTION("""COMPUTED_VALUE"""),75.0)</f>
        <v/>
      </c>
      <c r="W57" s="351">
        <f>IFERROR(__xludf.DUMMYFUNCTION("""COMPUTED_VALUE"""),"-")</f>
        <v/>
      </c>
      <c r="X57" s="351">
        <f>IFERROR(__xludf.DUMMYFUNCTION("""COMPUTED_VALUE"""),"-")</f>
        <v/>
      </c>
      <c r="Y57" s="351" t="n"/>
      <c r="Z57" s="351">
        <f>IFERROR(__xludf.DUMMYFUNCTION("""COMPUTED_VALUE"""),"-")</f>
        <v/>
      </c>
      <c r="AA57" s="327" t="n"/>
      <c r="AB57" s="327">
        <f>IFERROR(__xludf.DUMMYFUNCTION("""COMPUTED_VALUE"""),"dageki_2")</f>
        <v/>
      </c>
      <c r="AC57" s="327" t="n"/>
    </row>
    <row r="58">
      <c r="A58" s="339" t="n"/>
      <c r="B58" s="17" t="n"/>
      <c r="C58" s="295" t="n"/>
      <c r="D58" s="295">
        <f>IFERROR(__xludf.DUMMYFUNCTION("""COMPUTED_VALUE"""),"___")</f>
        <v/>
      </c>
      <c r="E58" s="295">
        <f>IFERROR(__xludf.DUMMYFUNCTION("""COMPUTED_VALUE"""),"none")</f>
        <v/>
      </c>
      <c r="F58" s="349">
        <f>IFERROR(__xludf.DUMMYFUNCTION("""COMPUTED_VALUE"""),"none")</f>
        <v/>
      </c>
      <c r="G58" s="349">
        <f>IFERROR(__xludf.DUMMYFUNCTION("""COMPUTED_VALUE"""),"none")</f>
        <v/>
      </c>
      <c r="H58" s="17" t="n"/>
      <c r="I58" s="17">
        <f>IFERROR(__xludf.DUMMYFUNCTION("""COMPUTED_VALUE"""),"none")</f>
        <v/>
      </c>
      <c r="J58" s="17" t="n"/>
      <c r="K58" s="17" t="n"/>
      <c r="L58" s="17" t="n"/>
      <c r="M58" s="17" t="n"/>
      <c r="N58" s="17" t="n"/>
      <c r="O58" s="17" t="n"/>
      <c r="P58" s="17" t="n"/>
      <c r="Q58" s="17" t="n"/>
      <c r="R58" s="17" t="n"/>
      <c r="S58" s="17" t="n"/>
      <c r="T58" s="350">
        <f>IFERROR(__xludf.DUMMYFUNCTION("""COMPUTED_VALUE"""),"none")</f>
        <v/>
      </c>
      <c r="U58" s="351">
        <f>IFERROR(__xludf.DUMMYFUNCTION("""COMPUTED_VALUE"""),"none")</f>
        <v/>
      </c>
      <c r="V58" s="351" t="n"/>
      <c r="W58" s="351">
        <f>IFERROR(__xludf.DUMMYFUNCTION("""COMPUTED_VALUE"""),"none")</f>
        <v/>
      </c>
      <c r="X58" s="351">
        <f>IFERROR(__xludf.DUMMYFUNCTION("""COMPUTED_VALUE"""),"none")</f>
        <v/>
      </c>
      <c r="Y58" s="351" t="n"/>
      <c r="Z58" s="351">
        <f>IFERROR(__xludf.DUMMYFUNCTION("""COMPUTED_VALUE"""),"-")</f>
        <v/>
      </c>
      <c r="AA58" s="327" t="n"/>
      <c r="AB58" s="327">
        <f>IFERROR(__xludf.DUMMYFUNCTION("""COMPUTED_VALUE"""),"none")</f>
        <v/>
      </c>
      <c r="AC58" s="327" t="n"/>
    </row>
    <row r="59">
      <c r="A59" s="339" t="n"/>
      <c r="B59" s="17">
        <f>IFERROR(__xludf.DUMMYFUNCTION("""COMPUTED_VALUE"""),"chara_yuw_00001")</f>
        <v/>
      </c>
      <c r="C59" s="295">
        <f>IFERROR(__xludf.DUMMYFUNCTION("""COMPUTED_VALUE"""),"raid_00001")</f>
        <v/>
      </c>
      <c r="D59" s="295">
        <f>IFERROR(__xludf.DUMMYFUNCTION("""COMPUTED_VALUE"""),"c_yuw_00001raid_00001_Boss_Green")</f>
        <v/>
      </c>
      <c r="E59" s="295">
        <f>IFERROR(__xludf.DUMMYFUNCTION("""COMPUTED_VALUE"""),"2.5次元の誘惑")</f>
        <v/>
      </c>
      <c r="F59" s="349">
        <f>IFERROR(__xludf.DUMMYFUNCTION("""COMPUTED_VALUE"""),"リリエルに捧ぐ愛 天乃 リリサ")</f>
        <v/>
      </c>
      <c r="G59" s="349">
        <f>IFERROR(__xludf.DUMMYFUNCTION("""COMPUTED_VALUE"""),"リリエルに捧ぐ愛 天乃 リリサraid_00001")</f>
        <v/>
      </c>
      <c r="H59" s="17">
        <f>IFERROR(__xludf.DUMMYFUNCTION("""COMPUTED_VALUE"""),"Boss")</f>
        <v/>
      </c>
      <c r="I59" s="17">
        <f>IFERROR(__xludf.DUMMYFUNCTION("""COMPUTED_VALUE"""),"Attack")</f>
        <v/>
      </c>
      <c r="J59" s="17">
        <f>IFERROR(__xludf.DUMMYFUNCTION("""COMPUTED_VALUE"""),"Green")</f>
        <v/>
      </c>
      <c r="K59" s="17">
        <f>IFERROR(__xludf.DUMMYFUNCTION("""COMPUTED_VALUE"""),10000.0)</f>
        <v/>
      </c>
      <c r="L59" s="17">
        <f>IFERROR(__xludf.DUMMYFUNCTION("""COMPUTED_VALUE"""),3.0)</f>
        <v/>
      </c>
      <c r="M59" s="17">
        <f>IFERROR(__xludf.DUMMYFUNCTION("""COMPUTED_VALUE"""),34.0)</f>
        <v/>
      </c>
      <c r="N59" s="17">
        <f>IFERROR(__xludf.DUMMYFUNCTION("""COMPUTED_VALUE"""),0.24)</f>
        <v/>
      </c>
      <c r="O59" s="17">
        <f>IFERROR(__xludf.DUMMYFUNCTION("""COMPUTED_VALUE"""),100.0)</f>
        <v/>
      </c>
      <c r="P59" s="17" t="n"/>
      <c r="Q59" s="17" t="n"/>
      <c r="R59" s="17" t="n"/>
      <c r="S59" s="17">
        <f>IFERROR(__xludf.DUMMYFUNCTION("""COMPUTED_VALUE"""),100.0)</f>
        <v/>
      </c>
      <c r="T59" s="350">
        <f>IFERROR(__xludf.DUMMYFUNCTION("""COMPUTED_VALUE"""),"1.54")</f>
        <v/>
      </c>
      <c r="U59" s="351">
        <f>IFERROR(__xludf.DUMMYFUNCTION("""COMPUTED_VALUE"""),"0.50")</f>
        <v/>
      </c>
      <c r="V59" s="351" t="n"/>
      <c r="W59" s="351">
        <f>IFERROR(__xludf.DUMMYFUNCTION("""COMPUTED_VALUE"""),"3.67")</f>
        <v/>
      </c>
      <c r="X59" s="351">
        <f>IFERROR(__xludf.DUMMYFUNCTION("""COMPUTED_VALUE"""),"2.44")</f>
        <v/>
      </c>
      <c r="Y59" s="351" t="n"/>
      <c r="Z59" s="351">
        <f>IFERROR(__xludf.DUMMYFUNCTION("""COMPUTED_VALUE"""),5.0)</f>
        <v/>
      </c>
      <c r="AA59" s="327" t="n"/>
      <c r="AB59" s="327">
        <f>IFERROR(__xludf.DUMMYFUNCTION("""COMPUTED_VALUE"""),"dageki_2")</f>
        <v/>
      </c>
      <c r="AC59" s="327" t="n"/>
    </row>
    <row r="60">
      <c r="A60" s="339" t="n"/>
      <c r="B60" s="17">
        <f>IFERROR(__xludf.DUMMYFUNCTION("""COMPUTED_VALUE"""),"chara_yuw_00101")</f>
        <v/>
      </c>
      <c r="C60" s="295">
        <f>IFERROR(__xludf.DUMMYFUNCTION("""COMPUTED_VALUE"""),"raid_00001")</f>
        <v/>
      </c>
      <c r="D60" s="295">
        <f>IFERROR(__xludf.DUMMYFUNCTION("""COMPUTED_VALUE"""),"c_yuw_00101raid_00001_Boss_Green")</f>
        <v/>
      </c>
      <c r="E60" s="295">
        <f>IFERROR(__xludf.DUMMYFUNCTION("""COMPUTED_VALUE"""),"2.5次元の誘惑")</f>
        <v/>
      </c>
      <c r="F60" s="349">
        <f>IFERROR(__xludf.DUMMYFUNCTION("""COMPUTED_VALUE"""),"コスプレに託す乙女心 橘 美花莉")</f>
        <v/>
      </c>
      <c r="G60" s="349">
        <f>IFERROR(__xludf.DUMMYFUNCTION("""COMPUTED_VALUE"""),"コスプレに託す乙女心 橘 美花莉raid_00001")</f>
        <v/>
      </c>
      <c r="H60" s="17">
        <f>IFERROR(__xludf.DUMMYFUNCTION("""COMPUTED_VALUE"""),"Boss")</f>
        <v/>
      </c>
      <c r="I60" s="17">
        <f>IFERROR(__xludf.DUMMYFUNCTION("""COMPUTED_VALUE"""),"Technical")</f>
        <v/>
      </c>
      <c r="J60" s="17">
        <f>IFERROR(__xludf.DUMMYFUNCTION("""COMPUTED_VALUE"""),"Green")</f>
        <v/>
      </c>
      <c r="K60" s="17">
        <f>IFERROR(__xludf.DUMMYFUNCTION("""COMPUTED_VALUE"""),10000.0)</f>
        <v/>
      </c>
      <c r="L60" s="17">
        <f>IFERROR(__xludf.DUMMYFUNCTION("""COMPUTED_VALUE"""),2.0)</f>
        <v/>
      </c>
      <c r="M60" s="17">
        <f>IFERROR(__xludf.DUMMYFUNCTION("""COMPUTED_VALUE"""),29.0)</f>
        <v/>
      </c>
      <c r="N60" s="17">
        <f>IFERROR(__xludf.DUMMYFUNCTION("""COMPUTED_VALUE"""),0.25)</f>
        <v/>
      </c>
      <c r="O60" s="17">
        <f>IFERROR(__xludf.DUMMYFUNCTION("""COMPUTED_VALUE"""),100.0)</f>
        <v/>
      </c>
      <c r="P60" s="17" t="n"/>
      <c r="Q60" s="17" t="n"/>
      <c r="R60" s="17" t="n"/>
      <c r="S60" s="17">
        <f>IFERROR(__xludf.DUMMYFUNCTION("""COMPUTED_VALUE"""),100.0)</f>
        <v/>
      </c>
      <c r="T60" s="350">
        <f>IFERROR(__xludf.DUMMYFUNCTION("""COMPUTED_VALUE"""),"1.50")</f>
        <v/>
      </c>
      <c r="U60" s="351">
        <f>IFERROR(__xludf.DUMMYFUNCTION("""COMPUTED_VALUE"""),"stop無:1回目 0.45
stop無:2回目 0.55
stop無:3回目 0.67
stop無:4回目 0.77
stop無:5回目 0.90
stop無:6回目 0.95")</f>
        <v/>
      </c>
      <c r="V60" s="351" t="n"/>
      <c r="W60" s="351">
        <f>IFERROR(__xludf.DUMMYFUNCTION("""COMPUTED_VALUE"""),"3.50")</f>
        <v/>
      </c>
      <c r="X60" s="351">
        <f>IFERROR(__xludf.DUMMYFUNCTION("""COMPUTED_VALUE"""),"stop無: 1回目 3.20")</f>
        <v/>
      </c>
      <c r="Y60" s="351" t="n"/>
      <c r="Z60" s="351">
        <f>IFERROR(__xludf.DUMMYFUNCTION("""COMPUTED_VALUE"""),3.0)</f>
        <v/>
      </c>
      <c r="AA60" s="327" t="n"/>
      <c r="AB60" s="327">
        <f>IFERROR(__xludf.DUMMYFUNCTION("""COMPUTED_VALUE"""),"dageki_1")</f>
        <v/>
      </c>
      <c r="AC60" s="327" t="n"/>
    </row>
    <row r="61">
      <c r="A61" s="339" t="n"/>
      <c r="B61" s="17">
        <f>IFERROR(__xludf.DUMMYFUNCTION("""COMPUTED_VALUE"""),"chara_yuw_00201")</f>
        <v/>
      </c>
      <c r="C61" s="295">
        <f>IFERROR(__xludf.DUMMYFUNCTION("""COMPUTED_VALUE"""),"raid_00001")</f>
        <v/>
      </c>
      <c r="D61" s="295">
        <f>IFERROR(__xludf.DUMMYFUNCTION("""COMPUTED_VALUE"""),"c_yuw_00201raid_00001_Normal_Green")</f>
        <v/>
      </c>
      <c r="E61" s="295">
        <f>IFERROR(__xludf.DUMMYFUNCTION("""COMPUTED_VALUE"""),"2.5次元の誘惑")</f>
        <v/>
      </c>
      <c r="F61" s="349">
        <f>IFERROR(__xludf.DUMMYFUNCTION("""COMPUTED_VALUE"""),"羽生 まゆり")</f>
        <v/>
      </c>
      <c r="G61" s="349">
        <f>IFERROR(__xludf.DUMMYFUNCTION("""COMPUTED_VALUE"""),"羽生 まゆりraid_00001")</f>
        <v/>
      </c>
      <c r="H61" s="17">
        <f>IFERROR(__xludf.DUMMYFUNCTION("""COMPUTED_VALUE"""),"Normal")</f>
        <v/>
      </c>
      <c r="I61" s="17">
        <f>IFERROR(__xludf.DUMMYFUNCTION("""COMPUTED_VALUE"""),"Technical")</f>
        <v/>
      </c>
      <c r="J61" s="17">
        <f>IFERROR(__xludf.DUMMYFUNCTION("""COMPUTED_VALUE"""),"Green")</f>
        <v/>
      </c>
      <c r="K61" s="17">
        <f>IFERROR(__xludf.DUMMYFUNCTION("""COMPUTED_VALUE"""),1000.0)</f>
        <v/>
      </c>
      <c r="L61" s="17">
        <f>IFERROR(__xludf.DUMMYFUNCTION("""COMPUTED_VALUE"""),3.0)</f>
        <v/>
      </c>
      <c r="M61" s="17">
        <f>IFERROR(__xludf.DUMMYFUNCTION("""COMPUTED_VALUE"""),27.0)</f>
        <v/>
      </c>
      <c r="N61" s="17">
        <f>IFERROR(__xludf.DUMMYFUNCTION("""COMPUTED_VALUE"""),0.26)</f>
        <v/>
      </c>
      <c r="O61" s="17">
        <f>IFERROR(__xludf.DUMMYFUNCTION("""COMPUTED_VALUE"""),100.0)</f>
        <v/>
      </c>
      <c r="P61" s="17" t="n"/>
      <c r="Q61" s="17" t="n"/>
      <c r="R61" s="17" t="n"/>
      <c r="S61" s="17">
        <f>IFERROR(__xludf.DUMMYFUNCTION("""COMPUTED_VALUE"""),100.0)</f>
        <v/>
      </c>
      <c r="T61" s="350">
        <f>IFERROR(__xludf.DUMMYFUNCTION("""COMPUTED_VALUE"""),"1.06")</f>
        <v/>
      </c>
      <c r="U61" s="351">
        <f>IFERROR(__xludf.DUMMYFUNCTION("""COMPUTED_VALUE"""),"0.34")</f>
        <v/>
      </c>
      <c r="V61" s="351" t="n"/>
      <c r="W61" s="351">
        <f>IFERROR(__xludf.DUMMYFUNCTION("""COMPUTED_VALUE"""),"4.67")</f>
        <v/>
      </c>
      <c r="X61" s="351">
        <f>IFERROR(__xludf.DUMMYFUNCTION("""COMPUTED_VALUE"""),"3.50")</f>
        <v/>
      </c>
      <c r="Y61" s="351" t="n"/>
      <c r="Z61" s="351">
        <f>IFERROR(__xludf.DUMMYFUNCTION("""COMPUTED_VALUE"""),3.0)</f>
        <v/>
      </c>
      <c r="AA61" s="327" t="n"/>
      <c r="AB61" s="327">
        <f>IFERROR(__xludf.DUMMYFUNCTION("""COMPUTED_VALUE"""),"dageki_2")</f>
        <v/>
      </c>
      <c r="AC61" s="327" t="n"/>
    </row>
    <row r="62">
      <c r="A62" s="339" t="n"/>
      <c r="B62" s="17">
        <f>IFERROR(__xludf.DUMMYFUNCTION("""COMPUTED_VALUE"""),"chara_yuw_00301")</f>
        <v/>
      </c>
      <c r="C62" s="295">
        <f>IFERROR(__xludf.DUMMYFUNCTION("""COMPUTED_VALUE"""),"raid_00001")</f>
        <v/>
      </c>
      <c r="D62" s="295">
        <f>IFERROR(__xludf.DUMMYFUNCTION("""COMPUTED_VALUE"""),"c_yuw_00301raid_00001_Boss_Red")</f>
        <v/>
      </c>
      <c r="E62" s="295">
        <f>IFERROR(__xludf.DUMMYFUNCTION("""COMPUTED_VALUE"""),"2.5次元の誘惑")</f>
        <v/>
      </c>
      <c r="F62" s="349">
        <f>IFERROR(__xludf.DUMMYFUNCTION("""COMPUTED_VALUE"""),"勇気を纏うコスプレ 乃愛")</f>
        <v/>
      </c>
      <c r="G62" s="349">
        <f>IFERROR(__xludf.DUMMYFUNCTION("""COMPUTED_VALUE"""),"勇気を纏うコスプレ 乃愛raid_00001")</f>
        <v/>
      </c>
      <c r="H62" s="17">
        <f>IFERROR(__xludf.DUMMYFUNCTION("""COMPUTED_VALUE"""),"Boss")</f>
        <v/>
      </c>
      <c r="I62" s="17">
        <f>IFERROR(__xludf.DUMMYFUNCTION("""COMPUTED_VALUE"""),"Technical")</f>
        <v/>
      </c>
      <c r="J62" s="17">
        <f>IFERROR(__xludf.DUMMYFUNCTION("""COMPUTED_VALUE"""),"Red")</f>
        <v/>
      </c>
      <c r="K62" s="17">
        <f>IFERROR(__xludf.DUMMYFUNCTION("""COMPUTED_VALUE"""),10000.0)</f>
        <v/>
      </c>
      <c r="L62" s="17">
        <f>IFERROR(__xludf.DUMMYFUNCTION("""COMPUTED_VALUE"""),3.0)</f>
        <v/>
      </c>
      <c r="M62" s="17">
        <f>IFERROR(__xludf.DUMMYFUNCTION("""COMPUTED_VALUE"""),29.0)</f>
        <v/>
      </c>
      <c r="N62" s="17">
        <f>IFERROR(__xludf.DUMMYFUNCTION("""COMPUTED_VALUE"""),0.26)</f>
        <v/>
      </c>
      <c r="O62" s="17">
        <f>IFERROR(__xludf.DUMMYFUNCTION("""COMPUTED_VALUE"""),100.0)</f>
        <v/>
      </c>
      <c r="P62" s="17" t="n"/>
      <c r="Q62" s="17" t="n"/>
      <c r="R62" s="17" t="n"/>
      <c r="S62" s="17">
        <f>IFERROR(__xludf.DUMMYFUNCTION("""COMPUTED_VALUE"""),100.0)</f>
        <v/>
      </c>
      <c r="T62" s="350">
        <f>IFERROR(__xludf.DUMMYFUNCTION("""COMPUTED_VALUE"""),"1.57")</f>
        <v/>
      </c>
      <c r="U62" s="351">
        <f>IFERROR(__xludf.DUMMYFUNCTION("""COMPUTED_VALUE"""),"stop無:1回目 0.50
stop無:2回目 1.00")</f>
        <v/>
      </c>
      <c r="V62" s="351" t="n"/>
      <c r="W62" s="351">
        <f>IFERROR(__xludf.DUMMYFUNCTION("""COMPUTED_VALUE"""),"3.50")</f>
        <v/>
      </c>
      <c r="X62" s="351">
        <f>IFERROR(__xludf.DUMMYFUNCTION("""COMPUTED_VALUE"""),"stop無: 1回目 3.20")</f>
        <v/>
      </c>
      <c r="Y62" s="351">
        <f>IFERROR(__xludf.DUMMYFUNCTION("""COMPUTED_VALUE"""),"20秒間自身の攻撃100%UP")</f>
        <v/>
      </c>
      <c r="Z62" s="351">
        <f>IFERROR(__xludf.DUMMYFUNCTION("""COMPUTED_VALUE"""),4.0)</f>
        <v/>
      </c>
      <c r="AA62" s="327" t="n"/>
      <c r="AB62" s="327">
        <f>IFERROR(__xludf.DUMMYFUNCTION("""COMPUTED_VALUE"""),"dageki_2")</f>
        <v/>
      </c>
      <c r="AC62" s="327">
        <f>IFERROR(__xludf.DUMMYFUNCTION("""COMPUTED_VALUE"""),"通常攻撃50%の確率で6秒間3000の火傷")</f>
        <v/>
      </c>
    </row>
    <row r="63">
      <c r="A63" s="339" t="n"/>
      <c r="B63" s="17">
        <f>IFERROR(__xludf.DUMMYFUNCTION("""COMPUTED_VALUE"""),"chara_yuw_00401")</f>
        <v/>
      </c>
      <c r="C63" s="295">
        <f>IFERROR(__xludf.DUMMYFUNCTION("""COMPUTED_VALUE"""),"raid_00001")</f>
        <v/>
      </c>
      <c r="D63" s="295">
        <f>IFERROR(__xludf.DUMMYFUNCTION("""COMPUTED_VALUE"""),"c_yuw_00401raid_00001_Boss_Red")</f>
        <v/>
      </c>
      <c r="E63" s="295">
        <f>IFERROR(__xludf.DUMMYFUNCTION("""COMPUTED_VALUE"""),"2.5次元の誘惑")</f>
        <v/>
      </c>
      <c r="F63" s="349">
        <f>IFERROR(__xludf.DUMMYFUNCTION("""COMPUTED_VALUE"""),"伝えたいウチの想い　喜咲 アリア")</f>
        <v/>
      </c>
      <c r="G63" s="349">
        <f>IFERROR(__xludf.DUMMYFUNCTION("""COMPUTED_VALUE"""),"伝えたいウチの想い　喜咲 アリアraid_00001")</f>
        <v/>
      </c>
      <c r="H63" s="17">
        <f>IFERROR(__xludf.DUMMYFUNCTION("""COMPUTED_VALUE"""),"Boss")</f>
        <v/>
      </c>
      <c r="I63" s="17">
        <f>IFERROR(__xludf.DUMMYFUNCTION("""COMPUTED_VALUE"""),"Defense")</f>
        <v/>
      </c>
      <c r="J63" s="17">
        <f>IFERROR(__xludf.DUMMYFUNCTION("""COMPUTED_VALUE"""),"Red")</f>
        <v/>
      </c>
      <c r="K63" s="17">
        <f>IFERROR(__xludf.DUMMYFUNCTION("""COMPUTED_VALUE"""),10000.0)</f>
        <v/>
      </c>
      <c r="L63" s="17">
        <f>IFERROR(__xludf.DUMMYFUNCTION("""COMPUTED_VALUE"""),2.0)</f>
        <v/>
      </c>
      <c r="M63" s="17">
        <f>IFERROR(__xludf.DUMMYFUNCTION("""COMPUTED_VALUE"""),30.0)</f>
        <v/>
      </c>
      <c r="N63" s="17">
        <f>IFERROR(__xludf.DUMMYFUNCTION("""COMPUTED_VALUE"""),0.17)</f>
        <v/>
      </c>
      <c r="O63" s="17">
        <f>IFERROR(__xludf.DUMMYFUNCTION("""COMPUTED_VALUE"""),100.0)</f>
        <v/>
      </c>
      <c r="P63" s="17" t="n"/>
      <c r="Q63" s="17" t="n"/>
      <c r="R63" s="17" t="n"/>
      <c r="S63" s="17">
        <f>IFERROR(__xludf.DUMMYFUNCTION("""COMPUTED_VALUE"""),100.0)</f>
        <v/>
      </c>
      <c r="T63" s="350">
        <f>IFERROR(__xludf.DUMMYFUNCTION("""COMPUTED_VALUE"""),"1.17")</f>
        <v/>
      </c>
      <c r="U63" s="351">
        <f>IFERROR(__xludf.DUMMYFUNCTION("""COMPUTED_VALUE"""),"0.34")</f>
        <v/>
      </c>
      <c r="V63" s="351" t="n"/>
      <c r="W63" s="351">
        <f>IFERROR(__xludf.DUMMYFUNCTION("""COMPUTED_VALUE"""),"2.67")</f>
        <v/>
      </c>
      <c r="X63" s="351">
        <f>IFERROR(__xludf.DUMMYFUNCTION("""COMPUTED_VALUE"""),"1.64")</f>
        <v/>
      </c>
      <c r="Y63" s="351" t="n"/>
      <c r="Z63" s="351">
        <f>IFERROR(__xludf.DUMMYFUNCTION("""COMPUTED_VALUE"""),6.0)</f>
        <v/>
      </c>
      <c r="AA63" s="327" t="n"/>
      <c r="AB63" s="327">
        <f>IFERROR(__xludf.DUMMYFUNCTION("""COMPUTED_VALUE"""),"dageki_2")</f>
        <v/>
      </c>
      <c r="AC63" s="327" t="n"/>
    </row>
    <row r="64">
      <c r="A64" s="339" t="n"/>
      <c r="B64" s="17">
        <f>IFERROR(__xludf.DUMMYFUNCTION("""COMPUTED_VALUE"""),"chara_yuw_00501")</f>
        <v/>
      </c>
      <c r="C64" s="295">
        <f>IFERROR(__xludf.DUMMYFUNCTION("""COMPUTED_VALUE"""),"raid_00001")</f>
        <v/>
      </c>
      <c r="D64" s="295">
        <f>IFERROR(__xludf.DUMMYFUNCTION("""COMPUTED_VALUE"""),"c_yuw_00501raid_00001_Boss_Green")</f>
        <v/>
      </c>
      <c r="E64" s="295">
        <f>IFERROR(__xludf.DUMMYFUNCTION("""COMPUTED_VALUE"""),"2.5次元の誘惑")</f>
        <v/>
      </c>
      <c r="F64" s="349">
        <f>IFERROR(__xludf.DUMMYFUNCTION("""COMPUTED_VALUE"""),"753♡")</f>
        <v/>
      </c>
      <c r="G64" s="349">
        <f>IFERROR(__xludf.DUMMYFUNCTION("""COMPUTED_VALUE"""),"753♡raid_00001")</f>
        <v/>
      </c>
      <c r="H64" s="17">
        <f>IFERROR(__xludf.DUMMYFUNCTION("""COMPUTED_VALUE"""),"Boss")</f>
        <v/>
      </c>
      <c r="I64" s="17">
        <f>IFERROR(__xludf.DUMMYFUNCTION("""COMPUTED_VALUE"""),"Attack")</f>
        <v/>
      </c>
      <c r="J64" s="17">
        <f>IFERROR(__xludf.DUMMYFUNCTION("""COMPUTED_VALUE"""),"Green")</f>
        <v/>
      </c>
      <c r="K64" s="17">
        <f>IFERROR(__xludf.DUMMYFUNCTION("""COMPUTED_VALUE"""),10000.0)</f>
        <v/>
      </c>
      <c r="L64" s="17">
        <f>IFERROR(__xludf.DUMMYFUNCTION("""COMPUTED_VALUE"""),2.0)</f>
        <v/>
      </c>
      <c r="M64" s="17">
        <f>IFERROR(__xludf.DUMMYFUNCTION("""COMPUTED_VALUE"""),28.0)</f>
        <v/>
      </c>
      <c r="N64" s="17">
        <f>IFERROR(__xludf.DUMMYFUNCTION("""COMPUTED_VALUE"""),0.3)</f>
        <v/>
      </c>
      <c r="O64" s="17">
        <f>IFERROR(__xludf.DUMMYFUNCTION("""COMPUTED_VALUE"""),100.0)</f>
        <v/>
      </c>
      <c r="P64" s="17" t="n"/>
      <c r="Q64" s="17" t="n"/>
      <c r="R64" s="17" t="n"/>
      <c r="S64" s="17">
        <f>IFERROR(__xludf.DUMMYFUNCTION("""COMPUTED_VALUE"""),100.0)</f>
        <v/>
      </c>
      <c r="T64" s="350">
        <f>IFERROR(__xludf.DUMMYFUNCTION("""COMPUTED_VALUE"""),"1.24")</f>
        <v/>
      </c>
      <c r="U64" s="351">
        <f>IFERROR(__xludf.DUMMYFUNCTION("""COMPUTED_VALUE"""),"stop有:1回目 0.43")</f>
        <v/>
      </c>
      <c r="V64" s="351" t="n"/>
      <c r="W64" s="351">
        <f>IFERROR(__xludf.DUMMYFUNCTION("""COMPUTED_VALUE"""),"2.17")</f>
        <v/>
      </c>
      <c r="X64" s="351">
        <f>IFERROR(__xludf.DUMMYFUNCTION("""COMPUTED_VALUE"""),"stop無: 1回目 1.50")</f>
        <v/>
      </c>
      <c r="Y64" s="351">
        <f>IFERROR(__xludf.DUMMYFUNCTION("""COMPUTED_VALUE"""),"10秒間自身の攻撃50%UP")</f>
        <v/>
      </c>
      <c r="Z64" s="351">
        <f>IFERROR(__xludf.DUMMYFUNCTION("""COMPUTED_VALUE"""),4.0)</f>
        <v/>
      </c>
      <c r="AA64" s="327" t="n"/>
      <c r="AB64" s="327">
        <f>IFERROR(__xludf.DUMMYFUNCTION("""COMPUTED_VALUE"""),"dageki_2")</f>
        <v/>
      </c>
      <c r="AC64" s="327" t="n"/>
    </row>
    <row r="65">
      <c r="A65" s="339" t="n"/>
      <c r="B65" s="17">
        <f>IFERROR(__xludf.DUMMYFUNCTION("""COMPUTED_VALUE"""),"chara_yuw_00601")</f>
        <v/>
      </c>
      <c r="C65" s="295">
        <f>IFERROR(__xludf.DUMMYFUNCTION("""COMPUTED_VALUE"""),"raid_00001")</f>
        <v/>
      </c>
      <c r="D65" s="295">
        <f>IFERROR(__xludf.DUMMYFUNCTION("""COMPUTED_VALUE"""),"c_yuw_00601raid_00001_Normal_Colorless")</f>
        <v/>
      </c>
      <c r="E65" s="295">
        <f>IFERROR(__xludf.DUMMYFUNCTION("""COMPUTED_VALUE"""),"2.5次元の誘惑")</f>
        <v/>
      </c>
      <c r="F65" s="349">
        <f>IFERROR(__xludf.DUMMYFUNCTION("""COMPUTED_VALUE"""),"奥村 正宗")</f>
        <v/>
      </c>
      <c r="G65" s="349">
        <f>IFERROR(__xludf.DUMMYFUNCTION("""COMPUTED_VALUE"""),"奥村 正宗raid_00001")</f>
        <v/>
      </c>
      <c r="H65" s="17">
        <f>IFERROR(__xludf.DUMMYFUNCTION("""COMPUTED_VALUE"""),"Normal")</f>
        <v/>
      </c>
      <c r="I65" s="17">
        <f>IFERROR(__xludf.DUMMYFUNCTION("""COMPUTED_VALUE"""),"Defense")</f>
        <v/>
      </c>
      <c r="J65" s="17">
        <f>IFERROR(__xludf.DUMMYFUNCTION("""COMPUTED_VALUE"""),"Colorless")</f>
        <v/>
      </c>
      <c r="K65" s="17">
        <f>IFERROR(__xludf.DUMMYFUNCTION("""COMPUTED_VALUE"""),10000.0)</f>
        <v/>
      </c>
      <c r="L65" s="17">
        <f>IFERROR(__xludf.DUMMYFUNCTION("""COMPUTED_VALUE"""),3.0)</f>
        <v/>
      </c>
      <c r="M65" s="17">
        <f>IFERROR(__xludf.DUMMYFUNCTION("""COMPUTED_VALUE"""),25.0)</f>
        <v/>
      </c>
      <c r="N65" s="17">
        <f>IFERROR(__xludf.DUMMYFUNCTION("""COMPUTED_VALUE"""),0.19)</f>
        <v/>
      </c>
      <c r="O65" s="17">
        <f>IFERROR(__xludf.DUMMYFUNCTION("""COMPUTED_VALUE"""),100.0)</f>
        <v/>
      </c>
      <c r="P65" s="17" t="n"/>
      <c r="Q65" s="17" t="n"/>
      <c r="R65" s="17">
        <f>IFERROR(__xludf.DUMMYFUNCTION("""COMPUTED_VALUE"""),1.0)</f>
        <v/>
      </c>
      <c r="S65" s="17">
        <f>IFERROR(__xludf.DUMMYFUNCTION("""COMPUTED_VALUE"""),100.0)</f>
        <v/>
      </c>
      <c r="T65" s="350">
        <f>IFERROR(__xludf.DUMMYFUNCTION("""COMPUTED_VALUE"""),"1.20")</f>
        <v/>
      </c>
      <c r="U65" s="351">
        <f>IFERROR(__xludf.DUMMYFUNCTION("""COMPUTED_VALUE"""),"0.67")</f>
        <v/>
      </c>
      <c r="V65" s="351" t="n"/>
      <c r="W65" s="351">
        <f>IFERROR(__xludf.DUMMYFUNCTION("""COMPUTED_VALUE"""),"1.84")</f>
        <v/>
      </c>
      <c r="X65" s="351">
        <f>IFERROR(__xludf.DUMMYFUNCTION("""COMPUTED_VALUE"""),"stop無: 1回目 0.68")</f>
        <v/>
      </c>
      <c r="Y65" s="351">
        <f>IFERROR(__xludf.DUMMYFUNCTION("""COMPUTED_VALUE"""),"自身に10秒間ダメージカット10%")</f>
        <v/>
      </c>
      <c r="Z65" s="351">
        <f>IFERROR(__xludf.DUMMYFUNCTION("""COMPUTED_VALUE"""),4.0)</f>
        <v/>
      </c>
      <c r="AA65" s="327" t="n"/>
      <c r="AB65" s="327">
        <f>IFERROR(__xludf.DUMMYFUNCTION("""COMPUTED_VALUE"""),"dageki_1")</f>
        <v/>
      </c>
      <c r="AC65" s="327" t="n"/>
    </row>
    <row r="66">
      <c r="A66" s="339" t="n"/>
      <c r="B66" s="17">
        <f>IFERROR(__xludf.DUMMYFUNCTION("""COMPUTED_VALUE"""),"chara_yuw_00601")</f>
        <v/>
      </c>
      <c r="C66" s="295">
        <f>IFERROR(__xludf.DUMMYFUNCTION("""COMPUTED_VALUE"""),"raid_00001")</f>
        <v/>
      </c>
      <c r="D66" s="295">
        <f>IFERROR(__xludf.DUMMYFUNCTION("""COMPUTED_VALUE"""),"c_yuw_00601raid_00001_Boss_Colorless")</f>
        <v/>
      </c>
      <c r="E66" s="295">
        <f>IFERROR(__xludf.DUMMYFUNCTION("""COMPUTED_VALUE"""),"2.5次元の誘惑")</f>
        <v/>
      </c>
      <c r="F66" s="349">
        <f>IFERROR(__xludf.DUMMYFUNCTION("""COMPUTED_VALUE"""),"奥村 正宗")</f>
        <v/>
      </c>
      <c r="G66" s="349">
        <f>IFERROR(__xludf.DUMMYFUNCTION("""COMPUTED_VALUE"""),"奥村 正宗raid_00001")</f>
        <v/>
      </c>
      <c r="H66" s="17">
        <f>IFERROR(__xludf.DUMMYFUNCTION("""COMPUTED_VALUE"""),"Boss")</f>
        <v/>
      </c>
      <c r="I66" s="17">
        <f>IFERROR(__xludf.DUMMYFUNCTION("""COMPUTED_VALUE"""),"Defense")</f>
        <v/>
      </c>
      <c r="J66" s="17">
        <f>IFERROR(__xludf.DUMMYFUNCTION("""COMPUTED_VALUE"""),"Colorless")</f>
        <v/>
      </c>
      <c r="K66" s="17">
        <f>IFERROR(__xludf.DUMMYFUNCTION("""COMPUTED_VALUE"""),10000.0)</f>
        <v/>
      </c>
      <c r="L66" s="17">
        <f>IFERROR(__xludf.DUMMYFUNCTION("""COMPUTED_VALUE"""),2.0)</f>
        <v/>
      </c>
      <c r="M66" s="17">
        <f>IFERROR(__xludf.DUMMYFUNCTION("""COMPUTED_VALUE"""),25.0)</f>
        <v/>
      </c>
      <c r="N66" s="17">
        <f>IFERROR(__xludf.DUMMYFUNCTION("""COMPUTED_VALUE"""),0.19)</f>
        <v/>
      </c>
      <c r="O66" s="17">
        <f>IFERROR(__xludf.DUMMYFUNCTION("""COMPUTED_VALUE"""),100.0)</f>
        <v/>
      </c>
      <c r="P66" s="17" t="n"/>
      <c r="Q66" s="17" t="n"/>
      <c r="R66" s="17">
        <f>IFERROR(__xludf.DUMMYFUNCTION("""COMPUTED_VALUE"""),1.0)</f>
        <v/>
      </c>
      <c r="S66" s="17">
        <f>IFERROR(__xludf.DUMMYFUNCTION("""COMPUTED_VALUE"""),100.0)</f>
        <v/>
      </c>
      <c r="T66" s="350">
        <f>IFERROR(__xludf.DUMMYFUNCTION("""COMPUTED_VALUE"""),"1.20")</f>
        <v/>
      </c>
      <c r="U66" s="351">
        <f>IFERROR(__xludf.DUMMYFUNCTION("""COMPUTED_VALUE"""),"0.67")</f>
        <v/>
      </c>
      <c r="V66" s="351" t="n"/>
      <c r="W66" s="351">
        <f>IFERROR(__xludf.DUMMYFUNCTION("""COMPUTED_VALUE"""),"1.84")</f>
        <v/>
      </c>
      <c r="X66" s="351">
        <f>IFERROR(__xludf.DUMMYFUNCTION("""COMPUTED_VALUE"""),"stop無: 1回目 0.68")</f>
        <v/>
      </c>
      <c r="Y66" s="351">
        <f>IFERROR(__xludf.DUMMYFUNCTION("""COMPUTED_VALUE"""),"自身に10秒間ダメージカット20%")</f>
        <v/>
      </c>
      <c r="Z66" s="351">
        <f>IFERROR(__xludf.DUMMYFUNCTION("""COMPUTED_VALUE"""),4.0)</f>
        <v/>
      </c>
      <c r="AA66" s="327">
        <f>IFERROR(__xludf.DUMMYFUNCTION("""COMPUTED_VALUE"""),"ノックバック無効")</f>
        <v/>
      </c>
      <c r="AB66" s="327">
        <f>IFERROR(__xludf.DUMMYFUNCTION("""COMPUTED_VALUE"""),"dageki_1")</f>
        <v/>
      </c>
      <c r="AC66" s="327" t="n"/>
    </row>
    <row r="67">
      <c r="A67" s="339" t="n"/>
      <c r="B67" s="17">
        <f>IFERROR(__xludf.DUMMYFUNCTION("""COMPUTED_VALUE"""),"enemy_glo_00001")</f>
        <v/>
      </c>
      <c r="C67" s="295">
        <f>IFERROR(__xludf.DUMMYFUNCTION("""COMPUTED_VALUE"""),"raid_00001")</f>
        <v/>
      </c>
      <c r="D67" s="295">
        <f>IFERROR(__xludf.DUMMYFUNCTION("""COMPUTED_VALUE"""),"e_glo_00001raid_00001_Normal_Red")</f>
        <v/>
      </c>
      <c r="E67" s="295">
        <f>IFERROR(__xludf.DUMMYFUNCTION("""COMPUTED_VALUE"""),"GLOW")</f>
        <v/>
      </c>
      <c r="F67" s="349">
        <f>IFERROR(__xludf.DUMMYFUNCTION("""COMPUTED_VALUE"""),"ファントム")</f>
        <v/>
      </c>
      <c r="G67" s="349">
        <f>IFERROR(__xludf.DUMMYFUNCTION("""COMPUTED_VALUE"""),"ファントムraid_00001")</f>
        <v/>
      </c>
      <c r="H67" s="17">
        <f>IFERROR(__xludf.DUMMYFUNCTION("""COMPUTED_VALUE"""),"Normal")</f>
        <v/>
      </c>
      <c r="I67" s="17">
        <f>IFERROR(__xludf.DUMMYFUNCTION("""COMPUTED_VALUE"""),"Attack")</f>
        <v/>
      </c>
      <c r="J67" s="17">
        <f>IFERROR(__xludf.DUMMYFUNCTION("""COMPUTED_VALUE"""),"Red")</f>
        <v/>
      </c>
      <c r="K67" s="17">
        <f>IFERROR(__xludf.DUMMYFUNCTION("""COMPUTED_VALUE"""),1000.0)</f>
        <v/>
      </c>
      <c r="L67" s="17">
        <f>IFERROR(__xludf.DUMMYFUNCTION("""COMPUTED_VALUE"""),1.0)</f>
        <v/>
      </c>
      <c r="M67" s="17">
        <f>IFERROR(__xludf.DUMMYFUNCTION("""COMPUTED_VALUE"""),40.0)</f>
        <v/>
      </c>
      <c r="N67" s="17">
        <f>IFERROR(__xludf.DUMMYFUNCTION("""COMPUTED_VALUE"""),0.22)</f>
        <v/>
      </c>
      <c r="O67" s="17">
        <f>IFERROR(__xludf.DUMMYFUNCTION("""COMPUTED_VALUE"""),100.0)</f>
        <v/>
      </c>
      <c r="P67" s="17" t="n"/>
      <c r="Q67" s="17" t="n"/>
      <c r="R67" s="17" t="n"/>
      <c r="S67" s="17">
        <f>IFERROR(__xludf.DUMMYFUNCTION("""COMPUTED_VALUE"""),20.0)</f>
        <v/>
      </c>
      <c r="T67" s="350">
        <f>IFERROR(__xludf.DUMMYFUNCTION("""COMPUTED_VALUE"""),"1.00")</f>
        <v/>
      </c>
      <c r="U67" s="351">
        <f>IFERROR(__xludf.DUMMYFUNCTION("""COMPUTED_VALUE"""),"0.50")</f>
        <v/>
      </c>
      <c r="V67" s="351" t="n"/>
      <c r="W67" s="351" t="n"/>
      <c r="X67" s="351" t="n"/>
      <c r="Y67" s="351" t="n"/>
      <c r="Z67" s="351">
        <f>IFERROR(__xludf.DUMMYFUNCTION("""COMPUTED_VALUE"""),"-")</f>
        <v/>
      </c>
      <c r="AA67" s="327" t="n"/>
      <c r="AB67" s="327">
        <f>IFERROR(__xludf.DUMMYFUNCTION("""COMPUTED_VALUE"""),"dageki_1")</f>
        <v/>
      </c>
      <c r="AC67" s="327">
        <f>IFERROR(__xludf.DUMMYFUNCTION("""COMPUTED_VALUE"""),"通常攻撃100%の確率で6秒間3000の火傷")</f>
        <v/>
      </c>
    </row>
    <row r="68">
      <c r="A68" s="339" t="n"/>
      <c r="B68" s="17">
        <f>IFERROR(__xludf.DUMMYFUNCTION("""COMPUTED_VALUE"""),"enemy_glo_00001")</f>
        <v/>
      </c>
      <c r="C68" s="295">
        <f>IFERROR(__xludf.DUMMYFUNCTION("""COMPUTED_VALUE"""),"raid_00001")</f>
        <v/>
      </c>
      <c r="D68" s="295">
        <f>IFERROR(__xludf.DUMMYFUNCTION("""COMPUTED_VALUE"""),"e_glo_00001raid_00001_Normal_Colorless")</f>
        <v/>
      </c>
      <c r="E68" s="295">
        <f>IFERROR(__xludf.DUMMYFUNCTION("""COMPUTED_VALUE"""),"GLOW")</f>
        <v/>
      </c>
      <c r="F68" s="349">
        <f>IFERROR(__xludf.DUMMYFUNCTION("""COMPUTED_VALUE"""),"ファントム")</f>
        <v/>
      </c>
      <c r="G68" s="349">
        <f>IFERROR(__xludf.DUMMYFUNCTION("""COMPUTED_VALUE"""),"ファントムraid_00001")</f>
        <v/>
      </c>
      <c r="H68" s="17">
        <f>IFERROR(__xludf.DUMMYFUNCTION("""COMPUTED_VALUE"""),"Normal")</f>
        <v/>
      </c>
      <c r="I68" s="17">
        <f>IFERROR(__xludf.DUMMYFUNCTION("""COMPUTED_VALUE"""),"Attack")</f>
        <v/>
      </c>
      <c r="J68" s="17">
        <f>IFERROR(__xludf.DUMMYFUNCTION("""COMPUTED_VALUE"""),"Colorless")</f>
        <v/>
      </c>
      <c r="K68" s="17">
        <f>IFERROR(__xludf.DUMMYFUNCTION("""COMPUTED_VALUE"""),1000.0)</f>
        <v/>
      </c>
      <c r="L68" s="17">
        <f>IFERROR(__xludf.DUMMYFUNCTION("""COMPUTED_VALUE"""),1.0)</f>
        <v/>
      </c>
      <c r="M68" s="17">
        <f>IFERROR(__xludf.DUMMYFUNCTION("""COMPUTED_VALUE"""),40.0)</f>
        <v/>
      </c>
      <c r="N68" s="17">
        <f>IFERROR(__xludf.DUMMYFUNCTION("""COMPUTED_VALUE"""),0.22)</f>
        <v/>
      </c>
      <c r="O68" s="17">
        <f>IFERROR(__xludf.DUMMYFUNCTION("""COMPUTED_VALUE"""),100.0)</f>
        <v/>
      </c>
      <c r="P68" s="17" t="n"/>
      <c r="Q68" s="17" t="n"/>
      <c r="R68" s="17" t="n"/>
      <c r="S68" s="17">
        <f>IFERROR(__xludf.DUMMYFUNCTION("""COMPUTED_VALUE"""),20.0)</f>
        <v/>
      </c>
      <c r="T68" s="350">
        <f>IFERROR(__xludf.DUMMYFUNCTION("""COMPUTED_VALUE"""),"1.00")</f>
        <v/>
      </c>
      <c r="U68" s="351">
        <f>IFERROR(__xludf.DUMMYFUNCTION("""COMPUTED_VALUE"""),"0.50")</f>
        <v/>
      </c>
      <c r="V68" s="351" t="n"/>
      <c r="W68" s="351" t="n"/>
      <c r="X68" s="351" t="n"/>
      <c r="Y68" s="351" t="n"/>
      <c r="Z68" s="351">
        <f>IFERROR(__xludf.DUMMYFUNCTION("""COMPUTED_VALUE"""),"-")</f>
        <v/>
      </c>
      <c r="AA68" s="327" t="n"/>
      <c r="AB68" s="327">
        <f>IFERROR(__xludf.DUMMYFUNCTION("""COMPUTED_VALUE"""),"dageki_1")</f>
        <v/>
      </c>
      <c r="AC68" s="327">
        <f>IFERROR(__xludf.DUMMYFUNCTION("""COMPUTED_VALUE"""),"通常攻撃20%の確率で6秒間300の火傷")</f>
        <v/>
      </c>
    </row>
    <row r="69">
      <c r="A69" s="339" t="n"/>
      <c r="B69" s="17">
        <f>IFERROR(__xludf.DUMMYFUNCTION("""COMPUTED_VALUE"""),"chara_yuw_00101")</f>
        <v/>
      </c>
      <c r="C69" s="295">
        <f>IFERROR(__xludf.DUMMYFUNCTION("""COMPUTED_VALUE"""),"raid_00001")</f>
        <v/>
      </c>
      <c r="D69" s="295">
        <f>IFERROR(__xludf.DUMMYFUNCTION("""COMPUTED_VALUE"""),"c_yuw_00101raid_00001_Normal_Green")</f>
        <v/>
      </c>
      <c r="E69" s="295">
        <f>IFERROR(__xludf.DUMMYFUNCTION("""COMPUTED_VALUE"""),"2.5次元の誘惑")</f>
        <v/>
      </c>
      <c r="F69" s="349">
        <f>IFERROR(__xludf.DUMMYFUNCTION("""COMPUTED_VALUE"""),"コスプレに託す乙女心 橘 美花莉")</f>
        <v/>
      </c>
      <c r="G69" s="349">
        <f>IFERROR(__xludf.DUMMYFUNCTION("""COMPUTED_VALUE"""),"コスプレに託す乙女心 橘 美花莉raid_00001")</f>
        <v/>
      </c>
      <c r="H69" s="17">
        <f>IFERROR(__xludf.DUMMYFUNCTION("""COMPUTED_VALUE"""),"Normal")</f>
        <v/>
      </c>
      <c r="I69" s="17">
        <f>IFERROR(__xludf.DUMMYFUNCTION("""COMPUTED_VALUE"""),"Technical")</f>
        <v/>
      </c>
      <c r="J69" s="17">
        <f>IFERROR(__xludf.DUMMYFUNCTION("""COMPUTED_VALUE"""),"Green")</f>
        <v/>
      </c>
      <c r="K69" s="17">
        <f>IFERROR(__xludf.DUMMYFUNCTION("""COMPUTED_VALUE"""),10000.0)</f>
        <v/>
      </c>
      <c r="L69" s="17">
        <f>IFERROR(__xludf.DUMMYFUNCTION("""COMPUTED_VALUE"""),2.0)</f>
        <v/>
      </c>
      <c r="M69" s="17">
        <f>IFERROR(__xludf.DUMMYFUNCTION("""COMPUTED_VALUE"""),29.0)</f>
        <v/>
      </c>
      <c r="N69" s="17">
        <f>IFERROR(__xludf.DUMMYFUNCTION("""COMPUTED_VALUE"""),0.25)</f>
        <v/>
      </c>
      <c r="O69" s="17">
        <f>IFERROR(__xludf.DUMMYFUNCTION("""COMPUTED_VALUE"""),100.0)</f>
        <v/>
      </c>
      <c r="P69" s="17" t="n"/>
      <c r="Q69" s="17" t="n"/>
      <c r="R69" s="17" t="n"/>
      <c r="S69" s="17">
        <f>IFERROR(__xludf.DUMMYFUNCTION("""COMPUTED_VALUE"""),100.0)</f>
        <v/>
      </c>
      <c r="T69" s="350">
        <f>IFERROR(__xludf.DUMMYFUNCTION("""COMPUTED_VALUE"""),"1.50")</f>
        <v/>
      </c>
      <c r="U69" s="351">
        <f>IFERROR(__xludf.DUMMYFUNCTION("""COMPUTED_VALUE"""),"stop無:1回目 0.45
stop無:2回目 0.55
stop無:3回目 0.67
stop無:4回目 0.77
stop無:5回目 0.90
stop無:6回目 0.95")</f>
        <v/>
      </c>
      <c r="V69" s="351" t="n"/>
      <c r="W69" s="351">
        <f>IFERROR(__xludf.DUMMYFUNCTION("""COMPUTED_VALUE"""),"3.50")</f>
        <v/>
      </c>
      <c r="X69" s="351">
        <f>IFERROR(__xludf.DUMMYFUNCTION("""COMPUTED_VALUE"""),"stop無: 1回目 3.20")</f>
        <v/>
      </c>
      <c r="Y69" s="351" t="n"/>
      <c r="Z69" s="351">
        <f>IFERROR(__xludf.DUMMYFUNCTION("""COMPUTED_VALUE"""),3.0)</f>
        <v/>
      </c>
      <c r="AA69" s="327" t="n"/>
      <c r="AB69" s="327">
        <f>IFERROR(__xludf.DUMMYFUNCTION("""COMPUTED_VALUE"""),"dageki_1")</f>
        <v/>
      </c>
      <c r="AC69" s="327" t="n"/>
    </row>
    <row r="70">
      <c r="A70" s="339" t="n"/>
      <c r="B70" s="17">
        <f>IFERROR(__xludf.DUMMYFUNCTION("""COMPUTED_VALUE"""),"chara_yuw_00001")</f>
        <v/>
      </c>
      <c r="C70" s="295">
        <f>IFERROR(__xludf.DUMMYFUNCTION("""COMPUTED_VALUE"""),"raid_00001")</f>
        <v/>
      </c>
      <c r="D70" s="295">
        <f>IFERROR(__xludf.DUMMYFUNCTION("""COMPUTED_VALUE"""),"c_yuw_00001raid_00001_Normal_Green")</f>
        <v/>
      </c>
      <c r="E70" s="295">
        <f>IFERROR(__xludf.DUMMYFUNCTION("""COMPUTED_VALUE"""),"2.5次元の誘惑")</f>
        <v/>
      </c>
      <c r="F70" s="349">
        <f>IFERROR(__xludf.DUMMYFUNCTION("""COMPUTED_VALUE"""),"リリエルに捧ぐ愛 天乃 リリサ")</f>
        <v/>
      </c>
      <c r="G70" s="349">
        <f>IFERROR(__xludf.DUMMYFUNCTION("""COMPUTED_VALUE"""),"リリエルに捧ぐ愛 天乃 リリサraid_00001")</f>
        <v/>
      </c>
      <c r="H70" s="17">
        <f>IFERROR(__xludf.DUMMYFUNCTION("""COMPUTED_VALUE"""),"Normal")</f>
        <v/>
      </c>
      <c r="I70" s="17">
        <f>IFERROR(__xludf.DUMMYFUNCTION("""COMPUTED_VALUE"""),"Attack")</f>
        <v/>
      </c>
      <c r="J70" s="17">
        <f>IFERROR(__xludf.DUMMYFUNCTION("""COMPUTED_VALUE"""),"Green")</f>
        <v/>
      </c>
      <c r="K70" s="17">
        <f>IFERROR(__xludf.DUMMYFUNCTION("""COMPUTED_VALUE"""),10000.0)</f>
        <v/>
      </c>
      <c r="L70" s="17">
        <f>IFERROR(__xludf.DUMMYFUNCTION("""COMPUTED_VALUE"""),3.0)</f>
        <v/>
      </c>
      <c r="M70" s="17">
        <f>IFERROR(__xludf.DUMMYFUNCTION("""COMPUTED_VALUE"""),34.0)</f>
        <v/>
      </c>
      <c r="N70" s="17">
        <f>IFERROR(__xludf.DUMMYFUNCTION("""COMPUTED_VALUE"""),0.24)</f>
        <v/>
      </c>
      <c r="O70" s="17">
        <f>IFERROR(__xludf.DUMMYFUNCTION("""COMPUTED_VALUE"""),100.0)</f>
        <v/>
      </c>
      <c r="P70" s="17" t="n"/>
      <c r="Q70" s="17" t="n"/>
      <c r="R70" s="17" t="n"/>
      <c r="S70" s="17">
        <f>IFERROR(__xludf.DUMMYFUNCTION("""COMPUTED_VALUE"""),100.0)</f>
        <v/>
      </c>
      <c r="T70" s="350">
        <f>IFERROR(__xludf.DUMMYFUNCTION("""COMPUTED_VALUE"""),"1.54")</f>
        <v/>
      </c>
      <c r="U70" s="351">
        <f>IFERROR(__xludf.DUMMYFUNCTION("""COMPUTED_VALUE"""),"0.50")</f>
        <v/>
      </c>
      <c r="V70" s="351" t="n"/>
      <c r="W70" s="351">
        <f>IFERROR(__xludf.DUMMYFUNCTION("""COMPUTED_VALUE"""),"3.67")</f>
        <v/>
      </c>
      <c r="X70" s="351">
        <f>IFERROR(__xludf.DUMMYFUNCTION("""COMPUTED_VALUE"""),"2.44")</f>
        <v/>
      </c>
      <c r="Y70" s="351" t="n"/>
      <c r="Z70" s="351">
        <f>IFERROR(__xludf.DUMMYFUNCTION("""COMPUTED_VALUE"""),5.0)</f>
        <v/>
      </c>
      <c r="AA70" s="327" t="n"/>
      <c r="AB70" s="327">
        <f>IFERROR(__xludf.DUMMYFUNCTION("""COMPUTED_VALUE"""),"dageki_2")</f>
        <v/>
      </c>
      <c r="AC70" s="327" t="n"/>
    </row>
    <row r="71">
      <c r="A71" s="339" t="n"/>
      <c r="B71" s="17" t="n"/>
      <c r="C71" s="295" t="n"/>
      <c r="D71" s="295">
        <f>IFERROR(__xludf.DUMMYFUNCTION("""COMPUTED_VALUE"""),"___")</f>
        <v/>
      </c>
      <c r="E71" s="295">
        <f>IFERROR(__xludf.DUMMYFUNCTION("""COMPUTED_VALUE"""),"none")</f>
        <v/>
      </c>
      <c r="F71" s="349">
        <f>IFERROR(__xludf.DUMMYFUNCTION("""COMPUTED_VALUE"""),"none")</f>
        <v/>
      </c>
      <c r="G71" s="349">
        <f>IFERROR(__xludf.DUMMYFUNCTION("""COMPUTED_VALUE"""),"none")</f>
        <v/>
      </c>
      <c r="H71" s="17" t="n"/>
      <c r="I71" s="17">
        <f>IFERROR(__xludf.DUMMYFUNCTION("""COMPUTED_VALUE"""),"none")</f>
        <v/>
      </c>
      <c r="J71" s="17" t="n"/>
      <c r="K71" s="17" t="n"/>
      <c r="L71" s="17" t="n"/>
      <c r="M71" s="17" t="n"/>
      <c r="N71" s="17" t="n"/>
      <c r="O71" s="17" t="n"/>
      <c r="P71" s="17" t="n"/>
      <c r="Q71" s="17" t="n"/>
      <c r="R71" s="17" t="n"/>
      <c r="S71" s="17" t="n"/>
      <c r="T71" s="350">
        <f>IFERROR(__xludf.DUMMYFUNCTION("""COMPUTED_VALUE"""),"none")</f>
        <v/>
      </c>
      <c r="U71" s="351">
        <f>IFERROR(__xludf.DUMMYFUNCTION("""COMPUTED_VALUE"""),"none")</f>
        <v/>
      </c>
      <c r="V71" s="351" t="n"/>
      <c r="W71" s="351">
        <f>IFERROR(__xludf.DUMMYFUNCTION("""COMPUTED_VALUE"""),"none")</f>
        <v/>
      </c>
      <c r="X71" s="351">
        <f>IFERROR(__xludf.DUMMYFUNCTION("""COMPUTED_VALUE"""),"none")</f>
        <v/>
      </c>
      <c r="Y71" s="351" t="n"/>
      <c r="Z71" s="351">
        <f>IFERROR(__xludf.DUMMYFUNCTION("""COMPUTED_VALUE"""),"-")</f>
        <v/>
      </c>
      <c r="AA71" s="327" t="n"/>
      <c r="AB71" s="327">
        <f>IFERROR(__xludf.DUMMYFUNCTION("""COMPUTED_VALUE"""),"none")</f>
        <v/>
      </c>
      <c r="AC71" s="327" t="n"/>
    </row>
    <row r="72">
      <c r="A72" s="339" t="n"/>
      <c r="B72" s="17">
        <f>IFERROR(__xludf.DUMMYFUNCTION("""COMPUTED_VALUE"""),"chara_sur_00701")</f>
        <v/>
      </c>
      <c r="C72" s="295">
        <f>IFERROR(__xludf.DUMMYFUNCTION("""COMPUTED_VALUE"""),"_sur1_advent")</f>
        <v/>
      </c>
      <c r="D72" s="295">
        <f>IFERROR(__xludf.DUMMYFUNCTION("""COMPUTED_VALUE"""),"c_sur_00701_sur1_advent_Boss_Blue")</f>
        <v/>
      </c>
      <c r="E72" s="295">
        <f>IFERROR(__xludf.DUMMYFUNCTION("""COMPUTED_VALUE"""),"魔都精兵のスレイブ")</f>
        <v/>
      </c>
      <c r="F72" s="349">
        <f>IFERROR(__xludf.DUMMYFUNCTION("""COMPUTED_VALUE"""),"和倉 青羽")</f>
        <v/>
      </c>
      <c r="G72" s="349">
        <f>IFERROR(__xludf.DUMMYFUNCTION("""COMPUTED_VALUE"""),"和倉 青羽_sur1_advent")</f>
        <v/>
      </c>
      <c r="H72" s="17">
        <f>IFERROR(__xludf.DUMMYFUNCTION("""COMPUTED_VALUE"""),"Boss")</f>
        <v/>
      </c>
      <c r="I72" s="17">
        <f>IFERROR(__xludf.DUMMYFUNCTION("""COMPUTED_VALUE"""),"Attack")</f>
        <v/>
      </c>
      <c r="J72" s="17">
        <f>IFERROR(__xludf.DUMMYFUNCTION("""COMPUTED_VALUE"""),"Blue")</f>
        <v/>
      </c>
      <c r="K72" s="17">
        <f>IFERROR(__xludf.DUMMYFUNCTION("""COMPUTED_VALUE"""),10000.0)</f>
        <v/>
      </c>
      <c r="L72" s="17">
        <f>IFERROR(__xludf.DUMMYFUNCTION("""COMPUTED_VALUE"""),2.0)</f>
        <v/>
      </c>
      <c r="M72" s="17">
        <f>IFERROR(__xludf.DUMMYFUNCTION("""COMPUTED_VALUE"""),60.0)</f>
        <v/>
      </c>
      <c r="N72" s="17">
        <f>IFERROR(__xludf.DUMMYFUNCTION("""COMPUTED_VALUE"""),0.24)</f>
        <v/>
      </c>
      <c r="O72" s="17">
        <f>IFERROR(__xludf.DUMMYFUNCTION("""COMPUTED_VALUE"""),100.0)</f>
        <v/>
      </c>
      <c r="P72" s="17" t="n"/>
      <c r="Q72" s="17" t="n"/>
      <c r="R72" s="17" t="n"/>
      <c r="S72" s="17">
        <f>IFERROR(__xludf.DUMMYFUNCTION("""COMPUTED_VALUE"""),100.0)</f>
        <v/>
      </c>
      <c r="T72" s="350">
        <f>IFERROR(__xludf.DUMMYFUNCTION("""COMPUTED_VALUE"""),"1.07")</f>
        <v/>
      </c>
      <c r="U72" s="351">
        <f>IFERROR(__xludf.DUMMYFUNCTION("""COMPUTED_VALUE"""),"0.28")</f>
        <v/>
      </c>
      <c r="V72" s="351" t="n"/>
      <c r="W72" s="351">
        <f>IFERROR(__xludf.DUMMYFUNCTION("""COMPUTED_VALUE"""),"2.01")</f>
        <v/>
      </c>
      <c r="X72" s="351">
        <f>IFERROR(__xludf.DUMMYFUNCTION("""COMPUTED_VALUE"""),"stop無:1回目 0.67
stop無:2回目 0.84
stop無:3回目 1
stop有:4回目 1.25")</f>
        <v/>
      </c>
      <c r="Y72" s="351" t="n"/>
      <c r="Z72" s="351">
        <f>IFERROR(__xludf.DUMMYFUNCTION("""COMPUTED_VALUE"""),3.0)</f>
        <v/>
      </c>
      <c r="AA72" s="327" t="n"/>
      <c r="AB72" s="327">
        <f>IFERROR(__xludf.DUMMYFUNCTION("""COMPUTED_VALUE"""),"dageki_1")</f>
        <v/>
      </c>
      <c r="AC72" s="327" t="n"/>
    </row>
    <row r="73">
      <c r="A73" s="339" t="n"/>
      <c r="B73" s="17">
        <f>IFERROR(__xludf.DUMMYFUNCTION("""COMPUTED_VALUE"""),"enemy_sur_00101")</f>
        <v/>
      </c>
      <c r="C73" s="295">
        <f>IFERROR(__xludf.DUMMYFUNCTION("""COMPUTED_VALUE"""),"_sur1_advent")</f>
        <v/>
      </c>
      <c r="D73" s="295">
        <f>IFERROR(__xludf.DUMMYFUNCTION("""COMPUTED_VALUE"""),"e_sur_00101_sur1_advent_Normal_Red")</f>
        <v/>
      </c>
      <c r="E73" s="295">
        <f>IFERROR(__xludf.DUMMYFUNCTION("""COMPUTED_VALUE"""),"魔都精兵のスレイブ")</f>
        <v/>
      </c>
      <c r="F73" s="349">
        <f>IFERROR(__xludf.DUMMYFUNCTION("""COMPUTED_VALUE"""),"醜鬼")</f>
        <v/>
      </c>
      <c r="G73" s="349">
        <f>IFERROR(__xludf.DUMMYFUNCTION("""COMPUTED_VALUE"""),"醜鬼_sur1_advent")</f>
        <v/>
      </c>
      <c r="H73" s="17">
        <f>IFERROR(__xludf.DUMMYFUNCTION("""COMPUTED_VALUE"""),"Normal")</f>
        <v/>
      </c>
      <c r="I73" s="17">
        <f>IFERROR(__xludf.DUMMYFUNCTION("""COMPUTED_VALUE"""),"Defense")</f>
        <v/>
      </c>
      <c r="J73" s="17">
        <f>IFERROR(__xludf.DUMMYFUNCTION("""COMPUTED_VALUE"""),"Red")</f>
        <v/>
      </c>
      <c r="K73" s="17">
        <f>IFERROR(__xludf.DUMMYFUNCTION("""COMPUTED_VALUE"""),1000.0)</f>
        <v/>
      </c>
      <c r="L73" s="17">
        <f>IFERROR(__xludf.DUMMYFUNCTION("""COMPUTED_VALUE"""),1.0)</f>
        <v/>
      </c>
      <c r="M73" s="17">
        <f>IFERROR(__xludf.DUMMYFUNCTION("""COMPUTED_VALUE"""),40.0)</f>
        <v/>
      </c>
      <c r="N73" s="17">
        <f>IFERROR(__xludf.DUMMYFUNCTION("""COMPUTED_VALUE"""),0.17)</f>
        <v/>
      </c>
      <c r="O73" s="17">
        <f>IFERROR(__xludf.DUMMYFUNCTION("""COMPUTED_VALUE"""),100.0)</f>
        <v/>
      </c>
      <c r="P73" s="17" t="n"/>
      <c r="Q73" s="17" t="n"/>
      <c r="R73" s="17" t="n"/>
      <c r="S73" s="17">
        <f>IFERROR(__xludf.DUMMYFUNCTION("""COMPUTED_VALUE"""),100.0)</f>
        <v/>
      </c>
      <c r="T73" s="350">
        <f>IFERROR(__xludf.DUMMYFUNCTION("""COMPUTED_VALUE"""),"0.80")</f>
        <v/>
      </c>
      <c r="U73" s="351">
        <f>IFERROR(__xludf.DUMMYFUNCTION("""COMPUTED_VALUE"""),"0.30")</f>
        <v/>
      </c>
      <c r="V73" s="351" t="n"/>
      <c r="W73" s="351">
        <f>IFERROR(__xludf.DUMMYFUNCTION("""COMPUTED_VALUE"""),"-")</f>
        <v/>
      </c>
      <c r="X73" s="351">
        <f>IFERROR(__xludf.DUMMYFUNCTION("""COMPUTED_VALUE"""),"-")</f>
        <v/>
      </c>
      <c r="Y73" s="351" t="n"/>
      <c r="Z73" s="351">
        <f>IFERROR(__xludf.DUMMYFUNCTION("""COMPUTED_VALUE"""),"-")</f>
        <v/>
      </c>
      <c r="AA73" s="327" t="n"/>
      <c r="AB73" s="327">
        <f>IFERROR(__xludf.DUMMYFUNCTION("""COMPUTED_VALUE"""),"dageki_1")</f>
        <v/>
      </c>
      <c r="AC73" s="327" t="n"/>
    </row>
    <row r="74">
      <c r="A74" s="339" t="n"/>
      <c r="B74" s="17">
        <f>IFERROR(__xludf.DUMMYFUNCTION("""COMPUTED_VALUE"""),"enemy_glo_00001")</f>
        <v/>
      </c>
      <c r="C74" s="295">
        <f>IFERROR(__xludf.DUMMYFUNCTION("""COMPUTED_VALUE"""),"_sur1_advent")</f>
        <v/>
      </c>
      <c r="D74" s="295">
        <f>IFERROR(__xludf.DUMMYFUNCTION("""COMPUTED_VALUE"""),"e_glo_00001_sur1_advent_Normal_Green")</f>
        <v/>
      </c>
      <c r="E74" s="295">
        <f>IFERROR(__xludf.DUMMYFUNCTION("""COMPUTED_VALUE"""),"GLOW")</f>
        <v/>
      </c>
      <c r="F74" s="349">
        <f>IFERROR(__xludf.DUMMYFUNCTION("""COMPUTED_VALUE"""),"ファントム")</f>
        <v/>
      </c>
      <c r="G74" s="349">
        <f>IFERROR(__xludf.DUMMYFUNCTION("""COMPUTED_VALUE"""),"ファントム_sur1_advent")</f>
        <v/>
      </c>
      <c r="H74" s="17">
        <f>IFERROR(__xludf.DUMMYFUNCTION("""COMPUTED_VALUE"""),"Normal")</f>
        <v/>
      </c>
      <c r="I74" s="17">
        <f>IFERROR(__xludf.DUMMYFUNCTION("""COMPUTED_VALUE"""),"Attack")</f>
        <v/>
      </c>
      <c r="J74" s="17">
        <f>IFERROR(__xludf.DUMMYFUNCTION("""COMPUTED_VALUE"""),"Green")</f>
        <v/>
      </c>
      <c r="K74" s="17">
        <f>IFERROR(__xludf.DUMMYFUNCTION("""COMPUTED_VALUE"""),10000.0)</f>
        <v/>
      </c>
      <c r="L74" s="17">
        <f>IFERROR(__xludf.DUMMYFUNCTION("""COMPUTED_VALUE"""),1.0)</f>
        <v/>
      </c>
      <c r="M74" s="17">
        <f>IFERROR(__xludf.DUMMYFUNCTION("""COMPUTED_VALUE"""),30.0)</f>
        <v/>
      </c>
      <c r="N74" s="17">
        <f>IFERROR(__xludf.DUMMYFUNCTION("""COMPUTED_VALUE"""),0.25)</f>
        <v/>
      </c>
      <c r="O74" s="17">
        <f>IFERROR(__xludf.DUMMYFUNCTION("""COMPUTED_VALUE"""),100.0)</f>
        <v/>
      </c>
      <c r="P74" s="17" t="n"/>
      <c r="Q74" s="17" t="n"/>
      <c r="R74" s="17" t="n"/>
      <c r="S74" s="17">
        <f>IFERROR(__xludf.DUMMYFUNCTION("""COMPUTED_VALUE"""),100.0)</f>
        <v/>
      </c>
      <c r="T74" s="350">
        <f>IFERROR(__xludf.DUMMYFUNCTION("""COMPUTED_VALUE"""),"1.00")</f>
        <v/>
      </c>
      <c r="U74" s="351">
        <f>IFERROR(__xludf.DUMMYFUNCTION("""COMPUTED_VALUE"""),"0.50")</f>
        <v/>
      </c>
      <c r="V74" s="351" t="n"/>
      <c r="W74" s="351" t="n"/>
      <c r="X74" s="351" t="n"/>
      <c r="Y74" s="351" t="n"/>
      <c r="Z74" s="351">
        <f>IFERROR(__xludf.DUMMYFUNCTION("""COMPUTED_VALUE"""),"-")</f>
        <v/>
      </c>
      <c r="AA74" s="327" t="n"/>
      <c r="AB74" s="327">
        <f>IFERROR(__xludf.DUMMYFUNCTION("""COMPUTED_VALUE"""),"dageki_1")</f>
        <v/>
      </c>
      <c r="AC74" s="327" t="n"/>
    </row>
    <row r="75">
      <c r="A75" s="339" t="n"/>
      <c r="B75" s="17">
        <f>IFERROR(__xludf.DUMMYFUNCTION("""COMPUTED_VALUE"""),"enemy_glo_00001")</f>
        <v/>
      </c>
      <c r="C75" s="295">
        <f>IFERROR(__xludf.DUMMYFUNCTION("""COMPUTED_VALUE"""),"_sur1_advent")</f>
        <v/>
      </c>
      <c r="D75" s="295">
        <f>IFERROR(__xludf.DUMMYFUNCTION("""COMPUTED_VALUE"""),"e_glo_00001_sur1_advent_Normal_Blue")</f>
        <v/>
      </c>
      <c r="E75" s="295">
        <f>IFERROR(__xludf.DUMMYFUNCTION("""COMPUTED_VALUE"""),"GLOW")</f>
        <v/>
      </c>
      <c r="F75" s="349">
        <f>IFERROR(__xludf.DUMMYFUNCTION("""COMPUTED_VALUE"""),"ファントム")</f>
        <v/>
      </c>
      <c r="G75" s="349">
        <f>IFERROR(__xludf.DUMMYFUNCTION("""COMPUTED_VALUE"""),"ファントム_sur1_advent")</f>
        <v/>
      </c>
      <c r="H75" s="17">
        <f>IFERROR(__xludf.DUMMYFUNCTION("""COMPUTED_VALUE"""),"Normal")</f>
        <v/>
      </c>
      <c r="I75" s="17">
        <f>IFERROR(__xludf.DUMMYFUNCTION("""COMPUTED_VALUE"""),"Attack")</f>
        <v/>
      </c>
      <c r="J75" s="17">
        <f>IFERROR(__xludf.DUMMYFUNCTION("""COMPUTED_VALUE"""),"Blue")</f>
        <v/>
      </c>
      <c r="K75" s="17">
        <f>IFERROR(__xludf.DUMMYFUNCTION("""COMPUTED_VALUE"""),1000.0)</f>
        <v/>
      </c>
      <c r="L75" s="17">
        <f>IFERROR(__xludf.DUMMYFUNCTION("""COMPUTED_VALUE"""),0.0)</f>
        <v/>
      </c>
      <c r="M75" s="17">
        <f>IFERROR(__xludf.DUMMYFUNCTION("""COMPUTED_VALUE"""),30.0)</f>
        <v/>
      </c>
      <c r="N75" s="17">
        <f>IFERROR(__xludf.DUMMYFUNCTION("""COMPUTED_VALUE"""),0.18)</f>
        <v/>
      </c>
      <c r="O75" s="17">
        <f>IFERROR(__xludf.DUMMYFUNCTION("""COMPUTED_VALUE"""),100.0)</f>
        <v/>
      </c>
      <c r="P75" s="17" t="n"/>
      <c r="Q75" s="17" t="n"/>
      <c r="R75" s="17" t="n"/>
      <c r="S75" s="17">
        <f>IFERROR(__xludf.DUMMYFUNCTION("""COMPUTED_VALUE"""),100.0)</f>
        <v/>
      </c>
      <c r="T75" s="350">
        <f>IFERROR(__xludf.DUMMYFUNCTION("""COMPUTED_VALUE"""),"1.00")</f>
        <v/>
      </c>
      <c r="U75" s="351">
        <f>IFERROR(__xludf.DUMMYFUNCTION("""COMPUTED_VALUE"""),"0.50")</f>
        <v/>
      </c>
      <c r="V75" s="351" t="n"/>
      <c r="W75" s="351" t="n"/>
      <c r="X75" s="351" t="n"/>
      <c r="Y75" s="351" t="n"/>
      <c r="Z75" s="351">
        <f>IFERROR(__xludf.DUMMYFUNCTION("""COMPUTED_VALUE"""),"-")</f>
        <v/>
      </c>
      <c r="AA75" s="327" t="n"/>
      <c r="AB75" s="327">
        <f>IFERROR(__xludf.DUMMYFUNCTION("""COMPUTED_VALUE"""),"dageki_1")</f>
        <v/>
      </c>
      <c r="AC75" s="327" t="n"/>
    </row>
    <row r="76">
      <c r="A76" s="339" t="n"/>
      <c r="B76" s="17" t="n"/>
      <c r="C76" s="295" t="n"/>
      <c r="D76" s="295">
        <f>IFERROR(__xludf.DUMMYFUNCTION("""COMPUTED_VALUE"""),"___")</f>
        <v/>
      </c>
      <c r="E76" s="295">
        <f>IFERROR(__xludf.DUMMYFUNCTION("""COMPUTED_VALUE"""),"none")</f>
        <v/>
      </c>
      <c r="F76" s="349">
        <f>IFERROR(__xludf.DUMMYFUNCTION("""COMPUTED_VALUE"""),"none")</f>
        <v/>
      </c>
      <c r="G76" s="349">
        <f>IFERROR(__xludf.DUMMYFUNCTION("""COMPUTED_VALUE"""),"none")</f>
        <v/>
      </c>
      <c r="H76" s="17" t="n"/>
      <c r="I76" s="17">
        <f>IFERROR(__xludf.DUMMYFUNCTION("""COMPUTED_VALUE"""),"none")</f>
        <v/>
      </c>
      <c r="J76" s="17" t="n"/>
      <c r="K76" s="17" t="n"/>
      <c r="L76" s="17" t="n"/>
      <c r="M76" s="17" t="n"/>
      <c r="N76" s="17" t="n"/>
      <c r="O76" s="17" t="n"/>
      <c r="P76" s="17" t="n"/>
      <c r="Q76" s="17" t="n"/>
      <c r="R76" s="17" t="n"/>
      <c r="S76" s="17" t="n"/>
      <c r="T76" s="350">
        <f>IFERROR(__xludf.DUMMYFUNCTION("""COMPUTED_VALUE"""),"none")</f>
        <v/>
      </c>
      <c r="U76" s="351">
        <f>IFERROR(__xludf.DUMMYFUNCTION("""COMPUTED_VALUE"""),"none")</f>
        <v/>
      </c>
      <c r="V76" s="351" t="n"/>
      <c r="W76" s="351">
        <f>IFERROR(__xludf.DUMMYFUNCTION("""COMPUTED_VALUE"""),"none")</f>
        <v/>
      </c>
      <c r="X76" s="351">
        <f>IFERROR(__xludf.DUMMYFUNCTION("""COMPUTED_VALUE"""),"none")</f>
        <v/>
      </c>
      <c r="Y76" s="351" t="n"/>
      <c r="Z76" s="351">
        <f>IFERROR(__xludf.DUMMYFUNCTION("""COMPUTED_VALUE"""),"-")</f>
        <v/>
      </c>
      <c r="AA76" s="327" t="n"/>
      <c r="AB76" s="327">
        <f>IFERROR(__xludf.DUMMYFUNCTION("""COMPUTED_VALUE"""),"none")</f>
        <v/>
      </c>
      <c r="AC76" s="327" t="n"/>
    </row>
    <row r="77">
      <c r="A77" s="339" t="n"/>
      <c r="B77" s="17">
        <f>IFERROR(__xludf.DUMMYFUNCTION("""COMPUTED_VALUE"""),"chara_osh_00201")</f>
        <v/>
      </c>
      <c r="C77" s="295">
        <f>IFERROR(__xludf.DUMMYFUNCTION("""COMPUTED_VALUE"""),"_osh1_advent")</f>
        <v/>
      </c>
      <c r="D77" s="295">
        <f>IFERROR(__xludf.DUMMYFUNCTION("""COMPUTED_VALUE"""),"c_osh_00201_osh1_advent_Normal_Red")</f>
        <v/>
      </c>
      <c r="E77" s="295">
        <f>IFERROR(__xludf.DUMMYFUNCTION("""COMPUTED_VALUE"""),"【推しの子】")</f>
        <v/>
      </c>
      <c r="F77" s="349">
        <f>IFERROR(__xludf.DUMMYFUNCTION("""COMPUTED_VALUE"""),"星野 ルビー")</f>
        <v/>
      </c>
      <c r="G77" s="349">
        <f>IFERROR(__xludf.DUMMYFUNCTION("""COMPUTED_VALUE"""),"星野 ルビー_osh1_advent")</f>
        <v/>
      </c>
      <c r="H77" s="17">
        <f>IFERROR(__xludf.DUMMYFUNCTION("""COMPUTED_VALUE"""),"Normal")</f>
        <v/>
      </c>
      <c r="I77" s="17">
        <f>IFERROR(__xludf.DUMMYFUNCTION("""COMPUTED_VALUE"""),"Attack")</f>
        <v/>
      </c>
      <c r="J77" s="17">
        <f>IFERROR(__xludf.DUMMYFUNCTION("""COMPUTED_VALUE"""),"Red")</f>
        <v/>
      </c>
      <c r="K77" s="17">
        <f>IFERROR(__xludf.DUMMYFUNCTION("""COMPUTED_VALUE"""),1000.0)</f>
        <v/>
      </c>
      <c r="L77" s="17">
        <f>IFERROR(__xludf.DUMMYFUNCTION("""COMPUTED_VALUE"""),1.0)</f>
        <v/>
      </c>
      <c r="M77" s="17">
        <f>IFERROR(__xludf.DUMMYFUNCTION("""COMPUTED_VALUE"""),37.0)</f>
        <v/>
      </c>
      <c r="N77" s="17">
        <f>IFERROR(__xludf.DUMMYFUNCTION("""COMPUTED_VALUE"""),0.22)</f>
        <v/>
      </c>
      <c r="O77" s="17">
        <f>IFERROR(__xludf.DUMMYFUNCTION("""COMPUTED_VALUE"""),100.0)</f>
        <v/>
      </c>
      <c r="P77" s="17">
        <f>IFERROR(__xludf.DUMMYFUNCTION("""COMPUTED_VALUE"""),0.0)</f>
        <v/>
      </c>
      <c r="Q77" s="17">
        <f>IFERROR(__xludf.DUMMYFUNCTION("""COMPUTED_VALUE"""),0.23)</f>
        <v/>
      </c>
      <c r="R77" s="17">
        <f>IFERROR(__xludf.DUMMYFUNCTION("""COMPUTED_VALUE"""),1.0)</f>
        <v/>
      </c>
      <c r="S77" s="17">
        <f>IFERROR(__xludf.DUMMYFUNCTION("""COMPUTED_VALUE"""),50.0)</f>
        <v/>
      </c>
      <c r="T77" s="350">
        <f>IFERROR(__xludf.DUMMYFUNCTION("""COMPUTED_VALUE"""),"1.37")</f>
        <v/>
      </c>
      <c r="U77" s="351">
        <f>IFERROR(__xludf.DUMMYFUNCTION("""COMPUTED_VALUE"""),"stop有:1回目 0.30
stop有:2回目 0.60")</f>
        <v/>
      </c>
      <c r="V77" s="351" t="n"/>
      <c r="W77" s="351">
        <f>IFERROR(__xludf.DUMMYFUNCTION("""COMPUTED_VALUE"""),"3.00")</f>
        <v/>
      </c>
      <c r="X77" s="351">
        <f>IFERROR(__xludf.DUMMYFUNCTION("""COMPUTED_VALUE"""),"stop無:1回目 1.66")</f>
        <v/>
      </c>
      <c r="Y77" s="351">
        <f>IFERROR(__xludf.DUMMYFUNCTION("""COMPUTED_VALUE"""),"20秒自身の攻撃UP(100%)")</f>
        <v/>
      </c>
      <c r="Z77" s="351">
        <f>IFERROR(__xludf.DUMMYFUNCTION("""COMPUTED_VALUE"""),5.0)</f>
        <v/>
      </c>
      <c r="AA77" s="327" t="n"/>
      <c r="AB77" s="327">
        <f>IFERROR(__xludf.DUMMYFUNCTION("""COMPUTED_VALUE"""),"dageki_2")</f>
        <v/>
      </c>
      <c r="AC77" s="327" t="n"/>
    </row>
    <row r="78">
      <c r="A78" s="339" t="n"/>
      <c r="B78" s="17">
        <f>IFERROR(__xludf.DUMMYFUNCTION("""COMPUTED_VALUE"""),"chara_osh_00201")</f>
        <v/>
      </c>
      <c r="C78" s="295">
        <f>IFERROR(__xludf.DUMMYFUNCTION("""COMPUTED_VALUE"""),"_osh1_advent")</f>
        <v/>
      </c>
      <c r="D78" s="295">
        <f>IFERROR(__xludf.DUMMYFUNCTION("""COMPUTED_VALUE"""),"c_osh_00201_osh1_advent_Boss_Red")</f>
        <v/>
      </c>
      <c r="E78" s="295">
        <f>IFERROR(__xludf.DUMMYFUNCTION("""COMPUTED_VALUE"""),"【推しの子】")</f>
        <v/>
      </c>
      <c r="F78" s="349">
        <f>IFERROR(__xludf.DUMMYFUNCTION("""COMPUTED_VALUE"""),"星野 ルビー")</f>
        <v/>
      </c>
      <c r="G78" s="349">
        <f>IFERROR(__xludf.DUMMYFUNCTION("""COMPUTED_VALUE"""),"星野 ルビー_osh1_advent")</f>
        <v/>
      </c>
      <c r="H78" s="17">
        <f>IFERROR(__xludf.DUMMYFUNCTION("""COMPUTED_VALUE"""),"Boss")</f>
        <v/>
      </c>
      <c r="I78" s="17">
        <f>IFERROR(__xludf.DUMMYFUNCTION("""COMPUTED_VALUE"""),"Attack")</f>
        <v/>
      </c>
      <c r="J78" s="17">
        <f>IFERROR(__xludf.DUMMYFUNCTION("""COMPUTED_VALUE"""),"Red")</f>
        <v/>
      </c>
      <c r="K78" s="17">
        <f>IFERROR(__xludf.DUMMYFUNCTION("""COMPUTED_VALUE"""),10000.0)</f>
        <v/>
      </c>
      <c r="L78" s="17">
        <f>IFERROR(__xludf.DUMMYFUNCTION("""COMPUTED_VALUE"""),1.0)</f>
        <v/>
      </c>
      <c r="M78" s="17">
        <f>IFERROR(__xludf.DUMMYFUNCTION("""COMPUTED_VALUE"""),31.0)</f>
        <v/>
      </c>
      <c r="N78" s="17">
        <f>IFERROR(__xludf.DUMMYFUNCTION("""COMPUTED_VALUE"""),0.22)</f>
        <v/>
      </c>
      <c r="O78" s="17">
        <f>IFERROR(__xludf.DUMMYFUNCTION("""COMPUTED_VALUE"""),100.0)</f>
        <v/>
      </c>
      <c r="P78" s="17">
        <f>IFERROR(__xludf.DUMMYFUNCTION("""COMPUTED_VALUE"""),0.0)</f>
        <v/>
      </c>
      <c r="Q78" s="17">
        <f>IFERROR(__xludf.DUMMYFUNCTION("""COMPUTED_VALUE"""),0.23)</f>
        <v/>
      </c>
      <c r="R78" s="17">
        <f>IFERROR(__xludf.DUMMYFUNCTION("""COMPUTED_VALUE"""),1.0)</f>
        <v/>
      </c>
      <c r="S78" s="17">
        <f>IFERROR(__xludf.DUMMYFUNCTION("""COMPUTED_VALUE"""),100.0)</f>
        <v/>
      </c>
      <c r="T78" s="350">
        <f>IFERROR(__xludf.DUMMYFUNCTION("""COMPUTED_VALUE"""),"1.37")</f>
        <v/>
      </c>
      <c r="U78" s="351">
        <f>IFERROR(__xludf.DUMMYFUNCTION("""COMPUTED_VALUE"""),"stop有:1回目 0.30
stop有:2回目 0.60")</f>
        <v/>
      </c>
      <c r="V78" s="351" t="n"/>
      <c r="W78" s="351">
        <f>IFERROR(__xludf.DUMMYFUNCTION("""COMPUTED_VALUE"""),"3.00")</f>
        <v/>
      </c>
      <c r="X78" s="351">
        <f>IFERROR(__xludf.DUMMYFUNCTION("""COMPUTED_VALUE"""),"stop無:1回目 1.66")</f>
        <v/>
      </c>
      <c r="Y78" s="351">
        <f>IFERROR(__xludf.DUMMYFUNCTION("""COMPUTED_VALUE"""),"20秒自身の攻撃UP(200%)")</f>
        <v/>
      </c>
      <c r="Z78" s="351">
        <f>IFERROR(__xludf.DUMMYFUNCTION("""COMPUTED_VALUE"""),5.0)</f>
        <v/>
      </c>
      <c r="AA78" s="327" t="n"/>
      <c r="AB78" s="327">
        <f>IFERROR(__xludf.DUMMYFUNCTION("""COMPUTED_VALUE"""),"dageki_2")</f>
        <v/>
      </c>
      <c r="AC78" s="327" t="n"/>
    </row>
    <row r="79">
      <c r="A79" s="339" t="n"/>
      <c r="B79" s="17">
        <f>IFERROR(__xludf.DUMMYFUNCTION("""COMPUTED_VALUE"""),"chara_osh_00301")</f>
        <v/>
      </c>
      <c r="C79" s="295">
        <f>IFERROR(__xludf.DUMMYFUNCTION("""COMPUTED_VALUE"""),"_osh1_advent")</f>
        <v/>
      </c>
      <c r="D79" s="295">
        <f>IFERROR(__xludf.DUMMYFUNCTION("""COMPUTED_VALUE"""),"c_osh_00301_osh1_advent_Normal_Yellow")</f>
        <v/>
      </c>
      <c r="E79" s="295">
        <f>IFERROR(__xludf.DUMMYFUNCTION("""COMPUTED_VALUE"""),"【推しの子】")</f>
        <v/>
      </c>
      <c r="F79" s="349">
        <f>IFERROR(__xludf.DUMMYFUNCTION("""COMPUTED_VALUE"""),"MEMちょ")</f>
        <v/>
      </c>
      <c r="G79" s="349">
        <f>IFERROR(__xludf.DUMMYFUNCTION("""COMPUTED_VALUE"""),"MEMちょ_osh1_advent")</f>
        <v/>
      </c>
      <c r="H79" s="17">
        <f>IFERROR(__xludf.DUMMYFUNCTION("""COMPUTED_VALUE"""),"Normal")</f>
        <v/>
      </c>
      <c r="I79" s="17">
        <f>IFERROR(__xludf.DUMMYFUNCTION("""COMPUTED_VALUE"""),"Technical")</f>
        <v/>
      </c>
      <c r="J79" s="17">
        <f>IFERROR(__xludf.DUMMYFUNCTION("""COMPUTED_VALUE"""),"Yellow")</f>
        <v/>
      </c>
      <c r="K79" s="17">
        <f>IFERROR(__xludf.DUMMYFUNCTION("""COMPUTED_VALUE"""),1000.0)</f>
        <v/>
      </c>
      <c r="L79" s="17">
        <f>IFERROR(__xludf.DUMMYFUNCTION("""COMPUTED_VALUE"""),1.0)</f>
        <v/>
      </c>
      <c r="M79" s="17">
        <f>IFERROR(__xludf.DUMMYFUNCTION("""COMPUTED_VALUE"""),37.0)</f>
        <v/>
      </c>
      <c r="N79" s="17">
        <f>IFERROR(__xludf.DUMMYFUNCTION("""COMPUTED_VALUE"""),0.27)</f>
        <v/>
      </c>
      <c r="O79" s="17">
        <f>IFERROR(__xludf.DUMMYFUNCTION("""COMPUTED_VALUE"""),100.0)</f>
        <v/>
      </c>
      <c r="P79" s="17">
        <f>IFERROR(__xludf.DUMMYFUNCTION("""COMPUTED_VALUE"""),0.0)</f>
        <v/>
      </c>
      <c r="Q79" s="17">
        <f>IFERROR(__xludf.DUMMYFUNCTION("""COMPUTED_VALUE"""),0.28)</f>
        <v/>
      </c>
      <c r="R79" s="17">
        <f>IFERROR(__xludf.DUMMYFUNCTION("""COMPUTED_VALUE"""),1.0)</f>
        <v/>
      </c>
      <c r="S79" s="17">
        <f>IFERROR(__xludf.DUMMYFUNCTION("""COMPUTED_VALUE"""),50.0)</f>
        <v/>
      </c>
      <c r="T79" s="350">
        <f>IFERROR(__xludf.DUMMYFUNCTION("""COMPUTED_VALUE"""),"1.13")</f>
        <v/>
      </c>
      <c r="U79" s="351">
        <f>IFERROR(__xludf.DUMMYFUNCTION("""COMPUTED_VALUE"""),"stop無:1回目 0.18
stop無:1回目 0.35
stop無:1回目 0.52")</f>
        <v/>
      </c>
      <c r="V79" s="351" t="n"/>
      <c r="W79" s="351">
        <f>IFERROR(__xludf.DUMMYFUNCTION("""COMPUTED_VALUE"""),"3.33")</f>
        <v/>
      </c>
      <c r="X79" s="351">
        <f>IFERROR(__xludf.DUMMYFUNCTION("""COMPUTED_VALUE"""),"stop無:1回目 1.78")</f>
        <v/>
      </c>
      <c r="Y79" s="351">
        <f>IFERROR(__xludf.DUMMYFUNCTION("""COMPUTED_VALUE"""),"ノックバック中+攻撃ダウン")</f>
        <v/>
      </c>
      <c r="Z79" s="351">
        <f>IFERROR(__xludf.DUMMYFUNCTION("""COMPUTED_VALUE"""),5.0)</f>
        <v/>
      </c>
      <c r="AA79" s="327" t="n"/>
      <c r="AB79" s="327">
        <f>IFERROR(__xludf.DUMMYFUNCTION("""COMPUTED_VALUE"""),"dageki_1")</f>
        <v/>
      </c>
      <c r="AC79" s="327">
        <f>IFERROR(__xludf.DUMMYFUNCTION("""COMPUTED_VALUE"""),"3回目小ノックバック")</f>
        <v/>
      </c>
    </row>
    <row r="80">
      <c r="A80" s="339" t="n"/>
      <c r="B80" s="17">
        <f>IFERROR(__xludf.DUMMYFUNCTION("""COMPUTED_VALUE"""),"chara_osh_00301")</f>
        <v/>
      </c>
      <c r="C80" s="295">
        <f>IFERROR(__xludf.DUMMYFUNCTION("""COMPUTED_VALUE"""),"_osh1_advent")</f>
        <v/>
      </c>
      <c r="D80" s="295">
        <f>IFERROR(__xludf.DUMMYFUNCTION("""COMPUTED_VALUE"""),"c_osh_00301_osh1_advent_Boss_Yellow")</f>
        <v/>
      </c>
      <c r="E80" s="295">
        <f>IFERROR(__xludf.DUMMYFUNCTION("""COMPUTED_VALUE"""),"【推しの子】")</f>
        <v/>
      </c>
      <c r="F80" s="349">
        <f>IFERROR(__xludf.DUMMYFUNCTION("""COMPUTED_VALUE"""),"MEMちょ")</f>
        <v/>
      </c>
      <c r="G80" s="349">
        <f>IFERROR(__xludf.DUMMYFUNCTION("""COMPUTED_VALUE"""),"MEMちょ_osh1_advent")</f>
        <v/>
      </c>
      <c r="H80" s="17">
        <f>IFERROR(__xludf.DUMMYFUNCTION("""COMPUTED_VALUE"""),"Boss")</f>
        <v/>
      </c>
      <c r="I80" s="17">
        <f>IFERROR(__xludf.DUMMYFUNCTION("""COMPUTED_VALUE"""),"Technical")</f>
        <v/>
      </c>
      <c r="J80" s="17">
        <f>IFERROR(__xludf.DUMMYFUNCTION("""COMPUTED_VALUE"""),"Yellow")</f>
        <v/>
      </c>
      <c r="K80" s="17">
        <f>IFERROR(__xludf.DUMMYFUNCTION("""COMPUTED_VALUE"""),10000.0)</f>
        <v/>
      </c>
      <c r="L80" s="17">
        <f>IFERROR(__xludf.DUMMYFUNCTION("""COMPUTED_VALUE"""),1.0)</f>
        <v/>
      </c>
      <c r="M80" s="17">
        <f>IFERROR(__xludf.DUMMYFUNCTION("""COMPUTED_VALUE"""),31.0)</f>
        <v/>
      </c>
      <c r="N80" s="17">
        <f>IFERROR(__xludf.DUMMYFUNCTION("""COMPUTED_VALUE"""),0.27)</f>
        <v/>
      </c>
      <c r="O80" s="17">
        <f>IFERROR(__xludf.DUMMYFUNCTION("""COMPUTED_VALUE"""),100.0)</f>
        <v/>
      </c>
      <c r="P80" s="17">
        <f>IFERROR(__xludf.DUMMYFUNCTION("""COMPUTED_VALUE"""),0.0)</f>
        <v/>
      </c>
      <c r="Q80" s="17">
        <f>IFERROR(__xludf.DUMMYFUNCTION("""COMPUTED_VALUE"""),0.28)</f>
        <v/>
      </c>
      <c r="R80" s="17">
        <f>IFERROR(__xludf.DUMMYFUNCTION("""COMPUTED_VALUE"""),1.0)</f>
        <v/>
      </c>
      <c r="S80" s="17">
        <f>IFERROR(__xludf.DUMMYFUNCTION("""COMPUTED_VALUE"""),100.0)</f>
        <v/>
      </c>
      <c r="T80" s="350">
        <f>IFERROR(__xludf.DUMMYFUNCTION("""COMPUTED_VALUE"""),"1.13")</f>
        <v/>
      </c>
      <c r="U80" s="351">
        <f>IFERROR(__xludf.DUMMYFUNCTION("""COMPUTED_VALUE"""),"stop無:1回目 0.18
stop無:1回目 0.35
stop無:1回目 0.52")</f>
        <v/>
      </c>
      <c r="V80" s="351" t="n"/>
      <c r="W80" s="351">
        <f>IFERROR(__xludf.DUMMYFUNCTION("""COMPUTED_VALUE"""),"3.33")</f>
        <v/>
      </c>
      <c r="X80" s="351">
        <f>IFERROR(__xludf.DUMMYFUNCTION("""COMPUTED_VALUE"""),"stop無:1回目 1.78")</f>
        <v/>
      </c>
      <c r="Y80" s="351">
        <f>IFERROR(__xludf.DUMMYFUNCTION("""COMPUTED_VALUE"""),"ノックバック大+攻撃ダウン")</f>
        <v/>
      </c>
      <c r="Z80" s="351">
        <f>IFERROR(__xludf.DUMMYFUNCTION("""COMPUTED_VALUE"""),5.0)</f>
        <v/>
      </c>
      <c r="AA80" s="327" t="n"/>
      <c r="AB80" s="327">
        <f>IFERROR(__xludf.DUMMYFUNCTION("""COMPUTED_VALUE"""),"dageki_1")</f>
        <v/>
      </c>
      <c r="AC80" s="327">
        <f>IFERROR(__xludf.DUMMYFUNCTION("""COMPUTED_VALUE"""),"3回目小ノックバック")</f>
        <v/>
      </c>
    </row>
    <row r="81">
      <c r="A81" s="339" t="n"/>
      <c r="B81" s="17">
        <f>IFERROR(__xludf.DUMMYFUNCTION("""COMPUTED_VALUE"""),"chara_osh_00401")</f>
        <v/>
      </c>
      <c r="C81" s="295">
        <f>IFERROR(__xludf.DUMMYFUNCTION("""COMPUTED_VALUE"""),"_osh1_advent")</f>
        <v/>
      </c>
      <c r="D81" s="295">
        <f>IFERROR(__xludf.DUMMYFUNCTION("""COMPUTED_VALUE"""),"c_osh_00401_osh1_advent_Normal_Colorless")</f>
        <v/>
      </c>
      <c r="E81" s="295">
        <f>IFERROR(__xludf.DUMMYFUNCTION("""COMPUTED_VALUE"""),"【推しの子】")</f>
        <v/>
      </c>
      <c r="F81" s="349">
        <f>IFERROR(__xludf.DUMMYFUNCTION("""COMPUTED_VALUE"""),"有馬 かな")</f>
        <v/>
      </c>
      <c r="G81" s="349">
        <f>IFERROR(__xludf.DUMMYFUNCTION("""COMPUTED_VALUE"""),"有馬 かな_osh1_advent")</f>
        <v/>
      </c>
      <c r="H81" s="17">
        <f>IFERROR(__xludf.DUMMYFUNCTION("""COMPUTED_VALUE"""),"Normal")</f>
        <v/>
      </c>
      <c r="I81" s="17">
        <f>IFERROR(__xludf.DUMMYFUNCTION("""COMPUTED_VALUE"""),"Technical")</f>
        <v/>
      </c>
      <c r="J81" s="17">
        <f>IFERROR(__xludf.DUMMYFUNCTION("""COMPUTED_VALUE"""),"Colorless")</f>
        <v/>
      </c>
      <c r="K81" s="17">
        <f>IFERROR(__xludf.DUMMYFUNCTION("""COMPUTED_VALUE"""),1000.0)</f>
        <v/>
      </c>
      <c r="L81" s="17">
        <f>IFERROR(__xludf.DUMMYFUNCTION("""COMPUTED_VALUE"""),1.0)</f>
        <v/>
      </c>
      <c r="M81" s="17">
        <f>IFERROR(__xludf.DUMMYFUNCTION("""COMPUTED_VALUE"""),37.0)</f>
        <v/>
      </c>
      <c r="N81" s="17">
        <f>IFERROR(__xludf.DUMMYFUNCTION("""COMPUTED_VALUE"""),0.24)</f>
        <v/>
      </c>
      <c r="O81" s="17">
        <f>IFERROR(__xludf.DUMMYFUNCTION("""COMPUTED_VALUE"""),100.0)</f>
        <v/>
      </c>
      <c r="P81" s="17">
        <f>IFERROR(__xludf.DUMMYFUNCTION("""COMPUTED_VALUE"""),0.0)</f>
        <v/>
      </c>
      <c r="Q81" s="17">
        <f>IFERROR(__xludf.DUMMYFUNCTION("""COMPUTED_VALUE"""),0.25)</f>
        <v/>
      </c>
      <c r="R81" s="17">
        <f>IFERROR(__xludf.DUMMYFUNCTION("""COMPUTED_VALUE"""),1.0)</f>
        <v/>
      </c>
      <c r="S81" s="17">
        <f>IFERROR(__xludf.DUMMYFUNCTION("""COMPUTED_VALUE"""),50.0)</f>
        <v/>
      </c>
      <c r="T81" s="350">
        <f>IFERROR(__xludf.DUMMYFUNCTION("""COMPUTED_VALUE"""),"1.17")</f>
        <v/>
      </c>
      <c r="U81" s="351">
        <f>IFERROR(__xludf.DUMMYFUNCTION("""COMPUTED_VALUE"""),"0.5")</f>
        <v/>
      </c>
      <c r="V81" s="351" t="n"/>
      <c r="W81" s="351">
        <f>IFERROR(__xludf.DUMMYFUNCTION("""COMPUTED_VALUE"""),"2.47")</f>
        <v/>
      </c>
      <c r="X81" s="351">
        <f>IFERROR(__xludf.DUMMYFUNCTION("""COMPUTED_VALUE"""),"stop無:1回目 1.00")</f>
        <v/>
      </c>
      <c r="Y81" s="351">
        <f>IFERROR(__xludf.DUMMYFUNCTION("""COMPUTED_VALUE"""),"火傷")</f>
        <v/>
      </c>
      <c r="Z81" s="351">
        <f>IFERROR(__xludf.DUMMYFUNCTION("""COMPUTED_VALUE"""),5.0)</f>
        <v/>
      </c>
      <c r="AA81" s="327" t="n"/>
      <c r="AB81" s="327">
        <f>IFERROR(__xludf.DUMMYFUNCTION("""COMPUTED_VALUE"""),"dageki_2")</f>
        <v/>
      </c>
      <c r="AC81" s="327" t="n"/>
    </row>
    <row r="82">
      <c r="A82" s="339" t="n"/>
      <c r="B82" s="17">
        <f>IFERROR(__xludf.DUMMYFUNCTION("""COMPUTED_VALUE"""),"chara_osh_00401")</f>
        <v/>
      </c>
      <c r="C82" s="295">
        <f>IFERROR(__xludf.DUMMYFUNCTION("""COMPUTED_VALUE"""),"_osh1_advent")</f>
        <v/>
      </c>
      <c r="D82" s="295">
        <f>IFERROR(__xludf.DUMMYFUNCTION("""COMPUTED_VALUE"""),"c_osh_00401_osh1_advent_Boss_Colorless")</f>
        <v/>
      </c>
      <c r="E82" s="295">
        <f>IFERROR(__xludf.DUMMYFUNCTION("""COMPUTED_VALUE"""),"【推しの子】")</f>
        <v/>
      </c>
      <c r="F82" s="349">
        <f>IFERROR(__xludf.DUMMYFUNCTION("""COMPUTED_VALUE"""),"有馬 かな")</f>
        <v/>
      </c>
      <c r="G82" s="349">
        <f>IFERROR(__xludf.DUMMYFUNCTION("""COMPUTED_VALUE"""),"有馬 かな_osh1_advent")</f>
        <v/>
      </c>
      <c r="H82" s="17">
        <f>IFERROR(__xludf.DUMMYFUNCTION("""COMPUTED_VALUE"""),"Boss")</f>
        <v/>
      </c>
      <c r="I82" s="17">
        <f>IFERROR(__xludf.DUMMYFUNCTION("""COMPUTED_VALUE"""),"Technical")</f>
        <v/>
      </c>
      <c r="J82" s="17">
        <f>IFERROR(__xludf.DUMMYFUNCTION("""COMPUTED_VALUE"""),"Colorless")</f>
        <v/>
      </c>
      <c r="K82" s="17">
        <f>IFERROR(__xludf.DUMMYFUNCTION("""COMPUTED_VALUE"""),10000.0)</f>
        <v/>
      </c>
      <c r="L82" s="17">
        <f>IFERROR(__xludf.DUMMYFUNCTION("""COMPUTED_VALUE"""),1.0)</f>
        <v/>
      </c>
      <c r="M82" s="17">
        <f>IFERROR(__xludf.DUMMYFUNCTION("""COMPUTED_VALUE"""),31.0)</f>
        <v/>
      </c>
      <c r="N82" s="17">
        <f>IFERROR(__xludf.DUMMYFUNCTION("""COMPUTED_VALUE"""),0.24)</f>
        <v/>
      </c>
      <c r="O82" s="17">
        <f>IFERROR(__xludf.DUMMYFUNCTION("""COMPUTED_VALUE"""),100.0)</f>
        <v/>
      </c>
      <c r="P82" s="17">
        <f>IFERROR(__xludf.DUMMYFUNCTION("""COMPUTED_VALUE"""),0.0)</f>
        <v/>
      </c>
      <c r="Q82" s="17">
        <f>IFERROR(__xludf.DUMMYFUNCTION("""COMPUTED_VALUE"""),0.25)</f>
        <v/>
      </c>
      <c r="R82" s="17">
        <f>IFERROR(__xludf.DUMMYFUNCTION("""COMPUTED_VALUE"""),1.0)</f>
        <v/>
      </c>
      <c r="S82" s="17">
        <f>IFERROR(__xludf.DUMMYFUNCTION("""COMPUTED_VALUE"""),100.0)</f>
        <v/>
      </c>
      <c r="T82" s="350">
        <f>IFERROR(__xludf.DUMMYFUNCTION("""COMPUTED_VALUE"""),"1.17")</f>
        <v/>
      </c>
      <c r="U82" s="351">
        <f>IFERROR(__xludf.DUMMYFUNCTION("""COMPUTED_VALUE"""),"0.5")</f>
        <v/>
      </c>
      <c r="V82" s="351" t="n"/>
      <c r="W82" s="351">
        <f>IFERROR(__xludf.DUMMYFUNCTION("""COMPUTED_VALUE"""),"2.47")</f>
        <v/>
      </c>
      <c r="X82" s="351">
        <f>IFERROR(__xludf.DUMMYFUNCTION("""COMPUTED_VALUE"""),"stop無:1回目 1.00")</f>
        <v/>
      </c>
      <c r="Y82" s="351">
        <f>IFERROR(__xludf.DUMMYFUNCTION("""COMPUTED_VALUE"""),"火傷")</f>
        <v/>
      </c>
      <c r="Z82" s="351">
        <f>IFERROR(__xludf.DUMMYFUNCTION("""COMPUTED_VALUE"""),5.0)</f>
        <v/>
      </c>
      <c r="AA82" s="327" t="n"/>
      <c r="AB82" s="327">
        <f>IFERROR(__xludf.DUMMYFUNCTION("""COMPUTED_VALUE"""),"dageki_2")</f>
        <v/>
      </c>
      <c r="AC82" s="327" t="n"/>
    </row>
    <row r="83">
      <c r="A83" s="339" t="n"/>
      <c r="B83" s="17">
        <f>IFERROR(__xludf.DUMMYFUNCTION("""COMPUTED_VALUE"""),"enemy_glo_00002")</f>
        <v/>
      </c>
      <c r="C83" s="295">
        <f>IFERROR(__xludf.DUMMYFUNCTION("""COMPUTED_VALUE"""),"_osh1_advent")</f>
        <v/>
      </c>
      <c r="D83" s="295">
        <f>IFERROR(__xludf.DUMMYFUNCTION("""COMPUTED_VALUE"""),"e_glo_00002_osh1_advent_Normal_Colorless")</f>
        <v/>
      </c>
      <c r="E83" s="295">
        <f>IFERROR(__xludf.DUMMYFUNCTION("""COMPUTED_VALUE"""),"GLOW")</f>
        <v/>
      </c>
      <c r="F83" s="349">
        <f>IFERROR(__xludf.DUMMYFUNCTION("""COMPUTED_VALUE"""),"推し活ファントム")</f>
        <v/>
      </c>
      <c r="G83" s="349">
        <f>IFERROR(__xludf.DUMMYFUNCTION("""COMPUTED_VALUE"""),"サイリウム持ちファントム_osh1_advent")</f>
        <v/>
      </c>
      <c r="H83" s="17">
        <f>IFERROR(__xludf.DUMMYFUNCTION("""COMPUTED_VALUE"""),"Normal")</f>
        <v/>
      </c>
      <c r="I83" s="17">
        <f>IFERROR(__xludf.DUMMYFUNCTION("""COMPUTED_VALUE"""),"Defense")</f>
        <v/>
      </c>
      <c r="J83" s="17">
        <f>IFERROR(__xludf.DUMMYFUNCTION("""COMPUTED_VALUE"""),"Colorless")</f>
        <v/>
      </c>
      <c r="K83" s="17">
        <f>IFERROR(__xludf.DUMMYFUNCTION("""COMPUTED_VALUE"""),1000.0)</f>
        <v/>
      </c>
      <c r="L83" s="17">
        <f>IFERROR(__xludf.DUMMYFUNCTION("""COMPUTED_VALUE"""),0.0)</f>
        <v/>
      </c>
      <c r="M83" s="17">
        <f>IFERROR(__xludf.DUMMYFUNCTION("""COMPUTED_VALUE"""),20.0)</f>
        <v/>
      </c>
      <c r="N83" s="17">
        <f>IFERROR(__xludf.DUMMYFUNCTION("""COMPUTED_VALUE"""),0.22)</f>
        <v/>
      </c>
      <c r="O83" s="17">
        <f>IFERROR(__xludf.DUMMYFUNCTION("""COMPUTED_VALUE"""),100.0)</f>
        <v/>
      </c>
      <c r="P83" s="17">
        <f>IFERROR(__xludf.DUMMYFUNCTION("""COMPUTED_VALUE"""),0.0)</f>
        <v/>
      </c>
      <c r="Q83" s="17">
        <f>IFERROR(__xludf.DUMMYFUNCTION("""COMPUTED_VALUE"""),0.23)</f>
        <v/>
      </c>
      <c r="R83" s="17">
        <f>IFERROR(__xludf.DUMMYFUNCTION("""COMPUTED_VALUE"""),1.0)</f>
        <v/>
      </c>
      <c r="S83" s="17">
        <f>IFERROR(__xludf.DUMMYFUNCTION("""COMPUTED_VALUE"""),5.0)</f>
        <v/>
      </c>
      <c r="T83" s="350">
        <f>IFERROR(__xludf.DUMMYFUNCTION("""COMPUTED_VALUE"""),"1.17")</f>
        <v/>
      </c>
      <c r="U83" s="351">
        <f>IFERROR(__xludf.DUMMYFUNCTION("""COMPUTED_VALUE"""),"stop有:1回目 0.6")</f>
        <v/>
      </c>
      <c r="V83" s="351" t="n"/>
      <c r="W83" s="351" t="n"/>
      <c r="X83" s="351" t="n"/>
      <c r="Y83" s="351" t="n"/>
      <c r="Z83" s="351">
        <f>IFERROR(__xludf.DUMMYFUNCTION("""COMPUTED_VALUE"""),"-")</f>
        <v/>
      </c>
      <c r="AA83" s="327" t="n"/>
      <c r="AB83" s="327">
        <f>IFERROR(__xludf.DUMMYFUNCTION("""COMPUTED_VALUE"""),"dageki_1")</f>
        <v/>
      </c>
      <c r="AC83" s="327">
        <f>IFERROR(__xludf.DUMMYFUNCTION("""COMPUTED_VALUE"""),"100%ノックバック小")</f>
        <v/>
      </c>
    </row>
    <row r="84">
      <c r="A84" s="339" t="n"/>
      <c r="B84" s="17">
        <f>IFERROR(__xludf.DUMMYFUNCTION("""COMPUTED_VALUE"""),"enemy_glo_00002")</f>
        <v/>
      </c>
      <c r="C84" s="295">
        <f>IFERROR(__xludf.DUMMYFUNCTION("""COMPUTED_VALUE"""),"_osh1_advent")</f>
        <v/>
      </c>
      <c r="D84" s="295">
        <f>IFERROR(__xludf.DUMMYFUNCTION("""COMPUTED_VALUE"""),"e_glo_00002_osh1_advent_Normal_Green")</f>
        <v/>
      </c>
      <c r="E84" s="295">
        <f>IFERROR(__xludf.DUMMYFUNCTION("""COMPUTED_VALUE"""),"GLOW")</f>
        <v/>
      </c>
      <c r="F84" s="349">
        <f>IFERROR(__xludf.DUMMYFUNCTION("""COMPUTED_VALUE"""),"推し活ファントム")</f>
        <v/>
      </c>
      <c r="G84" s="349">
        <f>IFERROR(__xludf.DUMMYFUNCTION("""COMPUTED_VALUE"""),"サイリウム持ちファントム_osh1_advent")</f>
        <v/>
      </c>
      <c r="H84" s="17">
        <f>IFERROR(__xludf.DUMMYFUNCTION("""COMPUTED_VALUE"""),"Normal")</f>
        <v/>
      </c>
      <c r="I84" s="17">
        <f>IFERROR(__xludf.DUMMYFUNCTION("""COMPUTED_VALUE"""),"Attack")</f>
        <v/>
      </c>
      <c r="J84" s="17">
        <f>IFERROR(__xludf.DUMMYFUNCTION("""COMPUTED_VALUE"""),"Green")</f>
        <v/>
      </c>
      <c r="K84" s="17">
        <f>IFERROR(__xludf.DUMMYFUNCTION("""COMPUTED_VALUE"""),1000.0)</f>
        <v/>
      </c>
      <c r="L84" s="17">
        <f>IFERROR(__xludf.DUMMYFUNCTION("""COMPUTED_VALUE"""),1.0)</f>
        <v/>
      </c>
      <c r="M84" s="17">
        <f>IFERROR(__xludf.DUMMYFUNCTION("""COMPUTED_VALUE"""),47.0)</f>
        <v/>
      </c>
      <c r="N84" s="17">
        <f>IFERROR(__xludf.DUMMYFUNCTION("""COMPUTED_VALUE"""),0.22)</f>
        <v/>
      </c>
      <c r="O84" s="17">
        <f>IFERROR(__xludf.DUMMYFUNCTION("""COMPUTED_VALUE"""),100.0)</f>
        <v/>
      </c>
      <c r="P84" s="17">
        <f>IFERROR(__xludf.DUMMYFUNCTION("""COMPUTED_VALUE"""),0.0)</f>
        <v/>
      </c>
      <c r="Q84" s="17">
        <f>IFERROR(__xludf.DUMMYFUNCTION("""COMPUTED_VALUE"""),0.23)</f>
        <v/>
      </c>
      <c r="R84" s="17">
        <f>IFERROR(__xludf.DUMMYFUNCTION("""COMPUTED_VALUE"""),1.0)</f>
        <v/>
      </c>
      <c r="S84" s="17">
        <f>IFERROR(__xludf.DUMMYFUNCTION("""COMPUTED_VALUE"""),50.0)</f>
        <v/>
      </c>
      <c r="T84" s="350">
        <f>IFERROR(__xludf.DUMMYFUNCTION("""COMPUTED_VALUE"""),"1.17")</f>
        <v/>
      </c>
      <c r="U84" s="351">
        <f>IFERROR(__xludf.DUMMYFUNCTION("""COMPUTED_VALUE"""),"stop有:1回目 0.6")</f>
        <v/>
      </c>
      <c r="V84" s="351" t="n"/>
      <c r="W84" s="351" t="n"/>
      <c r="X84" s="351" t="n"/>
      <c r="Y84" s="351" t="n"/>
      <c r="Z84" s="351">
        <f>IFERROR(__xludf.DUMMYFUNCTION("""COMPUTED_VALUE"""),"-")</f>
        <v/>
      </c>
      <c r="AA84" s="327" t="n"/>
      <c r="AB84" s="327">
        <f>IFERROR(__xludf.DUMMYFUNCTION("""COMPUTED_VALUE"""),"dageki_1")</f>
        <v/>
      </c>
      <c r="AC84" s="327" t="n"/>
    </row>
    <row r="85">
      <c r="A85" s="339" t="n"/>
      <c r="B85" s="17">
        <f>IFERROR(__xludf.DUMMYFUNCTION("""COMPUTED_VALUE"""),"enemy_glo_00002")</f>
        <v/>
      </c>
      <c r="C85" s="295">
        <f>IFERROR(__xludf.DUMMYFUNCTION("""COMPUTED_VALUE"""),"_osh1_advent")</f>
        <v/>
      </c>
      <c r="D85" s="295">
        <f>IFERROR(__xludf.DUMMYFUNCTION("""COMPUTED_VALUE"""),"e_glo_00002_osh1_advent_Boss_Green")</f>
        <v/>
      </c>
      <c r="E85" s="295">
        <f>IFERROR(__xludf.DUMMYFUNCTION("""COMPUTED_VALUE"""),"GLOW")</f>
        <v/>
      </c>
      <c r="F85" s="349">
        <f>IFERROR(__xludf.DUMMYFUNCTION("""COMPUTED_VALUE"""),"推し活ファントム")</f>
        <v/>
      </c>
      <c r="G85" s="349">
        <f>IFERROR(__xludf.DUMMYFUNCTION("""COMPUTED_VALUE"""),"サイリウム持ちファントム_osh1_advent")</f>
        <v/>
      </c>
      <c r="H85" s="17">
        <f>IFERROR(__xludf.DUMMYFUNCTION("""COMPUTED_VALUE"""),"Boss")</f>
        <v/>
      </c>
      <c r="I85" s="17">
        <f>IFERROR(__xludf.DUMMYFUNCTION("""COMPUTED_VALUE"""),"Attack")</f>
        <v/>
      </c>
      <c r="J85" s="17">
        <f>IFERROR(__xludf.DUMMYFUNCTION("""COMPUTED_VALUE"""),"Green")</f>
        <v/>
      </c>
      <c r="K85" s="17">
        <f>IFERROR(__xludf.DUMMYFUNCTION("""COMPUTED_VALUE"""),10000.0)</f>
        <v/>
      </c>
      <c r="L85" s="17">
        <f>IFERROR(__xludf.DUMMYFUNCTION("""COMPUTED_VALUE"""),1.0)</f>
        <v/>
      </c>
      <c r="M85" s="17">
        <f>IFERROR(__xludf.DUMMYFUNCTION("""COMPUTED_VALUE"""),45.0)</f>
        <v/>
      </c>
      <c r="N85" s="17">
        <f>IFERROR(__xludf.DUMMYFUNCTION("""COMPUTED_VALUE"""),0.22)</f>
        <v/>
      </c>
      <c r="O85" s="17">
        <f>IFERROR(__xludf.DUMMYFUNCTION("""COMPUTED_VALUE"""),100.0)</f>
        <v/>
      </c>
      <c r="P85" s="17">
        <f>IFERROR(__xludf.DUMMYFUNCTION("""COMPUTED_VALUE"""),0.0)</f>
        <v/>
      </c>
      <c r="Q85" s="17">
        <f>IFERROR(__xludf.DUMMYFUNCTION("""COMPUTED_VALUE"""),0.23)</f>
        <v/>
      </c>
      <c r="R85" s="17">
        <f>IFERROR(__xludf.DUMMYFUNCTION("""COMPUTED_VALUE"""),1.0)</f>
        <v/>
      </c>
      <c r="S85" s="17">
        <f>IFERROR(__xludf.DUMMYFUNCTION("""COMPUTED_VALUE"""),100.0)</f>
        <v/>
      </c>
      <c r="T85" s="350">
        <f>IFERROR(__xludf.DUMMYFUNCTION("""COMPUTED_VALUE"""),"1.17")</f>
        <v/>
      </c>
      <c r="U85" s="351">
        <f>IFERROR(__xludf.DUMMYFUNCTION("""COMPUTED_VALUE"""),"stop有:1回目 0.6")</f>
        <v/>
      </c>
      <c r="V85" s="351" t="n"/>
      <c r="W85" s="351" t="n"/>
      <c r="X85" s="351" t="n"/>
      <c r="Y85" s="351" t="n"/>
      <c r="Z85" s="351">
        <f>IFERROR(__xludf.DUMMYFUNCTION("""COMPUTED_VALUE"""),"-")</f>
        <v/>
      </c>
      <c r="AA85" s="327" t="n"/>
      <c r="AB85" s="327">
        <f>IFERROR(__xludf.DUMMYFUNCTION("""COMPUTED_VALUE"""),"dageki_1")</f>
        <v/>
      </c>
      <c r="AC85" s="327" t="n"/>
    </row>
    <row r="86">
      <c r="A86" s="339" t="n"/>
      <c r="B86" s="17" t="n"/>
      <c r="C86" s="295" t="n"/>
      <c r="D86" s="295">
        <f>IFERROR(__xludf.DUMMYFUNCTION("""COMPUTED_VALUE"""),"___")</f>
        <v/>
      </c>
      <c r="E86" s="295">
        <f>IFERROR(__xludf.DUMMYFUNCTION("""COMPUTED_VALUE"""),"none")</f>
        <v/>
      </c>
      <c r="F86" s="349">
        <f>IFERROR(__xludf.DUMMYFUNCTION("""COMPUTED_VALUE"""),"none")</f>
        <v/>
      </c>
      <c r="G86" s="349">
        <f>IFERROR(__xludf.DUMMYFUNCTION("""COMPUTED_VALUE"""),"none")</f>
        <v/>
      </c>
      <c r="H86" s="17" t="n"/>
      <c r="I86" s="17">
        <f>IFERROR(__xludf.DUMMYFUNCTION("""COMPUTED_VALUE"""),"none")</f>
        <v/>
      </c>
      <c r="J86" s="17" t="n"/>
      <c r="K86" s="17" t="n"/>
      <c r="L86" s="17" t="n"/>
      <c r="M86" s="17" t="n"/>
      <c r="N86" s="17" t="n"/>
      <c r="O86" s="17" t="n"/>
      <c r="P86" s="17" t="n"/>
      <c r="Q86" s="17" t="n"/>
      <c r="R86" s="17" t="n"/>
      <c r="S86" s="17" t="n"/>
      <c r="T86" s="350">
        <f>IFERROR(__xludf.DUMMYFUNCTION("""COMPUTED_VALUE"""),"none")</f>
        <v/>
      </c>
      <c r="U86" s="351">
        <f>IFERROR(__xludf.DUMMYFUNCTION("""COMPUTED_VALUE"""),"none")</f>
        <v/>
      </c>
      <c r="V86" s="351" t="n"/>
      <c r="W86" s="351">
        <f>IFERROR(__xludf.DUMMYFUNCTION("""COMPUTED_VALUE"""),"none")</f>
        <v/>
      </c>
      <c r="X86" s="351">
        <f>IFERROR(__xludf.DUMMYFUNCTION("""COMPUTED_VALUE"""),"none")</f>
        <v/>
      </c>
      <c r="Y86" s="351" t="n"/>
      <c r="Z86" s="351">
        <f>IFERROR(__xludf.DUMMYFUNCTION("""COMPUTED_VALUE"""),"-")</f>
        <v/>
      </c>
      <c r="AA86" s="327" t="n"/>
      <c r="AB86" s="327">
        <f>IFERROR(__xludf.DUMMYFUNCTION("""COMPUTED_VALUE"""),"none")</f>
        <v/>
      </c>
      <c r="AC86" s="327" t="n"/>
    </row>
    <row r="87">
      <c r="A87" s="339" t="n"/>
      <c r="B87" s="17">
        <f>IFERROR(__xludf.DUMMYFUNCTION("""COMPUTED_VALUE"""),"enemy_jig_00601")</f>
        <v/>
      </c>
      <c r="C87" s="295">
        <f>IFERROR(__xludf.DUMMYFUNCTION("""COMPUTED_VALUE"""),"_jig1_advent")</f>
        <v/>
      </c>
      <c r="D87" s="295">
        <f>IFERROR(__xludf.DUMMYFUNCTION("""COMPUTED_VALUE"""),"e_jig_00601_jig1_advent_Boss_Yellow")</f>
        <v/>
      </c>
      <c r="E87" s="295">
        <f>IFERROR(__xludf.DUMMYFUNCTION("""COMPUTED_VALUE"""),"地獄楽")</f>
        <v/>
      </c>
      <c r="F87" s="349">
        <f>IFERROR(__xludf.DUMMYFUNCTION("""COMPUTED_VALUE"""),"朱槿")</f>
        <v/>
      </c>
      <c r="G87" s="349">
        <f>IFERROR(__xludf.DUMMYFUNCTION("""COMPUTED_VALUE"""),"朱槿_jig1_advent")</f>
        <v/>
      </c>
      <c r="H87" s="17">
        <f>IFERROR(__xludf.DUMMYFUNCTION("""COMPUTED_VALUE"""),"Boss")</f>
        <v/>
      </c>
      <c r="I87" s="17">
        <f>IFERROR(__xludf.DUMMYFUNCTION("""COMPUTED_VALUE"""),"Technical")</f>
        <v/>
      </c>
      <c r="J87" s="17">
        <f>IFERROR(__xludf.DUMMYFUNCTION("""COMPUTED_VALUE"""),"Yellow")</f>
        <v/>
      </c>
      <c r="K87" s="17">
        <f>IFERROR(__xludf.DUMMYFUNCTION("""COMPUTED_VALUE"""),100000.0)</f>
        <v/>
      </c>
      <c r="L87" s="17">
        <f>IFERROR(__xludf.DUMMYFUNCTION("""COMPUTED_VALUE"""),0.0)</f>
        <v/>
      </c>
      <c r="M87" s="17">
        <f>IFERROR(__xludf.DUMMYFUNCTION("""COMPUTED_VALUE"""),40.0)</f>
        <v/>
      </c>
      <c r="N87" s="17">
        <f>IFERROR(__xludf.DUMMYFUNCTION("""COMPUTED_VALUE"""),0.3)</f>
        <v/>
      </c>
      <c r="O87" s="17">
        <f>IFERROR(__xludf.DUMMYFUNCTION("""COMPUTED_VALUE"""),300.0)</f>
        <v/>
      </c>
      <c r="P87" s="17">
        <f>IFERROR(__xludf.DUMMYFUNCTION("""COMPUTED_VALUE"""),0.0)</f>
        <v/>
      </c>
      <c r="Q87" s="17">
        <f>IFERROR(__xludf.DUMMYFUNCTION("""COMPUTED_VALUE"""),0.7)</f>
        <v/>
      </c>
      <c r="R87" s="17">
        <f>IFERROR(__xludf.DUMMYFUNCTION("""COMPUTED_VALUE"""),100.0)</f>
        <v/>
      </c>
      <c r="S87" s="17">
        <f>IFERROR(__xludf.DUMMYFUNCTION("""COMPUTED_VALUE"""),200.0)</f>
        <v/>
      </c>
      <c r="T87" s="350">
        <f>IFERROR(__xludf.DUMMYFUNCTION("""COMPUTED_VALUE"""),"1.5")</f>
        <v/>
      </c>
      <c r="U87" s="351">
        <f>IFERROR(__xludf.DUMMYFUNCTION("""COMPUTED_VALUE"""),"0.75")</f>
        <v/>
      </c>
      <c r="V87" s="351">
        <f>IFERROR(__xludf.DUMMYFUNCTION("""COMPUTED_VALUE"""),60.0)</f>
        <v/>
      </c>
      <c r="W87" s="351">
        <f>IFERROR(__xludf.DUMMYFUNCTION("""COMPUTED_VALUE"""),"-")</f>
        <v/>
      </c>
      <c r="X87" s="351">
        <f>IFERROR(__xludf.DUMMYFUNCTION("""COMPUTED_VALUE"""),"-")</f>
        <v/>
      </c>
      <c r="Y87" s="351" t="n"/>
      <c r="Z87" s="351">
        <f>IFERROR(__xludf.DUMMYFUNCTION("""COMPUTED_VALUE"""),"-")</f>
        <v/>
      </c>
      <c r="AA87" s="327" t="n"/>
      <c r="AB87" s="327" t="n"/>
      <c r="AC87" s="327" t="n"/>
    </row>
    <row r="88">
      <c r="A88" s="339" t="n"/>
      <c r="B88" s="17">
        <f>IFERROR(__xludf.DUMMYFUNCTION("""COMPUTED_VALUE"""),"enemy_jig_00401")</f>
        <v/>
      </c>
      <c r="C88" s="295">
        <f>IFERROR(__xludf.DUMMYFUNCTION("""COMPUTED_VALUE"""),"_jig1_advent")</f>
        <v/>
      </c>
      <c r="D88" s="295">
        <f>IFERROR(__xludf.DUMMYFUNCTION("""COMPUTED_VALUE"""),"e_jig_00401_jig1_advent_Normal_Colorless")</f>
        <v/>
      </c>
      <c r="E88" s="295">
        <f>IFERROR(__xludf.DUMMYFUNCTION("""COMPUTED_VALUE"""),"地獄楽")</f>
        <v/>
      </c>
      <c r="F88" s="349">
        <f>IFERROR(__xludf.DUMMYFUNCTION("""COMPUTED_VALUE"""),"極楽蝶")</f>
        <v/>
      </c>
      <c r="G88" s="349">
        <f>IFERROR(__xludf.DUMMYFUNCTION("""COMPUTED_VALUE"""),"極楽蝶_jig1_advent")</f>
        <v/>
      </c>
      <c r="H88" s="17">
        <f>IFERROR(__xludf.DUMMYFUNCTION("""COMPUTED_VALUE"""),"Normal")</f>
        <v/>
      </c>
      <c r="I88" s="17">
        <f>IFERROR(__xludf.DUMMYFUNCTION("""COMPUTED_VALUE"""),"Technical")</f>
        <v/>
      </c>
      <c r="J88" s="17">
        <f>IFERROR(__xludf.DUMMYFUNCTION("""COMPUTED_VALUE"""),"Colorless")</f>
        <v/>
      </c>
      <c r="K88" s="17">
        <f>IFERROR(__xludf.DUMMYFUNCTION("""COMPUTED_VALUE"""),1000.0)</f>
        <v/>
      </c>
      <c r="L88" s="17">
        <f>IFERROR(__xludf.DUMMYFUNCTION("""COMPUTED_VALUE"""),0.0)</f>
        <v/>
      </c>
      <c r="M88" s="17">
        <f>IFERROR(__xludf.DUMMYFUNCTION("""COMPUTED_VALUE"""),120.0)</f>
        <v/>
      </c>
      <c r="N88" s="17">
        <f>IFERROR(__xludf.DUMMYFUNCTION("""COMPUTED_VALUE"""),0.15)</f>
        <v/>
      </c>
      <c r="O88" s="17">
        <f>IFERROR(__xludf.DUMMYFUNCTION("""COMPUTED_VALUE"""),400.0)</f>
        <v/>
      </c>
      <c r="P88" s="17">
        <f>IFERROR(__xludf.DUMMYFUNCTION("""COMPUTED_VALUE"""),0.0)</f>
        <v/>
      </c>
      <c r="Q88" s="17">
        <f>IFERROR(__xludf.DUMMYFUNCTION("""COMPUTED_VALUE"""),0.25)</f>
        <v/>
      </c>
      <c r="R88" s="17">
        <f>IFERROR(__xludf.DUMMYFUNCTION("""COMPUTED_VALUE"""),1.0)</f>
        <v/>
      </c>
      <c r="S88" s="17">
        <f>IFERROR(__xludf.DUMMYFUNCTION("""COMPUTED_VALUE"""),0.0)</f>
        <v/>
      </c>
      <c r="T88" s="350">
        <f>IFERROR(__xludf.DUMMYFUNCTION("""COMPUTED_VALUE"""),"1.30")</f>
        <v/>
      </c>
      <c r="U88" s="351">
        <f>IFERROR(__xludf.DUMMYFUNCTION("""COMPUTED_VALUE"""),"0.66")</f>
        <v/>
      </c>
      <c r="V88" s="351">
        <f>IFERROR(__xludf.DUMMYFUNCTION("""COMPUTED_VALUE"""),20.0)</f>
        <v/>
      </c>
      <c r="W88" s="351">
        <f>IFERROR(__xludf.DUMMYFUNCTION("""COMPUTED_VALUE"""),"-")</f>
        <v/>
      </c>
      <c r="X88" s="351">
        <f>IFERROR(__xludf.DUMMYFUNCTION("""COMPUTED_VALUE"""),"-")</f>
        <v/>
      </c>
      <c r="Y88" s="351" t="n"/>
      <c r="Z88" s="351">
        <f>IFERROR(__xludf.DUMMYFUNCTION("""COMPUTED_VALUE"""),"-")</f>
        <v/>
      </c>
      <c r="AA88" s="327" t="n"/>
      <c r="AB88" s="327">
        <f>IFERROR(__xludf.DUMMYFUNCTION("""COMPUTED_VALUE"""),"dageki_2")</f>
        <v/>
      </c>
      <c r="AC88" s="327">
        <f>IFERROR(__xludf.DUMMYFUNCTION("""COMPUTED_VALUE"""),"中ノックバック")</f>
        <v/>
      </c>
    </row>
    <row r="89">
      <c r="A89" s="339" t="n"/>
      <c r="B89" s="17">
        <f>IFERROR(__xludf.DUMMYFUNCTION("""COMPUTED_VALUE"""),"enemy_jig_00401")</f>
        <v/>
      </c>
      <c r="C89" s="295">
        <f>IFERROR(__xludf.DUMMYFUNCTION("""COMPUTED_VALUE"""),"_jig1_advent")</f>
        <v/>
      </c>
      <c r="D89" s="295">
        <f>IFERROR(__xludf.DUMMYFUNCTION("""COMPUTED_VALUE"""),"e_jig_00401_jig1_advent_Normal_Red")</f>
        <v/>
      </c>
      <c r="E89" s="295">
        <f>IFERROR(__xludf.DUMMYFUNCTION("""COMPUTED_VALUE"""),"地獄楽")</f>
        <v/>
      </c>
      <c r="F89" s="349">
        <f>IFERROR(__xludf.DUMMYFUNCTION("""COMPUTED_VALUE"""),"極楽蝶")</f>
        <v/>
      </c>
      <c r="G89" s="349">
        <f>IFERROR(__xludf.DUMMYFUNCTION("""COMPUTED_VALUE"""),"極楽蝶_jig1_advent")</f>
        <v/>
      </c>
      <c r="H89" s="17">
        <f>IFERROR(__xludf.DUMMYFUNCTION("""COMPUTED_VALUE"""),"Normal")</f>
        <v/>
      </c>
      <c r="I89" s="17">
        <f>IFERROR(__xludf.DUMMYFUNCTION("""COMPUTED_VALUE"""),"Technical")</f>
        <v/>
      </c>
      <c r="J89" s="17">
        <f>IFERROR(__xludf.DUMMYFUNCTION("""COMPUTED_VALUE"""),"Red")</f>
        <v/>
      </c>
      <c r="K89" s="17">
        <f>IFERROR(__xludf.DUMMYFUNCTION("""COMPUTED_VALUE"""),1000.0)</f>
        <v/>
      </c>
      <c r="L89" s="17">
        <f>IFERROR(__xludf.DUMMYFUNCTION("""COMPUTED_VALUE"""),0.0)</f>
        <v/>
      </c>
      <c r="M89" s="17">
        <f>IFERROR(__xludf.DUMMYFUNCTION("""COMPUTED_VALUE"""),120.0)</f>
        <v/>
      </c>
      <c r="N89" s="17">
        <f>IFERROR(__xludf.DUMMYFUNCTION("""COMPUTED_VALUE"""),0.15)</f>
        <v/>
      </c>
      <c r="O89" s="17">
        <f>IFERROR(__xludf.DUMMYFUNCTION("""COMPUTED_VALUE"""),400.0)</f>
        <v/>
      </c>
      <c r="P89" s="17">
        <f>IFERROR(__xludf.DUMMYFUNCTION("""COMPUTED_VALUE"""),0.0)</f>
        <v/>
      </c>
      <c r="Q89" s="17">
        <f>IFERROR(__xludf.DUMMYFUNCTION("""COMPUTED_VALUE"""),0.25)</f>
        <v/>
      </c>
      <c r="R89" s="17">
        <f>IFERROR(__xludf.DUMMYFUNCTION("""COMPUTED_VALUE"""),1.0)</f>
        <v/>
      </c>
      <c r="S89" s="17">
        <f>IFERROR(__xludf.DUMMYFUNCTION("""COMPUTED_VALUE"""),0.0)</f>
        <v/>
      </c>
      <c r="T89" s="350">
        <f>IFERROR(__xludf.DUMMYFUNCTION("""COMPUTED_VALUE"""),"1.30")</f>
        <v/>
      </c>
      <c r="U89" s="351">
        <f>IFERROR(__xludf.DUMMYFUNCTION("""COMPUTED_VALUE"""),"0.66")</f>
        <v/>
      </c>
      <c r="V89" s="351">
        <f>IFERROR(__xludf.DUMMYFUNCTION("""COMPUTED_VALUE"""),20.0)</f>
        <v/>
      </c>
      <c r="W89" s="351">
        <f>IFERROR(__xludf.DUMMYFUNCTION("""COMPUTED_VALUE"""),"-")</f>
        <v/>
      </c>
      <c r="X89" s="351">
        <f>IFERROR(__xludf.DUMMYFUNCTION("""COMPUTED_VALUE"""),"-")</f>
        <v/>
      </c>
      <c r="Y89" s="351" t="n"/>
      <c r="Z89" s="351">
        <f>IFERROR(__xludf.DUMMYFUNCTION("""COMPUTED_VALUE"""),"-")</f>
        <v/>
      </c>
      <c r="AA89" s="327" t="n"/>
      <c r="AB89" s="327">
        <f>IFERROR(__xludf.DUMMYFUNCTION("""COMPUTED_VALUE"""),"dageki_2")</f>
        <v/>
      </c>
      <c r="AC89" s="327">
        <f>IFERROR(__xludf.DUMMYFUNCTION("""COMPUTED_VALUE"""),"中ノックバック")</f>
        <v/>
      </c>
    </row>
    <row r="90">
      <c r="A90" s="339" t="n"/>
      <c r="B90" s="17">
        <f>IFERROR(__xludf.DUMMYFUNCTION("""COMPUTED_VALUE"""),"enemy_jig_00401")</f>
        <v/>
      </c>
      <c r="C90" s="295">
        <f>IFERROR(__xludf.DUMMYFUNCTION("""COMPUTED_VALUE"""),"_jig1_advent")</f>
        <v/>
      </c>
      <c r="D90" s="295">
        <f>IFERROR(__xludf.DUMMYFUNCTION("""COMPUTED_VALUE"""),"e_jig_00401_jig1_advent_Normal_Yellow")</f>
        <v/>
      </c>
      <c r="E90" s="295">
        <f>IFERROR(__xludf.DUMMYFUNCTION("""COMPUTED_VALUE"""),"地獄楽")</f>
        <v/>
      </c>
      <c r="F90" s="349">
        <f>IFERROR(__xludf.DUMMYFUNCTION("""COMPUTED_VALUE"""),"極楽蝶")</f>
        <v/>
      </c>
      <c r="G90" s="349">
        <f>IFERROR(__xludf.DUMMYFUNCTION("""COMPUTED_VALUE"""),"極楽蝶_jig1_advent")</f>
        <v/>
      </c>
      <c r="H90" s="17">
        <f>IFERROR(__xludf.DUMMYFUNCTION("""COMPUTED_VALUE"""),"Normal")</f>
        <v/>
      </c>
      <c r="I90" s="17">
        <f>IFERROR(__xludf.DUMMYFUNCTION("""COMPUTED_VALUE"""),"Technical")</f>
        <v/>
      </c>
      <c r="J90" s="17">
        <f>IFERROR(__xludf.DUMMYFUNCTION("""COMPUTED_VALUE"""),"Yellow")</f>
        <v/>
      </c>
      <c r="K90" s="17">
        <f>IFERROR(__xludf.DUMMYFUNCTION("""COMPUTED_VALUE"""),1000.0)</f>
        <v/>
      </c>
      <c r="L90" s="17">
        <f>IFERROR(__xludf.DUMMYFUNCTION("""COMPUTED_VALUE"""),0.0)</f>
        <v/>
      </c>
      <c r="M90" s="17">
        <f>IFERROR(__xludf.DUMMYFUNCTION("""COMPUTED_VALUE"""),120.0)</f>
        <v/>
      </c>
      <c r="N90" s="17">
        <f>IFERROR(__xludf.DUMMYFUNCTION("""COMPUTED_VALUE"""),0.15)</f>
        <v/>
      </c>
      <c r="O90" s="17">
        <f>IFERROR(__xludf.DUMMYFUNCTION("""COMPUTED_VALUE"""),400.0)</f>
        <v/>
      </c>
      <c r="P90" s="17">
        <f>IFERROR(__xludf.DUMMYFUNCTION("""COMPUTED_VALUE"""),0.0)</f>
        <v/>
      </c>
      <c r="Q90" s="17">
        <f>IFERROR(__xludf.DUMMYFUNCTION("""COMPUTED_VALUE"""),0.25)</f>
        <v/>
      </c>
      <c r="R90" s="17">
        <f>IFERROR(__xludf.DUMMYFUNCTION("""COMPUTED_VALUE"""),1.0)</f>
        <v/>
      </c>
      <c r="S90" s="17">
        <f>IFERROR(__xludf.DUMMYFUNCTION("""COMPUTED_VALUE"""),0.0)</f>
        <v/>
      </c>
      <c r="T90" s="350">
        <f>IFERROR(__xludf.DUMMYFUNCTION("""COMPUTED_VALUE"""),"1.30")</f>
        <v/>
      </c>
      <c r="U90" s="351">
        <f>IFERROR(__xludf.DUMMYFUNCTION("""COMPUTED_VALUE"""),"0.66")</f>
        <v/>
      </c>
      <c r="V90" s="351">
        <f>IFERROR(__xludf.DUMMYFUNCTION("""COMPUTED_VALUE"""),20.0)</f>
        <v/>
      </c>
      <c r="W90" s="351">
        <f>IFERROR(__xludf.DUMMYFUNCTION("""COMPUTED_VALUE"""),"-")</f>
        <v/>
      </c>
      <c r="X90" s="351">
        <f>IFERROR(__xludf.DUMMYFUNCTION("""COMPUTED_VALUE"""),"-")</f>
        <v/>
      </c>
      <c r="Y90" s="351" t="n"/>
      <c r="Z90" s="351">
        <f>IFERROR(__xludf.DUMMYFUNCTION("""COMPUTED_VALUE"""),"-")</f>
        <v/>
      </c>
      <c r="AA90" s="327" t="n"/>
      <c r="AB90" s="327">
        <f>IFERROR(__xludf.DUMMYFUNCTION("""COMPUTED_VALUE"""),"dageki_2")</f>
        <v/>
      </c>
      <c r="AC90" s="327">
        <f>IFERROR(__xludf.DUMMYFUNCTION("""COMPUTED_VALUE"""),"中ノックバック")</f>
        <v/>
      </c>
    </row>
    <row r="91">
      <c r="A91" s="339" t="n"/>
      <c r="B91" s="17">
        <f>IFERROR(__xludf.DUMMYFUNCTION("""COMPUTED_VALUE"""),"enemy_jig_00401")</f>
        <v/>
      </c>
      <c r="C91" s="295">
        <f>IFERROR(__xludf.DUMMYFUNCTION("""COMPUTED_VALUE"""),"_jig1_advent")</f>
        <v/>
      </c>
      <c r="D91" s="295">
        <f>IFERROR(__xludf.DUMMYFUNCTION("""COMPUTED_VALUE"""),"e_jig_00401_jig1_advent_Normal_Green")</f>
        <v/>
      </c>
      <c r="E91" s="295">
        <f>IFERROR(__xludf.DUMMYFUNCTION("""COMPUTED_VALUE"""),"地獄楽")</f>
        <v/>
      </c>
      <c r="F91" s="349">
        <f>IFERROR(__xludf.DUMMYFUNCTION("""COMPUTED_VALUE"""),"極楽蝶")</f>
        <v/>
      </c>
      <c r="G91" s="349">
        <f>IFERROR(__xludf.DUMMYFUNCTION("""COMPUTED_VALUE"""),"極楽蝶_jig1_advent")</f>
        <v/>
      </c>
      <c r="H91" s="17">
        <f>IFERROR(__xludf.DUMMYFUNCTION("""COMPUTED_VALUE"""),"Normal")</f>
        <v/>
      </c>
      <c r="I91" s="17">
        <f>IFERROR(__xludf.DUMMYFUNCTION("""COMPUTED_VALUE"""),"Technical")</f>
        <v/>
      </c>
      <c r="J91" s="17">
        <f>IFERROR(__xludf.DUMMYFUNCTION("""COMPUTED_VALUE"""),"Green")</f>
        <v/>
      </c>
      <c r="K91" s="17">
        <f>IFERROR(__xludf.DUMMYFUNCTION("""COMPUTED_VALUE"""),1000.0)</f>
        <v/>
      </c>
      <c r="L91" s="17">
        <f>IFERROR(__xludf.DUMMYFUNCTION("""COMPUTED_VALUE"""),0.0)</f>
        <v/>
      </c>
      <c r="M91" s="17">
        <f>IFERROR(__xludf.DUMMYFUNCTION("""COMPUTED_VALUE"""),120.0)</f>
        <v/>
      </c>
      <c r="N91" s="17">
        <f>IFERROR(__xludf.DUMMYFUNCTION("""COMPUTED_VALUE"""),0.15)</f>
        <v/>
      </c>
      <c r="O91" s="17">
        <f>IFERROR(__xludf.DUMMYFUNCTION("""COMPUTED_VALUE"""),400.0)</f>
        <v/>
      </c>
      <c r="P91" s="17">
        <f>IFERROR(__xludf.DUMMYFUNCTION("""COMPUTED_VALUE"""),0.0)</f>
        <v/>
      </c>
      <c r="Q91" s="17">
        <f>IFERROR(__xludf.DUMMYFUNCTION("""COMPUTED_VALUE"""),0.25)</f>
        <v/>
      </c>
      <c r="R91" s="17">
        <f>IFERROR(__xludf.DUMMYFUNCTION("""COMPUTED_VALUE"""),1.0)</f>
        <v/>
      </c>
      <c r="S91" s="17">
        <f>IFERROR(__xludf.DUMMYFUNCTION("""COMPUTED_VALUE"""),0.0)</f>
        <v/>
      </c>
      <c r="T91" s="350">
        <f>IFERROR(__xludf.DUMMYFUNCTION("""COMPUTED_VALUE"""),"1.30")</f>
        <v/>
      </c>
      <c r="U91" s="351">
        <f>IFERROR(__xludf.DUMMYFUNCTION("""COMPUTED_VALUE"""),"0.66")</f>
        <v/>
      </c>
      <c r="V91" s="351">
        <f>IFERROR(__xludf.DUMMYFUNCTION("""COMPUTED_VALUE"""),20.0)</f>
        <v/>
      </c>
      <c r="W91" s="351">
        <f>IFERROR(__xludf.DUMMYFUNCTION("""COMPUTED_VALUE"""),"-")</f>
        <v/>
      </c>
      <c r="X91" s="351">
        <f>IFERROR(__xludf.DUMMYFUNCTION("""COMPUTED_VALUE"""),"-")</f>
        <v/>
      </c>
      <c r="Y91" s="351" t="n"/>
      <c r="Z91" s="351">
        <f>IFERROR(__xludf.DUMMYFUNCTION("""COMPUTED_VALUE"""),"-")</f>
        <v/>
      </c>
      <c r="AA91" s="327" t="n"/>
      <c r="AB91" s="327">
        <f>IFERROR(__xludf.DUMMYFUNCTION("""COMPUTED_VALUE"""),"dageki_2")</f>
        <v/>
      </c>
      <c r="AC91" s="327">
        <f>IFERROR(__xludf.DUMMYFUNCTION("""COMPUTED_VALUE"""),"中ノックバック")</f>
        <v/>
      </c>
    </row>
    <row r="92">
      <c r="A92" s="339" t="n"/>
      <c r="B92" s="17">
        <f>IFERROR(__xludf.DUMMYFUNCTION("""COMPUTED_VALUE"""),"enemy_jig_00001")</f>
        <v/>
      </c>
      <c r="C92" s="295">
        <f>IFERROR(__xludf.DUMMYFUNCTION("""COMPUTED_VALUE"""),"_jig1_advent")</f>
        <v/>
      </c>
      <c r="D92" s="295">
        <f>IFERROR(__xludf.DUMMYFUNCTION("""COMPUTED_VALUE"""),"e_jig_00201_jig1_advent_Boss_Red")</f>
        <v/>
      </c>
      <c r="E92" s="295">
        <f>IFERROR(__xludf.DUMMYFUNCTION("""COMPUTED_VALUE"""),"地獄楽")</f>
        <v/>
      </c>
      <c r="F92" s="349">
        <f>IFERROR(__xludf.DUMMYFUNCTION("""COMPUTED_VALUE"""),"門神")</f>
        <v/>
      </c>
      <c r="G92" s="349">
        <f>IFERROR(__xludf.DUMMYFUNCTION("""COMPUTED_VALUE"""),"門神_jig1_advent")</f>
        <v/>
      </c>
      <c r="H92" s="17">
        <f>IFERROR(__xludf.DUMMYFUNCTION("""COMPUTED_VALUE"""),"Boss")</f>
        <v/>
      </c>
      <c r="I92" s="17">
        <f>IFERROR(__xludf.DUMMYFUNCTION("""COMPUTED_VALUE"""),"Defense")</f>
        <v/>
      </c>
      <c r="J92" s="17">
        <f>IFERROR(__xludf.DUMMYFUNCTION("""COMPUTED_VALUE"""),"Red")</f>
        <v/>
      </c>
      <c r="K92" s="17">
        <f>IFERROR(__xludf.DUMMYFUNCTION("""COMPUTED_VALUE"""),300000.0)</f>
        <v/>
      </c>
      <c r="L92" s="17">
        <f>IFERROR(__xludf.DUMMYFUNCTION("""COMPUTED_VALUE"""),0.0)</f>
        <v/>
      </c>
      <c r="M92" s="17">
        <f>IFERROR(__xludf.DUMMYFUNCTION("""COMPUTED_VALUE"""),31.0)</f>
        <v/>
      </c>
      <c r="N92" s="17">
        <f>IFERROR(__xludf.DUMMYFUNCTION("""COMPUTED_VALUE"""),0.19)</f>
        <v/>
      </c>
      <c r="O92" s="17">
        <f>IFERROR(__xludf.DUMMYFUNCTION("""COMPUTED_VALUE"""),500.0)</f>
        <v/>
      </c>
      <c r="P92" s="17">
        <f>IFERROR(__xludf.DUMMYFUNCTION("""COMPUTED_VALUE"""),0.0)</f>
        <v/>
      </c>
      <c r="Q92" s="17">
        <f>IFERROR(__xludf.DUMMYFUNCTION("""COMPUTED_VALUE"""),0.3)</f>
        <v/>
      </c>
      <c r="R92" s="17">
        <f>IFERROR(__xludf.DUMMYFUNCTION("""COMPUTED_VALUE"""),100.0)</f>
        <v/>
      </c>
      <c r="S92" s="17">
        <f>IFERROR(__xludf.DUMMYFUNCTION("""COMPUTED_VALUE"""),100.0)</f>
        <v/>
      </c>
      <c r="T92" s="350">
        <f>IFERROR(__xludf.DUMMYFUNCTION("""COMPUTED_VALUE"""),"1.83")</f>
        <v/>
      </c>
      <c r="U92" s="351">
        <f>IFERROR(__xludf.DUMMYFUNCTION("""COMPUTED_VALUE"""),"0.83")</f>
        <v/>
      </c>
      <c r="V92" s="351">
        <f>IFERROR(__xludf.DUMMYFUNCTION("""COMPUTED_VALUE"""),60.0)</f>
        <v/>
      </c>
      <c r="W92" s="351">
        <f>IFERROR(__xludf.DUMMYFUNCTION("""COMPUTED_VALUE"""),"-")</f>
        <v/>
      </c>
      <c r="X92" s="351">
        <f>IFERROR(__xludf.DUMMYFUNCTION("""COMPUTED_VALUE"""),"-")</f>
        <v/>
      </c>
      <c r="Y92" s="351" t="n"/>
      <c r="Z92" s="351">
        <f>IFERROR(__xludf.DUMMYFUNCTION("""COMPUTED_VALUE"""),"-")</f>
        <v/>
      </c>
      <c r="AA92" s="327" t="n"/>
      <c r="AB92" s="327">
        <f>IFERROR(__xludf.DUMMYFUNCTION("""COMPUTED_VALUE"""),"dageki_1")</f>
        <v/>
      </c>
      <c r="AC92" s="327" t="n"/>
    </row>
    <row r="93">
      <c r="A93" s="339" t="n"/>
      <c r="B93" s="17">
        <f>IFERROR(__xludf.DUMMYFUNCTION("""COMPUTED_VALUE"""),"enemy_jig_00001")</f>
        <v/>
      </c>
      <c r="C93" s="295">
        <f>IFERROR(__xludf.DUMMYFUNCTION("""COMPUTED_VALUE"""),"_jig1_advent")</f>
        <v/>
      </c>
      <c r="D93" s="295">
        <f>IFERROR(__xludf.DUMMYFUNCTION("""COMPUTED_VALUE"""),"e_jig_00201_jig1_advent_Boss_Yellow")</f>
        <v/>
      </c>
      <c r="E93" s="295">
        <f>IFERROR(__xludf.DUMMYFUNCTION("""COMPUTED_VALUE"""),"地獄楽")</f>
        <v/>
      </c>
      <c r="F93" s="349">
        <f>IFERROR(__xludf.DUMMYFUNCTION("""COMPUTED_VALUE"""),"門神")</f>
        <v/>
      </c>
      <c r="G93" s="349">
        <f>IFERROR(__xludf.DUMMYFUNCTION("""COMPUTED_VALUE"""),"門神_jig1_advent")</f>
        <v/>
      </c>
      <c r="H93" s="17">
        <f>IFERROR(__xludf.DUMMYFUNCTION("""COMPUTED_VALUE"""),"Boss")</f>
        <v/>
      </c>
      <c r="I93" s="17">
        <f>IFERROR(__xludf.DUMMYFUNCTION("""COMPUTED_VALUE"""),"Defense")</f>
        <v/>
      </c>
      <c r="J93" s="17">
        <f>IFERROR(__xludf.DUMMYFUNCTION("""COMPUTED_VALUE"""),"Yellow")</f>
        <v/>
      </c>
      <c r="K93" s="17">
        <f>IFERROR(__xludf.DUMMYFUNCTION("""COMPUTED_VALUE"""),300000.0)</f>
        <v/>
      </c>
      <c r="L93" s="17">
        <f>IFERROR(__xludf.DUMMYFUNCTION("""COMPUTED_VALUE"""),0.0)</f>
        <v/>
      </c>
      <c r="M93" s="17">
        <f>IFERROR(__xludf.DUMMYFUNCTION("""COMPUTED_VALUE"""),31.0)</f>
        <v/>
      </c>
      <c r="N93" s="17">
        <f>IFERROR(__xludf.DUMMYFUNCTION("""COMPUTED_VALUE"""),0.19)</f>
        <v/>
      </c>
      <c r="O93" s="17">
        <f>IFERROR(__xludf.DUMMYFUNCTION("""COMPUTED_VALUE"""),500.0)</f>
        <v/>
      </c>
      <c r="P93" s="17">
        <f>IFERROR(__xludf.DUMMYFUNCTION("""COMPUTED_VALUE"""),0.0)</f>
        <v/>
      </c>
      <c r="Q93" s="17">
        <f>IFERROR(__xludf.DUMMYFUNCTION("""COMPUTED_VALUE"""),0.3)</f>
        <v/>
      </c>
      <c r="R93" s="17">
        <f>IFERROR(__xludf.DUMMYFUNCTION("""COMPUTED_VALUE"""),100.0)</f>
        <v/>
      </c>
      <c r="S93" s="17">
        <f>IFERROR(__xludf.DUMMYFUNCTION("""COMPUTED_VALUE"""),100.0)</f>
        <v/>
      </c>
      <c r="T93" s="350">
        <f>IFERROR(__xludf.DUMMYFUNCTION("""COMPUTED_VALUE"""),"1.83")</f>
        <v/>
      </c>
      <c r="U93" s="351">
        <f>IFERROR(__xludf.DUMMYFUNCTION("""COMPUTED_VALUE"""),"0.83")</f>
        <v/>
      </c>
      <c r="V93" s="351">
        <f>IFERROR(__xludf.DUMMYFUNCTION("""COMPUTED_VALUE"""),60.0)</f>
        <v/>
      </c>
      <c r="W93" s="351">
        <f>IFERROR(__xludf.DUMMYFUNCTION("""COMPUTED_VALUE"""),"-")</f>
        <v/>
      </c>
      <c r="X93" s="351">
        <f>IFERROR(__xludf.DUMMYFUNCTION("""COMPUTED_VALUE"""),"-")</f>
        <v/>
      </c>
      <c r="Y93" s="351" t="n"/>
      <c r="Z93" s="351">
        <f>IFERROR(__xludf.DUMMYFUNCTION("""COMPUTED_VALUE"""),"-")</f>
        <v/>
      </c>
      <c r="AA93" s="327" t="n"/>
      <c r="AB93" s="327">
        <f>IFERROR(__xludf.DUMMYFUNCTION("""COMPUTED_VALUE"""),"dageki_1")</f>
        <v/>
      </c>
      <c r="AC93" s="327" t="n"/>
    </row>
    <row r="94">
      <c r="A94" s="339" t="n"/>
      <c r="B94" s="17">
        <f>IFERROR(__xludf.DUMMYFUNCTION("""COMPUTED_VALUE"""),"enemy_jig_00301")</f>
        <v/>
      </c>
      <c r="C94" s="295">
        <f>IFERROR(__xludf.DUMMYFUNCTION("""COMPUTED_VALUE"""),"_jig1_advent")</f>
        <v/>
      </c>
      <c r="D94" s="295">
        <f>IFERROR(__xludf.DUMMYFUNCTION("""COMPUTED_VALUE"""),"e_jig_00301_jig1_advent_Boss_Colorless")</f>
        <v/>
      </c>
      <c r="E94" s="295">
        <f>IFERROR(__xludf.DUMMYFUNCTION("""COMPUTED_VALUE"""),"地獄楽")</f>
        <v/>
      </c>
      <c r="F94" s="349">
        <f>IFERROR(__xludf.DUMMYFUNCTION("""COMPUTED_VALUE"""),"竈神 魚")</f>
        <v/>
      </c>
      <c r="G94" s="349">
        <f>IFERROR(__xludf.DUMMYFUNCTION("""COMPUTED_VALUE"""),"竈神 魚_jig1_advent")</f>
        <v/>
      </c>
      <c r="H94" s="17">
        <f>IFERROR(__xludf.DUMMYFUNCTION("""COMPUTED_VALUE"""),"Boss")</f>
        <v/>
      </c>
      <c r="I94" s="17">
        <f>IFERROR(__xludf.DUMMYFUNCTION("""COMPUTED_VALUE"""),"Defense")</f>
        <v/>
      </c>
      <c r="J94" s="17">
        <f>IFERROR(__xludf.DUMMYFUNCTION("""COMPUTED_VALUE"""),"Colorless")</f>
        <v/>
      </c>
      <c r="K94" s="17">
        <f>IFERROR(__xludf.DUMMYFUNCTION("""COMPUTED_VALUE"""),30000.0)</f>
        <v/>
      </c>
      <c r="L94" s="17">
        <f>IFERROR(__xludf.DUMMYFUNCTION("""COMPUTED_VALUE"""),0.0)</f>
        <v/>
      </c>
      <c r="M94" s="17">
        <f>IFERROR(__xludf.DUMMYFUNCTION("""COMPUTED_VALUE"""),35.0)</f>
        <v/>
      </c>
      <c r="N94" s="17">
        <f>IFERROR(__xludf.DUMMYFUNCTION("""COMPUTED_VALUE"""),0.2)</f>
        <v/>
      </c>
      <c r="O94" s="17">
        <f>IFERROR(__xludf.DUMMYFUNCTION("""COMPUTED_VALUE"""),400.0)</f>
        <v/>
      </c>
      <c r="P94" s="17">
        <f>IFERROR(__xludf.DUMMYFUNCTION("""COMPUTED_VALUE"""),0.0)</f>
        <v/>
      </c>
      <c r="Q94" s="17">
        <f>IFERROR(__xludf.DUMMYFUNCTION("""COMPUTED_VALUE"""),0.4)</f>
        <v/>
      </c>
      <c r="R94" s="17">
        <f>IFERROR(__xludf.DUMMYFUNCTION("""COMPUTED_VALUE"""),3.0)</f>
        <v/>
      </c>
      <c r="S94" s="17">
        <f>IFERROR(__xludf.DUMMYFUNCTION("""COMPUTED_VALUE"""),400.0)</f>
        <v/>
      </c>
      <c r="T94" s="350">
        <f>IFERROR(__xludf.DUMMYFUNCTION("""COMPUTED_VALUE"""),"1.50")</f>
        <v/>
      </c>
      <c r="U94" s="351">
        <f>IFERROR(__xludf.DUMMYFUNCTION("""COMPUTED_VALUE"""),"0.66")</f>
        <v/>
      </c>
      <c r="V94" s="351">
        <f>IFERROR(__xludf.DUMMYFUNCTION("""COMPUTED_VALUE"""),50.0)</f>
        <v/>
      </c>
      <c r="W94" s="351">
        <f>IFERROR(__xludf.DUMMYFUNCTION("""COMPUTED_VALUE"""),"-")</f>
        <v/>
      </c>
      <c r="X94" s="351">
        <f>IFERROR(__xludf.DUMMYFUNCTION("""COMPUTED_VALUE"""),"-")</f>
        <v/>
      </c>
      <c r="Y94" s="351" t="n"/>
      <c r="Z94" s="351">
        <f>IFERROR(__xludf.DUMMYFUNCTION("""COMPUTED_VALUE"""),"-")</f>
        <v/>
      </c>
      <c r="AA94" s="327" t="n"/>
      <c r="AB94" s="327">
        <f>IFERROR(__xludf.DUMMYFUNCTION("""COMPUTED_VALUE"""),"dageki_1")</f>
        <v/>
      </c>
      <c r="AC94" s="327" t="n"/>
    </row>
    <row r="95">
      <c r="A95" s="339" t="n"/>
      <c r="B95" s="17">
        <f>IFERROR(__xludf.DUMMYFUNCTION("""COMPUTED_VALUE"""),"enemy_jig_00301")</f>
        <v/>
      </c>
      <c r="C95" s="295">
        <f>IFERROR(__xludf.DUMMYFUNCTION("""COMPUTED_VALUE"""),"_jig1_advent")</f>
        <v/>
      </c>
      <c r="D95" s="295">
        <f>IFERROR(__xludf.DUMMYFUNCTION("""COMPUTED_VALUE"""),"e_jig_00301_jig1_advent_Boss_Green")</f>
        <v/>
      </c>
      <c r="E95" s="295">
        <f>IFERROR(__xludf.DUMMYFUNCTION("""COMPUTED_VALUE"""),"地獄楽")</f>
        <v/>
      </c>
      <c r="F95" s="349">
        <f>IFERROR(__xludf.DUMMYFUNCTION("""COMPUTED_VALUE"""),"竈神 魚")</f>
        <v/>
      </c>
      <c r="G95" s="349">
        <f>IFERROR(__xludf.DUMMYFUNCTION("""COMPUTED_VALUE"""),"竈神 魚_jig1_advent")</f>
        <v/>
      </c>
      <c r="H95" s="17">
        <f>IFERROR(__xludf.DUMMYFUNCTION("""COMPUTED_VALUE"""),"Boss")</f>
        <v/>
      </c>
      <c r="I95" s="17">
        <f>IFERROR(__xludf.DUMMYFUNCTION("""COMPUTED_VALUE"""),"Defense")</f>
        <v/>
      </c>
      <c r="J95" s="17">
        <f>IFERROR(__xludf.DUMMYFUNCTION("""COMPUTED_VALUE"""),"Green")</f>
        <v/>
      </c>
      <c r="K95" s="17">
        <f>IFERROR(__xludf.DUMMYFUNCTION("""COMPUTED_VALUE"""),30000.0)</f>
        <v/>
      </c>
      <c r="L95" s="17">
        <f>IFERROR(__xludf.DUMMYFUNCTION("""COMPUTED_VALUE"""),0.0)</f>
        <v/>
      </c>
      <c r="M95" s="17">
        <f>IFERROR(__xludf.DUMMYFUNCTION("""COMPUTED_VALUE"""),35.0)</f>
        <v/>
      </c>
      <c r="N95" s="17">
        <f>IFERROR(__xludf.DUMMYFUNCTION("""COMPUTED_VALUE"""),0.2)</f>
        <v/>
      </c>
      <c r="O95" s="17">
        <f>IFERROR(__xludf.DUMMYFUNCTION("""COMPUTED_VALUE"""),400.0)</f>
        <v/>
      </c>
      <c r="P95" s="17">
        <f>IFERROR(__xludf.DUMMYFUNCTION("""COMPUTED_VALUE"""),0.0)</f>
        <v/>
      </c>
      <c r="Q95" s="17">
        <f>IFERROR(__xludf.DUMMYFUNCTION("""COMPUTED_VALUE"""),0.4)</f>
        <v/>
      </c>
      <c r="R95" s="17">
        <f>IFERROR(__xludf.DUMMYFUNCTION("""COMPUTED_VALUE"""),3.0)</f>
        <v/>
      </c>
      <c r="S95" s="17">
        <f>IFERROR(__xludf.DUMMYFUNCTION("""COMPUTED_VALUE"""),400.0)</f>
        <v/>
      </c>
      <c r="T95" s="350">
        <f>IFERROR(__xludf.DUMMYFUNCTION("""COMPUTED_VALUE"""),"1.50")</f>
        <v/>
      </c>
      <c r="U95" s="351">
        <f>IFERROR(__xludf.DUMMYFUNCTION("""COMPUTED_VALUE"""),"0.66")</f>
        <v/>
      </c>
      <c r="V95" s="351">
        <f>IFERROR(__xludf.DUMMYFUNCTION("""COMPUTED_VALUE"""),50.0)</f>
        <v/>
      </c>
      <c r="W95" s="351">
        <f>IFERROR(__xludf.DUMMYFUNCTION("""COMPUTED_VALUE"""),"-")</f>
        <v/>
      </c>
      <c r="X95" s="351">
        <f>IFERROR(__xludf.DUMMYFUNCTION("""COMPUTED_VALUE"""),"-")</f>
        <v/>
      </c>
      <c r="Y95" s="351" t="n"/>
      <c r="Z95" s="351">
        <f>IFERROR(__xludf.DUMMYFUNCTION("""COMPUTED_VALUE"""),"-")</f>
        <v/>
      </c>
      <c r="AA95" s="327" t="n"/>
      <c r="AB95" s="327">
        <f>IFERROR(__xludf.DUMMYFUNCTION("""COMPUTED_VALUE"""),"dageki_1")</f>
        <v/>
      </c>
      <c r="AC95" s="327" t="n"/>
    </row>
    <row r="96">
      <c r="A96" s="339" t="n"/>
      <c r="B96" s="17">
        <f>IFERROR(__xludf.DUMMYFUNCTION("""COMPUTED_VALUE"""),"enemy_jig_00001")</f>
        <v/>
      </c>
      <c r="C96" s="295">
        <f>IFERROR(__xludf.DUMMYFUNCTION("""COMPUTED_VALUE"""),"_jig1_advent")</f>
        <v/>
      </c>
      <c r="D96" s="295">
        <f>IFERROR(__xludf.DUMMYFUNCTION("""COMPUTED_VALUE"""),"e_jig_00001_jig1_advent_Normal_Colorless")</f>
        <v/>
      </c>
      <c r="E96" s="295">
        <f>IFERROR(__xludf.DUMMYFUNCTION("""COMPUTED_VALUE"""),"地獄楽")</f>
        <v/>
      </c>
      <c r="F96" s="349">
        <f>IFERROR(__xludf.DUMMYFUNCTION("""COMPUTED_VALUE"""),"門神")</f>
        <v/>
      </c>
      <c r="G96" s="349">
        <f>IFERROR(__xludf.DUMMYFUNCTION("""COMPUTED_VALUE"""),"門神_jig1_advent")</f>
        <v/>
      </c>
      <c r="H96" s="17">
        <f>IFERROR(__xludf.DUMMYFUNCTION("""COMPUTED_VALUE"""),"Normal")</f>
        <v/>
      </c>
      <c r="I96" s="17">
        <f>IFERROR(__xludf.DUMMYFUNCTION("""COMPUTED_VALUE"""),"Attack")</f>
        <v/>
      </c>
      <c r="J96" s="17">
        <f>IFERROR(__xludf.DUMMYFUNCTION("""COMPUTED_VALUE"""),"Colorless")</f>
        <v/>
      </c>
      <c r="K96" s="17">
        <f>IFERROR(__xludf.DUMMYFUNCTION("""COMPUTED_VALUE"""),10000.0)</f>
        <v/>
      </c>
      <c r="L96" s="17">
        <f>IFERROR(__xludf.DUMMYFUNCTION("""COMPUTED_VALUE"""),0.0)</f>
        <v/>
      </c>
      <c r="M96" s="17">
        <f>IFERROR(__xludf.DUMMYFUNCTION("""COMPUTED_VALUE"""),30.0)</f>
        <v/>
      </c>
      <c r="N96" s="17">
        <f>IFERROR(__xludf.DUMMYFUNCTION("""COMPUTED_VALUE"""),0.17)</f>
        <v/>
      </c>
      <c r="O96" s="17">
        <f>IFERROR(__xludf.DUMMYFUNCTION("""COMPUTED_VALUE"""),300.0)</f>
        <v/>
      </c>
      <c r="P96" s="17">
        <f>IFERROR(__xludf.DUMMYFUNCTION("""COMPUTED_VALUE"""),0.0)</f>
        <v/>
      </c>
      <c r="Q96" s="17">
        <f>IFERROR(__xludf.DUMMYFUNCTION("""COMPUTED_VALUE"""),0.26)</f>
        <v/>
      </c>
      <c r="R96" s="17">
        <f>IFERROR(__xludf.DUMMYFUNCTION("""COMPUTED_VALUE"""),1.0)</f>
        <v/>
      </c>
      <c r="S96" s="17">
        <f>IFERROR(__xludf.DUMMYFUNCTION("""COMPUTED_VALUE"""),100.0)</f>
        <v/>
      </c>
      <c r="T96" s="350">
        <f>IFERROR(__xludf.DUMMYFUNCTION("""COMPUTED_VALUE"""),"1.83")</f>
        <v/>
      </c>
      <c r="U96" s="351">
        <f>IFERROR(__xludf.DUMMYFUNCTION("""COMPUTED_VALUE"""),"0.83")</f>
        <v/>
      </c>
      <c r="V96" s="351">
        <f>IFERROR(__xludf.DUMMYFUNCTION("""COMPUTED_VALUE"""),40.0)</f>
        <v/>
      </c>
      <c r="W96" s="351">
        <f>IFERROR(__xludf.DUMMYFUNCTION("""COMPUTED_VALUE"""),"-")</f>
        <v/>
      </c>
      <c r="X96" s="351">
        <f>IFERROR(__xludf.DUMMYFUNCTION("""COMPUTED_VALUE"""),"-")</f>
        <v/>
      </c>
      <c r="Y96" s="351" t="n"/>
      <c r="Z96" s="351">
        <f>IFERROR(__xludf.DUMMYFUNCTION("""COMPUTED_VALUE"""),"-")</f>
        <v/>
      </c>
      <c r="AA96" s="327" t="n"/>
      <c r="AB96" s="327">
        <f>IFERROR(__xludf.DUMMYFUNCTION("""COMPUTED_VALUE"""),"dageki_1")</f>
        <v/>
      </c>
      <c r="AC96" s="327" t="n"/>
    </row>
    <row r="97">
      <c r="A97" s="339" t="n"/>
      <c r="B97" s="17">
        <f>IFERROR(__xludf.DUMMYFUNCTION("""COMPUTED_VALUE"""),"enemy_jig_00001")</f>
        <v/>
      </c>
      <c r="C97" s="295">
        <f>IFERROR(__xludf.DUMMYFUNCTION("""COMPUTED_VALUE"""),"_jig1_advent")</f>
        <v/>
      </c>
      <c r="D97" s="295">
        <f>IFERROR(__xludf.DUMMYFUNCTION("""COMPUTED_VALUE"""),"e_jig_00001_jig1_advent_Normal_Red")</f>
        <v/>
      </c>
      <c r="E97" s="295">
        <f>IFERROR(__xludf.DUMMYFUNCTION("""COMPUTED_VALUE"""),"地獄楽")</f>
        <v/>
      </c>
      <c r="F97" s="349">
        <f>IFERROR(__xludf.DUMMYFUNCTION("""COMPUTED_VALUE"""),"門神")</f>
        <v/>
      </c>
      <c r="G97" s="349">
        <f>IFERROR(__xludf.DUMMYFUNCTION("""COMPUTED_VALUE"""),"門神_jig1_advent")</f>
        <v/>
      </c>
      <c r="H97" s="17">
        <f>IFERROR(__xludf.DUMMYFUNCTION("""COMPUTED_VALUE"""),"Normal")</f>
        <v/>
      </c>
      <c r="I97" s="17">
        <f>IFERROR(__xludf.DUMMYFUNCTION("""COMPUTED_VALUE"""),"Attack")</f>
        <v/>
      </c>
      <c r="J97" s="17">
        <f>IFERROR(__xludf.DUMMYFUNCTION("""COMPUTED_VALUE"""),"Red")</f>
        <v/>
      </c>
      <c r="K97" s="17">
        <f>IFERROR(__xludf.DUMMYFUNCTION("""COMPUTED_VALUE"""),10000.0)</f>
        <v/>
      </c>
      <c r="L97" s="17">
        <f>IFERROR(__xludf.DUMMYFUNCTION("""COMPUTED_VALUE"""),0.0)</f>
        <v/>
      </c>
      <c r="M97" s="17">
        <f>IFERROR(__xludf.DUMMYFUNCTION("""COMPUTED_VALUE"""),30.0)</f>
        <v/>
      </c>
      <c r="N97" s="17">
        <f>IFERROR(__xludf.DUMMYFUNCTION("""COMPUTED_VALUE"""),0.17)</f>
        <v/>
      </c>
      <c r="O97" s="17">
        <f>IFERROR(__xludf.DUMMYFUNCTION("""COMPUTED_VALUE"""),300.0)</f>
        <v/>
      </c>
      <c r="P97" s="17">
        <f>IFERROR(__xludf.DUMMYFUNCTION("""COMPUTED_VALUE"""),0.0)</f>
        <v/>
      </c>
      <c r="Q97" s="17">
        <f>IFERROR(__xludf.DUMMYFUNCTION("""COMPUTED_VALUE"""),0.26)</f>
        <v/>
      </c>
      <c r="R97" s="17">
        <f>IFERROR(__xludf.DUMMYFUNCTION("""COMPUTED_VALUE"""),1.0)</f>
        <v/>
      </c>
      <c r="S97" s="17">
        <f>IFERROR(__xludf.DUMMYFUNCTION("""COMPUTED_VALUE"""),100.0)</f>
        <v/>
      </c>
      <c r="T97" s="350">
        <f>IFERROR(__xludf.DUMMYFUNCTION("""COMPUTED_VALUE"""),"1.83")</f>
        <v/>
      </c>
      <c r="U97" s="351">
        <f>IFERROR(__xludf.DUMMYFUNCTION("""COMPUTED_VALUE"""),"0.83")</f>
        <v/>
      </c>
      <c r="V97" s="351">
        <f>IFERROR(__xludf.DUMMYFUNCTION("""COMPUTED_VALUE"""),40.0)</f>
        <v/>
      </c>
      <c r="W97" s="351">
        <f>IFERROR(__xludf.DUMMYFUNCTION("""COMPUTED_VALUE"""),"-")</f>
        <v/>
      </c>
      <c r="X97" s="351">
        <f>IFERROR(__xludf.DUMMYFUNCTION("""COMPUTED_VALUE"""),"-")</f>
        <v/>
      </c>
      <c r="Y97" s="351" t="n"/>
      <c r="Z97" s="351">
        <f>IFERROR(__xludf.DUMMYFUNCTION("""COMPUTED_VALUE"""),"-")</f>
        <v/>
      </c>
      <c r="AA97" s="327" t="n"/>
      <c r="AB97" s="327">
        <f>IFERROR(__xludf.DUMMYFUNCTION("""COMPUTED_VALUE"""),"dageki_1")</f>
        <v/>
      </c>
      <c r="AC97" s="327" t="n"/>
    </row>
    <row r="98">
      <c r="A98" s="339" t="n"/>
      <c r="B98" s="17">
        <f>IFERROR(__xludf.DUMMYFUNCTION("""COMPUTED_VALUE"""),"enemy_jig_00001")</f>
        <v/>
      </c>
      <c r="C98" s="295">
        <f>IFERROR(__xludf.DUMMYFUNCTION("""COMPUTED_VALUE"""),"_jig1_advent")</f>
        <v/>
      </c>
      <c r="D98" s="295">
        <f>IFERROR(__xludf.DUMMYFUNCTION("""COMPUTED_VALUE"""),"e_jig_00001_jig1_advent_Normal_Yellow")</f>
        <v/>
      </c>
      <c r="E98" s="295">
        <f>IFERROR(__xludf.DUMMYFUNCTION("""COMPUTED_VALUE"""),"地獄楽")</f>
        <v/>
      </c>
      <c r="F98" s="349">
        <f>IFERROR(__xludf.DUMMYFUNCTION("""COMPUTED_VALUE"""),"門神")</f>
        <v/>
      </c>
      <c r="G98" s="349">
        <f>IFERROR(__xludf.DUMMYFUNCTION("""COMPUTED_VALUE"""),"門神_jig1_advent")</f>
        <v/>
      </c>
      <c r="H98" s="17">
        <f>IFERROR(__xludf.DUMMYFUNCTION("""COMPUTED_VALUE"""),"Normal")</f>
        <v/>
      </c>
      <c r="I98" s="17">
        <f>IFERROR(__xludf.DUMMYFUNCTION("""COMPUTED_VALUE"""),"Attack")</f>
        <v/>
      </c>
      <c r="J98" s="17">
        <f>IFERROR(__xludf.DUMMYFUNCTION("""COMPUTED_VALUE"""),"Yellow")</f>
        <v/>
      </c>
      <c r="K98" s="17">
        <f>IFERROR(__xludf.DUMMYFUNCTION("""COMPUTED_VALUE"""),10000.0)</f>
        <v/>
      </c>
      <c r="L98" s="17">
        <f>IFERROR(__xludf.DUMMYFUNCTION("""COMPUTED_VALUE"""),0.0)</f>
        <v/>
      </c>
      <c r="M98" s="17">
        <f>IFERROR(__xludf.DUMMYFUNCTION("""COMPUTED_VALUE"""),30.0)</f>
        <v/>
      </c>
      <c r="N98" s="17">
        <f>IFERROR(__xludf.DUMMYFUNCTION("""COMPUTED_VALUE"""),0.17)</f>
        <v/>
      </c>
      <c r="O98" s="17">
        <f>IFERROR(__xludf.DUMMYFUNCTION("""COMPUTED_VALUE"""),300.0)</f>
        <v/>
      </c>
      <c r="P98" s="17">
        <f>IFERROR(__xludf.DUMMYFUNCTION("""COMPUTED_VALUE"""),0.0)</f>
        <v/>
      </c>
      <c r="Q98" s="17">
        <f>IFERROR(__xludf.DUMMYFUNCTION("""COMPUTED_VALUE"""),0.26)</f>
        <v/>
      </c>
      <c r="R98" s="17">
        <f>IFERROR(__xludf.DUMMYFUNCTION("""COMPUTED_VALUE"""),1.0)</f>
        <v/>
      </c>
      <c r="S98" s="17">
        <f>IFERROR(__xludf.DUMMYFUNCTION("""COMPUTED_VALUE"""),100.0)</f>
        <v/>
      </c>
      <c r="T98" s="350">
        <f>IFERROR(__xludf.DUMMYFUNCTION("""COMPUTED_VALUE"""),"1.83")</f>
        <v/>
      </c>
      <c r="U98" s="351">
        <f>IFERROR(__xludf.DUMMYFUNCTION("""COMPUTED_VALUE"""),"0.83")</f>
        <v/>
      </c>
      <c r="V98" s="351">
        <f>IFERROR(__xludf.DUMMYFUNCTION("""COMPUTED_VALUE"""),40.0)</f>
        <v/>
      </c>
      <c r="W98" s="351">
        <f>IFERROR(__xludf.DUMMYFUNCTION("""COMPUTED_VALUE"""),"-")</f>
        <v/>
      </c>
      <c r="X98" s="351">
        <f>IFERROR(__xludf.DUMMYFUNCTION("""COMPUTED_VALUE"""),"-")</f>
        <v/>
      </c>
      <c r="Y98" s="351" t="n"/>
      <c r="Z98" s="351">
        <f>IFERROR(__xludf.DUMMYFUNCTION("""COMPUTED_VALUE"""),"-")</f>
        <v/>
      </c>
      <c r="AA98" s="327" t="n"/>
      <c r="AB98" s="327">
        <f>IFERROR(__xludf.DUMMYFUNCTION("""COMPUTED_VALUE"""),"dageki_1")</f>
        <v/>
      </c>
      <c r="AC98" s="327" t="n"/>
    </row>
    <row r="99">
      <c r="A99" s="339" t="n"/>
      <c r="B99" s="17">
        <f>IFERROR(__xludf.DUMMYFUNCTION("""COMPUTED_VALUE"""),"enemy_jig_00001")</f>
        <v/>
      </c>
      <c r="C99" s="295">
        <f>IFERROR(__xludf.DUMMYFUNCTION("""COMPUTED_VALUE"""),"_jig1_advent")</f>
        <v/>
      </c>
      <c r="D99" s="295">
        <f>IFERROR(__xludf.DUMMYFUNCTION("""COMPUTED_VALUE"""),"e_jig_00001_jig1_advent_Normal_Green")</f>
        <v/>
      </c>
      <c r="E99" s="295">
        <f>IFERROR(__xludf.DUMMYFUNCTION("""COMPUTED_VALUE"""),"地獄楽")</f>
        <v/>
      </c>
      <c r="F99" s="349">
        <f>IFERROR(__xludf.DUMMYFUNCTION("""COMPUTED_VALUE"""),"門神")</f>
        <v/>
      </c>
      <c r="G99" s="349">
        <f>IFERROR(__xludf.DUMMYFUNCTION("""COMPUTED_VALUE"""),"門神_jig1_advent")</f>
        <v/>
      </c>
      <c r="H99" s="17">
        <f>IFERROR(__xludf.DUMMYFUNCTION("""COMPUTED_VALUE"""),"Normal")</f>
        <v/>
      </c>
      <c r="I99" s="17">
        <f>IFERROR(__xludf.DUMMYFUNCTION("""COMPUTED_VALUE"""),"Attack")</f>
        <v/>
      </c>
      <c r="J99" s="17">
        <f>IFERROR(__xludf.DUMMYFUNCTION("""COMPUTED_VALUE"""),"Green")</f>
        <v/>
      </c>
      <c r="K99" s="17">
        <f>IFERROR(__xludf.DUMMYFUNCTION("""COMPUTED_VALUE"""),10000.0)</f>
        <v/>
      </c>
      <c r="L99" s="17">
        <f>IFERROR(__xludf.DUMMYFUNCTION("""COMPUTED_VALUE"""),0.0)</f>
        <v/>
      </c>
      <c r="M99" s="17">
        <f>IFERROR(__xludf.DUMMYFUNCTION("""COMPUTED_VALUE"""),30.0)</f>
        <v/>
      </c>
      <c r="N99" s="17">
        <f>IFERROR(__xludf.DUMMYFUNCTION("""COMPUTED_VALUE"""),0.17)</f>
        <v/>
      </c>
      <c r="O99" s="17">
        <f>IFERROR(__xludf.DUMMYFUNCTION("""COMPUTED_VALUE"""),300.0)</f>
        <v/>
      </c>
      <c r="P99" s="17">
        <f>IFERROR(__xludf.DUMMYFUNCTION("""COMPUTED_VALUE"""),0.0)</f>
        <v/>
      </c>
      <c r="Q99" s="17">
        <f>IFERROR(__xludf.DUMMYFUNCTION("""COMPUTED_VALUE"""),0.26)</f>
        <v/>
      </c>
      <c r="R99" s="17">
        <f>IFERROR(__xludf.DUMMYFUNCTION("""COMPUTED_VALUE"""),1.0)</f>
        <v/>
      </c>
      <c r="S99" s="17">
        <f>IFERROR(__xludf.DUMMYFUNCTION("""COMPUTED_VALUE"""),100.0)</f>
        <v/>
      </c>
      <c r="T99" s="350">
        <f>IFERROR(__xludf.DUMMYFUNCTION("""COMPUTED_VALUE"""),"1.83")</f>
        <v/>
      </c>
      <c r="U99" s="351">
        <f>IFERROR(__xludf.DUMMYFUNCTION("""COMPUTED_VALUE"""),"0.83")</f>
        <v/>
      </c>
      <c r="V99" s="351">
        <f>IFERROR(__xludf.DUMMYFUNCTION("""COMPUTED_VALUE"""),40.0)</f>
        <v/>
      </c>
      <c r="W99" s="351">
        <f>IFERROR(__xludf.DUMMYFUNCTION("""COMPUTED_VALUE"""),"-")</f>
        <v/>
      </c>
      <c r="X99" s="351">
        <f>IFERROR(__xludf.DUMMYFUNCTION("""COMPUTED_VALUE"""),"-")</f>
        <v/>
      </c>
      <c r="Y99" s="351" t="n"/>
      <c r="Z99" s="351">
        <f>IFERROR(__xludf.DUMMYFUNCTION("""COMPUTED_VALUE"""),"-")</f>
        <v/>
      </c>
      <c r="AA99" s="327" t="n"/>
      <c r="AB99" s="327">
        <f>IFERROR(__xludf.DUMMYFUNCTION("""COMPUTED_VALUE"""),"dageki_1")</f>
        <v/>
      </c>
      <c r="AC99" s="327" t="n"/>
    </row>
    <row r="100">
      <c r="A100" s="339" t="n"/>
      <c r="B100" s="17" t="n"/>
      <c r="C100" s="295" t="n"/>
      <c r="D100" s="295">
        <f>IFERROR(__xludf.DUMMYFUNCTION("""COMPUTED_VALUE"""),"___")</f>
        <v/>
      </c>
      <c r="E100" s="295">
        <f>IFERROR(__xludf.DUMMYFUNCTION("""COMPUTED_VALUE"""),"none")</f>
        <v/>
      </c>
      <c r="F100" s="349">
        <f>IFERROR(__xludf.DUMMYFUNCTION("""COMPUTED_VALUE"""),"none")</f>
        <v/>
      </c>
      <c r="G100" s="349">
        <f>IFERROR(__xludf.DUMMYFUNCTION("""COMPUTED_VALUE"""),"none")</f>
        <v/>
      </c>
      <c r="H100" s="17" t="n"/>
      <c r="I100" s="17">
        <f>IFERROR(__xludf.DUMMYFUNCTION("""COMPUTED_VALUE"""),"none")</f>
        <v/>
      </c>
      <c r="J100" s="17" t="n"/>
      <c r="K100" s="17" t="n"/>
      <c r="L100" s="17" t="n"/>
      <c r="M100" s="17" t="n"/>
      <c r="N100" s="17" t="n"/>
      <c r="O100" s="17" t="n"/>
      <c r="P100" s="17" t="n"/>
      <c r="Q100" s="17" t="n"/>
      <c r="R100" s="17" t="n"/>
      <c r="S100" s="17" t="n"/>
      <c r="T100" s="350">
        <f>IFERROR(__xludf.DUMMYFUNCTION("""COMPUTED_VALUE"""),"none")</f>
        <v/>
      </c>
      <c r="U100" s="351">
        <f>IFERROR(__xludf.DUMMYFUNCTION("""COMPUTED_VALUE"""),"none")</f>
        <v/>
      </c>
      <c r="V100" s="351" t="n"/>
      <c r="W100" s="351">
        <f>IFERROR(__xludf.DUMMYFUNCTION("""COMPUTED_VALUE"""),"none")</f>
        <v/>
      </c>
      <c r="X100" s="351">
        <f>IFERROR(__xludf.DUMMYFUNCTION("""COMPUTED_VALUE"""),"none")</f>
        <v/>
      </c>
      <c r="Y100" s="351" t="n"/>
      <c r="Z100" s="351">
        <f>IFERROR(__xludf.DUMMYFUNCTION("""COMPUTED_VALUE"""),"-")</f>
        <v/>
      </c>
      <c r="AA100" s="327" t="n"/>
      <c r="AB100" s="327">
        <f>IFERROR(__xludf.DUMMYFUNCTION("""COMPUTED_VALUE"""),"none")</f>
        <v/>
      </c>
      <c r="AC100" s="327" t="n"/>
    </row>
    <row r="101">
      <c r="A101" s="327" t="n"/>
      <c r="B101" s="351">
        <f>IFERROR(__xludf.DUMMYFUNCTION("""COMPUTED_VALUE"""),"enemy_you_00001")</f>
        <v/>
      </c>
      <c r="C101" s="352">
        <f>IFERROR(__xludf.DUMMYFUNCTION("""COMPUTED_VALUE"""),"_you1_advent")</f>
        <v/>
      </c>
      <c r="D101" s="352">
        <f>IFERROR(__xludf.DUMMYFUNCTION("""COMPUTED_VALUE"""),"e_you_00001_you1_advent_Normal_Green")</f>
        <v/>
      </c>
      <c r="E101" s="352">
        <f>IFERROR(__xludf.DUMMYFUNCTION("""COMPUTED_VALUE"""),"幼稚園WARS")</f>
        <v/>
      </c>
      <c r="F101" s="352">
        <f>IFERROR(__xludf.DUMMYFUNCTION("""COMPUTED_VALUE"""),"不良系金髪イケメン")</f>
        <v/>
      </c>
      <c r="G101" s="352">
        <f>IFERROR(__xludf.DUMMYFUNCTION("""COMPUTED_VALUE"""),"暗殺者（近）_you1_advent")</f>
        <v/>
      </c>
      <c r="H101" s="351">
        <f>IFERROR(__xludf.DUMMYFUNCTION("""COMPUTED_VALUE"""),"Normal")</f>
        <v/>
      </c>
      <c r="I101" s="351">
        <f>IFERROR(__xludf.DUMMYFUNCTION("""COMPUTED_VALUE"""),"Defense")</f>
        <v/>
      </c>
      <c r="J101" s="351">
        <f>IFERROR(__xludf.DUMMYFUNCTION("""COMPUTED_VALUE"""),"Green")</f>
        <v/>
      </c>
      <c r="K101" s="351">
        <f>IFERROR(__xludf.DUMMYFUNCTION("""COMPUTED_VALUE"""),1000.0)</f>
        <v/>
      </c>
      <c r="L101" s="351">
        <f>IFERROR(__xludf.DUMMYFUNCTION("""COMPUTED_VALUE"""),2.0)</f>
        <v/>
      </c>
      <c r="M101" s="351">
        <f>IFERROR(__xludf.DUMMYFUNCTION("""COMPUTED_VALUE"""),37.0)</f>
        <v/>
      </c>
      <c r="N101" s="351">
        <f>IFERROR(__xludf.DUMMYFUNCTION("""COMPUTED_VALUE"""),0.2)</f>
        <v/>
      </c>
      <c r="O101" s="351">
        <f>IFERROR(__xludf.DUMMYFUNCTION("""COMPUTED_VALUE"""),100.0)</f>
        <v/>
      </c>
      <c r="P101" s="351" t="n"/>
      <c r="Q101" s="351" t="n"/>
      <c r="R101" s="351" t="n"/>
      <c r="S101" s="351">
        <f>IFERROR(__xludf.DUMMYFUNCTION("""COMPUTED_VALUE"""),50.0)</f>
        <v/>
      </c>
      <c r="T101" s="353">
        <f>IFERROR(__xludf.DUMMYFUNCTION("""COMPUTED_VALUE"""),"1.27")</f>
        <v/>
      </c>
      <c r="U101" s="351">
        <f>IFERROR(__xludf.DUMMYFUNCTION("""COMPUTED_VALUE"""),"stop有0.5")</f>
        <v/>
      </c>
      <c r="V101" s="351" t="n"/>
      <c r="W101" s="351">
        <f>IFERROR(__xludf.DUMMYFUNCTION("""COMPUTED_VALUE"""),"-")</f>
        <v/>
      </c>
      <c r="X101" s="351">
        <f>IFERROR(__xludf.DUMMYFUNCTION("""COMPUTED_VALUE"""),"-")</f>
        <v/>
      </c>
      <c r="Y101" s="351" t="n"/>
      <c r="Z101" s="351">
        <f>IFERROR(__xludf.DUMMYFUNCTION("""COMPUTED_VALUE"""),"-")</f>
        <v/>
      </c>
      <c r="AA101" s="327" t="n"/>
      <c r="AB101" s="327">
        <f>IFERROR(__xludf.DUMMYFUNCTION("""COMPUTED_VALUE"""),"zangeki_1")</f>
        <v/>
      </c>
      <c r="AC101" s="327" t="n"/>
    </row>
    <row r="102">
      <c r="A102" s="327" t="n"/>
      <c r="B102" s="351">
        <f>IFERROR(__xludf.DUMMYFUNCTION("""COMPUTED_VALUE"""),"enemy_you_00101")</f>
        <v/>
      </c>
      <c r="C102" s="352">
        <f>IFERROR(__xludf.DUMMYFUNCTION("""COMPUTED_VALUE"""),"_you1_advent")</f>
        <v/>
      </c>
      <c r="D102" s="352">
        <f>IFERROR(__xludf.DUMMYFUNCTION("""COMPUTED_VALUE"""),"e_you_00101_you1_advent_Normal_Green")</f>
        <v/>
      </c>
      <c r="E102" s="352">
        <f>IFERROR(__xludf.DUMMYFUNCTION("""COMPUTED_VALUE"""),"幼稚園WARS")</f>
        <v/>
      </c>
      <c r="F102" s="352">
        <f>IFERROR(__xludf.DUMMYFUNCTION("""COMPUTED_VALUE"""),"イケメンじゃない殺し屋")</f>
        <v/>
      </c>
      <c r="G102" s="352">
        <f>IFERROR(__xludf.DUMMYFUNCTION("""COMPUTED_VALUE"""),"暗殺者（遠）_you1_advent")</f>
        <v/>
      </c>
      <c r="H102" s="351">
        <f>IFERROR(__xludf.DUMMYFUNCTION("""COMPUTED_VALUE"""),"Normal")</f>
        <v/>
      </c>
      <c r="I102" s="351">
        <f>IFERROR(__xludf.DUMMYFUNCTION("""COMPUTED_VALUE"""),"Attack")</f>
        <v/>
      </c>
      <c r="J102" s="351">
        <f>IFERROR(__xludf.DUMMYFUNCTION("""COMPUTED_VALUE"""),"Green")</f>
        <v/>
      </c>
      <c r="K102" s="351">
        <f>IFERROR(__xludf.DUMMYFUNCTION("""COMPUTED_VALUE"""),1000.0)</f>
        <v/>
      </c>
      <c r="L102" s="351">
        <f>IFERROR(__xludf.DUMMYFUNCTION("""COMPUTED_VALUE"""),3.0)</f>
        <v/>
      </c>
      <c r="M102" s="351">
        <f>IFERROR(__xludf.DUMMYFUNCTION("""COMPUTED_VALUE"""),30.0)</f>
        <v/>
      </c>
      <c r="N102" s="351">
        <f>IFERROR(__xludf.DUMMYFUNCTION("""COMPUTED_VALUE"""),0.6)</f>
        <v/>
      </c>
      <c r="O102" s="351">
        <f>IFERROR(__xludf.DUMMYFUNCTION("""COMPUTED_VALUE"""),100.0)</f>
        <v/>
      </c>
      <c r="P102" s="351" t="n"/>
      <c r="Q102" s="351" t="n"/>
      <c r="R102" s="351" t="n"/>
      <c r="S102" s="351">
        <f>IFERROR(__xludf.DUMMYFUNCTION("""COMPUTED_VALUE"""),50.0)</f>
        <v/>
      </c>
      <c r="T102" s="353">
        <f>IFERROR(__xludf.DUMMYFUNCTION("""COMPUTED_VALUE"""),"1.27")</f>
        <v/>
      </c>
      <c r="U102" s="351">
        <f>IFERROR(__xludf.DUMMYFUNCTION("""COMPUTED_VALUE"""),"0.56")</f>
        <v/>
      </c>
      <c r="V102" s="351" t="n"/>
      <c r="W102" s="351">
        <f>IFERROR(__xludf.DUMMYFUNCTION("""COMPUTED_VALUE"""),"-")</f>
        <v/>
      </c>
      <c r="X102" s="351">
        <f>IFERROR(__xludf.DUMMYFUNCTION("""COMPUTED_VALUE"""),"-")</f>
        <v/>
      </c>
      <c r="Y102" s="351" t="n"/>
      <c r="Z102" s="351">
        <f>IFERROR(__xludf.DUMMYFUNCTION("""COMPUTED_VALUE"""),"-")</f>
        <v/>
      </c>
      <c r="AA102" s="327" t="n"/>
      <c r="AB102" s="327">
        <f>IFERROR(__xludf.DUMMYFUNCTION("""COMPUTED_VALUE"""),"shageki_1")</f>
        <v/>
      </c>
      <c r="AC102" s="327" t="n"/>
    </row>
    <row r="103">
      <c r="A103" s="327" t="n"/>
      <c r="B103" s="351">
        <f>IFERROR(__xludf.DUMMYFUNCTION("""COMPUTED_VALUE"""),"chara_you_00001")</f>
        <v/>
      </c>
      <c r="C103" s="352">
        <f>IFERROR(__xludf.DUMMYFUNCTION("""COMPUTED_VALUE"""),"_you1_advent")</f>
        <v/>
      </c>
      <c r="D103" s="352">
        <f>IFERROR(__xludf.DUMMYFUNCTION("""COMPUTED_VALUE"""),"c_you_00001_you1_advent_Normal_Colorless")</f>
        <v/>
      </c>
      <c r="E103" s="352">
        <f>IFERROR(__xludf.DUMMYFUNCTION("""COMPUTED_VALUE"""),"幼稚園WARS")</f>
        <v/>
      </c>
      <c r="F103" s="352">
        <f>IFERROR(__xludf.DUMMYFUNCTION("""COMPUTED_VALUE"""),"元殺し屋の新人教諭 リタ")</f>
        <v/>
      </c>
      <c r="G103" s="352">
        <f>IFERROR(__xludf.DUMMYFUNCTION("""COMPUTED_VALUE"""),"リタ_you1_advent")</f>
        <v/>
      </c>
      <c r="H103" s="351">
        <f>IFERROR(__xludf.DUMMYFUNCTION("""COMPUTED_VALUE"""),"Normal")</f>
        <v/>
      </c>
      <c r="I103" s="351">
        <f>IFERROR(__xludf.DUMMYFUNCTION("""COMPUTED_VALUE"""),"Attack")</f>
        <v/>
      </c>
      <c r="J103" s="351">
        <f>IFERROR(__xludf.DUMMYFUNCTION("""COMPUTED_VALUE"""),"Colorless")</f>
        <v/>
      </c>
      <c r="K103" s="351">
        <f>IFERROR(__xludf.DUMMYFUNCTION("""COMPUTED_VALUE"""),1000.0)</f>
        <v/>
      </c>
      <c r="L103" s="351">
        <f>IFERROR(__xludf.DUMMYFUNCTION("""COMPUTED_VALUE"""),1.0)</f>
        <v/>
      </c>
      <c r="M103" s="351">
        <f>IFERROR(__xludf.DUMMYFUNCTION("""COMPUTED_VALUE"""),45.0)</f>
        <v/>
      </c>
      <c r="N103" s="351">
        <f>IFERROR(__xludf.DUMMYFUNCTION("""COMPUTED_VALUE"""),0.2)</f>
        <v/>
      </c>
      <c r="O103" s="351">
        <f>IFERROR(__xludf.DUMMYFUNCTION("""COMPUTED_VALUE"""),100.0)</f>
        <v/>
      </c>
      <c r="P103" s="351" t="n"/>
      <c r="Q103" s="351" t="n"/>
      <c r="R103" s="351" t="n"/>
      <c r="S103" s="351">
        <f>IFERROR(__xludf.DUMMYFUNCTION("""COMPUTED_VALUE"""),50.0)</f>
        <v/>
      </c>
      <c r="T103" s="353">
        <f>IFERROR(__xludf.DUMMYFUNCTION("""COMPUTED_VALUE"""),"1.34")</f>
        <v/>
      </c>
      <c r="U103" s="351">
        <f>IFERROR(__xludf.DUMMYFUNCTION("""COMPUTED_VALUE"""),"stop有:1回目 0.45")</f>
        <v/>
      </c>
      <c r="V103" s="351" t="n"/>
      <c r="W103" s="351">
        <f>IFERROR(__xludf.DUMMYFUNCTION("""COMPUTED_VALUE"""),"1.77")</f>
        <v/>
      </c>
      <c r="X103" s="351">
        <f>IFERROR(__xludf.DUMMYFUNCTION("""COMPUTED_VALUE"""),"stop無:1回目 0.72
stop無:2回目 0.88
stop有:3回目 1.12")</f>
        <v/>
      </c>
      <c r="Y103" s="351">
        <f>IFERROR(__xludf.DUMMYFUNCTION("""COMPUTED_VALUE"""),"1回目の攻撃に合わせて攻撃UP100%(5秒間)")</f>
        <v/>
      </c>
      <c r="Z103" s="351">
        <f>IFERROR(__xludf.DUMMYFUNCTION("""COMPUTED_VALUE"""),4.0)</f>
        <v/>
      </c>
      <c r="AA103" s="327" t="n"/>
      <c r="AB103" s="327">
        <f>IFERROR(__xludf.DUMMYFUNCTION("""COMPUTED_VALUE"""),"dageki_1")</f>
        <v/>
      </c>
      <c r="AC103" s="327" t="n"/>
    </row>
    <row r="104">
      <c r="A104" s="327" t="n"/>
      <c r="B104" s="351">
        <f>IFERROR(__xludf.DUMMYFUNCTION("""COMPUTED_VALUE"""),"chara_you_00201")</f>
        <v/>
      </c>
      <c r="C104" s="352">
        <f>IFERROR(__xludf.DUMMYFUNCTION("""COMPUTED_VALUE"""),"_you1_advent")</f>
        <v/>
      </c>
      <c r="D104" s="352">
        <f>IFERROR(__xludf.DUMMYFUNCTION("""COMPUTED_VALUE"""),"c_you_00201_you1_advent_Normal_Green")</f>
        <v/>
      </c>
      <c r="E104" s="352">
        <f>IFERROR(__xludf.DUMMYFUNCTION("""COMPUTED_VALUE"""),"幼稚園WARS")</f>
        <v/>
      </c>
      <c r="F104" s="352">
        <f>IFERROR(__xludf.DUMMYFUNCTION("""COMPUTED_VALUE"""),"ダグ")</f>
        <v/>
      </c>
      <c r="G104" s="352">
        <f>IFERROR(__xludf.DUMMYFUNCTION("""COMPUTED_VALUE"""),"ダグ_you1_advent")</f>
        <v/>
      </c>
      <c r="H104" s="351">
        <f>IFERROR(__xludf.DUMMYFUNCTION("""COMPUTED_VALUE"""),"Normal")</f>
        <v/>
      </c>
      <c r="I104" s="351">
        <f>IFERROR(__xludf.DUMMYFUNCTION("""COMPUTED_VALUE"""),"Technical")</f>
        <v/>
      </c>
      <c r="J104" s="351">
        <f>IFERROR(__xludf.DUMMYFUNCTION("""COMPUTED_VALUE"""),"Green")</f>
        <v/>
      </c>
      <c r="K104" s="351">
        <f>IFERROR(__xludf.DUMMYFUNCTION("""COMPUTED_VALUE"""),1000.0)</f>
        <v/>
      </c>
      <c r="L104" s="351">
        <f>IFERROR(__xludf.DUMMYFUNCTION("""COMPUTED_VALUE"""),1.0)</f>
        <v/>
      </c>
      <c r="M104" s="351">
        <f>IFERROR(__xludf.DUMMYFUNCTION("""COMPUTED_VALUE"""),32.0)</f>
        <v/>
      </c>
      <c r="N104" s="351">
        <f>IFERROR(__xludf.DUMMYFUNCTION("""COMPUTED_VALUE"""),0.6)</f>
        <v/>
      </c>
      <c r="O104" s="351">
        <f>IFERROR(__xludf.DUMMYFUNCTION("""COMPUTED_VALUE"""),100.0)</f>
        <v/>
      </c>
      <c r="P104" s="351" t="n"/>
      <c r="Q104" s="351" t="n"/>
      <c r="R104" s="351" t="n"/>
      <c r="S104" s="351">
        <f>IFERROR(__xludf.DUMMYFUNCTION("""COMPUTED_VALUE"""),50.0)</f>
        <v/>
      </c>
      <c r="T104" s="353">
        <f>IFERROR(__xludf.DUMMYFUNCTION("""COMPUTED_VALUE"""),"1.67")</f>
        <v/>
      </c>
      <c r="U104" s="351">
        <f>IFERROR(__xludf.DUMMYFUNCTION("""COMPUTED_VALUE"""),"stop有:1回目 0.63")</f>
        <v/>
      </c>
      <c r="V104" s="351" t="n"/>
      <c r="W104" s="351">
        <f>IFERROR(__xludf.DUMMYFUNCTION("""COMPUTED_VALUE"""),"3.17")</f>
        <v/>
      </c>
      <c r="X104" s="351">
        <f>IFERROR(__xludf.DUMMYFUNCTION("""COMPUTED_VALUE"""),"stop無:1回目 1.00
stop無:2回目 1.26
stop無:3回目 1.50
stop有:4回目 1.70")</f>
        <v/>
      </c>
      <c r="Y104" s="351">
        <f>IFERROR(__xludf.DUMMYFUNCTION("""COMPUTED_VALUE"""),"1回目の攻撃に合わせて攻撃DOWN10%(6秒間)")</f>
        <v/>
      </c>
      <c r="Z104" s="351">
        <f>IFERROR(__xludf.DUMMYFUNCTION("""COMPUTED_VALUE"""),4.0)</f>
        <v/>
      </c>
      <c r="AA104" s="327" t="n"/>
      <c r="AB104" s="327">
        <f>IFERROR(__xludf.DUMMYFUNCTION("""COMPUTED_VALUE"""),"shageki_1")</f>
        <v/>
      </c>
      <c r="AC104" s="327" t="n"/>
    </row>
    <row r="105">
      <c r="A105" s="327" t="n"/>
      <c r="B105" s="351">
        <f>IFERROR(__xludf.DUMMYFUNCTION("""COMPUTED_VALUE"""),"chara_you_00301")</f>
        <v/>
      </c>
      <c r="C105" s="352">
        <f>IFERROR(__xludf.DUMMYFUNCTION("""COMPUTED_VALUE"""),"_you1_advent")</f>
        <v/>
      </c>
      <c r="D105" s="352">
        <f>IFERROR(__xludf.DUMMYFUNCTION("""COMPUTED_VALUE"""),"c_you_00301_you1_advent_Normal_Colorless")</f>
        <v/>
      </c>
      <c r="E105" s="352">
        <f>IFERROR(__xludf.DUMMYFUNCTION("""COMPUTED_VALUE"""),"幼稚園WARS")</f>
        <v/>
      </c>
      <c r="F105" s="352">
        <f>IFERROR(__xludf.DUMMYFUNCTION("""COMPUTED_VALUE"""),"ハナ")</f>
        <v/>
      </c>
      <c r="G105" s="352">
        <f>IFERROR(__xludf.DUMMYFUNCTION("""COMPUTED_VALUE"""),"ハナ_you1_advent")</f>
        <v/>
      </c>
      <c r="H105" s="351">
        <f>IFERROR(__xludf.DUMMYFUNCTION("""COMPUTED_VALUE"""),"Normal")</f>
        <v/>
      </c>
      <c r="I105" s="351">
        <f>IFERROR(__xludf.DUMMYFUNCTION("""COMPUTED_VALUE"""),"Attack")</f>
        <v/>
      </c>
      <c r="J105" s="351">
        <f>IFERROR(__xludf.DUMMYFUNCTION("""COMPUTED_VALUE"""),"Colorless")</f>
        <v/>
      </c>
      <c r="K105" s="351">
        <f>IFERROR(__xludf.DUMMYFUNCTION("""COMPUTED_VALUE"""),1000.0)</f>
        <v/>
      </c>
      <c r="L105" s="351">
        <f>IFERROR(__xludf.DUMMYFUNCTION("""COMPUTED_VALUE"""),1.0)</f>
        <v/>
      </c>
      <c r="M105" s="351">
        <f>IFERROR(__xludf.DUMMYFUNCTION("""COMPUTED_VALUE"""),35.0)</f>
        <v/>
      </c>
      <c r="N105" s="351">
        <f>IFERROR(__xludf.DUMMYFUNCTION("""COMPUTED_VALUE"""),0.3)</f>
        <v/>
      </c>
      <c r="O105" s="351">
        <f>IFERROR(__xludf.DUMMYFUNCTION("""COMPUTED_VALUE"""),100.0)</f>
        <v/>
      </c>
      <c r="P105" s="351" t="n"/>
      <c r="Q105" s="351" t="n"/>
      <c r="R105" s="351" t="n"/>
      <c r="S105" s="351">
        <f>IFERROR(__xludf.DUMMYFUNCTION("""COMPUTED_VALUE"""),50.0)</f>
        <v/>
      </c>
      <c r="T105" s="353">
        <f>IFERROR(__xludf.DUMMYFUNCTION("""COMPUTED_VALUE"""),"1.77")</f>
        <v/>
      </c>
      <c r="U105" s="351">
        <f>IFERROR(__xludf.DUMMYFUNCTION("""COMPUTED_VALUE"""),"stop有:1回目 0.7")</f>
        <v/>
      </c>
      <c r="V105" s="351" t="n"/>
      <c r="W105" s="351">
        <f>IFERROR(__xludf.DUMMYFUNCTION("""COMPUTED_VALUE"""),"3.67")</f>
        <v/>
      </c>
      <c r="X105" s="351">
        <f>IFERROR(__xludf.DUMMYFUNCTION("""COMPUTED_VALUE"""),"stop有 :1回目 2.2")</f>
        <v/>
      </c>
      <c r="Y105" s="351">
        <f>IFERROR(__xludf.DUMMYFUNCTION("""COMPUTED_VALUE"""),"200%の範囲攻撃")</f>
        <v/>
      </c>
      <c r="Z105" s="351">
        <f>IFERROR(__xludf.DUMMYFUNCTION("""COMPUTED_VALUE"""),3.0)</f>
        <v/>
      </c>
      <c r="AA105" s="327" t="n"/>
      <c r="AB105" s="327">
        <f>IFERROR(__xludf.DUMMYFUNCTION("""COMPUTED_VALUE"""),"dageki_1")</f>
        <v/>
      </c>
      <c r="AC105" s="327" t="n"/>
    </row>
    <row r="106">
      <c r="A106" s="327" t="n"/>
      <c r="B106" s="351">
        <f>IFERROR(__xludf.DUMMYFUNCTION("""COMPUTED_VALUE"""),"enemy_you_00001")</f>
        <v/>
      </c>
      <c r="C106" s="352">
        <f>IFERROR(__xludf.DUMMYFUNCTION("""COMPUTED_VALUE"""),"_you1_advent")</f>
        <v/>
      </c>
      <c r="D106" s="352">
        <f>IFERROR(__xludf.DUMMYFUNCTION("""COMPUTED_VALUE"""),"e_you_00001_you1_advent_Boss_Colorless")</f>
        <v/>
      </c>
      <c r="E106" s="352">
        <f>IFERROR(__xludf.DUMMYFUNCTION("""COMPUTED_VALUE"""),"幼稚園WARS")</f>
        <v/>
      </c>
      <c r="F106" s="352">
        <f>IFERROR(__xludf.DUMMYFUNCTION("""COMPUTED_VALUE"""),"不良系金髪イケメン")</f>
        <v/>
      </c>
      <c r="G106" s="352">
        <f>IFERROR(__xludf.DUMMYFUNCTION("""COMPUTED_VALUE"""),"暗殺者（近）_you1_advent")</f>
        <v/>
      </c>
      <c r="H106" s="351">
        <f>IFERROR(__xludf.DUMMYFUNCTION("""COMPUTED_VALUE"""),"Boss")</f>
        <v/>
      </c>
      <c r="I106" s="351">
        <f>IFERROR(__xludf.DUMMYFUNCTION("""COMPUTED_VALUE"""),"Defense")</f>
        <v/>
      </c>
      <c r="J106" s="351">
        <f>IFERROR(__xludf.DUMMYFUNCTION("""COMPUTED_VALUE"""),"Colorless")</f>
        <v/>
      </c>
      <c r="K106" s="351">
        <f>IFERROR(__xludf.DUMMYFUNCTION("""COMPUTED_VALUE"""),10000.0)</f>
        <v/>
      </c>
      <c r="L106" s="351">
        <f>IFERROR(__xludf.DUMMYFUNCTION("""COMPUTED_VALUE"""),2.0)</f>
        <v/>
      </c>
      <c r="M106" s="351">
        <f>IFERROR(__xludf.DUMMYFUNCTION("""COMPUTED_VALUE"""),37.0)</f>
        <v/>
      </c>
      <c r="N106" s="351">
        <f>IFERROR(__xludf.DUMMYFUNCTION("""COMPUTED_VALUE"""),0.2)</f>
        <v/>
      </c>
      <c r="O106" s="351">
        <f>IFERROR(__xludf.DUMMYFUNCTION("""COMPUTED_VALUE"""),100.0)</f>
        <v/>
      </c>
      <c r="P106" s="351" t="n"/>
      <c r="Q106" s="351" t="n"/>
      <c r="R106" s="351" t="n"/>
      <c r="S106" s="351">
        <f>IFERROR(__xludf.DUMMYFUNCTION("""COMPUTED_VALUE"""),100.0)</f>
        <v/>
      </c>
      <c r="T106" s="353">
        <f>IFERROR(__xludf.DUMMYFUNCTION("""COMPUTED_VALUE"""),"1.27")</f>
        <v/>
      </c>
      <c r="U106" s="351">
        <f>IFERROR(__xludf.DUMMYFUNCTION("""COMPUTED_VALUE"""),"stop有0.5")</f>
        <v/>
      </c>
      <c r="V106" s="351" t="n"/>
      <c r="W106" s="351">
        <f>IFERROR(__xludf.DUMMYFUNCTION("""COMPUTED_VALUE"""),"-")</f>
        <v/>
      </c>
      <c r="X106" s="351">
        <f>IFERROR(__xludf.DUMMYFUNCTION("""COMPUTED_VALUE"""),"-")</f>
        <v/>
      </c>
      <c r="Y106" s="351" t="n"/>
      <c r="Z106" s="351">
        <f>IFERROR(__xludf.DUMMYFUNCTION("""COMPUTED_VALUE"""),"-")</f>
        <v/>
      </c>
      <c r="AA106" s="327" t="n"/>
      <c r="AB106" s="327">
        <f>IFERROR(__xludf.DUMMYFUNCTION("""COMPUTED_VALUE"""),"zangeki_1")</f>
        <v/>
      </c>
      <c r="AC106" s="327">
        <f>IFERROR(__xludf.DUMMYFUNCTION("""COMPUTED_VALUE"""),"100%で小ノックバック")</f>
        <v/>
      </c>
    </row>
    <row r="107">
      <c r="A107" s="327" t="n"/>
      <c r="B107" s="351">
        <f>IFERROR(__xludf.DUMMYFUNCTION("""COMPUTED_VALUE"""),"enemy_you_00101")</f>
        <v/>
      </c>
      <c r="C107" s="352">
        <f>IFERROR(__xludf.DUMMYFUNCTION("""COMPUTED_VALUE"""),"_you1_advent")</f>
        <v/>
      </c>
      <c r="D107" s="352">
        <f>IFERROR(__xludf.DUMMYFUNCTION("""COMPUTED_VALUE"""),"e_you_00101_you1_advent_Boss_Colorless")</f>
        <v/>
      </c>
      <c r="E107" s="352">
        <f>IFERROR(__xludf.DUMMYFUNCTION("""COMPUTED_VALUE"""),"幼稚園WARS")</f>
        <v/>
      </c>
      <c r="F107" s="352">
        <f>IFERROR(__xludf.DUMMYFUNCTION("""COMPUTED_VALUE"""),"イケメンじゃない殺し屋")</f>
        <v/>
      </c>
      <c r="G107" s="352">
        <f>IFERROR(__xludf.DUMMYFUNCTION("""COMPUTED_VALUE"""),"暗殺者（遠）_you1_advent")</f>
        <v/>
      </c>
      <c r="H107" s="351">
        <f>IFERROR(__xludf.DUMMYFUNCTION("""COMPUTED_VALUE"""),"Boss")</f>
        <v/>
      </c>
      <c r="I107" s="351">
        <f>IFERROR(__xludf.DUMMYFUNCTION("""COMPUTED_VALUE"""),"Attack")</f>
        <v/>
      </c>
      <c r="J107" s="351">
        <f>IFERROR(__xludf.DUMMYFUNCTION("""COMPUTED_VALUE"""),"Colorless")</f>
        <v/>
      </c>
      <c r="K107" s="351">
        <f>IFERROR(__xludf.DUMMYFUNCTION("""COMPUTED_VALUE"""),10000.0)</f>
        <v/>
      </c>
      <c r="L107" s="351">
        <f>IFERROR(__xludf.DUMMYFUNCTION("""COMPUTED_VALUE"""),5.0)</f>
        <v/>
      </c>
      <c r="M107" s="351">
        <f>IFERROR(__xludf.DUMMYFUNCTION("""COMPUTED_VALUE"""),30.0)</f>
        <v/>
      </c>
      <c r="N107" s="351">
        <f>IFERROR(__xludf.DUMMYFUNCTION("""COMPUTED_VALUE"""),0.6)</f>
        <v/>
      </c>
      <c r="O107" s="351">
        <f>IFERROR(__xludf.DUMMYFUNCTION("""COMPUTED_VALUE"""),100.0)</f>
        <v/>
      </c>
      <c r="P107" s="351" t="n"/>
      <c r="Q107" s="351" t="n"/>
      <c r="R107" s="351" t="n"/>
      <c r="S107" s="351">
        <f>IFERROR(__xludf.DUMMYFUNCTION("""COMPUTED_VALUE"""),100.0)</f>
        <v/>
      </c>
      <c r="T107" s="353">
        <f>IFERROR(__xludf.DUMMYFUNCTION("""COMPUTED_VALUE"""),"1.27")</f>
        <v/>
      </c>
      <c r="U107" s="351">
        <f>IFERROR(__xludf.DUMMYFUNCTION("""COMPUTED_VALUE"""),"0.56")</f>
        <v/>
      </c>
      <c r="V107" s="351" t="n"/>
      <c r="W107" s="351">
        <f>IFERROR(__xludf.DUMMYFUNCTION("""COMPUTED_VALUE"""),"-")</f>
        <v/>
      </c>
      <c r="X107" s="351">
        <f>IFERROR(__xludf.DUMMYFUNCTION("""COMPUTED_VALUE"""),"-")</f>
        <v/>
      </c>
      <c r="Y107" s="351" t="n"/>
      <c r="Z107" s="351">
        <f>IFERROR(__xludf.DUMMYFUNCTION("""COMPUTED_VALUE"""),"-")</f>
        <v/>
      </c>
      <c r="AA107" s="327" t="n"/>
      <c r="AB107" s="327">
        <f>IFERROR(__xludf.DUMMYFUNCTION("""COMPUTED_VALUE"""),"shageki_1")</f>
        <v/>
      </c>
      <c r="AC107" s="327">
        <f>IFERROR(__xludf.DUMMYFUNCTION("""COMPUTED_VALUE"""),"25%で中ノックバック")</f>
        <v/>
      </c>
    </row>
    <row r="108">
      <c r="A108" s="327" t="n"/>
      <c r="B108" s="351">
        <f>IFERROR(__xludf.DUMMYFUNCTION("""COMPUTED_VALUE"""),"chara_you_00001")</f>
        <v/>
      </c>
      <c r="C108" s="352">
        <f>IFERROR(__xludf.DUMMYFUNCTION("""COMPUTED_VALUE"""),"_you1_advent")</f>
        <v/>
      </c>
      <c r="D108" s="352">
        <f>IFERROR(__xludf.DUMMYFUNCTION("""COMPUTED_VALUE"""),"c_you_00001_you1_advent_Boss_Green")</f>
        <v/>
      </c>
      <c r="E108" s="352">
        <f>IFERROR(__xludf.DUMMYFUNCTION("""COMPUTED_VALUE"""),"幼稚園WARS")</f>
        <v/>
      </c>
      <c r="F108" s="352">
        <f>IFERROR(__xludf.DUMMYFUNCTION("""COMPUTED_VALUE"""),"元殺し屋の新人教諭 リタ")</f>
        <v/>
      </c>
      <c r="G108" s="352">
        <f>IFERROR(__xludf.DUMMYFUNCTION("""COMPUTED_VALUE"""),"リタ_you1_advent")</f>
        <v/>
      </c>
      <c r="H108" s="351">
        <f>IFERROR(__xludf.DUMMYFUNCTION("""COMPUTED_VALUE"""),"Boss")</f>
        <v/>
      </c>
      <c r="I108" s="351">
        <f>IFERROR(__xludf.DUMMYFUNCTION("""COMPUTED_VALUE"""),"Attack")</f>
        <v/>
      </c>
      <c r="J108" s="351">
        <f>IFERROR(__xludf.DUMMYFUNCTION("""COMPUTED_VALUE"""),"Green")</f>
        <v/>
      </c>
      <c r="K108" s="351">
        <f>IFERROR(__xludf.DUMMYFUNCTION("""COMPUTED_VALUE"""),10000.0)</f>
        <v/>
      </c>
      <c r="L108" s="351">
        <f>IFERROR(__xludf.DUMMYFUNCTION("""COMPUTED_VALUE"""),1.0)</f>
        <v/>
      </c>
      <c r="M108" s="351">
        <f>IFERROR(__xludf.DUMMYFUNCTION("""COMPUTED_VALUE"""),45.0)</f>
        <v/>
      </c>
      <c r="N108" s="351">
        <f>IFERROR(__xludf.DUMMYFUNCTION("""COMPUTED_VALUE"""),0.2)</f>
        <v/>
      </c>
      <c r="O108" s="351">
        <f>IFERROR(__xludf.DUMMYFUNCTION("""COMPUTED_VALUE"""),100.0)</f>
        <v/>
      </c>
      <c r="P108" s="351" t="n"/>
      <c r="Q108" s="351" t="n"/>
      <c r="R108" s="351" t="n"/>
      <c r="S108" s="351">
        <f>IFERROR(__xludf.DUMMYFUNCTION("""COMPUTED_VALUE"""),100.0)</f>
        <v/>
      </c>
      <c r="T108" s="353">
        <f>IFERROR(__xludf.DUMMYFUNCTION("""COMPUTED_VALUE"""),"1.34")</f>
        <v/>
      </c>
      <c r="U108" s="351">
        <f>IFERROR(__xludf.DUMMYFUNCTION("""COMPUTED_VALUE"""),"stop有:1回目 0.45")</f>
        <v/>
      </c>
      <c r="V108" s="351" t="n"/>
      <c r="W108" s="351">
        <f>IFERROR(__xludf.DUMMYFUNCTION("""COMPUTED_VALUE"""),"1.77")</f>
        <v/>
      </c>
      <c r="X108" s="351">
        <f>IFERROR(__xludf.DUMMYFUNCTION("""COMPUTED_VALUE"""),"stop無:1回目 0.72
stop無:2回目 0.88
stop有:3回目 1.12")</f>
        <v/>
      </c>
      <c r="Y108" s="351">
        <f>IFERROR(__xludf.DUMMYFUNCTION("""COMPUTED_VALUE"""),"1回目の攻撃に合わせて攻撃UP100%(5秒間)")</f>
        <v/>
      </c>
      <c r="Z108" s="351">
        <f>IFERROR(__xludf.DUMMYFUNCTION("""COMPUTED_VALUE"""),4.0)</f>
        <v/>
      </c>
      <c r="AA108" s="327" t="n"/>
      <c r="AB108" s="327">
        <f>IFERROR(__xludf.DUMMYFUNCTION("""COMPUTED_VALUE"""),"dageki_1")</f>
        <v/>
      </c>
      <c r="AC108" s="327" t="n"/>
    </row>
    <row r="109">
      <c r="A109" s="327" t="n"/>
      <c r="B109" s="351">
        <f>IFERROR(__xludf.DUMMYFUNCTION("""COMPUTED_VALUE"""),"chara_you_00201")</f>
        <v/>
      </c>
      <c r="C109" s="352">
        <f>IFERROR(__xludf.DUMMYFUNCTION("""COMPUTED_VALUE"""),"_you1_advent")</f>
        <v/>
      </c>
      <c r="D109" s="352">
        <f>IFERROR(__xludf.DUMMYFUNCTION("""COMPUTED_VALUE"""),"c_you_00201_you1_advent_Boss_Green")</f>
        <v/>
      </c>
      <c r="E109" s="352">
        <f>IFERROR(__xludf.DUMMYFUNCTION("""COMPUTED_VALUE"""),"幼稚園WARS")</f>
        <v/>
      </c>
      <c r="F109" s="352">
        <f>IFERROR(__xludf.DUMMYFUNCTION("""COMPUTED_VALUE"""),"ダグ")</f>
        <v/>
      </c>
      <c r="G109" s="352">
        <f>IFERROR(__xludf.DUMMYFUNCTION("""COMPUTED_VALUE"""),"ダグ_you1_advent")</f>
        <v/>
      </c>
      <c r="H109" s="351">
        <f>IFERROR(__xludf.DUMMYFUNCTION("""COMPUTED_VALUE"""),"Boss")</f>
        <v/>
      </c>
      <c r="I109" s="351">
        <f>IFERROR(__xludf.DUMMYFUNCTION("""COMPUTED_VALUE"""),"Technical")</f>
        <v/>
      </c>
      <c r="J109" s="351">
        <f>IFERROR(__xludf.DUMMYFUNCTION("""COMPUTED_VALUE"""),"Green")</f>
        <v/>
      </c>
      <c r="K109" s="351">
        <f>IFERROR(__xludf.DUMMYFUNCTION("""COMPUTED_VALUE"""),10000.0)</f>
        <v/>
      </c>
      <c r="L109" s="351">
        <f>IFERROR(__xludf.DUMMYFUNCTION("""COMPUTED_VALUE"""),1.0)</f>
        <v/>
      </c>
      <c r="M109" s="351">
        <f>IFERROR(__xludf.DUMMYFUNCTION("""COMPUTED_VALUE"""),32.0)</f>
        <v/>
      </c>
      <c r="N109" s="351">
        <f>IFERROR(__xludf.DUMMYFUNCTION("""COMPUTED_VALUE"""),0.6)</f>
        <v/>
      </c>
      <c r="O109" s="351">
        <f>IFERROR(__xludf.DUMMYFUNCTION("""COMPUTED_VALUE"""),100.0)</f>
        <v/>
      </c>
      <c r="P109" s="351" t="n"/>
      <c r="Q109" s="351" t="n"/>
      <c r="R109" s="351" t="n"/>
      <c r="S109" s="351">
        <f>IFERROR(__xludf.DUMMYFUNCTION("""COMPUTED_VALUE"""),100.0)</f>
        <v/>
      </c>
      <c r="T109" s="353">
        <f>IFERROR(__xludf.DUMMYFUNCTION("""COMPUTED_VALUE"""),"1.67")</f>
        <v/>
      </c>
      <c r="U109" s="351">
        <f>IFERROR(__xludf.DUMMYFUNCTION("""COMPUTED_VALUE"""),"stop有:1回目 0.63")</f>
        <v/>
      </c>
      <c r="V109" s="351" t="n"/>
      <c r="W109" s="351">
        <f>IFERROR(__xludf.DUMMYFUNCTION("""COMPUTED_VALUE"""),"3.17")</f>
        <v/>
      </c>
      <c r="X109" s="351">
        <f>IFERROR(__xludf.DUMMYFUNCTION("""COMPUTED_VALUE"""),"stop無:1回目 1.00
stop無:2回目 1.26
stop無:3回目 1.50
stop有:4回目 1.70")</f>
        <v/>
      </c>
      <c r="Y109" s="351">
        <f>IFERROR(__xludf.DUMMYFUNCTION("""COMPUTED_VALUE"""),"1回目の攻撃に合わせて攻撃DOWN10%(6秒間)")</f>
        <v/>
      </c>
      <c r="Z109" s="351">
        <f>IFERROR(__xludf.DUMMYFUNCTION("""COMPUTED_VALUE"""),4.0)</f>
        <v/>
      </c>
      <c r="AA109" s="327" t="n"/>
      <c r="AB109" s="327">
        <f>IFERROR(__xludf.DUMMYFUNCTION("""COMPUTED_VALUE"""),"shageki_1")</f>
        <v/>
      </c>
      <c r="AC109" s="327" t="n"/>
    </row>
    <row r="110">
      <c r="A110" s="327" t="n"/>
      <c r="B110" s="351">
        <f>IFERROR(__xludf.DUMMYFUNCTION("""COMPUTED_VALUE"""),"chara_you_00301")</f>
        <v/>
      </c>
      <c r="C110" s="352">
        <f>IFERROR(__xludf.DUMMYFUNCTION("""COMPUTED_VALUE"""),"_you1_advent")</f>
        <v/>
      </c>
      <c r="D110" s="352">
        <f>IFERROR(__xludf.DUMMYFUNCTION("""COMPUTED_VALUE"""),"c_you_00301_you1_advent_Boss_Green")</f>
        <v/>
      </c>
      <c r="E110" s="352">
        <f>IFERROR(__xludf.DUMMYFUNCTION("""COMPUTED_VALUE"""),"幼稚園WARS")</f>
        <v/>
      </c>
      <c r="F110" s="352">
        <f>IFERROR(__xludf.DUMMYFUNCTION("""COMPUTED_VALUE"""),"ハナ")</f>
        <v/>
      </c>
      <c r="G110" s="352">
        <f>IFERROR(__xludf.DUMMYFUNCTION("""COMPUTED_VALUE"""),"ハナ_you1_advent")</f>
        <v/>
      </c>
      <c r="H110" s="351">
        <f>IFERROR(__xludf.DUMMYFUNCTION("""COMPUTED_VALUE"""),"Boss")</f>
        <v/>
      </c>
      <c r="I110" s="351">
        <f>IFERROR(__xludf.DUMMYFUNCTION("""COMPUTED_VALUE"""),"Attack")</f>
        <v/>
      </c>
      <c r="J110" s="351">
        <f>IFERROR(__xludf.DUMMYFUNCTION("""COMPUTED_VALUE"""),"Green")</f>
        <v/>
      </c>
      <c r="K110" s="351">
        <f>IFERROR(__xludf.DUMMYFUNCTION("""COMPUTED_VALUE"""),10000.0)</f>
        <v/>
      </c>
      <c r="L110" s="351">
        <f>IFERROR(__xludf.DUMMYFUNCTION("""COMPUTED_VALUE"""),1.0)</f>
        <v/>
      </c>
      <c r="M110" s="351">
        <f>IFERROR(__xludf.DUMMYFUNCTION("""COMPUTED_VALUE"""),35.0)</f>
        <v/>
      </c>
      <c r="N110" s="351">
        <f>IFERROR(__xludf.DUMMYFUNCTION("""COMPUTED_VALUE"""),0.3)</f>
        <v/>
      </c>
      <c r="O110" s="351">
        <f>IFERROR(__xludf.DUMMYFUNCTION("""COMPUTED_VALUE"""),100.0)</f>
        <v/>
      </c>
      <c r="P110" s="351" t="n"/>
      <c r="Q110" s="351" t="n"/>
      <c r="R110" s="351" t="n"/>
      <c r="S110" s="351">
        <f>IFERROR(__xludf.DUMMYFUNCTION("""COMPUTED_VALUE"""),100.0)</f>
        <v/>
      </c>
      <c r="T110" s="353">
        <f>IFERROR(__xludf.DUMMYFUNCTION("""COMPUTED_VALUE"""),"1.77")</f>
        <v/>
      </c>
      <c r="U110" s="351">
        <f>IFERROR(__xludf.DUMMYFUNCTION("""COMPUTED_VALUE"""),"stop有:1回目 0.7")</f>
        <v/>
      </c>
      <c r="V110" s="351" t="n"/>
      <c r="W110" s="351">
        <f>IFERROR(__xludf.DUMMYFUNCTION("""COMPUTED_VALUE"""),"3.67")</f>
        <v/>
      </c>
      <c r="X110" s="351">
        <f>IFERROR(__xludf.DUMMYFUNCTION("""COMPUTED_VALUE"""),"stop有 :1回目 2.2")</f>
        <v/>
      </c>
      <c r="Y110" s="351">
        <f>IFERROR(__xludf.DUMMYFUNCTION("""COMPUTED_VALUE"""),"300%の範囲攻撃")</f>
        <v/>
      </c>
      <c r="Z110" s="351">
        <f>IFERROR(__xludf.DUMMYFUNCTION("""COMPUTED_VALUE"""),3.0)</f>
        <v/>
      </c>
      <c r="AA110" s="327" t="n"/>
      <c r="AB110" s="327">
        <f>IFERROR(__xludf.DUMMYFUNCTION("""COMPUTED_VALUE"""),"dageki_1")</f>
        <v/>
      </c>
      <c r="AC110" s="327" t="n"/>
    </row>
    <row r="111">
      <c r="A111" s="327" t="n"/>
      <c r="B111" s="351">
        <f>IFERROR(__xludf.DUMMYFUNCTION("""COMPUTED_VALUE"""),"chara_you_00101")</f>
        <v/>
      </c>
      <c r="C111" s="352">
        <f>IFERROR(__xludf.DUMMYFUNCTION("""COMPUTED_VALUE"""),"_you1_advent")</f>
        <v/>
      </c>
      <c r="D111" s="352">
        <f>IFERROR(__xludf.DUMMYFUNCTION("""COMPUTED_VALUE"""),"c_you_00101_you1_advent_Boss_Green")</f>
        <v/>
      </c>
      <c r="E111" s="352">
        <f>IFERROR(__xludf.DUMMYFUNCTION("""COMPUTED_VALUE"""),"幼稚園WARS")</f>
        <v/>
      </c>
      <c r="F111" s="352">
        <f>IFERROR(__xludf.DUMMYFUNCTION("""COMPUTED_VALUE"""),"ルーク")</f>
        <v/>
      </c>
      <c r="G111" s="352">
        <f>IFERROR(__xludf.DUMMYFUNCTION("""COMPUTED_VALUE"""),"ルーク_you1_advent")</f>
        <v/>
      </c>
      <c r="H111" s="351">
        <f>IFERROR(__xludf.DUMMYFUNCTION("""COMPUTED_VALUE"""),"Boss")</f>
        <v/>
      </c>
      <c r="I111" s="351">
        <f>IFERROR(__xludf.DUMMYFUNCTION("""COMPUTED_VALUE"""),"Technical")</f>
        <v/>
      </c>
      <c r="J111" s="351">
        <f>IFERROR(__xludf.DUMMYFUNCTION("""COMPUTED_VALUE"""),"Green")</f>
        <v/>
      </c>
      <c r="K111" s="351">
        <f>IFERROR(__xludf.DUMMYFUNCTION("""COMPUTED_VALUE"""),10000.0)</f>
        <v/>
      </c>
      <c r="L111" s="351">
        <f>IFERROR(__xludf.DUMMYFUNCTION("""COMPUTED_VALUE"""),1.0)</f>
        <v/>
      </c>
      <c r="M111" s="351">
        <f>IFERROR(__xludf.DUMMYFUNCTION("""COMPUTED_VALUE"""),40.0)</f>
        <v/>
      </c>
      <c r="N111" s="351">
        <f>IFERROR(__xludf.DUMMYFUNCTION("""COMPUTED_VALUE"""),0.26)</f>
        <v/>
      </c>
      <c r="O111" s="351">
        <f>IFERROR(__xludf.DUMMYFUNCTION("""COMPUTED_VALUE"""),100.0)</f>
        <v/>
      </c>
      <c r="P111" s="351" t="n"/>
      <c r="Q111" s="351" t="n"/>
      <c r="R111" s="351" t="n"/>
      <c r="S111" s="351">
        <f>IFERROR(__xludf.DUMMYFUNCTION("""COMPUTED_VALUE"""),100.0)</f>
        <v/>
      </c>
      <c r="T111" s="353">
        <f>IFERROR(__xludf.DUMMYFUNCTION("""COMPUTED_VALUE"""),"1.64")</f>
        <v/>
      </c>
      <c r="U111" s="351">
        <f>IFERROR(__xludf.DUMMYFUNCTION("""COMPUTED_VALUE"""),"stop有:1回目 0.65")</f>
        <v/>
      </c>
      <c r="V111" s="351" t="n"/>
      <c r="W111" s="351">
        <f>IFERROR(__xludf.DUMMYFUNCTION("""COMPUTED_VALUE"""),"3.57")</f>
        <v/>
      </c>
      <c r="X111" s="351">
        <f>IFERROR(__xludf.DUMMYFUNCTION("""COMPUTED_VALUE"""),"stop無:1回目 0.97
stop無:2回目 1.08
stop無:3回目 1.2
stop無:4回目 1.32
stop有:5回目 1.48")</f>
        <v/>
      </c>
      <c r="Y111" s="351">
        <f>IFERROR(__xludf.DUMMYFUNCTION("""COMPUTED_VALUE"""),"1回目の攻撃に合わせて5%の毒状態(18秒間)")</f>
        <v/>
      </c>
      <c r="Z111" s="351">
        <f>IFERROR(__xludf.DUMMYFUNCTION("""COMPUTED_VALUE"""),5.0)</f>
        <v/>
      </c>
      <c r="AA111" s="327" t="n"/>
      <c r="AB111" s="327">
        <f>IFERROR(__xludf.DUMMYFUNCTION("""COMPUTED_VALUE"""),"dageki_1")</f>
        <v/>
      </c>
      <c r="AC111" s="327" t="n"/>
    </row>
    <row r="112">
      <c r="A112" s="327" t="n"/>
      <c r="B112" s="351" t="n"/>
      <c r="C112" s="352" t="n"/>
      <c r="D112" s="352">
        <f>IFERROR(__xludf.DUMMYFUNCTION("""COMPUTED_VALUE"""),"___")</f>
        <v/>
      </c>
      <c r="E112" s="352">
        <f>IFERROR(__xludf.DUMMYFUNCTION("""COMPUTED_VALUE"""),"none")</f>
        <v/>
      </c>
      <c r="F112" s="352">
        <f>IFERROR(__xludf.DUMMYFUNCTION("""COMPUTED_VALUE"""),"none")</f>
        <v/>
      </c>
      <c r="G112" s="352">
        <f>IFERROR(__xludf.DUMMYFUNCTION("""COMPUTED_VALUE"""),"none")</f>
        <v/>
      </c>
      <c r="H112" s="351" t="n"/>
      <c r="I112" s="351">
        <f>IFERROR(__xludf.DUMMYFUNCTION("""COMPUTED_VALUE"""),"none")</f>
        <v/>
      </c>
      <c r="J112" s="351" t="n"/>
      <c r="K112" s="351" t="n"/>
      <c r="L112" s="351" t="n"/>
      <c r="M112" s="351" t="n"/>
      <c r="N112" s="351" t="n"/>
      <c r="O112" s="351" t="n"/>
      <c r="P112" s="351" t="n"/>
      <c r="Q112" s="351" t="n"/>
      <c r="R112" s="351" t="n"/>
      <c r="S112" s="351" t="n"/>
      <c r="T112" s="353">
        <f>IFERROR(__xludf.DUMMYFUNCTION("""COMPUTED_VALUE"""),"none")</f>
        <v/>
      </c>
      <c r="U112" s="351">
        <f>IFERROR(__xludf.DUMMYFUNCTION("""COMPUTED_VALUE"""),"none")</f>
        <v/>
      </c>
      <c r="V112" s="351" t="n"/>
      <c r="W112" s="351">
        <f>IFERROR(__xludf.DUMMYFUNCTION("""COMPUTED_VALUE"""),"none")</f>
        <v/>
      </c>
      <c r="X112" s="351">
        <f>IFERROR(__xludf.DUMMYFUNCTION("""COMPUTED_VALUE"""),"none")</f>
        <v/>
      </c>
      <c r="Y112" s="351" t="n"/>
      <c r="Z112" s="351">
        <f>IFERROR(__xludf.DUMMYFUNCTION("""COMPUTED_VALUE"""),"-")</f>
        <v/>
      </c>
      <c r="AA112" s="327" t="n"/>
      <c r="AB112" s="327">
        <f>IFERROR(__xludf.DUMMYFUNCTION("""COMPUTED_VALUE"""),"none")</f>
        <v/>
      </c>
      <c r="AC112" s="327" t="n"/>
    </row>
    <row r="113">
      <c r="A113" s="327" t="n"/>
      <c r="B113" s="351">
        <f>IFERROR(__xludf.DUMMYFUNCTION("""COMPUTED_VALUE"""),"enemy_glo_00001")</f>
        <v/>
      </c>
      <c r="C113" s="352">
        <f>IFERROR(__xludf.DUMMYFUNCTION("""COMPUTED_VALUE"""),"_kim1_advent")</f>
        <v/>
      </c>
      <c r="D113" s="352">
        <f>IFERROR(__xludf.DUMMYFUNCTION("""COMPUTED_VALUE"""),"e_glo_00001_kim1_advent_Normal_Yellow")</f>
        <v/>
      </c>
      <c r="E113" s="352">
        <f>IFERROR(__xludf.DUMMYFUNCTION("""COMPUTED_VALUE"""),"GLOW")</f>
        <v/>
      </c>
      <c r="F113" s="352">
        <f>IFERROR(__xludf.DUMMYFUNCTION("""COMPUTED_VALUE"""),"ファントム")</f>
        <v/>
      </c>
      <c r="G113" s="352">
        <f>IFERROR(__xludf.DUMMYFUNCTION("""COMPUTED_VALUE"""),"ファントム_kim1_advent")</f>
        <v/>
      </c>
      <c r="H113" s="351">
        <f>IFERROR(__xludf.DUMMYFUNCTION("""COMPUTED_VALUE"""),"Normal")</f>
        <v/>
      </c>
      <c r="I113" s="351">
        <f>IFERROR(__xludf.DUMMYFUNCTION("""COMPUTED_VALUE"""),"Defense")</f>
        <v/>
      </c>
      <c r="J113" s="351">
        <f>IFERROR(__xludf.DUMMYFUNCTION("""COMPUTED_VALUE"""),"Yellow")</f>
        <v/>
      </c>
      <c r="K113" s="351">
        <f>IFERROR(__xludf.DUMMYFUNCTION("""COMPUTED_VALUE"""),1000.0)</f>
        <v/>
      </c>
      <c r="L113" s="351">
        <f>IFERROR(__xludf.DUMMYFUNCTION("""COMPUTED_VALUE"""),0.0)</f>
        <v/>
      </c>
      <c r="M113" s="351">
        <f>IFERROR(__xludf.DUMMYFUNCTION("""COMPUTED_VALUE"""),40.0)</f>
        <v/>
      </c>
      <c r="N113" s="351">
        <f>IFERROR(__xludf.DUMMYFUNCTION("""COMPUTED_VALUE"""),0.22)</f>
        <v/>
      </c>
      <c r="O113" s="351">
        <f>IFERROR(__xludf.DUMMYFUNCTION("""COMPUTED_VALUE"""),100.0)</f>
        <v/>
      </c>
      <c r="P113" s="351">
        <f>IFERROR(__xludf.DUMMYFUNCTION("""COMPUTED_VALUE"""),0.0)</f>
        <v/>
      </c>
      <c r="Q113" s="351">
        <f>IFERROR(__xludf.DUMMYFUNCTION("""COMPUTED_VALUE"""),0.23)</f>
        <v/>
      </c>
      <c r="R113" s="351">
        <f>IFERROR(__xludf.DUMMYFUNCTION("""COMPUTED_VALUE"""),"単体")</f>
        <v/>
      </c>
      <c r="S113" s="351">
        <f>IFERROR(__xludf.DUMMYFUNCTION("""COMPUTED_VALUE"""),50.0)</f>
        <v/>
      </c>
      <c r="T113" s="353">
        <f>IFERROR(__xludf.DUMMYFUNCTION("""COMPUTED_VALUE"""),"1.00")</f>
        <v/>
      </c>
      <c r="U113" s="351">
        <f>IFERROR(__xludf.DUMMYFUNCTION("""COMPUTED_VALUE"""),"0.50")</f>
        <v/>
      </c>
      <c r="V113" s="351" t="n"/>
      <c r="W113" s="351" t="n"/>
      <c r="X113" s="351" t="n"/>
      <c r="Y113" s="351" t="n"/>
      <c r="Z113" s="351">
        <f>IFERROR(__xludf.DUMMYFUNCTION("""COMPUTED_VALUE"""),"-")</f>
        <v/>
      </c>
      <c r="AA113" s="327" t="n"/>
      <c r="AB113" s="327">
        <f>IFERROR(__xludf.DUMMYFUNCTION("""COMPUTED_VALUE"""),"dageki_1")</f>
        <v/>
      </c>
      <c r="AC113" s="327">
        <f>IFERROR(__xludf.DUMMYFUNCTION("""COMPUTED_VALUE"""),"20%の確率で小ノックバック")</f>
        <v/>
      </c>
    </row>
    <row r="114">
      <c r="A114" s="327" t="n"/>
      <c r="B114" s="351">
        <f>IFERROR(__xludf.DUMMYFUNCTION("""COMPUTED_VALUE"""),"chara_kim_00101")</f>
        <v/>
      </c>
      <c r="C114" s="352">
        <f>IFERROR(__xludf.DUMMYFUNCTION("""COMPUTED_VALUE"""),"_kim1_advent")</f>
        <v/>
      </c>
      <c r="D114" s="352">
        <f>IFERROR(__xludf.DUMMYFUNCTION("""COMPUTED_VALUE"""),"c_kim_00101_kim1_advent_Normal_Red")</f>
        <v/>
      </c>
      <c r="E114" s="352">
        <f>IFERROR(__xludf.DUMMYFUNCTION("""COMPUTED_VALUE"""),"君のことが大大大大大好きな100人の彼女")</f>
        <v/>
      </c>
      <c r="F114" s="352">
        <f>IFERROR(__xludf.DUMMYFUNCTION("""COMPUTED_VALUE"""),"花園 羽香里")</f>
        <v/>
      </c>
      <c r="G114" s="352">
        <f>IFERROR(__xludf.DUMMYFUNCTION("""COMPUTED_VALUE"""),"花園羽香里_kim1_advent")</f>
        <v/>
      </c>
      <c r="H114" s="351">
        <f>IFERROR(__xludf.DUMMYFUNCTION("""COMPUTED_VALUE"""),"Normal")</f>
        <v/>
      </c>
      <c r="I114" s="351">
        <f>IFERROR(__xludf.DUMMYFUNCTION("""COMPUTED_VALUE"""),"Attack")</f>
        <v/>
      </c>
      <c r="J114" s="351">
        <f>IFERROR(__xludf.DUMMYFUNCTION("""COMPUTED_VALUE"""),"Red")</f>
        <v/>
      </c>
      <c r="K114" s="351">
        <f>IFERROR(__xludf.DUMMYFUNCTION("""COMPUTED_VALUE"""),1000.0)</f>
        <v/>
      </c>
      <c r="L114" s="351">
        <f>IFERROR(__xludf.DUMMYFUNCTION("""COMPUTED_VALUE"""),1.0)</f>
        <v/>
      </c>
      <c r="M114" s="351" t="n"/>
      <c r="N114" s="351" t="n"/>
      <c r="O114" s="351">
        <f>IFERROR(__xludf.DUMMYFUNCTION("""COMPUTED_VALUE"""),100.0)</f>
        <v/>
      </c>
      <c r="P114" s="351">
        <f>IFERROR(__xludf.DUMMYFUNCTION("""COMPUTED_VALUE"""),0.0)</f>
        <v/>
      </c>
      <c r="Q114" s="351">
        <f>IFERROR(__xludf.DUMMYFUNCTION("""COMPUTED_VALUE"""),0.35)</f>
        <v/>
      </c>
      <c r="R114" s="351">
        <f>IFERROR(__xludf.DUMMYFUNCTION("""COMPUTED_VALUE"""),"範囲")</f>
        <v/>
      </c>
      <c r="S114" s="351">
        <f>IFERROR(__xludf.DUMMYFUNCTION("""COMPUTED_VALUE"""),50.0)</f>
        <v/>
      </c>
      <c r="T114" s="353">
        <f>IFERROR(__xludf.DUMMYFUNCTION("""COMPUTED_VALUE"""),"1.23")</f>
        <v/>
      </c>
      <c r="U114" s="351">
        <f>IFERROR(__xludf.DUMMYFUNCTION("""COMPUTED_VALUE"""),"stop有:1回目 0.25")</f>
        <v/>
      </c>
      <c r="V114" s="351" t="n"/>
      <c r="W114" s="351">
        <f>IFERROR(__xludf.DUMMYFUNCTION("""COMPUTED_VALUE"""),"3.5")</f>
        <v/>
      </c>
      <c r="X114" s="351">
        <f>IFERROR(__xludf.DUMMYFUNCTION("""COMPUTED_VALUE"""),"stop無:1回目 1.11
stop無:2回目 1.33
stop無:3回目 1.53
stop無:4回目 1.75
stop有:5回目 1.93")</f>
        <v/>
      </c>
      <c r="Y114" s="351">
        <f>IFERROR(__xludf.DUMMYFUNCTION("""COMPUTED_VALUE"""),"10秒間自身の攻撃UP( 50%)")</f>
        <v/>
      </c>
      <c r="Z114" s="351">
        <f>IFERROR(__xludf.DUMMYFUNCTION("""COMPUTED_VALUE"""),4.0)</f>
        <v/>
      </c>
      <c r="AA114" s="327" t="n"/>
      <c r="AB114" s="327">
        <f>IFERROR(__xludf.DUMMYFUNCTION("""COMPUTED_VALUE"""),"dageki_1")</f>
        <v/>
      </c>
      <c r="AC114" s="327" t="n"/>
    </row>
    <row r="115">
      <c r="A115" s="327" t="n"/>
      <c r="B115" s="351">
        <f>IFERROR(__xludf.DUMMYFUNCTION("""COMPUTED_VALUE"""),"chara_kim_00301")</f>
        <v/>
      </c>
      <c r="C115" s="352">
        <f>IFERROR(__xludf.DUMMYFUNCTION("""COMPUTED_VALUE"""),"_kim1_advent")</f>
        <v/>
      </c>
      <c r="D115" s="352">
        <f>IFERROR(__xludf.DUMMYFUNCTION("""COMPUTED_VALUE"""),"c_kim_00301_kim1_advent_Normal_Yellow")</f>
        <v/>
      </c>
      <c r="E115" s="352">
        <f>IFERROR(__xludf.DUMMYFUNCTION("""COMPUTED_VALUE"""),"君のことが大大大大大好きな100人の彼女")</f>
        <v/>
      </c>
      <c r="F115" s="352">
        <f>IFERROR(__xludf.DUMMYFUNCTION("""COMPUTED_VALUE"""),"好本 静")</f>
        <v/>
      </c>
      <c r="G115" s="352">
        <f>IFERROR(__xludf.DUMMYFUNCTION("""COMPUTED_VALUE"""),"好本 静_kim1_advent")</f>
        <v/>
      </c>
      <c r="H115" s="351">
        <f>IFERROR(__xludf.DUMMYFUNCTION("""COMPUTED_VALUE"""),"Normal")</f>
        <v/>
      </c>
      <c r="I115" s="351">
        <f>IFERROR(__xludf.DUMMYFUNCTION("""COMPUTED_VALUE"""),"Support")</f>
        <v/>
      </c>
      <c r="J115" s="351">
        <f>IFERROR(__xludf.DUMMYFUNCTION("""COMPUTED_VALUE"""),"Yellow")</f>
        <v/>
      </c>
      <c r="K115" s="351">
        <f>IFERROR(__xludf.DUMMYFUNCTION("""COMPUTED_VALUE"""),1000.0)</f>
        <v/>
      </c>
      <c r="L115" s="351">
        <f>IFERROR(__xludf.DUMMYFUNCTION("""COMPUTED_VALUE"""),1.0)</f>
        <v/>
      </c>
      <c r="M115" s="351" t="n"/>
      <c r="N115" s="351" t="n"/>
      <c r="O115" s="351">
        <f>IFERROR(__xludf.DUMMYFUNCTION("""COMPUTED_VALUE"""),100.0)</f>
        <v/>
      </c>
      <c r="P115" s="351">
        <f>IFERROR(__xludf.DUMMYFUNCTION("""COMPUTED_VALUE"""),0.0)</f>
        <v/>
      </c>
      <c r="Q115" s="351" t="n"/>
      <c r="R115" s="351" t="n"/>
      <c r="S115" s="351">
        <f>IFERROR(__xludf.DUMMYFUNCTION("""COMPUTED_VALUE"""),50.0)</f>
        <v/>
      </c>
      <c r="T115" s="353">
        <f>IFERROR(__xludf.DUMMYFUNCTION("""COMPUTED_VALUE"""),"1.75")</f>
        <v/>
      </c>
      <c r="U115" s="351">
        <f>IFERROR(__xludf.DUMMYFUNCTION("""COMPUTED_VALUE"""),"stop有:1回目 0.78")</f>
        <v/>
      </c>
      <c r="V115" s="351" t="n"/>
      <c r="W115" s="351">
        <f>IFERROR(__xludf.DUMMYFUNCTION("""COMPUTED_VALUE"""),"3.6")</f>
        <v/>
      </c>
      <c r="X115" s="351">
        <f>IFERROR(__xludf.DUMMYFUNCTION("""COMPUTED_VALUE"""),"stop無 :1回目 1.2")</f>
        <v/>
      </c>
      <c r="Y115" s="351">
        <f>IFERROR(__xludf.DUMMYFUNCTION("""COMPUTED_VALUE"""),"3秒間自身と一つ前のコマまでの味方の攻撃50%UP+5%回復")</f>
        <v/>
      </c>
      <c r="Z115" s="351">
        <f>IFERROR(__xludf.DUMMYFUNCTION("""COMPUTED_VALUE"""),3.0)</f>
        <v/>
      </c>
      <c r="AA115" s="327" t="n"/>
      <c r="AB115" s="327">
        <f>IFERROR(__xludf.DUMMYFUNCTION("""COMPUTED_VALUE"""),"dageki_1")</f>
        <v/>
      </c>
      <c r="AC115" s="327" t="n"/>
    </row>
    <row r="116">
      <c r="A116" s="327" t="n"/>
      <c r="B116" s="351">
        <f>IFERROR(__xludf.DUMMYFUNCTION("""COMPUTED_VALUE"""),"enemy_glo_00001")</f>
        <v/>
      </c>
      <c r="C116" s="352">
        <f>IFERROR(__xludf.DUMMYFUNCTION("""COMPUTED_VALUE"""),"_kim1_advent")</f>
        <v/>
      </c>
      <c r="D116" s="352">
        <f>IFERROR(__xludf.DUMMYFUNCTION("""COMPUTED_VALUE"""),"e_glo_00001_kim1_advent_Boss_Red")</f>
        <v/>
      </c>
      <c r="E116" s="352">
        <f>IFERROR(__xludf.DUMMYFUNCTION("""COMPUTED_VALUE"""),"GLOW")</f>
        <v/>
      </c>
      <c r="F116" s="352">
        <f>IFERROR(__xludf.DUMMYFUNCTION("""COMPUTED_VALUE"""),"ファントム")</f>
        <v/>
      </c>
      <c r="G116" s="352">
        <f>IFERROR(__xludf.DUMMYFUNCTION("""COMPUTED_VALUE"""),"ファントム_kim1_advent")</f>
        <v/>
      </c>
      <c r="H116" s="351">
        <f>IFERROR(__xludf.DUMMYFUNCTION("""COMPUTED_VALUE"""),"Boss")</f>
        <v/>
      </c>
      <c r="I116" s="351">
        <f>IFERROR(__xludf.DUMMYFUNCTION("""COMPUTED_VALUE"""),"Attack")</f>
        <v/>
      </c>
      <c r="J116" s="351">
        <f>IFERROR(__xludf.DUMMYFUNCTION("""COMPUTED_VALUE"""),"Red")</f>
        <v/>
      </c>
      <c r="K116" s="351">
        <f>IFERROR(__xludf.DUMMYFUNCTION("""COMPUTED_VALUE"""),10000.0)</f>
        <v/>
      </c>
      <c r="L116" s="351">
        <f>IFERROR(__xludf.DUMMYFUNCTION("""COMPUTED_VALUE"""),1.0)</f>
        <v/>
      </c>
      <c r="M116" s="351">
        <f>IFERROR(__xludf.DUMMYFUNCTION("""COMPUTED_VALUE"""),35.0)</f>
        <v/>
      </c>
      <c r="N116" s="351">
        <f>IFERROR(__xludf.DUMMYFUNCTION("""COMPUTED_VALUE"""),0.22)</f>
        <v/>
      </c>
      <c r="O116" s="351">
        <f>IFERROR(__xludf.DUMMYFUNCTION("""COMPUTED_VALUE"""),100.0)</f>
        <v/>
      </c>
      <c r="P116" s="351">
        <f>IFERROR(__xludf.DUMMYFUNCTION("""COMPUTED_VALUE"""),0.0)</f>
        <v/>
      </c>
      <c r="Q116" s="351">
        <f>IFERROR(__xludf.DUMMYFUNCTION("""COMPUTED_VALUE"""),0.23)</f>
        <v/>
      </c>
      <c r="R116" s="351">
        <f>IFERROR(__xludf.DUMMYFUNCTION("""COMPUTED_VALUE"""),"範囲")</f>
        <v/>
      </c>
      <c r="S116" s="351">
        <f>IFERROR(__xludf.DUMMYFUNCTION("""COMPUTED_VALUE"""),100.0)</f>
        <v/>
      </c>
      <c r="T116" s="353">
        <f>IFERROR(__xludf.DUMMYFUNCTION("""COMPUTED_VALUE"""),"1.00")</f>
        <v/>
      </c>
      <c r="U116" s="351">
        <f>IFERROR(__xludf.DUMMYFUNCTION("""COMPUTED_VALUE"""),"0.50")</f>
        <v/>
      </c>
      <c r="V116" s="351" t="n"/>
      <c r="W116" s="351" t="n"/>
      <c r="X116" s="351" t="n"/>
      <c r="Y116" s="351" t="n"/>
      <c r="Z116" s="351">
        <f>IFERROR(__xludf.DUMMYFUNCTION("""COMPUTED_VALUE"""),"-")</f>
        <v/>
      </c>
      <c r="AA116" s="327" t="n"/>
      <c r="AB116" s="327">
        <f>IFERROR(__xludf.DUMMYFUNCTION("""COMPUTED_VALUE"""),"dageki_1")</f>
        <v/>
      </c>
      <c r="AC116" s="327" t="n"/>
    </row>
    <row r="117">
      <c r="A117" s="327" t="n"/>
      <c r="B117" s="351">
        <f>IFERROR(__xludf.DUMMYFUNCTION("""COMPUTED_VALUE"""),"chara_kim_00001")</f>
        <v/>
      </c>
      <c r="C117" s="352">
        <f>IFERROR(__xludf.DUMMYFUNCTION("""COMPUTED_VALUE"""),"_kim1_advent")</f>
        <v/>
      </c>
      <c r="D117" s="352">
        <f>IFERROR(__xludf.DUMMYFUNCTION("""COMPUTED_VALUE"""),"c_kim_00001_kim1_advent_Boss_Red")</f>
        <v/>
      </c>
      <c r="E117" s="352">
        <f>IFERROR(__xludf.DUMMYFUNCTION("""COMPUTED_VALUE"""),"君のことが大大大大大好きな100人の彼女")</f>
        <v/>
      </c>
      <c r="F117" s="352">
        <f>IFERROR(__xludf.DUMMYFUNCTION("""COMPUTED_VALUE"""),"溢れる母性 花園 羽々里")</f>
        <v/>
      </c>
      <c r="G117" s="352">
        <f>IFERROR(__xludf.DUMMYFUNCTION("""COMPUTED_VALUE"""),"花園羽々里_kim1_advent")</f>
        <v/>
      </c>
      <c r="H117" s="351">
        <f>IFERROR(__xludf.DUMMYFUNCTION("""COMPUTED_VALUE"""),"Boss")</f>
        <v/>
      </c>
      <c r="I117" s="351">
        <f>IFERROR(__xludf.DUMMYFUNCTION("""COMPUTED_VALUE"""),"Technical")</f>
        <v/>
      </c>
      <c r="J117" s="351">
        <f>IFERROR(__xludf.DUMMYFUNCTION("""COMPUTED_VALUE"""),"Red")</f>
        <v/>
      </c>
      <c r="K117" s="351">
        <f>IFERROR(__xludf.DUMMYFUNCTION("""COMPUTED_VALUE"""),10000.0)</f>
        <v/>
      </c>
      <c r="L117" s="351">
        <f>IFERROR(__xludf.DUMMYFUNCTION("""COMPUTED_VALUE"""),1.0)</f>
        <v/>
      </c>
      <c r="M117" s="351" t="n"/>
      <c r="N117" s="351" t="n"/>
      <c r="O117" s="351">
        <f>IFERROR(__xludf.DUMMYFUNCTION("""COMPUTED_VALUE"""),100.0)</f>
        <v/>
      </c>
      <c r="P117" s="351">
        <f>IFERROR(__xludf.DUMMYFUNCTION("""COMPUTED_VALUE"""),0.0)</f>
        <v/>
      </c>
      <c r="Q117" s="351" t="n"/>
      <c r="R117" s="351" t="n"/>
      <c r="S117" s="351">
        <f>IFERROR(__xludf.DUMMYFUNCTION("""COMPUTED_VALUE"""),100.0)</f>
        <v/>
      </c>
      <c r="T117" s="353">
        <f>IFERROR(__xludf.DUMMYFUNCTION("""COMPUTED_VALUE"""),"1.3")</f>
        <v/>
      </c>
      <c r="U117" s="351">
        <f>IFERROR(__xludf.DUMMYFUNCTION("""COMPUTED_VALUE"""),"stop有:1回目 0.67")</f>
        <v/>
      </c>
      <c r="V117" s="351" t="n"/>
      <c r="W117" s="351">
        <f>IFERROR(__xludf.DUMMYFUNCTION("""COMPUTED_VALUE"""),"2.5")</f>
        <v/>
      </c>
      <c r="X117" s="351">
        <f>IFERROR(__xludf.DUMMYFUNCTION("""COMPUTED_VALUE"""),"stop無:1回目 0.63
stop無:2回目 0.8
stop無:3回目 0.99
stop無:4回目 1.2
stop有:5回目 1.60")</f>
        <v/>
      </c>
      <c r="Y117" s="351">
        <f>IFERROR(__xludf.DUMMYFUNCTION("""COMPUTED_VALUE"""),"20秒間攻撃DOWN20%")</f>
        <v/>
      </c>
      <c r="Z117" s="351">
        <f>IFERROR(__xludf.DUMMYFUNCTION("""COMPUTED_VALUE"""),5.0)</f>
        <v/>
      </c>
      <c r="AA117" s="327" t="n"/>
      <c r="AB117" s="327">
        <f>IFERROR(__xludf.DUMMYFUNCTION("""COMPUTED_VALUE"""),"dageki_1")</f>
        <v/>
      </c>
      <c r="AC117" s="327" t="n"/>
    </row>
    <row r="118">
      <c r="A118" s="327" t="n"/>
      <c r="B118" s="351">
        <f>IFERROR(__xludf.DUMMYFUNCTION("""COMPUTED_VALUE"""),"chara_kim_00101")</f>
        <v/>
      </c>
      <c r="C118" s="352">
        <f>IFERROR(__xludf.DUMMYFUNCTION("""COMPUTED_VALUE"""),"_kim1_advent")</f>
        <v/>
      </c>
      <c r="D118" s="352">
        <f>IFERROR(__xludf.DUMMYFUNCTION("""COMPUTED_VALUE"""),"c_kim_00101_kim1_advent_Boss_Red")</f>
        <v/>
      </c>
      <c r="E118" s="352">
        <f>IFERROR(__xludf.DUMMYFUNCTION("""COMPUTED_VALUE"""),"君のことが大大大大大好きな100人の彼女")</f>
        <v/>
      </c>
      <c r="F118" s="352">
        <f>IFERROR(__xludf.DUMMYFUNCTION("""COMPUTED_VALUE"""),"花園 羽香里")</f>
        <v/>
      </c>
      <c r="G118" s="352">
        <f>IFERROR(__xludf.DUMMYFUNCTION("""COMPUTED_VALUE"""),"花園羽香里_kim1_advent")</f>
        <v/>
      </c>
      <c r="H118" s="351">
        <f>IFERROR(__xludf.DUMMYFUNCTION("""COMPUTED_VALUE"""),"Boss")</f>
        <v/>
      </c>
      <c r="I118" s="351">
        <f>IFERROR(__xludf.DUMMYFUNCTION("""COMPUTED_VALUE"""),"Attack")</f>
        <v/>
      </c>
      <c r="J118" s="351">
        <f>IFERROR(__xludf.DUMMYFUNCTION("""COMPUTED_VALUE"""),"Red")</f>
        <v/>
      </c>
      <c r="K118" s="351">
        <f>IFERROR(__xludf.DUMMYFUNCTION("""COMPUTED_VALUE"""),10000.0)</f>
        <v/>
      </c>
      <c r="L118" s="351">
        <f>IFERROR(__xludf.DUMMYFUNCTION("""COMPUTED_VALUE"""),1.0)</f>
        <v/>
      </c>
      <c r="M118" s="351" t="n"/>
      <c r="N118" s="351" t="n"/>
      <c r="O118" s="351">
        <f>IFERROR(__xludf.DUMMYFUNCTION("""COMPUTED_VALUE"""),100.0)</f>
        <v/>
      </c>
      <c r="P118" s="351">
        <f>IFERROR(__xludf.DUMMYFUNCTION("""COMPUTED_VALUE"""),0.0)</f>
        <v/>
      </c>
      <c r="Q118" s="351" t="n"/>
      <c r="R118" s="351" t="n"/>
      <c r="S118" s="351">
        <f>IFERROR(__xludf.DUMMYFUNCTION("""COMPUTED_VALUE"""),100.0)</f>
        <v/>
      </c>
      <c r="T118" s="353">
        <f>IFERROR(__xludf.DUMMYFUNCTION("""COMPUTED_VALUE"""),"1.23")</f>
        <v/>
      </c>
      <c r="U118" s="351">
        <f>IFERROR(__xludf.DUMMYFUNCTION("""COMPUTED_VALUE"""),"stop有:1回目 0.25")</f>
        <v/>
      </c>
      <c r="V118" s="351" t="n"/>
      <c r="W118" s="351">
        <f>IFERROR(__xludf.DUMMYFUNCTION("""COMPUTED_VALUE"""),"3.5")</f>
        <v/>
      </c>
      <c r="X118" s="351">
        <f>IFERROR(__xludf.DUMMYFUNCTION("""COMPUTED_VALUE"""),"stop無:1回目 1.11
stop無:2回目 1.33
stop無:3回目 1.53
stop無:4回目 1.75
stop有:5回目 1.93")</f>
        <v/>
      </c>
      <c r="Y118" s="351">
        <f>IFERROR(__xludf.DUMMYFUNCTION("""COMPUTED_VALUE"""),"5秒間自身の攻撃UP( 200%)")</f>
        <v/>
      </c>
      <c r="Z118" s="351">
        <f>IFERROR(__xludf.DUMMYFUNCTION("""COMPUTED_VALUE"""),4.0)</f>
        <v/>
      </c>
      <c r="AA118" s="327" t="n"/>
      <c r="AB118" s="327">
        <f>IFERROR(__xludf.DUMMYFUNCTION("""COMPUTED_VALUE"""),"dageki_1")</f>
        <v/>
      </c>
      <c r="AC118" s="327" t="n"/>
    </row>
    <row r="119">
      <c r="A119" s="327" t="n"/>
      <c r="B119" s="351">
        <f>IFERROR(__xludf.DUMMYFUNCTION("""COMPUTED_VALUE"""),"chara_kim_00201")</f>
        <v/>
      </c>
      <c r="C119" s="352">
        <f>IFERROR(__xludf.DUMMYFUNCTION("""COMPUTED_VALUE"""),"_kim1_advent")</f>
        <v/>
      </c>
      <c r="D119" s="352">
        <f>IFERROR(__xludf.DUMMYFUNCTION("""COMPUTED_VALUE"""),"c_kim_00201_kim1_advent_Boss_Red")</f>
        <v/>
      </c>
      <c r="E119" s="352">
        <f>IFERROR(__xludf.DUMMYFUNCTION("""COMPUTED_VALUE"""),"君のことが大大大大大好きな100人の彼女")</f>
        <v/>
      </c>
      <c r="F119" s="352">
        <f>IFERROR(__xludf.DUMMYFUNCTION("""COMPUTED_VALUE"""),"院田 唐音")</f>
        <v/>
      </c>
      <c r="G119" s="352">
        <f>IFERROR(__xludf.DUMMYFUNCTION("""COMPUTED_VALUE"""),"院田唐音_kim1_advent")</f>
        <v/>
      </c>
      <c r="H119" s="351">
        <f>IFERROR(__xludf.DUMMYFUNCTION("""COMPUTED_VALUE"""),"Boss")</f>
        <v/>
      </c>
      <c r="I119" s="351">
        <f>IFERROR(__xludf.DUMMYFUNCTION("""COMPUTED_VALUE"""),"Technical")</f>
        <v/>
      </c>
      <c r="J119" s="351">
        <f>IFERROR(__xludf.DUMMYFUNCTION("""COMPUTED_VALUE"""),"Red")</f>
        <v/>
      </c>
      <c r="K119" s="351">
        <f>IFERROR(__xludf.DUMMYFUNCTION("""COMPUTED_VALUE"""),10000.0)</f>
        <v/>
      </c>
      <c r="L119" s="351">
        <f>IFERROR(__xludf.DUMMYFUNCTION("""COMPUTED_VALUE"""),1.0)</f>
        <v/>
      </c>
      <c r="M119" s="351" t="n"/>
      <c r="N119" s="351" t="n"/>
      <c r="O119" s="351">
        <f>IFERROR(__xludf.DUMMYFUNCTION("""COMPUTED_VALUE"""),100.0)</f>
        <v/>
      </c>
      <c r="P119" s="351">
        <f>IFERROR(__xludf.DUMMYFUNCTION("""COMPUTED_VALUE"""),0.0)</f>
        <v/>
      </c>
      <c r="Q119" s="351" t="n"/>
      <c r="R119" s="351" t="n"/>
      <c r="S119" s="351">
        <f>IFERROR(__xludf.DUMMYFUNCTION("""COMPUTED_VALUE"""),100.0)</f>
        <v/>
      </c>
      <c r="T119" s="353">
        <f>IFERROR(__xludf.DUMMYFUNCTION("""COMPUTED_VALUE"""),"1.37")</f>
        <v/>
      </c>
      <c r="U119" s="351">
        <f>IFERROR(__xludf.DUMMYFUNCTION("""COMPUTED_VALUE"""),"stop有:1回目 0.2")</f>
        <v/>
      </c>
      <c r="V119" s="351" t="n"/>
      <c r="W119" s="351">
        <f>IFERROR(__xludf.DUMMYFUNCTION("""COMPUTED_VALUE"""),"2.4")</f>
        <v/>
      </c>
      <c r="X119" s="351">
        <f>IFERROR(__xludf.DUMMYFUNCTION("""COMPUTED_VALUE"""),"stop無 :1回目 1.2")</f>
        <v/>
      </c>
      <c r="Y119" s="351">
        <f>IFERROR(__xludf.DUMMYFUNCTION("""COMPUTED_VALUE"""),"100%の確率で1秒間スタン+中ノックバック")</f>
        <v/>
      </c>
      <c r="Z119" s="351">
        <f>IFERROR(__xludf.DUMMYFUNCTION("""COMPUTED_VALUE"""),6.0)</f>
        <v/>
      </c>
      <c r="AA119" s="327" t="n"/>
      <c r="AB119" s="327">
        <f>IFERROR(__xludf.DUMMYFUNCTION("""COMPUTED_VALUE"""),"dageki_1")</f>
        <v/>
      </c>
      <c r="AC119" s="327" t="n"/>
    </row>
    <row r="120">
      <c r="A120" s="327" t="n"/>
      <c r="B120" s="351">
        <f>IFERROR(__xludf.DUMMYFUNCTION("""COMPUTED_VALUE"""),"chara_kim_00301")</f>
        <v/>
      </c>
      <c r="C120" s="352">
        <f>IFERROR(__xludf.DUMMYFUNCTION("""COMPUTED_VALUE"""),"_kim1_advent")</f>
        <v/>
      </c>
      <c r="D120" s="352">
        <f>IFERROR(__xludf.DUMMYFUNCTION("""COMPUTED_VALUE"""),"c_kim_00301_kim1_advent_Boss_Yellow")</f>
        <v/>
      </c>
      <c r="E120" s="352">
        <f>IFERROR(__xludf.DUMMYFUNCTION("""COMPUTED_VALUE"""),"君のことが大大大大大好きな100人の彼女")</f>
        <v/>
      </c>
      <c r="F120" s="352">
        <f>IFERROR(__xludf.DUMMYFUNCTION("""COMPUTED_VALUE"""),"好本 静")</f>
        <v/>
      </c>
      <c r="G120" s="352">
        <f>IFERROR(__xludf.DUMMYFUNCTION("""COMPUTED_VALUE"""),"好本 静_kim1_advent")</f>
        <v/>
      </c>
      <c r="H120" s="351">
        <f>IFERROR(__xludf.DUMMYFUNCTION("""COMPUTED_VALUE"""),"Boss")</f>
        <v/>
      </c>
      <c r="I120" s="351">
        <f>IFERROR(__xludf.DUMMYFUNCTION("""COMPUTED_VALUE"""),"Support")</f>
        <v/>
      </c>
      <c r="J120" s="351">
        <f>IFERROR(__xludf.DUMMYFUNCTION("""COMPUTED_VALUE"""),"Yellow")</f>
        <v/>
      </c>
      <c r="K120" s="351">
        <f>IFERROR(__xludf.DUMMYFUNCTION("""COMPUTED_VALUE"""),10000.0)</f>
        <v/>
      </c>
      <c r="L120" s="351">
        <f>IFERROR(__xludf.DUMMYFUNCTION("""COMPUTED_VALUE"""),1.0)</f>
        <v/>
      </c>
      <c r="M120" s="351" t="n"/>
      <c r="N120" s="351" t="n"/>
      <c r="O120" s="351">
        <f>IFERROR(__xludf.DUMMYFUNCTION("""COMPUTED_VALUE"""),100.0)</f>
        <v/>
      </c>
      <c r="P120" s="351">
        <f>IFERROR(__xludf.DUMMYFUNCTION("""COMPUTED_VALUE"""),0.0)</f>
        <v/>
      </c>
      <c r="Q120" s="351" t="n"/>
      <c r="R120" s="351" t="n"/>
      <c r="S120" s="351">
        <f>IFERROR(__xludf.DUMMYFUNCTION("""COMPUTED_VALUE"""),100.0)</f>
        <v/>
      </c>
      <c r="T120" s="353">
        <f>IFERROR(__xludf.DUMMYFUNCTION("""COMPUTED_VALUE"""),"1.75")</f>
        <v/>
      </c>
      <c r="U120" s="351">
        <f>IFERROR(__xludf.DUMMYFUNCTION("""COMPUTED_VALUE"""),"stop有:1回目 0.78")</f>
        <v/>
      </c>
      <c r="V120" s="351" t="n"/>
      <c r="W120" s="351">
        <f>IFERROR(__xludf.DUMMYFUNCTION("""COMPUTED_VALUE"""),"3.6")</f>
        <v/>
      </c>
      <c r="X120" s="351">
        <f>IFERROR(__xludf.DUMMYFUNCTION("""COMPUTED_VALUE"""),"stop無 :1回目 1.2")</f>
        <v/>
      </c>
      <c r="Y120" s="351">
        <f>IFERROR(__xludf.DUMMYFUNCTION("""COMPUTED_VALUE"""),"6秒間自身と一つ前のコマまでの味方の攻撃100%UP+10%回復+25%ダメージカット")</f>
        <v/>
      </c>
      <c r="Z120" s="351">
        <f>IFERROR(__xludf.DUMMYFUNCTION("""COMPUTED_VALUE"""),3.0)</f>
        <v/>
      </c>
      <c r="AA120" s="327" t="n"/>
      <c r="AB120" s="327">
        <f>IFERROR(__xludf.DUMMYFUNCTION("""COMPUTED_VALUE"""),"dageki_1")</f>
        <v/>
      </c>
      <c r="AC120" s="327" t="n"/>
    </row>
    <row r="121">
      <c r="A121" s="327" t="n"/>
      <c r="B121" s="351" t="n"/>
      <c r="C121" s="352" t="n"/>
      <c r="D121" s="352">
        <f>IFERROR(__xludf.DUMMYFUNCTION("""COMPUTED_VALUE"""),"___")</f>
        <v/>
      </c>
      <c r="E121" s="352">
        <f>IFERROR(__xludf.DUMMYFUNCTION("""COMPUTED_VALUE"""),"none")</f>
        <v/>
      </c>
      <c r="F121" s="352">
        <f>IFERROR(__xludf.DUMMYFUNCTION("""COMPUTED_VALUE"""),"none")</f>
        <v/>
      </c>
      <c r="G121" s="352">
        <f>IFERROR(__xludf.DUMMYFUNCTION("""COMPUTED_VALUE"""),"none")</f>
        <v/>
      </c>
      <c r="H121" s="351" t="n"/>
      <c r="I121" s="351">
        <f>IFERROR(__xludf.DUMMYFUNCTION("""COMPUTED_VALUE"""),"none")</f>
        <v/>
      </c>
      <c r="J121" s="351" t="n"/>
      <c r="K121" s="351" t="n"/>
      <c r="L121" s="351" t="n"/>
      <c r="M121" s="351" t="n"/>
      <c r="N121" s="351" t="n"/>
      <c r="O121" s="351" t="n"/>
      <c r="P121" s="351" t="n"/>
      <c r="Q121" s="351" t="n"/>
      <c r="R121" s="351" t="n"/>
      <c r="S121" s="351" t="n"/>
      <c r="T121" s="353">
        <f>IFERROR(__xludf.DUMMYFUNCTION("""COMPUTED_VALUE"""),"none")</f>
        <v/>
      </c>
      <c r="U121" s="351">
        <f>IFERROR(__xludf.DUMMYFUNCTION("""COMPUTED_VALUE"""),"none")</f>
        <v/>
      </c>
      <c r="V121" s="351" t="n"/>
      <c r="W121" s="351">
        <f>IFERROR(__xludf.DUMMYFUNCTION("""COMPUTED_VALUE"""),"none")</f>
        <v/>
      </c>
      <c r="X121" s="351">
        <f>IFERROR(__xludf.DUMMYFUNCTION("""COMPUTED_VALUE"""),"none")</f>
        <v/>
      </c>
      <c r="Y121" s="351" t="n"/>
      <c r="Z121" s="351">
        <f>IFERROR(__xludf.DUMMYFUNCTION("""COMPUTED_VALUE"""),"-")</f>
        <v/>
      </c>
      <c r="AA121" s="327" t="n"/>
      <c r="AB121" s="327">
        <f>IFERROR(__xludf.DUMMYFUNCTION("""COMPUTED_VALUE"""),"none")</f>
        <v/>
      </c>
      <c r="AC121" s="327" t="n"/>
    </row>
    <row r="122">
      <c r="A122" s="327" t="n"/>
      <c r="B122" s="351">
        <f>IFERROR(__xludf.DUMMYFUNCTION("""COMPUTED_VALUE"""),"enemy_glo_00001")</f>
        <v/>
      </c>
      <c r="C122" s="352">
        <f>IFERROR(__xludf.DUMMYFUNCTION("""COMPUTED_VALUE"""),"_hut1_advent")</f>
        <v/>
      </c>
      <c r="D122" s="352">
        <f>IFERROR(__xludf.DUMMYFUNCTION("""COMPUTED_VALUE"""),"e_glo_00001_hut1_advent_Normal_Yellow")</f>
        <v/>
      </c>
      <c r="E122" s="352">
        <f>IFERROR(__xludf.DUMMYFUNCTION("""COMPUTED_VALUE"""),"GLOW")</f>
        <v/>
      </c>
      <c r="F122" s="352">
        <f>IFERROR(__xludf.DUMMYFUNCTION("""COMPUTED_VALUE"""),"ファントム")</f>
        <v/>
      </c>
      <c r="G122" s="352">
        <f>IFERROR(__xludf.DUMMYFUNCTION("""COMPUTED_VALUE"""),"ファントム_hut1_advent")</f>
        <v/>
      </c>
      <c r="H122" s="351">
        <f>IFERROR(__xludf.DUMMYFUNCTION("""COMPUTED_VALUE"""),"Normal")</f>
        <v/>
      </c>
      <c r="I122" s="351">
        <f>IFERROR(__xludf.DUMMYFUNCTION("""COMPUTED_VALUE"""),"Attack")</f>
        <v/>
      </c>
      <c r="J122" s="351">
        <f>IFERROR(__xludf.DUMMYFUNCTION("""COMPUTED_VALUE"""),"Yellow")</f>
        <v/>
      </c>
      <c r="K122" s="351">
        <f>IFERROR(__xludf.DUMMYFUNCTION("""COMPUTED_VALUE"""),1000.0)</f>
        <v/>
      </c>
      <c r="L122" s="351">
        <f>IFERROR(__xludf.DUMMYFUNCTION("""COMPUTED_VALUE"""),1.0)</f>
        <v/>
      </c>
      <c r="M122" s="351">
        <f>IFERROR(__xludf.DUMMYFUNCTION("""COMPUTED_VALUE"""),37.0)</f>
        <v/>
      </c>
      <c r="N122" s="351" t="n"/>
      <c r="O122" s="351">
        <f>IFERROR(__xludf.DUMMYFUNCTION("""COMPUTED_VALUE"""),100.0)</f>
        <v/>
      </c>
      <c r="P122" s="351">
        <f>IFERROR(__xludf.DUMMYFUNCTION("""COMPUTED_VALUE"""),0.0)</f>
        <v/>
      </c>
      <c r="Q122" s="351" t="n"/>
      <c r="R122" s="351" t="n"/>
      <c r="S122" s="351">
        <f>IFERROR(__xludf.DUMMYFUNCTION("""COMPUTED_VALUE"""),50.0)</f>
        <v/>
      </c>
      <c r="T122" s="353">
        <f>IFERROR(__xludf.DUMMYFUNCTION("""COMPUTED_VALUE"""),"1.00")</f>
        <v/>
      </c>
      <c r="U122" s="351">
        <f>IFERROR(__xludf.DUMMYFUNCTION("""COMPUTED_VALUE"""),"0.50")</f>
        <v/>
      </c>
      <c r="V122" s="351" t="n"/>
      <c r="W122" s="351" t="n"/>
      <c r="X122" s="351" t="n"/>
      <c r="Y122" s="351" t="n"/>
      <c r="Z122" s="351">
        <f>IFERROR(__xludf.DUMMYFUNCTION("""COMPUTED_VALUE"""),"-")</f>
        <v/>
      </c>
      <c r="AA122" s="327" t="n"/>
      <c r="AB122" s="327">
        <f>IFERROR(__xludf.DUMMYFUNCTION("""COMPUTED_VALUE"""),"dageki_1")</f>
        <v/>
      </c>
      <c r="AC122" s="327" t="n"/>
    </row>
    <row r="123">
      <c r="A123" s="327" t="n"/>
      <c r="B123" s="351">
        <f>IFERROR(__xludf.DUMMYFUNCTION("""COMPUTED_VALUE"""),"enemy_glo_00001")</f>
        <v/>
      </c>
      <c r="C123" s="352">
        <f>IFERROR(__xludf.DUMMYFUNCTION("""COMPUTED_VALUE"""),"_hut1_advent")</f>
        <v/>
      </c>
      <c r="D123" s="352">
        <f>IFERROR(__xludf.DUMMYFUNCTION("""COMPUTED_VALUE"""),"e_glo_00001_hut1_advent_Normal_Colorless")</f>
        <v/>
      </c>
      <c r="E123" s="352">
        <f>IFERROR(__xludf.DUMMYFUNCTION("""COMPUTED_VALUE"""),"GLOW")</f>
        <v/>
      </c>
      <c r="F123" s="352">
        <f>IFERROR(__xludf.DUMMYFUNCTION("""COMPUTED_VALUE"""),"ファントム")</f>
        <v/>
      </c>
      <c r="G123" s="352">
        <f>IFERROR(__xludf.DUMMYFUNCTION("""COMPUTED_VALUE"""),"ファントム_hut1_advent")</f>
        <v/>
      </c>
      <c r="H123" s="351">
        <f>IFERROR(__xludf.DUMMYFUNCTION("""COMPUTED_VALUE"""),"Normal")</f>
        <v/>
      </c>
      <c r="I123" s="351">
        <f>IFERROR(__xludf.DUMMYFUNCTION("""COMPUTED_VALUE"""),"Defense")</f>
        <v/>
      </c>
      <c r="J123" s="351">
        <f>IFERROR(__xludf.DUMMYFUNCTION("""COMPUTED_VALUE"""),"Colorless")</f>
        <v/>
      </c>
      <c r="K123" s="351">
        <f>IFERROR(__xludf.DUMMYFUNCTION("""COMPUTED_VALUE"""),1000.0)</f>
        <v/>
      </c>
      <c r="L123" s="351">
        <f>IFERROR(__xludf.DUMMYFUNCTION("""COMPUTED_VALUE"""),1.0)</f>
        <v/>
      </c>
      <c r="M123" s="351">
        <f>IFERROR(__xludf.DUMMYFUNCTION("""COMPUTED_VALUE"""),40.0)</f>
        <v/>
      </c>
      <c r="N123" s="351" t="n"/>
      <c r="O123" s="351">
        <f>IFERROR(__xludf.DUMMYFUNCTION("""COMPUTED_VALUE"""),100.0)</f>
        <v/>
      </c>
      <c r="P123" s="351">
        <f>IFERROR(__xludf.DUMMYFUNCTION("""COMPUTED_VALUE"""),0.0)</f>
        <v/>
      </c>
      <c r="Q123" s="351" t="n"/>
      <c r="R123" s="351" t="n"/>
      <c r="S123" s="351">
        <f>IFERROR(__xludf.DUMMYFUNCTION("""COMPUTED_VALUE"""),50.0)</f>
        <v/>
      </c>
      <c r="T123" s="353">
        <f>IFERROR(__xludf.DUMMYFUNCTION("""COMPUTED_VALUE"""),"1.00")</f>
        <v/>
      </c>
      <c r="U123" s="351">
        <f>IFERROR(__xludf.DUMMYFUNCTION("""COMPUTED_VALUE"""),"0.50")</f>
        <v/>
      </c>
      <c r="V123" s="351" t="n"/>
      <c r="W123" s="351" t="n"/>
      <c r="X123" s="351" t="n"/>
      <c r="Y123" s="351" t="n"/>
      <c r="Z123" s="351">
        <f>IFERROR(__xludf.DUMMYFUNCTION("""COMPUTED_VALUE"""),"-")</f>
        <v/>
      </c>
      <c r="AA123" s="327">
        <f>IFERROR(__xludf.DUMMYFUNCTION("""COMPUTED_VALUE"""),"ノックバック無効")</f>
        <v/>
      </c>
      <c r="AB123" s="327">
        <f>IFERROR(__xludf.DUMMYFUNCTION("""COMPUTED_VALUE"""),"dageki_1")</f>
        <v/>
      </c>
      <c r="AC123" s="327" t="n"/>
    </row>
    <row r="124">
      <c r="A124" s="327" t="n"/>
      <c r="B124" s="351">
        <f>IFERROR(__xludf.DUMMYFUNCTION("""COMPUTED_VALUE"""),"enemy_hut_00001")</f>
        <v/>
      </c>
      <c r="C124" s="352">
        <f>IFERROR(__xludf.DUMMYFUNCTION("""COMPUTED_VALUE"""),"_hut1_advent")</f>
        <v/>
      </c>
      <c r="D124" s="352">
        <f>IFERROR(__xludf.DUMMYFUNCTION("""COMPUTED_VALUE"""),"e_hut_00001_hut1_advent_Normal_Yellow")</f>
        <v/>
      </c>
      <c r="E124" s="352">
        <f>IFERROR(__xludf.DUMMYFUNCTION("""COMPUTED_VALUE"""),"ふつうの軽音部")</f>
        <v/>
      </c>
      <c r="F124" s="352">
        <f>IFERROR(__xludf.DUMMYFUNCTION("""COMPUTED_VALUE"""),"鷹見 項希")</f>
        <v/>
      </c>
      <c r="G124" s="352">
        <f>IFERROR(__xludf.DUMMYFUNCTION("""COMPUTED_VALUE"""),"鷹見 項希_hut1_advent")</f>
        <v/>
      </c>
      <c r="H124" s="351">
        <f>IFERROR(__xludf.DUMMYFUNCTION("""COMPUTED_VALUE"""),"Normal")</f>
        <v/>
      </c>
      <c r="I124" s="351">
        <f>IFERROR(__xludf.DUMMYFUNCTION("""COMPUTED_VALUE"""),"Attack")</f>
        <v/>
      </c>
      <c r="J124" s="351">
        <f>IFERROR(__xludf.DUMMYFUNCTION("""COMPUTED_VALUE"""),"Yellow")</f>
        <v/>
      </c>
      <c r="K124" s="351">
        <f>IFERROR(__xludf.DUMMYFUNCTION("""COMPUTED_VALUE"""),1000.0)</f>
        <v/>
      </c>
      <c r="L124" s="351">
        <f>IFERROR(__xludf.DUMMYFUNCTION("""COMPUTED_VALUE"""),1.0)</f>
        <v/>
      </c>
      <c r="M124" s="351">
        <f>IFERROR(__xludf.DUMMYFUNCTION("""COMPUTED_VALUE"""),35.0)</f>
        <v/>
      </c>
      <c r="N124" s="351" t="n"/>
      <c r="O124" s="351">
        <f>IFERROR(__xludf.DUMMYFUNCTION("""COMPUTED_VALUE"""),100.0)</f>
        <v/>
      </c>
      <c r="P124" s="351">
        <f>IFERROR(__xludf.DUMMYFUNCTION("""COMPUTED_VALUE"""),0.0)</f>
        <v/>
      </c>
      <c r="Q124" s="351" t="n"/>
      <c r="R124" s="351" t="n"/>
      <c r="S124" s="351">
        <f>IFERROR(__xludf.DUMMYFUNCTION("""COMPUTED_VALUE"""),50.0)</f>
        <v/>
      </c>
      <c r="T124" s="353">
        <f>IFERROR(__xludf.DUMMYFUNCTION("""COMPUTED_VALUE"""),"1.37")</f>
        <v/>
      </c>
      <c r="U124" s="351">
        <f>IFERROR(__xludf.DUMMYFUNCTION("""COMPUTED_VALUE"""),"stop有:0.51")</f>
        <v/>
      </c>
      <c r="V124" s="351" t="n"/>
      <c r="W124" s="351">
        <f>IFERROR(__xludf.DUMMYFUNCTION("""COMPUTED_VALUE"""),"-")</f>
        <v/>
      </c>
      <c r="X124" s="351">
        <f>IFERROR(__xludf.DUMMYFUNCTION("""COMPUTED_VALUE"""),"-")</f>
        <v/>
      </c>
      <c r="Y124" s="351" t="n"/>
      <c r="Z124" s="351">
        <f>IFERROR(__xludf.DUMMYFUNCTION("""COMPUTED_VALUE"""),"-")</f>
        <v/>
      </c>
      <c r="AA124" s="327" t="n"/>
      <c r="AB124" s="327" t="n"/>
      <c r="AC124" s="327" t="n"/>
    </row>
    <row r="125">
      <c r="A125" s="327" t="n"/>
      <c r="B125" s="351">
        <f>IFERROR(__xludf.DUMMYFUNCTION("""COMPUTED_VALUE"""),"chara_hut_00001")</f>
        <v/>
      </c>
      <c r="C125" s="352">
        <f>IFERROR(__xludf.DUMMYFUNCTION("""COMPUTED_VALUE"""),"_hut1_advent")</f>
        <v/>
      </c>
      <c r="D125" s="352">
        <f>IFERROR(__xludf.DUMMYFUNCTION("""COMPUTED_VALUE"""),"c_hut_00001_hut1_advent_Normal_Colorless")</f>
        <v/>
      </c>
      <c r="E125" s="352">
        <f>IFERROR(__xludf.DUMMYFUNCTION("""COMPUTED_VALUE"""),"ふつうの軽音部")</f>
        <v/>
      </c>
      <c r="F125" s="352">
        <f>IFERROR(__xludf.DUMMYFUNCTION("""COMPUTED_VALUE"""),"ひたむきギタリスト 鳩野 ちひろ")</f>
        <v/>
      </c>
      <c r="G125" s="352">
        <f>IFERROR(__xludf.DUMMYFUNCTION("""COMPUTED_VALUE"""),"鳩野 ちひろ_hut1_advent")</f>
        <v/>
      </c>
      <c r="H125" s="351">
        <f>IFERROR(__xludf.DUMMYFUNCTION("""COMPUTED_VALUE"""),"Normal")</f>
        <v/>
      </c>
      <c r="I125" s="351">
        <f>IFERROR(__xludf.DUMMYFUNCTION("""COMPUTED_VALUE"""),"Defense")</f>
        <v/>
      </c>
      <c r="J125" s="351">
        <f>IFERROR(__xludf.DUMMYFUNCTION("""COMPUTED_VALUE"""),"Colorless")</f>
        <v/>
      </c>
      <c r="K125" s="351">
        <f>IFERROR(__xludf.DUMMYFUNCTION("""COMPUTED_VALUE"""),1000.0)</f>
        <v/>
      </c>
      <c r="L125" s="351">
        <f>IFERROR(__xludf.DUMMYFUNCTION("""COMPUTED_VALUE"""),0.0)</f>
        <v/>
      </c>
      <c r="M125" s="351">
        <f>IFERROR(__xludf.DUMMYFUNCTION("""COMPUTED_VALUE"""),30.0)</f>
        <v/>
      </c>
      <c r="N125" s="351" t="n"/>
      <c r="O125" s="351">
        <f>IFERROR(__xludf.DUMMYFUNCTION("""COMPUTED_VALUE"""),100.0)</f>
        <v/>
      </c>
      <c r="P125" s="351">
        <f>IFERROR(__xludf.DUMMYFUNCTION("""COMPUTED_VALUE"""),0.0)</f>
        <v/>
      </c>
      <c r="Q125" s="351" t="n"/>
      <c r="R125" s="351" t="n"/>
      <c r="S125" s="351">
        <f>IFERROR(__xludf.DUMMYFUNCTION("""COMPUTED_VALUE"""),50.0)</f>
        <v/>
      </c>
      <c r="T125" s="353">
        <f>IFERROR(__xludf.DUMMYFUNCTION("""COMPUTED_VALUE"""),"1.47")</f>
        <v/>
      </c>
      <c r="U125" s="351">
        <f>IFERROR(__xludf.DUMMYFUNCTION("""COMPUTED_VALUE"""),"stop有 :1回目 0.15")</f>
        <v/>
      </c>
      <c r="V125" s="351" t="n"/>
      <c r="W125" s="351">
        <f>IFERROR(__xludf.DUMMYFUNCTION("""COMPUTED_VALUE"""),"2.8")</f>
        <v/>
      </c>
      <c r="X125" s="351">
        <f>IFERROR(__xludf.DUMMYFUNCTION("""COMPUTED_VALUE"""),"stop有:1回目 0.87")</f>
        <v/>
      </c>
      <c r="Y125" s="351" t="n"/>
      <c r="Z125" s="351">
        <f>IFERROR(__xludf.DUMMYFUNCTION("""COMPUTED_VALUE"""),5.0)</f>
        <v/>
      </c>
      <c r="AA125" s="327" t="n"/>
      <c r="AB125" s="327">
        <f>IFERROR(__xludf.DUMMYFUNCTION("""COMPUTED_VALUE"""),"dageki_1")</f>
        <v/>
      </c>
      <c r="AC125" s="327" t="n"/>
    </row>
    <row r="126">
      <c r="A126" s="327" t="n"/>
      <c r="B126" s="351">
        <f>IFERROR(__xludf.DUMMYFUNCTION("""COMPUTED_VALUE"""),"chara_hut_00101")</f>
        <v/>
      </c>
      <c r="C126" s="352">
        <f>IFERROR(__xludf.DUMMYFUNCTION("""COMPUTED_VALUE"""),"_hut1_advent")</f>
        <v/>
      </c>
      <c r="D126" s="352">
        <f>IFERROR(__xludf.DUMMYFUNCTION("""COMPUTED_VALUE"""),"c_hut_00101_hut1_advent_Normal_Colorless")</f>
        <v/>
      </c>
      <c r="E126" s="352">
        <f>IFERROR(__xludf.DUMMYFUNCTION("""COMPUTED_VALUE"""),"ふつうの軽音部")</f>
        <v/>
      </c>
      <c r="F126" s="352">
        <f>IFERROR(__xludf.DUMMYFUNCTION("""COMPUTED_VALUE"""),"幸山 厘")</f>
        <v/>
      </c>
      <c r="G126" s="352">
        <f>IFERROR(__xludf.DUMMYFUNCTION("""COMPUTED_VALUE"""),"幸山 厘_hut1_advent")</f>
        <v/>
      </c>
      <c r="H126" s="351">
        <f>IFERROR(__xludf.DUMMYFUNCTION("""COMPUTED_VALUE"""),"Normal")</f>
        <v/>
      </c>
      <c r="I126" s="351">
        <f>IFERROR(__xludf.DUMMYFUNCTION("""COMPUTED_VALUE"""),"Support")</f>
        <v/>
      </c>
      <c r="J126" s="351">
        <f>IFERROR(__xludf.DUMMYFUNCTION("""COMPUTED_VALUE"""),"Colorless")</f>
        <v/>
      </c>
      <c r="K126" s="351">
        <f>IFERROR(__xludf.DUMMYFUNCTION("""COMPUTED_VALUE"""),1000.0)</f>
        <v/>
      </c>
      <c r="L126" s="351">
        <f>IFERROR(__xludf.DUMMYFUNCTION("""COMPUTED_VALUE"""),1.0)</f>
        <v/>
      </c>
      <c r="M126" s="351">
        <f>IFERROR(__xludf.DUMMYFUNCTION("""COMPUTED_VALUE"""),35.0)</f>
        <v/>
      </c>
      <c r="N126" s="351" t="n"/>
      <c r="O126" s="351">
        <f>IFERROR(__xludf.DUMMYFUNCTION("""COMPUTED_VALUE"""),100.0)</f>
        <v/>
      </c>
      <c r="P126" s="351">
        <f>IFERROR(__xludf.DUMMYFUNCTION("""COMPUTED_VALUE"""),0.0)</f>
        <v/>
      </c>
      <c r="Q126" s="351" t="n"/>
      <c r="R126" s="351" t="n"/>
      <c r="S126" s="351">
        <f>IFERROR(__xludf.DUMMYFUNCTION("""COMPUTED_VALUE"""),50.0)</f>
        <v/>
      </c>
      <c r="T126" s="353">
        <f>IFERROR(__xludf.DUMMYFUNCTION("""COMPUTED_VALUE"""),"1.58")</f>
        <v/>
      </c>
      <c r="U126" s="351">
        <f>IFERROR(__xludf.DUMMYFUNCTION("""COMPUTED_VALUE"""),"stop有 :1回目 0.75")</f>
        <v/>
      </c>
      <c r="V126" s="351" t="n"/>
      <c r="W126" s="351">
        <f>IFERROR(__xludf.DUMMYFUNCTION("""COMPUTED_VALUE"""),"2.58")</f>
        <v/>
      </c>
      <c r="X126" s="351">
        <f>IFERROR(__xludf.DUMMYFUNCTION("""COMPUTED_VALUE"""),"stop有:1回目 0.33
stop無:2回目 0.78
stop無:3回目 1.0
stop無:4回目 1.27
stop無:5回目 1.58")</f>
        <v/>
      </c>
      <c r="Y126" s="351" t="n"/>
      <c r="Z126" s="351">
        <f>IFERROR(__xludf.DUMMYFUNCTION("""COMPUTED_VALUE"""),3.0)</f>
        <v/>
      </c>
      <c r="AA126" s="327" t="n"/>
      <c r="AB126" s="327">
        <f>IFERROR(__xludf.DUMMYFUNCTION("""COMPUTED_VALUE"""),"dageki_1")</f>
        <v/>
      </c>
      <c r="AC126" s="327" t="n"/>
    </row>
    <row r="127">
      <c r="A127" s="327" t="n"/>
      <c r="B127" s="351">
        <f>IFERROR(__xludf.DUMMYFUNCTION("""COMPUTED_VALUE"""),"chara_hut_00201")</f>
        <v/>
      </c>
      <c r="C127" s="352">
        <f>IFERROR(__xludf.DUMMYFUNCTION("""COMPUTED_VALUE"""),"_hut1_advent")</f>
        <v/>
      </c>
      <c r="D127" s="352">
        <f>IFERROR(__xludf.DUMMYFUNCTION("""COMPUTED_VALUE"""),"c_hut_00201_hut1_advent_Normal_Colorless")</f>
        <v/>
      </c>
      <c r="E127" s="352">
        <f>IFERROR(__xludf.DUMMYFUNCTION("""COMPUTED_VALUE"""),"ふつうの軽音部")</f>
        <v/>
      </c>
      <c r="F127" s="352">
        <f>IFERROR(__xludf.DUMMYFUNCTION("""COMPUTED_VALUE"""),"内田 桃")</f>
        <v/>
      </c>
      <c r="G127" s="352">
        <f>IFERROR(__xludf.DUMMYFUNCTION("""COMPUTED_VALUE"""),"内田 桃_hut1_advent")</f>
        <v/>
      </c>
      <c r="H127" s="351">
        <f>IFERROR(__xludf.DUMMYFUNCTION("""COMPUTED_VALUE"""),"Normal")</f>
        <v/>
      </c>
      <c r="I127" s="351">
        <f>IFERROR(__xludf.DUMMYFUNCTION("""COMPUTED_VALUE"""),"Technical")</f>
        <v/>
      </c>
      <c r="J127" s="351">
        <f>IFERROR(__xludf.DUMMYFUNCTION("""COMPUTED_VALUE"""),"Colorless")</f>
        <v/>
      </c>
      <c r="K127" s="351">
        <f>IFERROR(__xludf.DUMMYFUNCTION("""COMPUTED_VALUE"""),1000.0)</f>
        <v/>
      </c>
      <c r="L127" s="351">
        <f>IFERROR(__xludf.DUMMYFUNCTION("""COMPUTED_VALUE"""),3.0)</f>
        <v/>
      </c>
      <c r="M127" s="351">
        <f>IFERROR(__xludf.DUMMYFUNCTION("""COMPUTED_VALUE"""),35.0)</f>
        <v/>
      </c>
      <c r="N127" s="351" t="n"/>
      <c r="O127" s="351">
        <f>IFERROR(__xludf.DUMMYFUNCTION("""COMPUTED_VALUE"""),100.0)</f>
        <v/>
      </c>
      <c r="P127" s="351">
        <f>IFERROR(__xludf.DUMMYFUNCTION("""COMPUTED_VALUE"""),0.0)</f>
        <v/>
      </c>
      <c r="Q127" s="351" t="n"/>
      <c r="R127" s="351" t="n"/>
      <c r="S127" s="351">
        <f>IFERROR(__xludf.DUMMYFUNCTION("""COMPUTED_VALUE"""),50.0)</f>
        <v/>
      </c>
      <c r="T127" s="353">
        <f>IFERROR(__xludf.DUMMYFUNCTION("""COMPUTED_VALUE"""),"1.2")</f>
        <v/>
      </c>
      <c r="U127" s="351">
        <f>IFERROR(__xludf.DUMMYFUNCTION("""COMPUTED_VALUE"""),"stop有 :1回目 0.34")</f>
        <v/>
      </c>
      <c r="V127" s="351" t="n"/>
      <c r="W127" s="351">
        <f>IFERROR(__xludf.DUMMYFUNCTION("""COMPUTED_VALUE"""),"2.84")</f>
        <v/>
      </c>
      <c r="X127" s="351">
        <f>IFERROR(__xludf.DUMMYFUNCTION("""COMPUTED_VALUE"""),"stop無:1回目 1.1
stop無:2回目 1.44
stop有:3回目 1.97")</f>
        <v/>
      </c>
      <c r="Y127" s="351" t="n"/>
      <c r="Z127" s="351">
        <f>IFERROR(__xludf.DUMMYFUNCTION("""COMPUTED_VALUE"""),6.0)</f>
        <v/>
      </c>
      <c r="AA127" s="327" t="n"/>
      <c r="AB127" s="327">
        <f>IFERROR(__xludf.DUMMYFUNCTION("""COMPUTED_VALUE"""),"dageki_1")</f>
        <v/>
      </c>
      <c r="AC127" s="327" t="n"/>
    </row>
    <row r="128">
      <c r="A128" s="327" t="n"/>
      <c r="B128" s="351">
        <f>IFERROR(__xludf.DUMMYFUNCTION("""COMPUTED_VALUE"""),"chara_hut_00301")</f>
        <v/>
      </c>
      <c r="C128" s="352">
        <f>IFERROR(__xludf.DUMMYFUNCTION("""COMPUTED_VALUE"""),"_hut1_advent")</f>
        <v/>
      </c>
      <c r="D128" s="352">
        <f>IFERROR(__xludf.DUMMYFUNCTION("""COMPUTED_VALUE"""),"c_hut_00301_hut1_advent_Normal_Yellow")</f>
        <v/>
      </c>
      <c r="E128" s="352">
        <f>IFERROR(__xludf.DUMMYFUNCTION("""COMPUTED_VALUE"""),"ふつうの軽音部")</f>
        <v/>
      </c>
      <c r="F128" s="352">
        <f>IFERROR(__xludf.DUMMYFUNCTION("""COMPUTED_VALUE"""),"藤井 彩目")</f>
        <v/>
      </c>
      <c r="G128" s="352">
        <f>IFERROR(__xludf.DUMMYFUNCTION("""COMPUTED_VALUE"""),"藤井 彩目_hut1_advent")</f>
        <v/>
      </c>
      <c r="H128" s="351">
        <f>IFERROR(__xludf.DUMMYFUNCTION("""COMPUTED_VALUE"""),"Normal")</f>
        <v/>
      </c>
      <c r="I128" s="351">
        <f>IFERROR(__xludf.DUMMYFUNCTION("""COMPUTED_VALUE"""),"Attack")</f>
        <v/>
      </c>
      <c r="J128" s="351">
        <f>IFERROR(__xludf.DUMMYFUNCTION("""COMPUTED_VALUE"""),"Yellow")</f>
        <v/>
      </c>
      <c r="K128" s="351">
        <f>IFERROR(__xludf.DUMMYFUNCTION("""COMPUTED_VALUE"""),1000.0)</f>
        <v/>
      </c>
      <c r="L128" s="351">
        <f>IFERROR(__xludf.DUMMYFUNCTION("""COMPUTED_VALUE"""),1.0)</f>
        <v/>
      </c>
      <c r="M128" s="351">
        <f>IFERROR(__xludf.DUMMYFUNCTION("""COMPUTED_VALUE"""),35.0)</f>
        <v/>
      </c>
      <c r="N128" s="351" t="n"/>
      <c r="O128" s="351">
        <f>IFERROR(__xludf.DUMMYFUNCTION("""COMPUTED_VALUE"""),100.0)</f>
        <v/>
      </c>
      <c r="P128" s="351">
        <f>IFERROR(__xludf.DUMMYFUNCTION("""COMPUTED_VALUE"""),0.0)</f>
        <v/>
      </c>
      <c r="Q128" s="351" t="n"/>
      <c r="R128" s="351" t="n"/>
      <c r="S128" s="351">
        <f>IFERROR(__xludf.DUMMYFUNCTION("""COMPUTED_VALUE"""),50.0)</f>
        <v/>
      </c>
      <c r="T128" s="353">
        <f>IFERROR(__xludf.DUMMYFUNCTION("""COMPUTED_VALUE"""),"1.33")</f>
        <v/>
      </c>
      <c r="U128" s="351">
        <f>IFERROR(__xludf.DUMMYFUNCTION("""COMPUTED_VALUE"""),"stop有 :1回目 0.33")</f>
        <v/>
      </c>
      <c r="V128" s="351" t="n"/>
      <c r="W128" s="351">
        <f>IFERROR(__xludf.DUMMYFUNCTION("""COMPUTED_VALUE"""),"2.42")</f>
        <v/>
      </c>
      <c r="X128" s="351">
        <f>IFERROR(__xludf.DUMMYFUNCTION("""COMPUTED_VALUE"""),"stop無:1回目 0.3
stop無:2回目 0.61
stop無:3回目 0.93
stop無:4回目 1.25
stop有:5回目 1.6")</f>
        <v/>
      </c>
      <c r="Y128" s="351" t="n"/>
      <c r="Z128" s="351">
        <f>IFERROR(__xludf.DUMMYFUNCTION("""COMPUTED_VALUE"""),4.0)</f>
        <v/>
      </c>
      <c r="AA128" s="327" t="n"/>
      <c r="AB128" s="327">
        <f>IFERROR(__xludf.DUMMYFUNCTION("""COMPUTED_VALUE"""),"dageki_1")</f>
        <v/>
      </c>
      <c r="AC128" s="327" t="n"/>
    </row>
    <row r="129">
      <c r="A129" s="327" t="n"/>
      <c r="B129" s="351">
        <f>IFERROR(__xludf.DUMMYFUNCTION("""COMPUTED_VALUE"""),"enemy_glo_00001")</f>
        <v/>
      </c>
      <c r="C129" s="352">
        <f>IFERROR(__xludf.DUMMYFUNCTION("""COMPUTED_VALUE"""),"_hut1_advent")</f>
        <v/>
      </c>
      <c r="D129" s="352">
        <f>IFERROR(__xludf.DUMMYFUNCTION("""COMPUTED_VALUE"""),"e_glo_00001_hut1_advent_Boss_Yellow")</f>
        <v/>
      </c>
      <c r="E129" s="352">
        <f>IFERROR(__xludf.DUMMYFUNCTION("""COMPUTED_VALUE"""),"GLOW")</f>
        <v/>
      </c>
      <c r="F129" s="352">
        <f>IFERROR(__xludf.DUMMYFUNCTION("""COMPUTED_VALUE"""),"ファントム")</f>
        <v/>
      </c>
      <c r="G129" s="352">
        <f>IFERROR(__xludf.DUMMYFUNCTION("""COMPUTED_VALUE"""),"ファントム_hut1_advent")</f>
        <v/>
      </c>
      <c r="H129" s="351">
        <f>IFERROR(__xludf.DUMMYFUNCTION("""COMPUTED_VALUE"""),"Boss")</f>
        <v/>
      </c>
      <c r="I129" s="351">
        <f>IFERROR(__xludf.DUMMYFUNCTION("""COMPUTED_VALUE"""),"Attack")</f>
        <v/>
      </c>
      <c r="J129" s="351">
        <f>IFERROR(__xludf.DUMMYFUNCTION("""COMPUTED_VALUE"""),"Yellow")</f>
        <v/>
      </c>
      <c r="K129" s="351">
        <f>IFERROR(__xludf.DUMMYFUNCTION("""COMPUTED_VALUE"""),10000.0)</f>
        <v/>
      </c>
      <c r="L129" s="351">
        <f>IFERROR(__xludf.DUMMYFUNCTION("""COMPUTED_VALUE"""),1.0)</f>
        <v/>
      </c>
      <c r="M129" s="351">
        <f>IFERROR(__xludf.DUMMYFUNCTION("""COMPUTED_VALUE"""),37.0)</f>
        <v/>
      </c>
      <c r="N129" s="351" t="n"/>
      <c r="O129" s="351">
        <f>IFERROR(__xludf.DUMMYFUNCTION("""COMPUTED_VALUE"""),100.0)</f>
        <v/>
      </c>
      <c r="P129" s="351">
        <f>IFERROR(__xludf.DUMMYFUNCTION("""COMPUTED_VALUE"""),0.0)</f>
        <v/>
      </c>
      <c r="Q129" s="351" t="n"/>
      <c r="R129" s="351" t="n"/>
      <c r="S129" s="351">
        <f>IFERROR(__xludf.DUMMYFUNCTION("""COMPUTED_VALUE"""),100.0)</f>
        <v/>
      </c>
      <c r="T129" s="353">
        <f>IFERROR(__xludf.DUMMYFUNCTION("""COMPUTED_VALUE"""),"1.00")</f>
        <v/>
      </c>
      <c r="U129" s="351">
        <f>IFERROR(__xludf.DUMMYFUNCTION("""COMPUTED_VALUE"""),"0.50")</f>
        <v/>
      </c>
      <c r="V129" s="351" t="n"/>
      <c r="W129" s="351" t="n"/>
      <c r="X129" s="351" t="n"/>
      <c r="Y129" s="351" t="n"/>
      <c r="Z129" s="351">
        <f>IFERROR(__xludf.DUMMYFUNCTION("""COMPUTED_VALUE"""),"-")</f>
        <v/>
      </c>
      <c r="AA129" s="327" t="n"/>
      <c r="AB129" s="327">
        <f>IFERROR(__xludf.DUMMYFUNCTION("""COMPUTED_VALUE"""),"dageki_1")</f>
        <v/>
      </c>
      <c r="AC129" s="327" t="n"/>
    </row>
    <row r="130">
      <c r="A130" s="327" t="n"/>
      <c r="B130" s="351">
        <f>IFERROR(__xludf.DUMMYFUNCTION("""COMPUTED_VALUE"""),"enemy_glo_00001")</f>
        <v/>
      </c>
      <c r="C130" s="352">
        <f>IFERROR(__xludf.DUMMYFUNCTION("""COMPUTED_VALUE"""),"_hut1_advent")</f>
        <v/>
      </c>
      <c r="D130" s="352">
        <f>IFERROR(__xludf.DUMMYFUNCTION("""COMPUTED_VALUE"""),"e_glo_00001_hut1_advent_Boss_Colorless")</f>
        <v/>
      </c>
      <c r="E130" s="352">
        <f>IFERROR(__xludf.DUMMYFUNCTION("""COMPUTED_VALUE"""),"GLOW")</f>
        <v/>
      </c>
      <c r="F130" s="352">
        <f>IFERROR(__xludf.DUMMYFUNCTION("""COMPUTED_VALUE"""),"ファントム")</f>
        <v/>
      </c>
      <c r="G130" s="352">
        <f>IFERROR(__xludf.DUMMYFUNCTION("""COMPUTED_VALUE"""),"ファントム_hut1_advent")</f>
        <v/>
      </c>
      <c r="H130" s="351">
        <f>IFERROR(__xludf.DUMMYFUNCTION("""COMPUTED_VALUE"""),"Boss")</f>
        <v/>
      </c>
      <c r="I130" s="351">
        <f>IFERROR(__xludf.DUMMYFUNCTION("""COMPUTED_VALUE"""),"Defense")</f>
        <v/>
      </c>
      <c r="J130" s="351">
        <f>IFERROR(__xludf.DUMMYFUNCTION("""COMPUTED_VALUE"""),"Colorless")</f>
        <v/>
      </c>
      <c r="K130" s="351">
        <f>IFERROR(__xludf.DUMMYFUNCTION("""COMPUTED_VALUE"""),10000.0)</f>
        <v/>
      </c>
      <c r="L130" s="351">
        <f>IFERROR(__xludf.DUMMYFUNCTION("""COMPUTED_VALUE"""),1.0)</f>
        <v/>
      </c>
      <c r="M130" s="351">
        <f>IFERROR(__xludf.DUMMYFUNCTION("""COMPUTED_VALUE"""),40.0)</f>
        <v/>
      </c>
      <c r="N130" s="351" t="n"/>
      <c r="O130" s="351">
        <f>IFERROR(__xludf.DUMMYFUNCTION("""COMPUTED_VALUE"""),100.0)</f>
        <v/>
      </c>
      <c r="P130" s="351">
        <f>IFERROR(__xludf.DUMMYFUNCTION("""COMPUTED_VALUE"""),0.0)</f>
        <v/>
      </c>
      <c r="Q130" s="351" t="n"/>
      <c r="R130" s="351" t="n"/>
      <c r="S130" s="351">
        <f>IFERROR(__xludf.DUMMYFUNCTION("""COMPUTED_VALUE"""),100.0)</f>
        <v/>
      </c>
      <c r="T130" s="353">
        <f>IFERROR(__xludf.DUMMYFUNCTION("""COMPUTED_VALUE"""),"1.00")</f>
        <v/>
      </c>
      <c r="U130" s="351">
        <f>IFERROR(__xludf.DUMMYFUNCTION("""COMPUTED_VALUE"""),"0.50")</f>
        <v/>
      </c>
      <c r="V130" s="351" t="n"/>
      <c r="W130" s="351" t="n"/>
      <c r="X130" s="351" t="n"/>
      <c r="Y130" s="351" t="n"/>
      <c r="Z130" s="351">
        <f>IFERROR(__xludf.DUMMYFUNCTION("""COMPUTED_VALUE"""),"-")</f>
        <v/>
      </c>
      <c r="AA130" s="327">
        <f>IFERROR(__xludf.DUMMYFUNCTION("""COMPUTED_VALUE"""),"ノックバック無効")</f>
        <v/>
      </c>
      <c r="AB130" s="327">
        <f>IFERROR(__xludf.DUMMYFUNCTION("""COMPUTED_VALUE"""),"dageki_1")</f>
        <v/>
      </c>
      <c r="AC130" s="327" t="n"/>
    </row>
    <row r="131">
      <c r="A131" s="327" t="n"/>
      <c r="B131" s="351">
        <f>IFERROR(__xludf.DUMMYFUNCTION("""COMPUTED_VALUE"""),"enemy_hut_00001")</f>
        <v/>
      </c>
      <c r="C131" s="352">
        <f>IFERROR(__xludf.DUMMYFUNCTION("""COMPUTED_VALUE"""),"_hut1_advent")</f>
        <v/>
      </c>
      <c r="D131" s="352">
        <f>IFERROR(__xludf.DUMMYFUNCTION("""COMPUTED_VALUE"""),"e_hut_00001_hut1_advent_Boss_Yellow")</f>
        <v/>
      </c>
      <c r="E131" s="352">
        <f>IFERROR(__xludf.DUMMYFUNCTION("""COMPUTED_VALUE"""),"ふつうの軽音部")</f>
        <v/>
      </c>
      <c r="F131" s="352">
        <f>IFERROR(__xludf.DUMMYFUNCTION("""COMPUTED_VALUE"""),"鷹見 項希")</f>
        <v/>
      </c>
      <c r="G131" s="352">
        <f>IFERROR(__xludf.DUMMYFUNCTION("""COMPUTED_VALUE"""),"鷹見 項希_hut1_advent")</f>
        <v/>
      </c>
      <c r="H131" s="351">
        <f>IFERROR(__xludf.DUMMYFUNCTION("""COMPUTED_VALUE"""),"Boss")</f>
        <v/>
      </c>
      <c r="I131" s="351">
        <f>IFERROR(__xludf.DUMMYFUNCTION("""COMPUTED_VALUE"""),"Attack")</f>
        <v/>
      </c>
      <c r="J131" s="351">
        <f>IFERROR(__xludf.DUMMYFUNCTION("""COMPUTED_VALUE"""),"Yellow")</f>
        <v/>
      </c>
      <c r="K131" s="351">
        <f>IFERROR(__xludf.DUMMYFUNCTION("""COMPUTED_VALUE"""),10000.0)</f>
        <v/>
      </c>
      <c r="L131" s="351">
        <f>IFERROR(__xludf.DUMMYFUNCTION("""COMPUTED_VALUE"""),1.0)</f>
        <v/>
      </c>
      <c r="M131" s="351">
        <f>IFERROR(__xludf.DUMMYFUNCTION("""COMPUTED_VALUE"""),35.0)</f>
        <v/>
      </c>
      <c r="N131" s="351" t="n"/>
      <c r="O131" s="351">
        <f>IFERROR(__xludf.DUMMYFUNCTION("""COMPUTED_VALUE"""),100.0)</f>
        <v/>
      </c>
      <c r="P131" s="351">
        <f>IFERROR(__xludf.DUMMYFUNCTION("""COMPUTED_VALUE"""),0.0)</f>
        <v/>
      </c>
      <c r="Q131" s="351" t="n"/>
      <c r="R131" s="351" t="n"/>
      <c r="S131" s="351">
        <f>IFERROR(__xludf.DUMMYFUNCTION("""COMPUTED_VALUE"""),100.0)</f>
        <v/>
      </c>
      <c r="T131" s="353">
        <f>IFERROR(__xludf.DUMMYFUNCTION("""COMPUTED_VALUE"""),"1.37")</f>
        <v/>
      </c>
      <c r="U131" s="351">
        <f>IFERROR(__xludf.DUMMYFUNCTION("""COMPUTED_VALUE"""),"stop有:0.51")</f>
        <v/>
      </c>
      <c r="V131" s="351" t="n"/>
      <c r="W131" s="351">
        <f>IFERROR(__xludf.DUMMYFUNCTION("""COMPUTED_VALUE"""),"-")</f>
        <v/>
      </c>
      <c r="X131" s="351">
        <f>IFERROR(__xludf.DUMMYFUNCTION("""COMPUTED_VALUE"""),"-")</f>
        <v/>
      </c>
      <c r="Y131" s="351" t="n"/>
      <c r="Z131" s="351">
        <f>IFERROR(__xludf.DUMMYFUNCTION("""COMPUTED_VALUE"""),"-")</f>
        <v/>
      </c>
      <c r="AA131" s="327" t="n"/>
      <c r="AB131" s="327" t="n"/>
      <c r="AC131" s="327" t="n"/>
    </row>
    <row r="132">
      <c r="A132" s="327" t="n"/>
      <c r="B132" s="351">
        <f>IFERROR(__xludf.DUMMYFUNCTION("""COMPUTED_VALUE"""),"chara_hut_00001")</f>
        <v/>
      </c>
      <c r="C132" s="352">
        <f>IFERROR(__xludf.DUMMYFUNCTION("""COMPUTED_VALUE"""),"_hut1_advent")</f>
        <v/>
      </c>
      <c r="D132" s="352">
        <f>IFERROR(__xludf.DUMMYFUNCTION("""COMPUTED_VALUE"""),"c_hut_00001_hut1_advent_Boss_Colorless")</f>
        <v/>
      </c>
      <c r="E132" s="352">
        <f>IFERROR(__xludf.DUMMYFUNCTION("""COMPUTED_VALUE"""),"ふつうの軽音部")</f>
        <v/>
      </c>
      <c r="F132" s="352">
        <f>IFERROR(__xludf.DUMMYFUNCTION("""COMPUTED_VALUE"""),"ひたむきギタリスト 鳩野 ちひろ")</f>
        <v/>
      </c>
      <c r="G132" s="352">
        <f>IFERROR(__xludf.DUMMYFUNCTION("""COMPUTED_VALUE"""),"鳩野 ちひろ_hut1_advent")</f>
        <v/>
      </c>
      <c r="H132" s="351">
        <f>IFERROR(__xludf.DUMMYFUNCTION("""COMPUTED_VALUE"""),"Boss")</f>
        <v/>
      </c>
      <c r="I132" s="351">
        <f>IFERROR(__xludf.DUMMYFUNCTION("""COMPUTED_VALUE"""),"Defense")</f>
        <v/>
      </c>
      <c r="J132" s="351">
        <f>IFERROR(__xludf.DUMMYFUNCTION("""COMPUTED_VALUE"""),"Colorless")</f>
        <v/>
      </c>
      <c r="K132" s="351">
        <f>IFERROR(__xludf.DUMMYFUNCTION("""COMPUTED_VALUE"""),10000.0)</f>
        <v/>
      </c>
      <c r="L132" s="351">
        <f>IFERROR(__xludf.DUMMYFUNCTION("""COMPUTED_VALUE"""),0.0)</f>
        <v/>
      </c>
      <c r="M132" s="351">
        <f>IFERROR(__xludf.DUMMYFUNCTION("""COMPUTED_VALUE"""),30.0)</f>
        <v/>
      </c>
      <c r="N132" s="351" t="n"/>
      <c r="O132" s="351">
        <f>IFERROR(__xludf.DUMMYFUNCTION("""COMPUTED_VALUE"""),100.0)</f>
        <v/>
      </c>
      <c r="P132" s="351">
        <f>IFERROR(__xludf.DUMMYFUNCTION("""COMPUTED_VALUE"""),0.0)</f>
        <v/>
      </c>
      <c r="Q132" s="351" t="n"/>
      <c r="R132" s="351" t="n"/>
      <c r="S132" s="351">
        <f>IFERROR(__xludf.DUMMYFUNCTION("""COMPUTED_VALUE"""),100.0)</f>
        <v/>
      </c>
      <c r="T132" s="353">
        <f>IFERROR(__xludf.DUMMYFUNCTION("""COMPUTED_VALUE"""),"1.47")</f>
        <v/>
      </c>
      <c r="U132" s="351">
        <f>IFERROR(__xludf.DUMMYFUNCTION("""COMPUTED_VALUE"""),"stop有 :1回目 0.15")</f>
        <v/>
      </c>
      <c r="V132" s="351" t="n"/>
      <c r="W132" s="351">
        <f>IFERROR(__xludf.DUMMYFUNCTION("""COMPUTED_VALUE"""),"2.8")</f>
        <v/>
      </c>
      <c r="X132" s="351">
        <f>IFERROR(__xludf.DUMMYFUNCTION("""COMPUTED_VALUE"""),"stop有:1回目 0.87")</f>
        <v/>
      </c>
      <c r="Y132" s="351" t="n"/>
      <c r="Z132" s="351">
        <f>IFERROR(__xludf.DUMMYFUNCTION("""COMPUTED_VALUE"""),5.0)</f>
        <v/>
      </c>
      <c r="AA132" s="327">
        <f>IFERROR(__xludf.DUMMYFUNCTION("""COMPUTED_VALUE"""),"ノックバック無効")</f>
        <v/>
      </c>
      <c r="AB132" s="327">
        <f>IFERROR(__xludf.DUMMYFUNCTION("""COMPUTED_VALUE"""),"dageki_1")</f>
        <v/>
      </c>
      <c r="AC132" s="327" t="n"/>
    </row>
    <row r="133">
      <c r="A133" s="327" t="n"/>
      <c r="B133" s="351">
        <f>IFERROR(__xludf.DUMMYFUNCTION("""COMPUTED_VALUE"""),"chara_hut_00101")</f>
        <v/>
      </c>
      <c r="C133" s="352">
        <f>IFERROR(__xludf.DUMMYFUNCTION("""COMPUTED_VALUE"""),"_hut1_advent")</f>
        <v/>
      </c>
      <c r="D133" s="352">
        <f>IFERROR(__xludf.DUMMYFUNCTION("""COMPUTED_VALUE"""),"c_hut_00101_hut1_advent_Boss_Yellow")</f>
        <v/>
      </c>
      <c r="E133" s="352">
        <f>IFERROR(__xludf.DUMMYFUNCTION("""COMPUTED_VALUE"""),"ふつうの軽音部")</f>
        <v/>
      </c>
      <c r="F133" s="352">
        <f>IFERROR(__xludf.DUMMYFUNCTION("""COMPUTED_VALUE"""),"幸山 厘")</f>
        <v/>
      </c>
      <c r="G133" s="352">
        <f>IFERROR(__xludf.DUMMYFUNCTION("""COMPUTED_VALUE"""),"幸山 厘_hut1_advent")</f>
        <v/>
      </c>
      <c r="H133" s="351">
        <f>IFERROR(__xludf.DUMMYFUNCTION("""COMPUTED_VALUE"""),"Boss")</f>
        <v/>
      </c>
      <c r="I133" s="351">
        <f>IFERROR(__xludf.DUMMYFUNCTION("""COMPUTED_VALUE"""),"Attack")</f>
        <v/>
      </c>
      <c r="J133" s="351">
        <f>IFERROR(__xludf.DUMMYFUNCTION("""COMPUTED_VALUE"""),"Yellow")</f>
        <v/>
      </c>
      <c r="K133" s="351">
        <f>IFERROR(__xludf.DUMMYFUNCTION("""COMPUTED_VALUE"""),10000.0)</f>
        <v/>
      </c>
      <c r="L133" s="351">
        <f>IFERROR(__xludf.DUMMYFUNCTION("""COMPUTED_VALUE"""),1.0)</f>
        <v/>
      </c>
      <c r="M133" s="351">
        <f>IFERROR(__xludf.DUMMYFUNCTION("""COMPUTED_VALUE"""),35.0)</f>
        <v/>
      </c>
      <c r="N133" s="351" t="n"/>
      <c r="O133" s="351">
        <f>IFERROR(__xludf.DUMMYFUNCTION("""COMPUTED_VALUE"""),100.0)</f>
        <v/>
      </c>
      <c r="P133" s="351">
        <f>IFERROR(__xludf.DUMMYFUNCTION("""COMPUTED_VALUE"""),0.0)</f>
        <v/>
      </c>
      <c r="Q133" s="351" t="n"/>
      <c r="R133" s="351" t="n"/>
      <c r="S133" s="351">
        <f>IFERROR(__xludf.DUMMYFUNCTION("""COMPUTED_VALUE"""),100.0)</f>
        <v/>
      </c>
      <c r="T133" s="353">
        <f>IFERROR(__xludf.DUMMYFUNCTION("""COMPUTED_VALUE"""),"1.58")</f>
        <v/>
      </c>
      <c r="U133" s="351">
        <f>IFERROR(__xludf.DUMMYFUNCTION("""COMPUTED_VALUE"""),"stop有 :1回目 0.75")</f>
        <v/>
      </c>
      <c r="V133" s="351" t="n"/>
      <c r="W133" s="351">
        <f>IFERROR(__xludf.DUMMYFUNCTION("""COMPUTED_VALUE"""),"2.58")</f>
        <v/>
      </c>
      <c r="X133" s="351">
        <f>IFERROR(__xludf.DUMMYFUNCTION("""COMPUTED_VALUE"""),"stop有:1回目 0.33
stop無:2回目 0.78
stop無:3回目 1.0
stop無:4回目 1.27
stop無:5回目 1.58")</f>
        <v/>
      </c>
      <c r="Y133" s="351" t="n"/>
      <c r="Z133" s="351">
        <f>IFERROR(__xludf.DUMMYFUNCTION("""COMPUTED_VALUE"""),5.0)</f>
        <v/>
      </c>
      <c r="AA133" s="327" t="n"/>
      <c r="AB133" s="327">
        <f>IFERROR(__xludf.DUMMYFUNCTION("""COMPUTED_VALUE"""),"dageki_1")</f>
        <v/>
      </c>
      <c r="AC133" s="327" t="n"/>
    </row>
    <row r="134">
      <c r="A134" s="327" t="n"/>
      <c r="B134" s="351">
        <f>IFERROR(__xludf.DUMMYFUNCTION("""COMPUTED_VALUE"""),"chara_hut_00201")</f>
        <v/>
      </c>
      <c r="C134" s="352">
        <f>IFERROR(__xludf.DUMMYFUNCTION("""COMPUTED_VALUE"""),"_hut1_advent")</f>
        <v/>
      </c>
      <c r="D134" s="352">
        <f>IFERROR(__xludf.DUMMYFUNCTION("""COMPUTED_VALUE"""),"c_hut_00201_hut1_advent_Boss_Colorless")</f>
        <v/>
      </c>
      <c r="E134" s="352">
        <f>IFERROR(__xludf.DUMMYFUNCTION("""COMPUTED_VALUE"""),"ふつうの軽音部")</f>
        <v/>
      </c>
      <c r="F134" s="352">
        <f>IFERROR(__xludf.DUMMYFUNCTION("""COMPUTED_VALUE"""),"内田 桃")</f>
        <v/>
      </c>
      <c r="G134" s="352">
        <f>IFERROR(__xludf.DUMMYFUNCTION("""COMPUTED_VALUE"""),"内田 桃_hut1_advent")</f>
        <v/>
      </c>
      <c r="H134" s="351">
        <f>IFERROR(__xludf.DUMMYFUNCTION("""COMPUTED_VALUE"""),"Boss")</f>
        <v/>
      </c>
      <c r="I134" s="351">
        <f>IFERROR(__xludf.DUMMYFUNCTION("""COMPUTED_VALUE"""),"Technical")</f>
        <v/>
      </c>
      <c r="J134" s="351">
        <f>IFERROR(__xludf.DUMMYFUNCTION("""COMPUTED_VALUE"""),"Colorless")</f>
        <v/>
      </c>
      <c r="K134" s="351">
        <f>IFERROR(__xludf.DUMMYFUNCTION("""COMPUTED_VALUE"""),10000.0)</f>
        <v/>
      </c>
      <c r="L134" s="351">
        <f>IFERROR(__xludf.DUMMYFUNCTION("""COMPUTED_VALUE"""),1.0)</f>
        <v/>
      </c>
      <c r="M134" s="351">
        <f>IFERROR(__xludf.DUMMYFUNCTION("""COMPUTED_VALUE"""),35.0)</f>
        <v/>
      </c>
      <c r="N134" s="351" t="n"/>
      <c r="O134" s="351">
        <f>IFERROR(__xludf.DUMMYFUNCTION("""COMPUTED_VALUE"""),100.0)</f>
        <v/>
      </c>
      <c r="P134" s="351">
        <f>IFERROR(__xludf.DUMMYFUNCTION("""COMPUTED_VALUE"""),0.0)</f>
        <v/>
      </c>
      <c r="Q134" s="351" t="n"/>
      <c r="R134" s="351" t="n"/>
      <c r="S134" s="351">
        <f>IFERROR(__xludf.DUMMYFUNCTION("""COMPUTED_VALUE"""),100.0)</f>
        <v/>
      </c>
      <c r="T134" s="353">
        <f>IFERROR(__xludf.DUMMYFUNCTION("""COMPUTED_VALUE"""),"1.2")</f>
        <v/>
      </c>
      <c r="U134" s="351">
        <f>IFERROR(__xludf.DUMMYFUNCTION("""COMPUTED_VALUE"""),"stop有 :1回目 0.34")</f>
        <v/>
      </c>
      <c r="V134" s="351" t="n"/>
      <c r="W134" s="351">
        <f>IFERROR(__xludf.DUMMYFUNCTION("""COMPUTED_VALUE"""),"2.84")</f>
        <v/>
      </c>
      <c r="X134" s="351">
        <f>IFERROR(__xludf.DUMMYFUNCTION("""COMPUTED_VALUE"""),"stop無:1回目 1.1
stop無:2回目 1.44
stop有:3回目 1.97")</f>
        <v/>
      </c>
      <c r="Y134" s="351" t="n"/>
      <c r="Z134" s="351">
        <f>IFERROR(__xludf.DUMMYFUNCTION("""COMPUTED_VALUE"""),5.0)</f>
        <v/>
      </c>
      <c r="AA134" s="327" t="n"/>
      <c r="AB134" s="327">
        <f>IFERROR(__xludf.DUMMYFUNCTION("""COMPUTED_VALUE"""),"dageki_1")</f>
        <v/>
      </c>
      <c r="AC134" s="327" t="n"/>
    </row>
    <row r="135">
      <c r="A135" s="327" t="n"/>
      <c r="B135" s="351">
        <f>IFERROR(__xludf.DUMMYFUNCTION("""COMPUTED_VALUE"""),"chara_hut_00301")</f>
        <v/>
      </c>
      <c r="C135" s="352">
        <f>IFERROR(__xludf.DUMMYFUNCTION("""COMPUTED_VALUE"""),"_hut1_advent")</f>
        <v/>
      </c>
      <c r="D135" s="352">
        <f>IFERROR(__xludf.DUMMYFUNCTION("""COMPUTED_VALUE"""),"c_hut_00301_hut1_advent_Boss_Yellow")</f>
        <v/>
      </c>
      <c r="E135" s="352">
        <f>IFERROR(__xludf.DUMMYFUNCTION("""COMPUTED_VALUE"""),"ふつうの軽音部")</f>
        <v/>
      </c>
      <c r="F135" s="352">
        <f>IFERROR(__xludf.DUMMYFUNCTION("""COMPUTED_VALUE"""),"藤井 彩目")</f>
        <v/>
      </c>
      <c r="G135" s="352">
        <f>IFERROR(__xludf.DUMMYFUNCTION("""COMPUTED_VALUE"""),"藤井 彩目_hut1_advent")</f>
        <v/>
      </c>
      <c r="H135" s="351">
        <f>IFERROR(__xludf.DUMMYFUNCTION("""COMPUTED_VALUE"""),"Boss")</f>
        <v/>
      </c>
      <c r="I135" s="351">
        <f>IFERROR(__xludf.DUMMYFUNCTION("""COMPUTED_VALUE"""),"Attack")</f>
        <v/>
      </c>
      <c r="J135" s="351">
        <f>IFERROR(__xludf.DUMMYFUNCTION("""COMPUTED_VALUE"""),"Yellow")</f>
        <v/>
      </c>
      <c r="K135" s="351">
        <f>IFERROR(__xludf.DUMMYFUNCTION("""COMPUTED_VALUE"""),10000.0)</f>
        <v/>
      </c>
      <c r="L135" s="351">
        <f>IFERROR(__xludf.DUMMYFUNCTION("""COMPUTED_VALUE"""),1.0)</f>
        <v/>
      </c>
      <c r="M135" s="351">
        <f>IFERROR(__xludf.DUMMYFUNCTION("""COMPUTED_VALUE"""),35.0)</f>
        <v/>
      </c>
      <c r="N135" s="351" t="n"/>
      <c r="O135" s="351">
        <f>IFERROR(__xludf.DUMMYFUNCTION("""COMPUTED_VALUE"""),100.0)</f>
        <v/>
      </c>
      <c r="P135" s="351">
        <f>IFERROR(__xludf.DUMMYFUNCTION("""COMPUTED_VALUE"""),0.0)</f>
        <v/>
      </c>
      <c r="Q135" s="351" t="n"/>
      <c r="R135" s="351" t="n"/>
      <c r="S135" s="351">
        <f>IFERROR(__xludf.DUMMYFUNCTION("""COMPUTED_VALUE"""),100.0)</f>
        <v/>
      </c>
      <c r="T135" s="353">
        <f>IFERROR(__xludf.DUMMYFUNCTION("""COMPUTED_VALUE"""),"1.33")</f>
        <v/>
      </c>
      <c r="U135" s="351">
        <f>IFERROR(__xludf.DUMMYFUNCTION("""COMPUTED_VALUE"""),"stop有 :1回目 0.33")</f>
        <v/>
      </c>
      <c r="V135" s="351" t="n"/>
      <c r="W135" s="351">
        <f>IFERROR(__xludf.DUMMYFUNCTION("""COMPUTED_VALUE"""),"2.42")</f>
        <v/>
      </c>
      <c r="X135" s="351">
        <f>IFERROR(__xludf.DUMMYFUNCTION("""COMPUTED_VALUE"""),"stop無:1回目 0.3
stop無:2回目 0.61
stop無:3回目 0.93
stop無:4回目 1.25
stop有:5回目 1.6")</f>
        <v/>
      </c>
      <c r="Y135" s="351" t="n"/>
      <c r="Z135" s="351">
        <f>IFERROR(__xludf.DUMMYFUNCTION("""COMPUTED_VALUE"""),4.0)</f>
        <v/>
      </c>
      <c r="AA135" s="327" t="n"/>
      <c r="AB135" s="327">
        <f>IFERROR(__xludf.DUMMYFUNCTION("""COMPUTED_VALUE"""),"dageki_1")</f>
        <v/>
      </c>
      <c r="AC135" s="327" t="n"/>
    </row>
    <row r="136">
      <c r="A136" s="327" t="n"/>
      <c r="B136" s="351" t="n"/>
      <c r="C136" s="352" t="n"/>
      <c r="D136" s="352">
        <f>IFERROR(__xludf.DUMMYFUNCTION("""COMPUTED_VALUE"""),"___")</f>
        <v/>
      </c>
      <c r="E136" s="352">
        <f>IFERROR(__xludf.DUMMYFUNCTION("""COMPUTED_VALUE"""),"none")</f>
        <v/>
      </c>
      <c r="F136" s="352">
        <f>IFERROR(__xludf.DUMMYFUNCTION("""COMPUTED_VALUE"""),"none")</f>
        <v/>
      </c>
      <c r="G136" s="352">
        <f>IFERROR(__xludf.DUMMYFUNCTION("""COMPUTED_VALUE"""),"none")</f>
        <v/>
      </c>
      <c r="H136" s="351" t="n"/>
      <c r="I136" s="351">
        <f>IFERROR(__xludf.DUMMYFUNCTION("""COMPUTED_VALUE"""),"none")</f>
        <v/>
      </c>
      <c r="J136" s="351" t="n"/>
      <c r="K136" s="351" t="n"/>
      <c r="L136" s="351" t="n"/>
      <c r="M136" s="351" t="n"/>
      <c r="N136" s="351" t="n"/>
      <c r="O136" s="351" t="n"/>
      <c r="P136" s="351" t="n"/>
      <c r="Q136" s="351" t="n"/>
      <c r="R136" s="351" t="n"/>
      <c r="S136" s="351" t="n"/>
      <c r="T136" s="353">
        <f>IFERROR(__xludf.DUMMYFUNCTION("""COMPUTED_VALUE"""),"none")</f>
        <v/>
      </c>
      <c r="U136" s="351">
        <f>IFERROR(__xludf.DUMMYFUNCTION("""COMPUTED_VALUE"""),"none")</f>
        <v/>
      </c>
      <c r="V136" s="351" t="n"/>
      <c r="W136" s="351">
        <f>IFERROR(__xludf.DUMMYFUNCTION("""COMPUTED_VALUE"""),"none")</f>
        <v/>
      </c>
      <c r="X136" s="351">
        <f>IFERROR(__xludf.DUMMYFUNCTION("""COMPUTED_VALUE"""),"none")</f>
        <v/>
      </c>
      <c r="Y136" s="351" t="n"/>
      <c r="Z136" s="351">
        <f>IFERROR(__xludf.DUMMYFUNCTION("""COMPUTED_VALUE"""),"-")</f>
        <v/>
      </c>
      <c r="AA136" s="327" t="n"/>
      <c r="AB136" s="327">
        <f>IFERROR(__xludf.DUMMYFUNCTION("""COMPUTED_VALUE"""),"none")</f>
        <v/>
      </c>
      <c r="AC136" s="327" t="n"/>
    </row>
    <row r="137">
      <c r="A137" s="327" t="n"/>
      <c r="B137" s="351">
        <f>IFERROR(__xludf.DUMMYFUNCTION("""COMPUTED_VALUE"""),"chara_sur_00901")</f>
        <v/>
      </c>
      <c r="C137" s="352">
        <f>IFERROR(__xludf.DUMMYFUNCTION("""COMPUTED_VALUE"""),"_glo2_advent")</f>
        <v/>
      </c>
      <c r="D137" s="352">
        <f>IFERROR(__xludf.DUMMYFUNCTION("""COMPUTED_VALUE"""),"c_sur_00901_glo2_advent_Boss_Red")</f>
        <v/>
      </c>
      <c r="E137" s="352">
        <f>IFERROR(__xludf.DUMMYFUNCTION("""COMPUTED_VALUE"""),"魔都精兵のスレイブ")</f>
        <v/>
      </c>
      <c r="F137" s="352">
        <f>IFERROR(__xludf.DUMMYFUNCTION("""COMPUTED_VALUE"""),"万物を統べる総組長 山城 恋")</f>
        <v/>
      </c>
      <c r="G137" s="352">
        <f>IFERROR(__xludf.DUMMYFUNCTION("""COMPUTED_VALUE"""),"山城 恋_glo2_advent")</f>
        <v/>
      </c>
      <c r="H137" s="351">
        <f>IFERROR(__xludf.DUMMYFUNCTION("""COMPUTED_VALUE"""),"Boss")</f>
        <v/>
      </c>
      <c r="I137" s="351">
        <f>IFERROR(__xludf.DUMMYFUNCTION("""COMPUTED_VALUE"""),"Attack")</f>
        <v/>
      </c>
      <c r="J137" s="351">
        <f>IFERROR(__xludf.DUMMYFUNCTION("""COMPUTED_VALUE"""),"Red")</f>
        <v/>
      </c>
      <c r="K137" s="351">
        <f>IFERROR(__xludf.DUMMYFUNCTION("""COMPUTED_VALUE"""),10000.0)</f>
        <v/>
      </c>
      <c r="L137" s="351">
        <f>IFERROR(__xludf.DUMMYFUNCTION("""COMPUTED_VALUE"""),1.0)</f>
        <v/>
      </c>
      <c r="M137" s="351">
        <f>IFERROR(__xludf.DUMMYFUNCTION("""COMPUTED_VALUE"""),30.0)</f>
        <v/>
      </c>
      <c r="N137" s="351">
        <f>IFERROR(__xludf.DUMMYFUNCTION("""COMPUTED_VALUE"""),0.39)</f>
        <v/>
      </c>
      <c r="O137" s="351">
        <f>IFERROR(__xludf.DUMMYFUNCTION("""COMPUTED_VALUE"""),300.0)</f>
        <v/>
      </c>
      <c r="P137" s="351">
        <f>IFERROR(__xludf.DUMMYFUNCTION("""COMPUTED_VALUE"""),0.0)</f>
        <v/>
      </c>
      <c r="Q137" s="351">
        <f>IFERROR(__xludf.DUMMYFUNCTION("""COMPUTED_VALUE"""),0.18)</f>
        <v/>
      </c>
      <c r="R137" s="351">
        <f>IFERROR(__xludf.DUMMYFUNCTION("""COMPUTED_VALUE"""),1.0)</f>
        <v/>
      </c>
      <c r="S137" s="351">
        <f>IFERROR(__xludf.DUMMYFUNCTION("""COMPUTED_VALUE"""),500.0)</f>
        <v/>
      </c>
      <c r="T137" s="353">
        <f>IFERROR(__xludf.DUMMYFUNCTION("""COMPUTED_VALUE"""),"1.17")</f>
        <v/>
      </c>
      <c r="U137" s="351">
        <f>IFERROR(__xludf.DUMMYFUNCTION("""COMPUTED_VALUE"""),"stop有 : 0.43")</f>
        <v/>
      </c>
      <c r="V137" s="351">
        <f>IFERROR(__xludf.DUMMYFUNCTION("""COMPUTED_VALUE"""),100.0)</f>
        <v/>
      </c>
      <c r="W137" s="351">
        <f>IFERROR(__xludf.DUMMYFUNCTION("""COMPUTED_VALUE"""),"2.92")</f>
        <v/>
      </c>
      <c r="X137" s="351">
        <f>IFERROR(__xludf.DUMMYFUNCTION("""COMPUTED_VALUE"""),"stop有 : 1.31")</f>
        <v/>
      </c>
      <c r="Y137" s="351" t="n"/>
      <c r="Z137" s="351">
        <f>IFERROR(__xludf.DUMMYFUNCTION("""COMPUTED_VALUE"""),"-")</f>
        <v/>
      </c>
      <c r="AA137" s="327" t="n"/>
      <c r="AB137" s="327" t="n"/>
      <c r="AC137" s="327" t="n"/>
    </row>
    <row r="138">
      <c r="A138" s="327" t="n"/>
      <c r="B138" s="351">
        <f>IFERROR(__xludf.DUMMYFUNCTION("""COMPUTED_VALUE"""),"chara_sur_00901")</f>
        <v/>
      </c>
      <c r="C138" s="352">
        <f>IFERROR(__xludf.DUMMYFUNCTION("""COMPUTED_VALUE"""),"_glo2_advent")</f>
        <v/>
      </c>
      <c r="D138" s="352">
        <f>IFERROR(__xludf.DUMMYFUNCTION("""COMPUTED_VALUE"""),"c_sur_00901_glo2_advent_Boss_Colorless")</f>
        <v/>
      </c>
      <c r="E138" s="352">
        <f>IFERROR(__xludf.DUMMYFUNCTION("""COMPUTED_VALUE"""),"魔都精兵のスレイブ")</f>
        <v/>
      </c>
      <c r="F138" s="352">
        <f>IFERROR(__xludf.DUMMYFUNCTION("""COMPUTED_VALUE"""),"万物を統べる総組長 山城 恋")</f>
        <v/>
      </c>
      <c r="G138" s="352">
        <f>IFERROR(__xludf.DUMMYFUNCTION("""COMPUTED_VALUE"""),"山城 恋_glo2_advent")</f>
        <v/>
      </c>
      <c r="H138" s="351">
        <f>IFERROR(__xludf.DUMMYFUNCTION("""COMPUTED_VALUE"""),"Boss")</f>
        <v/>
      </c>
      <c r="I138" s="351">
        <f>IFERROR(__xludf.DUMMYFUNCTION("""COMPUTED_VALUE"""),"Attack")</f>
        <v/>
      </c>
      <c r="J138" s="351">
        <f>IFERROR(__xludf.DUMMYFUNCTION("""COMPUTED_VALUE"""),"Colorless")</f>
        <v/>
      </c>
      <c r="K138" s="351">
        <f>IFERROR(__xludf.DUMMYFUNCTION("""COMPUTED_VALUE"""),10000.0)</f>
        <v/>
      </c>
      <c r="L138" s="351">
        <f>IFERROR(__xludf.DUMMYFUNCTION("""COMPUTED_VALUE"""),1.0)</f>
        <v/>
      </c>
      <c r="M138" s="351">
        <f>IFERROR(__xludf.DUMMYFUNCTION("""COMPUTED_VALUE"""),30.0)</f>
        <v/>
      </c>
      <c r="N138" s="351">
        <f>IFERROR(__xludf.DUMMYFUNCTION("""COMPUTED_VALUE"""),0.39)</f>
        <v/>
      </c>
      <c r="O138" s="351">
        <f>IFERROR(__xludf.DUMMYFUNCTION("""COMPUTED_VALUE"""),300.0)</f>
        <v/>
      </c>
      <c r="P138" s="351">
        <f>IFERROR(__xludf.DUMMYFUNCTION("""COMPUTED_VALUE"""),0.0)</f>
        <v/>
      </c>
      <c r="Q138" s="351">
        <f>IFERROR(__xludf.DUMMYFUNCTION("""COMPUTED_VALUE"""),0.18)</f>
        <v/>
      </c>
      <c r="R138" s="351">
        <f>IFERROR(__xludf.DUMMYFUNCTION("""COMPUTED_VALUE"""),1.0)</f>
        <v/>
      </c>
      <c r="S138" s="351">
        <f>IFERROR(__xludf.DUMMYFUNCTION("""COMPUTED_VALUE"""),500.0)</f>
        <v/>
      </c>
      <c r="T138" s="353">
        <f>IFERROR(__xludf.DUMMYFUNCTION("""COMPUTED_VALUE"""),"1.17")</f>
        <v/>
      </c>
      <c r="U138" s="351">
        <f>IFERROR(__xludf.DUMMYFUNCTION("""COMPUTED_VALUE"""),"stop有 : 0.43")</f>
        <v/>
      </c>
      <c r="V138" s="351">
        <f>IFERROR(__xludf.DUMMYFUNCTION("""COMPUTED_VALUE"""),100.0)</f>
        <v/>
      </c>
      <c r="W138" s="351">
        <f>IFERROR(__xludf.DUMMYFUNCTION("""COMPUTED_VALUE"""),"2.92")</f>
        <v/>
      </c>
      <c r="X138" s="351">
        <f>IFERROR(__xludf.DUMMYFUNCTION("""COMPUTED_VALUE"""),"stop有 : 1.31")</f>
        <v/>
      </c>
      <c r="Y138" s="351" t="n"/>
      <c r="Z138" s="351">
        <f>IFERROR(__xludf.DUMMYFUNCTION("""COMPUTED_VALUE"""),"-")</f>
        <v/>
      </c>
      <c r="AA138" s="327" t="n"/>
      <c r="AB138" s="327" t="n"/>
      <c r="AC138" s="327" t="n"/>
    </row>
    <row r="139">
      <c r="A139" s="327" t="n"/>
      <c r="B139" s="351">
        <f>IFERROR(__xludf.DUMMYFUNCTION("""COMPUTED_VALUE"""),"chara_kai_00102")</f>
        <v/>
      </c>
      <c r="C139" s="352">
        <f>IFERROR(__xludf.DUMMYFUNCTION("""COMPUTED_VALUE"""),"_glo2_advent")</f>
        <v/>
      </c>
      <c r="D139" s="352">
        <f>IFERROR(__xludf.DUMMYFUNCTION("""COMPUTED_VALUE"""),"c_kai_00102_glo2_advent_Boss_Colorless")</f>
        <v/>
      </c>
      <c r="E139" s="352">
        <f>IFERROR(__xludf.DUMMYFUNCTION("""COMPUTED_VALUE"""),"怪獣８号")</f>
        <v/>
      </c>
      <c r="F139" s="352">
        <f>IFERROR(__xludf.DUMMYFUNCTION("""COMPUTED_VALUE"""),"識別怪獣兵器6 市川 レノ")</f>
        <v/>
      </c>
      <c r="G139" s="352">
        <f>IFERROR(__xludf.DUMMYFUNCTION("""COMPUTED_VALUE"""),"識別怪獣兵器6 市川 レノ_glo2_advent")</f>
        <v/>
      </c>
      <c r="H139" s="351">
        <f>IFERROR(__xludf.DUMMYFUNCTION("""COMPUTED_VALUE"""),"Boss")</f>
        <v/>
      </c>
      <c r="I139" s="351">
        <f>IFERROR(__xludf.DUMMYFUNCTION("""COMPUTED_VALUE"""),"Technical")</f>
        <v/>
      </c>
      <c r="J139" s="351">
        <f>IFERROR(__xludf.DUMMYFUNCTION("""COMPUTED_VALUE"""),"Colorless")</f>
        <v/>
      </c>
      <c r="K139" s="351">
        <f>IFERROR(__xludf.DUMMYFUNCTION("""COMPUTED_VALUE"""),10000.0)</f>
        <v/>
      </c>
      <c r="L139" s="351">
        <f>IFERROR(__xludf.DUMMYFUNCTION("""COMPUTED_VALUE"""),1.0)</f>
        <v/>
      </c>
      <c r="M139" s="351">
        <f>IFERROR(__xludf.DUMMYFUNCTION("""COMPUTED_VALUE"""),30.0)</f>
        <v/>
      </c>
      <c r="N139" s="351">
        <f>IFERROR(__xludf.DUMMYFUNCTION("""COMPUTED_VALUE"""),0.61)</f>
        <v/>
      </c>
      <c r="O139" s="351">
        <f>IFERROR(__xludf.DUMMYFUNCTION("""COMPUTED_VALUE"""),300.0)</f>
        <v/>
      </c>
      <c r="P139" s="351">
        <f>IFERROR(__xludf.DUMMYFUNCTION("""COMPUTED_VALUE"""),0.0)</f>
        <v/>
      </c>
      <c r="Q139" s="351">
        <f>IFERROR(__xludf.DUMMYFUNCTION("""COMPUTED_VALUE"""),0.18)</f>
        <v/>
      </c>
      <c r="R139" s="351">
        <f>IFERROR(__xludf.DUMMYFUNCTION("""COMPUTED_VALUE"""),1.0)</f>
        <v/>
      </c>
      <c r="S139" s="351">
        <f>IFERROR(__xludf.DUMMYFUNCTION("""COMPUTED_VALUE"""),500.0)</f>
        <v/>
      </c>
      <c r="T139" s="353">
        <f>IFERROR(__xludf.DUMMYFUNCTION("""COMPUTED_VALUE"""),"1.77")</f>
        <v/>
      </c>
      <c r="U139" s="351">
        <f>IFERROR(__xludf.DUMMYFUNCTION("""COMPUTED_VALUE"""),"stop無:1回目 0.5
stop無:2回目 0.58
stop有:3回目 0.63")</f>
        <v/>
      </c>
      <c r="V139" s="351">
        <f>IFERROR(__xludf.DUMMYFUNCTION("""COMPUTED_VALUE"""),100.0)</f>
        <v/>
      </c>
      <c r="W139" s="351" t="n"/>
      <c r="X139" s="351" t="n"/>
      <c r="Y139" s="351" t="n"/>
      <c r="Z139" s="351" t="n"/>
      <c r="AA139" s="327" t="n"/>
      <c r="AB139" s="327" t="n"/>
      <c r="AC139" s="327" t="n"/>
    </row>
    <row r="140">
      <c r="A140" s="327" t="n"/>
      <c r="B140" s="351">
        <f>IFERROR(__xludf.DUMMYFUNCTION("""COMPUTED_VALUE"""),"chara_gam_00001")</f>
        <v/>
      </c>
      <c r="C140" s="352">
        <f>IFERROR(__xludf.DUMMYFUNCTION("""COMPUTED_VALUE"""),"_glo2_advent")</f>
        <v/>
      </c>
      <c r="D140" s="352">
        <f>IFERROR(__xludf.DUMMYFUNCTION("""COMPUTED_VALUE"""),"c_gam_00001_glo2_advent_Normal_Colorless")</f>
        <v/>
      </c>
      <c r="E140" s="352">
        <f>IFERROR(__xludf.DUMMYFUNCTION("""COMPUTED_VALUE"""),"ゲーミングお嬢様")</f>
        <v/>
      </c>
      <c r="F140" s="352">
        <f>IFERROR(__xludf.DUMMYFUNCTION("""COMPUTED_VALUE"""),"祥龍院 隆子")</f>
        <v/>
      </c>
      <c r="G140" s="352">
        <f>IFERROR(__xludf.DUMMYFUNCTION("""COMPUTED_VALUE"""),"祥龍院隆子_glo2_advent")</f>
        <v/>
      </c>
      <c r="H140" s="351">
        <f>IFERROR(__xludf.DUMMYFUNCTION("""COMPUTED_VALUE"""),"Normal")</f>
        <v/>
      </c>
      <c r="I140" s="351">
        <f>IFERROR(__xludf.DUMMYFUNCTION("""COMPUTED_VALUE"""),"Attack")</f>
        <v/>
      </c>
      <c r="J140" s="351">
        <f>IFERROR(__xludf.DUMMYFUNCTION("""COMPUTED_VALUE"""),"Colorless")</f>
        <v/>
      </c>
      <c r="K140" s="351">
        <f>IFERROR(__xludf.DUMMYFUNCTION("""COMPUTED_VALUE"""),10000.0)</f>
        <v/>
      </c>
      <c r="L140" s="351">
        <f>IFERROR(__xludf.DUMMYFUNCTION("""COMPUTED_VALUE"""),1.0)</f>
        <v/>
      </c>
      <c r="M140" s="351">
        <f>IFERROR(__xludf.DUMMYFUNCTION("""COMPUTED_VALUE"""),30.0)</f>
        <v/>
      </c>
      <c r="N140" s="351">
        <f>IFERROR(__xludf.DUMMYFUNCTION("""COMPUTED_VALUE"""),0.27)</f>
        <v/>
      </c>
      <c r="O140" s="351">
        <f>IFERROR(__xludf.DUMMYFUNCTION("""COMPUTED_VALUE"""),300.0)</f>
        <v/>
      </c>
      <c r="P140" s="351">
        <f>IFERROR(__xludf.DUMMYFUNCTION("""COMPUTED_VALUE"""),0.0)</f>
        <v/>
      </c>
      <c r="Q140" s="351">
        <f>IFERROR(__xludf.DUMMYFUNCTION("""COMPUTED_VALUE"""),0.18)</f>
        <v/>
      </c>
      <c r="R140" s="351">
        <f>IFERROR(__xludf.DUMMYFUNCTION("""COMPUTED_VALUE"""),1.0)</f>
        <v/>
      </c>
      <c r="S140" s="351">
        <f>IFERROR(__xludf.DUMMYFUNCTION("""COMPUTED_VALUE"""),500.0)</f>
        <v/>
      </c>
      <c r="T140" s="353">
        <f>IFERROR(__xludf.DUMMYFUNCTION("""COMPUTED_VALUE"""),"1.08")</f>
        <v/>
      </c>
      <c r="U140" s="351">
        <f>IFERROR(__xludf.DUMMYFUNCTION("""COMPUTED_VALUE"""),"stop有 : 0.55")</f>
        <v/>
      </c>
      <c r="V140" s="351">
        <f>IFERROR(__xludf.DUMMYFUNCTION("""COMPUTED_VALUE"""),100.0)</f>
        <v/>
      </c>
      <c r="W140" s="351" t="n"/>
      <c r="X140" s="351" t="n"/>
      <c r="Y140" s="351" t="n"/>
      <c r="Z140" s="351" t="n"/>
      <c r="AA140" s="327" t="n"/>
      <c r="AB140" s="327" t="n"/>
      <c r="AC140" s="327" t="n"/>
    </row>
    <row r="141">
      <c r="A141" s="327" t="n"/>
      <c r="B141" s="351">
        <f>IFERROR(__xludf.DUMMYFUNCTION("""COMPUTED_VALUE"""),"chara_hyp_00001")</f>
        <v/>
      </c>
      <c r="C141" s="352">
        <f>IFERROR(__xludf.DUMMYFUNCTION("""COMPUTED_VALUE"""),"_glo2_advent")</f>
        <v/>
      </c>
      <c r="D141" s="352">
        <f>IFERROR(__xludf.DUMMYFUNCTION("""COMPUTED_VALUE"""),"c_hyp_00001_glo2_advent_Normal_Red")</f>
        <v/>
      </c>
      <c r="E141" s="352">
        <f>IFERROR(__xludf.DUMMYFUNCTION("""COMPUTED_VALUE"""),"ハイパーインフレーション")</f>
        <v/>
      </c>
      <c r="F141" s="352">
        <f>IFERROR(__xludf.DUMMYFUNCTION("""COMPUTED_VALUE"""),"ルーク")</f>
        <v/>
      </c>
      <c r="G141" s="352">
        <f>IFERROR(__xludf.DUMMYFUNCTION("""COMPUTED_VALUE"""),"ルーク_glo2_advent")</f>
        <v/>
      </c>
      <c r="H141" s="351">
        <f>IFERROR(__xludf.DUMMYFUNCTION("""COMPUTED_VALUE"""),"Normal")</f>
        <v/>
      </c>
      <c r="I141" s="351">
        <f>IFERROR(__xludf.DUMMYFUNCTION("""COMPUTED_VALUE"""),"Support")</f>
        <v/>
      </c>
      <c r="J141" s="351">
        <f>IFERROR(__xludf.DUMMYFUNCTION("""COMPUTED_VALUE"""),"Red")</f>
        <v/>
      </c>
      <c r="K141" s="351">
        <f>IFERROR(__xludf.DUMMYFUNCTION("""COMPUTED_VALUE"""),10000.0)</f>
        <v/>
      </c>
      <c r="L141" s="351">
        <f>IFERROR(__xludf.DUMMYFUNCTION("""COMPUTED_VALUE"""),1.0)</f>
        <v/>
      </c>
      <c r="M141" s="351">
        <f>IFERROR(__xludf.DUMMYFUNCTION("""COMPUTED_VALUE"""),30.0)</f>
        <v/>
      </c>
      <c r="N141" s="351">
        <f>IFERROR(__xludf.DUMMYFUNCTION("""COMPUTED_VALUE"""),0.21)</f>
        <v/>
      </c>
      <c r="O141" s="351">
        <f>IFERROR(__xludf.DUMMYFUNCTION("""COMPUTED_VALUE"""),300.0)</f>
        <v/>
      </c>
      <c r="P141" s="351">
        <f>IFERROR(__xludf.DUMMYFUNCTION("""COMPUTED_VALUE"""),0.0)</f>
        <v/>
      </c>
      <c r="Q141" s="351">
        <f>IFERROR(__xludf.DUMMYFUNCTION("""COMPUTED_VALUE"""),0.18)</f>
        <v/>
      </c>
      <c r="R141" s="351">
        <f>IFERROR(__xludf.DUMMYFUNCTION("""COMPUTED_VALUE"""),1.0)</f>
        <v/>
      </c>
      <c r="S141" s="351">
        <f>IFERROR(__xludf.DUMMYFUNCTION("""COMPUTED_VALUE"""),500.0)</f>
        <v/>
      </c>
      <c r="T141" s="353">
        <f>IFERROR(__xludf.DUMMYFUNCTION("""COMPUTED_VALUE"""),"1.57")</f>
        <v/>
      </c>
      <c r="U141" s="351">
        <f>IFERROR(__xludf.DUMMYFUNCTION("""COMPUTED_VALUE"""),"stop有 :1回目 0.45")</f>
        <v/>
      </c>
      <c r="V141" s="351">
        <f>IFERROR(__xludf.DUMMYFUNCTION("""COMPUTED_VALUE"""),100.0)</f>
        <v/>
      </c>
      <c r="W141" s="351" t="n"/>
      <c r="X141" s="351" t="n"/>
      <c r="Y141" s="351" t="n"/>
      <c r="Z141" s="351" t="n"/>
      <c r="AA141" s="327" t="n"/>
      <c r="AB141" s="327" t="n"/>
      <c r="AC141" s="327" t="n"/>
    </row>
    <row r="142">
      <c r="A142" s="327" t="n"/>
      <c r="B142" s="351">
        <f>IFERROR(__xludf.DUMMYFUNCTION("""COMPUTED_VALUE"""),"chara_ara_00001")</f>
        <v/>
      </c>
      <c r="C142" s="352">
        <f>IFERROR(__xludf.DUMMYFUNCTION("""COMPUTED_VALUE"""),"_glo2_advent")</f>
        <v/>
      </c>
      <c r="D142" s="352">
        <f>IFERROR(__xludf.DUMMYFUNCTION("""COMPUTED_VALUE"""),"c_ara_00001_glo2_advent_Normal_Red")</f>
        <v/>
      </c>
      <c r="E142" s="352">
        <f>IFERROR(__xludf.DUMMYFUNCTION("""COMPUTED_VALUE"""),"アラガネの子")</f>
        <v/>
      </c>
      <c r="F142" s="352">
        <f>IFERROR(__xludf.DUMMYFUNCTION("""COMPUTED_VALUE"""),"灰")</f>
        <v/>
      </c>
      <c r="G142" s="352">
        <f>IFERROR(__xludf.DUMMYFUNCTION("""COMPUTED_VALUE"""),"灰（アラガネの子）_glo2_advent")</f>
        <v/>
      </c>
      <c r="H142" s="351">
        <f>IFERROR(__xludf.DUMMYFUNCTION("""COMPUTED_VALUE"""),"Normal")</f>
        <v/>
      </c>
      <c r="I142" s="351">
        <f>IFERROR(__xludf.DUMMYFUNCTION("""COMPUTED_VALUE"""),"Attack")</f>
        <v/>
      </c>
      <c r="J142" s="351">
        <f>IFERROR(__xludf.DUMMYFUNCTION("""COMPUTED_VALUE"""),"Red")</f>
        <v/>
      </c>
      <c r="K142" s="351">
        <f>IFERROR(__xludf.DUMMYFUNCTION("""COMPUTED_VALUE"""),10000.0)</f>
        <v/>
      </c>
      <c r="L142" s="351">
        <f>IFERROR(__xludf.DUMMYFUNCTION("""COMPUTED_VALUE"""),1.0)</f>
        <v/>
      </c>
      <c r="M142" s="351">
        <f>IFERROR(__xludf.DUMMYFUNCTION("""COMPUTED_VALUE"""),30.0)</f>
        <v/>
      </c>
      <c r="N142" s="351">
        <f>IFERROR(__xludf.DUMMYFUNCTION("""COMPUTED_VALUE"""),0.41)</f>
        <v/>
      </c>
      <c r="O142" s="351">
        <f>IFERROR(__xludf.DUMMYFUNCTION("""COMPUTED_VALUE"""),300.0)</f>
        <v/>
      </c>
      <c r="P142" s="351">
        <f>IFERROR(__xludf.DUMMYFUNCTION("""COMPUTED_VALUE"""),0.0)</f>
        <v/>
      </c>
      <c r="Q142" s="351">
        <f>IFERROR(__xludf.DUMMYFUNCTION("""COMPUTED_VALUE"""),0.18)</f>
        <v/>
      </c>
      <c r="R142" s="351">
        <f>IFERROR(__xludf.DUMMYFUNCTION("""COMPUTED_VALUE"""),1.0)</f>
        <v/>
      </c>
      <c r="S142" s="351">
        <f>IFERROR(__xludf.DUMMYFUNCTION("""COMPUTED_VALUE"""),500.0)</f>
        <v/>
      </c>
      <c r="T142" s="353">
        <f>IFERROR(__xludf.DUMMYFUNCTION("""COMPUTED_VALUE"""),"1.37")</f>
        <v/>
      </c>
      <c r="U142" s="351">
        <f>IFERROR(__xludf.DUMMYFUNCTION("""COMPUTED_VALUE"""),"stop有 :1回目 0.3")</f>
        <v/>
      </c>
      <c r="V142" s="351">
        <f>IFERROR(__xludf.DUMMYFUNCTION("""COMPUTED_VALUE"""),100.0)</f>
        <v/>
      </c>
      <c r="W142" s="351" t="n"/>
      <c r="X142" s="351" t="n"/>
      <c r="Y142" s="351" t="n"/>
      <c r="Z142" s="351" t="n"/>
      <c r="AA142" s="327" t="n"/>
      <c r="AB142" s="327" t="n"/>
      <c r="AC142" s="327" t="n"/>
    </row>
    <row r="143">
      <c r="A143" s="327" t="n"/>
      <c r="B143" s="351">
        <f>IFERROR(__xludf.DUMMYFUNCTION("""COMPUTED_VALUE"""),"chara_sur_00501")</f>
        <v/>
      </c>
      <c r="C143" s="352">
        <f>IFERROR(__xludf.DUMMYFUNCTION("""COMPUTED_VALUE"""),"_glo2_advent")</f>
        <v/>
      </c>
      <c r="D143" s="352">
        <f>IFERROR(__xludf.DUMMYFUNCTION("""COMPUTED_VALUE"""),"c_sur_00501_glo2_advent_Boss_Red")</f>
        <v/>
      </c>
      <c r="E143" s="352">
        <f>IFERROR(__xludf.DUMMYFUNCTION("""COMPUTED_VALUE"""),"魔都精兵のスレイブ")</f>
        <v/>
      </c>
      <c r="F143" s="352">
        <f>IFERROR(__xludf.DUMMYFUNCTION("""COMPUTED_VALUE"""),"空間を操る六番組組長 出雲 天花")</f>
        <v/>
      </c>
      <c r="G143" s="352">
        <f>IFERROR(__xludf.DUMMYFUNCTION("""COMPUTED_VALUE"""),"出雲 天花_glo2_advent")</f>
        <v/>
      </c>
      <c r="H143" s="351">
        <f>IFERROR(__xludf.DUMMYFUNCTION("""COMPUTED_VALUE"""),"Boss")</f>
        <v/>
      </c>
      <c r="I143" s="351">
        <f>IFERROR(__xludf.DUMMYFUNCTION("""COMPUTED_VALUE"""),"Technical")</f>
        <v/>
      </c>
      <c r="J143" s="351">
        <f>IFERROR(__xludf.DUMMYFUNCTION("""COMPUTED_VALUE"""),"Red")</f>
        <v/>
      </c>
      <c r="K143" s="351">
        <f>IFERROR(__xludf.DUMMYFUNCTION("""COMPUTED_VALUE"""),10000.0)</f>
        <v/>
      </c>
      <c r="L143" s="351">
        <f>IFERROR(__xludf.DUMMYFUNCTION("""COMPUTED_VALUE"""),1.0)</f>
        <v/>
      </c>
      <c r="M143" s="351">
        <f>IFERROR(__xludf.DUMMYFUNCTION("""COMPUTED_VALUE"""),25.0)</f>
        <v/>
      </c>
      <c r="N143" s="351">
        <f>IFERROR(__xludf.DUMMYFUNCTION("""COMPUTED_VALUE"""),0.45)</f>
        <v/>
      </c>
      <c r="O143" s="351">
        <f>IFERROR(__xludf.DUMMYFUNCTION("""COMPUTED_VALUE"""),100.0)</f>
        <v/>
      </c>
      <c r="P143" s="351">
        <f>IFERROR(__xludf.DUMMYFUNCTION("""COMPUTED_VALUE"""),0.0)</f>
        <v/>
      </c>
      <c r="Q143" s="351">
        <f>IFERROR(__xludf.DUMMYFUNCTION("""COMPUTED_VALUE"""),0.47)</f>
        <v/>
      </c>
      <c r="R143" s="351">
        <f>IFERROR(__xludf.DUMMYFUNCTION("""COMPUTED_VALUE"""),1.0)</f>
        <v/>
      </c>
      <c r="S143" s="351">
        <f>IFERROR(__xludf.DUMMYFUNCTION("""COMPUTED_VALUE"""),100.0)</f>
        <v/>
      </c>
      <c r="T143" s="353">
        <f>IFERROR(__xludf.DUMMYFUNCTION("""COMPUTED_VALUE"""),"1.71")</f>
        <v/>
      </c>
      <c r="U143" s="351">
        <f>IFERROR(__xludf.DUMMYFUNCTION("""COMPUTED_VALUE"""),"stop有:1回目 0.93")</f>
        <v/>
      </c>
      <c r="V143" s="351" t="n"/>
      <c r="W143" s="351">
        <f>IFERROR(__xludf.DUMMYFUNCTION("""COMPUTED_VALUE"""),"2.67")</f>
        <v/>
      </c>
      <c r="X143" s="351">
        <f>IFERROR(__xludf.DUMMYFUNCTION("""COMPUTED_VALUE"""),"stop有:1回目 1.53")</f>
        <v/>
      </c>
      <c r="Y143" s="351">
        <f>IFERROR(__xludf.DUMMYFUNCTION("""COMPUTED_VALUE"""),"自身のコマと前2コマまで300%の範囲ダメージ")</f>
        <v/>
      </c>
      <c r="Z143" s="351">
        <f>IFERROR(__xludf.DUMMYFUNCTION("""COMPUTED_VALUE"""),10.0)</f>
        <v/>
      </c>
      <c r="AA143" s="327" t="n"/>
      <c r="AB143" s="327">
        <f>IFERROR(__xludf.DUMMYFUNCTION("""COMPUTED_VALUE"""),"dageki_1")</f>
        <v/>
      </c>
      <c r="AC143" s="327" t="n"/>
    </row>
    <row r="144">
      <c r="A144" s="327" t="n"/>
      <c r="B144" s="351">
        <f>IFERROR(__xludf.DUMMYFUNCTION("""COMPUTED_VALUE"""),"chara_sur_00101")</f>
        <v/>
      </c>
      <c r="C144" s="352">
        <f>IFERROR(__xludf.DUMMYFUNCTION("""COMPUTED_VALUE"""),"_glo2_advent")</f>
        <v/>
      </c>
      <c r="D144" s="352">
        <f>IFERROR(__xludf.DUMMYFUNCTION("""COMPUTED_VALUE"""),"c_sur_00101_glo2_advent_Boss_Colorless")</f>
        <v/>
      </c>
      <c r="E144" s="352">
        <f>IFERROR(__xludf.DUMMYFUNCTION("""COMPUTED_VALUE"""),"魔都精兵のスレイブ")</f>
        <v/>
      </c>
      <c r="F144" s="352">
        <f>IFERROR(__xludf.DUMMYFUNCTION("""COMPUTED_VALUE"""),"誇り高き魔都の剣姫 羽前 京香")</f>
        <v/>
      </c>
      <c r="G144" s="352">
        <f>IFERROR(__xludf.DUMMYFUNCTION("""COMPUTED_VALUE"""),"誇り高き魔都の剣姫 羽前京香_glo2_advent")</f>
        <v/>
      </c>
      <c r="H144" s="351">
        <f>IFERROR(__xludf.DUMMYFUNCTION("""COMPUTED_VALUE"""),"Boss")</f>
        <v/>
      </c>
      <c r="I144" s="351">
        <f>IFERROR(__xludf.DUMMYFUNCTION("""COMPUTED_VALUE"""),"Attack")</f>
        <v/>
      </c>
      <c r="J144" s="351">
        <f>IFERROR(__xludf.DUMMYFUNCTION("""COMPUTED_VALUE"""),"Colorless")</f>
        <v/>
      </c>
      <c r="K144" s="351">
        <f>IFERROR(__xludf.DUMMYFUNCTION("""COMPUTED_VALUE"""),10000.0)</f>
        <v/>
      </c>
      <c r="L144" s="351">
        <f>IFERROR(__xludf.DUMMYFUNCTION("""COMPUTED_VALUE"""),1.0)</f>
        <v/>
      </c>
      <c r="M144" s="351">
        <f>IFERROR(__xludf.DUMMYFUNCTION("""COMPUTED_VALUE"""),45.0)</f>
        <v/>
      </c>
      <c r="N144" s="351">
        <f>IFERROR(__xludf.DUMMYFUNCTION("""COMPUTED_VALUE"""),0.2)</f>
        <v/>
      </c>
      <c r="O144" s="351">
        <f>IFERROR(__xludf.DUMMYFUNCTION("""COMPUTED_VALUE"""),100.0)</f>
        <v/>
      </c>
      <c r="P144" s="351">
        <f>IFERROR(__xludf.DUMMYFUNCTION("""COMPUTED_VALUE"""),0.0)</f>
        <v/>
      </c>
      <c r="Q144" s="351">
        <f>IFERROR(__xludf.DUMMYFUNCTION("""COMPUTED_VALUE"""),0.27)</f>
        <v/>
      </c>
      <c r="R144" s="351">
        <f>IFERROR(__xludf.DUMMYFUNCTION("""COMPUTED_VALUE"""),1.0)</f>
        <v/>
      </c>
      <c r="S144" s="351">
        <f>IFERROR(__xludf.DUMMYFUNCTION("""COMPUTED_VALUE"""),500.0)</f>
        <v/>
      </c>
      <c r="T144" s="353">
        <f>IFERROR(__xludf.DUMMYFUNCTION("""COMPUTED_VALUE"""),"1.40")</f>
        <v/>
      </c>
      <c r="U144" s="351">
        <f>IFERROR(__xludf.DUMMYFUNCTION("""COMPUTED_VALUE"""),"stop無:1回目 0.33")</f>
        <v/>
      </c>
      <c r="V144" s="351" t="n"/>
      <c r="W144" s="351">
        <f>IFERROR(__xludf.DUMMYFUNCTION("""COMPUTED_VALUE"""),"2.67")</f>
        <v/>
      </c>
      <c r="X144" s="351">
        <f>IFERROR(__xludf.DUMMYFUNCTION("""COMPUTED_VALUE"""),"stop無:1回目 0.40
stop無:2回目 0.60
stop無:3回目 0.80
stop無:4回目 0.90
stop無:5回目 1.03
stop有:6回目 1.57")</f>
        <v/>
      </c>
      <c r="Y144" s="351" t="n"/>
      <c r="Z144" s="351">
        <f>IFERROR(__xludf.DUMMYFUNCTION("""COMPUTED_VALUE"""),4.0)</f>
        <v/>
      </c>
      <c r="AA144" s="327" t="n"/>
      <c r="AB144" s="327">
        <f>IFERROR(__xludf.DUMMYFUNCTION("""COMPUTED_VALUE"""),"zangeki_1")</f>
        <v/>
      </c>
      <c r="AC144" s="327" t="n"/>
    </row>
    <row r="145">
      <c r="A145" s="327" t="n"/>
      <c r="B145" s="351">
        <f>IFERROR(__xludf.DUMMYFUNCTION("""COMPUTED_VALUE"""),"enemy_sur_00101")</f>
        <v/>
      </c>
      <c r="C145" s="352">
        <f>IFERROR(__xludf.DUMMYFUNCTION("""COMPUTED_VALUE"""),"_glo2_advent")</f>
        <v/>
      </c>
      <c r="D145" s="352">
        <f>IFERROR(__xludf.DUMMYFUNCTION("""COMPUTED_VALUE"""),"e_sur_00101_glo2_advent_Normal_Red")</f>
        <v/>
      </c>
      <c r="E145" s="352">
        <f>IFERROR(__xludf.DUMMYFUNCTION("""COMPUTED_VALUE"""),"魔都精兵のスレイブ")</f>
        <v/>
      </c>
      <c r="F145" s="352">
        <f>IFERROR(__xludf.DUMMYFUNCTION("""COMPUTED_VALUE"""),"醜鬼")</f>
        <v/>
      </c>
      <c r="G145" s="352">
        <f>IFERROR(__xludf.DUMMYFUNCTION("""COMPUTED_VALUE"""),"醜鬼_glo2_advent")</f>
        <v/>
      </c>
      <c r="H145" s="351">
        <f>IFERROR(__xludf.DUMMYFUNCTION("""COMPUTED_VALUE"""),"Normal")</f>
        <v/>
      </c>
      <c r="I145" s="351">
        <f>IFERROR(__xludf.DUMMYFUNCTION("""COMPUTED_VALUE"""),"Defense")</f>
        <v/>
      </c>
      <c r="J145" s="351">
        <f>IFERROR(__xludf.DUMMYFUNCTION("""COMPUTED_VALUE"""),"Red")</f>
        <v/>
      </c>
      <c r="K145" s="351">
        <f>IFERROR(__xludf.DUMMYFUNCTION("""COMPUTED_VALUE"""),1000.0)</f>
        <v/>
      </c>
      <c r="L145" s="351">
        <f>IFERROR(__xludf.DUMMYFUNCTION("""COMPUTED_VALUE"""),1.0)</f>
        <v/>
      </c>
      <c r="M145" s="351">
        <f>IFERROR(__xludf.DUMMYFUNCTION("""COMPUTED_VALUE"""),40.0)</f>
        <v/>
      </c>
      <c r="N145" s="351">
        <f>IFERROR(__xludf.DUMMYFUNCTION("""COMPUTED_VALUE"""),0.17)</f>
        <v/>
      </c>
      <c r="O145" s="351">
        <f>IFERROR(__xludf.DUMMYFUNCTION("""COMPUTED_VALUE"""),100.0)</f>
        <v/>
      </c>
      <c r="P145" s="351" t="n"/>
      <c r="Q145" s="351" t="n"/>
      <c r="R145" s="351" t="n"/>
      <c r="S145" s="351">
        <f>IFERROR(__xludf.DUMMYFUNCTION("""COMPUTED_VALUE"""),100.0)</f>
        <v/>
      </c>
      <c r="T145" s="353">
        <f>IFERROR(__xludf.DUMMYFUNCTION("""COMPUTED_VALUE"""),"0.80")</f>
        <v/>
      </c>
      <c r="U145" s="351">
        <f>IFERROR(__xludf.DUMMYFUNCTION("""COMPUTED_VALUE"""),"0.30")</f>
        <v/>
      </c>
      <c r="V145" s="351" t="n"/>
      <c r="W145" s="351">
        <f>IFERROR(__xludf.DUMMYFUNCTION("""COMPUTED_VALUE"""),"-")</f>
        <v/>
      </c>
      <c r="X145" s="351">
        <f>IFERROR(__xludf.DUMMYFUNCTION("""COMPUTED_VALUE"""),"-")</f>
        <v/>
      </c>
      <c r="Y145" s="351" t="n"/>
      <c r="Z145" s="351">
        <f>IFERROR(__xludf.DUMMYFUNCTION("""COMPUTED_VALUE"""),"-")</f>
        <v/>
      </c>
      <c r="AA145" s="327" t="n"/>
      <c r="AB145" s="327">
        <f>IFERROR(__xludf.DUMMYFUNCTION("""COMPUTED_VALUE"""),"dageki_1")</f>
        <v/>
      </c>
      <c r="AC145" s="327" t="n"/>
    </row>
    <row r="146">
      <c r="A146" s="327" t="n"/>
      <c r="B146" s="351">
        <f>IFERROR(__xludf.DUMMYFUNCTION("""COMPUTED_VALUE"""),"enemy_glo_00001")</f>
        <v/>
      </c>
      <c r="C146" s="352">
        <f>IFERROR(__xludf.DUMMYFUNCTION("""COMPUTED_VALUE"""),"_glo2_advent")</f>
        <v/>
      </c>
      <c r="D146" s="352">
        <f>IFERROR(__xludf.DUMMYFUNCTION("""COMPUTED_VALUE"""),"e_glo_00001_glo2_advent_Normal_Colorless")</f>
        <v/>
      </c>
      <c r="E146" s="352">
        <f>IFERROR(__xludf.DUMMYFUNCTION("""COMPUTED_VALUE"""),"GLOW")</f>
        <v/>
      </c>
      <c r="F146" s="352">
        <f>IFERROR(__xludf.DUMMYFUNCTION("""COMPUTED_VALUE"""),"ファントム")</f>
        <v/>
      </c>
      <c r="G146" s="352">
        <f>IFERROR(__xludf.DUMMYFUNCTION("""COMPUTED_VALUE"""),"ファントム_glo2_advent")</f>
        <v/>
      </c>
      <c r="H146" s="351">
        <f>IFERROR(__xludf.DUMMYFUNCTION("""COMPUTED_VALUE"""),"Normal")</f>
        <v/>
      </c>
      <c r="I146" s="351">
        <f>IFERROR(__xludf.DUMMYFUNCTION("""COMPUTED_VALUE"""),"Defense")</f>
        <v/>
      </c>
      <c r="J146" s="351">
        <f>IFERROR(__xludf.DUMMYFUNCTION("""COMPUTED_VALUE"""),"Colorless")</f>
        <v/>
      </c>
      <c r="K146" s="351">
        <f>IFERROR(__xludf.DUMMYFUNCTION("""COMPUTED_VALUE"""),1000.0)</f>
        <v/>
      </c>
      <c r="L146" s="351">
        <f>IFERROR(__xludf.DUMMYFUNCTION("""COMPUTED_VALUE"""),1.0)</f>
        <v/>
      </c>
      <c r="M146" s="351">
        <f>IFERROR(__xludf.DUMMYFUNCTION("""COMPUTED_VALUE"""),40.0)</f>
        <v/>
      </c>
      <c r="N146" s="351" t="n"/>
      <c r="O146" s="351">
        <f>IFERROR(__xludf.DUMMYFUNCTION("""COMPUTED_VALUE"""),100.0)</f>
        <v/>
      </c>
      <c r="P146" s="351">
        <f>IFERROR(__xludf.DUMMYFUNCTION("""COMPUTED_VALUE"""),0.0)</f>
        <v/>
      </c>
      <c r="Q146" s="351" t="n"/>
      <c r="R146" s="351" t="n"/>
      <c r="S146" s="351">
        <f>IFERROR(__xludf.DUMMYFUNCTION("""COMPUTED_VALUE"""),50.0)</f>
        <v/>
      </c>
      <c r="T146" s="353">
        <f>IFERROR(__xludf.DUMMYFUNCTION("""COMPUTED_VALUE"""),"1.00")</f>
        <v/>
      </c>
      <c r="U146" s="351">
        <f>IFERROR(__xludf.DUMMYFUNCTION("""COMPUTED_VALUE"""),"0.50")</f>
        <v/>
      </c>
      <c r="V146" s="351" t="n"/>
      <c r="W146" s="351" t="n"/>
      <c r="X146" s="351" t="n"/>
      <c r="Y146" s="351" t="n"/>
      <c r="Z146" s="351">
        <f>IFERROR(__xludf.DUMMYFUNCTION("""COMPUTED_VALUE"""),"-")</f>
        <v/>
      </c>
      <c r="AA146" s="327">
        <f>IFERROR(__xludf.DUMMYFUNCTION("""COMPUTED_VALUE"""),"ノックバック無効")</f>
        <v/>
      </c>
      <c r="AB146" s="327">
        <f>IFERROR(__xludf.DUMMYFUNCTION("""COMPUTED_VALUE"""),"dageki_1")</f>
        <v/>
      </c>
      <c r="AC146" s="327" t="n"/>
    </row>
    <row r="147">
      <c r="A147" s="327" t="n"/>
      <c r="B147" s="351">
        <f>IFERROR(__xludf.DUMMYFUNCTION("""COMPUTED_VALUE"""),"enemy_glo_00002")</f>
        <v/>
      </c>
      <c r="C147" s="352">
        <f>IFERROR(__xludf.DUMMYFUNCTION("""COMPUTED_VALUE"""),"_glo2_advent")</f>
        <v/>
      </c>
      <c r="D147" s="352">
        <f>IFERROR(__xludf.DUMMYFUNCTION("""COMPUTED_VALUE"""),"e_glo_00002_glo2_advent_Normal_Red")</f>
        <v/>
      </c>
      <c r="E147" s="352">
        <f>IFERROR(__xludf.DUMMYFUNCTION("""COMPUTED_VALUE"""),"GLOW")</f>
        <v/>
      </c>
      <c r="F147" s="352">
        <f>IFERROR(__xludf.DUMMYFUNCTION("""COMPUTED_VALUE"""),"推し活ファントム")</f>
        <v/>
      </c>
      <c r="G147" s="352">
        <f>IFERROR(__xludf.DUMMYFUNCTION("""COMPUTED_VALUE"""),"サイリウム持ちファントム_glo2_advent")</f>
        <v/>
      </c>
      <c r="H147" s="351">
        <f>IFERROR(__xludf.DUMMYFUNCTION("""COMPUTED_VALUE"""),"Normal")</f>
        <v/>
      </c>
      <c r="I147" s="351">
        <f>IFERROR(__xludf.DUMMYFUNCTION("""COMPUTED_VALUE"""),"Defense")</f>
        <v/>
      </c>
      <c r="J147" s="351">
        <f>IFERROR(__xludf.DUMMYFUNCTION("""COMPUTED_VALUE"""),"Red")</f>
        <v/>
      </c>
      <c r="K147" s="351">
        <f>IFERROR(__xludf.DUMMYFUNCTION("""COMPUTED_VALUE"""),1000.0)</f>
        <v/>
      </c>
      <c r="L147" s="351">
        <f>IFERROR(__xludf.DUMMYFUNCTION("""COMPUTED_VALUE"""),1.0)</f>
        <v/>
      </c>
      <c r="M147" s="351">
        <f>IFERROR(__xludf.DUMMYFUNCTION("""COMPUTED_VALUE"""),47.0)</f>
        <v/>
      </c>
      <c r="N147" s="351">
        <f>IFERROR(__xludf.DUMMYFUNCTION("""COMPUTED_VALUE"""),0.22)</f>
        <v/>
      </c>
      <c r="O147" s="351">
        <f>IFERROR(__xludf.DUMMYFUNCTION("""COMPUTED_VALUE"""),100.0)</f>
        <v/>
      </c>
      <c r="P147" s="351">
        <f>IFERROR(__xludf.DUMMYFUNCTION("""COMPUTED_VALUE"""),0.0)</f>
        <v/>
      </c>
      <c r="Q147" s="351">
        <f>IFERROR(__xludf.DUMMYFUNCTION("""COMPUTED_VALUE"""),0.23)</f>
        <v/>
      </c>
      <c r="R147" s="351">
        <f>IFERROR(__xludf.DUMMYFUNCTION("""COMPUTED_VALUE"""),1.0)</f>
        <v/>
      </c>
      <c r="S147" s="351">
        <f>IFERROR(__xludf.DUMMYFUNCTION("""COMPUTED_VALUE"""),50.0)</f>
        <v/>
      </c>
      <c r="T147" s="353">
        <f>IFERROR(__xludf.DUMMYFUNCTION("""COMPUTED_VALUE"""),"1.17")</f>
        <v/>
      </c>
      <c r="U147" s="351">
        <f>IFERROR(__xludf.DUMMYFUNCTION("""COMPUTED_VALUE"""),"stop有:1回目 0.6")</f>
        <v/>
      </c>
      <c r="V147" s="351" t="n"/>
      <c r="W147" s="351" t="n"/>
      <c r="X147" s="351" t="n"/>
      <c r="Y147" s="351" t="n"/>
      <c r="Z147" s="351">
        <f>IFERROR(__xludf.DUMMYFUNCTION("""COMPUTED_VALUE"""),"-")</f>
        <v/>
      </c>
      <c r="AA147" s="327" t="n"/>
      <c r="AB147" s="327">
        <f>IFERROR(__xludf.DUMMYFUNCTION("""COMPUTED_VALUE"""),"dageki_1")</f>
        <v/>
      </c>
      <c r="AC147" s="327" t="n"/>
    </row>
    <row r="148">
      <c r="A148" s="327" t="n"/>
      <c r="B148" s="351">
        <f>IFERROR(__xludf.DUMMYFUNCTION("""COMPUTED_VALUE"""),"enemy_kai_00101")</f>
        <v/>
      </c>
      <c r="C148" s="352">
        <f>IFERROR(__xludf.DUMMYFUNCTION("""COMPUTED_VALUE"""),"_glo2_advent")</f>
        <v/>
      </c>
      <c r="D148" s="352">
        <f>IFERROR(__xludf.DUMMYFUNCTION("""COMPUTED_VALUE"""),"e_kai_00101_glo2_advent_Normal_Red")</f>
        <v/>
      </c>
      <c r="E148" s="352">
        <f>IFERROR(__xludf.DUMMYFUNCTION("""COMPUTED_VALUE"""),"怪獣８号")</f>
        <v/>
      </c>
      <c r="F148" s="352">
        <f>IFERROR(__xludf.DUMMYFUNCTION("""COMPUTED_VALUE"""),"怪獣 余獣")</f>
        <v/>
      </c>
      <c r="G148" s="352">
        <f>IFERROR(__xludf.DUMMYFUNCTION("""COMPUTED_VALUE"""),"怪獣 余獣_glo2_advent")</f>
        <v/>
      </c>
      <c r="H148" s="351">
        <f>IFERROR(__xludf.DUMMYFUNCTION("""COMPUTED_VALUE"""),"Normal")</f>
        <v/>
      </c>
      <c r="I148" s="351">
        <f>IFERROR(__xludf.DUMMYFUNCTION("""COMPUTED_VALUE"""),"Attack")</f>
        <v/>
      </c>
      <c r="J148" s="351">
        <f>IFERROR(__xludf.DUMMYFUNCTION("""COMPUTED_VALUE"""),"Red")</f>
        <v/>
      </c>
      <c r="K148" s="351">
        <f>IFERROR(__xludf.DUMMYFUNCTION("""COMPUTED_VALUE"""),1000.0)</f>
        <v/>
      </c>
      <c r="L148" s="351">
        <f>IFERROR(__xludf.DUMMYFUNCTION("""COMPUTED_VALUE"""),2.0)</f>
        <v/>
      </c>
      <c r="M148" s="351">
        <f>IFERROR(__xludf.DUMMYFUNCTION("""COMPUTED_VALUE"""),28.0)</f>
        <v/>
      </c>
      <c r="N148" s="351">
        <f>IFERROR(__xludf.DUMMYFUNCTION("""COMPUTED_VALUE"""),0.17)</f>
        <v/>
      </c>
      <c r="O148" s="351">
        <f>IFERROR(__xludf.DUMMYFUNCTION("""COMPUTED_VALUE"""),100.0)</f>
        <v/>
      </c>
      <c r="P148" s="351">
        <f>IFERROR(__xludf.DUMMYFUNCTION("""COMPUTED_VALUE"""),0.0)</f>
        <v/>
      </c>
      <c r="Q148" s="351">
        <f>IFERROR(__xludf.DUMMYFUNCTION("""COMPUTED_VALUE"""),0.18)</f>
        <v/>
      </c>
      <c r="R148" s="351">
        <f>IFERROR(__xludf.DUMMYFUNCTION("""COMPUTED_VALUE"""),1.0)</f>
        <v/>
      </c>
      <c r="S148" s="351">
        <f>IFERROR(__xludf.DUMMYFUNCTION("""COMPUTED_VALUE"""),100.0)</f>
        <v/>
      </c>
      <c r="T148" s="353">
        <f>IFERROR(__xludf.DUMMYFUNCTION("""COMPUTED_VALUE"""),"1.23")</f>
        <v/>
      </c>
      <c r="U148" s="351">
        <f>IFERROR(__xludf.DUMMYFUNCTION("""COMPUTED_VALUE"""),"stop有:1回目 0.56")</f>
        <v/>
      </c>
      <c r="V148" s="351">
        <f>IFERROR(__xludf.DUMMYFUNCTION("""COMPUTED_VALUE"""),100.0)</f>
        <v/>
      </c>
      <c r="W148" s="351">
        <f>IFERROR(__xludf.DUMMYFUNCTION("""COMPUTED_VALUE"""),"-")</f>
        <v/>
      </c>
      <c r="X148" s="351">
        <f>IFERROR(__xludf.DUMMYFUNCTION("""COMPUTED_VALUE"""),"-")</f>
        <v/>
      </c>
      <c r="Y148" s="351" t="n"/>
      <c r="Z148" s="351">
        <f>IFERROR(__xludf.DUMMYFUNCTION("""COMPUTED_VALUE"""),"-")</f>
        <v/>
      </c>
      <c r="AA148" s="327" t="n"/>
      <c r="AB148" s="327">
        <f>IFERROR(__xludf.DUMMYFUNCTION("""COMPUTED_VALUE"""),"dageki_1")</f>
        <v/>
      </c>
      <c r="AC148" s="327" t="n"/>
    </row>
    <row r="149">
      <c r="A149" s="327" t="n"/>
      <c r="B149" s="351">
        <f>IFERROR(__xludf.DUMMYFUNCTION("""COMPUTED_VALUE"""),"enemy_kai_00001")</f>
        <v/>
      </c>
      <c r="C149" s="352">
        <f>IFERROR(__xludf.DUMMYFUNCTION("""COMPUTED_VALUE"""),"_glo2_advent")</f>
        <v/>
      </c>
      <c r="D149" s="352">
        <f>IFERROR(__xludf.DUMMYFUNCTION("""COMPUTED_VALUE"""),"e_kai_00001_glo2_advent_Boss_Colorless")</f>
        <v/>
      </c>
      <c r="E149" s="352">
        <f>IFERROR(__xludf.DUMMYFUNCTION("""COMPUTED_VALUE"""),"怪獣８号")</f>
        <v/>
      </c>
      <c r="F149" s="352">
        <f>IFERROR(__xludf.DUMMYFUNCTION("""COMPUTED_VALUE"""),"怪獣 本獣")</f>
        <v/>
      </c>
      <c r="G149" s="352">
        <f>IFERROR(__xludf.DUMMYFUNCTION("""COMPUTED_VALUE"""),"怪獣 本獣_glo2_advent")</f>
        <v/>
      </c>
      <c r="H149" s="351">
        <f>IFERROR(__xludf.DUMMYFUNCTION("""COMPUTED_VALUE"""),"Boss")</f>
        <v/>
      </c>
      <c r="I149" s="351">
        <f>IFERROR(__xludf.DUMMYFUNCTION("""COMPUTED_VALUE"""),"Attack")</f>
        <v/>
      </c>
      <c r="J149" s="351">
        <f>IFERROR(__xludf.DUMMYFUNCTION("""COMPUTED_VALUE"""),"Colorless")</f>
        <v/>
      </c>
      <c r="K149" s="351">
        <f>IFERROR(__xludf.DUMMYFUNCTION("""COMPUTED_VALUE"""),1000.0)</f>
        <v/>
      </c>
      <c r="L149" s="351">
        <f>IFERROR(__xludf.DUMMYFUNCTION("""COMPUTED_VALUE"""),3.0)</f>
        <v/>
      </c>
      <c r="M149" s="351">
        <f>IFERROR(__xludf.DUMMYFUNCTION("""COMPUTED_VALUE"""),25.0)</f>
        <v/>
      </c>
      <c r="N149" s="351">
        <f>IFERROR(__xludf.DUMMYFUNCTION("""COMPUTED_VALUE"""),0.3)</f>
        <v/>
      </c>
      <c r="O149" s="351">
        <f>IFERROR(__xludf.DUMMYFUNCTION("""COMPUTED_VALUE"""),100.0)</f>
        <v/>
      </c>
      <c r="P149" s="351">
        <f>IFERROR(__xludf.DUMMYFUNCTION("""COMPUTED_VALUE"""),0.0)</f>
        <v/>
      </c>
      <c r="Q149" s="351">
        <f>IFERROR(__xludf.DUMMYFUNCTION("""COMPUTED_VALUE"""),0.4)</f>
        <v/>
      </c>
      <c r="R149" s="351">
        <f>IFERROR(__xludf.DUMMYFUNCTION("""COMPUTED_VALUE"""),100.0)</f>
        <v/>
      </c>
      <c r="S149" s="351">
        <f>IFERROR(__xludf.DUMMYFUNCTION("""COMPUTED_VALUE"""),100.0)</f>
        <v/>
      </c>
      <c r="T149" s="353">
        <f>IFERROR(__xludf.DUMMYFUNCTION("""COMPUTED_VALUE"""),"2.34")</f>
        <v/>
      </c>
      <c r="U149" s="351">
        <f>IFERROR(__xludf.DUMMYFUNCTION("""COMPUTED_VALUE"""),"stop有:1回目 1.00")</f>
        <v/>
      </c>
      <c r="V149" s="351">
        <f>IFERROR(__xludf.DUMMYFUNCTION("""COMPUTED_VALUE"""),100.0)</f>
        <v/>
      </c>
      <c r="W149" s="351">
        <f>IFERROR(__xludf.DUMMYFUNCTION("""COMPUTED_VALUE"""),"-")</f>
        <v/>
      </c>
      <c r="X149" s="351">
        <f>IFERROR(__xludf.DUMMYFUNCTION("""COMPUTED_VALUE"""),"-")</f>
        <v/>
      </c>
      <c r="Y149" s="351" t="n"/>
      <c r="Z149" s="351">
        <f>IFERROR(__xludf.DUMMYFUNCTION("""COMPUTED_VALUE"""),"-")</f>
        <v/>
      </c>
      <c r="AA149" s="327" t="n"/>
      <c r="AB149" s="327">
        <f>IFERROR(__xludf.DUMMYFUNCTION("""COMPUTED_VALUE"""),"dageki_1")</f>
        <v/>
      </c>
      <c r="AC149" s="327" t="n"/>
    </row>
    <row r="150">
      <c r="A150" s="327" t="n"/>
      <c r="B150" s="351" t="n"/>
      <c r="C150" s="352" t="n"/>
      <c r="D150" s="352">
        <f>IFERROR(__xludf.DUMMYFUNCTION("""COMPUTED_VALUE"""),"___")</f>
        <v/>
      </c>
      <c r="E150" s="352">
        <f>IFERROR(__xludf.DUMMYFUNCTION("""COMPUTED_VALUE"""),"none")</f>
        <v/>
      </c>
      <c r="F150" s="352">
        <f>IFERROR(__xludf.DUMMYFUNCTION("""COMPUTED_VALUE"""),"none")</f>
        <v/>
      </c>
      <c r="G150" s="352">
        <f>IFERROR(__xludf.DUMMYFUNCTION("""COMPUTED_VALUE"""),"none")</f>
        <v/>
      </c>
      <c r="H150" s="351" t="n"/>
      <c r="I150" s="351">
        <f>IFERROR(__xludf.DUMMYFUNCTION("""COMPUTED_VALUE"""),"none")</f>
        <v/>
      </c>
      <c r="J150" s="351" t="n"/>
      <c r="K150" s="351" t="n"/>
      <c r="L150" s="351" t="n"/>
      <c r="M150" s="351" t="n"/>
      <c r="N150" s="351" t="n"/>
      <c r="O150" s="351" t="n"/>
      <c r="P150" s="351" t="n"/>
      <c r="Q150" s="351" t="n"/>
      <c r="R150" s="351" t="n"/>
      <c r="S150" s="351" t="n"/>
      <c r="T150" s="353">
        <f>IFERROR(__xludf.DUMMYFUNCTION("""COMPUTED_VALUE"""),"none")</f>
        <v/>
      </c>
      <c r="U150" s="351">
        <f>IFERROR(__xludf.DUMMYFUNCTION("""COMPUTED_VALUE"""),"none")</f>
        <v/>
      </c>
      <c r="V150" s="351" t="n"/>
      <c r="W150" s="351">
        <f>IFERROR(__xludf.DUMMYFUNCTION("""COMPUTED_VALUE"""),"none")</f>
        <v/>
      </c>
      <c r="X150" s="351">
        <f>IFERROR(__xludf.DUMMYFUNCTION("""COMPUTED_VALUE"""),"none")</f>
        <v/>
      </c>
      <c r="Y150" s="351" t="n"/>
      <c r="Z150" s="351">
        <f>IFERROR(__xludf.DUMMYFUNCTION("""COMPUTED_VALUE"""),"-")</f>
        <v/>
      </c>
      <c r="AA150" s="327" t="n"/>
      <c r="AB150" s="327">
        <f>IFERROR(__xludf.DUMMYFUNCTION("""COMPUTED_VALUE"""),"none")</f>
        <v/>
      </c>
      <c r="AC150" s="327" t="n"/>
    </row>
    <row r="151">
      <c r="A151" s="327" t="n"/>
      <c r="B151" s="351">
        <f>IFERROR(__xludf.DUMMYFUNCTION("""COMPUTED_VALUE"""),"chara_gom_00201")</f>
        <v/>
      </c>
      <c r="C151" s="352">
        <f>IFERROR(__xludf.DUMMYFUNCTION("""COMPUTED_VALUE"""),"_l05anniv_advent")</f>
        <v/>
      </c>
      <c r="D151" s="352">
        <f>IFERROR(__xludf.DUMMYFUNCTION("""COMPUTED_VALUE"""),"c_gom_00201_l05anniv_advent_Normal_Blue")</f>
        <v/>
      </c>
      <c r="E151" s="352">
        <f>IFERROR(__xludf.DUMMYFUNCTION("""COMPUTED_VALUE"""),"姫様“拷問”の時間です")</f>
        <v/>
      </c>
      <c r="F151" s="352">
        <f>IFERROR(__xludf.DUMMYFUNCTION("""COMPUTED_VALUE"""),"クロル")</f>
        <v/>
      </c>
      <c r="G151" s="352">
        <f>IFERROR(__xludf.DUMMYFUNCTION("""COMPUTED_VALUE"""),"クロル_l05anniv_advent")</f>
        <v/>
      </c>
      <c r="H151" s="351">
        <f>IFERROR(__xludf.DUMMYFUNCTION("""COMPUTED_VALUE"""),"Normal")</f>
        <v/>
      </c>
      <c r="I151" s="351">
        <f>IFERROR(__xludf.DUMMYFUNCTION("""COMPUTED_VALUE"""),"Attack")</f>
        <v/>
      </c>
      <c r="J151" s="351">
        <f>IFERROR(__xludf.DUMMYFUNCTION("""COMPUTED_VALUE"""),"Blue")</f>
        <v/>
      </c>
      <c r="K151" s="351">
        <f>IFERROR(__xludf.DUMMYFUNCTION("""COMPUTED_VALUE"""),1000.0)</f>
        <v/>
      </c>
      <c r="L151" s="351">
        <f>IFERROR(__xludf.DUMMYFUNCTION("""COMPUTED_VALUE"""),2.0)</f>
        <v/>
      </c>
      <c r="M151" s="351">
        <f>IFERROR(__xludf.DUMMYFUNCTION("""COMPUTED_VALUE"""),50.0)</f>
        <v/>
      </c>
      <c r="N151" s="351">
        <f>IFERROR(__xludf.DUMMYFUNCTION("""COMPUTED_VALUE"""),0.6)</f>
        <v/>
      </c>
      <c r="O151" s="351">
        <f>IFERROR(__xludf.DUMMYFUNCTION("""COMPUTED_VALUE"""),50.0)</f>
        <v/>
      </c>
      <c r="P151" s="351">
        <f>IFERROR(__xludf.DUMMYFUNCTION("""COMPUTED_VALUE"""),0.0)</f>
        <v/>
      </c>
      <c r="Q151" s="351">
        <f>IFERROR(__xludf.DUMMYFUNCTION("""COMPUTED_VALUE"""),0.62)</f>
        <v/>
      </c>
      <c r="R151" s="351">
        <f>IFERROR(__xludf.DUMMYFUNCTION("""COMPUTED_VALUE"""),100.0)</f>
        <v/>
      </c>
      <c r="S151" s="351">
        <f>IFERROR(__xludf.DUMMYFUNCTION("""COMPUTED_VALUE"""),400.0)</f>
        <v/>
      </c>
      <c r="T151" s="353">
        <f>IFERROR(__xludf.DUMMYFUNCTION("""COMPUTED_VALUE"""),"1.43")</f>
        <v/>
      </c>
      <c r="U151" s="351">
        <f>IFERROR(__xludf.DUMMYFUNCTION("""COMPUTED_VALUE"""),"stop無:1回目 0.40
stop無:2回目 0.60
stop無:3回目 0.80")</f>
        <v/>
      </c>
      <c r="V151" s="351">
        <f>IFERROR(__xludf.DUMMYFUNCTION("""COMPUTED_VALUE"""),100.0)</f>
        <v/>
      </c>
      <c r="W151" s="351">
        <f>IFERROR(__xludf.DUMMYFUNCTION("""COMPUTED_VALUE"""),"5.00")</f>
        <v/>
      </c>
      <c r="X151" s="351">
        <f>IFERROR(__xludf.DUMMYFUNCTION("""COMPUTED_VALUE"""),"stop無:1回目 2.10
stop無:2回目 2.30
stop無:3回目 2.50
stop無:4回目 2.70
stop無:5回目 2.90
stop無:6回目 3.20
stop無:7回目 3.40
stop無:8回目 3.60
stop無:9回目 3.80")</f>
        <v/>
      </c>
      <c r="Y151" s="351">
        <f>IFERROR(__xludf.DUMMYFUNCTION("""COMPUTED_VALUE"""),"単体に攻撃＋3秒間30%の弱体化")</f>
        <v/>
      </c>
      <c r="Z151" s="351">
        <f>IFERROR(__xludf.DUMMYFUNCTION("""COMPUTED_VALUE"""),6.0)</f>
        <v/>
      </c>
      <c r="AA151" s="327" t="n"/>
      <c r="AB151" s="327">
        <f>IFERROR(__xludf.DUMMYFUNCTION("""COMPUTED_VALUE"""),"dageki_1")</f>
        <v/>
      </c>
      <c r="AC151" s="327" t="n"/>
    </row>
    <row r="152">
      <c r="A152" s="327" t="n"/>
      <c r="B152" s="351">
        <f>IFERROR(__xludf.DUMMYFUNCTION("""COMPUTED_VALUE"""),"chara_kai_00401")</f>
        <v/>
      </c>
      <c r="C152" s="352">
        <f>IFERROR(__xludf.DUMMYFUNCTION("""COMPUTED_VALUE"""),"_l05anniv_advent")</f>
        <v/>
      </c>
      <c r="D152" s="352">
        <f>IFERROR(__xludf.DUMMYFUNCTION("""COMPUTED_VALUE"""),"c_kai_00401_l05anniv_advent_Normal_Blue")</f>
        <v/>
      </c>
      <c r="E152" s="352">
        <f>IFERROR(__xludf.DUMMYFUNCTION("""COMPUTED_VALUE"""),"怪獣８号")</f>
        <v/>
      </c>
      <c r="F152" s="352">
        <f>IFERROR(__xludf.DUMMYFUNCTION("""COMPUTED_VALUE"""),"保科 宗四郎")</f>
        <v/>
      </c>
      <c r="G152" s="352">
        <f>IFERROR(__xludf.DUMMYFUNCTION("""COMPUTED_VALUE"""),"保科 宗四郎_l05anniv_advent")</f>
        <v/>
      </c>
      <c r="H152" s="351">
        <f>IFERROR(__xludf.DUMMYFUNCTION("""COMPUTED_VALUE"""),"Normal")</f>
        <v/>
      </c>
      <c r="I152" s="351">
        <f>IFERROR(__xludf.DUMMYFUNCTION("""COMPUTED_VALUE"""),"Attack")</f>
        <v/>
      </c>
      <c r="J152" s="351">
        <f>IFERROR(__xludf.DUMMYFUNCTION("""COMPUTED_VALUE"""),"Blue")</f>
        <v/>
      </c>
      <c r="K152" s="351">
        <f>IFERROR(__xludf.DUMMYFUNCTION("""COMPUTED_VALUE"""),1000.0)</f>
        <v/>
      </c>
      <c r="L152" s="351">
        <f>IFERROR(__xludf.DUMMYFUNCTION("""COMPUTED_VALUE"""),2.0)</f>
        <v/>
      </c>
      <c r="M152" s="351">
        <f>IFERROR(__xludf.DUMMYFUNCTION("""COMPUTED_VALUE"""),35.0)</f>
        <v/>
      </c>
      <c r="N152" s="351">
        <f>IFERROR(__xludf.DUMMYFUNCTION("""COMPUTED_VALUE"""),0.24)</f>
        <v/>
      </c>
      <c r="O152" s="351">
        <f>IFERROR(__xludf.DUMMYFUNCTION("""COMPUTED_VALUE"""),100.0)</f>
        <v/>
      </c>
      <c r="P152" s="351">
        <f>IFERROR(__xludf.DUMMYFUNCTION("""COMPUTED_VALUE"""),0.0)</f>
        <v/>
      </c>
      <c r="Q152" s="351">
        <f>IFERROR(__xludf.DUMMYFUNCTION("""COMPUTED_VALUE"""),0.25)</f>
        <v/>
      </c>
      <c r="R152" s="351">
        <f>IFERROR(__xludf.DUMMYFUNCTION("""COMPUTED_VALUE"""),1.0)</f>
        <v/>
      </c>
      <c r="S152" s="351">
        <f>IFERROR(__xludf.DUMMYFUNCTION("""COMPUTED_VALUE"""),400.0)</f>
        <v/>
      </c>
      <c r="T152" s="353">
        <f>IFERROR(__xludf.DUMMYFUNCTION("""COMPUTED_VALUE"""),"1.27")</f>
        <v/>
      </c>
      <c r="U152" s="351">
        <f>IFERROR(__xludf.DUMMYFUNCTION("""COMPUTED_VALUE"""),"stop有:1回目 0.43")</f>
        <v/>
      </c>
      <c r="V152" s="351">
        <f>IFERROR(__xludf.DUMMYFUNCTION("""COMPUTED_VALUE"""),75.0)</f>
        <v/>
      </c>
      <c r="W152" s="351">
        <f>IFERROR(__xludf.DUMMYFUNCTION("""COMPUTED_VALUE"""),"2.67")</f>
        <v/>
      </c>
      <c r="X152" s="351">
        <f>IFERROR(__xludf.DUMMYFUNCTION("""COMPUTED_VALUE"""),"stop無:1回目 0.25
stop無:2回目 0.91
stop無:3回目 1.05
stop無:4回目 1.15
stop有:5回目 1.66")</f>
        <v/>
      </c>
      <c r="Y152" s="351">
        <f>IFERROR(__xludf.DUMMYFUNCTION("""COMPUTED_VALUE"""),"単体に攻撃、50％の確率で3秒間氷結")</f>
        <v/>
      </c>
      <c r="Z152" s="351">
        <f>IFERROR(__xludf.DUMMYFUNCTION("""COMPUTED_VALUE"""),5.0)</f>
        <v/>
      </c>
      <c r="AA152" s="327" t="n"/>
      <c r="AB152" s="327">
        <f>IFERROR(__xludf.DUMMYFUNCTION("""COMPUTED_VALUE"""),"zangeki_1")</f>
        <v/>
      </c>
      <c r="AC152" s="327" t="n"/>
    </row>
    <row r="153">
      <c r="A153" s="327" t="n"/>
      <c r="B153" s="351">
        <f>IFERROR(__xludf.DUMMYFUNCTION("""COMPUTED_VALUE"""),"enemy_gom_00701")</f>
        <v/>
      </c>
      <c r="C153" s="352">
        <f>IFERROR(__xludf.DUMMYFUNCTION("""COMPUTED_VALUE"""),"_l05anniv_advent")</f>
        <v/>
      </c>
      <c r="D153" s="352">
        <f>IFERROR(__xludf.DUMMYFUNCTION("""COMPUTED_VALUE"""),"e_gom_00701_l05anniv_advent_Normal_Colorless")</f>
        <v/>
      </c>
      <c r="E153" s="352">
        <f>IFERROR(__xludf.DUMMYFUNCTION("""COMPUTED_VALUE"""),"姫様“拷問”の時間です")</f>
        <v/>
      </c>
      <c r="F153" s="352">
        <f>IFERROR(__xludf.DUMMYFUNCTION("""COMPUTED_VALUE"""),"ラーメン")</f>
        <v/>
      </c>
      <c r="G153" s="352">
        <f>IFERROR(__xludf.DUMMYFUNCTION("""COMPUTED_VALUE"""),"ラーメン_l05anniv_advent")</f>
        <v/>
      </c>
      <c r="H153" s="351">
        <f>IFERROR(__xludf.DUMMYFUNCTION("""COMPUTED_VALUE"""),"Normal")</f>
        <v/>
      </c>
      <c r="I153" s="351">
        <f>IFERROR(__xludf.DUMMYFUNCTION("""COMPUTED_VALUE"""),"Attack")</f>
        <v/>
      </c>
      <c r="J153" s="351">
        <f>IFERROR(__xludf.DUMMYFUNCTION("""COMPUTED_VALUE"""),"Colorless")</f>
        <v/>
      </c>
      <c r="K153" s="351">
        <f>IFERROR(__xludf.DUMMYFUNCTION("""COMPUTED_VALUE"""),1000.0)</f>
        <v/>
      </c>
      <c r="L153" s="351">
        <f>IFERROR(__xludf.DUMMYFUNCTION("""COMPUTED_VALUE"""),0.0)</f>
        <v/>
      </c>
      <c r="M153" s="351">
        <f>IFERROR(__xludf.DUMMYFUNCTION("""COMPUTED_VALUE"""),25.0)</f>
        <v/>
      </c>
      <c r="N153" s="351">
        <f>IFERROR(__xludf.DUMMYFUNCTION("""COMPUTED_VALUE"""),0.11)</f>
        <v/>
      </c>
      <c r="O153" s="351">
        <f>IFERROR(__xludf.DUMMYFUNCTION("""COMPUTED_VALUE"""),100.0)</f>
        <v/>
      </c>
      <c r="P153" s="351">
        <f>IFERROR(__xludf.DUMMYFUNCTION("""COMPUTED_VALUE"""),0.0)</f>
        <v/>
      </c>
      <c r="Q153" s="351">
        <f>IFERROR(__xludf.DUMMYFUNCTION("""COMPUTED_VALUE"""),0.27)</f>
        <v/>
      </c>
      <c r="R153" s="351">
        <f>IFERROR(__xludf.DUMMYFUNCTION("""COMPUTED_VALUE"""),1.0)</f>
        <v/>
      </c>
      <c r="S153" s="351">
        <f>IFERROR(__xludf.DUMMYFUNCTION("""COMPUTED_VALUE"""),100.0)</f>
        <v/>
      </c>
      <c r="T153" s="353">
        <f>IFERROR(__xludf.DUMMYFUNCTION("""COMPUTED_VALUE"""),"1.00")</f>
        <v/>
      </c>
      <c r="U153" s="351">
        <f>IFERROR(__xludf.DUMMYFUNCTION("""COMPUTED_VALUE"""),"0.833")</f>
        <v/>
      </c>
      <c r="V153" s="351">
        <f>IFERROR(__xludf.DUMMYFUNCTION("""COMPUTED_VALUE"""),100.0)</f>
        <v/>
      </c>
      <c r="W153" s="351">
        <f>IFERROR(__xludf.DUMMYFUNCTION("""COMPUTED_VALUE"""),"-")</f>
        <v/>
      </c>
      <c r="X153" s="351">
        <f>IFERROR(__xludf.DUMMYFUNCTION("""COMPUTED_VALUE"""),"-")</f>
        <v/>
      </c>
      <c r="Y153" s="351" t="n"/>
      <c r="Z153" s="351">
        <f>IFERROR(__xludf.DUMMYFUNCTION("""COMPUTED_VALUE"""),"-")</f>
        <v/>
      </c>
      <c r="AA153" s="327" t="n"/>
      <c r="AB153" s="327" t="n"/>
      <c r="AC153" s="327" t="n"/>
    </row>
    <row r="154">
      <c r="A154" s="327" t="n"/>
      <c r="B154" s="351">
        <f>IFERROR(__xludf.DUMMYFUNCTION("""COMPUTED_VALUE"""),"enemy_gom_00501")</f>
        <v/>
      </c>
      <c r="C154" s="352">
        <f>IFERROR(__xludf.DUMMYFUNCTION("""COMPUTED_VALUE"""),"_l05anniv_advent")</f>
        <v/>
      </c>
      <c r="D154" s="352">
        <f>IFERROR(__xludf.DUMMYFUNCTION("""COMPUTED_VALUE"""),"e_gom_00501_l05anniv_advent_Normal_Colorless")</f>
        <v/>
      </c>
      <c r="E154" s="352">
        <f>IFERROR(__xludf.DUMMYFUNCTION("""COMPUTED_VALUE"""),"姫様“拷問”の時間です")</f>
        <v/>
      </c>
      <c r="F154" s="352">
        <f>IFERROR(__xludf.DUMMYFUNCTION("""COMPUTED_VALUE"""),"バタートースト")</f>
        <v/>
      </c>
      <c r="G154" s="352">
        <f>IFERROR(__xludf.DUMMYFUNCTION("""COMPUTED_VALUE"""),"バタートースト_l05anniv_advent")</f>
        <v/>
      </c>
      <c r="H154" s="351">
        <f>IFERROR(__xludf.DUMMYFUNCTION("""COMPUTED_VALUE"""),"Normal")</f>
        <v/>
      </c>
      <c r="I154" s="351">
        <f>IFERROR(__xludf.DUMMYFUNCTION("""COMPUTED_VALUE"""),"Defense")</f>
        <v/>
      </c>
      <c r="J154" s="351">
        <f>IFERROR(__xludf.DUMMYFUNCTION("""COMPUTED_VALUE"""),"Colorless")</f>
        <v/>
      </c>
      <c r="K154" s="351">
        <f>IFERROR(__xludf.DUMMYFUNCTION("""COMPUTED_VALUE"""),1000.0)</f>
        <v/>
      </c>
      <c r="L154" s="351">
        <f>IFERROR(__xludf.DUMMYFUNCTION("""COMPUTED_VALUE"""),0.0)</f>
        <v/>
      </c>
      <c r="M154" s="351">
        <f>IFERROR(__xludf.DUMMYFUNCTION("""COMPUTED_VALUE"""),34.0)</f>
        <v/>
      </c>
      <c r="N154" s="351">
        <f>IFERROR(__xludf.DUMMYFUNCTION("""COMPUTED_VALUE"""),0.14)</f>
        <v/>
      </c>
      <c r="O154" s="351">
        <f>IFERROR(__xludf.DUMMYFUNCTION("""COMPUTED_VALUE"""),100.0)</f>
        <v/>
      </c>
      <c r="P154" s="351">
        <f>IFERROR(__xludf.DUMMYFUNCTION("""COMPUTED_VALUE"""),0.0)</f>
        <v/>
      </c>
      <c r="Q154" s="351">
        <f>IFERROR(__xludf.DUMMYFUNCTION("""COMPUTED_VALUE"""),0.15)</f>
        <v/>
      </c>
      <c r="R154" s="351">
        <f>IFERROR(__xludf.DUMMYFUNCTION("""COMPUTED_VALUE"""),1.0)</f>
        <v/>
      </c>
      <c r="S154" s="351">
        <f>IFERROR(__xludf.DUMMYFUNCTION("""COMPUTED_VALUE"""),100.0)</f>
        <v/>
      </c>
      <c r="T154" s="353">
        <f>IFERROR(__xludf.DUMMYFUNCTION("""COMPUTED_VALUE"""),"1.00")</f>
        <v/>
      </c>
      <c r="U154" s="351">
        <f>IFERROR(__xludf.DUMMYFUNCTION("""COMPUTED_VALUE"""),"0.833")</f>
        <v/>
      </c>
      <c r="V154" s="351">
        <f>IFERROR(__xludf.DUMMYFUNCTION("""COMPUTED_VALUE"""),100.0)</f>
        <v/>
      </c>
      <c r="W154" s="351">
        <f>IFERROR(__xludf.DUMMYFUNCTION("""COMPUTED_VALUE"""),"-")</f>
        <v/>
      </c>
      <c r="X154" s="351">
        <f>IFERROR(__xludf.DUMMYFUNCTION("""COMPUTED_VALUE"""),"-")</f>
        <v/>
      </c>
      <c r="Y154" s="351" t="n"/>
      <c r="Z154" s="351">
        <f>IFERROR(__xludf.DUMMYFUNCTION("""COMPUTED_VALUE"""),"-")</f>
        <v/>
      </c>
      <c r="AA154" s="327" t="n"/>
      <c r="AB154" s="327">
        <f>IFERROR(__xludf.DUMMYFUNCTION("""COMPUTED_VALUE"""),"dageki_1")</f>
        <v/>
      </c>
      <c r="AC154" s="327" t="n"/>
    </row>
    <row r="155">
      <c r="A155" s="327" t="n"/>
      <c r="B155" s="351">
        <f>IFERROR(__xludf.DUMMYFUNCTION("""COMPUTED_VALUE"""),"chara_kai_00101")</f>
        <v/>
      </c>
      <c r="C155" s="352">
        <f>IFERROR(__xludf.DUMMYFUNCTION("""COMPUTED_VALUE"""),"_l05anniv_advent")</f>
        <v/>
      </c>
      <c r="D155" s="352">
        <f>IFERROR(__xludf.DUMMYFUNCTION("""COMPUTED_VALUE"""),"c_kai_00101_l05anniv_advent_Normal_Blue")</f>
        <v/>
      </c>
      <c r="E155" s="352">
        <f>IFERROR(__xludf.DUMMYFUNCTION("""COMPUTED_VALUE"""),"怪獣８号")</f>
        <v/>
      </c>
      <c r="F155" s="352">
        <f>IFERROR(__xludf.DUMMYFUNCTION("""COMPUTED_VALUE"""),"市川 レノ")</f>
        <v/>
      </c>
      <c r="G155" s="352">
        <f>IFERROR(__xludf.DUMMYFUNCTION("""COMPUTED_VALUE"""),"市川 レノ_l05anniv_advent")</f>
        <v/>
      </c>
      <c r="H155" s="351">
        <f>IFERROR(__xludf.DUMMYFUNCTION("""COMPUTED_VALUE"""),"Normal")</f>
        <v/>
      </c>
      <c r="I155" s="351">
        <f>IFERROR(__xludf.DUMMYFUNCTION("""COMPUTED_VALUE"""),"Technical")</f>
        <v/>
      </c>
      <c r="J155" s="351">
        <f>IFERROR(__xludf.DUMMYFUNCTION("""COMPUTED_VALUE"""),"Blue")</f>
        <v/>
      </c>
      <c r="K155" s="351">
        <f>IFERROR(__xludf.DUMMYFUNCTION("""COMPUTED_VALUE"""),10000.0)</f>
        <v/>
      </c>
      <c r="L155" s="351">
        <f>IFERROR(__xludf.DUMMYFUNCTION("""COMPUTED_VALUE"""),2.0)</f>
        <v/>
      </c>
      <c r="M155" s="351">
        <f>IFERROR(__xludf.DUMMYFUNCTION("""COMPUTED_VALUE"""),36.0)</f>
        <v/>
      </c>
      <c r="N155" s="351">
        <f>IFERROR(__xludf.DUMMYFUNCTION("""COMPUTED_VALUE"""),0.4)</f>
        <v/>
      </c>
      <c r="O155" s="351">
        <f>IFERROR(__xludf.DUMMYFUNCTION("""COMPUTED_VALUE"""),100.0)</f>
        <v/>
      </c>
      <c r="P155" s="351">
        <f>IFERROR(__xludf.DUMMYFUNCTION("""COMPUTED_VALUE"""),0.0)</f>
        <v/>
      </c>
      <c r="Q155" s="351">
        <f>IFERROR(__xludf.DUMMYFUNCTION("""COMPUTED_VALUE"""),0.41)</f>
        <v/>
      </c>
      <c r="R155" s="351">
        <f>IFERROR(__xludf.DUMMYFUNCTION("""COMPUTED_VALUE"""),1.0)</f>
        <v/>
      </c>
      <c r="S155" s="351">
        <f>IFERROR(__xludf.DUMMYFUNCTION("""COMPUTED_VALUE"""),300.0)</f>
        <v/>
      </c>
      <c r="T155" s="353">
        <f>IFERROR(__xludf.DUMMYFUNCTION("""COMPUTED_VALUE"""),"1.40")</f>
        <v/>
      </c>
      <c r="U155" s="351">
        <f>IFERROR(__xludf.DUMMYFUNCTION("""COMPUTED_VALUE"""),"stop無:1回目 0.91")</f>
        <v/>
      </c>
      <c r="V155" s="351">
        <f>IFERROR(__xludf.DUMMYFUNCTION("""COMPUTED_VALUE"""),100.0)</f>
        <v/>
      </c>
      <c r="W155" s="351">
        <f>IFERROR(__xludf.DUMMYFUNCTION("""COMPUTED_VALUE"""),"3.17")</f>
        <v/>
      </c>
      <c r="X155" s="351">
        <f>IFERROR(__xludf.DUMMYFUNCTION("""COMPUTED_VALUE"""),"stop無:1回目 1.05
stop無:2回目 1.33
stop無:3回目 1.76")</f>
        <v/>
      </c>
      <c r="Y155" s="351">
        <f>IFERROR(__xludf.DUMMYFUNCTION("""COMPUTED_VALUE"""),"単体に100%3秒間氷結")</f>
        <v/>
      </c>
      <c r="Z155" s="351">
        <f>IFERROR(__xludf.DUMMYFUNCTION("""COMPUTED_VALUE"""),6.0)</f>
        <v/>
      </c>
      <c r="AA155" s="327" t="n"/>
      <c r="AB155" s="327">
        <f>IFERROR(__xludf.DUMMYFUNCTION("""COMPUTED_VALUE"""),"shageki_1")</f>
        <v/>
      </c>
      <c r="AC155" s="327" t="n"/>
    </row>
    <row r="156">
      <c r="A156" s="327" t="n"/>
      <c r="B156" s="351">
        <f>IFERROR(__xludf.DUMMYFUNCTION("""COMPUTED_VALUE"""),"chara_gom_00701")</f>
        <v/>
      </c>
      <c r="C156" s="352">
        <f>IFERROR(__xludf.DUMMYFUNCTION("""COMPUTED_VALUE"""),"_l05anniv_advent")</f>
        <v/>
      </c>
      <c r="D156" s="352">
        <f>IFERROR(__xludf.DUMMYFUNCTION("""COMPUTED_VALUE"""),"c_gom_00701_l05anniv_advent_Boss_Blue")</f>
        <v/>
      </c>
      <c r="E156" s="352">
        <f>IFERROR(__xludf.DUMMYFUNCTION("""COMPUTED_VALUE"""),"姫様“拷問”の時間です")</f>
        <v/>
      </c>
      <c r="F156" s="352">
        <f>IFERROR(__xludf.DUMMYFUNCTION("""COMPUTED_VALUE"""),"カナッジ")</f>
        <v/>
      </c>
      <c r="G156" s="352">
        <f>IFERROR(__xludf.DUMMYFUNCTION("""COMPUTED_VALUE"""),"カナッジ_l05anniv_advent")</f>
        <v/>
      </c>
      <c r="H156" s="351">
        <f>IFERROR(__xludf.DUMMYFUNCTION("""COMPUTED_VALUE"""),"Boss")</f>
        <v/>
      </c>
      <c r="I156" s="351">
        <f>IFERROR(__xludf.DUMMYFUNCTION("""COMPUTED_VALUE"""),"Technical")</f>
        <v/>
      </c>
      <c r="J156" s="351">
        <f>IFERROR(__xludf.DUMMYFUNCTION("""COMPUTED_VALUE"""),"Blue")</f>
        <v/>
      </c>
      <c r="K156" s="351">
        <f>IFERROR(__xludf.DUMMYFUNCTION("""COMPUTED_VALUE"""),10000.0)</f>
        <v/>
      </c>
      <c r="L156" s="351">
        <f>IFERROR(__xludf.DUMMYFUNCTION("""COMPUTED_VALUE"""),1.0)</f>
        <v/>
      </c>
      <c r="M156" s="351">
        <f>IFERROR(__xludf.DUMMYFUNCTION("""COMPUTED_VALUE"""),30.0)</f>
        <v/>
      </c>
      <c r="N156" s="351">
        <f>IFERROR(__xludf.DUMMYFUNCTION("""COMPUTED_VALUE"""),0.19)</f>
        <v/>
      </c>
      <c r="O156" s="351">
        <f>IFERROR(__xludf.DUMMYFUNCTION("""COMPUTED_VALUE"""),100.0)</f>
        <v/>
      </c>
      <c r="P156" s="351">
        <f>IFERROR(__xludf.DUMMYFUNCTION("""COMPUTED_VALUE"""),0.0)</f>
        <v/>
      </c>
      <c r="Q156" s="351">
        <f>IFERROR(__xludf.DUMMYFUNCTION("""COMPUTED_VALUE"""),0.2)</f>
        <v/>
      </c>
      <c r="R156" s="351">
        <f>IFERROR(__xludf.DUMMYFUNCTION("""COMPUTED_VALUE"""),1.0)</f>
        <v/>
      </c>
      <c r="S156" s="351">
        <f>IFERROR(__xludf.DUMMYFUNCTION("""COMPUTED_VALUE"""),500.0)</f>
        <v/>
      </c>
      <c r="T156" s="353">
        <f>IFERROR(__xludf.DUMMYFUNCTION("""COMPUTED_VALUE"""),"1.57")</f>
        <v/>
      </c>
      <c r="U156" s="351">
        <f>IFERROR(__xludf.DUMMYFUNCTION("""COMPUTED_VALUE"""),"stop有: 0.42")</f>
        <v/>
      </c>
      <c r="V156" s="351">
        <f>IFERROR(__xludf.DUMMYFUNCTION("""COMPUTED_VALUE"""),100.0)</f>
        <v/>
      </c>
      <c r="W156" s="351">
        <f>IFERROR(__xludf.DUMMYFUNCTION("""COMPUTED_VALUE"""),"2.27")</f>
        <v/>
      </c>
      <c r="X156" s="351">
        <f>IFERROR(__xludf.DUMMYFUNCTION("""COMPUTED_VALUE"""),"stop無: 0.92")</f>
        <v/>
      </c>
      <c r="Y156" s="351">
        <f>IFERROR(__xludf.DUMMYFUNCTION("""COMPUTED_VALUE"""),"単体攻撃＋5秒間30%の弱体化")</f>
        <v/>
      </c>
      <c r="Z156" s="351">
        <f>IFERROR(__xludf.DUMMYFUNCTION("""COMPUTED_VALUE"""),6.0)</f>
        <v/>
      </c>
      <c r="AA156" s="327" t="n"/>
      <c r="AB156" s="327">
        <f>IFERROR(__xludf.DUMMYFUNCTION("""COMPUTED_VALUE"""),"dageki_1")</f>
        <v/>
      </c>
      <c r="AC156" s="327" t="n"/>
    </row>
    <row r="157">
      <c r="A157" s="327" t="n"/>
      <c r="B157" s="351">
        <f>IFERROR(__xludf.DUMMYFUNCTION("""COMPUTED_VALUE"""),"enemy_gom_00402")</f>
        <v/>
      </c>
      <c r="C157" s="352">
        <f>IFERROR(__xludf.DUMMYFUNCTION("""COMPUTED_VALUE"""),"_l05anniv_advent")</f>
        <v/>
      </c>
      <c r="D157" s="352">
        <f>IFERROR(__xludf.DUMMYFUNCTION("""COMPUTED_VALUE"""),"e_gom_00402_l05anniv_advent_Normal_Colorless")</f>
        <v/>
      </c>
      <c r="E157" s="352">
        <f>IFERROR(__xludf.DUMMYFUNCTION("""COMPUTED_VALUE"""),"姫様“拷問”の時間です")</f>
        <v/>
      </c>
      <c r="F157" s="352">
        <f>IFERROR(__xludf.DUMMYFUNCTION("""COMPUTED_VALUE"""),"たこ焼き")</f>
        <v/>
      </c>
      <c r="G157" s="352">
        <f>IFERROR(__xludf.DUMMYFUNCTION("""COMPUTED_VALUE"""),"たこ焼き_l05anniv_advent")</f>
        <v/>
      </c>
      <c r="H157" s="351">
        <f>IFERROR(__xludf.DUMMYFUNCTION("""COMPUTED_VALUE"""),"Normal")</f>
        <v/>
      </c>
      <c r="I157" s="351">
        <f>IFERROR(__xludf.DUMMYFUNCTION("""COMPUTED_VALUE"""),"Attack")</f>
        <v/>
      </c>
      <c r="J157" s="351">
        <f>IFERROR(__xludf.DUMMYFUNCTION("""COMPUTED_VALUE"""),"Colorless")</f>
        <v/>
      </c>
      <c r="K157" s="351">
        <f>IFERROR(__xludf.DUMMYFUNCTION("""COMPUTED_VALUE"""),1000.0)</f>
        <v/>
      </c>
      <c r="L157" s="351">
        <f>IFERROR(__xludf.DUMMYFUNCTION("""COMPUTED_VALUE"""),0.0)</f>
        <v/>
      </c>
      <c r="M157" s="351">
        <f>IFERROR(__xludf.DUMMYFUNCTION("""COMPUTED_VALUE"""),34.0)</f>
        <v/>
      </c>
      <c r="N157" s="351">
        <f>IFERROR(__xludf.DUMMYFUNCTION("""COMPUTED_VALUE"""),0.11)</f>
        <v/>
      </c>
      <c r="O157" s="351">
        <f>IFERROR(__xludf.DUMMYFUNCTION("""COMPUTED_VALUE"""),100.0)</f>
        <v/>
      </c>
      <c r="P157" s="351">
        <f>IFERROR(__xludf.DUMMYFUNCTION("""COMPUTED_VALUE"""),0.0)</f>
        <v/>
      </c>
      <c r="Q157" s="351">
        <f>IFERROR(__xludf.DUMMYFUNCTION("""COMPUTED_VALUE"""),0.12)</f>
        <v/>
      </c>
      <c r="R157" s="351">
        <f>IFERROR(__xludf.DUMMYFUNCTION("""COMPUTED_VALUE"""),1.0)</f>
        <v/>
      </c>
      <c r="S157" s="351">
        <f>IFERROR(__xludf.DUMMYFUNCTION("""COMPUTED_VALUE"""),100.0)</f>
        <v/>
      </c>
      <c r="T157" s="353">
        <f>IFERROR(__xludf.DUMMYFUNCTION("""COMPUTED_VALUE"""),"1.00")</f>
        <v/>
      </c>
      <c r="U157" s="351">
        <f>IFERROR(__xludf.DUMMYFUNCTION("""COMPUTED_VALUE"""),"0.833")</f>
        <v/>
      </c>
      <c r="V157" s="351">
        <f>IFERROR(__xludf.DUMMYFUNCTION("""COMPUTED_VALUE"""),50.0)</f>
        <v/>
      </c>
      <c r="W157" s="351">
        <f>IFERROR(__xludf.DUMMYFUNCTION("""COMPUTED_VALUE"""),"-")</f>
        <v/>
      </c>
      <c r="X157" s="351">
        <f>IFERROR(__xludf.DUMMYFUNCTION("""COMPUTED_VALUE"""),"-")</f>
        <v/>
      </c>
      <c r="Y157" s="351" t="n"/>
      <c r="Z157" s="351">
        <f>IFERROR(__xludf.DUMMYFUNCTION("""COMPUTED_VALUE"""),"-")</f>
        <v/>
      </c>
      <c r="AA157" s="327" t="n"/>
      <c r="AB157" s="327">
        <f>IFERROR(__xludf.DUMMYFUNCTION("""COMPUTED_VALUE"""),"dageki_1")</f>
        <v/>
      </c>
      <c r="AC157" s="327" t="n"/>
    </row>
    <row r="158">
      <c r="A158" s="327" t="n"/>
      <c r="B158" s="351">
        <f>IFERROR(__xludf.DUMMYFUNCTION("""COMPUTED_VALUE"""),"enemy_gom_00801")</f>
        <v/>
      </c>
      <c r="C158" s="352">
        <f>IFERROR(__xludf.DUMMYFUNCTION("""COMPUTED_VALUE"""),"_l05anniv_advent")</f>
        <v/>
      </c>
      <c r="D158" s="352">
        <f>IFERROR(__xludf.DUMMYFUNCTION("""COMPUTED_VALUE"""),"e_gom_00801_l05anniv_advent_Normal_Colorless")</f>
        <v/>
      </c>
      <c r="E158" s="352">
        <f>IFERROR(__xludf.DUMMYFUNCTION("""COMPUTED_VALUE"""),"姫様“拷問”の時間です")</f>
        <v/>
      </c>
      <c r="F158" s="352">
        <f>IFERROR(__xludf.DUMMYFUNCTION("""COMPUTED_VALUE"""),"ライス")</f>
        <v/>
      </c>
      <c r="G158" s="352">
        <f>IFERROR(__xludf.DUMMYFUNCTION("""COMPUTED_VALUE"""),"ライス_l05anniv_advent")</f>
        <v/>
      </c>
      <c r="H158" s="351">
        <f>IFERROR(__xludf.DUMMYFUNCTION("""COMPUTED_VALUE"""),"Normal")</f>
        <v/>
      </c>
      <c r="I158" s="351">
        <f>IFERROR(__xludf.DUMMYFUNCTION("""COMPUTED_VALUE"""),"Defense")</f>
        <v/>
      </c>
      <c r="J158" s="351">
        <f>IFERROR(__xludf.DUMMYFUNCTION("""COMPUTED_VALUE"""),"Colorless")</f>
        <v/>
      </c>
      <c r="K158" s="351">
        <f>IFERROR(__xludf.DUMMYFUNCTION("""COMPUTED_VALUE"""),1000.0)</f>
        <v/>
      </c>
      <c r="L158" s="351">
        <f>IFERROR(__xludf.DUMMYFUNCTION("""COMPUTED_VALUE"""),0.0)</f>
        <v/>
      </c>
      <c r="M158" s="351">
        <f>IFERROR(__xludf.DUMMYFUNCTION("""COMPUTED_VALUE"""),31.0)</f>
        <v/>
      </c>
      <c r="N158" s="351">
        <f>IFERROR(__xludf.DUMMYFUNCTION("""COMPUTED_VALUE"""),0.11)</f>
        <v/>
      </c>
      <c r="O158" s="351">
        <f>IFERROR(__xludf.DUMMYFUNCTION("""COMPUTED_VALUE"""),100.0)</f>
        <v/>
      </c>
      <c r="P158" s="351">
        <f>IFERROR(__xludf.DUMMYFUNCTION("""COMPUTED_VALUE"""),0.0)</f>
        <v/>
      </c>
      <c r="Q158" s="351">
        <f>IFERROR(__xludf.DUMMYFUNCTION("""COMPUTED_VALUE"""),0.12)</f>
        <v/>
      </c>
      <c r="R158" s="351">
        <f>IFERROR(__xludf.DUMMYFUNCTION("""COMPUTED_VALUE"""),1.0)</f>
        <v/>
      </c>
      <c r="S158" s="351">
        <f>IFERROR(__xludf.DUMMYFUNCTION("""COMPUTED_VALUE"""),100.0)</f>
        <v/>
      </c>
      <c r="T158" s="353">
        <f>IFERROR(__xludf.DUMMYFUNCTION("""COMPUTED_VALUE"""),"1.00")</f>
        <v/>
      </c>
      <c r="U158" s="351">
        <f>IFERROR(__xludf.DUMMYFUNCTION("""COMPUTED_VALUE"""),"0.833")</f>
        <v/>
      </c>
      <c r="V158" s="351">
        <f>IFERROR(__xludf.DUMMYFUNCTION("""COMPUTED_VALUE"""),100.0)</f>
        <v/>
      </c>
      <c r="W158" s="351">
        <f>IFERROR(__xludf.DUMMYFUNCTION("""COMPUTED_VALUE"""),"-")</f>
        <v/>
      </c>
      <c r="X158" s="351">
        <f>IFERROR(__xludf.DUMMYFUNCTION("""COMPUTED_VALUE"""),"-")</f>
        <v/>
      </c>
      <c r="Y158" s="351" t="n"/>
      <c r="Z158" s="351">
        <f>IFERROR(__xludf.DUMMYFUNCTION("""COMPUTED_VALUE"""),"-")</f>
        <v/>
      </c>
      <c r="AA158" s="327" t="n"/>
      <c r="AB158" s="327" t="n"/>
      <c r="AC158" s="327" t="n"/>
    </row>
    <row r="159">
      <c r="A159" s="327" t="n"/>
      <c r="B159" s="351">
        <f>IFERROR(__xludf.DUMMYFUNCTION("""COMPUTED_VALUE"""),"chara_kai_00301")</f>
        <v/>
      </c>
      <c r="C159" s="352">
        <f>IFERROR(__xludf.DUMMYFUNCTION("""COMPUTED_VALUE"""),"_l05anniv_advent")</f>
        <v/>
      </c>
      <c r="D159" s="352">
        <f>IFERROR(__xludf.DUMMYFUNCTION("""COMPUTED_VALUE"""),"c_kai_00301_l05anniv_advent_Boss_Blue")</f>
        <v/>
      </c>
      <c r="E159" s="352">
        <f>IFERROR(__xludf.DUMMYFUNCTION("""COMPUTED_VALUE"""),"怪獣８号")</f>
        <v/>
      </c>
      <c r="F159" s="352">
        <f>IFERROR(__xludf.DUMMYFUNCTION("""COMPUTED_VALUE"""),"四ノ宮 キコル")</f>
        <v/>
      </c>
      <c r="G159" s="352">
        <f>IFERROR(__xludf.DUMMYFUNCTION("""COMPUTED_VALUE"""),"四ノ宮 キコル_l05anniv_advent")</f>
        <v/>
      </c>
      <c r="H159" s="351">
        <f>IFERROR(__xludf.DUMMYFUNCTION("""COMPUTED_VALUE"""),"Boss")</f>
        <v/>
      </c>
      <c r="I159" s="351">
        <f>IFERROR(__xludf.DUMMYFUNCTION("""COMPUTED_VALUE"""),"Defense")</f>
        <v/>
      </c>
      <c r="J159" s="351">
        <f>IFERROR(__xludf.DUMMYFUNCTION("""COMPUTED_VALUE"""),"Blue")</f>
        <v/>
      </c>
      <c r="K159" s="351">
        <f>IFERROR(__xludf.DUMMYFUNCTION("""COMPUTED_VALUE"""),10000.0)</f>
        <v/>
      </c>
      <c r="L159" s="351">
        <f>IFERROR(__xludf.DUMMYFUNCTION("""COMPUTED_VALUE"""),1.0)</f>
        <v/>
      </c>
      <c r="M159" s="351">
        <f>IFERROR(__xludf.DUMMYFUNCTION("""COMPUTED_VALUE"""),34.0)</f>
        <v/>
      </c>
      <c r="N159" s="351">
        <f>IFERROR(__xludf.DUMMYFUNCTION("""COMPUTED_VALUE"""),0.17)</f>
        <v/>
      </c>
      <c r="O159" s="351">
        <f>IFERROR(__xludf.DUMMYFUNCTION("""COMPUTED_VALUE"""),100.0)</f>
        <v/>
      </c>
      <c r="P159" s="351">
        <f>IFERROR(__xludf.DUMMYFUNCTION("""COMPUTED_VALUE"""),0.0)</f>
        <v/>
      </c>
      <c r="Q159" s="351">
        <f>IFERROR(__xludf.DUMMYFUNCTION("""COMPUTED_VALUE"""),0.27)</f>
        <v/>
      </c>
      <c r="R159" s="351">
        <f>IFERROR(__xludf.DUMMYFUNCTION("""COMPUTED_VALUE"""),100.0)</f>
        <v/>
      </c>
      <c r="S159" s="351">
        <f>IFERROR(__xludf.DUMMYFUNCTION("""COMPUTED_VALUE"""),400.0)</f>
        <v/>
      </c>
      <c r="T159" s="353">
        <f>IFERROR(__xludf.DUMMYFUNCTION("""COMPUTED_VALUE"""),"2.04")</f>
        <v/>
      </c>
      <c r="U159" s="351">
        <f>IFERROR(__xludf.DUMMYFUNCTION("""COMPUTED_VALUE"""),"0.70")</f>
        <v/>
      </c>
      <c r="V159" s="351">
        <f>IFERROR(__xludf.DUMMYFUNCTION("""COMPUTED_VALUE"""),100.0)</f>
        <v/>
      </c>
      <c r="W159" s="351">
        <f>IFERROR(__xludf.DUMMYFUNCTION("""COMPUTED_VALUE"""),"3.34")</f>
        <v/>
      </c>
      <c r="X159" s="351">
        <f>IFERROR(__xludf.DUMMYFUNCTION("""COMPUTED_VALUE"""),"1.07")</f>
        <v/>
      </c>
      <c r="Y159" s="351">
        <f>IFERROR(__xludf.DUMMYFUNCTION("""COMPUTED_VALUE"""),"広範囲に150%ダメージ+30％の確率で3秒間氷結")</f>
        <v/>
      </c>
      <c r="Z159" s="351">
        <f>IFERROR(__xludf.DUMMYFUNCTION("""COMPUTED_VALUE"""),7.0)</f>
        <v/>
      </c>
      <c r="AA159" s="327" t="n"/>
      <c r="AB159" s="327">
        <f>IFERROR(__xludf.DUMMYFUNCTION("""COMPUTED_VALUE"""),"zangeki_1")</f>
        <v/>
      </c>
      <c r="AC159" s="327" t="n"/>
    </row>
    <row r="160">
      <c r="A160" s="327" t="n"/>
      <c r="B160" s="351">
        <f>IFERROR(__xludf.DUMMYFUNCTION("""COMPUTED_VALUE"""),"chara_gom_00101")</f>
        <v/>
      </c>
      <c r="C160" s="352">
        <f>IFERROR(__xludf.DUMMYFUNCTION("""COMPUTED_VALUE"""),"_l05anniv_advent")</f>
        <v/>
      </c>
      <c r="D160" s="352">
        <f>IFERROR(__xludf.DUMMYFUNCTION("""COMPUTED_VALUE"""),"c_gom_00101_l05anniv_advent_Boss_Colorless")</f>
        <v/>
      </c>
      <c r="E160" s="352">
        <f>IFERROR(__xludf.DUMMYFUNCTION("""COMPUTED_VALUE"""),"姫様“拷問”の時間です")</f>
        <v/>
      </c>
      <c r="F160" s="352">
        <f>IFERROR(__xludf.DUMMYFUNCTION("""COMPUTED_VALUE"""),"トーチャー・トルチュール")</f>
        <v/>
      </c>
      <c r="G160" s="352">
        <f>IFERROR(__xludf.DUMMYFUNCTION("""COMPUTED_VALUE"""),"トーチャー・トルチュール_l05anniv_advent")</f>
        <v/>
      </c>
      <c r="H160" s="351">
        <f>IFERROR(__xludf.DUMMYFUNCTION("""COMPUTED_VALUE"""),"Boss")</f>
        <v/>
      </c>
      <c r="I160" s="351">
        <f>IFERROR(__xludf.DUMMYFUNCTION("""COMPUTED_VALUE"""),"Technical")</f>
        <v/>
      </c>
      <c r="J160" s="351">
        <f>IFERROR(__xludf.DUMMYFUNCTION("""COMPUTED_VALUE"""),"Colorless")</f>
        <v/>
      </c>
      <c r="K160" s="351">
        <f>IFERROR(__xludf.DUMMYFUNCTION("""COMPUTED_VALUE"""),10000.0)</f>
        <v/>
      </c>
      <c r="L160" s="351">
        <f>IFERROR(__xludf.DUMMYFUNCTION("""COMPUTED_VALUE"""),0.0)</f>
        <v/>
      </c>
      <c r="M160" s="351">
        <f>IFERROR(__xludf.DUMMYFUNCTION("""COMPUTED_VALUE"""),25.0)</f>
        <v/>
      </c>
      <c r="N160" s="351">
        <f>IFERROR(__xludf.DUMMYFUNCTION("""COMPUTED_VALUE"""),0.39)</f>
        <v/>
      </c>
      <c r="O160" s="351">
        <f>IFERROR(__xludf.DUMMYFUNCTION("""COMPUTED_VALUE"""),100.0)</f>
        <v/>
      </c>
      <c r="P160" s="351">
        <f>IFERROR(__xludf.DUMMYFUNCTION("""COMPUTED_VALUE"""),0.0)</f>
        <v/>
      </c>
      <c r="Q160" s="351">
        <f>IFERROR(__xludf.DUMMYFUNCTION("""COMPUTED_VALUE"""),0.4)</f>
        <v/>
      </c>
      <c r="R160" s="351">
        <f>IFERROR(__xludf.DUMMYFUNCTION("""COMPUTED_VALUE"""),100.0)</f>
        <v/>
      </c>
      <c r="S160" s="351">
        <f>IFERROR(__xludf.DUMMYFUNCTION("""COMPUTED_VALUE"""),400.0)</f>
        <v/>
      </c>
      <c r="T160" s="353">
        <f>IFERROR(__xludf.DUMMYFUNCTION("""COMPUTED_VALUE"""),"1.34")</f>
        <v/>
      </c>
      <c r="U160" s="351">
        <f>IFERROR(__xludf.DUMMYFUNCTION("""COMPUTED_VALUE"""),"stop無:1回目 0.43")</f>
        <v/>
      </c>
      <c r="V160" s="351">
        <f>IFERROR(__xludf.DUMMYFUNCTION("""COMPUTED_VALUE"""),100.0)</f>
        <v/>
      </c>
      <c r="W160" s="351">
        <f>IFERROR(__xludf.DUMMYFUNCTION("""COMPUTED_VALUE"""),"4.84")</f>
        <v/>
      </c>
      <c r="X160" s="351">
        <f>IFERROR(__xludf.DUMMYFUNCTION("""COMPUTED_VALUE"""),"stop無:1回目 3.00")</f>
        <v/>
      </c>
      <c r="Y160" s="351">
        <f>IFERROR(__xludf.DUMMYFUNCTION("""COMPUTED_VALUE"""),"範囲攻撃＋5秒間20%の弱体化")</f>
        <v/>
      </c>
      <c r="Z160" s="351">
        <f>IFERROR(__xludf.DUMMYFUNCTION("""COMPUTED_VALUE"""),6.0)</f>
        <v/>
      </c>
      <c r="AA160" s="327" t="n"/>
      <c r="AB160" s="327">
        <f>IFERROR(__xludf.DUMMYFUNCTION("""COMPUTED_VALUE"""),"dageki_2")</f>
        <v/>
      </c>
      <c r="AC160" s="327" t="n"/>
    </row>
    <row r="161">
      <c r="A161" s="327" t="n"/>
      <c r="B161" s="351">
        <f>IFERROR(__xludf.DUMMYFUNCTION("""COMPUTED_VALUE"""),"enemy_kai_00101")</f>
        <v/>
      </c>
      <c r="C161" s="352">
        <f>IFERROR(__xludf.DUMMYFUNCTION("""COMPUTED_VALUE"""),"_l05anniv_advent")</f>
        <v/>
      </c>
      <c r="D161" s="352">
        <f>IFERROR(__xludf.DUMMYFUNCTION("""COMPUTED_VALUE"""),"e_kai_00101_l05anniv_advent_Normal_Colorless")</f>
        <v/>
      </c>
      <c r="E161" s="352">
        <f>IFERROR(__xludf.DUMMYFUNCTION("""COMPUTED_VALUE"""),"怪獣８号")</f>
        <v/>
      </c>
      <c r="F161" s="352">
        <f>IFERROR(__xludf.DUMMYFUNCTION("""COMPUTED_VALUE"""),"怪獣 余獣")</f>
        <v/>
      </c>
      <c r="G161" s="352">
        <f>IFERROR(__xludf.DUMMYFUNCTION("""COMPUTED_VALUE"""),"怪獣 余獣_l05anniv_advent")</f>
        <v/>
      </c>
      <c r="H161" s="351">
        <f>IFERROR(__xludf.DUMMYFUNCTION("""COMPUTED_VALUE"""),"Normal")</f>
        <v/>
      </c>
      <c r="I161" s="351">
        <f>IFERROR(__xludf.DUMMYFUNCTION("""COMPUTED_VALUE"""),"Attack")</f>
        <v/>
      </c>
      <c r="J161" s="351">
        <f>IFERROR(__xludf.DUMMYFUNCTION("""COMPUTED_VALUE"""),"Colorless")</f>
        <v/>
      </c>
      <c r="K161" s="351">
        <f>IFERROR(__xludf.DUMMYFUNCTION("""COMPUTED_VALUE"""),1000.0)</f>
        <v/>
      </c>
      <c r="L161" s="351">
        <f>IFERROR(__xludf.DUMMYFUNCTION("""COMPUTED_VALUE"""),2.0)</f>
        <v/>
      </c>
      <c r="M161" s="351">
        <f>IFERROR(__xludf.DUMMYFUNCTION("""COMPUTED_VALUE"""),28.0)</f>
        <v/>
      </c>
      <c r="N161" s="351">
        <f>IFERROR(__xludf.DUMMYFUNCTION("""COMPUTED_VALUE"""),0.17)</f>
        <v/>
      </c>
      <c r="O161" s="351">
        <f>IFERROR(__xludf.DUMMYFUNCTION("""COMPUTED_VALUE"""),100.0)</f>
        <v/>
      </c>
      <c r="P161" s="351">
        <f>IFERROR(__xludf.DUMMYFUNCTION("""COMPUTED_VALUE"""),0.0)</f>
        <v/>
      </c>
      <c r="Q161" s="351">
        <f>IFERROR(__xludf.DUMMYFUNCTION("""COMPUTED_VALUE"""),0.18)</f>
        <v/>
      </c>
      <c r="R161" s="351">
        <f>IFERROR(__xludf.DUMMYFUNCTION("""COMPUTED_VALUE"""),1.0)</f>
        <v/>
      </c>
      <c r="S161" s="351">
        <f>IFERROR(__xludf.DUMMYFUNCTION("""COMPUTED_VALUE"""),100.0)</f>
        <v/>
      </c>
      <c r="T161" s="353">
        <f>IFERROR(__xludf.DUMMYFUNCTION("""COMPUTED_VALUE"""),"1.23")</f>
        <v/>
      </c>
      <c r="U161" s="351">
        <f>IFERROR(__xludf.DUMMYFUNCTION("""COMPUTED_VALUE"""),"stop有:1回目 0.56")</f>
        <v/>
      </c>
      <c r="V161" s="351">
        <f>IFERROR(__xludf.DUMMYFUNCTION("""COMPUTED_VALUE"""),100.0)</f>
        <v/>
      </c>
      <c r="W161" s="351">
        <f>IFERROR(__xludf.DUMMYFUNCTION("""COMPUTED_VALUE"""),"-")</f>
        <v/>
      </c>
      <c r="X161" s="351">
        <f>IFERROR(__xludf.DUMMYFUNCTION("""COMPUTED_VALUE"""),"-")</f>
        <v/>
      </c>
      <c r="Y161" s="351" t="n"/>
      <c r="Z161" s="351">
        <f>IFERROR(__xludf.DUMMYFUNCTION("""COMPUTED_VALUE"""),"-")</f>
        <v/>
      </c>
      <c r="AA161" s="327" t="n"/>
      <c r="AB161" s="327">
        <f>IFERROR(__xludf.DUMMYFUNCTION("""COMPUTED_VALUE"""),"dageki_1")</f>
        <v/>
      </c>
      <c r="AC161" s="327" t="n"/>
    </row>
    <row r="162">
      <c r="A162" s="327" t="n"/>
      <c r="B162" s="351">
        <f>IFERROR(__xludf.DUMMYFUNCTION("""COMPUTED_VALUE"""),"enemy_kai_00001")</f>
        <v/>
      </c>
      <c r="C162" s="352">
        <f>IFERROR(__xludf.DUMMYFUNCTION("""COMPUTED_VALUE"""),"_l05anniv_advent")</f>
        <v/>
      </c>
      <c r="D162" s="352">
        <f>IFERROR(__xludf.DUMMYFUNCTION("""COMPUTED_VALUE"""),"e_kai_00001_l05anniv_advent_Normal_Colorless")</f>
        <v/>
      </c>
      <c r="E162" s="352">
        <f>IFERROR(__xludf.DUMMYFUNCTION("""COMPUTED_VALUE"""),"怪獣８号")</f>
        <v/>
      </c>
      <c r="F162" s="352">
        <f>IFERROR(__xludf.DUMMYFUNCTION("""COMPUTED_VALUE"""),"怪獣 本獣")</f>
        <v/>
      </c>
      <c r="G162" s="352">
        <f>IFERROR(__xludf.DUMMYFUNCTION("""COMPUTED_VALUE"""),"怪獣 本獣_l05anniv_advent")</f>
        <v/>
      </c>
      <c r="H162" s="351">
        <f>IFERROR(__xludf.DUMMYFUNCTION("""COMPUTED_VALUE"""),"Normal")</f>
        <v/>
      </c>
      <c r="I162" s="351">
        <f>IFERROR(__xludf.DUMMYFUNCTION("""COMPUTED_VALUE"""),"Attack")</f>
        <v/>
      </c>
      <c r="J162" s="351">
        <f>IFERROR(__xludf.DUMMYFUNCTION("""COMPUTED_VALUE"""),"Colorless")</f>
        <v/>
      </c>
      <c r="K162" s="351">
        <f>IFERROR(__xludf.DUMMYFUNCTION("""COMPUTED_VALUE"""),1000.0)</f>
        <v/>
      </c>
      <c r="L162" s="351">
        <f>IFERROR(__xludf.DUMMYFUNCTION("""COMPUTED_VALUE"""),2.0)</f>
        <v/>
      </c>
      <c r="M162" s="351">
        <f>IFERROR(__xludf.DUMMYFUNCTION("""COMPUTED_VALUE"""),25.0)</f>
        <v/>
      </c>
      <c r="N162" s="351">
        <f>IFERROR(__xludf.DUMMYFUNCTION("""COMPUTED_VALUE"""),0.3)</f>
        <v/>
      </c>
      <c r="O162" s="351">
        <f>IFERROR(__xludf.DUMMYFUNCTION("""COMPUTED_VALUE"""),100.0)</f>
        <v/>
      </c>
      <c r="P162" s="351">
        <f>IFERROR(__xludf.DUMMYFUNCTION("""COMPUTED_VALUE"""),0.0)</f>
        <v/>
      </c>
      <c r="Q162" s="351">
        <f>IFERROR(__xludf.DUMMYFUNCTION("""COMPUTED_VALUE"""),0.4)</f>
        <v/>
      </c>
      <c r="R162" s="351">
        <f>IFERROR(__xludf.DUMMYFUNCTION("""COMPUTED_VALUE"""),100.0)</f>
        <v/>
      </c>
      <c r="S162" s="351">
        <f>IFERROR(__xludf.DUMMYFUNCTION("""COMPUTED_VALUE"""),100.0)</f>
        <v/>
      </c>
      <c r="T162" s="353">
        <f>IFERROR(__xludf.DUMMYFUNCTION("""COMPUTED_VALUE"""),"2.34")</f>
        <v/>
      </c>
      <c r="U162" s="351">
        <f>IFERROR(__xludf.DUMMYFUNCTION("""COMPUTED_VALUE"""),"stop有:1回目 1.00")</f>
        <v/>
      </c>
      <c r="V162" s="351">
        <f>IFERROR(__xludf.DUMMYFUNCTION("""COMPUTED_VALUE"""),100.0)</f>
        <v/>
      </c>
      <c r="W162" s="351">
        <f>IFERROR(__xludf.DUMMYFUNCTION("""COMPUTED_VALUE"""),"-")</f>
        <v/>
      </c>
      <c r="X162" s="351">
        <f>IFERROR(__xludf.DUMMYFUNCTION("""COMPUTED_VALUE"""),"-")</f>
        <v/>
      </c>
      <c r="Y162" s="351" t="n"/>
      <c r="Z162" s="351">
        <f>IFERROR(__xludf.DUMMYFUNCTION("""COMPUTED_VALUE"""),"-")</f>
        <v/>
      </c>
      <c r="AA162" s="327" t="n"/>
      <c r="AB162" s="327">
        <f>IFERROR(__xludf.DUMMYFUNCTION("""COMPUTED_VALUE"""),"dageki_1")</f>
        <v/>
      </c>
      <c r="AC162" s="327" t="n"/>
    </row>
    <row r="163">
      <c r="A163" s="327" t="n"/>
      <c r="B163" s="351">
        <f>IFERROR(__xludf.DUMMYFUNCTION("""COMPUTED_VALUE"""),"chara_gom_00001")</f>
        <v/>
      </c>
      <c r="C163" s="352">
        <f>IFERROR(__xludf.DUMMYFUNCTION("""COMPUTED_VALUE"""),"_l05anniv_advent")</f>
        <v/>
      </c>
      <c r="D163" s="352">
        <f>IFERROR(__xludf.DUMMYFUNCTION("""COMPUTED_VALUE"""),"c_gom_00001_l05anniv_advent_Boss_Blue")</f>
        <v/>
      </c>
      <c r="E163" s="352">
        <f>IFERROR(__xludf.DUMMYFUNCTION("""COMPUTED_VALUE"""),"姫様“拷問”の時間です")</f>
        <v/>
      </c>
      <c r="F163" s="352">
        <f>IFERROR(__xludf.DUMMYFUNCTION("""COMPUTED_VALUE"""),"囚われの王女 姫様")</f>
        <v/>
      </c>
      <c r="G163" s="352">
        <f>IFERROR(__xludf.DUMMYFUNCTION("""COMPUTED_VALUE"""),"囚われの王女 姫様_l05anniv_advent")</f>
        <v/>
      </c>
      <c r="H163" s="351">
        <f>IFERROR(__xludf.DUMMYFUNCTION("""COMPUTED_VALUE"""),"Boss")</f>
        <v/>
      </c>
      <c r="I163" s="351">
        <f>IFERROR(__xludf.DUMMYFUNCTION("""COMPUTED_VALUE"""),"Defense")</f>
        <v/>
      </c>
      <c r="J163" s="351">
        <f>IFERROR(__xludf.DUMMYFUNCTION("""COMPUTED_VALUE"""),"Blue")</f>
        <v/>
      </c>
      <c r="K163" s="351">
        <f>IFERROR(__xludf.DUMMYFUNCTION("""COMPUTED_VALUE"""),10000.0)</f>
        <v/>
      </c>
      <c r="L163" s="351">
        <f>IFERROR(__xludf.DUMMYFUNCTION("""COMPUTED_VALUE"""),1.0)</f>
        <v/>
      </c>
      <c r="M163" s="351">
        <f>IFERROR(__xludf.DUMMYFUNCTION("""COMPUTED_VALUE"""),25.0)</f>
        <v/>
      </c>
      <c r="N163" s="351">
        <f>IFERROR(__xludf.DUMMYFUNCTION("""COMPUTED_VALUE"""),0.16)</f>
        <v/>
      </c>
      <c r="O163" s="351">
        <f>IFERROR(__xludf.DUMMYFUNCTION("""COMPUTED_VALUE"""),100.0)</f>
        <v/>
      </c>
      <c r="P163" s="351">
        <f>IFERROR(__xludf.DUMMYFUNCTION("""COMPUTED_VALUE"""),0.0)</f>
        <v/>
      </c>
      <c r="Q163" s="351">
        <f>IFERROR(__xludf.DUMMYFUNCTION("""COMPUTED_VALUE"""),0.17)</f>
        <v/>
      </c>
      <c r="R163" s="351">
        <f>IFERROR(__xludf.DUMMYFUNCTION("""COMPUTED_VALUE"""),1.0)</f>
        <v/>
      </c>
      <c r="S163" s="351">
        <f>IFERROR(__xludf.DUMMYFUNCTION("""COMPUTED_VALUE"""),500.0)</f>
        <v/>
      </c>
      <c r="T163" s="353">
        <f>IFERROR(__xludf.DUMMYFUNCTION("""COMPUTED_VALUE"""),"1.30")</f>
        <v/>
      </c>
      <c r="U163" s="351">
        <f>IFERROR(__xludf.DUMMYFUNCTION("""COMPUTED_VALUE"""),"stop有:1回目 0.50")</f>
        <v/>
      </c>
      <c r="V163" s="351">
        <f>IFERROR(__xludf.DUMMYFUNCTION("""COMPUTED_VALUE"""),100.0)</f>
        <v/>
      </c>
      <c r="W163" s="351">
        <f>IFERROR(__xludf.DUMMYFUNCTION("""COMPUTED_VALUE"""),"4.00")</f>
        <v/>
      </c>
      <c r="X163" s="351">
        <f>IFERROR(__xludf.DUMMYFUNCTION("""COMPUTED_VALUE"""),"stop無:1回目 2.3")</f>
        <v/>
      </c>
      <c r="Y163" s="351">
        <f>IFERROR(__xludf.DUMMYFUNCTION("""COMPUTED_VALUE"""),"5秒間20%ダメージカット")</f>
        <v/>
      </c>
      <c r="Z163" s="351">
        <f>IFERROR(__xludf.DUMMYFUNCTION("""COMPUTED_VALUE"""),7.0)</f>
        <v/>
      </c>
      <c r="AA163" s="327">
        <f>IFERROR(__xludf.DUMMYFUNCTION("""COMPUTED_VALUE"""),"ノックバック無効")</f>
        <v/>
      </c>
      <c r="AB163" s="327" t="n"/>
      <c r="AC163" s="327" t="n"/>
    </row>
    <row r="164">
      <c r="A164" s="327" t="n"/>
      <c r="B164" s="351">
        <f>IFERROR(__xludf.DUMMYFUNCTION("""COMPUTED_VALUE"""),"chara_kai_00002")</f>
        <v/>
      </c>
      <c r="C164" s="352">
        <f>IFERROR(__xludf.DUMMYFUNCTION("""COMPUTED_VALUE"""),"_l05anniv_advent")</f>
        <v/>
      </c>
      <c r="D164" s="352">
        <f>IFERROR(__xludf.DUMMYFUNCTION("""COMPUTED_VALUE"""),"c_kai_00002_l05anniv_advent_Boss_Colorless")</f>
        <v/>
      </c>
      <c r="E164" s="352">
        <f>IFERROR(__xludf.DUMMYFUNCTION("""COMPUTED_VALUE"""),"怪獣８号")</f>
        <v/>
      </c>
      <c r="F164" s="352">
        <f>IFERROR(__xludf.DUMMYFUNCTION("""COMPUTED_VALUE"""),"隠された英雄の姿 怪獣８号")</f>
        <v/>
      </c>
      <c r="G164" s="352">
        <f>IFERROR(__xludf.DUMMYFUNCTION("""COMPUTED_VALUE"""),"隠された英雄の姿 怪獣８号_l05anniv_advent")</f>
        <v/>
      </c>
      <c r="H164" s="351">
        <f>IFERROR(__xludf.DUMMYFUNCTION("""COMPUTED_VALUE"""),"Boss")</f>
        <v/>
      </c>
      <c r="I164" s="351">
        <f>IFERROR(__xludf.DUMMYFUNCTION("""COMPUTED_VALUE"""),"Attack")</f>
        <v/>
      </c>
      <c r="J164" s="351">
        <f>IFERROR(__xludf.DUMMYFUNCTION("""COMPUTED_VALUE"""),"Colorless")</f>
        <v/>
      </c>
      <c r="K164" s="351">
        <f>IFERROR(__xludf.DUMMYFUNCTION("""COMPUTED_VALUE"""),10000.0)</f>
        <v/>
      </c>
      <c r="L164" s="351">
        <f>IFERROR(__xludf.DUMMYFUNCTION("""COMPUTED_VALUE"""),1.0)</f>
        <v/>
      </c>
      <c r="M164" s="351">
        <f>IFERROR(__xludf.DUMMYFUNCTION("""COMPUTED_VALUE"""),45.0)</f>
        <v/>
      </c>
      <c r="N164" s="351">
        <f>IFERROR(__xludf.DUMMYFUNCTION("""COMPUTED_VALUE"""),0.2)</f>
        <v/>
      </c>
      <c r="O164" s="351">
        <f>IFERROR(__xludf.DUMMYFUNCTION("""COMPUTED_VALUE"""),100.0)</f>
        <v/>
      </c>
      <c r="P164" s="351">
        <f>IFERROR(__xludf.DUMMYFUNCTION("""COMPUTED_VALUE"""),0.0)</f>
        <v/>
      </c>
      <c r="Q164" s="351">
        <f>IFERROR(__xludf.DUMMYFUNCTION("""COMPUTED_VALUE"""),0.3)</f>
        <v/>
      </c>
      <c r="R164" s="351">
        <f>IFERROR(__xludf.DUMMYFUNCTION("""COMPUTED_VALUE"""),1.0)</f>
        <v/>
      </c>
      <c r="S164" s="351">
        <f>IFERROR(__xludf.DUMMYFUNCTION("""COMPUTED_VALUE"""),500.0)</f>
        <v/>
      </c>
      <c r="T164" s="353">
        <f>IFERROR(__xludf.DUMMYFUNCTION("""COMPUTED_VALUE"""),"1.50")</f>
        <v/>
      </c>
      <c r="U164" s="351">
        <f>IFERROR(__xludf.DUMMYFUNCTION("""COMPUTED_VALUE"""),"stop無:1回目 0.54")</f>
        <v/>
      </c>
      <c r="V164" s="351">
        <f>IFERROR(__xludf.DUMMYFUNCTION("""COMPUTED_VALUE"""),100.0)</f>
        <v/>
      </c>
      <c r="W164" s="351">
        <f>IFERROR(__xludf.DUMMYFUNCTION("""COMPUTED_VALUE"""),"2.40")</f>
        <v/>
      </c>
      <c r="X164" s="351">
        <f>IFERROR(__xludf.DUMMYFUNCTION("""COMPUTED_VALUE"""),"stop有:1回目 1.00
stop無:2回目 1.37
stop無:3回目 1.54
stop無:4回目 1.70
stop無:5回目 1.87
stop無:6回目 2.04")</f>
        <v/>
      </c>
      <c r="Y164" s="351">
        <f>IFERROR(__xludf.DUMMYFUNCTION("""COMPUTED_VALUE"""),"連続攻撃+大ノックバック")</f>
        <v/>
      </c>
      <c r="Z164" s="351">
        <f>IFERROR(__xludf.DUMMYFUNCTION("""COMPUTED_VALUE"""),5.0)</f>
        <v/>
      </c>
      <c r="AA164" s="327" t="n"/>
      <c r="AB164" s="327">
        <f>IFERROR(__xludf.DUMMYFUNCTION("""COMPUTED_VALUE"""),"dageki_1")</f>
        <v/>
      </c>
      <c r="AC164" s="327" t="n"/>
    </row>
    <row r="165">
      <c r="A165" s="327" t="n"/>
      <c r="B165" s="351">
        <f>IFERROR(__xludf.DUMMYFUNCTION("""COMPUTED_VALUE"""),"chara_kai_00701")</f>
        <v/>
      </c>
      <c r="C165" s="352">
        <f>IFERROR(__xludf.DUMMYFUNCTION("""COMPUTED_VALUE"""),"_l05anniv_advent")</f>
        <v/>
      </c>
      <c r="D165" s="352">
        <f>IFERROR(__xludf.DUMMYFUNCTION("""COMPUTED_VALUE"""),"c_kai_00701_l05anniv_advent_Boss_Blue")</f>
        <v/>
      </c>
      <c r="E165" s="352">
        <f>IFERROR(__xludf.DUMMYFUNCTION("""COMPUTED_VALUE"""),"怪獣８号")</f>
        <v/>
      </c>
      <c r="F165" s="352">
        <f>IFERROR(__xludf.DUMMYFUNCTION("""COMPUTED_VALUE"""),"識別怪獣兵器1 鳴海 弦")</f>
        <v/>
      </c>
      <c r="G165" s="352">
        <f>IFERROR(__xludf.DUMMYFUNCTION("""COMPUTED_VALUE"""),"識別怪獣兵器1 鳴海 弦_l05anniv_advent")</f>
        <v/>
      </c>
      <c r="H165" s="351">
        <f>IFERROR(__xludf.DUMMYFUNCTION("""COMPUTED_VALUE"""),"Boss")</f>
        <v/>
      </c>
      <c r="I165" s="351">
        <f>IFERROR(__xludf.DUMMYFUNCTION("""COMPUTED_VALUE"""),"Defense")</f>
        <v/>
      </c>
      <c r="J165" s="351">
        <f>IFERROR(__xludf.DUMMYFUNCTION("""COMPUTED_VALUE"""),"Blue")</f>
        <v/>
      </c>
      <c r="K165" s="351">
        <f>IFERROR(__xludf.DUMMYFUNCTION("""COMPUTED_VALUE"""),10000.0)</f>
        <v/>
      </c>
      <c r="L165" s="351">
        <f>IFERROR(__xludf.DUMMYFUNCTION("""COMPUTED_VALUE"""),0.0)</f>
        <v/>
      </c>
      <c r="M165" s="351">
        <f>IFERROR(__xludf.DUMMYFUNCTION("""COMPUTED_VALUE"""),50.0)</f>
        <v/>
      </c>
      <c r="N165" s="351">
        <f>IFERROR(__xludf.DUMMYFUNCTION("""COMPUTED_VALUE"""),0.21)</f>
        <v/>
      </c>
      <c r="O165" s="351">
        <f>IFERROR(__xludf.DUMMYFUNCTION("""COMPUTED_VALUE"""),100.0)</f>
        <v/>
      </c>
      <c r="P165" s="351">
        <f>IFERROR(__xludf.DUMMYFUNCTION("""COMPUTED_VALUE"""),0.0)</f>
        <v/>
      </c>
      <c r="Q165" s="351">
        <f>IFERROR(__xludf.DUMMYFUNCTION("""COMPUTED_VALUE"""),0.22)</f>
        <v/>
      </c>
      <c r="R165" s="351">
        <f>IFERROR(__xludf.DUMMYFUNCTION("""COMPUTED_VALUE"""),1.0)</f>
        <v/>
      </c>
      <c r="S165" s="351">
        <f>IFERROR(__xludf.DUMMYFUNCTION("""COMPUTED_VALUE"""),500.0)</f>
        <v/>
      </c>
      <c r="T165" s="353">
        <f>IFERROR(__xludf.DUMMYFUNCTION("""COMPUTED_VALUE"""),"1.3")</f>
        <v/>
      </c>
      <c r="U165" s="351">
        <f>IFERROR(__xludf.DUMMYFUNCTION("""COMPUTED_VALUE"""),"stop有:1回目 0.13")</f>
        <v/>
      </c>
      <c r="V165" s="351">
        <f>IFERROR(__xludf.DUMMYFUNCTION("""COMPUTED_VALUE"""),100.0)</f>
        <v/>
      </c>
      <c r="W165" s="351">
        <f>IFERROR(__xludf.DUMMYFUNCTION("""COMPUTED_VALUE"""),"2.88")</f>
        <v/>
      </c>
      <c r="X165" s="351">
        <f>IFERROR(__xludf.DUMMYFUNCTION("""COMPUTED_VALUE"""),"stop有:1回目 1.2")</f>
        <v/>
      </c>
      <c r="Y165" s="351">
        <f>IFERROR(__xludf.DUMMYFUNCTION("""COMPUTED_VALUE"""),"範囲に攻撃+50％の確率で3秒氷結")</f>
        <v/>
      </c>
      <c r="Z165" s="351">
        <f>IFERROR(__xludf.DUMMYFUNCTION("""COMPUTED_VALUE"""),7.0)</f>
        <v/>
      </c>
      <c r="AA165" s="327">
        <f>IFERROR(__xludf.DUMMYFUNCTION("""COMPUTED_VALUE"""),"ノックバック無効")</f>
        <v/>
      </c>
      <c r="AB165" s="327" t="n"/>
      <c r="AC165" s="327" t="n"/>
    </row>
    <row r="166">
      <c r="A166" s="327" t="n"/>
      <c r="B166" s="351">
        <f>IFERROR(__xludf.DUMMYFUNCTION("""COMPUTED_VALUE"""),"enemy_kai_00301")</f>
        <v/>
      </c>
      <c r="C166" s="352">
        <f>IFERROR(__xludf.DUMMYFUNCTION("""COMPUTED_VALUE"""),"_l05anniv_advent")</f>
        <v/>
      </c>
      <c r="D166" s="352">
        <f>IFERROR(__xludf.DUMMYFUNCTION("""COMPUTED_VALUE"""),"e_kai_00301_l05anniv_advent_Normal_Blue")</f>
        <v/>
      </c>
      <c r="E166" s="352">
        <f>IFERROR(__xludf.DUMMYFUNCTION("""COMPUTED_VALUE"""),"怪獣８号")</f>
        <v/>
      </c>
      <c r="F166" s="352">
        <f>IFERROR(__xludf.DUMMYFUNCTION("""COMPUTED_VALUE"""),"蜘蛛の怪獣")</f>
        <v/>
      </c>
      <c r="G166" s="352">
        <f>IFERROR(__xludf.DUMMYFUNCTION("""COMPUTED_VALUE"""),"蜘蛛の怪獣_l05anniv_advent")</f>
        <v/>
      </c>
      <c r="H166" s="351">
        <f>IFERROR(__xludf.DUMMYFUNCTION("""COMPUTED_VALUE"""),"Normal")</f>
        <v/>
      </c>
      <c r="I166" s="351">
        <f>IFERROR(__xludf.DUMMYFUNCTION("""COMPUTED_VALUE"""),"Technical")</f>
        <v/>
      </c>
      <c r="J166" s="351">
        <f>IFERROR(__xludf.DUMMYFUNCTION("""COMPUTED_VALUE"""),"Blue")</f>
        <v/>
      </c>
      <c r="K166" s="351">
        <f>IFERROR(__xludf.DUMMYFUNCTION("""COMPUTED_VALUE"""),1000.0)</f>
        <v/>
      </c>
      <c r="L166" s="351">
        <f>IFERROR(__xludf.DUMMYFUNCTION("""COMPUTED_VALUE"""),2.0)</f>
        <v/>
      </c>
      <c r="M166" s="351">
        <f>IFERROR(__xludf.DUMMYFUNCTION("""COMPUTED_VALUE"""),31.0)</f>
        <v/>
      </c>
      <c r="N166" s="351">
        <f>IFERROR(__xludf.DUMMYFUNCTION("""COMPUTED_VALUE"""),0.17)</f>
        <v/>
      </c>
      <c r="O166" s="351">
        <f>IFERROR(__xludf.DUMMYFUNCTION("""COMPUTED_VALUE"""),100.0)</f>
        <v/>
      </c>
      <c r="P166" s="351">
        <f>IFERROR(__xludf.DUMMYFUNCTION("""COMPUTED_VALUE"""),0.0)</f>
        <v/>
      </c>
      <c r="Q166" s="351">
        <f>IFERROR(__xludf.DUMMYFUNCTION("""COMPUTED_VALUE"""),0.18)</f>
        <v/>
      </c>
      <c r="R166" s="351">
        <f>IFERROR(__xludf.DUMMYFUNCTION("""COMPUTED_VALUE"""),1.0)</f>
        <v/>
      </c>
      <c r="S166" s="351">
        <f>IFERROR(__xludf.DUMMYFUNCTION("""COMPUTED_VALUE"""),200.0)</f>
        <v/>
      </c>
      <c r="T166" s="353">
        <f>IFERROR(__xludf.DUMMYFUNCTION("""COMPUTED_VALUE"""),"1.00")</f>
        <v/>
      </c>
      <c r="U166" s="351">
        <f>IFERROR(__xludf.DUMMYFUNCTION("""COMPUTED_VALUE"""),"0.40")</f>
        <v/>
      </c>
      <c r="V166" s="351">
        <f>IFERROR(__xludf.DUMMYFUNCTION("""COMPUTED_VALUE"""),50.0)</f>
        <v/>
      </c>
      <c r="W166" s="351">
        <f>IFERROR(__xludf.DUMMYFUNCTION("""COMPUTED_VALUE"""),"-")</f>
        <v/>
      </c>
      <c r="X166" s="351">
        <f>IFERROR(__xludf.DUMMYFUNCTION("""COMPUTED_VALUE"""),"-")</f>
        <v/>
      </c>
      <c r="Y166" s="351" t="n"/>
      <c r="Z166" s="351">
        <f>IFERROR(__xludf.DUMMYFUNCTION("""COMPUTED_VALUE"""),"-")</f>
        <v/>
      </c>
      <c r="AA166" s="327" t="n"/>
      <c r="AB166" s="327">
        <f>IFERROR(__xludf.DUMMYFUNCTION("""COMPUTED_VALUE"""),"dageki_1")</f>
        <v/>
      </c>
      <c r="AC166" s="327" t="n"/>
    </row>
    <row r="167">
      <c r="A167" s="327" t="n"/>
      <c r="B167" s="351">
        <f>IFERROR(__xludf.DUMMYFUNCTION("""COMPUTED_VALUE"""),"enemy_kai_00201")</f>
        <v/>
      </c>
      <c r="C167" s="352">
        <f>IFERROR(__xludf.DUMMYFUNCTION("""COMPUTED_VALUE"""),"_l05anniv_advent")</f>
        <v/>
      </c>
      <c r="D167" s="352">
        <f>IFERROR(__xludf.DUMMYFUNCTION("""COMPUTED_VALUE"""),"e_kai_00201_l05anniv_advent_Boss_Blue")</f>
        <v/>
      </c>
      <c r="E167" s="352">
        <f>IFERROR(__xludf.DUMMYFUNCTION("""COMPUTED_VALUE"""),"怪獣８号")</f>
        <v/>
      </c>
      <c r="F167" s="352">
        <f>IFERROR(__xludf.DUMMYFUNCTION("""COMPUTED_VALUE"""),"怪獣９号")</f>
        <v/>
      </c>
      <c r="G167" s="352">
        <f>IFERROR(__xludf.DUMMYFUNCTION("""COMPUTED_VALUE"""),"怪獣９号_l05anniv_advent")</f>
        <v/>
      </c>
      <c r="H167" s="351">
        <f>IFERROR(__xludf.DUMMYFUNCTION("""COMPUTED_VALUE"""),"Boss")</f>
        <v/>
      </c>
      <c r="I167" s="351">
        <f>IFERROR(__xludf.DUMMYFUNCTION("""COMPUTED_VALUE"""),"Attack")</f>
        <v/>
      </c>
      <c r="J167" s="351">
        <f>IFERROR(__xludf.DUMMYFUNCTION("""COMPUTED_VALUE"""),"Blue")</f>
        <v/>
      </c>
      <c r="K167" s="351">
        <f>IFERROR(__xludf.DUMMYFUNCTION("""COMPUTED_VALUE"""),10000.0)</f>
        <v/>
      </c>
      <c r="L167" s="351">
        <f>IFERROR(__xludf.DUMMYFUNCTION("""COMPUTED_VALUE"""),1.0)</f>
        <v/>
      </c>
      <c r="M167" s="351">
        <f>IFERROR(__xludf.DUMMYFUNCTION("""COMPUTED_VALUE"""),31.0)</f>
        <v/>
      </c>
      <c r="N167" s="351">
        <f>IFERROR(__xludf.DUMMYFUNCTION("""COMPUTED_VALUE"""),0.35)</f>
        <v/>
      </c>
      <c r="O167" s="351">
        <f>IFERROR(__xludf.DUMMYFUNCTION("""COMPUTED_VALUE"""),100.0)</f>
        <v/>
      </c>
      <c r="P167" s="351">
        <f>IFERROR(__xludf.DUMMYFUNCTION("""COMPUTED_VALUE"""),0.0)</f>
        <v/>
      </c>
      <c r="Q167" s="351">
        <f>IFERROR(__xludf.DUMMYFUNCTION("""COMPUTED_VALUE"""),0.5)</f>
        <v/>
      </c>
      <c r="R167" s="351">
        <f>IFERROR(__xludf.DUMMYFUNCTION("""COMPUTED_VALUE"""),100.0)</f>
        <v/>
      </c>
      <c r="S167" s="351">
        <f>IFERROR(__xludf.DUMMYFUNCTION("""COMPUTED_VALUE"""),250.0)</f>
        <v/>
      </c>
      <c r="T167" s="353">
        <f>IFERROR(__xludf.DUMMYFUNCTION("""COMPUTED_VALUE"""),"2.47")</f>
        <v/>
      </c>
      <c r="U167" s="351">
        <f>IFERROR(__xludf.DUMMYFUNCTION("""COMPUTED_VALUE"""),"stop有:1回目 1.26")</f>
        <v/>
      </c>
      <c r="V167" s="351">
        <f>IFERROR(__xludf.DUMMYFUNCTION("""COMPUTED_VALUE"""),200.0)</f>
        <v/>
      </c>
      <c r="W167" s="351">
        <f>IFERROR(__xludf.DUMMYFUNCTION("""COMPUTED_VALUE"""),"-")</f>
        <v/>
      </c>
      <c r="X167" s="351">
        <f>IFERROR(__xludf.DUMMYFUNCTION("""COMPUTED_VALUE"""),"-")</f>
        <v/>
      </c>
      <c r="Y167" s="351" t="n"/>
      <c r="Z167" s="351">
        <f>IFERROR(__xludf.DUMMYFUNCTION("""COMPUTED_VALUE"""),"-")</f>
        <v/>
      </c>
      <c r="AA167" s="327" t="n"/>
      <c r="AB167" s="327">
        <f>IFERROR(__xludf.DUMMYFUNCTION("""COMPUTED_VALUE"""),"shageki_1")</f>
        <v/>
      </c>
      <c r="AC167" s="327">
        <f>IFERROR(__xludf.DUMMYFUNCTION("""COMPUTED_VALUE"""),"中ノックバック")</f>
        <v/>
      </c>
    </row>
    <row r="168">
      <c r="A168" s="327" t="n"/>
      <c r="B168" s="351">
        <f>IFERROR(__xludf.DUMMYFUNCTION("""COMPUTED_VALUE"""),"chara_kai_00201")</f>
        <v/>
      </c>
      <c r="C168" s="352">
        <f>IFERROR(__xludf.DUMMYFUNCTION("""COMPUTED_VALUE"""),"_l05anniv_advent")</f>
        <v/>
      </c>
      <c r="D168" s="352">
        <f>IFERROR(__xludf.DUMMYFUNCTION("""COMPUTED_VALUE"""),"c_kai_00201_l05anniv_advent_Boss_Blue")</f>
        <v/>
      </c>
      <c r="E168" s="352">
        <f>IFERROR(__xludf.DUMMYFUNCTION("""COMPUTED_VALUE"""),"怪獣８号")</f>
        <v/>
      </c>
      <c r="F168" s="352">
        <f>IFERROR(__xludf.DUMMYFUNCTION("""COMPUTED_VALUE"""),"第三部隊隊長 亜白 ミナ")</f>
        <v/>
      </c>
      <c r="G168" s="352">
        <f>IFERROR(__xludf.DUMMYFUNCTION("""COMPUTED_VALUE"""),"第三部隊隊長 亜白 ミナ_l05anniv_advent")</f>
        <v/>
      </c>
      <c r="H168" s="351">
        <f>IFERROR(__xludf.DUMMYFUNCTION("""COMPUTED_VALUE"""),"Boss")</f>
        <v/>
      </c>
      <c r="I168" s="351">
        <f>IFERROR(__xludf.DUMMYFUNCTION("""COMPUTED_VALUE"""),"Attack")</f>
        <v/>
      </c>
      <c r="J168" s="351">
        <f>IFERROR(__xludf.DUMMYFUNCTION("""COMPUTED_VALUE"""),"Blue")</f>
        <v/>
      </c>
      <c r="K168" s="351">
        <f>IFERROR(__xludf.DUMMYFUNCTION("""COMPUTED_VALUE"""),10000.0)</f>
        <v/>
      </c>
      <c r="L168" s="351">
        <f>IFERROR(__xludf.DUMMYFUNCTION("""COMPUTED_VALUE"""),2.0)</f>
        <v/>
      </c>
      <c r="M168" s="351">
        <f>IFERROR(__xludf.DUMMYFUNCTION("""COMPUTED_VALUE"""),31.0)</f>
        <v/>
      </c>
      <c r="N168" s="351">
        <f>IFERROR(__xludf.DUMMYFUNCTION("""COMPUTED_VALUE"""),0.4)</f>
        <v/>
      </c>
      <c r="O168" s="351">
        <f>IFERROR(__xludf.DUMMYFUNCTION("""COMPUTED_VALUE"""),100.0)</f>
        <v/>
      </c>
      <c r="P168" s="351">
        <f>IFERROR(__xludf.DUMMYFUNCTION("""COMPUTED_VALUE"""),0.0)</f>
        <v/>
      </c>
      <c r="Q168" s="351">
        <f>IFERROR(__xludf.DUMMYFUNCTION("""COMPUTED_VALUE"""),0.6)</f>
        <v/>
      </c>
      <c r="R168" s="351">
        <f>IFERROR(__xludf.DUMMYFUNCTION("""COMPUTED_VALUE"""),1.0)</f>
        <v/>
      </c>
      <c r="S168" s="351">
        <f>IFERROR(__xludf.DUMMYFUNCTION("""COMPUTED_VALUE"""),500.0)</f>
        <v/>
      </c>
      <c r="T168" s="353">
        <f>IFERROR(__xludf.DUMMYFUNCTION("""COMPUTED_VALUE"""),"1.50")</f>
        <v/>
      </c>
      <c r="U168" s="351">
        <f>IFERROR(__xludf.DUMMYFUNCTION("""COMPUTED_VALUE"""),"0.75")</f>
        <v/>
      </c>
      <c r="V168" s="351">
        <f>IFERROR(__xludf.DUMMYFUNCTION("""COMPUTED_VALUE"""),100.0)</f>
        <v/>
      </c>
      <c r="W168" s="351">
        <f>IFERROR(__xludf.DUMMYFUNCTION("""COMPUTED_VALUE"""),"4.41")</f>
        <v/>
      </c>
      <c r="X168" s="351">
        <f>IFERROR(__xludf.DUMMYFUNCTION("""COMPUTED_VALUE"""),"stop無:1回目 1.42
stop無:2回目 1.85
stop無:3回目 2.29
stop無:4回目 2.73
stop有:5回目 3.17")</f>
        <v/>
      </c>
      <c r="Y168" s="351">
        <f>IFERROR(__xludf.DUMMYFUNCTION("""COMPUTED_VALUE"""),"範囲に攻撃＋5秒間20%の弱体化")</f>
        <v/>
      </c>
      <c r="Z168" s="351">
        <f>IFERROR(__xludf.DUMMYFUNCTION("""COMPUTED_VALUE"""),4.0)</f>
        <v/>
      </c>
      <c r="AA168" s="327" t="n"/>
      <c r="AB168" s="327">
        <f>IFERROR(__xludf.DUMMYFUNCTION("""COMPUTED_VALUE"""),"shageki_1")</f>
        <v/>
      </c>
      <c r="AC168" s="327" t="n"/>
    </row>
    <row r="169">
      <c r="A169" s="327" t="n"/>
      <c r="B169" s="351">
        <f>IFERROR(__xludf.DUMMYFUNCTION("""COMPUTED_VALUE"""),"chara_gom_00701")</f>
        <v/>
      </c>
      <c r="C169" s="352">
        <f>IFERROR(__xludf.DUMMYFUNCTION("""COMPUTED_VALUE"""),"_l05anniv_advent")</f>
        <v/>
      </c>
      <c r="D169" s="352">
        <f>IFERROR(__xludf.DUMMYFUNCTION("""COMPUTED_VALUE"""),"c_gom_00701_l05anniv_advent_Normal_Blue")</f>
        <v/>
      </c>
      <c r="E169" s="352">
        <f>IFERROR(__xludf.DUMMYFUNCTION("""COMPUTED_VALUE"""),"姫様“拷問”の時間です")</f>
        <v/>
      </c>
      <c r="F169" s="352">
        <f>IFERROR(__xludf.DUMMYFUNCTION("""COMPUTED_VALUE"""),"カナッジ")</f>
        <v/>
      </c>
      <c r="G169" s="352">
        <f>IFERROR(__xludf.DUMMYFUNCTION("""COMPUTED_VALUE"""),"カナッジ_l05anniv_advent")</f>
        <v/>
      </c>
      <c r="H169" s="351">
        <f>IFERROR(__xludf.DUMMYFUNCTION("""COMPUTED_VALUE"""),"Normal")</f>
        <v/>
      </c>
      <c r="I169" s="351">
        <f>IFERROR(__xludf.DUMMYFUNCTION("""COMPUTED_VALUE"""),"Technical")</f>
        <v/>
      </c>
      <c r="J169" s="351">
        <f>IFERROR(__xludf.DUMMYFUNCTION("""COMPUTED_VALUE"""),"Blue")</f>
        <v/>
      </c>
      <c r="K169" s="351">
        <f>IFERROR(__xludf.DUMMYFUNCTION("""COMPUTED_VALUE"""),10000.0)</f>
        <v/>
      </c>
      <c r="L169" s="351">
        <f>IFERROR(__xludf.DUMMYFUNCTION("""COMPUTED_VALUE"""),1.0)</f>
        <v/>
      </c>
      <c r="M169" s="351">
        <f>IFERROR(__xludf.DUMMYFUNCTION("""COMPUTED_VALUE"""),30.0)</f>
        <v/>
      </c>
      <c r="N169" s="351">
        <f>IFERROR(__xludf.DUMMYFUNCTION("""COMPUTED_VALUE"""),0.19)</f>
        <v/>
      </c>
      <c r="O169" s="351">
        <f>IFERROR(__xludf.DUMMYFUNCTION("""COMPUTED_VALUE"""),100.0)</f>
        <v/>
      </c>
      <c r="P169" s="351">
        <f>IFERROR(__xludf.DUMMYFUNCTION("""COMPUTED_VALUE"""),0.0)</f>
        <v/>
      </c>
      <c r="Q169" s="351">
        <f>IFERROR(__xludf.DUMMYFUNCTION("""COMPUTED_VALUE"""),0.2)</f>
        <v/>
      </c>
      <c r="R169" s="351">
        <f>IFERROR(__xludf.DUMMYFUNCTION("""COMPUTED_VALUE"""),1.0)</f>
        <v/>
      </c>
      <c r="S169" s="351">
        <f>IFERROR(__xludf.DUMMYFUNCTION("""COMPUTED_VALUE"""),200.0)</f>
        <v/>
      </c>
      <c r="T169" s="353">
        <f>IFERROR(__xludf.DUMMYFUNCTION("""COMPUTED_VALUE"""),"1.57")</f>
        <v/>
      </c>
      <c r="U169" s="351">
        <f>IFERROR(__xludf.DUMMYFUNCTION("""COMPUTED_VALUE"""),"stop有: 0.42")</f>
        <v/>
      </c>
      <c r="V169" s="351">
        <f>IFERROR(__xludf.DUMMYFUNCTION("""COMPUTED_VALUE"""),100.0)</f>
        <v/>
      </c>
      <c r="W169" s="351">
        <f>IFERROR(__xludf.DUMMYFUNCTION("""COMPUTED_VALUE"""),"2.27")</f>
        <v/>
      </c>
      <c r="X169" s="351">
        <f>IFERROR(__xludf.DUMMYFUNCTION("""COMPUTED_VALUE"""),"stop無: 0.92")</f>
        <v/>
      </c>
      <c r="Y169" s="351">
        <f>IFERROR(__xludf.DUMMYFUNCTION("""COMPUTED_VALUE"""),"単体攻撃")</f>
        <v/>
      </c>
      <c r="Z169" s="351">
        <f>IFERROR(__xludf.DUMMYFUNCTION("""COMPUTED_VALUE"""),6.0)</f>
        <v/>
      </c>
      <c r="AA169" s="327" t="n"/>
      <c r="AB169" s="327">
        <f>IFERROR(__xludf.DUMMYFUNCTION("""COMPUTED_VALUE"""),"dageki_1")</f>
        <v/>
      </c>
      <c r="AC169" s="327" t="n"/>
    </row>
    <row r="170">
      <c r="A170" s="327" t="n"/>
      <c r="B170" s="351" t="n"/>
      <c r="C170" s="352" t="n"/>
      <c r="D170" s="352">
        <f>IFERROR(__xludf.DUMMYFUNCTION("""COMPUTED_VALUE"""),"___")</f>
        <v/>
      </c>
      <c r="E170" s="352">
        <f>IFERROR(__xludf.DUMMYFUNCTION("""COMPUTED_VALUE"""),"none")</f>
        <v/>
      </c>
      <c r="F170" s="352">
        <f>IFERROR(__xludf.DUMMYFUNCTION("""COMPUTED_VALUE"""),"none")</f>
        <v/>
      </c>
      <c r="G170" s="352">
        <f>IFERROR(__xludf.DUMMYFUNCTION("""COMPUTED_VALUE"""),"none")</f>
        <v/>
      </c>
      <c r="H170" s="351" t="n"/>
      <c r="I170" s="351">
        <f>IFERROR(__xludf.DUMMYFUNCTION("""COMPUTED_VALUE"""),"none")</f>
        <v/>
      </c>
      <c r="J170" s="351" t="n"/>
      <c r="K170" s="351" t="n"/>
      <c r="L170" s="351" t="n"/>
      <c r="M170" s="351" t="n"/>
      <c r="N170" s="351" t="n"/>
      <c r="O170" s="351" t="n"/>
      <c r="P170" s="351" t="n"/>
      <c r="Q170" s="351" t="n"/>
      <c r="R170" s="351" t="n"/>
      <c r="S170" s="351" t="n"/>
      <c r="T170" s="353">
        <f>IFERROR(__xludf.DUMMYFUNCTION("""COMPUTED_VALUE"""),"none")</f>
        <v/>
      </c>
      <c r="U170" s="351">
        <f>IFERROR(__xludf.DUMMYFUNCTION("""COMPUTED_VALUE"""),"none")</f>
        <v/>
      </c>
      <c r="V170" s="351" t="n"/>
      <c r="W170" s="351">
        <f>IFERROR(__xludf.DUMMYFUNCTION("""COMPUTED_VALUE"""),"none")</f>
        <v/>
      </c>
      <c r="X170" s="351">
        <f>IFERROR(__xludf.DUMMYFUNCTION("""COMPUTED_VALUE"""),"none")</f>
        <v/>
      </c>
      <c r="Y170" s="351" t="n"/>
      <c r="Z170" s="351">
        <f>IFERROR(__xludf.DUMMYFUNCTION("""COMPUTED_VALUE"""),"-")</f>
        <v/>
      </c>
      <c r="AA170" s="327" t="n"/>
      <c r="AB170" s="327">
        <f>IFERROR(__xludf.DUMMYFUNCTION("""COMPUTED_VALUE"""),"none")</f>
        <v/>
      </c>
      <c r="AC170" s="327" t="n"/>
    </row>
    <row r="171">
      <c r="A171" s="327" t="n"/>
      <c r="B171" s="351" t="n"/>
      <c r="C171" s="352" t="n"/>
      <c r="D171" s="352">
        <f>IFERROR(__xludf.DUMMYFUNCTION("""COMPUTED_VALUE"""),"___")</f>
        <v/>
      </c>
      <c r="E171" s="352">
        <f>IFERROR(__xludf.DUMMYFUNCTION("""COMPUTED_VALUE"""),"none")</f>
        <v/>
      </c>
      <c r="F171" s="352">
        <f>IFERROR(__xludf.DUMMYFUNCTION("""COMPUTED_VALUE"""),"none")</f>
        <v/>
      </c>
      <c r="G171" s="352">
        <f>IFERROR(__xludf.DUMMYFUNCTION("""COMPUTED_VALUE"""),"none")</f>
        <v/>
      </c>
      <c r="H171" s="351" t="n"/>
      <c r="I171" s="351">
        <f>IFERROR(__xludf.DUMMYFUNCTION("""COMPUTED_VALUE"""),"none")</f>
        <v/>
      </c>
      <c r="J171" s="351" t="n"/>
      <c r="K171" s="351" t="n"/>
      <c r="L171" s="351" t="n"/>
      <c r="M171" s="351" t="n"/>
      <c r="N171" s="351" t="n"/>
      <c r="O171" s="351" t="n"/>
      <c r="P171" s="351" t="n"/>
      <c r="Q171" s="351" t="n"/>
      <c r="R171" s="351" t="n"/>
      <c r="S171" s="351" t="n"/>
      <c r="T171" s="353">
        <f>IFERROR(__xludf.DUMMYFUNCTION("""COMPUTED_VALUE"""),"none")</f>
        <v/>
      </c>
      <c r="U171" s="351">
        <f>IFERROR(__xludf.DUMMYFUNCTION("""COMPUTED_VALUE"""),"none")</f>
        <v/>
      </c>
      <c r="V171" s="351" t="n"/>
      <c r="W171" s="351">
        <f>IFERROR(__xludf.DUMMYFUNCTION("""COMPUTED_VALUE"""),"none")</f>
        <v/>
      </c>
      <c r="X171" s="351">
        <f>IFERROR(__xludf.DUMMYFUNCTION("""COMPUTED_VALUE"""),"none")</f>
        <v/>
      </c>
      <c r="Y171" s="351" t="n"/>
      <c r="Z171" s="351">
        <f>IFERROR(__xludf.DUMMYFUNCTION("""COMPUTED_VALUE"""),"-")</f>
        <v/>
      </c>
      <c r="AA171" s="327" t="n"/>
      <c r="AB171" s="327">
        <f>IFERROR(__xludf.DUMMYFUNCTION("""COMPUTED_VALUE"""),"none")</f>
        <v/>
      </c>
      <c r="AC171" s="327" t="n"/>
    </row>
    <row r="172">
      <c r="A172" s="327" t="n"/>
      <c r="B172" s="351" t="n"/>
      <c r="C172" s="352" t="n"/>
      <c r="D172" s="352">
        <f>IFERROR(__xludf.DUMMYFUNCTION("""COMPUTED_VALUE"""),"___")</f>
        <v/>
      </c>
      <c r="E172" s="352">
        <f>IFERROR(__xludf.DUMMYFUNCTION("""COMPUTED_VALUE"""),"none")</f>
        <v/>
      </c>
      <c r="F172" s="352">
        <f>IFERROR(__xludf.DUMMYFUNCTION("""COMPUTED_VALUE"""),"none")</f>
        <v/>
      </c>
      <c r="G172" s="352">
        <f>IFERROR(__xludf.DUMMYFUNCTION("""COMPUTED_VALUE"""),"none")</f>
        <v/>
      </c>
      <c r="H172" s="351" t="n"/>
      <c r="I172" s="351">
        <f>IFERROR(__xludf.DUMMYFUNCTION("""COMPUTED_VALUE"""),"none")</f>
        <v/>
      </c>
      <c r="J172" s="351" t="n"/>
      <c r="K172" s="351" t="n"/>
      <c r="L172" s="351" t="n"/>
      <c r="M172" s="351" t="n"/>
      <c r="N172" s="351" t="n"/>
      <c r="O172" s="351" t="n"/>
      <c r="P172" s="351" t="n"/>
      <c r="Q172" s="351" t="n"/>
      <c r="R172" s="351" t="n"/>
      <c r="S172" s="351" t="n"/>
      <c r="T172" s="353">
        <f>IFERROR(__xludf.DUMMYFUNCTION("""COMPUTED_VALUE"""),"none")</f>
        <v/>
      </c>
      <c r="U172" s="351">
        <f>IFERROR(__xludf.DUMMYFUNCTION("""COMPUTED_VALUE"""),"none")</f>
        <v/>
      </c>
      <c r="V172" s="351" t="n"/>
      <c r="W172" s="351">
        <f>IFERROR(__xludf.DUMMYFUNCTION("""COMPUTED_VALUE"""),"none")</f>
        <v/>
      </c>
      <c r="X172" s="351">
        <f>IFERROR(__xludf.DUMMYFUNCTION("""COMPUTED_VALUE"""),"none")</f>
        <v/>
      </c>
      <c r="Y172" s="351" t="n"/>
      <c r="Z172" s="351">
        <f>IFERROR(__xludf.DUMMYFUNCTION("""COMPUTED_VALUE"""),"-")</f>
        <v/>
      </c>
      <c r="AA172" s="327" t="n"/>
      <c r="AB172" s="327">
        <f>IFERROR(__xludf.DUMMYFUNCTION("""COMPUTED_VALUE"""),"none")</f>
        <v/>
      </c>
      <c r="AC172" s="327" t="n"/>
    </row>
    <row r="173">
      <c r="A173" s="327" t="n"/>
      <c r="B173" s="351" t="n"/>
      <c r="C173" s="352" t="n"/>
      <c r="D173" s="352">
        <f>IFERROR(__xludf.DUMMYFUNCTION("""COMPUTED_VALUE"""),"___")</f>
        <v/>
      </c>
      <c r="E173" s="352">
        <f>IFERROR(__xludf.DUMMYFUNCTION("""COMPUTED_VALUE"""),"none")</f>
        <v/>
      </c>
      <c r="F173" s="352">
        <f>IFERROR(__xludf.DUMMYFUNCTION("""COMPUTED_VALUE"""),"none")</f>
        <v/>
      </c>
      <c r="G173" s="352">
        <f>IFERROR(__xludf.DUMMYFUNCTION("""COMPUTED_VALUE"""),"none")</f>
        <v/>
      </c>
      <c r="H173" s="351" t="n"/>
      <c r="I173" s="351">
        <f>IFERROR(__xludf.DUMMYFUNCTION("""COMPUTED_VALUE"""),"none")</f>
        <v/>
      </c>
      <c r="J173" s="351" t="n"/>
      <c r="K173" s="351" t="n"/>
      <c r="L173" s="351" t="n"/>
      <c r="M173" s="351" t="n"/>
      <c r="N173" s="351" t="n"/>
      <c r="O173" s="351" t="n"/>
      <c r="P173" s="351" t="n"/>
      <c r="Q173" s="351" t="n"/>
      <c r="R173" s="351" t="n"/>
      <c r="S173" s="351" t="n"/>
      <c r="T173" s="353">
        <f>IFERROR(__xludf.DUMMYFUNCTION("""COMPUTED_VALUE"""),"none")</f>
        <v/>
      </c>
      <c r="U173" s="351">
        <f>IFERROR(__xludf.DUMMYFUNCTION("""COMPUTED_VALUE"""),"none")</f>
        <v/>
      </c>
      <c r="V173" s="351" t="n"/>
      <c r="W173" s="351">
        <f>IFERROR(__xludf.DUMMYFUNCTION("""COMPUTED_VALUE"""),"none")</f>
        <v/>
      </c>
      <c r="X173" s="351">
        <f>IFERROR(__xludf.DUMMYFUNCTION("""COMPUTED_VALUE"""),"none")</f>
        <v/>
      </c>
      <c r="Y173" s="351" t="n"/>
      <c r="Z173" s="351">
        <f>IFERROR(__xludf.DUMMYFUNCTION("""COMPUTED_VALUE"""),"-")</f>
        <v/>
      </c>
      <c r="AA173" s="327" t="n"/>
      <c r="AB173" s="327">
        <f>IFERROR(__xludf.DUMMYFUNCTION("""COMPUTED_VALUE"""),"none")</f>
        <v/>
      </c>
      <c r="AC173" s="327" t="n"/>
    </row>
    <row r="174">
      <c r="A174" s="327" t="n"/>
      <c r="B174" s="351" t="n"/>
      <c r="C174" s="352" t="n"/>
      <c r="D174" s="352">
        <f>IFERROR(__xludf.DUMMYFUNCTION("""COMPUTED_VALUE"""),"___")</f>
        <v/>
      </c>
      <c r="E174" s="352">
        <f>IFERROR(__xludf.DUMMYFUNCTION("""COMPUTED_VALUE"""),"none")</f>
        <v/>
      </c>
      <c r="F174" s="352">
        <f>IFERROR(__xludf.DUMMYFUNCTION("""COMPUTED_VALUE"""),"none")</f>
        <v/>
      </c>
      <c r="G174" s="352">
        <f>IFERROR(__xludf.DUMMYFUNCTION("""COMPUTED_VALUE"""),"none")</f>
        <v/>
      </c>
      <c r="H174" s="351" t="n"/>
      <c r="I174" s="351">
        <f>IFERROR(__xludf.DUMMYFUNCTION("""COMPUTED_VALUE"""),"none")</f>
        <v/>
      </c>
      <c r="J174" s="351" t="n"/>
      <c r="K174" s="351" t="n"/>
      <c r="L174" s="351" t="n"/>
      <c r="M174" s="351" t="n"/>
      <c r="N174" s="351" t="n"/>
      <c r="O174" s="351" t="n"/>
      <c r="P174" s="351" t="n"/>
      <c r="Q174" s="351" t="n"/>
      <c r="R174" s="351" t="n"/>
      <c r="S174" s="351" t="n"/>
      <c r="T174" s="353">
        <f>IFERROR(__xludf.DUMMYFUNCTION("""COMPUTED_VALUE"""),"none")</f>
        <v/>
      </c>
      <c r="U174" s="351">
        <f>IFERROR(__xludf.DUMMYFUNCTION("""COMPUTED_VALUE"""),"none")</f>
        <v/>
      </c>
      <c r="V174" s="351" t="n"/>
      <c r="W174" s="351">
        <f>IFERROR(__xludf.DUMMYFUNCTION("""COMPUTED_VALUE"""),"none")</f>
        <v/>
      </c>
      <c r="X174" s="351">
        <f>IFERROR(__xludf.DUMMYFUNCTION("""COMPUTED_VALUE"""),"none")</f>
        <v/>
      </c>
      <c r="Y174" s="351" t="n"/>
      <c r="Z174" s="351">
        <f>IFERROR(__xludf.DUMMYFUNCTION("""COMPUTED_VALUE"""),"-")</f>
        <v/>
      </c>
      <c r="AA174" s="327" t="n"/>
      <c r="AB174" s="327">
        <f>IFERROR(__xludf.DUMMYFUNCTION("""COMPUTED_VALUE"""),"none")</f>
        <v/>
      </c>
      <c r="AC174" s="327" t="n"/>
    </row>
    <row r="175">
      <c r="A175" s="327" t="n"/>
      <c r="B175" s="351" t="n"/>
      <c r="C175" s="352" t="n"/>
      <c r="D175" s="352">
        <f>IFERROR(__xludf.DUMMYFUNCTION("""COMPUTED_VALUE"""),"___")</f>
        <v/>
      </c>
      <c r="E175" s="352">
        <f>IFERROR(__xludf.DUMMYFUNCTION("""COMPUTED_VALUE"""),"none")</f>
        <v/>
      </c>
      <c r="F175" s="352">
        <f>IFERROR(__xludf.DUMMYFUNCTION("""COMPUTED_VALUE"""),"none")</f>
        <v/>
      </c>
      <c r="G175" s="352">
        <f>IFERROR(__xludf.DUMMYFUNCTION("""COMPUTED_VALUE"""),"none")</f>
        <v/>
      </c>
      <c r="H175" s="351" t="n"/>
      <c r="I175" s="351">
        <f>IFERROR(__xludf.DUMMYFUNCTION("""COMPUTED_VALUE"""),"none")</f>
        <v/>
      </c>
      <c r="J175" s="351" t="n"/>
      <c r="K175" s="351" t="n"/>
      <c r="L175" s="351" t="n"/>
      <c r="M175" s="351" t="n"/>
      <c r="N175" s="351" t="n"/>
      <c r="O175" s="351" t="n"/>
      <c r="P175" s="351" t="n"/>
      <c r="Q175" s="351" t="n"/>
      <c r="R175" s="351" t="n"/>
      <c r="S175" s="351" t="n"/>
      <c r="T175" s="353">
        <f>IFERROR(__xludf.DUMMYFUNCTION("""COMPUTED_VALUE"""),"none")</f>
        <v/>
      </c>
      <c r="U175" s="351">
        <f>IFERROR(__xludf.DUMMYFUNCTION("""COMPUTED_VALUE"""),"none")</f>
        <v/>
      </c>
      <c r="V175" s="351" t="n"/>
      <c r="W175" s="351">
        <f>IFERROR(__xludf.DUMMYFUNCTION("""COMPUTED_VALUE"""),"none")</f>
        <v/>
      </c>
      <c r="X175" s="351">
        <f>IFERROR(__xludf.DUMMYFUNCTION("""COMPUTED_VALUE"""),"none")</f>
        <v/>
      </c>
      <c r="Y175" s="351" t="n"/>
      <c r="Z175" s="351">
        <f>IFERROR(__xludf.DUMMYFUNCTION("""COMPUTED_VALUE"""),"-")</f>
        <v/>
      </c>
      <c r="AA175" s="327" t="n"/>
      <c r="AB175" s="327">
        <f>IFERROR(__xludf.DUMMYFUNCTION("""COMPUTED_VALUE"""),"none")</f>
        <v/>
      </c>
      <c r="AC175" s="327" t="n"/>
    </row>
    <row r="176">
      <c r="A176" s="327" t="n"/>
      <c r="B176" s="351" t="n"/>
      <c r="C176" s="352" t="n"/>
      <c r="D176" s="352">
        <f>IFERROR(__xludf.DUMMYFUNCTION("""COMPUTED_VALUE"""),"___")</f>
        <v/>
      </c>
      <c r="E176" s="352">
        <f>IFERROR(__xludf.DUMMYFUNCTION("""COMPUTED_VALUE"""),"none")</f>
        <v/>
      </c>
      <c r="F176" s="352">
        <f>IFERROR(__xludf.DUMMYFUNCTION("""COMPUTED_VALUE"""),"none")</f>
        <v/>
      </c>
      <c r="G176" s="352">
        <f>IFERROR(__xludf.DUMMYFUNCTION("""COMPUTED_VALUE"""),"none")</f>
        <v/>
      </c>
      <c r="H176" s="351" t="n"/>
      <c r="I176" s="351">
        <f>IFERROR(__xludf.DUMMYFUNCTION("""COMPUTED_VALUE"""),"none")</f>
        <v/>
      </c>
      <c r="J176" s="351" t="n"/>
      <c r="K176" s="351" t="n"/>
      <c r="L176" s="351" t="n"/>
      <c r="M176" s="351" t="n"/>
      <c r="N176" s="351" t="n"/>
      <c r="O176" s="351" t="n"/>
      <c r="P176" s="351" t="n"/>
      <c r="Q176" s="351" t="n"/>
      <c r="R176" s="351" t="n"/>
      <c r="S176" s="351" t="n"/>
      <c r="T176" s="353">
        <f>IFERROR(__xludf.DUMMYFUNCTION("""COMPUTED_VALUE"""),"none")</f>
        <v/>
      </c>
      <c r="U176" s="351">
        <f>IFERROR(__xludf.DUMMYFUNCTION("""COMPUTED_VALUE"""),"none")</f>
        <v/>
      </c>
      <c r="V176" s="351" t="n"/>
      <c r="W176" s="351">
        <f>IFERROR(__xludf.DUMMYFUNCTION("""COMPUTED_VALUE"""),"none")</f>
        <v/>
      </c>
      <c r="X176" s="351">
        <f>IFERROR(__xludf.DUMMYFUNCTION("""COMPUTED_VALUE"""),"none")</f>
        <v/>
      </c>
      <c r="Y176" s="351" t="n"/>
      <c r="Z176" s="351">
        <f>IFERROR(__xludf.DUMMYFUNCTION("""COMPUTED_VALUE"""),"-")</f>
        <v/>
      </c>
      <c r="AA176" s="327" t="n"/>
      <c r="AB176" s="327">
        <f>IFERROR(__xludf.DUMMYFUNCTION("""COMPUTED_VALUE"""),"none")</f>
        <v/>
      </c>
      <c r="AC176" s="327" t="n"/>
    </row>
    <row r="177">
      <c r="A177" s="327" t="n"/>
      <c r="B177" s="351" t="n"/>
      <c r="C177" s="352" t="n"/>
      <c r="D177" s="352">
        <f>IFERROR(__xludf.DUMMYFUNCTION("""COMPUTED_VALUE"""),"___")</f>
        <v/>
      </c>
      <c r="E177" s="352">
        <f>IFERROR(__xludf.DUMMYFUNCTION("""COMPUTED_VALUE"""),"none")</f>
        <v/>
      </c>
      <c r="F177" s="352">
        <f>IFERROR(__xludf.DUMMYFUNCTION("""COMPUTED_VALUE"""),"none")</f>
        <v/>
      </c>
      <c r="G177" s="352">
        <f>IFERROR(__xludf.DUMMYFUNCTION("""COMPUTED_VALUE"""),"none")</f>
        <v/>
      </c>
      <c r="H177" s="351" t="n"/>
      <c r="I177" s="351">
        <f>IFERROR(__xludf.DUMMYFUNCTION("""COMPUTED_VALUE"""),"none")</f>
        <v/>
      </c>
      <c r="J177" s="351" t="n"/>
      <c r="K177" s="351" t="n"/>
      <c r="L177" s="351" t="n"/>
      <c r="M177" s="351" t="n"/>
      <c r="N177" s="351" t="n"/>
      <c r="O177" s="351" t="n"/>
      <c r="P177" s="351" t="n"/>
      <c r="Q177" s="351" t="n"/>
      <c r="R177" s="351" t="n"/>
      <c r="S177" s="351" t="n"/>
      <c r="T177" s="353">
        <f>IFERROR(__xludf.DUMMYFUNCTION("""COMPUTED_VALUE"""),"none")</f>
        <v/>
      </c>
      <c r="U177" s="351">
        <f>IFERROR(__xludf.DUMMYFUNCTION("""COMPUTED_VALUE"""),"none")</f>
        <v/>
      </c>
      <c r="V177" s="351" t="n"/>
      <c r="W177" s="351">
        <f>IFERROR(__xludf.DUMMYFUNCTION("""COMPUTED_VALUE"""),"none")</f>
        <v/>
      </c>
      <c r="X177" s="351">
        <f>IFERROR(__xludf.DUMMYFUNCTION("""COMPUTED_VALUE"""),"none")</f>
        <v/>
      </c>
      <c r="Y177" s="351" t="n"/>
      <c r="Z177" s="351">
        <f>IFERROR(__xludf.DUMMYFUNCTION("""COMPUTED_VALUE"""),"-")</f>
        <v/>
      </c>
      <c r="AA177" s="327" t="n"/>
      <c r="AB177" s="327">
        <f>IFERROR(__xludf.DUMMYFUNCTION("""COMPUTED_VALUE"""),"none")</f>
        <v/>
      </c>
      <c r="AC177" s="327" t="n"/>
    </row>
    <row r="178">
      <c r="A178" s="327" t="n"/>
      <c r="B178" s="351" t="n"/>
      <c r="C178" s="352" t="n"/>
      <c r="D178" s="352">
        <f>IFERROR(__xludf.DUMMYFUNCTION("""COMPUTED_VALUE"""),"___")</f>
        <v/>
      </c>
      <c r="E178" s="352">
        <f>IFERROR(__xludf.DUMMYFUNCTION("""COMPUTED_VALUE"""),"none")</f>
        <v/>
      </c>
      <c r="F178" s="352">
        <f>IFERROR(__xludf.DUMMYFUNCTION("""COMPUTED_VALUE"""),"none")</f>
        <v/>
      </c>
      <c r="G178" s="352">
        <f>IFERROR(__xludf.DUMMYFUNCTION("""COMPUTED_VALUE"""),"none")</f>
        <v/>
      </c>
      <c r="H178" s="351" t="n"/>
      <c r="I178" s="351">
        <f>IFERROR(__xludf.DUMMYFUNCTION("""COMPUTED_VALUE"""),"none")</f>
        <v/>
      </c>
      <c r="J178" s="351" t="n"/>
      <c r="K178" s="351" t="n"/>
      <c r="L178" s="351" t="n"/>
      <c r="M178" s="351" t="n"/>
      <c r="N178" s="351" t="n"/>
      <c r="O178" s="351" t="n"/>
      <c r="P178" s="351" t="n"/>
      <c r="Q178" s="351" t="n"/>
      <c r="R178" s="351" t="n"/>
      <c r="S178" s="351" t="n"/>
      <c r="T178" s="353">
        <f>IFERROR(__xludf.DUMMYFUNCTION("""COMPUTED_VALUE"""),"none")</f>
        <v/>
      </c>
      <c r="U178" s="351">
        <f>IFERROR(__xludf.DUMMYFUNCTION("""COMPUTED_VALUE"""),"none")</f>
        <v/>
      </c>
      <c r="V178" s="351" t="n"/>
      <c r="W178" s="351">
        <f>IFERROR(__xludf.DUMMYFUNCTION("""COMPUTED_VALUE"""),"none")</f>
        <v/>
      </c>
      <c r="X178" s="351">
        <f>IFERROR(__xludf.DUMMYFUNCTION("""COMPUTED_VALUE"""),"none")</f>
        <v/>
      </c>
      <c r="Y178" s="351" t="n"/>
      <c r="Z178" s="351">
        <f>IFERROR(__xludf.DUMMYFUNCTION("""COMPUTED_VALUE"""),"-")</f>
        <v/>
      </c>
      <c r="AA178" s="327" t="n"/>
      <c r="AB178" s="327">
        <f>IFERROR(__xludf.DUMMYFUNCTION("""COMPUTED_VALUE"""),"none")</f>
        <v/>
      </c>
      <c r="AC178" s="327" t="n"/>
    </row>
    <row r="179">
      <c r="A179" s="327" t="n"/>
      <c r="B179" s="351" t="n"/>
      <c r="C179" s="352" t="n"/>
      <c r="D179" s="352">
        <f>IFERROR(__xludf.DUMMYFUNCTION("""COMPUTED_VALUE"""),"___")</f>
        <v/>
      </c>
      <c r="E179" s="352">
        <f>IFERROR(__xludf.DUMMYFUNCTION("""COMPUTED_VALUE"""),"none")</f>
        <v/>
      </c>
      <c r="F179" s="352">
        <f>IFERROR(__xludf.DUMMYFUNCTION("""COMPUTED_VALUE"""),"none")</f>
        <v/>
      </c>
      <c r="G179" s="352">
        <f>IFERROR(__xludf.DUMMYFUNCTION("""COMPUTED_VALUE"""),"none")</f>
        <v/>
      </c>
      <c r="H179" s="351" t="n"/>
      <c r="I179" s="351">
        <f>IFERROR(__xludf.DUMMYFUNCTION("""COMPUTED_VALUE"""),"none")</f>
        <v/>
      </c>
      <c r="J179" s="351" t="n"/>
      <c r="K179" s="351" t="n"/>
      <c r="L179" s="351" t="n"/>
      <c r="M179" s="351" t="n"/>
      <c r="N179" s="351" t="n"/>
      <c r="O179" s="351" t="n"/>
      <c r="P179" s="351" t="n"/>
      <c r="Q179" s="351" t="n"/>
      <c r="R179" s="351" t="n"/>
      <c r="S179" s="351" t="n"/>
      <c r="T179" s="353">
        <f>IFERROR(__xludf.DUMMYFUNCTION("""COMPUTED_VALUE"""),"none")</f>
        <v/>
      </c>
      <c r="U179" s="351">
        <f>IFERROR(__xludf.DUMMYFUNCTION("""COMPUTED_VALUE"""),"none")</f>
        <v/>
      </c>
      <c r="V179" s="351" t="n"/>
      <c r="W179" s="351">
        <f>IFERROR(__xludf.DUMMYFUNCTION("""COMPUTED_VALUE"""),"none")</f>
        <v/>
      </c>
      <c r="X179" s="351">
        <f>IFERROR(__xludf.DUMMYFUNCTION("""COMPUTED_VALUE"""),"none")</f>
        <v/>
      </c>
      <c r="Y179" s="351" t="n"/>
      <c r="Z179" s="351">
        <f>IFERROR(__xludf.DUMMYFUNCTION("""COMPUTED_VALUE"""),"-")</f>
        <v/>
      </c>
      <c r="AA179" s="327" t="n"/>
      <c r="AB179" s="327">
        <f>IFERROR(__xludf.DUMMYFUNCTION("""COMPUTED_VALUE"""),"none")</f>
        <v/>
      </c>
      <c r="AC179" s="327" t="n"/>
    </row>
    <row r="180">
      <c r="A180" s="327" t="n"/>
      <c r="B180" s="351" t="n"/>
      <c r="C180" s="352" t="n"/>
      <c r="D180" s="352">
        <f>IFERROR(__xludf.DUMMYFUNCTION("""COMPUTED_VALUE"""),"___")</f>
        <v/>
      </c>
      <c r="E180" s="352">
        <f>IFERROR(__xludf.DUMMYFUNCTION("""COMPUTED_VALUE"""),"none")</f>
        <v/>
      </c>
      <c r="F180" s="352">
        <f>IFERROR(__xludf.DUMMYFUNCTION("""COMPUTED_VALUE"""),"none")</f>
        <v/>
      </c>
      <c r="G180" s="352">
        <f>IFERROR(__xludf.DUMMYFUNCTION("""COMPUTED_VALUE"""),"none")</f>
        <v/>
      </c>
      <c r="H180" s="351" t="n"/>
      <c r="I180" s="351">
        <f>IFERROR(__xludf.DUMMYFUNCTION("""COMPUTED_VALUE"""),"none")</f>
        <v/>
      </c>
      <c r="J180" s="351" t="n"/>
      <c r="K180" s="351" t="n"/>
      <c r="L180" s="351" t="n"/>
      <c r="M180" s="351" t="n"/>
      <c r="N180" s="351" t="n"/>
      <c r="O180" s="351" t="n"/>
      <c r="P180" s="351" t="n"/>
      <c r="Q180" s="351" t="n"/>
      <c r="R180" s="351" t="n"/>
      <c r="S180" s="351" t="n"/>
      <c r="T180" s="353">
        <f>IFERROR(__xludf.DUMMYFUNCTION("""COMPUTED_VALUE"""),"none")</f>
        <v/>
      </c>
      <c r="U180" s="351">
        <f>IFERROR(__xludf.DUMMYFUNCTION("""COMPUTED_VALUE"""),"none")</f>
        <v/>
      </c>
      <c r="V180" s="351" t="n"/>
      <c r="W180" s="351">
        <f>IFERROR(__xludf.DUMMYFUNCTION("""COMPUTED_VALUE"""),"none")</f>
        <v/>
      </c>
      <c r="X180" s="351">
        <f>IFERROR(__xludf.DUMMYFUNCTION("""COMPUTED_VALUE"""),"none")</f>
        <v/>
      </c>
      <c r="Y180" s="351" t="n"/>
      <c r="Z180" s="351">
        <f>IFERROR(__xludf.DUMMYFUNCTION("""COMPUTED_VALUE"""),"-")</f>
        <v/>
      </c>
      <c r="AA180" s="327" t="n"/>
      <c r="AB180" s="327">
        <f>IFERROR(__xludf.DUMMYFUNCTION("""COMPUTED_VALUE"""),"none")</f>
        <v/>
      </c>
      <c r="AC180" s="327" t="n"/>
    </row>
    <row r="181">
      <c r="A181" s="327" t="n"/>
      <c r="B181" s="351" t="n"/>
      <c r="C181" s="352" t="n"/>
      <c r="D181" s="352">
        <f>IFERROR(__xludf.DUMMYFUNCTION("""COMPUTED_VALUE"""),"___")</f>
        <v/>
      </c>
      <c r="E181" s="352">
        <f>IFERROR(__xludf.DUMMYFUNCTION("""COMPUTED_VALUE"""),"none")</f>
        <v/>
      </c>
      <c r="F181" s="352">
        <f>IFERROR(__xludf.DUMMYFUNCTION("""COMPUTED_VALUE"""),"none")</f>
        <v/>
      </c>
      <c r="G181" s="352">
        <f>IFERROR(__xludf.DUMMYFUNCTION("""COMPUTED_VALUE"""),"none")</f>
        <v/>
      </c>
      <c r="H181" s="351" t="n"/>
      <c r="I181" s="351">
        <f>IFERROR(__xludf.DUMMYFUNCTION("""COMPUTED_VALUE"""),"none")</f>
        <v/>
      </c>
      <c r="J181" s="351" t="n"/>
      <c r="K181" s="351" t="n"/>
      <c r="L181" s="351" t="n"/>
      <c r="M181" s="351" t="n"/>
      <c r="N181" s="351" t="n"/>
      <c r="O181" s="351" t="n"/>
      <c r="P181" s="351" t="n"/>
      <c r="Q181" s="351" t="n"/>
      <c r="R181" s="351" t="n"/>
      <c r="S181" s="351" t="n"/>
      <c r="T181" s="353">
        <f>IFERROR(__xludf.DUMMYFUNCTION("""COMPUTED_VALUE"""),"none")</f>
        <v/>
      </c>
      <c r="U181" s="351">
        <f>IFERROR(__xludf.DUMMYFUNCTION("""COMPUTED_VALUE"""),"none")</f>
        <v/>
      </c>
      <c r="V181" s="351" t="n"/>
      <c r="W181" s="351">
        <f>IFERROR(__xludf.DUMMYFUNCTION("""COMPUTED_VALUE"""),"none")</f>
        <v/>
      </c>
      <c r="X181" s="351">
        <f>IFERROR(__xludf.DUMMYFUNCTION("""COMPUTED_VALUE"""),"none")</f>
        <v/>
      </c>
      <c r="Y181" s="351" t="n"/>
      <c r="Z181" s="351">
        <f>IFERROR(__xludf.DUMMYFUNCTION("""COMPUTED_VALUE"""),"-")</f>
        <v/>
      </c>
      <c r="AA181" s="327" t="n"/>
      <c r="AB181" s="327">
        <f>IFERROR(__xludf.DUMMYFUNCTION("""COMPUTED_VALUE"""),"none")</f>
        <v/>
      </c>
      <c r="AC181" s="327" t="n"/>
    </row>
    <row r="182">
      <c r="A182" s="327" t="n"/>
      <c r="B182" s="351" t="n"/>
      <c r="C182" s="352" t="n"/>
      <c r="D182" s="352">
        <f>IFERROR(__xludf.DUMMYFUNCTION("""COMPUTED_VALUE"""),"___")</f>
        <v/>
      </c>
      <c r="E182" s="352">
        <f>IFERROR(__xludf.DUMMYFUNCTION("""COMPUTED_VALUE"""),"none")</f>
        <v/>
      </c>
      <c r="F182" s="352">
        <f>IFERROR(__xludf.DUMMYFUNCTION("""COMPUTED_VALUE"""),"none")</f>
        <v/>
      </c>
      <c r="G182" s="352">
        <f>IFERROR(__xludf.DUMMYFUNCTION("""COMPUTED_VALUE"""),"none")</f>
        <v/>
      </c>
      <c r="H182" s="351" t="n"/>
      <c r="I182" s="351">
        <f>IFERROR(__xludf.DUMMYFUNCTION("""COMPUTED_VALUE"""),"none")</f>
        <v/>
      </c>
      <c r="J182" s="351" t="n"/>
      <c r="K182" s="351" t="n"/>
      <c r="L182" s="351" t="n"/>
      <c r="M182" s="351" t="n"/>
      <c r="N182" s="351" t="n"/>
      <c r="O182" s="351" t="n"/>
      <c r="P182" s="351" t="n"/>
      <c r="Q182" s="351" t="n"/>
      <c r="R182" s="351" t="n"/>
      <c r="S182" s="351" t="n"/>
      <c r="T182" s="353">
        <f>IFERROR(__xludf.DUMMYFUNCTION("""COMPUTED_VALUE"""),"none")</f>
        <v/>
      </c>
      <c r="U182" s="351">
        <f>IFERROR(__xludf.DUMMYFUNCTION("""COMPUTED_VALUE"""),"none")</f>
        <v/>
      </c>
      <c r="V182" s="351" t="n"/>
      <c r="W182" s="351">
        <f>IFERROR(__xludf.DUMMYFUNCTION("""COMPUTED_VALUE"""),"none")</f>
        <v/>
      </c>
      <c r="X182" s="351">
        <f>IFERROR(__xludf.DUMMYFUNCTION("""COMPUTED_VALUE"""),"none")</f>
        <v/>
      </c>
      <c r="Y182" s="351" t="n"/>
      <c r="Z182" s="351">
        <f>IFERROR(__xludf.DUMMYFUNCTION("""COMPUTED_VALUE"""),"-")</f>
        <v/>
      </c>
      <c r="AA182" s="327" t="n"/>
      <c r="AB182" s="327">
        <f>IFERROR(__xludf.DUMMYFUNCTION("""COMPUTED_VALUE"""),"none")</f>
        <v/>
      </c>
      <c r="AC182" s="327" t="n"/>
    </row>
    <row r="183">
      <c r="A183" s="327" t="n"/>
      <c r="B183" s="351" t="n"/>
      <c r="C183" s="352" t="n"/>
      <c r="D183" s="352">
        <f>IFERROR(__xludf.DUMMYFUNCTION("""COMPUTED_VALUE"""),"___")</f>
        <v/>
      </c>
      <c r="E183" s="352">
        <f>IFERROR(__xludf.DUMMYFUNCTION("""COMPUTED_VALUE"""),"none")</f>
        <v/>
      </c>
      <c r="F183" s="352">
        <f>IFERROR(__xludf.DUMMYFUNCTION("""COMPUTED_VALUE"""),"none")</f>
        <v/>
      </c>
      <c r="G183" s="352">
        <f>IFERROR(__xludf.DUMMYFUNCTION("""COMPUTED_VALUE"""),"none")</f>
        <v/>
      </c>
      <c r="H183" s="351" t="n"/>
      <c r="I183" s="351">
        <f>IFERROR(__xludf.DUMMYFUNCTION("""COMPUTED_VALUE"""),"none")</f>
        <v/>
      </c>
      <c r="J183" s="351" t="n"/>
      <c r="K183" s="351" t="n"/>
      <c r="L183" s="351" t="n"/>
      <c r="M183" s="351" t="n"/>
      <c r="N183" s="351" t="n"/>
      <c r="O183" s="351" t="n"/>
      <c r="P183" s="351" t="n"/>
      <c r="Q183" s="351" t="n"/>
      <c r="R183" s="351" t="n"/>
      <c r="S183" s="351" t="n"/>
      <c r="T183" s="353">
        <f>IFERROR(__xludf.DUMMYFUNCTION("""COMPUTED_VALUE"""),"none")</f>
        <v/>
      </c>
      <c r="U183" s="351">
        <f>IFERROR(__xludf.DUMMYFUNCTION("""COMPUTED_VALUE"""),"none")</f>
        <v/>
      </c>
      <c r="V183" s="351" t="n"/>
      <c r="W183" s="351">
        <f>IFERROR(__xludf.DUMMYFUNCTION("""COMPUTED_VALUE"""),"none")</f>
        <v/>
      </c>
      <c r="X183" s="351">
        <f>IFERROR(__xludf.DUMMYFUNCTION("""COMPUTED_VALUE"""),"none")</f>
        <v/>
      </c>
      <c r="Y183" s="351" t="n"/>
      <c r="Z183" s="351">
        <f>IFERROR(__xludf.DUMMYFUNCTION("""COMPUTED_VALUE"""),"-")</f>
        <v/>
      </c>
      <c r="AA183" s="327" t="n"/>
      <c r="AB183" s="327">
        <f>IFERROR(__xludf.DUMMYFUNCTION("""COMPUTED_VALUE"""),"none")</f>
        <v/>
      </c>
      <c r="AC183" s="327" t="n"/>
    </row>
    <row r="184">
      <c r="A184" s="327" t="n"/>
      <c r="B184" s="351" t="n"/>
      <c r="C184" s="352" t="n"/>
      <c r="D184" s="352">
        <f>IFERROR(__xludf.DUMMYFUNCTION("""COMPUTED_VALUE"""),"___")</f>
        <v/>
      </c>
      <c r="E184" s="352">
        <f>IFERROR(__xludf.DUMMYFUNCTION("""COMPUTED_VALUE"""),"none")</f>
        <v/>
      </c>
      <c r="F184" s="352">
        <f>IFERROR(__xludf.DUMMYFUNCTION("""COMPUTED_VALUE"""),"none")</f>
        <v/>
      </c>
      <c r="G184" s="352">
        <f>IFERROR(__xludf.DUMMYFUNCTION("""COMPUTED_VALUE"""),"none")</f>
        <v/>
      </c>
      <c r="H184" s="351" t="n"/>
      <c r="I184" s="351">
        <f>IFERROR(__xludf.DUMMYFUNCTION("""COMPUTED_VALUE"""),"none")</f>
        <v/>
      </c>
      <c r="J184" s="351" t="n"/>
      <c r="K184" s="351" t="n"/>
      <c r="L184" s="351" t="n"/>
      <c r="M184" s="351" t="n"/>
      <c r="N184" s="351" t="n"/>
      <c r="O184" s="351" t="n"/>
      <c r="P184" s="351" t="n"/>
      <c r="Q184" s="351" t="n"/>
      <c r="R184" s="351" t="n"/>
      <c r="S184" s="351" t="n"/>
      <c r="T184" s="353">
        <f>IFERROR(__xludf.DUMMYFUNCTION("""COMPUTED_VALUE"""),"none")</f>
        <v/>
      </c>
      <c r="U184" s="351">
        <f>IFERROR(__xludf.DUMMYFUNCTION("""COMPUTED_VALUE"""),"none")</f>
        <v/>
      </c>
      <c r="V184" s="351" t="n"/>
      <c r="W184" s="351">
        <f>IFERROR(__xludf.DUMMYFUNCTION("""COMPUTED_VALUE"""),"none")</f>
        <v/>
      </c>
      <c r="X184" s="351">
        <f>IFERROR(__xludf.DUMMYFUNCTION("""COMPUTED_VALUE"""),"none")</f>
        <v/>
      </c>
      <c r="Y184" s="351" t="n"/>
      <c r="Z184" s="351">
        <f>IFERROR(__xludf.DUMMYFUNCTION("""COMPUTED_VALUE"""),"-")</f>
        <v/>
      </c>
      <c r="AA184" s="327" t="n"/>
      <c r="AB184" s="327">
        <f>IFERROR(__xludf.DUMMYFUNCTION("""COMPUTED_VALUE"""),"none")</f>
        <v/>
      </c>
      <c r="AC184" s="327" t="n"/>
    </row>
    <row r="185">
      <c r="A185" s="327" t="n"/>
      <c r="B185" s="351" t="n"/>
      <c r="C185" s="352" t="n"/>
      <c r="D185" s="352">
        <f>IFERROR(__xludf.DUMMYFUNCTION("""COMPUTED_VALUE"""),"___")</f>
        <v/>
      </c>
      <c r="E185" s="352">
        <f>IFERROR(__xludf.DUMMYFUNCTION("""COMPUTED_VALUE"""),"none")</f>
        <v/>
      </c>
      <c r="F185" s="352">
        <f>IFERROR(__xludf.DUMMYFUNCTION("""COMPUTED_VALUE"""),"none")</f>
        <v/>
      </c>
      <c r="G185" s="352">
        <f>IFERROR(__xludf.DUMMYFUNCTION("""COMPUTED_VALUE"""),"none")</f>
        <v/>
      </c>
      <c r="H185" s="351" t="n"/>
      <c r="I185" s="351">
        <f>IFERROR(__xludf.DUMMYFUNCTION("""COMPUTED_VALUE"""),"none")</f>
        <v/>
      </c>
      <c r="J185" s="351" t="n"/>
      <c r="K185" s="351" t="n"/>
      <c r="L185" s="351" t="n"/>
      <c r="M185" s="351" t="n"/>
      <c r="N185" s="351" t="n"/>
      <c r="O185" s="351" t="n"/>
      <c r="P185" s="351" t="n"/>
      <c r="Q185" s="351" t="n"/>
      <c r="R185" s="351" t="n"/>
      <c r="S185" s="351" t="n"/>
      <c r="T185" s="353">
        <f>IFERROR(__xludf.DUMMYFUNCTION("""COMPUTED_VALUE"""),"none")</f>
        <v/>
      </c>
      <c r="U185" s="351">
        <f>IFERROR(__xludf.DUMMYFUNCTION("""COMPUTED_VALUE"""),"none")</f>
        <v/>
      </c>
      <c r="V185" s="351" t="n"/>
      <c r="W185" s="351">
        <f>IFERROR(__xludf.DUMMYFUNCTION("""COMPUTED_VALUE"""),"none")</f>
        <v/>
      </c>
      <c r="X185" s="351">
        <f>IFERROR(__xludf.DUMMYFUNCTION("""COMPUTED_VALUE"""),"none")</f>
        <v/>
      </c>
      <c r="Y185" s="351" t="n"/>
      <c r="Z185" s="351">
        <f>IFERROR(__xludf.DUMMYFUNCTION("""COMPUTED_VALUE"""),"-")</f>
        <v/>
      </c>
      <c r="AA185" s="327" t="n"/>
      <c r="AB185" s="327">
        <f>IFERROR(__xludf.DUMMYFUNCTION("""COMPUTED_VALUE"""),"none")</f>
        <v/>
      </c>
      <c r="AC185" s="327" t="n"/>
    </row>
    <row r="186">
      <c r="A186" s="327" t="n"/>
      <c r="B186" s="351" t="n"/>
      <c r="C186" s="352" t="n"/>
      <c r="D186" s="352">
        <f>IFERROR(__xludf.DUMMYFUNCTION("""COMPUTED_VALUE"""),"___")</f>
        <v/>
      </c>
      <c r="E186" s="352">
        <f>IFERROR(__xludf.DUMMYFUNCTION("""COMPUTED_VALUE"""),"none")</f>
        <v/>
      </c>
      <c r="F186" s="352">
        <f>IFERROR(__xludf.DUMMYFUNCTION("""COMPUTED_VALUE"""),"none")</f>
        <v/>
      </c>
      <c r="G186" s="352">
        <f>IFERROR(__xludf.DUMMYFUNCTION("""COMPUTED_VALUE"""),"none")</f>
        <v/>
      </c>
      <c r="H186" s="351" t="n"/>
      <c r="I186" s="351">
        <f>IFERROR(__xludf.DUMMYFUNCTION("""COMPUTED_VALUE"""),"none")</f>
        <v/>
      </c>
      <c r="J186" s="351" t="n"/>
      <c r="K186" s="351" t="n"/>
      <c r="L186" s="351" t="n"/>
      <c r="M186" s="351" t="n"/>
      <c r="N186" s="351" t="n"/>
      <c r="O186" s="351" t="n"/>
      <c r="P186" s="351" t="n"/>
      <c r="Q186" s="351" t="n"/>
      <c r="R186" s="351" t="n"/>
      <c r="S186" s="351" t="n"/>
      <c r="T186" s="353">
        <f>IFERROR(__xludf.DUMMYFUNCTION("""COMPUTED_VALUE"""),"none")</f>
        <v/>
      </c>
      <c r="U186" s="351">
        <f>IFERROR(__xludf.DUMMYFUNCTION("""COMPUTED_VALUE"""),"none")</f>
        <v/>
      </c>
      <c r="V186" s="351" t="n"/>
      <c r="W186" s="351">
        <f>IFERROR(__xludf.DUMMYFUNCTION("""COMPUTED_VALUE"""),"none")</f>
        <v/>
      </c>
      <c r="X186" s="351">
        <f>IFERROR(__xludf.DUMMYFUNCTION("""COMPUTED_VALUE"""),"none")</f>
        <v/>
      </c>
      <c r="Y186" s="351" t="n"/>
      <c r="Z186" s="351">
        <f>IFERROR(__xludf.DUMMYFUNCTION("""COMPUTED_VALUE"""),"-")</f>
        <v/>
      </c>
      <c r="AA186" s="327" t="n"/>
      <c r="AB186" s="327">
        <f>IFERROR(__xludf.DUMMYFUNCTION("""COMPUTED_VALUE"""),"none")</f>
        <v/>
      </c>
      <c r="AC186" s="327" t="n"/>
    </row>
    <row r="187">
      <c r="A187" s="327" t="n"/>
      <c r="B187" s="351" t="n"/>
      <c r="C187" s="352" t="n"/>
      <c r="D187" s="352">
        <f>IFERROR(__xludf.DUMMYFUNCTION("""COMPUTED_VALUE"""),"___")</f>
        <v/>
      </c>
      <c r="E187" s="352">
        <f>IFERROR(__xludf.DUMMYFUNCTION("""COMPUTED_VALUE"""),"none")</f>
        <v/>
      </c>
      <c r="F187" s="352">
        <f>IFERROR(__xludf.DUMMYFUNCTION("""COMPUTED_VALUE"""),"none")</f>
        <v/>
      </c>
      <c r="G187" s="352">
        <f>IFERROR(__xludf.DUMMYFUNCTION("""COMPUTED_VALUE"""),"none")</f>
        <v/>
      </c>
      <c r="H187" s="351" t="n"/>
      <c r="I187" s="351">
        <f>IFERROR(__xludf.DUMMYFUNCTION("""COMPUTED_VALUE"""),"none")</f>
        <v/>
      </c>
      <c r="J187" s="351" t="n"/>
      <c r="K187" s="351" t="n"/>
      <c r="L187" s="351" t="n"/>
      <c r="M187" s="351" t="n"/>
      <c r="N187" s="351" t="n"/>
      <c r="O187" s="351" t="n"/>
      <c r="P187" s="351" t="n"/>
      <c r="Q187" s="351" t="n"/>
      <c r="R187" s="351" t="n"/>
      <c r="S187" s="351" t="n"/>
      <c r="T187" s="353">
        <f>IFERROR(__xludf.DUMMYFUNCTION("""COMPUTED_VALUE"""),"none")</f>
        <v/>
      </c>
      <c r="U187" s="351">
        <f>IFERROR(__xludf.DUMMYFUNCTION("""COMPUTED_VALUE"""),"none")</f>
        <v/>
      </c>
      <c r="V187" s="351" t="n"/>
      <c r="W187" s="351">
        <f>IFERROR(__xludf.DUMMYFUNCTION("""COMPUTED_VALUE"""),"none")</f>
        <v/>
      </c>
      <c r="X187" s="351">
        <f>IFERROR(__xludf.DUMMYFUNCTION("""COMPUTED_VALUE"""),"none")</f>
        <v/>
      </c>
      <c r="Y187" s="351" t="n"/>
      <c r="Z187" s="351">
        <f>IFERROR(__xludf.DUMMYFUNCTION("""COMPUTED_VALUE"""),"-")</f>
        <v/>
      </c>
      <c r="AA187" s="327" t="n"/>
      <c r="AB187" s="327">
        <f>IFERROR(__xludf.DUMMYFUNCTION("""COMPUTED_VALUE"""),"none")</f>
        <v/>
      </c>
      <c r="AC187" s="327" t="n"/>
    </row>
    <row r="188">
      <c r="A188" s="327" t="n"/>
      <c r="B188" s="351" t="n"/>
      <c r="C188" s="352" t="n"/>
      <c r="D188" s="352">
        <f>IFERROR(__xludf.DUMMYFUNCTION("""COMPUTED_VALUE"""),"___")</f>
        <v/>
      </c>
      <c r="E188" s="352">
        <f>IFERROR(__xludf.DUMMYFUNCTION("""COMPUTED_VALUE"""),"none")</f>
        <v/>
      </c>
      <c r="F188" s="352">
        <f>IFERROR(__xludf.DUMMYFUNCTION("""COMPUTED_VALUE"""),"none")</f>
        <v/>
      </c>
      <c r="G188" s="352">
        <f>IFERROR(__xludf.DUMMYFUNCTION("""COMPUTED_VALUE"""),"none")</f>
        <v/>
      </c>
      <c r="H188" s="351" t="n"/>
      <c r="I188" s="351">
        <f>IFERROR(__xludf.DUMMYFUNCTION("""COMPUTED_VALUE"""),"none")</f>
        <v/>
      </c>
      <c r="J188" s="351" t="n"/>
      <c r="K188" s="351" t="n"/>
      <c r="L188" s="351" t="n"/>
      <c r="M188" s="351" t="n"/>
      <c r="N188" s="351" t="n"/>
      <c r="O188" s="351" t="n"/>
      <c r="P188" s="351" t="n"/>
      <c r="Q188" s="351" t="n"/>
      <c r="R188" s="351" t="n"/>
      <c r="S188" s="351" t="n"/>
      <c r="T188" s="353">
        <f>IFERROR(__xludf.DUMMYFUNCTION("""COMPUTED_VALUE"""),"none")</f>
        <v/>
      </c>
      <c r="U188" s="351">
        <f>IFERROR(__xludf.DUMMYFUNCTION("""COMPUTED_VALUE"""),"none")</f>
        <v/>
      </c>
      <c r="V188" s="351" t="n"/>
      <c r="W188" s="351">
        <f>IFERROR(__xludf.DUMMYFUNCTION("""COMPUTED_VALUE"""),"none")</f>
        <v/>
      </c>
      <c r="X188" s="351">
        <f>IFERROR(__xludf.DUMMYFUNCTION("""COMPUTED_VALUE"""),"none")</f>
        <v/>
      </c>
      <c r="Y188" s="351" t="n"/>
      <c r="Z188" s="351">
        <f>IFERROR(__xludf.DUMMYFUNCTION("""COMPUTED_VALUE"""),"-")</f>
        <v/>
      </c>
      <c r="AA188" s="327" t="n"/>
      <c r="AB188" s="327">
        <f>IFERROR(__xludf.DUMMYFUNCTION("""COMPUTED_VALUE"""),"none")</f>
        <v/>
      </c>
      <c r="AC188" s="327" t="n"/>
    </row>
    <row r="189">
      <c r="A189" s="327" t="n"/>
      <c r="B189" s="351" t="n"/>
      <c r="C189" s="352" t="n"/>
      <c r="D189" s="352">
        <f>IFERROR(__xludf.DUMMYFUNCTION("""COMPUTED_VALUE"""),"___")</f>
        <v/>
      </c>
      <c r="E189" s="352">
        <f>IFERROR(__xludf.DUMMYFUNCTION("""COMPUTED_VALUE"""),"none")</f>
        <v/>
      </c>
      <c r="F189" s="352">
        <f>IFERROR(__xludf.DUMMYFUNCTION("""COMPUTED_VALUE"""),"none")</f>
        <v/>
      </c>
      <c r="G189" s="352">
        <f>IFERROR(__xludf.DUMMYFUNCTION("""COMPUTED_VALUE"""),"none")</f>
        <v/>
      </c>
      <c r="H189" s="351" t="n"/>
      <c r="I189" s="351">
        <f>IFERROR(__xludf.DUMMYFUNCTION("""COMPUTED_VALUE"""),"none")</f>
        <v/>
      </c>
      <c r="J189" s="351" t="n"/>
      <c r="K189" s="351" t="n"/>
      <c r="L189" s="351" t="n"/>
      <c r="M189" s="351" t="n"/>
      <c r="N189" s="351" t="n"/>
      <c r="O189" s="351" t="n"/>
      <c r="P189" s="351" t="n"/>
      <c r="Q189" s="351" t="n"/>
      <c r="R189" s="351" t="n"/>
      <c r="S189" s="351" t="n"/>
      <c r="T189" s="353">
        <f>IFERROR(__xludf.DUMMYFUNCTION("""COMPUTED_VALUE"""),"none")</f>
        <v/>
      </c>
      <c r="U189" s="351">
        <f>IFERROR(__xludf.DUMMYFUNCTION("""COMPUTED_VALUE"""),"none")</f>
        <v/>
      </c>
      <c r="V189" s="351" t="n"/>
      <c r="W189" s="351">
        <f>IFERROR(__xludf.DUMMYFUNCTION("""COMPUTED_VALUE"""),"none")</f>
        <v/>
      </c>
      <c r="X189" s="351">
        <f>IFERROR(__xludf.DUMMYFUNCTION("""COMPUTED_VALUE"""),"none")</f>
        <v/>
      </c>
      <c r="Y189" s="351" t="n"/>
      <c r="Z189" s="351">
        <f>IFERROR(__xludf.DUMMYFUNCTION("""COMPUTED_VALUE"""),"-")</f>
        <v/>
      </c>
      <c r="AA189" s="327" t="n"/>
      <c r="AB189" s="327">
        <f>IFERROR(__xludf.DUMMYFUNCTION("""COMPUTED_VALUE"""),"none")</f>
        <v/>
      </c>
      <c r="AC189" s="327" t="n"/>
    </row>
    <row r="190">
      <c r="A190" s="327" t="n"/>
      <c r="B190" s="351" t="n"/>
      <c r="C190" s="352" t="n"/>
      <c r="D190" s="352">
        <f>IFERROR(__xludf.DUMMYFUNCTION("""COMPUTED_VALUE"""),"___")</f>
        <v/>
      </c>
      <c r="E190" s="352">
        <f>IFERROR(__xludf.DUMMYFUNCTION("""COMPUTED_VALUE"""),"none")</f>
        <v/>
      </c>
      <c r="F190" s="352">
        <f>IFERROR(__xludf.DUMMYFUNCTION("""COMPUTED_VALUE"""),"none")</f>
        <v/>
      </c>
      <c r="G190" s="352">
        <f>IFERROR(__xludf.DUMMYFUNCTION("""COMPUTED_VALUE"""),"none")</f>
        <v/>
      </c>
      <c r="H190" s="351" t="n"/>
      <c r="I190" s="351">
        <f>IFERROR(__xludf.DUMMYFUNCTION("""COMPUTED_VALUE"""),"none")</f>
        <v/>
      </c>
      <c r="J190" s="351" t="n"/>
      <c r="K190" s="351" t="n"/>
      <c r="L190" s="351" t="n"/>
      <c r="M190" s="351" t="n"/>
      <c r="N190" s="351" t="n"/>
      <c r="O190" s="351" t="n"/>
      <c r="P190" s="351" t="n"/>
      <c r="Q190" s="351" t="n"/>
      <c r="R190" s="351" t="n"/>
      <c r="S190" s="351" t="n"/>
      <c r="T190" s="353">
        <f>IFERROR(__xludf.DUMMYFUNCTION("""COMPUTED_VALUE"""),"none")</f>
        <v/>
      </c>
      <c r="U190" s="351">
        <f>IFERROR(__xludf.DUMMYFUNCTION("""COMPUTED_VALUE"""),"none")</f>
        <v/>
      </c>
      <c r="V190" s="351" t="n"/>
      <c r="W190" s="351">
        <f>IFERROR(__xludf.DUMMYFUNCTION("""COMPUTED_VALUE"""),"none")</f>
        <v/>
      </c>
      <c r="X190" s="351">
        <f>IFERROR(__xludf.DUMMYFUNCTION("""COMPUTED_VALUE"""),"none")</f>
        <v/>
      </c>
      <c r="Y190" s="351" t="n"/>
      <c r="Z190" s="351">
        <f>IFERROR(__xludf.DUMMYFUNCTION("""COMPUTED_VALUE"""),"-")</f>
        <v/>
      </c>
      <c r="AA190" s="327" t="n"/>
      <c r="AB190" s="327">
        <f>IFERROR(__xludf.DUMMYFUNCTION("""COMPUTED_VALUE"""),"none")</f>
        <v/>
      </c>
      <c r="AC190" s="327" t="n"/>
    </row>
    <row r="191">
      <c r="A191" s="327" t="n"/>
      <c r="B191" s="351" t="n"/>
      <c r="C191" s="352" t="n"/>
      <c r="D191" s="352">
        <f>IFERROR(__xludf.DUMMYFUNCTION("""COMPUTED_VALUE"""),"___")</f>
        <v/>
      </c>
      <c r="E191" s="352">
        <f>IFERROR(__xludf.DUMMYFUNCTION("""COMPUTED_VALUE"""),"none")</f>
        <v/>
      </c>
      <c r="F191" s="352">
        <f>IFERROR(__xludf.DUMMYFUNCTION("""COMPUTED_VALUE"""),"none")</f>
        <v/>
      </c>
      <c r="G191" s="352">
        <f>IFERROR(__xludf.DUMMYFUNCTION("""COMPUTED_VALUE"""),"none")</f>
        <v/>
      </c>
      <c r="H191" s="351" t="n"/>
      <c r="I191" s="351">
        <f>IFERROR(__xludf.DUMMYFUNCTION("""COMPUTED_VALUE"""),"none")</f>
        <v/>
      </c>
      <c r="J191" s="351" t="n"/>
      <c r="K191" s="351" t="n"/>
      <c r="L191" s="351" t="n"/>
      <c r="M191" s="351" t="n"/>
      <c r="N191" s="351" t="n"/>
      <c r="O191" s="351" t="n"/>
      <c r="P191" s="351" t="n"/>
      <c r="Q191" s="351" t="n"/>
      <c r="R191" s="351" t="n"/>
      <c r="S191" s="351" t="n"/>
      <c r="T191" s="353">
        <f>IFERROR(__xludf.DUMMYFUNCTION("""COMPUTED_VALUE"""),"none")</f>
        <v/>
      </c>
      <c r="U191" s="351">
        <f>IFERROR(__xludf.DUMMYFUNCTION("""COMPUTED_VALUE"""),"none")</f>
        <v/>
      </c>
      <c r="V191" s="351" t="n"/>
      <c r="W191" s="351">
        <f>IFERROR(__xludf.DUMMYFUNCTION("""COMPUTED_VALUE"""),"none")</f>
        <v/>
      </c>
      <c r="X191" s="351">
        <f>IFERROR(__xludf.DUMMYFUNCTION("""COMPUTED_VALUE"""),"none")</f>
        <v/>
      </c>
      <c r="Y191" s="351" t="n"/>
      <c r="Z191" s="351">
        <f>IFERROR(__xludf.DUMMYFUNCTION("""COMPUTED_VALUE"""),"-")</f>
        <v/>
      </c>
      <c r="AA191" s="327" t="n"/>
      <c r="AB191" s="327">
        <f>IFERROR(__xludf.DUMMYFUNCTION("""COMPUTED_VALUE"""),"none")</f>
        <v/>
      </c>
      <c r="AC191" s="327" t="n"/>
    </row>
    <row r="192">
      <c r="A192" s="327" t="n"/>
      <c r="B192" s="351" t="n"/>
      <c r="C192" s="352" t="n"/>
      <c r="D192" s="352">
        <f>IFERROR(__xludf.DUMMYFUNCTION("""COMPUTED_VALUE"""),"___")</f>
        <v/>
      </c>
      <c r="E192" s="352">
        <f>IFERROR(__xludf.DUMMYFUNCTION("""COMPUTED_VALUE"""),"none")</f>
        <v/>
      </c>
      <c r="F192" s="352">
        <f>IFERROR(__xludf.DUMMYFUNCTION("""COMPUTED_VALUE"""),"none")</f>
        <v/>
      </c>
      <c r="G192" s="352">
        <f>IFERROR(__xludf.DUMMYFUNCTION("""COMPUTED_VALUE"""),"none")</f>
        <v/>
      </c>
      <c r="H192" s="351" t="n"/>
      <c r="I192" s="351">
        <f>IFERROR(__xludf.DUMMYFUNCTION("""COMPUTED_VALUE"""),"none")</f>
        <v/>
      </c>
      <c r="J192" s="351" t="n"/>
      <c r="K192" s="351" t="n"/>
      <c r="L192" s="351" t="n"/>
      <c r="M192" s="351" t="n"/>
      <c r="N192" s="351" t="n"/>
      <c r="O192" s="351" t="n"/>
      <c r="P192" s="351" t="n"/>
      <c r="Q192" s="351" t="n"/>
      <c r="R192" s="351" t="n"/>
      <c r="S192" s="351" t="n"/>
      <c r="T192" s="353">
        <f>IFERROR(__xludf.DUMMYFUNCTION("""COMPUTED_VALUE"""),"none")</f>
        <v/>
      </c>
      <c r="U192" s="351">
        <f>IFERROR(__xludf.DUMMYFUNCTION("""COMPUTED_VALUE"""),"none")</f>
        <v/>
      </c>
      <c r="V192" s="351" t="n"/>
      <c r="W192" s="351">
        <f>IFERROR(__xludf.DUMMYFUNCTION("""COMPUTED_VALUE"""),"none")</f>
        <v/>
      </c>
      <c r="X192" s="351">
        <f>IFERROR(__xludf.DUMMYFUNCTION("""COMPUTED_VALUE"""),"none")</f>
        <v/>
      </c>
      <c r="Y192" s="351" t="n"/>
      <c r="Z192" s="351">
        <f>IFERROR(__xludf.DUMMYFUNCTION("""COMPUTED_VALUE"""),"-")</f>
        <v/>
      </c>
      <c r="AA192" s="327" t="n"/>
      <c r="AB192" s="327">
        <f>IFERROR(__xludf.DUMMYFUNCTION("""COMPUTED_VALUE"""),"none")</f>
        <v/>
      </c>
      <c r="AC192" s="327" t="n"/>
    </row>
    <row r="193">
      <c r="A193" s="327" t="n"/>
      <c r="B193" s="351" t="n"/>
      <c r="C193" s="352" t="n"/>
      <c r="D193" s="352">
        <f>IFERROR(__xludf.DUMMYFUNCTION("""COMPUTED_VALUE"""),"___")</f>
        <v/>
      </c>
      <c r="E193" s="352">
        <f>IFERROR(__xludf.DUMMYFUNCTION("""COMPUTED_VALUE"""),"none")</f>
        <v/>
      </c>
      <c r="F193" s="352">
        <f>IFERROR(__xludf.DUMMYFUNCTION("""COMPUTED_VALUE"""),"none")</f>
        <v/>
      </c>
      <c r="G193" s="352">
        <f>IFERROR(__xludf.DUMMYFUNCTION("""COMPUTED_VALUE"""),"none")</f>
        <v/>
      </c>
      <c r="H193" s="351" t="n"/>
      <c r="I193" s="351">
        <f>IFERROR(__xludf.DUMMYFUNCTION("""COMPUTED_VALUE"""),"none")</f>
        <v/>
      </c>
      <c r="J193" s="351" t="n"/>
      <c r="K193" s="351" t="n"/>
      <c r="L193" s="351" t="n"/>
      <c r="M193" s="351" t="n"/>
      <c r="N193" s="351" t="n"/>
      <c r="O193" s="351" t="n"/>
      <c r="P193" s="351" t="n"/>
      <c r="Q193" s="351" t="n"/>
      <c r="R193" s="351" t="n"/>
      <c r="S193" s="351" t="n"/>
      <c r="T193" s="353">
        <f>IFERROR(__xludf.DUMMYFUNCTION("""COMPUTED_VALUE"""),"none")</f>
        <v/>
      </c>
      <c r="U193" s="351">
        <f>IFERROR(__xludf.DUMMYFUNCTION("""COMPUTED_VALUE"""),"none")</f>
        <v/>
      </c>
      <c r="V193" s="351" t="n"/>
      <c r="W193" s="351">
        <f>IFERROR(__xludf.DUMMYFUNCTION("""COMPUTED_VALUE"""),"none")</f>
        <v/>
      </c>
      <c r="X193" s="351">
        <f>IFERROR(__xludf.DUMMYFUNCTION("""COMPUTED_VALUE"""),"none")</f>
        <v/>
      </c>
      <c r="Y193" s="351" t="n"/>
      <c r="Z193" s="351">
        <f>IFERROR(__xludf.DUMMYFUNCTION("""COMPUTED_VALUE"""),"-")</f>
        <v/>
      </c>
      <c r="AA193" s="327" t="n"/>
      <c r="AB193" s="327">
        <f>IFERROR(__xludf.DUMMYFUNCTION("""COMPUTED_VALUE"""),"none")</f>
        <v/>
      </c>
      <c r="AC193" s="327" t="n"/>
    </row>
    <row r="194">
      <c r="A194" s="327" t="n"/>
      <c r="B194" s="351" t="n"/>
      <c r="C194" s="352" t="n"/>
      <c r="D194" s="352">
        <f>IFERROR(__xludf.DUMMYFUNCTION("""COMPUTED_VALUE"""),"___")</f>
        <v/>
      </c>
      <c r="E194" s="352">
        <f>IFERROR(__xludf.DUMMYFUNCTION("""COMPUTED_VALUE"""),"none")</f>
        <v/>
      </c>
      <c r="F194" s="352">
        <f>IFERROR(__xludf.DUMMYFUNCTION("""COMPUTED_VALUE"""),"none")</f>
        <v/>
      </c>
      <c r="G194" s="352">
        <f>IFERROR(__xludf.DUMMYFUNCTION("""COMPUTED_VALUE"""),"none")</f>
        <v/>
      </c>
      <c r="H194" s="351" t="n"/>
      <c r="I194" s="351">
        <f>IFERROR(__xludf.DUMMYFUNCTION("""COMPUTED_VALUE"""),"none")</f>
        <v/>
      </c>
      <c r="J194" s="351" t="n"/>
      <c r="K194" s="351" t="n"/>
      <c r="L194" s="351" t="n"/>
      <c r="M194" s="351" t="n"/>
      <c r="N194" s="351" t="n"/>
      <c r="O194" s="351" t="n"/>
      <c r="P194" s="351" t="n"/>
      <c r="Q194" s="351" t="n"/>
      <c r="R194" s="351" t="n"/>
      <c r="S194" s="351" t="n"/>
      <c r="T194" s="353">
        <f>IFERROR(__xludf.DUMMYFUNCTION("""COMPUTED_VALUE"""),"none")</f>
        <v/>
      </c>
      <c r="U194" s="351">
        <f>IFERROR(__xludf.DUMMYFUNCTION("""COMPUTED_VALUE"""),"none")</f>
        <v/>
      </c>
      <c r="V194" s="351" t="n"/>
      <c r="W194" s="351">
        <f>IFERROR(__xludf.DUMMYFUNCTION("""COMPUTED_VALUE"""),"none")</f>
        <v/>
      </c>
      <c r="X194" s="351">
        <f>IFERROR(__xludf.DUMMYFUNCTION("""COMPUTED_VALUE"""),"none")</f>
        <v/>
      </c>
      <c r="Y194" s="351" t="n"/>
      <c r="Z194" s="351">
        <f>IFERROR(__xludf.DUMMYFUNCTION("""COMPUTED_VALUE"""),"-")</f>
        <v/>
      </c>
      <c r="AA194" s="327" t="n"/>
      <c r="AB194" s="327">
        <f>IFERROR(__xludf.DUMMYFUNCTION("""COMPUTED_VALUE"""),"none")</f>
        <v/>
      </c>
      <c r="AC194" s="327" t="n"/>
    </row>
    <row r="195">
      <c r="A195" s="327" t="n"/>
      <c r="B195" s="351" t="n"/>
      <c r="C195" s="352" t="n"/>
      <c r="D195" s="352">
        <f>IFERROR(__xludf.DUMMYFUNCTION("""COMPUTED_VALUE"""),"___")</f>
        <v/>
      </c>
      <c r="E195" s="352">
        <f>IFERROR(__xludf.DUMMYFUNCTION("""COMPUTED_VALUE"""),"none")</f>
        <v/>
      </c>
      <c r="F195" s="352">
        <f>IFERROR(__xludf.DUMMYFUNCTION("""COMPUTED_VALUE"""),"none")</f>
        <v/>
      </c>
      <c r="G195" s="352">
        <f>IFERROR(__xludf.DUMMYFUNCTION("""COMPUTED_VALUE"""),"none")</f>
        <v/>
      </c>
      <c r="H195" s="351" t="n"/>
      <c r="I195" s="351">
        <f>IFERROR(__xludf.DUMMYFUNCTION("""COMPUTED_VALUE"""),"none")</f>
        <v/>
      </c>
      <c r="J195" s="351" t="n"/>
      <c r="K195" s="351" t="n"/>
      <c r="L195" s="351" t="n"/>
      <c r="M195" s="351" t="n"/>
      <c r="N195" s="351" t="n"/>
      <c r="O195" s="351" t="n"/>
      <c r="P195" s="351" t="n"/>
      <c r="Q195" s="351" t="n"/>
      <c r="R195" s="351" t="n"/>
      <c r="S195" s="351" t="n"/>
      <c r="T195" s="353">
        <f>IFERROR(__xludf.DUMMYFUNCTION("""COMPUTED_VALUE"""),"none")</f>
        <v/>
      </c>
      <c r="U195" s="351">
        <f>IFERROR(__xludf.DUMMYFUNCTION("""COMPUTED_VALUE"""),"none")</f>
        <v/>
      </c>
      <c r="V195" s="351" t="n"/>
      <c r="W195" s="351">
        <f>IFERROR(__xludf.DUMMYFUNCTION("""COMPUTED_VALUE"""),"none")</f>
        <v/>
      </c>
      <c r="X195" s="351">
        <f>IFERROR(__xludf.DUMMYFUNCTION("""COMPUTED_VALUE"""),"none")</f>
        <v/>
      </c>
      <c r="Y195" s="351" t="n"/>
      <c r="Z195" s="351">
        <f>IFERROR(__xludf.DUMMYFUNCTION("""COMPUTED_VALUE"""),"-")</f>
        <v/>
      </c>
      <c r="AA195" s="327" t="n"/>
      <c r="AB195" s="327">
        <f>IFERROR(__xludf.DUMMYFUNCTION("""COMPUTED_VALUE"""),"none")</f>
        <v/>
      </c>
      <c r="AC195" s="327" t="n"/>
    </row>
    <row r="196">
      <c r="A196" s="327" t="n"/>
      <c r="B196" s="351" t="n"/>
      <c r="C196" s="352" t="n"/>
      <c r="D196" s="352">
        <f>IFERROR(__xludf.DUMMYFUNCTION("""COMPUTED_VALUE"""),"___")</f>
        <v/>
      </c>
      <c r="E196" s="352">
        <f>IFERROR(__xludf.DUMMYFUNCTION("""COMPUTED_VALUE"""),"none")</f>
        <v/>
      </c>
      <c r="F196" s="352">
        <f>IFERROR(__xludf.DUMMYFUNCTION("""COMPUTED_VALUE"""),"none")</f>
        <v/>
      </c>
      <c r="G196" s="352">
        <f>IFERROR(__xludf.DUMMYFUNCTION("""COMPUTED_VALUE"""),"none")</f>
        <v/>
      </c>
      <c r="H196" s="351" t="n"/>
      <c r="I196" s="351">
        <f>IFERROR(__xludf.DUMMYFUNCTION("""COMPUTED_VALUE"""),"none")</f>
        <v/>
      </c>
      <c r="J196" s="351" t="n"/>
      <c r="K196" s="351" t="n"/>
      <c r="L196" s="351" t="n"/>
      <c r="M196" s="351" t="n"/>
      <c r="N196" s="351" t="n"/>
      <c r="O196" s="351" t="n"/>
      <c r="P196" s="351" t="n"/>
      <c r="Q196" s="351" t="n"/>
      <c r="R196" s="351" t="n"/>
      <c r="S196" s="351" t="n"/>
      <c r="T196" s="353">
        <f>IFERROR(__xludf.DUMMYFUNCTION("""COMPUTED_VALUE"""),"none")</f>
        <v/>
      </c>
      <c r="U196" s="351">
        <f>IFERROR(__xludf.DUMMYFUNCTION("""COMPUTED_VALUE"""),"none")</f>
        <v/>
      </c>
      <c r="V196" s="351" t="n"/>
      <c r="W196" s="351">
        <f>IFERROR(__xludf.DUMMYFUNCTION("""COMPUTED_VALUE"""),"none")</f>
        <v/>
      </c>
      <c r="X196" s="351">
        <f>IFERROR(__xludf.DUMMYFUNCTION("""COMPUTED_VALUE"""),"none")</f>
        <v/>
      </c>
      <c r="Y196" s="351" t="n"/>
      <c r="Z196" s="351">
        <f>IFERROR(__xludf.DUMMYFUNCTION("""COMPUTED_VALUE"""),"-")</f>
        <v/>
      </c>
      <c r="AA196" s="327" t="n"/>
      <c r="AB196" s="327">
        <f>IFERROR(__xludf.DUMMYFUNCTION("""COMPUTED_VALUE"""),"none")</f>
        <v/>
      </c>
      <c r="AC196" s="327" t="n"/>
    </row>
    <row r="197">
      <c r="A197" s="327" t="n"/>
      <c r="B197" s="351" t="n"/>
      <c r="C197" s="352" t="n"/>
      <c r="D197" s="352">
        <f>IFERROR(__xludf.DUMMYFUNCTION("""COMPUTED_VALUE"""),"___")</f>
        <v/>
      </c>
      <c r="E197" s="352">
        <f>IFERROR(__xludf.DUMMYFUNCTION("""COMPUTED_VALUE"""),"none")</f>
        <v/>
      </c>
      <c r="F197" s="352">
        <f>IFERROR(__xludf.DUMMYFUNCTION("""COMPUTED_VALUE"""),"none")</f>
        <v/>
      </c>
      <c r="G197" s="352">
        <f>IFERROR(__xludf.DUMMYFUNCTION("""COMPUTED_VALUE"""),"none")</f>
        <v/>
      </c>
      <c r="H197" s="351" t="n"/>
      <c r="I197" s="351">
        <f>IFERROR(__xludf.DUMMYFUNCTION("""COMPUTED_VALUE"""),"none")</f>
        <v/>
      </c>
      <c r="J197" s="351" t="n"/>
      <c r="K197" s="351" t="n"/>
      <c r="L197" s="351" t="n"/>
      <c r="M197" s="351" t="n"/>
      <c r="N197" s="351" t="n"/>
      <c r="O197" s="351" t="n"/>
      <c r="P197" s="351" t="n"/>
      <c r="Q197" s="351" t="n"/>
      <c r="R197" s="351" t="n"/>
      <c r="S197" s="351" t="n"/>
      <c r="T197" s="353">
        <f>IFERROR(__xludf.DUMMYFUNCTION("""COMPUTED_VALUE"""),"none")</f>
        <v/>
      </c>
      <c r="U197" s="351">
        <f>IFERROR(__xludf.DUMMYFUNCTION("""COMPUTED_VALUE"""),"none")</f>
        <v/>
      </c>
      <c r="V197" s="351" t="n"/>
      <c r="W197" s="351">
        <f>IFERROR(__xludf.DUMMYFUNCTION("""COMPUTED_VALUE"""),"none")</f>
        <v/>
      </c>
      <c r="X197" s="351">
        <f>IFERROR(__xludf.DUMMYFUNCTION("""COMPUTED_VALUE"""),"none")</f>
        <v/>
      </c>
      <c r="Y197" s="351" t="n"/>
      <c r="Z197" s="351">
        <f>IFERROR(__xludf.DUMMYFUNCTION("""COMPUTED_VALUE"""),"-")</f>
        <v/>
      </c>
      <c r="AA197" s="327" t="n"/>
      <c r="AB197" s="327">
        <f>IFERROR(__xludf.DUMMYFUNCTION("""COMPUTED_VALUE"""),"none")</f>
        <v/>
      </c>
      <c r="AC197" s="327" t="n"/>
    </row>
    <row r="198">
      <c r="A198" s="327" t="n"/>
      <c r="B198" s="351" t="n"/>
      <c r="C198" s="352" t="n"/>
      <c r="D198" s="352">
        <f>IFERROR(__xludf.DUMMYFUNCTION("""COMPUTED_VALUE"""),"___")</f>
        <v/>
      </c>
      <c r="E198" s="352">
        <f>IFERROR(__xludf.DUMMYFUNCTION("""COMPUTED_VALUE"""),"none")</f>
        <v/>
      </c>
      <c r="F198" s="352">
        <f>IFERROR(__xludf.DUMMYFUNCTION("""COMPUTED_VALUE"""),"none")</f>
        <v/>
      </c>
      <c r="G198" s="352">
        <f>IFERROR(__xludf.DUMMYFUNCTION("""COMPUTED_VALUE"""),"none")</f>
        <v/>
      </c>
      <c r="H198" s="351" t="n"/>
      <c r="I198" s="351">
        <f>IFERROR(__xludf.DUMMYFUNCTION("""COMPUTED_VALUE"""),"none")</f>
        <v/>
      </c>
      <c r="J198" s="351" t="n"/>
      <c r="K198" s="351" t="n"/>
      <c r="L198" s="351" t="n"/>
      <c r="M198" s="351" t="n"/>
      <c r="N198" s="351" t="n"/>
      <c r="O198" s="351" t="n"/>
      <c r="P198" s="351" t="n"/>
      <c r="Q198" s="351" t="n"/>
      <c r="R198" s="351" t="n"/>
      <c r="S198" s="351" t="n"/>
      <c r="T198" s="353">
        <f>IFERROR(__xludf.DUMMYFUNCTION("""COMPUTED_VALUE"""),"none")</f>
        <v/>
      </c>
      <c r="U198" s="351">
        <f>IFERROR(__xludf.DUMMYFUNCTION("""COMPUTED_VALUE"""),"none")</f>
        <v/>
      </c>
      <c r="V198" s="351" t="n"/>
      <c r="W198" s="351">
        <f>IFERROR(__xludf.DUMMYFUNCTION("""COMPUTED_VALUE"""),"none")</f>
        <v/>
      </c>
      <c r="X198" s="351">
        <f>IFERROR(__xludf.DUMMYFUNCTION("""COMPUTED_VALUE"""),"none")</f>
        <v/>
      </c>
      <c r="Y198" s="351" t="n"/>
      <c r="Z198" s="351">
        <f>IFERROR(__xludf.DUMMYFUNCTION("""COMPUTED_VALUE"""),"-")</f>
        <v/>
      </c>
      <c r="AA198" s="327" t="n"/>
      <c r="AB198" s="327">
        <f>IFERROR(__xludf.DUMMYFUNCTION("""COMPUTED_VALUE"""),"none")</f>
        <v/>
      </c>
      <c r="AC198" s="327" t="n"/>
    </row>
    <row r="199">
      <c r="A199" s="327" t="n"/>
      <c r="B199" s="351" t="n"/>
      <c r="C199" s="352" t="n"/>
      <c r="D199" s="352">
        <f>IFERROR(__xludf.DUMMYFUNCTION("""COMPUTED_VALUE"""),"___")</f>
        <v/>
      </c>
      <c r="E199" s="352">
        <f>IFERROR(__xludf.DUMMYFUNCTION("""COMPUTED_VALUE"""),"none")</f>
        <v/>
      </c>
      <c r="F199" s="352">
        <f>IFERROR(__xludf.DUMMYFUNCTION("""COMPUTED_VALUE"""),"none")</f>
        <v/>
      </c>
      <c r="G199" s="352">
        <f>IFERROR(__xludf.DUMMYFUNCTION("""COMPUTED_VALUE"""),"none")</f>
        <v/>
      </c>
      <c r="H199" s="351" t="n"/>
      <c r="I199" s="351">
        <f>IFERROR(__xludf.DUMMYFUNCTION("""COMPUTED_VALUE"""),"none")</f>
        <v/>
      </c>
      <c r="J199" s="351" t="n"/>
      <c r="K199" s="351" t="n"/>
      <c r="L199" s="351" t="n"/>
      <c r="M199" s="351" t="n"/>
      <c r="N199" s="351" t="n"/>
      <c r="O199" s="351" t="n"/>
      <c r="P199" s="351" t="n"/>
      <c r="Q199" s="351" t="n"/>
      <c r="R199" s="351" t="n"/>
      <c r="S199" s="351" t="n"/>
      <c r="T199" s="353">
        <f>IFERROR(__xludf.DUMMYFUNCTION("""COMPUTED_VALUE"""),"none")</f>
        <v/>
      </c>
      <c r="U199" s="351">
        <f>IFERROR(__xludf.DUMMYFUNCTION("""COMPUTED_VALUE"""),"none")</f>
        <v/>
      </c>
      <c r="V199" s="351" t="n"/>
      <c r="W199" s="351">
        <f>IFERROR(__xludf.DUMMYFUNCTION("""COMPUTED_VALUE"""),"none")</f>
        <v/>
      </c>
      <c r="X199" s="351">
        <f>IFERROR(__xludf.DUMMYFUNCTION("""COMPUTED_VALUE"""),"none")</f>
        <v/>
      </c>
      <c r="Y199" s="351" t="n"/>
      <c r="Z199" s="351">
        <f>IFERROR(__xludf.DUMMYFUNCTION("""COMPUTED_VALUE"""),"-")</f>
        <v/>
      </c>
      <c r="AA199" s="327" t="n"/>
      <c r="AB199" s="327">
        <f>IFERROR(__xludf.DUMMYFUNCTION("""COMPUTED_VALUE"""),"none")</f>
        <v/>
      </c>
      <c r="AC199" s="327" t="n"/>
    </row>
    <row r="200">
      <c r="A200" s="327" t="n"/>
      <c r="B200" s="351" t="n"/>
      <c r="C200" s="352" t="n"/>
      <c r="D200" s="352">
        <f>IFERROR(__xludf.DUMMYFUNCTION("""COMPUTED_VALUE"""),"___")</f>
        <v/>
      </c>
      <c r="E200" s="352">
        <f>IFERROR(__xludf.DUMMYFUNCTION("""COMPUTED_VALUE"""),"none")</f>
        <v/>
      </c>
      <c r="F200" s="352">
        <f>IFERROR(__xludf.DUMMYFUNCTION("""COMPUTED_VALUE"""),"none")</f>
        <v/>
      </c>
      <c r="G200" s="352">
        <f>IFERROR(__xludf.DUMMYFUNCTION("""COMPUTED_VALUE"""),"none")</f>
        <v/>
      </c>
      <c r="H200" s="351" t="n"/>
      <c r="I200" s="351">
        <f>IFERROR(__xludf.DUMMYFUNCTION("""COMPUTED_VALUE"""),"none")</f>
        <v/>
      </c>
      <c r="J200" s="351" t="n"/>
      <c r="K200" s="351" t="n"/>
      <c r="L200" s="351" t="n"/>
      <c r="M200" s="351" t="n"/>
      <c r="N200" s="351" t="n"/>
      <c r="O200" s="351" t="n"/>
      <c r="P200" s="351" t="n"/>
      <c r="Q200" s="351" t="n"/>
      <c r="R200" s="351" t="n"/>
      <c r="S200" s="351" t="n"/>
      <c r="T200" s="353">
        <f>IFERROR(__xludf.DUMMYFUNCTION("""COMPUTED_VALUE"""),"none")</f>
        <v/>
      </c>
      <c r="U200" s="351">
        <f>IFERROR(__xludf.DUMMYFUNCTION("""COMPUTED_VALUE"""),"none")</f>
        <v/>
      </c>
      <c r="V200" s="351" t="n"/>
      <c r="W200" s="351">
        <f>IFERROR(__xludf.DUMMYFUNCTION("""COMPUTED_VALUE"""),"none")</f>
        <v/>
      </c>
      <c r="X200" s="351">
        <f>IFERROR(__xludf.DUMMYFUNCTION("""COMPUTED_VALUE"""),"none")</f>
        <v/>
      </c>
      <c r="Y200" s="351" t="n"/>
      <c r="Z200" s="351">
        <f>IFERROR(__xludf.DUMMYFUNCTION("""COMPUTED_VALUE"""),"-")</f>
        <v/>
      </c>
      <c r="AA200" s="327" t="n"/>
      <c r="AB200" s="327">
        <f>IFERROR(__xludf.DUMMYFUNCTION("""COMPUTED_VALUE"""),"none")</f>
        <v/>
      </c>
      <c r="AC200" s="327" t="n"/>
    </row>
    <row r="201">
      <c r="A201" s="327" t="n"/>
      <c r="B201" s="351" t="n"/>
      <c r="C201" s="352" t="n"/>
      <c r="D201" s="352">
        <f>IFERROR(__xludf.DUMMYFUNCTION("""COMPUTED_VALUE"""),"___")</f>
        <v/>
      </c>
      <c r="E201" s="352">
        <f>IFERROR(__xludf.DUMMYFUNCTION("""COMPUTED_VALUE"""),"none")</f>
        <v/>
      </c>
      <c r="F201" s="352">
        <f>IFERROR(__xludf.DUMMYFUNCTION("""COMPUTED_VALUE"""),"none")</f>
        <v/>
      </c>
      <c r="G201" s="352">
        <f>IFERROR(__xludf.DUMMYFUNCTION("""COMPUTED_VALUE"""),"none")</f>
        <v/>
      </c>
      <c r="H201" s="351" t="n"/>
      <c r="I201" s="351">
        <f>IFERROR(__xludf.DUMMYFUNCTION("""COMPUTED_VALUE"""),"none")</f>
        <v/>
      </c>
      <c r="J201" s="351" t="n"/>
      <c r="K201" s="351" t="n"/>
      <c r="L201" s="351" t="n"/>
      <c r="M201" s="351" t="n"/>
      <c r="N201" s="351" t="n"/>
      <c r="O201" s="351" t="n"/>
      <c r="P201" s="351" t="n"/>
      <c r="Q201" s="351" t="n"/>
      <c r="R201" s="351" t="n"/>
      <c r="S201" s="351" t="n"/>
      <c r="T201" s="353">
        <f>IFERROR(__xludf.DUMMYFUNCTION("""COMPUTED_VALUE"""),"none")</f>
        <v/>
      </c>
      <c r="U201" s="351">
        <f>IFERROR(__xludf.DUMMYFUNCTION("""COMPUTED_VALUE"""),"none")</f>
        <v/>
      </c>
      <c r="V201" s="351" t="n"/>
      <c r="W201" s="351">
        <f>IFERROR(__xludf.DUMMYFUNCTION("""COMPUTED_VALUE"""),"none")</f>
        <v/>
      </c>
      <c r="X201" s="351">
        <f>IFERROR(__xludf.DUMMYFUNCTION("""COMPUTED_VALUE"""),"none")</f>
        <v/>
      </c>
      <c r="Y201" s="351" t="n"/>
      <c r="Z201" s="351">
        <f>IFERROR(__xludf.DUMMYFUNCTION("""COMPUTED_VALUE"""),"-")</f>
        <v/>
      </c>
      <c r="AA201" s="327" t="n"/>
      <c r="AB201" s="327">
        <f>IFERROR(__xludf.DUMMYFUNCTION("""COMPUTED_VALUE"""),"none")</f>
        <v/>
      </c>
      <c r="AC201" s="327" t="n"/>
    </row>
    <row r="202">
      <c r="A202" s="327" t="n"/>
      <c r="B202" s="351" t="n"/>
      <c r="C202" s="352" t="n"/>
      <c r="D202" s="352">
        <f>IFERROR(__xludf.DUMMYFUNCTION("""COMPUTED_VALUE"""),"___")</f>
        <v/>
      </c>
      <c r="E202" s="352">
        <f>IFERROR(__xludf.DUMMYFUNCTION("""COMPUTED_VALUE"""),"none")</f>
        <v/>
      </c>
      <c r="F202" s="352">
        <f>IFERROR(__xludf.DUMMYFUNCTION("""COMPUTED_VALUE"""),"none")</f>
        <v/>
      </c>
      <c r="G202" s="352">
        <f>IFERROR(__xludf.DUMMYFUNCTION("""COMPUTED_VALUE"""),"none")</f>
        <v/>
      </c>
      <c r="H202" s="351" t="n"/>
      <c r="I202" s="351">
        <f>IFERROR(__xludf.DUMMYFUNCTION("""COMPUTED_VALUE"""),"none")</f>
        <v/>
      </c>
      <c r="J202" s="351" t="n"/>
      <c r="K202" s="351" t="n"/>
      <c r="L202" s="351" t="n"/>
      <c r="M202" s="351" t="n"/>
      <c r="N202" s="351" t="n"/>
      <c r="O202" s="351" t="n"/>
      <c r="P202" s="351" t="n"/>
      <c r="Q202" s="351" t="n"/>
      <c r="R202" s="351" t="n"/>
      <c r="S202" s="351" t="n"/>
      <c r="T202" s="353">
        <f>IFERROR(__xludf.DUMMYFUNCTION("""COMPUTED_VALUE"""),"none")</f>
        <v/>
      </c>
      <c r="U202" s="351">
        <f>IFERROR(__xludf.DUMMYFUNCTION("""COMPUTED_VALUE"""),"none")</f>
        <v/>
      </c>
      <c r="V202" s="351" t="n"/>
      <c r="W202" s="351">
        <f>IFERROR(__xludf.DUMMYFUNCTION("""COMPUTED_VALUE"""),"none")</f>
        <v/>
      </c>
      <c r="X202" s="351">
        <f>IFERROR(__xludf.DUMMYFUNCTION("""COMPUTED_VALUE"""),"none")</f>
        <v/>
      </c>
      <c r="Y202" s="351" t="n"/>
      <c r="Z202" s="351">
        <f>IFERROR(__xludf.DUMMYFUNCTION("""COMPUTED_VALUE"""),"-")</f>
        <v/>
      </c>
      <c r="AA202" s="327" t="n"/>
      <c r="AB202" s="327">
        <f>IFERROR(__xludf.DUMMYFUNCTION("""COMPUTED_VALUE"""),"none")</f>
        <v/>
      </c>
      <c r="AC202" s="327" t="n"/>
    </row>
    <row r="203">
      <c r="A203" s="327" t="n"/>
      <c r="B203" s="351" t="n"/>
      <c r="C203" s="352" t="n"/>
      <c r="D203" s="352" t="n"/>
      <c r="E203" s="352" t="n"/>
      <c r="F203" s="352" t="n"/>
      <c r="G203" s="352" t="n"/>
      <c r="H203" s="351" t="n"/>
      <c r="I203" s="351" t="n"/>
      <c r="J203" s="351" t="n"/>
      <c r="K203" s="351" t="n"/>
      <c r="L203" s="351" t="n"/>
      <c r="M203" s="351" t="n"/>
      <c r="N203" s="351" t="n"/>
      <c r="O203" s="351" t="n"/>
      <c r="P203" s="351" t="n"/>
      <c r="Q203" s="351" t="n"/>
      <c r="R203" s="351" t="n"/>
      <c r="S203" s="351" t="n"/>
      <c r="T203" s="351" t="n"/>
      <c r="U203" s="351" t="n"/>
      <c r="V203" s="351" t="n"/>
      <c r="W203" s="351" t="n"/>
      <c r="X203" s="351" t="n"/>
      <c r="Y203" s="351" t="n"/>
      <c r="Z203" s="351" t="n"/>
      <c r="AA203" s="327" t="n"/>
      <c r="AB203" s="327" t="n"/>
      <c r="AC203" s="327" t="n"/>
    </row>
    <row r="204">
      <c r="A204" s="327" t="n"/>
      <c r="B204" s="351" t="n"/>
      <c r="C204" s="352" t="n"/>
      <c r="D204" s="352" t="n"/>
      <c r="E204" s="352" t="n"/>
      <c r="F204" s="352" t="n"/>
      <c r="G204" s="352" t="n"/>
      <c r="H204" s="351" t="n"/>
      <c r="I204" s="351" t="n"/>
      <c r="J204" s="351" t="n"/>
      <c r="K204" s="351" t="n"/>
      <c r="L204" s="351" t="n"/>
      <c r="M204" s="351" t="n"/>
      <c r="N204" s="351" t="n"/>
      <c r="O204" s="351" t="n"/>
      <c r="P204" s="351" t="n"/>
      <c r="Q204" s="351" t="n"/>
      <c r="R204" s="351" t="n"/>
      <c r="S204" s="351" t="n"/>
      <c r="T204" s="351" t="n"/>
      <c r="U204" s="351" t="n"/>
      <c r="V204" s="351" t="n"/>
      <c r="W204" s="351" t="n"/>
      <c r="X204" s="351" t="n"/>
      <c r="Y204" s="351" t="n"/>
      <c r="Z204" s="351" t="n"/>
      <c r="AA204" s="327" t="n"/>
      <c r="AB204" s="327" t="n"/>
      <c r="AC204" s="327" t="n"/>
    </row>
    <row r="205">
      <c r="A205" s="327" t="n"/>
      <c r="B205" s="327" t="n"/>
      <c r="C205" s="354" t="n"/>
      <c r="D205" s="354" t="n"/>
      <c r="E205" s="354" t="n"/>
      <c r="F205" s="354" t="n"/>
      <c r="G205" s="354" t="n"/>
      <c r="H205" s="327" t="n"/>
      <c r="I205" s="327" t="n"/>
      <c r="J205" s="327" t="n"/>
      <c r="K205" s="327" t="n"/>
      <c r="L205" s="327" t="n"/>
      <c r="M205" s="327" t="n"/>
      <c r="N205" s="327" t="n"/>
      <c r="O205" s="327" t="n"/>
      <c r="P205" s="327" t="n"/>
      <c r="Q205" s="327" t="n"/>
      <c r="R205" s="327" t="n"/>
      <c r="S205" s="327" t="n"/>
      <c r="T205" s="327" t="n"/>
      <c r="U205" s="327" t="n"/>
      <c r="V205" s="327" t="n"/>
      <c r="W205" s="327" t="n"/>
      <c r="X205" s="327" t="n"/>
      <c r="Y205" s="327" t="n"/>
      <c r="Z205" s="327" t="n"/>
      <c r="AA205" s="327" t="n"/>
      <c r="AB205" s="327" t="n"/>
      <c r="AC205" s="327" t="n"/>
    </row>
    <row r="206">
      <c r="A206" s="327" t="n"/>
      <c r="B206" s="327" t="n"/>
      <c r="C206" s="354" t="n"/>
      <c r="D206" s="354" t="n"/>
      <c r="E206" s="354" t="n"/>
      <c r="F206" s="354" t="n"/>
      <c r="G206" s="354" t="n"/>
      <c r="H206" s="327" t="n"/>
      <c r="I206" s="327" t="n"/>
      <c r="J206" s="327" t="n"/>
      <c r="K206" s="327" t="n"/>
      <c r="L206" s="327" t="n"/>
      <c r="M206" s="327" t="n"/>
      <c r="N206" s="327" t="n"/>
      <c r="O206" s="327" t="n"/>
      <c r="P206" s="327" t="n"/>
      <c r="Q206" s="327" t="n"/>
      <c r="R206" s="327" t="n"/>
      <c r="S206" s="327" t="n"/>
      <c r="T206" s="327" t="n"/>
      <c r="U206" s="327" t="n"/>
      <c r="V206" s="327" t="n"/>
      <c r="W206" s="327" t="n"/>
      <c r="X206" s="327" t="n"/>
      <c r="Y206" s="327" t="n"/>
      <c r="Z206" s="327" t="n"/>
      <c r="AA206" s="327" t="n"/>
      <c r="AB206" s="327" t="n"/>
      <c r="AC206" s="327" t="n"/>
    </row>
    <row r="207">
      <c r="A207" s="327" t="n"/>
      <c r="B207" s="327" t="n"/>
      <c r="C207" s="354" t="n"/>
      <c r="D207" s="354" t="n"/>
      <c r="E207" s="354" t="n"/>
      <c r="F207" s="354" t="n"/>
      <c r="G207" s="354" t="n"/>
      <c r="H207" s="327" t="n"/>
      <c r="I207" s="327" t="n"/>
      <c r="J207" s="327" t="n"/>
      <c r="K207" s="327" t="n"/>
      <c r="L207" s="327" t="n"/>
      <c r="M207" s="327" t="n"/>
      <c r="N207" s="327" t="n"/>
      <c r="O207" s="327" t="n"/>
      <c r="P207" s="327" t="n"/>
      <c r="Q207" s="327" t="n"/>
      <c r="R207" s="327" t="n"/>
      <c r="S207" s="327" t="n"/>
      <c r="T207" s="327" t="n"/>
      <c r="U207" s="327" t="n"/>
      <c r="V207" s="327" t="n"/>
      <c r="W207" s="327" t="n"/>
      <c r="X207" s="327" t="n"/>
      <c r="Y207" s="327" t="n"/>
      <c r="Z207" s="327" t="n"/>
      <c r="AA207" s="327" t="n"/>
      <c r="AB207" s="327" t="n"/>
      <c r="AC207" s="327" t="n"/>
    </row>
    <row r="208">
      <c r="A208" s="327" t="n"/>
      <c r="B208" s="327" t="n"/>
      <c r="C208" s="354" t="n"/>
      <c r="D208" s="354" t="n"/>
      <c r="E208" s="354" t="n"/>
      <c r="F208" s="354" t="n"/>
      <c r="G208" s="354" t="n"/>
      <c r="H208" s="327" t="n"/>
      <c r="I208" s="327" t="n"/>
      <c r="J208" s="327" t="n"/>
      <c r="K208" s="327" t="n"/>
      <c r="L208" s="327" t="n"/>
      <c r="M208" s="327" t="n"/>
      <c r="N208" s="327" t="n"/>
      <c r="O208" s="327" t="n"/>
      <c r="P208" s="327" t="n"/>
      <c r="Q208" s="327" t="n"/>
      <c r="R208" s="327" t="n"/>
      <c r="S208" s="327" t="n"/>
      <c r="T208" s="327" t="n"/>
      <c r="U208" s="327" t="n"/>
      <c r="V208" s="327" t="n"/>
      <c r="W208" s="327" t="n"/>
      <c r="X208" s="327" t="n"/>
      <c r="Y208" s="327" t="n"/>
      <c r="Z208" s="327" t="n"/>
      <c r="AA208" s="327" t="n"/>
      <c r="AB208" s="327" t="n"/>
      <c r="AC208" s="327" t="n"/>
    </row>
    <row r="209">
      <c r="A209" s="327" t="n"/>
      <c r="B209" s="327" t="n"/>
      <c r="C209" s="354" t="n"/>
      <c r="D209" s="354" t="n"/>
      <c r="E209" s="354" t="n"/>
      <c r="F209" s="354" t="n"/>
      <c r="G209" s="354" t="n"/>
      <c r="H209" s="327" t="n"/>
      <c r="I209" s="327" t="n"/>
      <c r="J209" s="327" t="n"/>
      <c r="K209" s="327" t="n"/>
      <c r="L209" s="327" t="n"/>
      <c r="M209" s="327" t="n"/>
      <c r="N209" s="327" t="n"/>
      <c r="O209" s="327" t="n"/>
      <c r="P209" s="327" t="n"/>
      <c r="Q209" s="327" t="n"/>
      <c r="R209" s="327" t="n"/>
      <c r="S209" s="327" t="n"/>
      <c r="T209" s="327" t="n"/>
      <c r="U209" s="327" t="n"/>
      <c r="V209" s="327" t="n"/>
      <c r="W209" s="327" t="n"/>
      <c r="X209" s="327" t="n"/>
      <c r="Y209" s="327" t="n"/>
      <c r="Z209" s="327" t="n"/>
      <c r="AA209" s="327" t="n"/>
      <c r="AB209" s="327" t="n"/>
      <c r="AC209" s="327" t="n"/>
    </row>
    <row r="210">
      <c r="A210" s="327" t="n"/>
      <c r="B210" s="327" t="n"/>
      <c r="C210" s="354" t="n"/>
      <c r="D210" s="354" t="n"/>
      <c r="E210" s="354" t="n"/>
      <c r="F210" s="354" t="n"/>
      <c r="G210" s="354" t="n"/>
      <c r="H210" s="327" t="n"/>
      <c r="I210" s="327" t="n"/>
      <c r="J210" s="327" t="n"/>
      <c r="K210" s="327" t="n"/>
      <c r="L210" s="327" t="n"/>
      <c r="M210" s="327" t="n"/>
      <c r="N210" s="327" t="n"/>
      <c r="O210" s="327" t="n"/>
      <c r="P210" s="327" t="n"/>
      <c r="Q210" s="327" t="n"/>
      <c r="R210" s="327" t="n"/>
      <c r="S210" s="327" t="n"/>
      <c r="T210" s="327" t="n"/>
      <c r="U210" s="327" t="n"/>
      <c r="V210" s="327" t="n"/>
      <c r="W210" s="327" t="n"/>
      <c r="X210" s="327" t="n"/>
      <c r="Y210" s="327" t="n"/>
      <c r="Z210" s="327" t="n"/>
      <c r="AA210" s="327" t="n"/>
      <c r="AB210" s="327" t="n"/>
      <c r="AC210" s="327" t="n"/>
    </row>
    <row r="211">
      <c r="A211" s="327" t="n"/>
      <c r="B211" s="327" t="n"/>
      <c r="C211" s="354" t="n"/>
      <c r="D211" s="354" t="n"/>
      <c r="E211" s="354" t="n"/>
      <c r="F211" s="354" t="n"/>
      <c r="G211" s="354" t="n"/>
      <c r="H211" s="327" t="n"/>
      <c r="I211" s="327" t="n"/>
      <c r="J211" s="327" t="n"/>
      <c r="K211" s="327" t="n"/>
      <c r="L211" s="327" t="n"/>
      <c r="M211" s="327" t="n"/>
      <c r="N211" s="327" t="n"/>
      <c r="O211" s="327" t="n"/>
      <c r="P211" s="327" t="n"/>
      <c r="Q211" s="327" t="n"/>
      <c r="R211" s="327" t="n"/>
      <c r="S211" s="327" t="n"/>
      <c r="T211" s="327" t="n"/>
      <c r="U211" s="327" t="n"/>
      <c r="V211" s="327" t="n"/>
      <c r="W211" s="327" t="n"/>
      <c r="X211" s="327" t="n"/>
      <c r="Y211" s="327" t="n"/>
      <c r="Z211" s="327" t="n"/>
      <c r="AA211" s="327" t="n"/>
      <c r="AB211" s="327" t="n"/>
      <c r="AC211" s="327" t="n"/>
    </row>
    <row r="212">
      <c r="A212" s="327" t="n"/>
      <c r="B212" s="327" t="n"/>
      <c r="C212" s="354" t="n"/>
      <c r="D212" s="354" t="n"/>
      <c r="E212" s="354" t="n"/>
      <c r="F212" s="354" t="n"/>
      <c r="G212" s="354" t="n"/>
      <c r="H212" s="327" t="n"/>
      <c r="I212" s="327" t="n"/>
      <c r="J212" s="327" t="n"/>
      <c r="K212" s="327" t="n"/>
      <c r="L212" s="327" t="n"/>
      <c r="M212" s="327" t="n"/>
      <c r="N212" s="327" t="n"/>
      <c r="O212" s="327" t="n"/>
      <c r="P212" s="327" t="n"/>
      <c r="Q212" s="327" t="n"/>
      <c r="R212" s="327" t="n"/>
      <c r="S212" s="327" t="n"/>
      <c r="T212" s="327" t="n"/>
      <c r="U212" s="327" t="n"/>
      <c r="V212" s="327" t="n"/>
      <c r="W212" s="327" t="n"/>
      <c r="X212" s="327" t="n"/>
      <c r="Y212" s="327" t="n"/>
      <c r="Z212" s="327" t="n"/>
      <c r="AA212" s="327" t="n"/>
      <c r="AB212" s="327" t="n"/>
      <c r="AC212" s="327" t="n"/>
    </row>
    <row r="213">
      <c r="A213" s="327" t="n"/>
      <c r="B213" s="327" t="n"/>
      <c r="C213" s="354" t="n"/>
      <c r="D213" s="354" t="n"/>
      <c r="E213" s="354" t="n"/>
      <c r="F213" s="354" t="n"/>
      <c r="G213" s="354" t="n"/>
      <c r="H213" s="327" t="n"/>
      <c r="I213" s="327" t="n"/>
      <c r="J213" s="327" t="n"/>
      <c r="K213" s="327" t="n"/>
      <c r="L213" s="327" t="n"/>
      <c r="M213" s="327" t="n"/>
      <c r="N213" s="327" t="n"/>
      <c r="O213" s="327" t="n"/>
      <c r="P213" s="327" t="n"/>
      <c r="Q213" s="327" t="n"/>
      <c r="R213" s="327" t="n"/>
      <c r="S213" s="327" t="n"/>
      <c r="T213" s="327" t="n"/>
      <c r="U213" s="327" t="n"/>
      <c r="V213" s="327" t="n"/>
      <c r="W213" s="327" t="n"/>
      <c r="X213" s="327" t="n"/>
      <c r="Y213" s="327" t="n"/>
      <c r="Z213" s="327" t="n"/>
      <c r="AA213" s="327" t="n"/>
      <c r="AB213" s="327" t="n"/>
      <c r="AC213" s="327" t="n"/>
    </row>
    <row r="214">
      <c r="A214" s="327" t="n"/>
      <c r="B214" s="327" t="n"/>
      <c r="C214" s="354" t="n"/>
      <c r="D214" s="354" t="n"/>
      <c r="E214" s="354" t="n"/>
      <c r="F214" s="354" t="n"/>
      <c r="G214" s="354" t="n"/>
      <c r="H214" s="327" t="n"/>
      <c r="I214" s="327" t="n"/>
      <c r="J214" s="327" t="n"/>
      <c r="K214" s="327" t="n"/>
      <c r="L214" s="327" t="n"/>
      <c r="M214" s="327" t="n"/>
      <c r="N214" s="327" t="n"/>
      <c r="O214" s="327" t="n"/>
      <c r="P214" s="327" t="n"/>
      <c r="Q214" s="327" t="n"/>
      <c r="R214" s="327" t="n"/>
      <c r="S214" s="327" t="n"/>
      <c r="T214" s="327" t="n"/>
      <c r="U214" s="327" t="n"/>
      <c r="V214" s="327" t="n"/>
      <c r="W214" s="327" t="n"/>
      <c r="X214" s="327" t="n"/>
      <c r="Y214" s="327" t="n"/>
      <c r="Z214" s="327" t="n"/>
      <c r="AA214" s="327" t="n"/>
      <c r="AB214" s="327" t="n"/>
      <c r="AC214" s="327" t="n"/>
    </row>
    <row r="215">
      <c r="A215" s="327" t="n"/>
      <c r="B215" s="327" t="n"/>
      <c r="C215" s="354" t="n"/>
      <c r="D215" s="354" t="n"/>
      <c r="E215" s="354" t="n"/>
      <c r="F215" s="354" t="n"/>
      <c r="G215" s="354" t="n"/>
      <c r="H215" s="327" t="n"/>
      <c r="I215" s="327" t="n"/>
      <c r="J215" s="327" t="n"/>
      <c r="K215" s="327" t="n"/>
      <c r="L215" s="327" t="n"/>
      <c r="M215" s="327" t="n"/>
      <c r="N215" s="327" t="n"/>
      <c r="O215" s="327" t="n"/>
      <c r="P215" s="327" t="n"/>
      <c r="Q215" s="327" t="n"/>
      <c r="R215" s="327" t="n"/>
      <c r="S215" s="327" t="n"/>
      <c r="T215" s="327" t="n"/>
      <c r="U215" s="327" t="n"/>
      <c r="V215" s="327" t="n"/>
      <c r="W215" s="327" t="n"/>
      <c r="X215" s="327" t="n"/>
      <c r="Y215" s="327" t="n"/>
      <c r="Z215" s="327" t="n"/>
      <c r="AA215" s="327" t="n"/>
      <c r="AB215" s="327" t="n"/>
      <c r="AC215" s="327" t="n"/>
    </row>
    <row r="216">
      <c r="A216" s="327" t="n"/>
      <c r="B216" s="327" t="n"/>
      <c r="C216" s="354" t="n"/>
      <c r="D216" s="354" t="n"/>
      <c r="E216" s="354" t="n"/>
      <c r="F216" s="354" t="n"/>
      <c r="G216" s="354" t="n"/>
      <c r="H216" s="327" t="n"/>
      <c r="I216" s="327" t="n"/>
      <c r="J216" s="327" t="n"/>
      <c r="K216" s="327" t="n"/>
      <c r="L216" s="327" t="n"/>
      <c r="M216" s="327" t="n"/>
      <c r="N216" s="327" t="n"/>
      <c r="O216" s="327" t="n"/>
      <c r="P216" s="327" t="n"/>
      <c r="Q216" s="327" t="n"/>
      <c r="R216" s="327" t="n"/>
      <c r="S216" s="327" t="n"/>
      <c r="T216" s="327" t="n"/>
      <c r="U216" s="327" t="n"/>
      <c r="V216" s="327" t="n"/>
      <c r="W216" s="327" t="n"/>
      <c r="X216" s="327" t="n"/>
      <c r="Y216" s="327" t="n"/>
      <c r="Z216" s="327" t="n"/>
      <c r="AA216" s="327" t="n"/>
      <c r="AB216" s="327" t="n"/>
      <c r="AC216" s="327" t="n"/>
    </row>
    <row r="217">
      <c r="A217" s="327" t="n"/>
      <c r="B217" s="327" t="n"/>
      <c r="C217" s="354" t="n"/>
      <c r="D217" s="354" t="n"/>
      <c r="E217" s="354" t="n"/>
      <c r="F217" s="354" t="n"/>
      <c r="G217" s="354" t="n"/>
      <c r="H217" s="327" t="n"/>
      <c r="I217" s="327" t="n"/>
      <c r="J217" s="327" t="n"/>
      <c r="K217" s="327" t="n"/>
      <c r="L217" s="327" t="n"/>
      <c r="M217" s="327" t="n"/>
      <c r="N217" s="327" t="n"/>
      <c r="O217" s="327" t="n"/>
      <c r="P217" s="327" t="n"/>
      <c r="Q217" s="327" t="n"/>
      <c r="R217" s="327" t="n"/>
      <c r="S217" s="327" t="n"/>
      <c r="T217" s="327" t="n"/>
      <c r="U217" s="327" t="n"/>
      <c r="V217" s="327" t="n"/>
      <c r="W217" s="327" t="n"/>
      <c r="X217" s="327" t="n"/>
      <c r="Y217" s="327" t="n"/>
      <c r="Z217" s="327" t="n"/>
      <c r="AA217" s="327" t="n"/>
      <c r="AB217" s="327" t="n"/>
      <c r="AC217" s="327" t="n"/>
    </row>
    <row r="218">
      <c r="A218" s="327" t="n"/>
      <c r="B218" s="327" t="n"/>
      <c r="C218" s="354" t="n"/>
      <c r="D218" s="354" t="n"/>
      <c r="E218" s="354" t="n"/>
      <c r="F218" s="354" t="n"/>
      <c r="G218" s="354" t="n"/>
      <c r="H218" s="327" t="n"/>
      <c r="I218" s="327" t="n"/>
      <c r="J218" s="327" t="n"/>
      <c r="K218" s="327" t="n"/>
      <c r="L218" s="327" t="n"/>
      <c r="M218" s="327" t="n"/>
      <c r="N218" s="327" t="n"/>
      <c r="O218" s="327" t="n"/>
      <c r="P218" s="327" t="n"/>
      <c r="Q218" s="327" t="n"/>
      <c r="R218" s="327" t="n"/>
      <c r="S218" s="327" t="n"/>
      <c r="T218" s="327" t="n"/>
      <c r="U218" s="327" t="n"/>
      <c r="V218" s="327" t="n"/>
      <c r="W218" s="327" t="n"/>
      <c r="X218" s="327" t="n"/>
      <c r="Y218" s="327" t="n"/>
      <c r="Z218" s="327" t="n"/>
      <c r="AA218" s="327" t="n"/>
      <c r="AB218" s="327" t="n"/>
      <c r="AC218" s="327" t="n"/>
    </row>
    <row r="219">
      <c r="A219" s="327" t="n"/>
      <c r="B219" s="327" t="n"/>
      <c r="C219" s="354" t="n"/>
      <c r="D219" s="354" t="n"/>
      <c r="E219" s="354" t="n"/>
      <c r="F219" s="354" t="n"/>
      <c r="G219" s="354" t="n"/>
      <c r="H219" s="327" t="n"/>
      <c r="I219" s="327" t="n"/>
      <c r="J219" s="327" t="n"/>
      <c r="K219" s="327" t="n"/>
      <c r="L219" s="327" t="n"/>
      <c r="M219" s="327" t="n"/>
      <c r="N219" s="327" t="n"/>
      <c r="O219" s="327" t="n"/>
      <c r="P219" s="327" t="n"/>
      <c r="Q219" s="327" t="n"/>
      <c r="R219" s="327" t="n"/>
      <c r="S219" s="327" t="n"/>
      <c r="T219" s="327" t="n"/>
      <c r="U219" s="327" t="n"/>
      <c r="V219" s="327" t="n"/>
      <c r="W219" s="327" t="n"/>
      <c r="X219" s="327" t="n"/>
      <c r="Y219" s="327" t="n"/>
      <c r="Z219" s="327" t="n"/>
      <c r="AA219" s="327" t="n"/>
      <c r="AB219" s="327" t="n"/>
      <c r="AC219" s="327" t="n"/>
    </row>
    <row r="220">
      <c r="A220" s="327" t="n"/>
      <c r="B220" s="327" t="n"/>
      <c r="C220" s="354" t="n"/>
      <c r="D220" s="354" t="n"/>
      <c r="E220" s="354" t="n"/>
      <c r="F220" s="354" t="n"/>
      <c r="G220" s="354" t="n"/>
      <c r="H220" s="327" t="n"/>
      <c r="I220" s="327" t="n"/>
      <c r="J220" s="327" t="n"/>
      <c r="K220" s="327" t="n"/>
      <c r="L220" s="327" t="n"/>
      <c r="M220" s="327" t="n"/>
      <c r="N220" s="327" t="n"/>
      <c r="O220" s="327" t="n"/>
      <c r="P220" s="327" t="n"/>
      <c r="Q220" s="327" t="n"/>
      <c r="R220" s="327" t="n"/>
      <c r="S220" s="327" t="n"/>
      <c r="T220" s="327" t="n"/>
      <c r="U220" s="327" t="n"/>
      <c r="V220" s="327" t="n"/>
      <c r="W220" s="327" t="n"/>
      <c r="X220" s="327" t="n"/>
      <c r="Y220" s="327" t="n"/>
      <c r="Z220" s="327" t="n"/>
      <c r="AA220" s="327" t="n"/>
      <c r="AB220" s="327" t="n"/>
      <c r="AC220" s="327" t="n"/>
    </row>
    <row r="221">
      <c r="A221" s="327" t="n"/>
      <c r="B221" s="327" t="n"/>
      <c r="C221" s="354" t="n"/>
      <c r="D221" s="354" t="n"/>
      <c r="E221" s="354" t="n"/>
      <c r="F221" s="354" t="n"/>
      <c r="G221" s="354" t="n"/>
      <c r="H221" s="327" t="n"/>
      <c r="I221" s="327" t="n"/>
      <c r="J221" s="327" t="n"/>
      <c r="K221" s="327" t="n"/>
      <c r="L221" s="327" t="n"/>
      <c r="M221" s="327" t="n"/>
      <c r="N221" s="327" t="n"/>
      <c r="O221" s="327" t="n"/>
      <c r="P221" s="327" t="n"/>
      <c r="Q221" s="327" t="n"/>
      <c r="R221" s="327" t="n"/>
      <c r="S221" s="327" t="n"/>
      <c r="T221" s="327" t="n"/>
      <c r="U221" s="327" t="n"/>
      <c r="V221" s="327" t="n"/>
      <c r="W221" s="327" t="n"/>
      <c r="X221" s="327" t="n"/>
      <c r="Y221" s="327" t="n"/>
      <c r="Z221" s="327" t="n"/>
      <c r="AA221" s="327" t="n"/>
      <c r="AB221" s="327" t="n"/>
      <c r="AC221" s="327" t="n"/>
    </row>
    <row r="222">
      <c r="A222" s="327" t="n"/>
      <c r="B222" s="327" t="n"/>
      <c r="C222" s="354" t="n"/>
      <c r="D222" s="354" t="n"/>
      <c r="E222" s="354" t="n"/>
      <c r="F222" s="354" t="n"/>
      <c r="G222" s="354" t="n"/>
      <c r="H222" s="327" t="n"/>
      <c r="I222" s="327" t="n"/>
      <c r="J222" s="327" t="n"/>
      <c r="K222" s="327" t="n"/>
      <c r="L222" s="327" t="n"/>
      <c r="M222" s="327" t="n"/>
      <c r="N222" s="327" t="n"/>
      <c r="O222" s="327" t="n"/>
      <c r="P222" s="327" t="n"/>
      <c r="Q222" s="327" t="n"/>
      <c r="R222" s="327" t="n"/>
      <c r="S222" s="327" t="n"/>
      <c r="T222" s="327" t="n"/>
      <c r="U222" s="327" t="n"/>
      <c r="V222" s="327" t="n"/>
      <c r="W222" s="327" t="n"/>
      <c r="X222" s="327" t="n"/>
      <c r="Y222" s="327" t="n"/>
      <c r="Z222" s="327" t="n"/>
      <c r="AA222" s="327" t="n"/>
      <c r="AB222" s="327" t="n"/>
      <c r="AC222" s="327" t="n"/>
    </row>
    <row r="223">
      <c r="A223" s="327" t="n"/>
      <c r="B223" s="327" t="n"/>
      <c r="C223" s="354" t="n"/>
      <c r="D223" s="354" t="n"/>
      <c r="E223" s="354" t="n"/>
      <c r="F223" s="354" t="n"/>
      <c r="G223" s="354" t="n"/>
      <c r="H223" s="327" t="n"/>
      <c r="I223" s="327" t="n"/>
      <c r="J223" s="327" t="n"/>
      <c r="K223" s="327" t="n"/>
      <c r="L223" s="327" t="n"/>
      <c r="M223" s="327" t="n"/>
      <c r="N223" s="327" t="n"/>
      <c r="O223" s="327" t="n"/>
      <c r="P223" s="327" t="n"/>
      <c r="Q223" s="327" t="n"/>
      <c r="R223" s="327" t="n"/>
      <c r="S223" s="327" t="n"/>
      <c r="T223" s="327" t="n"/>
      <c r="U223" s="327" t="n"/>
      <c r="V223" s="327" t="n"/>
      <c r="W223" s="327" t="n"/>
      <c r="X223" s="327" t="n"/>
      <c r="Y223" s="327" t="n"/>
      <c r="Z223" s="327" t="n"/>
      <c r="AA223" s="327" t="n"/>
      <c r="AB223" s="327" t="n"/>
      <c r="AC223" s="327" t="n"/>
    </row>
    <row r="224">
      <c r="A224" s="327" t="n"/>
      <c r="B224" s="327" t="n"/>
      <c r="C224" s="354" t="n"/>
      <c r="D224" s="354" t="n"/>
      <c r="E224" s="354" t="n"/>
      <c r="F224" s="354" t="n"/>
      <c r="G224" s="354" t="n"/>
      <c r="H224" s="327" t="n"/>
      <c r="I224" s="327" t="n"/>
      <c r="J224" s="327" t="n"/>
      <c r="K224" s="327" t="n"/>
      <c r="L224" s="327" t="n"/>
      <c r="M224" s="327" t="n"/>
      <c r="N224" s="327" t="n"/>
      <c r="O224" s="327" t="n"/>
      <c r="P224" s="327" t="n"/>
      <c r="Q224" s="327" t="n"/>
      <c r="R224" s="327" t="n"/>
      <c r="S224" s="327" t="n"/>
      <c r="T224" s="327" t="n"/>
      <c r="U224" s="327" t="n"/>
      <c r="V224" s="327" t="n"/>
      <c r="W224" s="327" t="n"/>
      <c r="X224" s="327" t="n"/>
      <c r="Y224" s="327" t="n"/>
      <c r="Z224" s="327" t="n"/>
      <c r="AA224" s="327" t="n"/>
      <c r="AB224" s="327" t="n"/>
      <c r="AC224" s="327" t="n"/>
    </row>
    <row r="225">
      <c r="A225" s="327" t="n"/>
      <c r="B225" s="327" t="n"/>
      <c r="C225" s="354" t="n"/>
      <c r="D225" s="354" t="n"/>
      <c r="E225" s="354" t="n"/>
      <c r="F225" s="354" t="n"/>
      <c r="G225" s="354" t="n"/>
      <c r="H225" s="327" t="n"/>
      <c r="I225" s="327" t="n"/>
      <c r="J225" s="327" t="n"/>
      <c r="K225" s="327" t="n"/>
      <c r="L225" s="327" t="n"/>
      <c r="M225" s="327" t="n"/>
      <c r="N225" s="327" t="n"/>
      <c r="O225" s="327" t="n"/>
      <c r="P225" s="327" t="n"/>
      <c r="Q225" s="327" t="n"/>
      <c r="R225" s="327" t="n"/>
      <c r="S225" s="327" t="n"/>
      <c r="T225" s="327" t="n"/>
      <c r="U225" s="327" t="n"/>
      <c r="V225" s="327" t="n"/>
      <c r="W225" s="327" t="n"/>
      <c r="X225" s="327" t="n"/>
      <c r="Y225" s="327" t="n"/>
      <c r="Z225" s="327" t="n"/>
      <c r="AA225" s="327" t="n"/>
      <c r="AB225" s="327" t="n"/>
      <c r="AC225" s="327" t="n"/>
    </row>
    <row r="226">
      <c r="A226" s="327" t="n"/>
      <c r="B226" s="327" t="n"/>
      <c r="C226" s="354" t="n"/>
      <c r="D226" s="354" t="n"/>
      <c r="E226" s="354" t="n"/>
      <c r="F226" s="354" t="n"/>
      <c r="G226" s="354" t="n"/>
      <c r="H226" s="327" t="n"/>
      <c r="I226" s="327" t="n"/>
      <c r="J226" s="327" t="n"/>
      <c r="K226" s="327" t="n"/>
      <c r="L226" s="327" t="n"/>
      <c r="M226" s="327" t="n"/>
      <c r="N226" s="327" t="n"/>
      <c r="O226" s="327" t="n"/>
      <c r="P226" s="327" t="n"/>
      <c r="Q226" s="327" t="n"/>
      <c r="R226" s="327" t="n"/>
      <c r="S226" s="327" t="n"/>
      <c r="T226" s="327" t="n"/>
      <c r="U226" s="327" t="n"/>
      <c r="V226" s="327" t="n"/>
      <c r="W226" s="327" t="n"/>
      <c r="X226" s="327" t="n"/>
      <c r="Y226" s="327" t="n"/>
      <c r="Z226" s="327" t="n"/>
      <c r="AA226" s="327" t="n"/>
      <c r="AB226" s="327" t="n"/>
      <c r="AC226" s="327" t="n"/>
    </row>
    <row r="227">
      <c r="A227" s="327" t="n"/>
      <c r="B227" s="327" t="n"/>
      <c r="C227" s="354" t="n"/>
      <c r="D227" s="354" t="n"/>
      <c r="E227" s="354" t="n"/>
      <c r="F227" s="354" t="n"/>
      <c r="G227" s="354" t="n"/>
      <c r="H227" s="327" t="n"/>
      <c r="I227" s="327" t="n"/>
      <c r="J227" s="327" t="n"/>
      <c r="K227" s="327" t="n"/>
      <c r="L227" s="327" t="n"/>
      <c r="M227" s="327" t="n"/>
      <c r="N227" s="327" t="n"/>
      <c r="O227" s="327" t="n"/>
      <c r="P227" s="327" t="n"/>
      <c r="Q227" s="327" t="n"/>
      <c r="R227" s="327" t="n"/>
      <c r="S227" s="327" t="n"/>
      <c r="T227" s="327" t="n"/>
      <c r="U227" s="327" t="n"/>
      <c r="V227" s="327" t="n"/>
      <c r="W227" s="327" t="n"/>
      <c r="X227" s="327" t="n"/>
      <c r="Y227" s="327" t="n"/>
      <c r="Z227" s="327" t="n"/>
      <c r="AA227" s="327" t="n"/>
      <c r="AB227" s="327" t="n"/>
      <c r="AC227" s="327" t="n"/>
    </row>
    <row r="228">
      <c r="A228" s="327" t="n"/>
      <c r="B228" s="327" t="n"/>
      <c r="C228" s="354" t="n"/>
      <c r="D228" s="354" t="n"/>
      <c r="E228" s="354" t="n"/>
      <c r="F228" s="354" t="n"/>
      <c r="G228" s="354" t="n"/>
      <c r="H228" s="327" t="n"/>
      <c r="I228" s="327" t="n"/>
      <c r="J228" s="327" t="n"/>
      <c r="K228" s="327" t="n"/>
      <c r="L228" s="327" t="n"/>
      <c r="M228" s="327" t="n"/>
      <c r="N228" s="327" t="n"/>
      <c r="O228" s="327" t="n"/>
      <c r="P228" s="327" t="n"/>
      <c r="Q228" s="327" t="n"/>
      <c r="R228" s="327" t="n"/>
      <c r="S228" s="327" t="n"/>
      <c r="T228" s="327" t="n"/>
      <c r="U228" s="327" t="n"/>
      <c r="V228" s="327" t="n"/>
      <c r="W228" s="327" t="n"/>
      <c r="X228" s="327" t="n"/>
      <c r="Y228" s="327" t="n"/>
      <c r="Z228" s="327" t="n"/>
      <c r="AA228" s="327" t="n"/>
      <c r="AB228" s="327" t="n"/>
      <c r="AC228" s="327" t="n"/>
    </row>
    <row r="229">
      <c r="A229" s="327" t="n"/>
      <c r="B229" s="327" t="n"/>
      <c r="C229" s="354" t="n"/>
      <c r="D229" s="354" t="n"/>
      <c r="E229" s="354" t="n"/>
      <c r="F229" s="354" t="n"/>
      <c r="G229" s="354" t="n"/>
      <c r="H229" s="327" t="n"/>
      <c r="I229" s="327" t="n"/>
      <c r="J229" s="327" t="n"/>
      <c r="K229" s="327" t="n"/>
      <c r="L229" s="327" t="n"/>
      <c r="M229" s="327" t="n"/>
      <c r="N229" s="327" t="n"/>
      <c r="O229" s="327" t="n"/>
      <c r="P229" s="327" t="n"/>
      <c r="Q229" s="327" t="n"/>
      <c r="R229" s="327" t="n"/>
      <c r="S229" s="327" t="n"/>
      <c r="T229" s="327" t="n"/>
      <c r="U229" s="327" t="n"/>
      <c r="V229" s="327" t="n"/>
      <c r="W229" s="327" t="n"/>
      <c r="X229" s="327" t="n"/>
      <c r="Y229" s="327" t="n"/>
      <c r="Z229" s="327" t="n"/>
      <c r="AA229" s="327" t="n"/>
      <c r="AB229" s="327" t="n"/>
      <c r="AC229" s="327" t="n"/>
    </row>
    <row r="230">
      <c r="A230" s="327" t="n"/>
      <c r="B230" s="327" t="n"/>
      <c r="C230" s="354" t="n"/>
      <c r="D230" s="354" t="n"/>
      <c r="E230" s="354" t="n"/>
      <c r="F230" s="354" t="n"/>
      <c r="G230" s="354" t="n"/>
      <c r="H230" s="327" t="n"/>
      <c r="I230" s="327" t="n"/>
      <c r="J230" s="327" t="n"/>
      <c r="K230" s="327" t="n"/>
      <c r="L230" s="327" t="n"/>
      <c r="M230" s="327" t="n"/>
      <c r="N230" s="327" t="n"/>
      <c r="O230" s="327" t="n"/>
      <c r="P230" s="327" t="n"/>
      <c r="Q230" s="327" t="n"/>
      <c r="R230" s="327" t="n"/>
      <c r="S230" s="327" t="n"/>
      <c r="T230" s="327" t="n"/>
      <c r="U230" s="327" t="n"/>
      <c r="V230" s="327" t="n"/>
      <c r="W230" s="327" t="n"/>
      <c r="X230" s="327" t="n"/>
      <c r="Y230" s="327" t="n"/>
      <c r="Z230" s="327" t="n"/>
      <c r="AA230" s="327" t="n"/>
      <c r="AB230" s="327" t="n"/>
      <c r="AC230" s="327" t="n"/>
    </row>
    <row r="231">
      <c r="A231" s="327" t="n"/>
      <c r="B231" s="327" t="n"/>
      <c r="C231" s="354" t="n"/>
      <c r="D231" s="354" t="n"/>
      <c r="E231" s="354" t="n"/>
      <c r="F231" s="354" t="n"/>
      <c r="G231" s="354" t="n"/>
      <c r="H231" s="327" t="n"/>
      <c r="I231" s="327" t="n"/>
      <c r="J231" s="327" t="n"/>
      <c r="K231" s="327" t="n"/>
      <c r="L231" s="327" t="n"/>
      <c r="M231" s="327" t="n"/>
      <c r="N231" s="327" t="n"/>
      <c r="O231" s="327" t="n"/>
      <c r="P231" s="327" t="n"/>
      <c r="Q231" s="327" t="n"/>
      <c r="R231" s="327" t="n"/>
      <c r="S231" s="327" t="n"/>
      <c r="T231" s="327" t="n"/>
      <c r="U231" s="327" t="n"/>
      <c r="V231" s="327" t="n"/>
      <c r="W231" s="327" t="n"/>
      <c r="X231" s="327" t="n"/>
      <c r="Y231" s="327" t="n"/>
      <c r="Z231" s="327" t="n"/>
      <c r="AA231" s="327" t="n"/>
      <c r="AB231" s="327" t="n"/>
      <c r="AC231" s="327" t="n"/>
    </row>
    <row r="232">
      <c r="A232" s="327" t="n"/>
      <c r="B232" s="327" t="n"/>
      <c r="C232" s="354" t="n"/>
      <c r="D232" s="354" t="n"/>
      <c r="E232" s="354" t="n"/>
      <c r="F232" s="354" t="n"/>
      <c r="G232" s="354" t="n"/>
      <c r="H232" s="327" t="n"/>
      <c r="I232" s="327" t="n"/>
      <c r="J232" s="327" t="n"/>
      <c r="K232" s="327" t="n"/>
      <c r="L232" s="327" t="n"/>
      <c r="M232" s="327" t="n"/>
      <c r="N232" s="327" t="n"/>
      <c r="O232" s="327" t="n"/>
      <c r="P232" s="327" t="n"/>
      <c r="Q232" s="327" t="n"/>
      <c r="R232" s="327" t="n"/>
      <c r="S232" s="327" t="n"/>
      <c r="T232" s="327" t="n"/>
      <c r="U232" s="327" t="n"/>
      <c r="V232" s="327" t="n"/>
      <c r="W232" s="327" t="n"/>
      <c r="X232" s="327" t="n"/>
      <c r="Y232" s="327" t="n"/>
      <c r="Z232" s="327" t="n"/>
      <c r="AA232" s="327" t="n"/>
      <c r="AB232" s="327" t="n"/>
      <c r="AC232" s="327" t="n"/>
    </row>
    <row r="233">
      <c r="A233" s="327" t="n"/>
      <c r="B233" s="327" t="n"/>
      <c r="C233" s="354" t="n"/>
      <c r="D233" s="354" t="n"/>
      <c r="E233" s="354" t="n"/>
      <c r="F233" s="354" t="n"/>
      <c r="G233" s="354" t="n"/>
      <c r="H233" s="327" t="n"/>
      <c r="I233" s="327" t="n"/>
      <c r="J233" s="327" t="n"/>
      <c r="K233" s="327" t="n"/>
      <c r="L233" s="327" t="n"/>
      <c r="M233" s="327" t="n"/>
      <c r="N233" s="327" t="n"/>
      <c r="O233" s="327" t="n"/>
      <c r="P233" s="327" t="n"/>
      <c r="Q233" s="327" t="n"/>
      <c r="R233" s="327" t="n"/>
      <c r="S233" s="327" t="n"/>
      <c r="T233" s="327" t="n"/>
      <c r="U233" s="327" t="n"/>
      <c r="V233" s="327" t="n"/>
      <c r="W233" s="327" t="n"/>
      <c r="X233" s="327" t="n"/>
      <c r="Y233" s="327" t="n"/>
      <c r="Z233" s="327" t="n"/>
      <c r="AA233" s="327" t="n"/>
      <c r="AB233" s="327" t="n"/>
      <c r="AC233" s="327" t="n"/>
    </row>
    <row r="234">
      <c r="A234" s="327" t="n"/>
      <c r="B234" s="327" t="n"/>
      <c r="C234" s="354" t="n"/>
      <c r="D234" s="354" t="n"/>
      <c r="E234" s="354" t="n"/>
      <c r="F234" s="354" t="n"/>
      <c r="G234" s="354" t="n"/>
      <c r="H234" s="327" t="n"/>
      <c r="I234" s="327" t="n"/>
      <c r="J234" s="327" t="n"/>
      <c r="K234" s="327" t="n"/>
      <c r="L234" s="327" t="n"/>
      <c r="M234" s="327" t="n"/>
      <c r="N234" s="327" t="n"/>
      <c r="O234" s="327" t="n"/>
      <c r="P234" s="327" t="n"/>
      <c r="Q234" s="327" t="n"/>
      <c r="R234" s="327" t="n"/>
      <c r="S234" s="327" t="n"/>
      <c r="T234" s="327" t="n"/>
      <c r="U234" s="327" t="n"/>
      <c r="V234" s="327" t="n"/>
      <c r="W234" s="327" t="n"/>
      <c r="X234" s="327" t="n"/>
      <c r="Y234" s="327" t="n"/>
      <c r="Z234" s="327" t="n"/>
      <c r="AA234" s="327" t="n"/>
      <c r="AB234" s="327" t="n"/>
      <c r="AC234" s="327" t="n"/>
    </row>
    <row r="235">
      <c r="A235" s="327" t="n"/>
      <c r="B235" s="327" t="n"/>
      <c r="C235" s="354" t="n"/>
      <c r="D235" s="354" t="n"/>
      <c r="E235" s="354" t="n"/>
      <c r="F235" s="354" t="n"/>
      <c r="G235" s="354" t="n"/>
      <c r="H235" s="327" t="n"/>
      <c r="I235" s="327" t="n"/>
      <c r="J235" s="327" t="n"/>
      <c r="K235" s="327" t="n"/>
      <c r="L235" s="327" t="n"/>
      <c r="M235" s="327" t="n"/>
      <c r="N235" s="327" t="n"/>
      <c r="O235" s="327" t="n"/>
      <c r="P235" s="327" t="n"/>
      <c r="Q235" s="327" t="n"/>
      <c r="R235" s="327" t="n"/>
      <c r="S235" s="327" t="n"/>
      <c r="T235" s="327" t="n"/>
      <c r="U235" s="327" t="n"/>
      <c r="V235" s="327" t="n"/>
      <c r="W235" s="327" t="n"/>
      <c r="X235" s="327" t="n"/>
      <c r="Y235" s="327" t="n"/>
      <c r="Z235" s="327" t="n"/>
      <c r="AA235" s="327" t="n"/>
      <c r="AB235" s="327" t="n"/>
      <c r="AC235" s="327" t="n"/>
    </row>
    <row r="236">
      <c r="A236" s="327" t="n"/>
      <c r="B236" s="327" t="n"/>
      <c r="C236" s="354" t="n"/>
      <c r="D236" s="354" t="n"/>
      <c r="E236" s="354" t="n"/>
      <c r="F236" s="354" t="n"/>
      <c r="G236" s="354" t="n"/>
      <c r="H236" s="327" t="n"/>
      <c r="I236" s="327" t="n"/>
      <c r="J236" s="327" t="n"/>
      <c r="K236" s="327" t="n"/>
      <c r="L236" s="327" t="n"/>
      <c r="M236" s="327" t="n"/>
      <c r="N236" s="327" t="n"/>
      <c r="O236" s="327" t="n"/>
      <c r="P236" s="327" t="n"/>
      <c r="Q236" s="327" t="n"/>
      <c r="R236" s="327" t="n"/>
      <c r="S236" s="327" t="n"/>
      <c r="T236" s="327" t="n"/>
      <c r="U236" s="327" t="n"/>
      <c r="V236" s="327" t="n"/>
      <c r="W236" s="327" t="n"/>
      <c r="X236" s="327" t="n"/>
      <c r="Y236" s="327" t="n"/>
      <c r="Z236" s="327" t="n"/>
      <c r="AA236" s="327" t="n"/>
      <c r="AB236" s="327" t="n"/>
      <c r="AC236" s="327" t="n"/>
    </row>
    <row r="237">
      <c r="A237" s="327" t="n"/>
      <c r="B237" s="327" t="n"/>
      <c r="C237" s="354" t="n"/>
      <c r="D237" s="354" t="n"/>
      <c r="E237" s="354" t="n"/>
      <c r="F237" s="354" t="n"/>
      <c r="G237" s="354" t="n"/>
      <c r="H237" s="327" t="n"/>
      <c r="I237" s="327" t="n"/>
      <c r="J237" s="327" t="n"/>
      <c r="K237" s="327" t="n"/>
      <c r="L237" s="327" t="n"/>
      <c r="M237" s="327" t="n"/>
      <c r="N237" s="327" t="n"/>
      <c r="O237" s="327" t="n"/>
      <c r="P237" s="327" t="n"/>
      <c r="Q237" s="327" t="n"/>
      <c r="R237" s="327" t="n"/>
      <c r="S237" s="327" t="n"/>
      <c r="T237" s="327" t="n"/>
      <c r="U237" s="327" t="n"/>
      <c r="V237" s="327" t="n"/>
      <c r="W237" s="327" t="n"/>
      <c r="X237" s="327" t="n"/>
      <c r="Y237" s="327" t="n"/>
      <c r="Z237" s="327" t="n"/>
      <c r="AA237" s="327" t="n"/>
      <c r="AB237" s="327" t="n"/>
      <c r="AC237" s="327" t="n"/>
    </row>
    <row r="238">
      <c r="A238" s="327" t="n"/>
      <c r="B238" s="327" t="n"/>
      <c r="C238" s="354" t="n"/>
      <c r="D238" s="354" t="n"/>
      <c r="E238" s="354" t="n"/>
      <c r="F238" s="354" t="n"/>
      <c r="G238" s="354" t="n"/>
      <c r="H238" s="327" t="n"/>
      <c r="I238" s="327" t="n"/>
      <c r="J238" s="327" t="n"/>
      <c r="K238" s="327" t="n"/>
      <c r="L238" s="327" t="n"/>
      <c r="M238" s="327" t="n"/>
      <c r="N238" s="327" t="n"/>
      <c r="O238" s="327" t="n"/>
      <c r="P238" s="327" t="n"/>
      <c r="Q238" s="327" t="n"/>
      <c r="R238" s="327" t="n"/>
      <c r="S238" s="327" t="n"/>
      <c r="T238" s="327" t="n"/>
      <c r="U238" s="327" t="n"/>
      <c r="V238" s="327" t="n"/>
      <c r="W238" s="327" t="n"/>
      <c r="X238" s="327" t="n"/>
      <c r="Y238" s="327" t="n"/>
      <c r="Z238" s="327" t="n"/>
      <c r="AA238" s="327" t="n"/>
      <c r="AB238" s="327" t="n"/>
      <c r="AC238" s="327" t="n"/>
    </row>
    <row r="239">
      <c r="A239" s="327" t="n"/>
      <c r="B239" s="327" t="n"/>
      <c r="C239" s="354" t="n"/>
      <c r="D239" s="354" t="n"/>
      <c r="E239" s="354" t="n"/>
      <c r="F239" s="354" t="n"/>
      <c r="G239" s="354" t="n"/>
      <c r="H239" s="327" t="n"/>
      <c r="I239" s="327" t="n"/>
      <c r="J239" s="327" t="n"/>
      <c r="K239" s="327" t="n"/>
      <c r="L239" s="327" t="n"/>
      <c r="M239" s="327" t="n"/>
      <c r="N239" s="327" t="n"/>
      <c r="O239" s="327" t="n"/>
      <c r="P239" s="327" t="n"/>
      <c r="Q239" s="327" t="n"/>
      <c r="R239" s="327" t="n"/>
      <c r="S239" s="327" t="n"/>
      <c r="T239" s="327" t="n"/>
      <c r="U239" s="327" t="n"/>
      <c r="V239" s="327" t="n"/>
      <c r="W239" s="327" t="n"/>
      <c r="X239" s="327" t="n"/>
      <c r="Y239" s="327" t="n"/>
      <c r="Z239" s="327" t="n"/>
      <c r="AA239" s="327" t="n"/>
      <c r="AB239" s="327" t="n"/>
      <c r="AC239" s="327" t="n"/>
    </row>
    <row r="240">
      <c r="A240" s="327" t="n"/>
      <c r="B240" s="327" t="n"/>
      <c r="C240" s="354" t="n"/>
      <c r="D240" s="354" t="n"/>
      <c r="E240" s="354" t="n"/>
      <c r="F240" s="354" t="n"/>
      <c r="G240" s="354" t="n"/>
      <c r="H240" s="327" t="n"/>
      <c r="I240" s="327" t="n"/>
      <c r="J240" s="327" t="n"/>
      <c r="K240" s="327" t="n"/>
      <c r="L240" s="327" t="n"/>
      <c r="M240" s="327" t="n"/>
      <c r="N240" s="327" t="n"/>
      <c r="O240" s="327" t="n"/>
      <c r="P240" s="327" t="n"/>
      <c r="Q240" s="327" t="n"/>
      <c r="R240" s="327" t="n"/>
      <c r="S240" s="327" t="n"/>
      <c r="T240" s="327" t="n"/>
      <c r="U240" s="327" t="n"/>
      <c r="V240" s="327" t="n"/>
      <c r="W240" s="327" t="n"/>
      <c r="X240" s="327" t="n"/>
      <c r="Y240" s="327" t="n"/>
      <c r="Z240" s="327" t="n"/>
      <c r="AA240" s="327" t="n"/>
      <c r="AB240" s="327" t="n"/>
      <c r="AC240" s="327" t="n"/>
    </row>
    <row r="241">
      <c r="A241" s="327" t="n"/>
      <c r="B241" s="327" t="n"/>
      <c r="C241" s="354" t="n"/>
      <c r="D241" s="354" t="n"/>
      <c r="E241" s="354" t="n"/>
      <c r="F241" s="354" t="n"/>
      <c r="G241" s="354" t="n"/>
      <c r="H241" s="327" t="n"/>
      <c r="I241" s="327" t="n"/>
      <c r="J241" s="327" t="n"/>
      <c r="K241" s="327" t="n"/>
      <c r="L241" s="327" t="n"/>
      <c r="M241" s="327" t="n"/>
      <c r="N241" s="327" t="n"/>
      <c r="O241" s="327" t="n"/>
      <c r="P241" s="327" t="n"/>
      <c r="Q241" s="327" t="n"/>
      <c r="R241" s="327" t="n"/>
      <c r="S241" s="327" t="n"/>
      <c r="T241" s="327" t="n"/>
      <c r="U241" s="327" t="n"/>
      <c r="V241" s="327" t="n"/>
      <c r="W241" s="327" t="n"/>
      <c r="X241" s="327" t="n"/>
      <c r="Y241" s="327" t="n"/>
      <c r="Z241" s="327" t="n"/>
      <c r="AA241" s="327" t="n"/>
      <c r="AB241" s="327" t="n"/>
      <c r="AC241" s="327" t="n"/>
    </row>
    <row r="242">
      <c r="A242" s="327" t="n"/>
      <c r="B242" s="327" t="n"/>
      <c r="C242" s="354" t="n"/>
      <c r="D242" s="354" t="n"/>
      <c r="E242" s="354" t="n"/>
      <c r="F242" s="354" t="n"/>
      <c r="G242" s="354" t="n"/>
      <c r="H242" s="327" t="n"/>
      <c r="I242" s="327" t="n"/>
      <c r="J242" s="327" t="n"/>
      <c r="K242" s="327" t="n"/>
      <c r="L242" s="327" t="n"/>
      <c r="M242" s="327" t="n"/>
      <c r="N242" s="327" t="n"/>
      <c r="O242" s="327" t="n"/>
      <c r="P242" s="327" t="n"/>
      <c r="Q242" s="327" t="n"/>
      <c r="R242" s="327" t="n"/>
      <c r="S242" s="327" t="n"/>
      <c r="T242" s="327" t="n"/>
      <c r="U242" s="327" t="n"/>
      <c r="V242" s="327" t="n"/>
      <c r="W242" s="327" t="n"/>
      <c r="X242" s="327" t="n"/>
      <c r="Y242" s="327" t="n"/>
      <c r="Z242" s="327" t="n"/>
      <c r="AA242" s="327" t="n"/>
      <c r="AB242" s="327" t="n"/>
      <c r="AC242" s="327" t="n"/>
    </row>
    <row r="243">
      <c r="A243" s="327" t="n"/>
      <c r="B243" s="327" t="n"/>
      <c r="C243" s="354" t="n"/>
      <c r="D243" s="354" t="n"/>
      <c r="E243" s="354" t="n"/>
      <c r="F243" s="354" t="n"/>
      <c r="G243" s="354" t="n"/>
      <c r="H243" s="327" t="n"/>
      <c r="I243" s="327" t="n"/>
      <c r="J243" s="327" t="n"/>
      <c r="K243" s="327" t="n"/>
      <c r="L243" s="327" t="n"/>
      <c r="M243" s="327" t="n"/>
      <c r="N243" s="327" t="n"/>
      <c r="O243" s="327" t="n"/>
      <c r="P243" s="327" t="n"/>
      <c r="Q243" s="327" t="n"/>
      <c r="R243" s="327" t="n"/>
      <c r="S243" s="327" t="n"/>
      <c r="T243" s="327" t="n"/>
      <c r="U243" s="327" t="n"/>
      <c r="V243" s="327" t="n"/>
      <c r="W243" s="327" t="n"/>
      <c r="X243" s="327" t="n"/>
      <c r="Y243" s="327" t="n"/>
      <c r="Z243" s="327" t="n"/>
      <c r="AA243" s="327" t="n"/>
      <c r="AB243" s="327" t="n"/>
      <c r="AC243" s="327" t="n"/>
    </row>
    <row r="244">
      <c r="A244" s="327" t="n"/>
      <c r="B244" s="327" t="n"/>
      <c r="C244" s="354" t="n"/>
      <c r="D244" s="354" t="n"/>
      <c r="E244" s="354" t="n"/>
      <c r="F244" s="354" t="n"/>
      <c r="G244" s="354" t="n"/>
      <c r="H244" s="327" t="n"/>
      <c r="I244" s="327" t="n"/>
      <c r="J244" s="327" t="n"/>
      <c r="K244" s="327" t="n"/>
      <c r="L244" s="327" t="n"/>
      <c r="M244" s="327" t="n"/>
      <c r="N244" s="327" t="n"/>
      <c r="O244" s="327" t="n"/>
      <c r="P244" s="327" t="n"/>
      <c r="Q244" s="327" t="n"/>
      <c r="R244" s="327" t="n"/>
      <c r="S244" s="327" t="n"/>
      <c r="T244" s="327" t="n"/>
      <c r="U244" s="327" t="n"/>
      <c r="V244" s="327" t="n"/>
      <c r="W244" s="327" t="n"/>
      <c r="X244" s="327" t="n"/>
      <c r="Y244" s="327" t="n"/>
      <c r="Z244" s="327" t="n"/>
      <c r="AA244" s="327" t="n"/>
      <c r="AB244" s="327" t="n"/>
      <c r="AC244" s="327" t="n"/>
    </row>
    <row r="245">
      <c r="A245" s="327" t="n"/>
      <c r="B245" s="327" t="n"/>
      <c r="C245" s="354" t="n"/>
      <c r="D245" s="354" t="n"/>
      <c r="E245" s="354" t="n"/>
      <c r="F245" s="354" t="n"/>
      <c r="G245" s="354" t="n"/>
      <c r="H245" s="327" t="n"/>
      <c r="I245" s="327" t="n"/>
      <c r="J245" s="327" t="n"/>
      <c r="K245" s="327" t="n"/>
      <c r="L245" s="327" t="n"/>
      <c r="M245" s="327" t="n"/>
      <c r="N245" s="327" t="n"/>
      <c r="O245" s="327" t="n"/>
      <c r="P245" s="327" t="n"/>
      <c r="Q245" s="327" t="n"/>
      <c r="R245" s="327" t="n"/>
      <c r="S245" s="327" t="n"/>
      <c r="T245" s="327" t="n"/>
      <c r="U245" s="327" t="n"/>
      <c r="V245" s="327" t="n"/>
      <c r="W245" s="327" t="n"/>
      <c r="X245" s="327" t="n"/>
      <c r="Y245" s="327" t="n"/>
      <c r="Z245" s="327" t="n"/>
      <c r="AA245" s="327" t="n"/>
      <c r="AB245" s="327" t="n"/>
      <c r="AC245" s="327" t="n"/>
    </row>
    <row r="246">
      <c r="A246" s="327" t="n"/>
      <c r="B246" s="327" t="n"/>
      <c r="C246" s="354" t="n"/>
      <c r="D246" s="354" t="n"/>
      <c r="E246" s="354" t="n"/>
      <c r="F246" s="354" t="n"/>
      <c r="G246" s="354" t="n"/>
      <c r="H246" s="327" t="n"/>
      <c r="I246" s="327" t="n"/>
      <c r="J246" s="327" t="n"/>
      <c r="K246" s="327" t="n"/>
      <c r="L246" s="327" t="n"/>
      <c r="M246" s="327" t="n"/>
      <c r="N246" s="327" t="n"/>
      <c r="O246" s="327" t="n"/>
      <c r="P246" s="327" t="n"/>
      <c r="Q246" s="327" t="n"/>
      <c r="R246" s="327" t="n"/>
      <c r="S246" s="327" t="n"/>
      <c r="T246" s="327" t="n"/>
      <c r="U246" s="327" t="n"/>
      <c r="V246" s="327" t="n"/>
      <c r="W246" s="327" t="n"/>
      <c r="X246" s="327" t="n"/>
      <c r="Y246" s="327" t="n"/>
      <c r="Z246" s="327" t="n"/>
      <c r="AA246" s="327" t="n"/>
      <c r="AB246" s="327" t="n"/>
      <c r="AC246" s="327" t="n"/>
    </row>
    <row r="247">
      <c r="A247" s="327" t="n"/>
      <c r="B247" s="327" t="n"/>
      <c r="C247" s="354" t="n"/>
      <c r="D247" s="354" t="n"/>
      <c r="E247" s="354" t="n"/>
      <c r="F247" s="354" t="n"/>
      <c r="G247" s="354" t="n"/>
      <c r="H247" s="327" t="n"/>
      <c r="I247" s="327" t="n"/>
      <c r="J247" s="327" t="n"/>
      <c r="K247" s="327" t="n"/>
      <c r="L247" s="327" t="n"/>
      <c r="M247" s="327" t="n"/>
      <c r="N247" s="327" t="n"/>
      <c r="O247" s="327" t="n"/>
      <c r="P247" s="327" t="n"/>
      <c r="Q247" s="327" t="n"/>
      <c r="R247" s="327" t="n"/>
      <c r="S247" s="327" t="n"/>
      <c r="T247" s="327" t="n"/>
      <c r="U247" s="327" t="n"/>
      <c r="V247" s="327" t="n"/>
      <c r="W247" s="327" t="n"/>
      <c r="X247" s="327" t="n"/>
      <c r="Y247" s="327" t="n"/>
      <c r="Z247" s="327" t="n"/>
      <c r="AA247" s="327" t="n"/>
      <c r="AB247" s="327" t="n"/>
      <c r="AC247" s="327" t="n"/>
    </row>
    <row r="248">
      <c r="A248" s="327" t="n"/>
      <c r="B248" s="327" t="n"/>
      <c r="C248" s="354" t="n"/>
      <c r="D248" s="354" t="n"/>
      <c r="E248" s="354" t="n"/>
      <c r="F248" s="354" t="n"/>
      <c r="G248" s="354" t="n"/>
      <c r="H248" s="327" t="n"/>
      <c r="I248" s="327" t="n"/>
      <c r="J248" s="327" t="n"/>
      <c r="K248" s="327" t="n"/>
      <c r="L248" s="327" t="n"/>
      <c r="M248" s="327" t="n"/>
      <c r="N248" s="327" t="n"/>
      <c r="O248" s="327" t="n"/>
      <c r="P248" s="327" t="n"/>
      <c r="Q248" s="327" t="n"/>
      <c r="R248" s="327" t="n"/>
      <c r="S248" s="327" t="n"/>
      <c r="T248" s="327" t="n"/>
      <c r="U248" s="327" t="n"/>
      <c r="V248" s="327" t="n"/>
      <c r="W248" s="327" t="n"/>
      <c r="X248" s="327" t="n"/>
      <c r="Y248" s="327" t="n"/>
      <c r="Z248" s="327" t="n"/>
      <c r="AA248" s="327" t="n"/>
      <c r="AB248" s="327" t="n"/>
      <c r="AC248" s="327" t="n"/>
    </row>
    <row r="249">
      <c r="A249" s="327" t="n"/>
      <c r="B249" s="327" t="n"/>
      <c r="C249" s="354" t="n"/>
      <c r="D249" s="354" t="n"/>
      <c r="E249" s="354" t="n"/>
      <c r="F249" s="354" t="n"/>
      <c r="G249" s="354" t="n"/>
      <c r="H249" s="327" t="n"/>
      <c r="I249" s="327" t="n"/>
      <c r="J249" s="327" t="n"/>
      <c r="K249" s="327" t="n"/>
      <c r="L249" s="327" t="n"/>
      <c r="M249" s="327" t="n"/>
      <c r="N249" s="327" t="n"/>
      <c r="O249" s="327" t="n"/>
      <c r="P249" s="327" t="n"/>
      <c r="Q249" s="327" t="n"/>
      <c r="R249" s="327" t="n"/>
      <c r="S249" s="327" t="n"/>
      <c r="T249" s="327" t="n"/>
      <c r="U249" s="327" t="n"/>
      <c r="V249" s="327" t="n"/>
      <c r="W249" s="327" t="n"/>
      <c r="X249" s="327" t="n"/>
      <c r="Y249" s="327" t="n"/>
      <c r="Z249" s="327" t="n"/>
      <c r="AA249" s="327" t="n"/>
      <c r="AB249" s="327" t="n"/>
      <c r="AC249" s="327" t="n"/>
    </row>
    <row r="250">
      <c r="A250" s="327" t="n"/>
      <c r="B250" s="327" t="n"/>
      <c r="C250" s="354" t="n"/>
      <c r="D250" s="354" t="n"/>
      <c r="E250" s="354" t="n"/>
      <c r="F250" s="354" t="n"/>
      <c r="G250" s="354" t="n"/>
      <c r="H250" s="327" t="n"/>
      <c r="I250" s="327" t="n"/>
      <c r="J250" s="327" t="n"/>
      <c r="K250" s="327" t="n"/>
      <c r="L250" s="327" t="n"/>
      <c r="M250" s="327" t="n"/>
      <c r="N250" s="327" t="n"/>
      <c r="O250" s="327" t="n"/>
      <c r="P250" s="327" t="n"/>
      <c r="Q250" s="327" t="n"/>
      <c r="R250" s="327" t="n"/>
      <c r="S250" s="327" t="n"/>
      <c r="T250" s="327" t="n"/>
      <c r="U250" s="327" t="n"/>
      <c r="V250" s="327" t="n"/>
      <c r="W250" s="327" t="n"/>
      <c r="X250" s="327" t="n"/>
      <c r="Y250" s="327" t="n"/>
      <c r="Z250" s="327" t="n"/>
      <c r="AA250" s="327" t="n"/>
      <c r="AB250" s="327" t="n"/>
      <c r="AC250" s="327" t="n"/>
    </row>
    <row r="251">
      <c r="A251" s="327" t="n"/>
      <c r="B251" s="327" t="n"/>
      <c r="C251" s="354" t="n"/>
      <c r="D251" s="354" t="n"/>
      <c r="E251" s="354" t="n"/>
      <c r="F251" s="354" t="n"/>
      <c r="G251" s="354" t="n"/>
      <c r="H251" s="327" t="n"/>
      <c r="I251" s="327" t="n"/>
      <c r="J251" s="327" t="n"/>
      <c r="K251" s="327" t="n"/>
      <c r="L251" s="327" t="n"/>
      <c r="M251" s="327" t="n"/>
      <c r="N251" s="327" t="n"/>
      <c r="O251" s="327" t="n"/>
      <c r="P251" s="327" t="n"/>
      <c r="Q251" s="327" t="n"/>
      <c r="R251" s="327" t="n"/>
      <c r="S251" s="327" t="n"/>
      <c r="T251" s="327" t="n"/>
      <c r="U251" s="327" t="n"/>
      <c r="V251" s="327" t="n"/>
      <c r="W251" s="327" t="n"/>
      <c r="X251" s="327" t="n"/>
      <c r="Y251" s="327" t="n"/>
      <c r="Z251" s="327" t="n"/>
      <c r="AA251" s="327" t="n"/>
      <c r="AB251" s="327" t="n"/>
      <c r="AC251" s="327" t="n"/>
    </row>
    <row r="252">
      <c r="A252" s="327" t="n"/>
      <c r="B252" s="327" t="n"/>
      <c r="C252" s="354" t="n"/>
      <c r="D252" s="354" t="n"/>
      <c r="E252" s="354" t="n"/>
      <c r="F252" s="354" t="n"/>
      <c r="G252" s="354" t="n"/>
      <c r="H252" s="327" t="n"/>
      <c r="I252" s="327" t="n"/>
      <c r="J252" s="327" t="n"/>
      <c r="K252" s="327" t="n"/>
      <c r="L252" s="327" t="n"/>
      <c r="M252" s="327" t="n"/>
      <c r="N252" s="327" t="n"/>
      <c r="O252" s="327" t="n"/>
      <c r="P252" s="327" t="n"/>
      <c r="Q252" s="327" t="n"/>
      <c r="R252" s="327" t="n"/>
      <c r="S252" s="327" t="n"/>
      <c r="T252" s="327" t="n"/>
      <c r="U252" s="327" t="n"/>
      <c r="V252" s="327" t="n"/>
      <c r="W252" s="327" t="n"/>
      <c r="X252" s="327" t="n"/>
      <c r="Y252" s="327" t="n"/>
      <c r="Z252" s="327" t="n"/>
      <c r="AA252" s="327" t="n"/>
      <c r="AB252" s="327" t="n"/>
      <c r="AC252" s="327" t="n"/>
    </row>
    <row r="253">
      <c r="A253" s="327" t="n"/>
      <c r="B253" s="327" t="n"/>
      <c r="C253" s="354" t="n"/>
      <c r="D253" s="354" t="n"/>
      <c r="E253" s="354" t="n"/>
      <c r="F253" s="354" t="n"/>
      <c r="G253" s="354" t="n"/>
      <c r="H253" s="327" t="n"/>
      <c r="I253" s="327" t="n"/>
      <c r="J253" s="327" t="n"/>
      <c r="K253" s="327" t="n"/>
      <c r="L253" s="327" t="n"/>
      <c r="M253" s="327" t="n"/>
      <c r="N253" s="327" t="n"/>
      <c r="O253" s="327" t="n"/>
      <c r="P253" s="327" t="n"/>
      <c r="Q253" s="327" t="n"/>
      <c r="R253" s="327" t="n"/>
      <c r="S253" s="327" t="n"/>
      <c r="T253" s="327" t="n"/>
      <c r="U253" s="327" t="n"/>
      <c r="V253" s="327" t="n"/>
      <c r="W253" s="327" t="n"/>
      <c r="X253" s="327" t="n"/>
      <c r="Y253" s="327" t="n"/>
      <c r="Z253" s="327" t="n"/>
      <c r="AA253" s="327" t="n"/>
      <c r="AB253" s="327" t="n"/>
      <c r="AC253" s="327" t="n"/>
    </row>
    <row r="254">
      <c r="A254" s="327" t="n"/>
      <c r="B254" s="327" t="n"/>
      <c r="C254" s="354" t="n"/>
      <c r="D254" s="354" t="n"/>
      <c r="E254" s="354" t="n"/>
      <c r="F254" s="354" t="n"/>
      <c r="G254" s="354" t="n"/>
      <c r="H254" s="327" t="n"/>
      <c r="I254" s="327" t="n"/>
      <c r="J254" s="327" t="n"/>
      <c r="K254" s="327" t="n"/>
      <c r="L254" s="327" t="n"/>
      <c r="M254" s="327" t="n"/>
      <c r="N254" s="327" t="n"/>
      <c r="O254" s="327" t="n"/>
      <c r="P254" s="327" t="n"/>
      <c r="Q254" s="327" t="n"/>
      <c r="R254" s="327" t="n"/>
      <c r="S254" s="327" t="n"/>
      <c r="T254" s="327" t="n"/>
      <c r="U254" s="327" t="n"/>
      <c r="V254" s="327" t="n"/>
      <c r="W254" s="327" t="n"/>
      <c r="X254" s="327" t="n"/>
      <c r="Y254" s="327" t="n"/>
      <c r="Z254" s="327" t="n"/>
      <c r="AA254" s="327" t="n"/>
      <c r="AB254" s="327" t="n"/>
      <c r="AC254" s="327" t="n"/>
    </row>
    <row r="255">
      <c r="A255" s="327" t="n"/>
      <c r="B255" s="327" t="n"/>
      <c r="C255" s="354" t="n"/>
      <c r="D255" s="354" t="n"/>
      <c r="E255" s="354" t="n"/>
      <c r="F255" s="354" t="n"/>
      <c r="G255" s="354" t="n"/>
      <c r="H255" s="327" t="n"/>
      <c r="I255" s="327" t="n"/>
      <c r="J255" s="327" t="n"/>
      <c r="K255" s="327" t="n"/>
      <c r="L255" s="327" t="n"/>
      <c r="M255" s="327" t="n"/>
      <c r="N255" s="327" t="n"/>
      <c r="O255" s="327" t="n"/>
      <c r="P255" s="327" t="n"/>
      <c r="Q255" s="327" t="n"/>
      <c r="R255" s="327" t="n"/>
      <c r="S255" s="327" t="n"/>
      <c r="T255" s="327" t="n"/>
      <c r="U255" s="327" t="n"/>
      <c r="V255" s="327" t="n"/>
      <c r="W255" s="327" t="n"/>
      <c r="X255" s="327" t="n"/>
      <c r="Y255" s="327" t="n"/>
      <c r="Z255" s="327" t="n"/>
      <c r="AA255" s="327" t="n"/>
      <c r="AB255" s="327" t="n"/>
      <c r="AC255" s="327" t="n"/>
    </row>
    <row r="256">
      <c r="A256" s="327" t="n"/>
      <c r="B256" s="327" t="n"/>
      <c r="C256" s="354" t="n"/>
      <c r="D256" s="354" t="n"/>
      <c r="E256" s="354" t="n"/>
      <c r="F256" s="354" t="n"/>
      <c r="G256" s="354" t="n"/>
      <c r="H256" s="327" t="n"/>
      <c r="I256" s="327" t="n"/>
      <c r="J256" s="327" t="n"/>
      <c r="K256" s="327" t="n"/>
      <c r="L256" s="327" t="n"/>
      <c r="M256" s="327" t="n"/>
      <c r="N256" s="327" t="n"/>
      <c r="O256" s="327" t="n"/>
      <c r="P256" s="327" t="n"/>
      <c r="Q256" s="327" t="n"/>
      <c r="R256" s="327" t="n"/>
      <c r="S256" s="327" t="n"/>
      <c r="T256" s="327" t="n"/>
      <c r="U256" s="327" t="n"/>
      <c r="V256" s="327" t="n"/>
      <c r="W256" s="327" t="n"/>
      <c r="X256" s="327" t="n"/>
      <c r="Y256" s="327" t="n"/>
      <c r="Z256" s="327" t="n"/>
      <c r="AA256" s="327" t="n"/>
      <c r="AB256" s="327" t="n"/>
      <c r="AC256" s="327" t="n"/>
    </row>
    <row r="257">
      <c r="A257" s="327" t="n"/>
      <c r="B257" s="327" t="n"/>
      <c r="C257" s="354" t="n"/>
      <c r="D257" s="354" t="n"/>
      <c r="E257" s="354" t="n"/>
      <c r="F257" s="354" t="n"/>
      <c r="G257" s="354" t="n"/>
      <c r="H257" s="327" t="n"/>
      <c r="I257" s="327" t="n"/>
      <c r="J257" s="327" t="n"/>
      <c r="K257" s="327" t="n"/>
      <c r="L257" s="327" t="n"/>
      <c r="M257" s="327" t="n"/>
      <c r="N257" s="327" t="n"/>
      <c r="O257" s="327" t="n"/>
      <c r="P257" s="327" t="n"/>
      <c r="Q257" s="327" t="n"/>
      <c r="R257" s="327" t="n"/>
      <c r="S257" s="327" t="n"/>
      <c r="T257" s="327" t="n"/>
      <c r="U257" s="327" t="n"/>
      <c r="V257" s="327" t="n"/>
      <c r="W257" s="327" t="n"/>
      <c r="X257" s="327" t="n"/>
      <c r="Y257" s="327" t="n"/>
      <c r="Z257" s="327" t="n"/>
      <c r="AA257" s="327" t="n"/>
      <c r="AB257" s="327" t="n"/>
      <c r="AC257" s="327" t="n"/>
    </row>
    <row r="258">
      <c r="A258" s="327" t="n"/>
      <c r="B258" s="327" t="n"/>
      <c r="C258" s="354" t="n"/>
      <c r="D258" s="354" t="n"/>
      <c r="E258" s="354" t="n"/>
      <c r="F258" s="354" t="n"/>
      <c r="G258" s="354" t="n"/>
      <c r="H258" s="327" t="n"/>
      <c r="I258" s="327" t="n"/>
      <c r="J258" s="327" t="n"/>
      <c r="K258" s="327" t="n"/>
      <c r="L258" s="327" t="n"/>
      <c r="M258" s="327" t="n"/>
      <c r="N258" s="327" t="n"/>
      <c r="O258" s="327" t="n"/>
      <c r="P258" s="327" t="n"/>
      <c r="Q258" s="327" t="n"/>
      <c r="R258" s="327" t="n"/>
      <c r="S258" s="327" t="n"/>
      <c r="T258" s="327" t="n"/>
      <c r="U258" s="327" t="n"/>
      <c r="V258" s="327" t="n"/>
      <c r="W258" s="327" t="n"/>
      <c r="X258" s="327" t="n"/>
      <c r="Y258" s="327" t="n"/>
      <c r="Z258" s="327" t="n"/>
      <c r="AA258" s="327" t="n"/>
      <c r="AB258" s="327" t="n"/>
      <c r="AC258" s="327" t="n"/>
    </row>
    <row r="259">
      <c r="A259" s="327" t="n"/>
      <c r="B259" s="327" t="n"/>
      <c r="C259" s="354" t="n"/>
      <c r="D259" s="354" t="n"/>
      <c r="E259" s="354" t="n"/>
      <c r="F259" s="354" t="n"/>
      <c r="G259" s="354" t="n"/>
      <c r="H259" s="327" t="n"/>
      <c r="I259" s="327" t="n"/>
      <c r="J259" s="327" t="n"/>
      <c r="K259" s="327" t="n"/>
      <c r="L259" s="327" t="n"/>
      <c r="M259" s="327" t="n"/>
      <c r="N259" s="327" t="n"/>
      <c r="O259" s="327" t="n"/>
      <c r="P259" s="327" t="n"/>
      <c r="Q259" s="327" t="n"/>
      <c r="R259" s="327" t="n"/>
      <c r="S259" s="327" t="n"/>
      <c r="T259" s="327" t="n"/>
      <c r="U259" s="327" t="n"/>
      <c r="V259" s="327" t="n"/>
      <c r="W259" s="327" t="n"/>
      <c r="X259" s="327" t="n"/>
      <c r="Y259" s="327" t="n"/>
      <c r="Z259" s="327" t="n"/>
      <c r="AA259" s="327" t="n"/>
      <c r="AB259" s="327" t="n"/>
      <c r="AC259" s="327" t="n"/>
    </row>
    <row r="260">
      <c r="A260" s="327" t="n"/>
      <c r="B260" s="327" t="n"/>
      <c r="C260" s="354" t="n"/>
      <c r="D260" s="354" t="n"/>
      <c r="E260" s="354" t="n"/>
      <c r="F260" s="354" t="n"/>
      <c r="G260" s="354" t="n"/>
      <c r="H260" s="327" t="n"/>
      <c r="I260" s="327" t="n"/>
      <c r="J260" s="327" t="n"/>
      <c r="K260" s="327" t="n"/>
      <c r="L260" s="327" t="n"/>
      <c r="M260" s="327" t="n"/>
      <c r="N260" s="327" t="n"/>
      <c r="O260" s="327" t="n"/>
      <c r="P260" s="327" t="n"/>
      <c r="Q260" s="327" t="n"/>
      <c r="R260" s="327" t="n"/>
      <c r="S260" s="327" t="n"/>
      <c r="T260" s="327" t="n"/>
      <c r="U260" s="327" t="n"/>
      <c r="V260" s="327" t="n"/>
      <c r="W260" s="327" t="n"/>
      <c r="X260" s="327" t="n"/>
      <c r="Y260" s="327" t="n"/>
      <c r="Z260" s="327" t="n"/>
      <c r="AA260" s="327" t="n"/>
      <c r="AB260" s="327" t="n"/>
      <c r="AC260" s="327" t="n"/>
    </row>
    <row r="261">
      <c r="A261" s="327" t="n"/>
      <c r="B261" s="327" t="n"/>
      <c r="C261" s="354" t="n"/>
      <c r="D261" s="354" t="n"/>
      <c r="E261" s="354" t="n"/>
      <c r="F261" s="354" t="n"/>
      <c r="G261" s="354" t="n"/>
      <c r="H261" s="327" t="n"/>
      <c r="I261" s="327" t="n"/>
      <c r="J261" s="327" t="n"/>
      <c r="K261" s="327" t="n"/>
      <c r="L261" s="327" t="n"/>
      <c r="M261" s="327" t="n"/>
      <c r="N261" s="327" t="n"/>
      <c r="O261" s="327" t="n"/>
      <c r="P261" s="327" t="n"/>
      <c r="Q261" s="327" t="n"/>
      <c r="R261" s="327" t="n"/>
      <c r="S261" s="327" t="n"/>
      <c r="T261" s="327" t="n"/>
      <c r="U261" s="327" t="n"/>
      <c r="V261" s="327" t="n"/>
      <c r="W261" s="327" t="n"/>
      <c r="X261" s="327" t="n"/>
      <c r="Y261" s="327" t="n"/>
      <c r="Z261" s="327" t="n"/>
      <c r="AA261" s="327" t="n"/>
      <c r="AB261" s="327" t="n"/>
      <c r="AC261" s="327" t="n"/>
    </row>
    <row r="262">
      <c r="A262" s="327" t="n"/>
      <c r="B262" s="327" t="n"/>
      <c r="C262" s="354" t="n"/>
      <c r="D262" s="354" t="n"/>
      <c r="E262" s="354" t="n"/>
      <c r="F262" s="354" t="n"/>
      <c r="G262" s="354" t="n"/>
      <c r="H262" s="327" t="n"/>
      <c r="I262" s="327" t="n"/>
      <c r="J262" s="327" t="n"/>
      <c r="K262" s="327" t="n"/>
      <c r="L262" s="327" t="n"/>
      <c r="M262" s="327" t="n"/>
      <c r="N262" s="327" t="n"/>
      <c r="O262" s="327" t="n"/>
      <c r="P262" s="327" t="n"/>
      <c r="Q262" s="327" t="n"/>
      <c r="R262" s="327" t="n"/>
      <c r="S262" s="327" t="n"/>
      <c r="T262" s="327" t="n"/>
      <c r="U262" s="327" t="n"/>
      <c r="V262" s="327" t="n"/>
      <c r="W262" s="327" t="n"/>
      <c r="X262" s="327" t="n"/>
      <c r="Y262" s="327" t="n"/>
      <c r="Z262" s="327" t="n"/>
      <c r="AA262" s="327" t="n"/>
      <c r="AB262" s="327" t="n"/>
      <c r="AC262" s="327" t="n"/>
    </row>
    <row r="263">
      <c r="A263" s="327" t="n"/>
      <c r="B263" s="327" t="n"/>
      <c r="C263" s="354" t="n"/>
      <c r="D263" s="354" t="n"/>
      <c r="E263" s="354" t="n"/>
      <c r="F263" s="354" t="n"/>
      <c r="G263" s="354" t="n"/>
      <c r="H263" s="327" t="n"/>
      <c r="I263" s="327" t="n"/>
      <c r="J263" s="327" t="n"/>
      <c r="K263" s="327" t="n"/>
      <c r="L263" s="327" t="n"/>
      <c r="M263" s="327" t="n"/>
      <c r="N263" s="327" t="n"/>
      <c r="O263" s="327" t="n"/>
      <c r="P263" s="327" t="n"/>
      <c r="Q263" s="327" t="n"/>
      <c r="R263" s="327" t="n"/>
      <c r="S263" s="327" t="n"/>
      <c r="T263" s="327" t="n"/>
      <c r="U263" s="327" t="n"/>
      <c r="V263" s="327" t="n"/>
      <c r="W263" s="327" t="n"/>
      <c r="X263" s="327" t="n"/>
      <c r="Y263" s="327" t="n"/>
      <c r="Z263" s="327" t="n"/>
      <c r="AA263" s="327" t="n"/>
      <c r="AB263" s="327" t="n"/>
      <c r="AC263" s="327" t="n"/>
    </row>
    <row r="264">
      <c r="A264" s="327" t="n"/>
      <c r="B264" s="327" t="n"/>
      <c r="C264" s="354" t="n"/>
      <c r="D264" s="354" t="n"/>
      <c r="E264" s="354" t="n"/>
      <c r="F264" s="354" t="n"/>
      <c r="G264" s="354" t="n"/>
      <c r="H264" s="327" t="n"/>
      <c r="I264" s="327" t="n"/>
      <c r="J264" s="327" t="n"/>
      <c r="K264" s="327" t="n"/>
      <c r="L264" s="327" t="n"/>
      <c r="M264" s="327" t="n"/>
      <c r="N264" s="327" t="n"/>
      <c r="O264" s="327" t="n"/>
      <c r="P264" s="327" t="n"/>
      <c r="Q264" s="327" t="n"/>
      <c r="R264" s="327" t="n"/>
      <c r="S264" s="327" t="n"/>
      <c r="T264" s="327" t="n"/>
      <c r="U264" s="327" t="n"/>
      <c r="V264" s="327" t="n"/>
      <c r="W264" s="327" t="n"/>
      <c r="X264" s="327" t="n"/>
      <c r="Y264" s="327" t="n"/>
      <c r="Z264" s="327" t="n"/>
      <c r="AA264" s="327" t="n"/>
      <c r="AB264" s="327" t="n"/>
      <c r="AC264" s="327" t="n"/>
    </row>
    <row r="265">
      <c r="A265" s="327" t="n"/>
      <c r="B265" s="327" t="n"/>
      <c r="C265" s="354" t="n"/>
      <c r="D265" s="354" t="n"/>
      <c r="E265" s="354" t="n"/>
      <c r="F265" s="354" t="n"/>
      <c r="G265" s="354" t="n"/>
      <c r="H265" s="327" t="n"/>
      <c r="I265" s="327" t="n"/>
      <c r="J265" s="327" t="n"/>
      <c r="K265" s="327" t="n"/>
      <c r="L265" s="327" t="n"/>
      <c r="M265" s="327" t="n"/>
      <c r="N265" s="327" t="n"/>
      <c r="O265" s="327" t="n"/>
      <c r="P265" s="327" t="n"/>
      <c r="Q265" s="327" t="n"/>
      <c r="R265" s="327" t="n"/>
      <c r="S265" s="327" t="n"/>
      <c r="T265" s="327" t="n"/>
      <c r="U265" s="327" t="n"/>
      <c r="V265" s="327" t="n"/>
      <c r="W265" s="327" t="n"/>
      <c r="X265" s="327" t="n"/>
      <c r="Y265" s="327" t="n"/>
      <c r="Z265" s="327" t="n"/>
      <c r="AA265" s="327" t="n"/>
      <c r="AB265" s="327" t="n"/>
      <c r="AC265" s="327" t="n"/>
    </row>
    <row r="266">
      <c r="A266" s="327" t="n"/>
      <c r="B266" s="327" t="n"/>
      <c r="C266" s="354" t="n"/>
      <c r="D266" s="354" t="n"/>
      <c r="E266" s="354" t="n"/>
      <c r="F266" s="354" t="n"/>
      <c r="G266" s="354" t="n"/>
      <c r="H266" s="327" t="n"/>
      <c r="I266" s="327" t="n"/>
      <c r="J266" s="327" t="n"/>
      <c r="K266" s="327" t="n"/>
      <c r="L266" s="327" t="n"/>
      <c r="M266" s="327" t="n"/>
      <c r="N266" s="327" t="n"/>
      <c r="O266" s="327" t="n"/>
      <c r="P266" s="327" t="n"/>
      <c r="Q266" s="327" t="n"/>
      <c r="R266" s="327" t="n"/>
      <c r="S266" s="327" t="n"/>
      <c r="T266" s="327" t="n"/>
      <c r="U266" s="327" t="n"/>
      <c r="V266" s="327" t="n"/>
      <c r="W266" s="327" t="n"/>
      <c r="X266" s="327" t="n"/>
      <c r="Y266" s="327" t="n"/>
      <c r="Z266" s="327" t="n"/>
      <c r="AA266" s="327" t="n"/>
      <c r="AB266" s="327" t="n"/>
      <c r="AC266" s="327" t="n"/>
    </row>
    <row r="267">
      <c r="A267" s="327" t="n"/>
      <c r="B267" s="327" t="n"/>
      <c r="C267" s="354" t="n"/>
      <c r="D267" s="354" t="n"/>
      <c r="E267" s="354" t="n"/>
      <c r="F267" s="354" t="n"/>
      <c r="G267" s="354" t="n"/>
      <c r="H267" s="327" t="n"/>
      <c r="I267" s="327" t="n"/>
      <c r="J267" s="327" t="n"/>
      <c r="K267" s="327" t="n"/>
      <c r="L267" s="327" t="n"/>
      <c r="M267" s="327" t="n"/>
      <c r="N267" s="327" t="n"/>
      <c r="O267" s="327" t="n"/>
      <c r="P267" s="327" t="n"/>
      <c r="Q267" s="327" t="n"/>
      <c r="R267" s="327" t="n"/>
      <c r="S267" s="327" t="n"/>
      <c r="T267" s="327" t="n"/>
      <c r="U267" s="327" t="n"/>
      <c r="V267" s="327" t="n"/>
      <c r="W267" s="327" t="n"/>
      <c r="X267" s="327" t="n"/>
      <c r="Y267" s="327" t="n"/>
      <c r="Z267" s="327" t="n"/>
      <c r="AA267" s="327" t="n"/>
      <c r="AB267" s="327" t="n"/>
      <c r="AC267" s="327" t="n"/>
    </row>
    <row r="268">
      <c r="A268" s="327" t="n"/>
      <c r="B268" s="327" t="n"/>
      <c r="C268" s="354" t="n"/>
      <c r="D268" s="354" t="n"/>
      <c r="E268" s="354" t="n"/>
      <c r="F268" s="354" t="n"/>
      <c r="G268" s="354" t="n"/>
      <c r="H268" s="327" t="n"/>
      <c r="I268" s="327" t="n"/>
      <c r="J268" s="327" t="n"/>
      <c r="K268" s="327" t="n"/>
      <c r="L268" s="327" t="n"/>
      <c r="M268" s="327" t="n"/>
      <c r="N268" s="327" t="n"/>
      <c r="O268" s="327" t="n"/>
      <c r="P268" s="327" t="n"/>
      <c r="Q268" s="327" t="n"/>
      <c r="R268" s="327" t="n"/>
      <c r="S268" s="327" t="n"/>
      <c r="T268" s="327" t="n"/>
      <c r="U268" s="327" t="n"/>
      <c r="V268" s="327" t="n"/>
      <c r="W268" s="327" t="n"/>
      <c r="X268" s="327" t="n"/>
      <c r="Y268" s="327" t="n"/>
      <c r="Z268" s="327" t="n"/>
      <c r="AA268" s="327" t="n"/>
      <c r="AB268" s="327" t="n"/>
      <c r="AC268" s="327" t="n"/>
    </row>
    <row r="269">
      <c r="A269" s="327" t="n"/>
      <c r="B269" s="327" t="n"/>
      <c r="C269" s="354" t="n"/>
      <c r="D269" s="354" t="n"/>
      <c r="E269" s="354" t="n"/>
      <c r="F269" s="354" t="n"/>
      <c r="G269" s="354" t="n"/>
      <c r="H269" s="327" t="n"/>
      <c r="I269" s="327" t="n"/>
      <c r="J269" s="327" t="n"/>
      <c r="K269" s="327" t="n"/>
      <c r="L269" s="327" t="n"/>
      <c r="M269" s="327" t="n"/>
      <c r="N269" s="327" t="n"/>
      <c r="O269" s="327" t="n"/>
      <c r="P269" s="327" t="n"/>
      <c r="Q269" s="327" t="n"/>
      <c r="R269" s="327" t="n"/>
      <c r="S269" s="327" t="n"/>
      <c r="T269" s="327" t="n"/>
      <c r="U269" s="327" t="n"/>
      <c r="V269" s="327" t="n"/>
      <c r="W269" s="327" t="n"/>
      <c r="X269" s="327" t="n"/>
      <c r="Y269" s="327" t="n"/>
      <c r="Z269" s="327" t="n"/>
      <c r="AA269" s="327" t="n"/>
      <c r="AB269" s="327" t="n"/>
      <c r="AC269" s="327" t="n"/>
    </row>
    <row r="270">
      <c r="A270" s="327" t="n"/>
      <c r="B270" s="327" t="n"/>
      <c r="C270" s="354" t="n"/>
      <c r="D270" s="354" t="n"/>
      <c r="E270" s="354" t="n"/>
      <c r="F270" s="354" t="n"/>
      <c r="G270" s="354" t="n"/>
      <c r="H270" s="327" t="n"/>
      <c r="I270" s="327" t="n"/>
      <c r="J270" s="327" t="n"/>
      <c r="K270" s="327" t="n"/>
      <c r="L270" s="327" t="n"/>
      <c r="M270" s="327" t="n"/>
      <c r="N270" s="327" t="n"/>
      <c r="O270" s="327" t="n"/>
      <c r="P270" s="327" t="n"/>
      <c r="Q270" s="327" t="n"/>
      <c r="R270" s="327" t="n"/>
      <c r="S270" s="327" t="n"/>
      <c r="T270" s="327" t="n"/>
      <c r="U270" s="327" t="n"/>
      <c r="V270" s="327" t="n"/>
      <c r="W270" s="327" t="n"/>
      <c r="X270" s="327" t="n"/>
      <c r="Y270" s="327" t="n"/>
      <c r="Z270" s="327" t="n"/>
      <c r="AA270" s="327" t="n"/>
      <c r="AB270" s="327" t="n"/>
      <c r="AC270" s="327" t="n"/>
    </row>
    <row r="271">
      <c r="A271" s="327" t="n"/>
      <c r="B271" s="327" t="n"/>
      <c r="C271" s="354" t="n"/>
      <c r="D271" s="354" t="n"/>
      <c r="E271" s="354" t="n"/>
      <c r="F271" s="354" t="n"/>
      <c r="G271" s="354" t="n"/>
      <c r="H271" s="327" t="n"/>
      <c r="I271" s="327" t="n"/>
      <c r="J271" s="327" t="n"/>
      <c r="K271" s="327" t="n"/>
      <c r="L271" s="327" t="n"/>
      <c r="M271" s="327" t="n"/>
      <c r="N271" s="327" t="n"/>
      <c r="O271" s="327" t="n"/>
      <c r="P271" s="327" t="n"/>
      <c r="Q271" s="327" t="n"/>
      <c r="R271" s="327" t="n"/>
      <c r="S271" s="327" t="n"/>
      <c r="T271" s="327" t="n"/>
      <c r="U271" s="327" t="n"/>
      <c r="V271" s="327" t="n"/>
      <c r="W271" s="327" t="n"/>
      <c r="X271" s="327" t="n"/>
      <c r="Y271" s="327" t="n"/>
      <c r="Z271" s="327" t="n"/>
      <c r="AA271" s="327" t="n"/>
      <c r="AB271" s="327" t="n"/>
      <c r="AC271" s="327" t="n"/>
    </row>
    <row r="272">
      <c r="A272" s="327" t="n"/>
      <c r="B272" s="327" t="n"/>
      <c r="C272" s="354" t="n"/>
      <c r="D272" s="354" t="n"/>
      <c r="E272" s="354" t="n"/>
      <c r="F272" s="354" t="n"/>
      <c r="G272" s="354" t="n"/>
      <c r="H272" s="327" t="n"/>
      <c r="I272" s="327" t="n"/>
      <c r="J272" s="327" t="n"/>
      <c r="K272" s="327" t="n"/>
      <c r="L272" s="327" t="n"/>
      <c r="M272" s="327" t="n"/>
      <c r="N272" s="327" t="n"/>
      <c r="O272" s="327" t="n"/>
      <c r="P272" s="327" t="n"/>
      <c r="Q272" s="327" t="n"/>
      <c r="R272" s="327" t="n"/>
      <c r="S272" s="327" t="n"/>
      <c r="T272" s="327" t="n"/>
      <c r="U272" s="327" t="n"/>
      <c r="V272" s="327" t="n"/>
      <c r="W272" s="327" t="n"/>
      <c r="X272" s="327" t="n"/>
      <c r="Y272" s="327" t="n"/>
      <c r="Z272" s="327" t="n"/>
      <c r="AA272" s="327" t="n"/>
      <c r="AB272" s="327" t="n"/>
      <c r="AC272" s="327" t="n"/>
    </row>
    <row r="273">
      <c r="A273" s="327" t="n"/>
      <c r="B273" s="327" t="n"/>
      <c r="C273" s="354" t="n"/>
      <c r="D273" s="354" t="n"/>
      <c r="E273" s="354" t="n"/>
      <c r="F273" s="354" t="n"/>
      <c r="G273" s="354" t="n"/>
      <c r="H273" s="327" t="n"/>
      <c r="I273" s="327" t="n"/>
      <c r="J273" s="327" t="n"/>
      <c r="K273" s="327" t="n"/>
      <c r="L273" s="327" t="n"/>
      <c r="M273" s="327" t="n"/>
      <c r="N273" s="327" t="n"/>
      <c r="O273" s="327" t="n"/>
      <c r="P273" s="327" t="n"/>
      <c r="Q273" s="327" t="n"/>
      <c r="R273" s="327" t="n"/>
      <c r="S273" s="327" t="n"/>
      <c r="T273" s="327" t="n"/>
      <c r="U273" s="327" t="n"/>
      <c r="V273" s="327" t="n"/>
      <c r="W273" s="327" t="n"/>
      <c r="X273" s="327" t="n"/>
      <c r="Y273" s="327" t="n"/>
      <c r="Z273" s="327" t="n"/>
      <c r="AA273" s="327" t="n"/>
      <c r="AB273" s="327" t="n"/>
      <c r="AC273" s="327" t="n"/>
    </row>
    <row r="274">
      <c r="A274" s="327" t="n"/>
      <c r="B274" s="327" t="n"/>
      <c r="C274" s="354" t="n"/>
      <c r="D274" s="354" t="n"/>
      <c r="E274" s="354" t="n"/>
      <c r="F274" s="354" t="n"/>
      <c r="G274" s="354" t="n"/>
      <c r="H274" s="327" t="n"/>
      <c r="I274" s="327" t="n"/>
      <c r="J274" s="327" t="n"/>
      <c r="K274" s="327" t="n"/>
      <c r="L274" s="327" t="n"/>
      <c r="M274" s="327" t="n"/>
      <c r="N274" s="327" t="n"/>
      <c r="O274" s="327" t="n"/>
      <c r="P274" s="327" t="n"/>
      <c r="Q274" s="327" t="n"/>
      <c r="R274" s="327" t="n"/>
      <c r="S274" s="327" t="n"/>
      <c r="T274" s="327" t="n"/>
      <c r="U274" s="327" t="n"/>
      <c r="V274" s="327" t="n"/>
      <c r="W274" s="327" t="n"/>
      <c r="X274" s="327" t="n"/>
      <c r="Y274" s="327" t="n"/>
      <c r="Z274" s="327" t="n"/>
      <c r="AA274" s="327" t="n"/>
      <c r="AB274" s="327" t="n"/>
      <c r="AC274" s="327" t="n"/>
    </row>
    <row r="275">
      <c r="A275" s="327" t="n"/>
      <c r="B275" s="327" t="n"/>
      <c r="C275" s="354" t="n"/>
      <c r="D275" s="354" t="n"/>
      <c r="E275" s="354" t="n"/>
      <c r="F275" s="354" t="n"/>
      <c r="G275" s="354" t="n"/>
      <c r="H275" s="327" t="n"/>
      <c r="I275" s="327" t="n"/>
      <c r="J275" s="327" t="n"/>
      <c r="K275" s="327" t="n"/>
      <c r="L275" s="327" t="n"/>
      <c r="M275" s="327" t="n"/>
      <c r="N275" s="327" t="n"/>
      <c r="O275" s="327" t="n"/>
      <c r="P275" s="327" t="n"/>
      <c r="Q275" s="327" t="n"/>
      <c r="R275" s="327" t="n"/>
      <c r="S275" s="327" t="n"/>
      <c r="T275" s="327" t="n"/>
      <c r="U275" s="327" t="n"/>
      <c r="V275" s="327" t="n"/>
      <c r="W275" s="327" t="n"/>
      <c r="X275" s="327" t="n"/>
      <c r="Y275" s="327" t="n"/>
      <c r="Z275" s="327" t="n"/>
      <c r="AA275" s="327" t="n"/>
      <c r="AB275" s="327" t="n"/>
      <c r="AC275" s="327" t="n"/>
    </row>
    <row r="276">
      <c r="A276" s="327" t="n"/>
      <c r="B276" s="327" t="n"/>
      <c r="C276" s="354" t="n"/>
      <c r="D276" s="354" t="n"/>
      <c r="E276" s="354" t="n"/>
      <c r="F276" s="354" t="n"/>
      <c r="G276" s="354" t="n"/>
      <c r="H276" s="327" t="n"/>
      <c r="I276" s="327" t="n"/>
      <c r="J276" s="327" t="n"/>
      <c r="K276" s="327" t="n"/>
      <c r="L276" s="327" t="n"/>
      <c r="M276" s="327" t="n"/>
      <c r="N276" s="327" t="n"/>
      <c r="O276" s="327" t="n"/>
      <c r="P276" s="327" t="n"/>
      <c r="Q276" s="327" t="n"/>
      <c r="R276" s="327" t="n"/>
      <c r="S276" s="327" t="n"/>
      <c r="T276" s="327" t="n"/>
      <c r="U276" s="327" t="n"/>
      <c r="V276" s="327" t="n"/>
      <c r="W276" s="327" t="n"/>
      <c r="X276" s="327" t="n"/>
      <c r="Y276" s="327" t="n"/>
      <c r="Z276" s="327" t="n"/>
      <c r="AA276" s="327" t="n"/>
      <c r="AB276" s="327" t="n"/>
      <c r="AC276" s="327" t="n"/>
    </row>
    <row r="277">
      <c r="A277" s="327" t="n"/>
      <c r="B277" s="327" t="n"/>
      <c r="C277" s="354" t="n"/>
      <c r="D277" s="354" t="n"/>
      <c r="E277" s="354" t="n"/>
      <c r="F277" s="354" t="n"/>
      <c r="G277" s="354" t="n"/>
      <c r="H277" s="327" t="n"/>
      <c r="I277" s="327" t="n"/>
      <c r="J277" s="327" t="n"/>
      <c r="K277" s="327" t="n"/>
      <c r="L277" s="327" t="n"/>
      <c r="M277" s="327" t="n"/>
      <c r="N277" s="327" t="n"/>
      <c r="O277" s="327" t="n"/>
      <c r="P277" s="327" t="n"/>
      <c r="Q277" s="327" t="n"/>
      <c r="R277" s="327" t="n"/>
      <c r="S277" s="327" t="n"/>
      <c r="T277" s="327" t="n"/>
      <c r="U277" s="327" t="n"/>
      <c r="V277" s="327" t="n"/>
      <c r="W277" s="327" t="n"/>
      <c r="X277" s="327" t="n"/>
      <c r="Y277" s="327" t="n"/>
      <c r="Z277" s="327" t="n"/>
      <c r="AA277" s="327" t="n"/>
      <c r="AB277" s="327" t="n"/>
      <c r="AC277" s="327" t="n"/>
    </row>
    <row r="278">
      <c r="A278" s="327" t="n"/>
      <c r="B278" s="327" t="n"/>
      <c r="C278" s="354" t="n"/>
      <c r="D278" s="354" t="n"/>
      <c r="E278" s="354" t="n"/>
      <c r="F278" s="354" t="n"/>
      <c r="G278" s="354" t="n"/>
      <c r="H278" s="327" t="n"/>
      <c r="I278" s="327" t="n"/>
      <c r="J278" s="327" t="n"/>
      <c r="K278" s="327" t="n"/>
      <c r="L278" s="327" t="n"/>
      <c r="M278" s="327" t="n"/>
      <c r="N278" s="327" t="n"/>
      <c r="O278" s="327" t="n"/>
      <c r="P278" s="327" t="n"/>
      <c r="Q278" s="327" t="n"/>
      <c r="R278" s="327" t="n"/>
      <c r="S278" s="327" t="n"/>
      <c r="T278" s="327" t="n"/>
      <c r="U278" s="327" t="n"/>
      <c r="V278" s="327" t="n"/>
      <c r="W278" s="327" t="n"/>
      <c r="X278" s="327" t="n"/>
      <c r="Y278" s="327" t="n"/>
      <c r="Z278" s="327" t="n"/>
      <c r="AA278" s="327" t="n"/>
      <c r="AB278" s="327" t="n"/>
      <c r="AC278" s="327" t="n"/>
    </row>
    <row r="279">
      <c r="A279" s="327" t="n"/>
      <c r="B279" s="327" t="n"/>
      <c r="C279" s="354" t="n"/>
      <c r="D279" s="354" t="n"/>
      <c r="E279" s="354" t="n"/>
      <c r="F279" s="354" t="n"/>
      <c r="G279" s="354" t="n"/>
      <c r="H279" s="327" t="n"/>
      <c r="I279" s="327" t="n"/>
      <c r="J279" s="327" t="n"/>
      <c r="K279" s="327" t="n"/>
      <c r="L279" s="327" t="n"/>
      <c r="M279" s="327" t="n"/>
      <c r="N279" s="327" t="n"/>
      <c r="O279" s="327" t="n"/>
      <c r="P279" s="327" t="n"/>
      <c r="Q279" s="327" t="n"/>
      <c r="R279" s="327" t="n"/>
      <c r="S279" s="327" t="n"/>
      <c r="T279" s="327" t="n"/>
      <c r="U279" s="327" t="n"/>
      <c r="V279" s="327" t="n"/>
      <c r="W279" s="327" t="n"/>
      <c r="X279" s="327" t="n"/>
      <c r="Y279" s="327" t="n"/>
      <c r="Z279" s="327" t="n"/>
      <c r="AA279" s="327" t="n"/>
      <c r="AB279" s="327" t="n"/>
      <c r="AC279" s="327" t="n"/>
    </row>
    <row r="280">
      <c r="A280" s="327" t="n"/>
      <c r="B280" s="327" t="n"/>
      <c r="C280" s="354" t="n"/>
      <c r="D280" s="354" t="n"/>
      <c r="E280" s="354" t="n"/>
      <c r="F280" s="354" t="n"/>
      <c r="G280" s="354" t="n"/>
      <c r="H280" s="327" t="n"/>
      <c r="I280" s="327" t="n"/>
      <c r="J280" s="327" t="n"/>
      <c r="K280" s="327" t="n"/>
      <c r="L280" s="327" t="n"/>
      <c r="M280" s="327" t="n"/>
      <c r="N280" s="327" t="n"/>
      <c r="O280" s="327" t="n"/>
      <c r="P280" s="327" t="n"/>
      <c r="Q280" s="327" t="n"/>
      <c r="R280" s="327" t="n"/>
      <c r="S280" s="327" t="n"/>
      <c r="T280" s="327" t="n"/>
      <c r="U280" s="327" t="n"/>
      <c r="V280" s="327" t="n"/>
      <c r="W280" s="327" t="n"/>
      <c r="X280" s="327" t="n"/>
      <c r="Y280" s="327" t="n"/>
      <c r="Z280" s="327" t="n"/>
      <c r="AA280" s="327" t="n"/>
      <c r="AB280" s="327" t="n"/>
      <c r="AC280" s="327" t="n"/>
    </row>
    <row r="281">
      <c r="A281" s="327" t="n"/>
      <c r="B281" s="327" t="n"/>
      <c r="C281" s="354" t="n"/>
      <c r="D281" s="354" t="n"/>
      <c r="E281" s="354" t="n"/>
      <c r="F281" s="354" t="n"/>
      <c r="G281" s="354" t="n"/>
      <c r="H281" s="327" t="n"/>
      <c r="I281" s="327" t="n"/>
      <c r="J281" s="327" t="n"/>
      <c r="K281" s="327" t="n"/>
      <c r="L281" s="327" t="n"/>
      <c r="M281" s="327" t="n"/>
      <c r="N281" s="327" t="n"/>
      <c r="O281" s="327" t="n"/>
      <c r="P281" s="327" t="n"/>
      <c r="Q281" s="327" t="n"/>
      <c r="R281" s="327" t="n"/>
      <c r="S281" s="327" t="n"/>
      <c r="T281" s="327" t="n"/>
      <c r="U281" s="327" t="n"/>
      <c r="V281" s="327" t="n"/>
      <c r="W281" s="327" t="n"/>
      <c r="X281" s="327" t="n"/>
      <c r="Y281" s="327" t="n"/>
      <c r="Z281" s="327" t="n"/>
      <c r="AA281" s="327" t="n"/>
      <c r="AB281" s="327" t="n"/>
      <c r="AC281" s="327" t="n"/>
    </row>
    <row r="282">
      <c r="A282" s="327" t="n"/>
      <c r="B282" s="327" t="n"/>
      <c r="C282" s="354" t="n"/>
      <c r="D282" s="354" t="n"/>
      <c r="E282" s="354" t="n"/>
      <c r="F282" s="354" t="n"/>
      <c r="G282" s="354" t="n"/>
      <c r="H282" s="327" t="n"/>
      <c r="I282" s="327" t="n"/>
      <c r="J282" s="327" t="n"/>
      <c r="K282" s="327" t="n"/>
      <c r="L282" s="327" t="n"/>
      <c r="M282" s="327" t="n"/>
      <c r="N282" s="327" t="n"/>
      <c r="O282" s="327" t="n"/>
      <c r="P282" s="327" t="n"/>
      <c r="Q282" s="327" t="n"/>
      <c r="R282" s="327" t="n"/>
      <c r="S282" s="327" t="n"/>
      <c r="T282" s="327" t="n"/>
      <c r="U282" s="327" t="n"/>
      <c r="V282" s="327" t="n"/>
      <c r="W282" s="327" t="n"/>
      <c r="X282" s="327" t="n"/>
      <c r="Y282" s="327" t="n"/>
      <c r="Z282" s="327" t="n"/>
      <c r="AA282" s="327" t="n"/>
      <c r="AB282" s="327" t="n"/>
      <c r="AC282" s="327" t="n"/>
    </row>
    <row r="283">
      <c r="A283" s="327" t="n"/>
      <c r="B283" s="327" t="n"/>
      <c r="C283" s="354" t="n"/>
      <c r="D283" s="354" t="n"/>
      <c r="E283" s="354" t="n"/>
      <c r="F283" s="354" t="n"/>
      <c r="G283" s="354" t="n"/>
      <c r="H283" s="327" t="n"/>
      <c r="I283" s="327" t="n"/>
      <c r="J283" s="327" t="n"/>
      <c r="K283" s="327" t="n"/>
      <c r="L283" s="327" t="n"/>
      <c r="M283" s="327" t="n"/>
      <c r="N283" s="327" t="n"/>
      <c r="O283" s="327" t="n"/>
      <c r="P283" s="327" t="n"/>
      <c r="Q283" s="327" t="n"/>
      <c r="R283" s="327" t="n"/>
      <c r="S283" s="327" t="n"/>
      <c r="T283" s="327" t="n"/>
      <c r="U283" s="327" t="n"/>
      <c r="V283" s="327" t="n"/>
      <c r="W283" s="327" t="n"/>
      <c r="X283" s="327" t="n"/>
      <c r="Y283" s="327" t="n"/>
      <c r="Z283" s="327" t="n"/>
      <c r="AA283" s="327" t="n"/>
      <c r="AB283" s="327" t="n"/>
      <c r="AC283" s="327" t="n"/>
    </row>
    <row r="284">
      <c r="A284" s="327" t="n"/>
      <c r="B284" s="327" t="n"/>
      <c r="C284" s="354" t="n"/>
      <c r="D284" s="354" t="n"/>
      <c r="E284" s="354" t="n"/>
      <c r="F284" s="354" t="n"/>
      <c r="G284" s="354" t="n"/>
      <c r="H284" s="327" t="n"/>
      <c r="I284" s="327" t="n"/>
      <c r="J284" s="327" t="n"/>
      <c r="K284" s="327" t="n"/>
      <c r="L284" s="327" t="n"/>
      <c r="M284" s="327" t="n"/>
      <c r="N284" s="327" t="n"/>
      <c r="O284" s="327" t="n"/>
      <c r="P284" s="327" t="n"/>
      <c r="Q284" s="327" t="n"/>
      <c r="R284" s="327" t="n"/>
      <c r="S284" s="327" t="n"/>
      <c r="T284" s="327" t="n"/>
      <c r="U284" s="327" t="n"/>
      <c r="V284" s="327" t="n"/>
      <c r="W284" s="327" t="n"/>
      <c r="X284" s="327" t="n"/>
      <c r="Y284" s="327" t="n"/>
      <c r="Z284" s="327" t="n"/>
      <c r="AA284" s="327" t="n"/>
      <c r="AB284" s="327" t="n"/>
      <c r="AC284" s="327" t="n"/>
    </row>
    <row r="285">
      <c r="A285" s="327" t="n"/>
      <c r="B285" s="327" t="n"/>
      <c r="C285" s="354" t="n"/>
      <c r="D285" s="354" t="n"/>
      <c r="E285" s="354" t="n"/>
      <c r="F285" s="354" t="n"/>
      <c r="G285" s="354" t="n"/>
      <c r="H285" s="327" t="n"/>
      <c r="I285" s="327" t="n"/>
      <c r="J285" s="327" t="n"/>
      <c r="K285" s="327" t="n"/>
      <c r="L285" s="327" t="n"/>
      <c r="M285" s="327" t="n"/>
      <c r="N285" s="327" t="n"/>
      <c r="O285" s="327" t="n"/>
      <c r="P285" s="327" t="n"/>
      <c r="Q285" s="327" t="n"/>
      <c r="R285" s="327" t="n"/>
      <c r="S285" s="327" t="n"/>
      <c r="T285" s="327" t="n"/>
      <c r="U285" s="327" t="n"/>
      <c r="V285" s="327" t="n"/>
      <c r="W285" s="327" t="n"/>
      <c r="X285" s="327" t="n"/>
      <c r="Y285" s="327" t="n"/>
      <c r="Z285" s="327" t="n"/>
      <c r="AA285" s="327" t="n"/>
      <c r="AB285" s="327" t="n"/>
      <c r="AC285" s="327" t="n"/>
    </row>
    <row r="286">
      <c r="A286" s="327" t="n"/>
      <c r="B286" s="327" t="n"/>
      <c r="C286" s="354" t="n"/>
      <c r="D286" s="354" t="n"/>
      <c r="E286" s="354" t="n"/>
      <c r="F286" s="354" t="n"/>
      <c r="G286" s="354" t="n"/>
      <c r="H286" s="327" t="n"/>
      <c r="I286" s="327" t="n"/>
      <c r="J286" s="327" t="n"/>
      <c r="K286" s="327" t="n"/>
      <c r="L286" s="327" t="n"/>
      <c r="M286" s="327" t="n"/>
      <c r="N286" s="327" t="n"/>
      <c r="O286" s="327" t="n"/>
      <c r="P286" s="327" t="n"/>
      <c r="Q286" s="327" t="n"/>
      <c r="R286" s="327" t="n"/>
      <c r="S286" s="327" t="n"/>
      <c r="T286" s="327" t="n"/>
      <c r="U286" s="327" t="n"/>
      <c r="V286" s="327" t="n"/>
      <c r="W286" s="327" t="n"/>
      <c r="X286" s="327" t="n"/>
      <c r="Y286" s="327" t="n"/>
      <c r="Z286" s="327" t="n"/>
      <c r="AA286" s="327" t="n"/>
      <c r="AB286" s="327" t="n"/>
      <c r="AC286" s="327" t="n"/>
    </row>
    <row r="287">
      <c r="A287" s="327" t="n"/>
      <c r="B287" s="327" t="n"/>
      <c r="C287" s="354" t="n"/>
      <c r="D287" s="354" t="n"/>
      <c r="E287" s="354" t="n"/>
      <c r="F287" s="354" t="n"/>
      <c r="G287" s="354" t="n"/>
      <c r="H287" s="327" t="n"/>
      <c r="I287" s="327" t="n"/>
      <c r="J287" s="327" t="n"/>
      <c r="K287" s="327" t="n"/>
      <c r="L287" s="327" t="n"/>
      <c r="M287" s="327" t="n"/>
      <c r="N287" s="327" t="n"/>
      <c r="O287" s="327" t="n"/>
      <c r="P287" s="327" t="n"/>
      <c r="Q287" s="327" t="n"/>
      <c r="R287" s="327" t="n"/>
      <c r="S287" s="327" t="n"/>
      <c r="T287" s="327" t="n"/>
      <c r="U287" s="327" t="n"/>
      <c r="V287" s="327" t="n"/>
      <c r="W287" s="327" t="n"/>
      <c r="X287" s="327" t="n"/>
      <c r="Y287" s="327" t="n"/>
      <c r="Z287" s="327" t="n"/>
      <c r="AA287" s="327" t="n"/>
      <c r="AB287" s="327" t="n"/>
      <c r="AC287" s="327" t="n"/>
    </row>
    <row r="288">
      <c r="A288" s="327" t="n"/>
      <c r="B288" s="327" t="n"/>
      <c r="C288" s="354" t="n"/>
      <c r="D288" s="354" t="n"/>
      <c r="E288" s="354" t="n"/>
      <c r="F288" s="354" t="n"/>
      <c r="G288" s="354" t="n"/>
      <c r="H288" s="327" t="n"/>
      <c r="I288" s="327" t="n"/>
      <c r="J288" s="327" t="n"/>
      <c r="K288" s="327" t="n"/>
      <c r="L288" s="327" t="n"/>
      <c r="M288" s="327" t="n"/>
      <c r="N288" s="327" t="n"/>
      <c r="O288" s="327" t="n"/>
      <c r="P288" s="327" t="n"/>
      <c r="Q288" s="327" t="n"/>
      <c r="R288" s="327" t="n"/>
      <c r="S288" s="327" t="n"/>
      <c r="T288" s="327" t="n"/>
      <c r="U288" s="327" t="n"/>
      <c r="V288" s="327" t="n"/>
      <c r="W288" s="327" t="n"/>
      <c r="X288" s="327" t="n"/>
      <c r="Y288" s="327" t="n"/>
      <c r="Z288" s="327" t="n"/>
      <c r="AA288" s="327" t="n"/>
      <c r="AB288" s="327" t="n"/>
      <c r="AC288" s="327" t="n"/>
    </row>
    <row r="289">
      <c r="A289" s="327" t="n"/>
      <c r="B289" s="327" t="n"/>
      <c r="C289" s="354" t="n"/>
      <c r="D289" s="354" t="n"/>
      <c r="E289" s="354" t="n"/>
      <c r="F289" s="354" t="n"/>
      <c r="G289" s="354" t="n"/>
      <c r="H289" s="327" t="n"/>
      <c r="I289" s="327" t="n"/>
      <c r="J289" s="327" t="n"/>
      <c r="K289" s="327" t="n"/>
      <c r="L289" s="327" t="n"/>
      <c r="M289" s="327" t="n"/>
      <c r="N289" s="327" t="n"/>
      <c r="O289" s="327" t="n"/>
      <c r="P289" s="327" t="n"/>
      <c r="Q289" s="327" t="n"/>
      <c r="R289" s="327" t="n"/>
      <c r="S289" s="327" t="n"/>
      <c r="T289" s="327" t="n"/>
      <c r="U289" s="327" t="n"/>
      <c r="V289" s="327" t="n"/>
      <c r="W289" s="327" t="n"/>
      <c r="X289" s="327" t="n"/>
      <c r="Y289" s="327" t="n"/>
      <c r="Z289" s="327" t="n"/>
      <c r="AA289" s="327" t="n"/>
      <c r="AB289" s="327" t="n"/>
      <c r="AC289" s="327" t="n"/>
    </row>
    <row r="290">
      <c r="A290" s="327" t="n"/>
      <c r="B290" s="327" t="n"/>
      <c r="C290" s="354" t="n"/>
      <c r="D290" s="354" t="n"/>
      <c r="E290" s="354" t="n"/>
      <c r="F290" s="354" t="n"/>
      <c r="G290" s="354" t="n"/>
      <c r="H290" s="327" t="n"/>
      <c r="I290" s="327" t="n"/>
      <c r="J290" s="327" t="n"/>
      <c r="K290" s="327" t="n"/>
      <c r="L290" s="327" t="n"/>
      <c r="M290" s="327" t="n"/>
      <c r="N290" s="327" t="n"/>
      <c r="O290" s="327" t="n"/>
      <c r="P290" s="327" t="n"/>
      <c r="Q290" s="327" t="n"/>
      <c r="R290" s="327" t="n"/>
      <c r="S290" s="327" t="n"/>
      <c r="T290" s="327" t="n"/>
      <c r="U290" s="327" t="n"/>
      <c r="V290" s="327" t="n"/>
      <c r="W290" s="327" t="n"/>
      <c r="X290" s="327" t="n"/>
      <c r="Y290" s="327" t="n"/>
      <c r="Z290" s="327" t="n"/>
      <c r="AA290" s="327" t="n"/>
      <c r="AB290" s="327" t="n"/>
      <c r="AC290" s="327" t="n"/>
    </row>
    <row r="291">
      <c r="A291" s="327" t="n"/>
      <c r="B291" s="327" t="n"/>
      <c r="C291" s="354" t="n"/>
      <c r="D291" s="354" t="n"/>
      <c r="E291" s="354" t="n"/>
      <c r="F291" s="354" t="n"/>
      <c r="G291" s="354" t="n"/>
      <c r="H291" s="327" t="n"/>
      <c r="I291" s="327" t="n"/>
      <c r="J291" s="327" t="n"/>
      <c r="K291" s="327" t="n"/>
      <c r="L291" s="327" t="n"/>
      <c r="M291" s="327" t="n"/>
      <c r="N291" s="327" t="n"/>
      <c r="O291" s="327" t="n"/>
      <c r="P291" s="327" t="n"/>
      <c r="Q291" s="327" t="n"/>
      <c r="R291" s="327" t="n"/>
      <c r="S291" s="327" t="n"/>
      <c r="T291" s="327" t="n"/>
      <c r="U291" s="327" t="n"/>
      <c r="V291" s="327" t="n"/>
      <c r="W291" s="327" t="n"/>
      <c r="X291" s="327" t="n"/>
      <c r="Y291" s="327" t="n"/>
      <c r="Z291" s="327" t="n"/>
      <c r="AA291" s="327" t="n"/>
      <c r="AB291" s="327" t="n"/>
      <c r="AC291" s="327" t="n"/>
    </row>
    <row r="292">
      <c r="A292" s="327" t="n"/>
      <c r="B292" s="327" t="n"/>
      <c r="C292" s="354" t="n"/>
      <c r="D292" s="354" t="n"/>
      <c r="E292" s="354" t="n"/>
      <c r="F292" s="354" t="n"/>
      <c r="G292" s="354" t="n"/>
      <c r="H292" s="327" t="n"/>
      <c r="I292" s="327" t="n"/>
      <c r="J292" s="327" t="n"/>
      <c r="K292" s="327" t="n"/>
      <c r="L292" s="327" t="n"/>
      <c r="M292" s="327" t="n"/>
      <c r="N292" s="327" t="n"/>
      <c r="O292" s="327" t="n"/>
      <c r="P292" s="327" t="n"/>
      <c r="Q292" s="327" t="n"/>
      <c r="R292" s="327" t="n"/>
      <c r="S292" s="327" t="n"/>
      <c r="T292" s="327" t="n"/>
      <c r="U292" s="327" t="n"/>
      <c r="V292" s="327" t="n"/>
      <c r="W292" s="327" t="n"/>
      <c r="X292" s="327" t="n"/>
      <c r="Y292" s="327" t="n"/>
      <c r="Z292" s="327" t="n"/>
      <c r="AA292" s="327" t="n"/>
      <c r="AB292" s="327" t="n"/>
      <c r="AC292" s="327" t="n"/>
    </row>
    <row r="293">
      <c r="A293" s="327" t="n"/>
      <c r="B293" s="327" t="n"/>
      <c r="C293" s="354" t="n"/>
      <c r="D293" s="354" t="n"/>
      <c r="E293" s="354" t="n"/>
      <c r="F293" s="354" t="n"/>
      <c r="G293" s="354" t="n"/>
      <c r="H293" s="327" t="n"/>
      <c r="I293" s="327" t="n"/>
      <c r="J293" s="327" t="n"/>
      <c r="K293" s="327" t="n"/>
      <c r="L293" s="327" t="n"/>
      <c r="M293" s="327" t="n"/>
      <c r="N293" s="327" t="n"/>
      <c r="O293" s="327" t="n"/>
      <c r="P293" s="327" t="n"/>
      <c r="Q293" s="327" t="n"/>
      <c r="R293" s="327" t="n"/>
      <c r="S293" s="327" t="n"/>
      <c r="T293" s="327" t="n"/>
      <c r="U293" s="327" t="n"/>
      <c r="V293" s="327" t="n"/>
      <c r="W293" s="327" t="n"/>
      <c r="X293" s="327" t="n"/>
      <c r="Y293" s="327" t="n"/>
      <c r="Z293" s="327" t="n"/>
      <c r="AA293" s="327" t="n"/>
      <c r="AB293" s="327" t="n"/>
      <c r="AC293" s="327" t="n"/>
    </row>
    <row r="294">
      <c r="A294" s="327" t="n"/>
      <c r="B294" s="327" t="n"/>
      <c r="C294" s="354" t="n"/>
      <c r="D294" s="354" t="n"/>
      <c r="E294" s="354" t="n"/>
      <c r="F294" s="354" t="n"/>
      <c r="G294" s="354" t="n"/>
      <c r="H294" s="327" t="n"/>
      <c r="I294" s="327" t="n"/>
      <c r="J294" s="327" t="n"/>
      <c r="K294" s="327" t="n"/>
      <c r="L294" s="327" t="n"/>
      <c r="M294" s="327" t="n"/>
      <c r="N294" s="327" t="n"/>
      <c r="O294" s="327" t="n"/>
      <c r="P294" s="327" t="n"/>
      <c r="Q294" s="327" t="n"/>
      <c r="R294" s="327" t="n"/>
      <c r="S294" s="327" t="n"/>
      <c r="T294" s="327" t="n"/>
      <c r="U294" s="327" t="n"/>
      <c r="V294" s="327" t="n"/>
      <c r="W294" s="327" t="n"/>
      <c r="X294" s="327" t="n"/>
      <c r="Y294" s="327" t="n"/>
      <c r="Z294" s="327" t="n"/>
      <c r="AA294" s="327" t="n"/>
      <c r="AB294" s="327" t="n"/>
      <c r="AC294" s="327" t="n"/>
    </row>
    <row r="295">
      <c r="A295" s="327" t="n"/>
      <c r="B295" s="327" t="n"/>
      <c r="C295" s="354" t="n"/>
      <c r="D295" s="354" t="n"/>
      <c r="E295" s="354" t="n"/>
      <c r="F295" s="354" t="n"/>
      <c r="G295" s="354" t="n"/>
      <c r="H295" s="327" t="n"/>
      <c r="I295" s="327" t="n"/>
      <c r="J295" s="327" t="n"/>
      <c r="K295" s="327" t="n"/>
      <c r="L295" s="327" t="n"/>
      <c r="M295" s="327" t="n"/>
      <c r="N295" s="327" t="n"/>
      <c r="O295" s="327" t="n"/>
      <c r="P295" s="327" t="n"/>
      <c r="Q295" s="327" t="n"/>
      <c r="R295" s="327" t="n"/>
      <c r="S295" s="327" t="n"/>
      <c r="T295" s="327" t="n"/>
      <c r="U295" s="327" t="n"/>
      <c r="V295" s="327" t="n"/>
      <c r="W295" s="327" t="n"/>
      <c r="X295" s="327" t="n"/>
      <c r="Y295" s="327" t="n"/>
      <c r="Z295" s="327" t="n"/>
      <c r="AA295" s="327" t="n"/>
      <c r="AB295" s="327" t="n"/>
      <c r="AC295" s="327" t="n"/>
    </row>
    <row r="296">
      <c r="A296" s="327" t="n"/>
      <c r="B296" s="327" t="n"/>
      <c r="C296" s="354" t="n"/>
      <c r="D296" s="354" t="n"/>
      <c r="E296" s="354" t="n"/>
      <c r="F296" s="354" t="n"/>
      <c r="G296" s="354" t="n"/>
      <c r="H296" s="327" t="n"/>
      <c r="I296" s="327" t="n"/>
      <c r="J296" s="327" t="n"/>
      <c r="K296" s="327" t="n"/>
      <c r="L296" s="327" t="n"/>
      <c r="M296" s="327" t="n"/>
      <c r="N296" s="327" t="n"/>
      <c r="O296" s="327" t="n"/>
      <c r="P296" s="327" t="n"/>
      <c r="Q296" s="327" t="n"/>
      <c r="R296" s="327" t="n"/>
      <c r="S296" s="327" t="n"/>
      <c r="T296" s="327" t="n"/>
      <c r="U296" s="327" t="n"/>
      <c r="V296" s="327" t="n"/>
      <c r="W296" s="327" t="n"/>
      <c r="X296" s="327" t="n"/>
      <c r="Y296" s="327" t="n"/>
      <c r="Z296" s="327" t="n"/>
      <c r="AA296" s="327" t="n"/>
      <c r="AB296" s="327" t="n"/>
      <c r="AC296" s="327" t="n"/>
    </row>
    <row r="297">
      <c r="A297" s="327" t="n"/>
      <c r="B297" s="327" t="n"/>
      <c r="C297" s="354" t="n"/>
      <c r="D297" s="354" t="n"/>
      <c r="E297" s="354" t="n"/>
      <c r="F297" s="354" t="n"/>
      <c r="G297" s="354" t="n"/>
      <c r="H297" s="327" t="n"/>
      <c r="I297" s="327" t="n"/>
      <c r="J297" s="327" t="n"/>
      <c r="K297" s="327" t="n"/>
      <c r="L297" s="327" t="n"/>
      <c r="M297" s="327" t="n"/>
      <c r="N297" s="327" t="n"/>
      <c r="O297" s="327" t="n"/>
      <c r="P297" s="327" t="n"/>
      <c r="Q297" s="327" t="n"/>
      <c r="R297" s="327" t="n"/>
      <c r="S297" s="327" t="n"/>
      <c r="T297" s="327" t="n"/>
      <c r="U297" s="327" t="n"/>
      <c r="V297" s="327" t="n"/>
      <c r="W297" s="327" t="n"/>
      <c r="X297" s="327" t="n"/>
      <c r="Y297" s="327" t="n"/>
      <c r="Z297" s="327" t="n"/>
      <c r="AA297" s="327" t="n"/>
      <c r="AB297" s="327" t="n"/>
      <c r="AC297" s="327" t="n"/>
    </row>
    <row r="298">
      <c r="A298" s="327" t="n"/>
      <c r="B298" s="327" t="n"/>
      <c r="C298" s="354" t="n"/>
      <c r="D298" s="354" t="n"/>
      <c r="E298" s="354" t="n"/>
      <c r="F298" s="354" t="n"/>
      <c r="G298" s="354" t="n"/>
      <c r="H298" s="327" t="n"/>
      <c r="I298" s="327" t="n"/>
      <c r="J298" s="327" t="n"/>
      <c r="K298" s="327" t="n"/>
      <c r="L298" s="327" t="n"/>
      <c r="M298" s="327" t="n"/>
      <c r="N298" s="327" t="n"/>
      <c r="O298" s="327" t="n"/>
      <c r="P298" s="327" t="n"/>
      <c r="Q298" s="327" t="n"/>
      <c r="R298" s="327" t="n"/>
      <c r="S298" s="327" t="n"/>
      <c r="T298" s="327" t="n"/>
      <c r="U298" s="327" t="n"/>
      <c r="V298" s="327" t="n"/>
      <c r="W298" s="327" t="n"/>
      <c r="X298" s="327" t="n"/>
      <c r="Y298" s="327" t="n"/>
      <c r="Z298" s="327" t="n"/>
      <c r="AA298" s="327" t="n"/>
      <c r="AB298" s="327" t="n"/>
      <c r="AC298" s="327" t="n"/>
    </row>
    <row r="299">
      <c r="A299" s="327" t="n"/>
      <c r="B299" s="327" t="n"/>
      <c r="C299" s="354" t="n"/>
      <c r="D299" s="354" t="n"/>
      <c r="E299" s="354" t="n"/>
      <c r="F299" s="354" t="n"/>
      <c r="G299" s="354" t="n"/>
      <c r="H299" s="327" t="n"/>
      <c r="I299" s="327" t="n"/>
      <c r="J299" s="327" t="n"/>
      <c r="K299" s="327" t="n"/>
      <c r="L299" s="327" t="n"/>
      <c r="M299" s="327" t="n"/>
      <c r="N299" s="327" t="n"/>
      <c r="O299" s="327" t="n"/>
      <c r="P299" s="327" t="n"/>
      <c r="Q299" s="327" t="n"/>
      <c r="R299" s="327" t="n"/>
      <c r="S299" s="327" t="n"/>
      <c r="T299" s="327" t="n"/>
      <c r="U299" s="327" t="n"/>
      <c r="V299" s="327" t="n"/>
      <c r="W299" s="327" t="n"/>
      <c r="X299" s="327" t="n"/>
      <c r="Y299" s="327" t="n"/>
      <c r="Z299" s="327" t="n"/>
      <c r="AA299" s="327" t="n"/>
      <c r="AB299" s="327" t="n"/>
      <c r="AC299" s="327" t="n"/>
    </row>
    <row r="300">
      <c r="A300" s="327" t="n"/>
      <c r="B300" s="327" t="n"/>
      <c r="C300" s="354" t="n"/>
      <c r="D300" s="354" t="n"/>
      <c r="E300" s="354" t="n"/>
      <c r="F300" s="354" t="n"/>
      <c r="G300" s="354" t="n"/>
      <c r="H300" s="327" t="n"/>
      <c r="I300" s="327" t="n"/>
      <c r="J300" s="327" t="n"/>
      <c r="K300" s="327" t="n"/>
      <c r="L300" s="327" t="n"/>
      <c r="M300" s="327" t="n"/>
      <c r="N300" s="327" t="n"/>
      <c r="O300" s="327" t="n"/>
      <c r="P300" s="327" t="n"/>
      <c r="Q300" s="327" t="n"/>
      <c r="R300" s="327" t="n"/>
      <c r="S300" s="327" t="n"/>
      <c r="T300" s="327" t="n"/>
      <c r="U300" s="327" t="n"/>
      <c r="V300" s="327" t="n"/>
      <c r="W300" s="327" t="n"/>
      <c r="X300" s="327" t="n"/>
      <c r="Y300" s="327" t="n"/>
      <c r="Z300" s="327" t="n"/>
      <c r="AA300" s="327" t="n"/>
      <c r="AB300" s="327" t="n"/>
      <c r="AC300" s="327" t="n"/>
    </row>
    <row r="301">
      <c r="A301" s="327" t="n"/>
      <c r="B301" s="327" t="n"/>
      <c r="C301" s="354" t="n"/>
      <c r="D301" s="354" t="n"/>
      <c r="E301" s="354" t="n"/>
      <c r="F301" s="354" t="n"/>
      <c r="G301" s="354" t="n"/>
      <c r="H301" s="327" t="n"/>
      <c r="I301" s="327" t="n"/>
      <c r="J301" s="327" t="n"/>
      <c r="K301" s="327" t="n"/>
      <c r="L301" s="327" t="n"/>
      <c r="M301" s="327" t="n"/>
      <c r="N301" s="327" t="n"/>
      <c r="O301" s="327" t="n"/>
      <c r="P301" s="327" t="n"/>
      <c r="Q301" s="327" t="n"/>
      <c r="R301" s="327" t="n"/>
      <c r="S301" s="327" t="n"/>
      <c r="T301" s="327" t="n"/>
      <c r="U301" s="327" t="n"/>
      <c r="V301" s="327" t="n"/>
      <c r="W301" s="327" t="n"/>
      <c r="X301" s="327" t="n"/>
      <c r="Y301" s="327" t="n"/>
      <c r="Z301" s="327" t="n"/>
      <c r="AA301" s="327" t="n"/>
      <c r="AB301" s="327" t="n"/>
      <c r="AC301" s="327" t="n"/>
    </row>
    <row r="302">
      <c r="A302" s="327" t="n"/>
      <c r="B302" s="327" t="n"/>
      <c r="C302" s="354" t="n"/>
      <c r="D302" s="354" t="n"/>
      <c r="E302" s="354" t="n"/>
      <c r="F302" s="354" t="n"/>
      <c r="G302" s="354" t="n"/>
      <c r="H302" s="327" t="n"/>
      <c r="I302" s="327" t="n"/>
      <c r="J302" s="327" t="n"/>
      <c r="K302" s="327" t="n"/>
      <c r="L302" s="327" t="n"/>
      <c r="M302" s="327" t="n"/>
      <c r="N302" s="327" t="n"/>
      <c r="O302" s="327" t="n"/>
      <c r="P302" s="327" t="n"/>
      <c r="Q302" s="327" t="n"/>
      <c r="R302" s="327" t="n"/>
      <c r="S302" s="327" t="n"/>
      <c r="T302" s="327" t="n"/>
      <c r="U302" s="327" t="n"/>
      <c r="V302" s="327" t="n"/>
      <c r="W302" s="327" t="n"/>
      <c r="X302" s="327" t="n"/>
      <c r="Y302" s="327" t="n"/>
      <c r="Z302" s="327" t="n"/>
      <c r="AA302" s="327" t="n"/>
      <c r="AB302" s="327" t="n"/>
      <c r="AC302" s="327" t="n"/>
    </row>
    <row r="303">
      <c r="A303" s="327" t="n"/>
      <c r="B303" s="327" t="n"/>
      <c r="C303" s="354" t="n"/>
      <c r="D303" s="354" t="n"/>
      <c r="E303" s="354" t="n"/>
      <c r="F303" s="354" t="n"/>
      <c r="G303" s="354" t="n"/>
      <c r="H303" s="327" t="n"/>
      <c r="I303" s="327" t="n"/>
      <c r="J303" s="327" t="n"/>
      <c r="K303" s="327" t="n"/>
      <c r="L303" s="327" t="n"/>
      <c r="M303" s="327" t="n"/>
      <c r="N303" s="327" t="n"/>
      <c r="O303" s="327" t="n"/>
      <c r="P303" s="327" t="n"/>
      <c r="Q303" s="327" t="n"/>
      <c r="R303" s="327" t="n"/>
      <c r="S303" s="327" t="n"/>
      <c r="T303" s="327" t="n"/>
      <c r="U303" s="327" t="n"/>
      <c r="V303" s="327" t="n"/>
      <c r="W303" s="327" t="n"/>
      <c r="X303" s="327" t="n"/>
      <c r="Y303" s="327" t="n"/>
      <c r="Z303" s="327" t="n"/>
      <c r="AA303" s="327" t="n"/>
      <c r="AB303" s="327" t="n"/>
      <c r="AC303" s="327" t="n"/>
    </row>
    <row r="304">
      <c r="A304" s="327" t="n"/>
      <c r="B304" s="327" t="n"/>
      <c r="C304" s="354" t="n"/>
      <c r="D304" s="354" t="n"/>
      <c r="E304" s="354" t="n"/>
      <c r="F304" s="354" t="n"/>
      <c r="G304" s="354" t="n"/>
      <c r="H304" s="327" t="n"/>
      <c r="I304" s="327" t="n"/>
      <c r="J304" s="327" t="n"/>
      <c r="K304" s="327" t="n"/>
      <c r="L304" s="327" t="n"/>
      <c r="M304" s="327" t="n"/>
      <c r="N304" s="327" t="n"/>
      <c r="O304" s="327" t="n"/>
      <c r="P304" s="327" t="n"/>
      <c r="Q304" s="327" t="n"/>
      <c r="R304" s="327" t="n"/>
      <c r="S304" s="327" t="n"/>
      <c r="T304" s="327" t="n"/>
      <c r="U304" s="327" t="n"/>
      <c r="V304" s="327" t="n"/>
      <c r="W304" s="327" t="n"/>
      <c r="X304" s="327" t="n"/>
      <c r="Y304" s="327" t="n"/>
      <c r="Z304" s="327" t="n"/>
      <c r="AA304" s="327" t="n"/>
      <c r="AB304" s="327" t="n"/>
      <c r="AC304" s="327" t="n"/>
    </row>
    <row r="305">
      <c r="A305" s="327" t="n"/>
      <c r="B305" s="327" t="n"/>
      <c r="C305" s="354" t="n"/>
      <c r="D305" s="354" t="n"/>
      <c r="E305" s="354" t="n"/>
      <c r="F305" s="354" t="n"/>
      <c r="G305" s="354" t="n"/>
      <c r="H305" s="327" t="n"/>
      <c r="I305" s="327" t="n"/>
      <c r="J305" s="327" t="n"/>
      <c r="K305" s="327" t="n"/>
      <c r="L305" s="327" t="n"/>
      <c r="M305" s="327" t="n"/>
      <c r="N305" s="327" t="n"/>
      <c r="O305" s="327" t="n"/>
      <c r="P305" s="327" t="n"/>
      <c r="Q305" s="327" t="n"/>
      <c r="R305" s="327" t="n"/>
      <c r="S305" s="327" t="n"/>
      <c r="T305" s="327" t="n"/>
      <c r="U305" s="327" t="n"/>
      <c r="V305" s="327" t="n"/>
      <c r="W305" s="327" t="n"/>
      <c r="X305" s="327" t="n"/>
      <c r="Y305" s="327" t="n"/>
      <c r="Z305" s="327" t="n"/>
      <c r="AA305" s="327" t="n"/>
      <c r="AB305" s="327" t="n"/>
      <c r="AC305" s="327" t="n"/>
    </row>
    <row r="306">
      <c r="A306" s="327" t="n"/>
      <c r="B306" s="327" t="n"/>
      <c r="C306" s="354" t="n"/>
      <c r="D306" s="354" t="n"/>
      <c r="E306" s="354" t="n"/>
      <c r="F306" s="354" t="n"/>
      <c r="G306" s="354" t="n"/>
      <c r="H306" s="327" t="n"/>
      <c r="I306" s="327" t="n"/>
      <c r="J306" s="327" t="n"/>
      <c r="K306" s="327" t="n"/>
      <c r="L306" s="327" t="n"/>
      <c r="M306" s="327" t="n"/>
      <c r="N306" s="327" t="n"/>
      <c r="O306" s="327" t="n"/>
      <c r="P306" s="327" t="n"/>
      <c r="Q306" s="327" t="n"/>
      <c r="R306" s="327" t="n"/>
      <c r="S306" s="327" t="n"/>
      <c r="T306" s="327" t="n"/>
      <c r="U306" s="327" t="n"/>
      <c r="V306" s="327" t="n"/>
      <c r="W306" s="327" t="n"/>
      <c r="X306" s="327" t="n"/>
      <c r="Y306" s="327" t="n"/>
      <c r="Z306" s="327" t="n"/>
      <c r="AA306" s="327" t="n"/>
      <c r="AB306" s="327" t="n"/>
      <c r="AC306" s="327" t="n"/>
    </row>
    <row r="307">
      <c r="A307" s="327" t="n"/>
      <c r="B307" s="327" t="n"/>
      <c r="C307" s="354" t="n"/>
      <c r="D307" s="354" t="n"/>
      <c r="E307" s="354" t="n"/>
      <c r="F307" s="354" t="n"/>
      <c r="G307" s="354" t="n"/>
      <c r="H307" s="327" t="n"/>
      <c r="I307" s="327" t="n"/>
      <c r="J307" s="327" t="n"/>
      <c r="K307" s="327" t="n"/>
      <c r="L307" s="327" t="n"/>
      <c r="M307" s="327" t="n"/>
      <c r="N307" s="327" t="n"/>
      <c r="O307" s="327" t="n"/>
      <c r="P307" s="327" t="n"/>
      <c r="Q307" s="327" t="n"/>
      <c r="R307" s="327" t="n"/>
      <c r="S307" s="327" t="n"/>
      <c r="T307" s="327" t="n"/>
      <c r="U307" s="327" t="n"/>
      <c r="V307" s="327" t="n"/>
      <c r="W307" s="327" t="n"/>
      <c r="X307" s="327" t="n"/>
      <c r="Y307" s="327" t="n"/>
      <c r="Z307" s="327" t="n"/>
      <c r="AA307" s="327" t="n"/>
      <c r="AB307" s="327" t="n"/>
      <c r="AC307" s="327" t="n"/>
    </row>
    <row r="308">
      <c r="A308" s="327" t="n"/>
      <c r="B308" s="327" t="n"/>
      <c r="C308" s="354" t="n"/>
      <c r="D308" s="354" t="n"/>
      <c r="E308" s="354" t="n"/>
      <c r="F308" s="354" t="n"/>
      <c r="G308" s="354" t="n"/>
      <c r="H308" s="327" t="n"/>
      <c r="I308" s="327" t="n"/>
      <c r="J308" s="327" t="n"/>
      <c r="K308" s="327" t="n"/>
      <c r="L308" s="327" t="n"/>
      <c r="M308" s="327" t="n"/>
      <c r="N308" s="327" t="n"/>
      <c r="O308" s="327" t="n"/>
      <c r="P308" s="327" t="n"/>
      <c r="Q308" s="327" t="n"/>
      <c r="R308" s="327" t="n"/>
      <c r="S308" s="327" t="n"/>
      <c r="T308" s="327" t="n"/>
      <c r="U308" s="327" t="n"/>
      <c r="V308" s="327" t="n"/>
      <c r="W308" s="327" t="n"/>
      <c r="X308" s="327" t="n"/>
      <c r="Y308" s="327" t="n"/>
      <c r="Z308" s="327" t="n"/>
      <c r="AA308" s="327" t="n"/>
      <c r="AB308" s="327" t="n"/>
      <c r="AC308" s="327" t="n"/>
    </row>
    <row r="309">
      <c r="A309" s="327" t="n"/>
      <c r="B309" s="327" t="n"/>
      <c r="C309" s="354" t="n"/>
      <c r="D309" s="354" t="n"/>
      <c r="E309" s="354" t="n"/>
      <c r="F309" s="354" t="n"/>
      <c r="G309" s="354" t="n"/>
      <c r="H309" s="327" t="n"/>
      <c r="I309" s="327" t="n"/>
      <c r="J309" s="327" t="n"/>
      <c r="K309" s="327" t="n"/>
      <c r="L309" s="327" t="n"/>
      <c r="M309" s="327" t="n"/>
      <c r="N309" s="327" t="n"/>
      <c r="O309" s="327" t="n"/>
      <c r="P309" s="327" t="n"/>
      <c r="Q309" s="327" t="n"/>
      <c r="R309" s="327" t="n"/>
      <c r="S309" s="327" t="n"/>
      <c r="T309" s="327" t="n"/>
      <c r="U309" s="327" t="n"/>
      <c r="V309" s="327" t="n"/>
      <c r="W309" s="327" t="n"/>
      <c r="X309" s="327" t="n"/>
      <c r="Y309" s="327" t="n"/>
      <c r="Z309" s="327" t="n"/>
      <c r="AA309" s="327" t="n"/>
      <c r="AB309" s="327" t="n"/>
      <c r="AC309" s="327" t="n"/>
    </row>
    <row r="310">
      <c r="A310" s="327" t="n"/>
      <c r="B310" s="327" t="n"/>
      <c r="C310" s="354" t="n"/>
      <c r="D310" s="354" t="n"/>
      <c r="E310" s="354" t="n"/>
      <c r="F310" s="354" t="n"/>
      <c r="G310" s="354" t="n"/>
      <c r="H310" s="327" t="n"/>
      <c r="I310" s="327" t="n"/>
      <c r="J310" s="327" t="n"/>
      <c r="K310" s="327" t="n"/>
      <c r="L310" s="327" t="n"/>
      <c r="M310" s="327" t="n"/>
      <c r="N310" s="327" t="n"/>
      <c r="O310" s="327" t="n"/>
      <c r="P310" s="327" t="n"/>
      <c r="Q310" s="327" t="n"/>
      <c r="R310" s="327" t="n"/>
      <c r="S310" s="327" t="n"/>
      <c r="T310" s="327" t="n"/>
      <c r="U310" s="327" t="n"/>
      <c r="V310" s="327" t="n"/>
      <c r="W310" s="327" t="n"/>
      <c r="X310" s="327" t="n"/>
      <c r="Y310" s="327" t="n"/>
      <c r="Z310" s="327" t="n"/>
      <c r="AA310" s="327" t="n"/>
      <c r="AB310" s="327" t="n"/>
      <c r="AC310" s="327" t="n"/>
    </row>
    <row r="311">
      <c r="A311" s="327" t="n"/>
      <c r="B311" s="327" t="n"/>
      <c r="C311" s="354" t="n"/>
      <c r="D311" s="354" t="n"/>
      <c r="E311" s="354" t="n"/>
      <c r="F311" s="354" t="n"/>
      <c r="G311" s="354" t="n"/>
      <c r="H311" s="327" t="n"/>
      <c r="I311" s="327" t="n"/>
      <c r="J311" s="327" t="n"/>
      <c r="K311" s="327" t="n"/>
      <c r="L311" s="327" t="n"/>
      <c r="M311" s="327" t="n"/>
      <c r="N311" s="327" t="n"/>
      <c r="O311" s="327" t="n"/>
      <c r="P311" s="327" t="n"/>
      <c r="Q311" s="327" t="n"/>
      <c r="R311" s="327" t="n"/>
      <c r="S311" s="327" t="n"/>
      <c r="T311" s="327" t="n"/>
      <c r="U311" s="327" t="n"/>
      <c r="V311" s="327" t="n"/>
      <c r="W311" s="327" t="n"/>
      <c r="X311" s="327" t="n"/>
      <c r="Y311" s="327" t="n"/>
      <c r="Z311" s="327" t="n"/>
      <c r="AA311" s="327" t="n"/>
      <c r="AB311" s="327" t="n"/>
      <c r="AC311" s="327" t="n"/>
    </row>
    <row r="312">
      <c r="A312" s="327" t="n"/>
      <c r="B312" s="327" t="n"/>
      <c r="C312" s="354" t="n"/>
      <c r="D312" s="354" t="n"/>
      <c r="E312" s="354" t="n"/>
      <c r="F312" s="354" t="n"/>
      <c r="G312" s="354" t="n"/>
      <c r="H312" s="327" t="n"/>
      <c r="I312" s="327" t="n"/>
      <c r="J312" s="327" t="n"/>
      <c r="K312" s="327" t="n"/>
      <c r="L312" s="327" t="n"/>
      <c r="M312" s="327" t="n"/>
      <c r="N312" s="327" t="n"/>
      <c r="O312" s="327" t="n"/>
      <c r="P312" s="327" t="n"/>
      <c r="Q312" s="327" t="n"/>
      <c r="R312" s="327" t="n"/>
      <c r="S312" s="327" t="n"/>
      <c r="T312" s="327" t="n"/>
      <c r="U312" s="327" t="n"/>
      <c r="V312" s="327" t="n"/>
      <c r="W312" s="327" t="n"/>
      <c r="X312" s="327" t="n"/>
      <c r="Y312" s="327" t="n"/>
      <c r="Z312" s="327" t="n"/>
      <c r="AA312" s="327" t="n"/>
      <c r="AB312" s="327" t="n"/>
      <c r="AC312" s="327" t="n"/>
    </row>
    <row r="313">
      <c r="A313" s="327" t="n"/>
      <c r="B313" s="327" t="n"/>
      <c r="C313" s="354" t="n"/>
      <c r="D313" s="354" t="n"/>
      <c r="E313" s="354" t="n"/>
      <c r="F313" s="354" t="n"/>
      <c r="G313" s="354" t="n"/>
      <c r="H313" s="327" t="n"/>
      <c r="I313" s="327" t="n"/>
      <c r="J313" s="327" t="n"/>
      <c r="K313" s="327" t="n"/>
      <c r="L313" s="327" t="n"/>
      <c r="M313" s="327" t="n"/>
      <c r="N313" s="327" t="n"/>
      <c r="O313" s="327" t="n"/>
      <c r="P313" s="327" t="n"/>
      <c r="Q313" s="327" t="n"/>
      <c r="R313" s="327" t="n"/>
      <c r="S313" s="327" t="n"/>
      <c r="T313" s="327" t="n"/>
      <c r="U313" s="327" t="n"/>
      <c r="V313" s="327" t="n"/>
      <c r="W313" s="327" t="n"/>
      <c r="X313" s="327" t="n"/>
      <c r="Y313" s="327" t="n"/>
      <c r="Z313" s="327" t="n"/>
      <c r="AA313" s="327" t="n"/>
      <c r="AB313" s="327" t="n"/>
      <c r="AC313" s="327" t="n"/>
    </row>
    <row r="314">
      <c r="A314" s="327" t="n"/>
      <c r="B314" s="327" t="n"/>
      <c r="C314" s="354" t="n"/>
      <c r="D314" s="354" t="n"/>
      <c r="E314" s="354" t="n"/>
      <c r="F314" s="354" t="n"/>
      <c r="G314" s="354" t="n"/>
      <c r="H314" s="327" t="n"/>
      <c r="I314" s="327" t="n"/>
      <c r="J314" s="327" t="n"/>
      <c r="K314" s="327" t="n"/>
      <c r="L314" s="327" t="n"/>
      <c r="M314" s="327" t="n"/>
      <c r="N314" s="327" t="n"/>
      <c r="O314" s="327" t="n"/>
      <c r="P314" s="327" t="n"/>
      <c r="Q314" s="327" t="n"/>
      <c r="R314" s="327" t="n"/>
      <c r="S314" s="327" t="n"/>
      <c r="T314" s="327" t="n"/>
      <c r="U314" s="327" t="n"/>
      <c r="V314" s="327" t="n"/>
      <c r="W314" s="327" t="n"/>
      <c r="X314" s="327" t="n"/>
      <c r="Y314" s="327" t="n"/>
      <c r="Z314" s="327" t="n"/>
      <c r="AA314" s="327" t="n"/>
      <c r="AB314" s="327" t="n"/>
      <c r="AC314" s="327" t="n"/>
    </row>
    <row r="315">
      <c r="A315" s="327" t="n"/>
      <c r="B315" s="327" t="n"/>
      <c r="C315" s="354" t="n"/>
      <c r="D315" s="354" t="n"/>
      <c r="E315" s="354" t="n"/>
      <c r="F315" s="354" t="n"/>
      <c r="G315" s="354" t="n"/>
      <c r="H315" s="327" t="n"/>
      <c r="I315" s="327" t="n"/>
      <c r="J315" s="327" t="n"/>
      <c r="K315" s="327" t="n"/>
      <c r="L315" s="327" t="n"/>
      <c r="M315" s="327" t="n"/>
      <c r="N315" s="327" t="n"/>
      <c r="O315" s="327" t="n"/>
      <c r="P315" s="327" t="n"/>
      <c r="Q315" s="327" t="n"/>
      <c r="R315" s="327" t="n"/>
      <c r="S315" s="327" t="n"/>
      <c r="T315" s="327" t="n"/>
      <c r="U315" s="327" t="n"/>
      <c r="V315" s="327" t="n"/>
      <c r="W315" s="327" t="n"/>
      <c r="X315" s="327" t="n"/>
      <c r="Y315" s="327" t="n"/>
      <c r="Z315" s="327" t="n"/>
      <c r="AA315" s="327" t="n"/>
      <c r="AB315" s="327" t="n"/>
      <c r="AC315" s="327" t="n"/>
    </row>
    <row r="316">
      <c r="A316" s="327" t="n"/>
      <c r="B316" s="327" t="n"/>
      <c r="C316" s="354" t="n"/>
      <c r="D316" s="354" t="n"/>
      <c r="E316" s="354" t="n"/>
      <c r="F316" s="354" t="n"/>
      <c r="G316" s="354" t="n"/>
      <c r="H316" s="327" t="n"/>
      <c r="I316" s="327" t="n"/>
      <c r="J316" s="327" t="n"/>
      <c r="K316" s="327" t="n"/>
      <c r="L316" s="327" t="n"/>
      <c r="M316" s="327" t="n"/>
      <c r="N316" s="327" t="n"/>
      <c r="O316" s="327" t="n"/>
      <c r="P316" s="327" t="n"/>
      <c r="Q316" s="327" t="n"/>
      <c r="R316" s="327" t="n"/>
      <c r="S316" s="327" t="n"/>
      <c r="T316" s="327" t="n"/>
      <c r="U316" s="327" t="n"/>
      <c r="V316" s="327" t="n"/>
      <c r="W316" s="327" t="n"/>
      <c r="X316" s="327" t="n"/>
      <c r="Y316" s="327" t="n"/>
      <c r="Z316" s="327" t="n"/>
      <c r="AA316" s="327" t="n"/>
      <c r="AB316" s="327" t="n"/>
      <c r="AC316" s="327" t="n"/>
    </row>
    <row r="317">
      <c r="A317" s="327" t="n"/>
      <c r="B317" s="327" t="n"/>
      <c r="C317" s="354" t="n"/>
      <c r="D317" s="354" t="n"/>
      <c r="E317" s="354" t="n"/>
      <c r="F317" s="354" t="n"/>
      <c r="G317" s="354" t="n"/>
      <c r="H317" s="327" t="n"/>
      <c r="I317" s="327" t="n"/>
      <c r="J317" s="327" t="n"/>
      <c r="K317" s="327" t="n"/>
      <c r="L317" s="327" t="n"/>
      <c r="M317" s="327" t="n"/>
      <c r="N317" s="327" t="n"/>
      <c r="O317" s="327" t="n"/>
      <c r="P317" s="327" t="n"/>
      <c r="Q317" s="327" t="n"/>
      <c r="R317" s="327" t="n"/>
      <c r="S317" s="327" t="n"/>
      <c r="T317" s="327" t="n"/>
      <c r="U317" s="327" t="n"/>
      <c r="V317" s="327" t="n"/>
      <c r="W317" s="327" t="n"/>
      <c r="X317" s="327" t="n"/>
      <c r="Y317" s="327" t="n"/>
      <c r="Z317" s="327" t="n"/>
      <c r="AA317" s="327" t="n"/>
      <c r="AB317" s="327" t="n"/>
      <c r="AC317" s="327" t="n"/>
    </row>
    <row r="318">
      <c r="A318" s="327" t="n"/>
      <c r="B318" s="327" t="n"/>
      <c r="C318" s="354" t="n"/>
      <c r="D318" s="354" t="n"/>
      <c r="E318" s="354" t="n"/>
      <c r="F318" s="354" t="n"/>
      <c r="G318" s="354" t="n"/>
      <c r="H318" s="327" t="n"/>
      <c r="I318" s="327" t="n"/>
      <c r="J318" s="327" t="n"/>
      <c r="K318" s="327" t="n"/>
      <c r="L318" s="327" t="n"/>
      <c r="M318" s="327" t="n"/>
      <c r="N318" s="327" t="n"/>
      <c r="O318" s="327" t="n"/>
      <c r="P318" s="327" t="n"/>
      <c r="Q318" s="327" t="n"/>
      <c r="R318" s="327" t="n"/>
      <c r="S318" s="327" t="n"/>
      <c r="T318" s="327" t="n"/>
      <c r="U318" s="327" t="n"/>
      <c r="V318" s="327" t="n"/>
      <c r="W318" s="327" t="n"/>
      <c r="X318" s="327" t="n"/>
      <c r="Y318" s="327" t="n"/>
      <c r="Z318" s="327" t="n"/>
      <c r="AA318" s="327" t="n"/>
      <c r="AB318" s="327" t="n"/>
      <c r="AC318" s="327" t="n"/>
    </row>
    <row r="319">
      <c r="A319" s="327" t="n"/>
      <c r="B319" s="327" t="n"/>
      <c r="C319" s="354" t="n"/>
      <c r="D319" s="354" t="n"/>
      <c r="E319" s="354" t="n"/>
      <c r="F319" s="354" t="n"/>
      <c r="G319" s="354" t="n"/>
      <c r="H319" s="327" t="n"/>
      <c r="I319" s="327" t="n"/>
      <c r="J319" s="327" t="n"/>
      <c r="K319" s="327" t="n"/>
      <c r="L319" s="327" t="n"/>
      <c r="M319" s="327" t="n"/>
      <c r="N319" s="327" t="n"/>
      <c r="O319" s="327" t="n"/>
      <c r="P319" s="327" t="n"/>
      <c r="Q319" s="327" t="n"/>
      <c r="R319" s="327" t="n"/>
      <c r="S319" s="327" t="n"/>
      <c r="T319" s="327" t="n"/>
      <c r="U319" s="327" t="n"/>
      <c r="V319" s="327" t="n"/>
      <c r="W319" s="327" t="n"/>
      <c r="X319" s="327" t="n"/>
      <c r="Y319" s="327" t="n"/>
      <c r="Z319" s="327" t="n"/>
      <c r="AA319" s="327" t="n"/>
      <c r="AB319" s="327" t="n"/>
      <c r="AC319" s="327" t="n"/>
    </row>
    <row r="320">
      <c r="A320" s="327" t="n"/>
      <c r="B320" s="327" t="n"/>
      <c r="C320" s="354" t="n"/>
      <c r="D320" s="354" t="n"/>
      <c r="E320" s="354" t="n"/>
      <c r="F320" s="354" t="n"/>
      <c r="G320" s="354" t="n"/>
      <c r="H320" s="327" t="n"/>
      <c r="I320" s="327" t="n"/>
      <c r="J320" s="327" t="n"/>
      <c r="K320" s="327" t="n"/>
      <c r="L320" s="327" t="n"/>
      <c r="M320" s="327" t="n"/>
      <c r="N320" s="327" t="n"/>
      <c r="O320" s="327" t="n"/>
      <c r="P320" s="327" t="n"/>
      <c r="Q320" s="327" t="n"/>
      <c r="R320" s="327" t="n"/>
      <c r="S320" s="327" t="n"/>
      <c r="T320" s="327" t="n"/>
      <c r="U320" s="327" t="n"/>
      <c r="V320" s="327" t="n"/>
      <c r="W320" s="327" t="n"/>
      <c r="X320" s="327" t="n"/>
      <c r="Y320" s="327" t="n"/>
      <c r="Z320" s="327" t="n"/>
      <c r="AA320" s="327" t="n"/>
      <c r="AB320" s="327" t="n"/>
      <c r="AC320" s="327" t="n"/>
    </row>
    <row r="321">
      <c r="A321" s="327" t="n"/>
      <c r="B321" s="327" t="n"/>
      <c r="C321" s="354" t="n"/>
      <c r="D321" s="354" t="n"/>
      <c r="E321" s="354" t="n"/>
      <c r="F321" s="354" t="n"/>
      <c r="G321" s="354" t="n"/>
      <c r="H321" s="327" t="n"/>
      <c r="I321" s="327" t="n"/>
      <c r="J321" s="327" t="n"/>
      <c r="K321" s="327" t="n"/>
      <c r="L321" s="327" t="n"/>
      <c r="M321" s="327" t="n"/>
      <c r="N321" s="327" t="n"/>
      <c r="O321" s="327" t="n"/>
      <c r="P321" s="327" t="n"/>
      <c r="Q321" s="327" t="n"/>
      <c r="R321" s="327" t="n"/>
      <c r="S321" s="327" t="n"/>
      <c r="T321" s="327" t="n"/>
      <c r="U321" s="327" t="n"/>
      <c r="V321" s="327" t="n"/>
      <c r="W321" s="327" t="n"/>
      <c r="X321" s="327" t="n"/>
      <c r="Y321" s="327" t="n"/>
      <c r="Z321" s="327" t="n"/>
      <c r="AA321" s="327" t="n"/>
      <c r="AB321" s="327" t="n"/>
      <c r="AC321" s="327" t="n"/>
    </row>
    <row r="322">
      <c r="A322" s="327" t="n"/>
      <c r="B322" s="327" t="n"/>
      <c r="C322" s="354" t="n"/>
      <c r="D322" s="354" t="n"/>
      <c r="E322" s="354" t="n"/>
      <c r="F322" s="354" t="n"/>
      <c r="G322" s="354" t="n"/>
      <c r="H322" s="327" t="n"/>
      <c r="I322" s="327" t="n"/>
      <c r="J322" s="327" t="n"/>
      <c r="K322" s="327" t="n"/>
      <c r="L322" s="327" t="n"/>
      <c r="M322" s="327" t="n"/>
      <c r="N322" s="327" t="n"/>
      <c r="O322" s="327" t="n"/>
      <c r="P322" s="327" t="n"/>
      <c r="Q322" s="327" t="n"/>
      <c r="R322" s="327" t="n"/>
      <c r="S322" s="327" t="n"/>
      <c r="T322" s="327" t="n"/>
      <c r="U322" s="327" t="n"/>
      <c r="V322" s="327" t="n"/>
      <c r="W322" s="327" t="n"/>
      <c r="X322" s="327" t="n"/>
      <c r="Y322" s="327" t="n"/>
      <c r="Z322" s="327" t="n"/>
      <c r="AA322" s="327" t="n"/>
      <c r="AB322" s="327" t="n"/>
      <c r="AC322" s="327" t="n"/>
    </row>
    <row r="323">
      <c r="A323" s="327" t="n"/>
      <c r="B323" s="327" t="n"/>
      <c r="C323" s="354" t="n"/>
      <c r="D323" s="354" t="n"/>
      <c r="E323" s="354" t="n"/>
      <c r="F323" s="354" t="n"/>
      <c r="G323" s="354" t="n"/>
      <c r="H323" s="327" t="n"/>
      <c r="I323" s="327" t="n"/>
      <c r="J323" s="327" t="n"/>
      <c r="K323" s="327" t="n"/>
      <c r="L323" s="327" t="n"/>
      <c r="M323" s="327" t="n"/>
      <c r="N323" s="327" t="n"/>
      <c r="O323" s="327" t="n"/>
      <c r="P323" s="327" t="n"/>
      <c r="Q323" s="327" t="n"/>
      <c r="R323" s="327" t="n"/>
      <c r="S323" s="327" t="n"/>
      <c r="T323" s="327" t="n"/>
      <c r="U323" s="327" t="n"/>
      <c r="V323" s="327" t="n"/>
      <c r="W323" s="327" t="n"/>
      <c r="X323" s="327" t="n"/>
      <c r="Y323" s="327" t="n"/>
      <c r="Z323" s="327" t="n"/>
      <c r="AA323" s="327" t="n"/>
      <c r="AB323" s="327" t="n"/>
      <c r="AC323" s="327" t="n"/>
    </row>
    <row r="324">
      <c r="A324" s="327" t="n"/>
      <c r="B324" s="327" t="n"/>
      <c r="C324" s="354" t="n"/>
      <c r="D324" s="354" t="n"/>
      <c r="E324" s="354" t="n"/>
      <c r="F324" s="354" t="n"/>
      <c r="G324" s="354" t="n"/>
      <c r="H324" s="327" t="n"/>
      <c r="I324" s="327" t="n"/>
      <c r="J324" s="327" t="n"/>
      <c r="K324" s="327" t="n"/>
      <c r="L324" s="327" t="n"/>
      <c r="M324" s="327" t="n"/>
      <c r="N324" s="327" t="n"/>
      <c r="O324" s="327" t="n"/>
      <c r="P324" s="327" t="n"/>
      <c r="Q324" s="327" t="n"/>
      <c r="R324" s="327" t="n"/>
      <c r="S324" s="327" t="n"/>
      <c r="T324" s="327" t="n"/>
      <c r="U324" s="327" t="n"/>
      <c r="V324" s="327" t="n"/>
      <c r="W324" s="327" t="n"/>
      <c r="X324" s="327" t="n"/>
      <c r="Y324" s="327" t="n"/>
      <c r="Z324" s="327" t="n"/>
      <c r="AA324" s="327" t="n"/>
      <c r="AB324" s="327" t="n"/>
      <c r="AC324" s="327" t="n"/>
    </row>
    <row r="325">
      <c r="A325" s="327" t="n"/>
      <c r="B325" s="327" t="n"/>
      <c r="C325" s="354" t="n"/>
      <c r="D325" s="354" t="n"/>
      <c r="E325" s="354" t="n"/>
      <c r="F325" s="354" t="n"/>
      <c r="G325" s="354" t="n"/>
      <c r="H325" s="327" t="n"/>
      <c r="I325" s="327" t="n"/>
      <c r="J325" s="327" t="n"/>
      <c r="K325" s="327" t="n"/>
      <c r="L325" s="327" t="n"/>
      <c r="M325" s="327" t="n"/>
      <c r="N325" s="327" t="n"/>
      <c r="O325" s="327" t="n"/>
      <c r="P325" s="327" t="n"/>
      <c r="Q325" s="327" t="n"/>
      <c r="R325" s="327" t="n"/>
      <c r="S325" s="327" t="n"/>
      <c r="T325" s="327" t="n"/>
      <c r="U325" s="327" t="n"/>
      <c r="V325" s="327" t="n"/>
      <c r="W325" s="327" t="n"/>
      <c r="X325" s="327" t="n"/>
      <c r="Y325" s="327" t="n"/>
      <c r="Z325" s="327" t="n"/>
      <c r="AA325" s="327" t="n"/>
      <c r="AB325" s="327" t="n"/>
      <c r="AC325" s="327" t="n"/>
    </row>
    <row r="326">
      <c r="A326" s="327" t="n"/>
      <c r="B326" s="327" t="n"/>
      <c r="C326" s="354" t="n"/>
      <c r="D326" s="354" t="n"/>
      <c r="E326" s="354" t="n"/>
      <c r="F326" s="354" t="n"/>
      <c r="G326" s="354" t="n"/>
      <c r="H326" s="327" t="n"/>
      <c r="I326" s="327" t="n"/>
      <c r="J326" s="327" t="n"/>
      <c r="K326" s="327" t="n"/>
      <c r="L326" s="327" t="n"/>
      <c r="M326" s="327" t="n"/>
      <c r="N326" s="327" t="n"/>
      <c r="O326" s="327" t="n"/>
      <c r="P326" s="327" t="n"/>
      <c r="Q326" s="327" t="n"/>
      <c r="R326" s="327" t="n"/>
      <c r="S326" s="327" t="n"/>
      <c r="T326" s="327" t="n"/>
      <c r="U326" s="327" t="n"/>
      <c r="V326" s="327" t="n"/>
      <c r="W326" s="327" t="n"/>
      <c r="X326" s="327" t="n"/>
      <c r="Y326" s="327" t="n"/>
      <c r="Z326" s="327" t="n"/>
      <c r="AA326" s="327" t="n"/>
      <c r="AB326" s="327" t="n"/>
      <c r="AC326" s="327" t="n"/>
    </row>
    <row r="327">
      <c r="A327" s="327" t="n"/>
      <c r="B327" s="327" t="n"/>
      <c r="C327" s="354" t="n"/>
      <c r="D327" s="354" t="n"/>
      <c r="E327" s="354" t="n"/>
      <c r="F327" s="354" t="n"/>
      <c r="G327" s="354" t="n"/>
      <c r="H327" s="327" t="n"/>
      <c r="I327" s="327" t="n"/>
      <c r="J327" s="327" t="n"/>
      <c r="K327" s="327" t="n"/>
      <c r="L327" s="327" t="n"/>
      <c r="M327" s="327" t="n"/>
      <c r="N327" s="327" t="n"/>
      <c r="O327" s="327" t="n"/>
      <c r="P327" s="327" t="n"/>
      <c r="Q327" s="327" t="n"/>
      <c r="R327" s="327" t="n"/>
      <c r="S327" s="327" t="n"/>
      <c r="T327" s="327" t="n"/>
      <c r="U327" s="327" t="n"/>
      <c r="V327" s="327" t="n"/>
      <c r="W327" s="327" t="n"/>
      <c r="X327" s="327" t="n"/>
      <c r="Y327" s="327" t="n"/>
      <c r="Z327" s="327" t="n"/>
      <c r="AA327" s="327" t="n"/>
      <c r="AB327" s="327" t="n"/>
      <c r="AC327" s="327" t="n"/>
    </row>
    <row r="328">
      <c r="A328" s="327" t="n"/>
      <c r="B328" s="327" t="n"/>
      <c r="C328" s="354" t="n"/>
      <c r="D328" s="354" t="n"/>
      <c r="E328" s="354" t="n"/>
      <c r="F328" s="354" t="n"/>
      <c r="G328" s="354" t="n"/>
      <c r="H328" s="327" t="n"/>
      <c r="I328" s="327" t="n"/>
      <c r="J328" s="327" t="n"/>
      <c r="K328" s="327" t="n"/>
      <c r="L328" s="327" t="n"/>
      <c r="M328" s="327" t="n"/>
      <c r="N328" s="327" t="n"/>
      <c r="O328" s="327" t="n"/>
      <c r="P328" s="327" t="n"/>
      <c r="Q328" s="327" t="n"/>
      <c r="R328" s="327" t="n"/>
      <c r="S328" s="327" t="n"/>
      <c r="T328" s="327" t="n"/>
      <c r="U328" s="327" t="n"/>
      <c r="V328" s="327" t="n"/>
      <c r="W328" s="327" t="n"/>
      <c r="X328" s="327" t="n"/>
      <c r="Y328" s="327" t="n"/>
      <c r="Z328" s="327" t="n"/>
      <c r="AA328" s="327" t="n"/>
      <c r="AB328" s="327" t="n"/>
      <c r="AC328" s="327" t="n"/>
    </row>
    <row r="329">
      <c r="A329" s="327" t="n"/>
      <c r="B329" s="327" t="n"/>
      <c r="C329" s="354" t="n"/>
      <c r="D329" s="354" t="n"/>
      <c r="E329" s="354" t="n"/>
      <c r="F329" s="354" t="n"/>
      <c r="G329" s="354" t="n"/>
      <c r="H329" s="327" t="n"/>
      <c r="I329" s="327" t="n"/>
      <c r="J329" s="327" t="n"/>
      <c r="K329" s="327" t="n"/>
      <c r="L329" s="327" t="n"/>
      <c r="M329" s="327" t="n"/>
      <c r="N329" s="327" t="n"/>
      <c r="O329" s="327" t="n"/>
      <c r="P329" s="327" t="n"/>
      <c r="Q329" s="327" t="n"/>
      <c r="R329" s="327" t="n"/>
      <c r="S329" s="327" t="n"/>
      <c r="T329" s="327" t="n"/>
      <c r="U329" s="327" t="n"/>
      <c r="V329" s="327" t="n"/>
      <c r="W329" s="327" t="n"/>
      <c r="X329" s="327" t="n"/>
      <c r="Y329" s="327" t="n"/>
      <c r="Z329" s="327" t="n"/>
      <c r="AA329" s="327" t="n"/>
      <c r="AB329" s="327" t="n"/>
      <c r="AC329" s="327" t="n"/>
    </row>
    <row r="330">
      <c r="A330" s="327" t="n"/>
      <c r="B330" s="327" t="n"/>
      <c r="C330" s="354" t="n"/>
      <c r="D330" s="354" t="n"/>
      <c r="E330" s="354" t="n"/>
      <c r="F330" s="354" t="n"/>
      <c r="G330" s="354" t="n"/>
      <c r="H330" s="327" t="n"/>
      <c r="I330" s="327" t="n"/>
      <c r="J330" s="327" t="n"/>
      <c r="K330" s="327" t="n"/>
      <c r="L330" s="327" t="n"/>
      <c r="M330" s="327" t="n"/>
      <c r="N330" s="327" t="n"/>
      <c r="O330" s="327" t="n"/>
      <c r="P330" s="327" t="n"/>
      <c r="Q330" s="327" t="n"/>
      <c r="R330" s="327" t="n"/>
      <c r="S330" s="327" t="n"/>
      <c r="T330" s="327" t="n"/>
      <c r="U330" s="327" t="n"/>
      <c r="V330" s="327" t="n"/>
      <c r="W330" s="327" t="n"/>
      <c r="X330" s="327" t="n"/>
      <c r="Y330" s="327" t="n"/>
      <c r="Z330" s="327" t="n"/>
      <c r="AA330" s="327" t="n"/>
      <c r="AB330" s="327" t="n"/>
      <c r="AC330" s="327" t="n"/>
    </row>
    <row r="331">
      <c r="A331" s="327" t="n"/>
      <c r="B331" s="327" t="n"/>
      <c r="C331" s="354" t="n"/>
      <c r="D331" s="354" t="n"/>
      <c r="E331" s="354" t="n"/>
      <c r="F331" s="354" t="n"/>
      <c r="G331" s="354" t="n"/>
      <c r="H331" s="327" t="n"/>
      <c r="I331" s="327" t="n"/>
      <c r="J331" s="327" t="n"/>
      <c r="K331" s="327" t="n"/>
      <c r="L331" s="327" t="n"/>
      <c r="M331" s="327" t="n"/>
      <c r="N331" s="327" t="n"/>
      <c r="O331" s="327" t="n"/>
      <c r="P331" s="327" t="n"/>
      <c r="Q331" s="327" t="n"/>
      <c r="R331" s="327" t="n"/>
      <c r="S331" s="327" t="n"/>
      <c r="T331" s="327" t="n"/>
      <c r="U331" s="327" t="n"/>
      <c r="V331" s="327" t="n"/>
      <c r="W331" s="327" t="n"/>
      <c r="X331" s="327" t="n"/>
      <c r="Y331" s="327" t="n"/>
      <c r="Z331" s="327" t="n"/>
      <c r="AA331" s="327" t="n"/>
      <c r="AB331" s="327" t="n"/>
      <c r="AC331" s="327" t="n"/>
    </row>
    <row r="332">
      <c r="A332" s="327" t="n"/>
      <c r="B332" s="327" t="n"/>
      <c r="C332" s="354" t="n"/>
      <c r="D332" s="354" t="n"/>
      <c r="E332" s="354" t="n"/>
      <c r="F332" s="354" t="n"/>
      <c r="G332" s="354" t="n"/>
      <c r="H332" s="327" t="n"/>
      <c r="I332" s="327" t="n"/>
      <c r="J332" s="327" t="n"/>
      <c r="K332" s="327" t="n"/>
      <c r="L332" s="327" t="n"/>
      <c r="M332" s="327" t="n"/>
      <c r="N332" s="327" t="n"/>
      <c r="O332" s="327" t="n"/>
      <c r="P332" s="327" t="n"/>
      <c r="Q332" s="327" t="n"/>
      <c r="R332" s="327" t="n"/>
      <c r="S332" s="327" t="n"/>
      <c r="T332" s="327" t="n"/>
      <c r="U332" s="327" t="n"/>
      <c r="V332" s="327" t="n"/>
      <c r="W332" s="327" t="n"/>
      <c r="X332" s="327" t="n"/>
      <c r="Y332" s="327" t="n"/>
      <c r="Z332" s="327" t="n"/>
      <c r="AA332" s="327" t="n"/>
      <c r="AB332" s="327" t="n"/>
      <c r="AC332" s="327" t="n"/>
    </row>
    <row r="333">
      <c r="A333" s="327" t="n"/>
      <c r="B333" s="327" t="n"/>
      <c r="C333" s="354" t="n"/>
      <c r="D333" s="354" t="n"/>
      <c r="E333" s="354" t="n"/>
      <c r="F333" s="354" t="n"/>
      <c r="G333" s="354" t="n"/>
      <c r="H333" s="327" t="n"/>
      <c r="I333" s="327" t="n"/>
      <c r="J333" s="327" t="n"/>
      <c r="K333" s="327" t="n"/>
      <c r="L333" s="327" t="n"/>
      <c r="M333" s="327" t="n"/>
      <c r="N333" s="327" t="n"/>
      <c r="O333" s="327" t="n"/>
      <c r="P333" s="327" t="n"/>
      <c r="Q333" s="327" t="n"/>
      <c r="R333" s="327" t="n"/>
      <c r="S333" s="327" t="n"/>
      <c r="T333" s="327" t="n"/>
      <c r="U333" s="327" t="n"/>
      <c r="V333" s="327" t="n"/>
      <c r="W333" s="327" t="n"/>
      <c r="X333" s="327" t="n"/>
      <c r="Y333" s="327" t="n"/>
      <c r="Z333" s="327" t="n"/>
      <c r="AA333" s="327" t="n"/>
      <c r="AB333" s="327" t="n"/>
      <c r="AC333" s="327" t="n"/>
    </row>
    <row r="334">
      <c r="A334" s="327" t="n"/>
      <c r="B334" s="327" t="n"/>
      <c r="C334" s="354" t="n"/>
      <c r="D334" s="354" t="n"/>
      <c r="E334" s="354" t="n"/>
      <c r="F334" s="354" t="n"/>
      <c r="G334" s="354" t="n"/>
      <c r="H334" s="327" t="n"/>
      <c r="I334" s="327" t="n"/>
      <c r="J334" s="327" t="n"/>
      <c r="K334" s="327" t="n"/>
      <c r="L334" s="327" t="n"/>
      <c r="M334" s="327" t="n"/>
      <c r="N334" s="327" t="n"/>
      <c r="O334" s="327" t="n"/>
      <c r="P334" s="327" t="n"/>
      <c r="Q334" s="327" t="n"/>
      <c r="R334" s="327" t="n"/>
      <c r="S334" s="327" t="n"/>
      <c r="T334" s="327" t="n"/>
      <c r="U334" s="327" t="n"/>
      <c r="V334" s="327" t="n"/>
      <c r="W334" s="327" t="n"/>
      <c r="X334" s="327" t="n"/>
      <c r="Y334" s="327" t="n"/>
      <c r="Z334" s="327" t="n"/>
      <c r="AA334" s="327" t="n"/>
      <c r="AB334" s="327" t="n"/>
      <c r="AC334" s="327" t="n"/>
    </row>
    <row r="335">
      <c r="A335" s="327" t="n"/>
      <c r="B335" s="327" t="n"/>
      <c r="C335" s="354" t="n"/>
      <c r="D335" s="354" t="n"/>
      <c r="E335" s="354" t="n"/>
      <c r="F335" s="354" t="n"/>
      <c r="G335" s="354" t="n"/>
      <c r="H335" s="327" t="n"/>
      <c r="I335" s="327" t="n"/>
      <c r="J335" s="327" t="n"/>
      <c r="K335" s="327" t="n"/>
      <c r="L335" s="327" t="n"/>
      <c r="M335" s="327" t="n"/>
      <c r="N335" s="327" t="n"/>
      <c r="O335" s="327" t="n"/>
      <c r="P335" s="327" t="n"/>
      <c r="Q335" s="327" t="n"/>
      <c r="R335" s="327" t="n"/>
      <c r="S335" s="327" t="n"/>
      <c r="T335" s="327" t="n"/>
      <c r="U335" s="327" t="n"/>
      <c r="V335" s="327" t="n"/>
      <c r="W335" s="327" t="n"/>
      <c r="X335" s="327" t="n"/>
      <c r="Y335" s="327" t="n"/>
      <c r="Z335" s="327" t="n"/>
      <c r="AA335" s="327" t="n"/>
      <c r="AB335" s="327" t="n"/>
      <c r="AC335" s="327" t="n"/>
    </row>
    <row r="336">
      <c r="A336" s="327" t="n"/>
      <c r="B336" s="327" t="n"/>
      <c r="C336" s="354" t="n"/>
      <c r="D336" s="354" t="n"/>
      <c r="E336" s="354" t="n"/>
      <c r="F336" s="354" t="n"/>
      <c r="G336" s="354" t="n"/>
      <c r="H336" s="327" t="n"/>
      <c r="I336" s="327" t="n"/>
      <c r="J336" s="327" t="n"/>
      <c r="K336" s="327" t="n"/>
      <c r="L336" s="327" t="n"/>
      <c r="M336" s="327" t="n"/>
      <c r="N336" s="327" t="n"/>
      <c r="O336" s="327" t="n"/>
      <c r="P336" s="327" t="n"/>
      <c r="Q336" s="327" t="n"/>
      <c r="R336" s="327" t="n"/>
      <c r="S336" s="327" t="n"/>
      <c r="T336" s="327" t="n"/>
      <c r="U336" s="327" t="n"/>
      <c r="V336" s="327" t="n"/>
      <c r="W336" s="327" t="n"/>
      <c r="X336" s="327" t="n"/>
      <c r="Y336" s="327" t="n"/>
      <c r="Z336" s="327" t="n"/>
      <c r="AA336" s="327" t="n"/>
      <c r="AB336" s="327" t="n"/>
      <c r="AC336" s="327" t="n"/>
    </row>
    <row r="337">
      <c r="A337" s="327" t="n"/>
      <c r="B337" s="327" t="n"/>
      <c r="C337" s="354" t="n"/>
      <c r="D337" s="354" t="n"/>
      <c r="E337" s="354" t="n"/>
      <c r="F337" s="354" t="n"/>
      <c r="G337" s="354" t="n"/>
      <c r="H337" s="327" t="n"/>
      <c r="I337" s="327" t="n"/>
      <c r="J337" s="327" t="n"/>
      <c r="K337" s="327" t="n"/>
      <c r="L337" s="327" t="n"/>
      <c r="M337" s="327" t="n"/>
      <c r="N337" s="327" t="n"/>
      <c r="O337" s="327" t="n"/>
      <c r="P337" s="327" t="n"/>
      <c r="Q337" s="327" t="n"/>
      <c r="R337" s="327" t="n"/>
      <c r="S337" s="327" t="n"/>
      <c r="T337" s="327" t="n"/>
      <c r="U337" s="327" t="n"/>
      <c r="V337" s="327" t="n"/>
      <c r="W337" s="327" t="n"/>
      <c r="X337" s="327" t="n"/>
      <c r="Y337" s="327" t="n"/>
      <c r="Z337" s="327" t="n"/>
      <c r="AA337" s="327" t="n"/>
      <c r="AB337" s="327" t="n"/>
      <c r="AC337" s="327" t="n"/>
    </row>
    <row r="338">
      <c r="A338" s="327" t="n"/>
      <c r="B338" s="327" t="n"/>
      <c r="C338" s="354" t="n"/>
      <c r="D338" s="354" t="n"/>
      <c r="E338" s="354" t="n"/>
      <c r="F338" s="354" t="n"/>
      <c r="G338" s="354" t="n"/>
      <c r="H338" s="327" t="n"/>
      <c r="I338" s="327" t="n"/>
      <c r="J338" s="327" t="n"/>
      <c r="K338" s="327" t="n"/>
      <c r="L338" s="327" t="n"/>
      <c r="M338" s="327" t="n"/>
      <c r="N338" s="327" t="n"/>
      <c r="O338" s="327" t="n"/>
      <c r="P338" s="327" t="n"/>
      <c r="Q338" s="327" t="n"/>
      <c r="R338" s="327" t="n"/>
      <c r="S338" s="327" t="n"/>
      <c r="T338" s="327" t="n"/>
      <c r="U338" s="327" t="n"/>
      <c r="V338" s="327" t="n"/>
      <c r="W338" s="327" t="n"/>
      <c r="X338" s="327" t="n"/>
      <c r="Y338" s="327" t="n"/>
      <c r="Z338" s="327" t="n"/>
      <c r="AA338" s="327" t="n"/>
      <c r="AB338" s="327" t="n"/>
      <c r="AC338" s="327" t="n"/>
    </row>
    <row r="339">
      <c r="A339" s="327" t="n"/>
      <c r="B339" s="327" t="n"/>
      <c r="C339" s="354" t="n"/>
      <c r="D339" s="354" t="n"/>
      <c r="E339" s="354" t="n"/>
      <c r="F339" s="354" t="n"/>
      <c r="G339" s="354" t="n"/>
      <c r="H339" s="327" t="n"/>
      <c r="I339" s="327" t="n"/>
      <c r="J339" s="327" t="n"/>
      <c r="K339" s="327" t="n"/>
      <c r="L339" s="327" t="n"/>
      <c r="M339" s="327" t="n"/>
      <c r="N339" s="327" t="n"/>
      <c r="O339" s="327" t="n"/>
      <c r="P339" s="327" t="n"/>
      <c r="Q339" s="327" t="n"/>
      <c r="R339" s="327" t="n"/>
      <c r="S339" s="327" t="n"/>
      <c r="T339" s="327" t="n"/>
      <c r="U339" s="327" t="n"/>
      <c r="V339" s="327" t="n"/>
      <c r="W339" s="327" t="n"/>
      <c r="X339" s="327" t="n"/>
      <c r="Y339" s="327" t="n"/>
      <c r="Z339" s="327" t="n"/>
      <c r="AA339" s="327" t="n"/>
      <c r="AB339" s="327" t="n"/>
      <c r="AC339" s="327" t="n"/>
    </row>
    <row r="340">
      <c r="A340" s="327" t="n"/>
      <c r="B340" s="327" t="n"/>
      <c r="C340" s="354" t="n"/>
      <c r="D340" s="354" t="n"/>
      <c r="E340" s="354" t="n"/>
      <c r="F340" s="354" t="n"/>
      <c r="G340" s="354" t="n"/>
      <c r="H340" s="327" t="n"/>
      <c r="I340" s="327" t="n"/>
      <c r="J340" s="327" t="n"/>
      <c r="K340" s="327" t="n"/>
      <c r="L340" s="327" t="n"/>
      <c r="M340" s="327" t="n"/>
      <c r="N340" s="327" t="n"/>
      <c r="O340" s="327" t="n"/>
      <c r="P340" s="327" t="n"/>
      <c r="Q340" s="327" t="n"/>
      <c r="R340" s="327" t="n"/>
      <c r="S340" s="327" t="n"/>
      <c r="T340" s="327" t="n"/>
      <c r="U340" s="327" t="n"/>
      <c r="V340" s="327" t="n"/>
      <c r="W340" s="327" t="n"/>
      <c r="X340" s="327" t="n"/>
      <c r="Y340" s="327" t="n"/>
      <c r="Z340" s="327" t="n"/>
      <c r="AA340" s="327" t="n"/>
      <c r="AB340" s="327" t="n"/>
      <c r="AC340" s="327" t="n"/>
    </row>
    <row r="341">
      <c r="A341" s="327" t="n"/>
      <c r="B341" s="327" t="n"/>
      <c r="C341" s="354" t="n"/>
      <c r="D341" s="354" t="n"/>
      <c r="E341" s="354" t="n"/>
      <c r="F341" s="354" t="n"/>
      <c r="G341" s="354" t="n"/>
      <c r="H341" s="327" t="n"/>
      <c r="I341" s="327" t="n"/>
      <c r="J341" s="327" t="n"/>
      <c r="K341" s="327" t="n"/>
      <c r="L341" s="327" t="n"/>
      <c r="M341" s="327" t="n"/>
      <c r="N341" s="327" t="n"/>
      <c r="O341" s="327" t="n"/>
      <c r="P341" s="327" t="n"/>
      <c r="Q341" s="327" t="n"/>
      <c r="R341" s="327" t="n"/>
      <c r="S341" s="327" t="n"/>
      <c r="T341" s="327" t="n"/>
      <c r="U341" s="327" t="n"/>
      <c r="V341" s="327" t="n"/>
      <c r="W341" s="327" t="n"/>
      <c r="X341" s="327" t="n"/>
      <c r="Y341" s="327" t="n"/>
      <c r="Z341" s="327" t="n"/>
      <c r="AA341" s="327" t="n"/>
      <c r="AB341" s="327" t="n"/>
      <c r="AC341" s="327" t="n"/>
    </row>
    <row r="342">
      <c r="A342" s="327" t="n"/>
      <c r="B342" s="327" t="n"/>
      <c r="C342" s="354" t="n"/>
      <c r="D342" s="354" t="n"/>
      <c r="E342" s="354" t="n"/>
      <c r="F342" s="354" t="n"/>
      <c r="G342" s="354" t="n"/>
      <c r="H342" s="327" t="n"/>
      <c r="I342" s="327" t="n"/>
      <c r="J342" s="327" t="n"/>
      <c r="K342" s="327" t="n"/>
      <c r="L342" s="327" t="n"/>
      <c r="M342" s="327" t="n"/>
      <c r="N342" s="327" t="n"/>
      <c r="O342" s="327" t="n"/>
      <c r="P342" s="327" t="n"/>
      <c r="Q342" s="327" t="n"/>
      <c r="R342" s="327" t="n"/>
      <c r="S342" s="327" t="n"/>
      <c r="T342" s="327" t="n"/>
      <c r="U342" s="327" t="n"/>
      <c r="V342" s="327" t="n"/>
      <c r="W342" s="327" t="n"/>
      <c r="X342" s="327" t="n"/>
      <c r="Y342" s="327" t="n"/>
      <c r="Z342" s="327" t="n"/>
      <c r="AA342" s="327" t="n"/>
      <c r="AB342" s="327" t="n"/>
      <c r="AC342" s="327" t="n"/>
    </row>
    <row r="343">
      <c r="A343" s="327" t="n"/>
      <c r="B343" s="327" t="n"/>
      <c r="C343" s="354" t="n"/>
      <c r="D343" s="354" t="n"/>
      <c r="E343" s="354" t="n"/>
      <c r="F343" s="354" t="n"/>
      <c r="G343" s="354" t="n"/>
      <c r="H343" s="327" t="n"/>
      <c r="I343" s="327" t="n"/>
      <c r="J343" s="327" t="n"/>
      <c r="K343" s="327" t="n"/>
      <c r="L343" s="327" t="n"/>
      <c r="M343" s="327" t="n"/>
      <c r="N343" s="327" t="n"/>
      <c r="O343" s="327" t="n"/>
      <c r="P343" s="327" t="n"/>
      <c r="Q343" s="327" t="n"/>
      <c r="R343" s="327" t="n"/>
      <c r="S343" s="327" t="n"/>
      <c r="T343" s="327" t="n"/>
      <c r="U343" s="327" t="n"/>
      <c r="V343" s="327" t="n"/>
      <c r="W343" s="327" t="n"/>
      <c r="X343" s="327" t="n"/>
      <c r="Y343" s="327" t="n"/>
      <c r="Z343" s="327" t="n"/>
      <c r="AA343" s="327" t="n"/>
      <c r="AB343" s="327" t="n"/>
      <c r="AC343" s="327" t="n"/>
    </row>
    <row r="344">
      <c r="A344" s="327" t="n"/>
      <c r="B344" s="327" t="n"/>
      <c r="C344" s="354" t="n"/>
      <c r="D344" s="354" t="n"/>
      <c r="E344" s="354" t="n"/>
      <c r="F344" s="354" t="n"/>
      <c r="G344" s="354" t="n"/>
      <c r="H344" s="327" t="n"/>
      <c r="I344" s="327" t="n"/>
      <c r="J344" s="327" t="n"/>
      <c r="K344" s="327" t="n"/>
      <c r="L344" s="327" t="n"/>
      <c r="M344" s="327" t="n"/>
      <c r="N344" s="327" t="n"/>
      <c r="O344" s="327" t="n"/>
      <c r="P344" s="327" t="n"/>
      <c r="Q344" s="327" t="n"/>
      <c r="R344" s="327" t="n"/>
      <c r="S344" s="327" t="n"/>
      <c r="T344" s="327" t="n"/>
      <c r="U344" s="327" t="n"/>
      <c r="V344" s="327" t="n"/>
      <c r="W344" s="327" t="n"/>
      <c r="X344" s="327" t="n"/>
      <c r="Y344" s="327" t="n"/>
      <c r="Z344" s="327" t="n"/>
      <c r="AA344" s="327" t="n"/>
      <c r="AB344" s="327" t="n"/>
      <c r="AC344" s="327" t="n"/>
    </row>
    <row r="345">
      <c r="A345" s="327" t="n"/>
      <c r="B345" s="327" t="n"/>
      <c r="C345" s="354" t="n"/>
      <c r="D345" s="354" t="n"/>
      <c r="E345" s="354" t="n"/>
      <c r="F345" s="354" t="n"/>
      <c r="G345" s="354" t="n"/>
      <c r="H345" s="327" t="n"/>
      <c r="I345" s="327" t="n"/>
      <c r="J345" s="327" t="n"/>
      <c r="K345" s="327" t="n"/>
      <c r="L345" s="327" t="n"/>
      <c r="M345" s="327" t="n"/>
      <c r="N345" s="327" t="n"/>
      <c r="O345" s="327" t="n"/>
      <c r="P345" s="327" t="n"/>
      <c r="Q345" s="327" t="n"/>
      <c r="R345" s="327" t="n"/>
      <c r="S345" s="327" t="n"/>
      <c r="T345" s="327" t="n"/>
      <c r="U345" s="327" t="n"/>
      <c r="V345" s="327" t="n"/>
      <c r="W345" s="327" t="n"/>
      <c r="X345" s="327" t="n"/>
      <c r="Y345" s="327" t="n"/>
      <c r="Z345" s="327" t="n"/>
      <c r="AA345" s="327" t="n"/>
      <c r="AB345" s="327" t="n"/>
      <c r="AC345" s="327" t="n"/>
    </row>
    <row r="346">
      <c r="A346" s="327" t="n"/>
      <c r="B346" s="327" t="n"/>
      <c r="C346" s="354" t="n"/>
      <c r="D346" s="354" t="n"/>
      <c r="E346" s="354" t="n"/>
      <c r="F346" s="354" t="n"/>
      <c r="G346" s="354" t="n"/>
      <c r="H346" s="327" t="n"/>
      <c r="I346" s="327" t="n"/>
      <c r="J346" s="327" t="n"/>
      <c r="K346" s="327" t="n"/>
      <c r="L346" s="327" t="n"/>
      <c r="M346" s="327" t="n"/>
      <c r="N346" s="327" t="n"/>
      <c r="O346" s="327" t="n"/>
      <c r="P346" s="327" t="n"/>
      <c r="Q346" s="327" t="n"/>
      <c r="R346" s="327" t="n"/>
      <c r="S346" s="327" t="n"/>
      <c r="T346" s="327" t="n"/>
      <c r="U346" s="327" t="n"/>
      <c r="V346" s="327" t="n"/>
      <c r="W346" s="327" t="n"/>
      <c r="X346" s="327" t="n"/>
      <c r="Y346" s="327" t="n"/>
      <c r="Z346" s="327" t="n"/>
      <c r="AA346" s="327" t="n"/>
      <c r="AB346" s="327" t="n"/>
      <c r="AC346" s="327" t="n"/>
    </row>
    <row r="347">
      <c r="A347" s="327" t="n"/>
      <c r="B347" s="327" t="n"/>
      <c r="C347" s="354" t="n"/>
      <c r="D347" s="354" t="n"/>
      <c r="E347" s="354" t="n"/>
      <c r="F347" s="354" t="n"/>
      <c r="G347" s="354" t="n"/>
      <c r="H347" s="327" t="n"/>
      <c r="I347" s="327" t="n"/>
      <c r="J347" s="327" t="n"/>
      <c r="K347" s="327" t="n"/>
      <c r="L347" s="327" t="n"/>
      <c r="M347" s="327" t="n"/>
      <c r="N347" s="327" t="n"/>
      <c r="O347" s="327" t="n"/>
      <c r="P347" s="327" t="n"/>
      <c r="Q347" s="327" t="n"/>
      <c r="R347" s="327" t="n"/>
      <c r="S347" s="327" t="n"/>
      <c r="T347" s="327" t="n"/>
      <c r="U347" s="327" t="n"/>
      <c r="V347" s="327" t="n"/>
      <c r="W347" s="327" t="n"/>
      <c r="X347" s="327" t="n"/>
      <c r="Y347" s="327" t="n"/>
      <c r="Z347" s="327" t="n"/>
      <c r="AA347" s="327" t="n"/>
      <c r="AB347" s="327" t="n"/>
      <c r="AC347" s="327" t="n"/>
    </row>
    <row r="348">
      <c r="A348" s="327" t="n"/>
      <c r="B348" s="327" t="n"/>
      <c r="C348" s="354" t="n"/>
      <c r="D348" s="354" t="n"/>
      <c r="E348" s="354" t="n"/>
      <c r="F348" s="354" t="n"/>
      <c r="G348" s="354" t="n"/>
      <c r="H348" s="327" t="n"/>
      <c r="I348" s="327" t="n"/>
      <c r="J348" s="327" t="n"/>
      <c r="K348" s="327" t="n"/>
      <c r="L348" s="327" t="n"/>
      <c r="M348" s="327" t="n"/>
      <c r="N348" s="327" t="n"/>
      <c r="O348" s="327" t="n"/>
      <c r="P348" s="327" t="n"/>
      <c r="Q348" s="327" t="n"/>
      <c r="R348" s="327" t="n"/>
      <c r="S348" s="327" t="n"/>
      <c r="T348" s="327" t="n"/>
      <c r="U348" s="327" t="n"/>
      <c r="V348" s="327" t="n"/>
      <c r="W348" s="327" t="n"/>
      <c r="X348" s="327" t="n"/>
      <c r="Y348" s="327" t="n"/>
      <c r="Z348" s="327" t="n"/>
      <c r="AA348" s="327" t="n"/>
      <c r="AB348" s="327" t="n"/>
      <c r="AC348" s="327" t="n"/>
    </row>
    <row r="349">
      <c r="A349" s="327" t="n"/>
      <c r="B349" s="327" t="n"/>
      <c r="C349" s="354" t="n"/>
      <c r="D349" s="354" t="n"/>
      <c r="E349" s="354" t="n"/>
      <c r="F349" s="354" t="n"/>
      <c r="G349" s="354" t="n"/>
      <c r="H349" s="327" t="n"/>
      <c r="I349" s="327" t="n"/>
      <c r="J349" s="327" t="n"/>
      <c r="K349" s="327" t="n"/>
      <c r="L349" s="327" t="n"/>
      <c r="M349" s="327" t="n"/>
      <c r="N349" s="327" t="n"/>
      <c r="O349" s="327" t="n"/>
      <c r="P349" s="327" t="n"/>
      <c r="Q349" s="327" t="n"/>
      <c r="R349" s="327" t="n"/>
      <c r="S349" s="327" t="n"/>
      <c r="T349" s="327" t="n"/>
      <c r="U349" s="327" t="n"/>
      <c r="V349" s="327" t="n"/>
      <c r="W349" s="327" t="n"/>
      <c r="X349" s="327" t="n"/>
      <c r="Y349" s="327" t="n"/>
      <c r="Z349" s="327" t="n"/>
      <c r="AA349" s="327" t="n"/>
      <c r="AB349" s="327" t="n"/>
      <c r="AC349" s="327" t="n"/>
    </row>
    <row r="350">
      <c r="A350" s="327" t="n"/>
      <c r="B350" s="327" t="n"/>
      <c r="C350" s="354" t="n"/>
      <c r="D350" s="354" t="n"/>
      <c r="E350" s="354" t="n"/>
      <c r="F350" s="354" t="n"/>
      <c r="G350" s="354" t="n"/>
      <c r="H350" s="327" t="n"/>
      <c r="I350" s="327" t="n"/>
      <c r="J350" s="327" t="n"/>
      <c r="K350" s="327" t="n"/>
      <c r="L350" s="327" t="n"/>
      <c r="M350" s="327" t="n"/>
      <c r="N350" s="327" t="n"/>
      <c r="O350" s="327" t="n"/>
      <c r="P350" s="327" t="n"/>
      <c r="Q350" s="327" t="n"/>
      <c r="R350" s="327" t="n"/>
      <c r="S350" s="327" t="n"/>
      <c r="T350" s="327" t="n"/>
      <c r="U350" s="327" t="n"/>
      <c r="V350" s="327" t="n"/>
      <c r="W350" s="327" t="n"/>
      <c r="X350" s="327" t="n"/>
      <c r="Y350" s="327" t="n"/>
      <c r="Z350" s="327" t="n"/>
      <c r="AA350" s="327" t="n"/>
      <c r="AB350" s="327" t="n"/>
      <c r="AC350" s="327" t="n"/>
    </row>
    <row r="351">
      <c r="A351" s="327" t="n"/>
      <c r="B351" s="327" t="n"/>
      <c r="C351" s="354" t="n"/>
      <c r="D351" s="354" t="n"/>
      <c r="E351" s="354" t="n"/>
      <c r="F351" s="354" t="n"/>
      <c r="G351" s="354" t="n"/>
      <c r="H351" s="327" t="n"/>
      <c r="I351" s="327" t="n"/>
      <c r="J351" s="327" t="n"/>
      <c r="K351" s="327" t="n"/>
      <c r="L351" s="327" t="n"/>
      <c r="M351" s="327" t="n"/>
      <c r="N351" s="327" t="n"/>
      <c r="O351" s="327" t="n"/>
      <c r="P351" s="327" t="n"/>
      <c r="Q351" s="327" t="n"/>
      <c r="R351" s="327" t="n"/>
      <c r="S351" s="327" t="n"/>
      <c r="T351" s="327" t="n"/>
      <c r="U351" s="327" t="n"/>
      <c r="V351" s="327" t="n"/>
      <c r="W351" s="327" t="n"/>
      <c r="X351" s="327" t="n"/>
      <c r="Y351" s="327" t="n"/>
      <c r="Z351" s="327" t="n"/>
      <c r="AA351" s="327" t="n"/>
      <c r="AB351" s="327" t="n"/>
      <c r="AC351" s="327" t="n"/>
    </row>
    <row r="352">
      <c r="A352" s="327" t="n"/>
      <c r="B352" s="327" t="n"/>
      <c r="C352" s="354" t="n"/>
      <c r="D352" s="354" t="n"/>
      <c r="E352" s="354" t="n"/>
      <c r="F352" s="354" t="n"/>
      <c r="G352" s="354" t="n"/>
      <c r="H352" s="327" t="n"/>
      <c r="I352" s="327" t="n"/>
      <c r="J352" s="327" t="n"/>
      <c r="K352" s="327" t="n"/>
      <c r="L352" s="327" t="n"/>
      <c r="M352" s="327" t="n"/>
      <c r="N352" s="327" t="n"/>
      <c r="O352" s="327" t="n"/>
      <c r="P352" s="327" t="n"/>
      <c r="Q352" s="327" t="n"/>
      <c r="R352" s="327" t="n"/>
      <c r="S352" s="327" t="n"/>
      <c r="T352" s="327" t="n"/>
      <c r="U352" s="327" t="n"/>
      <c r="V352" s="327" t="n"/>
      <c r="W352" s="327" t="n"/>
      <c r="X352" s="327" t="n"/>
      <c r="Y352" s="327" t="n"/>
      <c r="Z352" s="327" t="n"/>
      <c r="AA352" s="327" t="n"/>
      <c r="AB352" s="327" t="n"/>
      <c r="AC352" s="327" t="n"/>
    </row>
    <row r="353">
      <c r="A353" s="327" t="n"/>
      <c r="B353" s="327" t="n"/>
      <c r="C353" s="354" t="n"/>
      <c r="D353" s="354" t="n"/>
      <c r="E353" s="354" t="n"/>
      <c r="F353" s="354" t="n"/>
      <c r="G353" s="354" t="n"/>
      <c r="H353" s="327" t="n"/>
      <c r="I353" s="327" t="n"/>
      <c r="J353" s="327" t="n"/>
      <c r="K353" s="327" t="n"/>
      <c r="L353" s="327" t="n"/>
      <c r="M353" s="327" t="n"/>
      <c r="N353" s="327" t="n"/>
      <c r="O353" s="327" t="n"/>
      <c r="P353" s="327" t="n"/>
      <c r="Q353" s="327" t="n"/>
      <c r="R353" s="327" t="n"/>
      <c r="S353" s="327" t="n"/>
      <c r="T353" s="327" t="n"/>
      <c r="U353" s="327" t="n"/>
      <c r="V353" s="327" t="n"/>
      <c r="W353" s="327" t="n"/>
      <c r="X353" s="327" t="n"/>
      <c r="Y353" s="327" t="n"/>
      <c r="Z353" s="327" t="n"/>
      <c r="AA353" s="327" t="n"/>
      <c r="AB353" s="327" t="n"/>
      <c r="AC353" s="327" t="n"/>
    </row>
    <row r="354">
      <c r="A354" s="327" t="n"/>
      <c r="B354" s="327" t="n"/>
      <c r="C354" s="354" t="n"/>
      <c r="D354" s="354" t="n"/>
      <c r="E354" s="354" t="n"/>
      <c r="F354" s="354" t="n"/>
      <c r="G354" s="354" t="n"/>
      <c r="H354" s="327" t="n"/>
      <c r="I354" s="327" t="n"/>
      <c r="J354" s="327" t="n"/>
      <c r="K354" s="327" t="n"/>
      <c r="L354" s="327" t="n"/>
      <c r="M354" s="327" t="n"/>
      <c r="N354" s="327" t="n"/>
      <c r="O354" s="327" t="n"/>
      <c r="P354" s="327" t="n"/>
      <c r="Q354" s="327" t="n"/>
      <c r="R354" s="327" t="n"/>
      <c r="S354" s="327" t="n"/>
      <c r="T354" s="327" t="n"/>
      <c r="U354" s="327" t="n"/>
      <c r="V354" s="327" t="n"/>
      <c r="W354" s="327" t="n"/>
      <c r="X354" s="327" t="n"/>
      <c r="Y354" s="327" t="n"/>
      <c r="Z354" s="327" t="n"/>
      <c r="AA354" s="327" t="n"/>
      <c r="AB354" s="327" t="n"/>
      <c r="AC354" s="327" t="n"/>
    </row>
    <row r="355">
      <c r="A355" s="327" t="n"/>
      <c r="B355" s="327" t="n"/>
      <c r="C355" s="354" t="n"/>
      <c r="D355" s="354" t="n"/>
      <c r="E355" s="354" t="n"/>
      <c r="F355" s="354" t="n"/>
      <c r="G355" s="354" t="n"/>
      <c r="H355" s="327" t="n"/>
      <c r="I355" s="327" t="n"/>
      <c r="J355" s="327" t="n"/>
      <c r="K355" s="327" t="n"/>
      <c r="L355" s="327" t="n"/>
      <c r="M355" s="327" t="n"/>
      <c r="N355" s="327" t="n"/>
      <c r="O355" s="327" t="n"/>
      <c r="P355" s="327" t="n"/>
      <c r="Q355" s="327" t="n"/>
      <c r="R355" s="327" t="n"/>
      <c r="S355" s="327" t="n"/>
      <c r="T355" s="327" t="n"/>
      <c r="U355" s="327" t="n"/>
      <c r="V355" s="327" t="n"/>
      <c r="W355" s="327" t="n"/>
      <c r="X355" s="327" t="n"/>
      <c r="Y355" s="327" t="n"/>
      <c r="Z355" s="327" t="n"/>
      <c r="AA355" s="327" t="n"/>
      <c r="AB355" s="327" t="n"/>
      <c r="AC355" s="327" t="n"/>
    </row>
    <row r="356">
      <c r="A356" s="327" t="n"/>
      <c r="B356" s="327" t="n"/>
      <c r="C356" s="354" t="n"/>
      <c r="D356" s="354" t="n"/>
      <c r="E356" s="354" t="n"/>
      <c r="F356" s="354" t="n"/>
      <c r="G356" s="354" t="n"/>
      <c r="H356" s="327" t="n"/>
      <c r="I356" s="327" t="n"/>
      <c r="J356" s="327" t="n"/>
      <c r="K356" s="327" t="n"/>
      <c r="L356" s="327" t="n"/>
      <c r="M356" s="327" t="n"/>
      <c r="N356" s="327" t="n"/>
      <c r="O356" s="327" t="n"/>
      <c r="P356" s="327" t="n"/>
      <c r="Q356" s="327" t="n"/>
      <c r="R356" s="327" t="n"/>
      <c r="S356" s="327" t="n"/>
      <c r="T356" s="327" t="n"/>
      <c r="U356" s="327" t="n"/>
      <c r="V356" s="327" t="n"/>
      <c r="W356" s="327" t="n"/>
      <c r="X356" s="327" t="n"/>
      <c r="Y356" s="327" t="n"/>
      <c r="Z356" s="327" t="n"/>
      <c r="AA356" s="327" t="n"/>
      <c r="AB356" s="327" t="n"/>
      <c r="AC356" s="327" t="n"/>
    </row>
    <row r="357">
      <c r="A357" s="327" t="n"/>
      <c r="B357" s="327" t="n"/>
      <c r="C357" s="354" t="n"/>
      <c r="D357" s="354" t="n"/>
      <c r="E357" s="354" t="n"/>
      <c r="F357" s="354" t="n"/>
      <c r="G357" s="354" t="n"/>
      <c r="H357" s="327" t="n"/>
      <c r="I357" s="327" t="n"/>
      <c r="J357" s="327" t="n"/>
      <c r="K357" s="327" t="n"/>
      <c r="L357" s="327" t="n"/>
      <c r="M357" s="327" t="n"/>
      <c r="N357" s="327" t="n"/>
      <c r="O357" s="327" t="n"/>
      <c r="P357" s="327" t="n"/>
      <c r="Q357" s="327" t="n"/>
      <c r="R357" s="327" t="n"/>
      <c r="S357" s="327" t="n"/>
      <c r="T357" s="327" t="n"/>
      <c r="U357" s="327" t="n"/>
      <c r="V357" s="327" t="n"/>
      <c r="W357" s="327" t="n"/>
      <c r="X357" s="327" t="n"/>
      <c r="Y357" s="327" t="n"/>
      <c r="Z357" s="327" t="n"/>
      <c r="AA357" s="327" t="n"/>
      <c r="AB357" s="327" t="n"/>
      <c r="AC357" s="327" t="n"/>
    </row>
    <row r="358">
      <c r="A358" s="327" t="n"/>
      <c r="B358" s="327" t="n"/>
      <c r="C358" s="354" t="n"/>
      <c r="D358" s="354" t="n"/>
      <c r="E358" s="354" t="n"/>
      <c r="F358" s="354" t="n"/>
      <c r="G358" s="354" t="n"/>
      <c r="H358" s="327" t="n"/>
      <c r="I358" s="327" t="n"/>
      <c r="J358" s="327" t="n"/>
      <c r="K358" s="327" t="n"/>
      <c r="L358" s="327" t="n"/>
      <c r="M358" s="327" t="n"/>
      <c r="N358" s="327" t="n"/>
      <c r="O358" s="327" t="n"/>
      <c r="P358" s="327" t="n"/>
      <c r="Q358" s="327" t="n"/>
      <c r="R358" s="327" t="n"/>
      <c r="S358" s="327" t="n"/>
      <c r="T358" s="327" t="n"/>
      <c r="U358" s="327" t="n"/>
      <c r="V358" s="327" t="n"/>
      <c r="W358" s="327" t="n"/>
      <c r="X358" s="327" t="n"/>
      <c r="Y358" s="327" t="n"/>
      <c r="Z358" s="327" t="n"/>
      <c r="AA358" s="327" t="n"/>
      <c r="AB358" s="327" t="n"/>
      <c r="AC358" s="327" t="n"/>
    </row>
    <row r="359">
      <c r="A359" s="327" t="n"/>
      <c r="B359" s="327" t="n"/>
      <c r="C359" s="354" t="n"/>
      <c r="D359" s="354" t="n"/>
      <c r="E359" s="354" t="n"/>
      <c r="F359" s="354" t="n"/>
      <c r="G359" s="354" t="n"/>
      <c r="H359" s="327" t="n"/>
      <c r="I359" s="327" t="n"/>
      <c r="J359" s="327" t="n"/>
      <c r="K359" s="327" t="n"/>
      <c r="L359" s="327" t="n"/>
      <c r="M359" s="327" t="n"/>
      <c r="N359" s="327" t="n"/>
      <c r="O359" s="327" t="n"/>
      <c r="P359" s="327" t="n"/>
      <c r="Q359" s="327" t="n"/>
      <c r="R359" s="327" t="n"/>
      <c r="S359" s="327" t="n"/>
      <c r="T359" s="327" t="n"/>
      <c r="U359" s="327" t="n"/>
      <c r="V359" s="327" t="n"/>
      <c r="W359" s="327" t="n"/>
      <c r="X359" s="327" t="n"/>
      <c r="Y359" s="327" t="n"/>
      <c r="Z359" s="327" t="n"/>
      <c r="AA359" s="327" t="n"/>
      <c r="AB359" s="327" t="n"/>
      <c r="AC359" s="327" t="n"/>
    </row>
    <row r="360">
      <c r="A360" s="327" t="n"/>
      <c r="B360" s="327" t="n"/>
      <c r="C360" s="354" t="n"/>
      <c r="D360" s="354" t="n"/>
      <c r="E360" s="354" t="n"/>
      <c r="F360" s="354" t="n"/>
      <c r="G360" s="354" t="n"/>
      <c r="H360" s="327" t="n"/>
      <c r="I360" s="327" t="n"/>
      <c r="J360" s="327" t="n"/>
      <c r="K360" s="327" t="n"/>
      <c r="L360" s="327" t="n"/>
      <c r="M360" s="327" t="n"/>
      <c r="N360" s="327" t="n"/>
      <c r="O360" s="327" t="n"/>
      <c r="P360" s="327" t="n"/>
      <c r="Q360" s="327" t="n"/>
      <c r="R360" s="327" t="n"/>
      <c r="S360" s="327" t="n"/>
      <c r="T360" s="327" t="n"/>
      <c r="U360" s="327" t="n"/>
      <c r="V360" s="327" t="n"/>
      <c r="W360" s="327" t="n"/>
      <c r="X360" s="327" t="n"/>
      <c r="Y360" s="327" t="n"/>
      <c r="Z360" s="327" t="n"/>
      <c r="AA360" s="327" t="n"/>
      <c r="AB360" s="327" t="n"/>
      <c r="AC360" s="327" t="n"/>
    </row>
    <row r="361">
      <c r="A361" s="327" t="n"/>
      <c r="B361" s="327" t="n"/>
      <c r="C361" s="354" t="n"/>
      <c r="D361" s="354" t="n"/>
      <c r="E361" s="354" t="n"/>
      <c r="F361" s="354" t="n"/>
      <c r="G361" s="354" t="n"/>
      <c r="H361" s="327" t="n"/>
      <c r="I361" s="327" t="n"/>
      <c r="J361" s="327" t="n"/>
      <c r="K361" s="327" t="n"/>
      <c r="L361" s="327" t="n"/>
      <c r="M361" s="327" t="n"/>
      <c r="N361" s="327" t="n"/>
      <c r="O361" s="327" t="n"/>
      <c r="P361" s="327" t="n"/>
      <c r="Q361" s="327" t="n"/>
      <c r="R361" s="327" t="n"/>
      <c r="S361" s="327" t="n"/>
      <c r="T361" s="327" t="n"/>
      <c r="U361" s="327" t="n"/>
      <c r="V361" s="327" t="n"/>
      <c r="W361" s="327" t="n"/>
      <c r="X361" s="327" t="n"/>
      <c r="Y361" s="327" t="n"/>
      <c r="Z361" s="327" t="n"/>
      <c r="AA361" s="327" t="n"/>
      <c r="AB361" s="327" t="n"/>
      <c r="AC361" s="327" t="n"/>
    </row>
    <row r="362">
      <c r="A362" s="327" t="n"/>
      <c r="B362" s="327" t="n"/>
      <c r="C362" s="354" t="n"/>
      <c r="D362" s="354" t="n"/>
      <c r="E362" s="354" t="n"/>
      <c r="F362" s="354" t="n"/>
      <c r="G362" s="354" t="n"/>
      <c r="H362" s="327" t="n"/>
      <c r="I362" s="327" t="n"/>
      <c r="J362" s="327" t="n"/>
      <c r="K362" s="327" t="n"/>
      <c r="L362" s="327" t="n"/>
      <c r="M362" s="327" t="n"/>
      <c r="N362" s="327" t="n"/>
      <c r="O362" s="327" t="n"/>
      <c r="P362" s="327" t="n"/>
      <c r="Q362" s="327" t="n"/>
      <c r="R362" s="327" t="n"/>
      <c r="S362" s="327" t="n"/>
      <c r="T362" s="327" t="n"/>
      <c r="U362" s="327" t="n"/>
      <c r="V362" s="327" t="n"/>
      <c r="W362" s="327" t="n"/>
      <c r="X362" s="327" t="n"/>
      <c r="Y362" s="327" t="n"/>
      <c r="Z362" s="327" t="n"/>
      <c r="AA362" s="327" t="n"/>
      <c r="AB362" s="327" t="n"/>
      <c r="AC362" s="327" t="n"/>
    </row>
    <row r="363">
      <c r="A363" s="327" t="n"/>
      <c r="B363" s="327" t="n"/>
      <c r="C363" s="354" t="n"/>
      <c r="D363" s="354" t="n"/>
      <c r="E363" s="354" t="n"/>
      <c r="F363" s="354" t="n"/>
      <c r="G363" s="354" t="n"/>
      <c r="H363" s="327" t="n"/>
      <c r="I363" s="327" t="n"/>
      <c r="J363" s="327" t="n"/>
      <c r="K363" s="327" t="n"/>
      <c r="L363" s="327" t="n"/>
      <c r="M363" s="327" t="n"/>
      <c r="N363" s="327" t="n"/>
      <c r="O363" s="327" t="n"/>
      <c r="P363" s="327" t="n"/>
      <c r="Q363" s="327" t="n"/>
      <c r="R363" s="327" t="n"/>
      <c r="S363" s="327" t="n"/>
      <c r="T363" s="327" t="n"/>
      <c r="U363" s="327" t="n"/>
      <c r="V363" s="327" t="n"/>
      <c r="W363" s="327" t="n"/>
      <c r="X363" s="327" t="n"/>
      <c r="Y363" s="327" t="n"/>
      <c r="Z363" s="327" t="n"/>
      <c r="AA363" s="327" t="n"/>
      <c r="AB363" s="327" t="n"/>
      <c r="AC363" s="327" t="n"/>
    </row>
    <row r="364">
      <c r="A364" s="327" t="n"/>
      <c r="B364" s="327" t="n"/>
      <c r="C364" s="354" t="n"/>
      <c r="D364" s="354" t="n"/>
      <c r="E364" s="354" t="n"/>
      <c r="F364" s="354" t="n"/>
      <c r="G364" s="354" t="n"/>
      <c r="H364" s="327" t="n"/>
      <c r="I364" s="327" t="n"/>
      <c r="J364" s="327" t="n"/>
      <c r="K364" s="327" t="n"/>
      <c r="L364" s="327" t="n"/>
      <c r="M364" s="327" t="n"/>
      <c r="N364" s="327" t="n"/>
      <c r="O364" s="327" t="n"/>
      <c r="P364" s="327" t="n"/>
      <c r="Q364" s="327" t="n"/>
      <c r="R364" s="327" t="n"/>
      <c r="S364" s="327" t="n"/>
      <c r="T364" s="327" t="n"/>
      <c r="U364" s="327" t="n"/>
      <c r="V364" s="327" t="n"/>
      <c r="W364" s="327" t="n"/>
      <c r="X364" s="327" t="n"/>
      <c r="Y364" s="327" t="n"/>
      <c r="Z364" s="327" t="n"/>
      <c r="AA364" s="327" t="n"/>
      <c r="AB364" s="327" t="n"/>
      <c r="AC364" s="327" t="n"/>
    </row>
    <row r="365">
      <c r="A365" s="327" t="n"/>
      <c r="B365" s="327" t="n"/>
      <c r="C365" s="354" t="n"/>
      <c r="D365" s="354" t="n"/>
      <c r="E365" s="354" t="n"/>
      <c r="F365" s="354" t="n"/>
      <c r="G365" s="354" t="n"/>
      <c r="H365" s="327" t="n"/>
      <c r="I365" s="327" t="n"/>
      <c r="J365" s="327" t="n"/>
      <c r="K365" s="327" t="n"/>
      <c r="L365" s="327" t="n"/>
      <c r="M365" s="327" t="n"/>
      <c r="N365" s="327" t="n"/>
      <c r="O365" s="327" t="n"/>
      <c r="P365" s="327" t="n"/>
      <c r="Q365" s="327" t="n"/>
      <c r="R365" s="327" t="n"/>
      <c r="S365" s="327" t="n"/>
      <c r="T365" s="327" t="n"/>
      <c r="U365" s="327" t="n"/>
      <c r="V365" s="327" t="n"/>
      <c r="W365" s="327" t="n"/>
      <c r="X365" s="327" t="n"/>
      <c r="Y365" s="327" t="n"/>
      <c r="Z365" s="327" t="n"/>
      <c r="AA365" s="327" t="n"/>
      <c r="AB365" s="327" t="n"/>
      <c r="AC365" s="327" t="n"/>
    </row>
    <row r="366">
      <c r="A366" s="327" t="n"/>
      <c r="B366" s="327" t="n"/>
      <c r="C366" s="354" t="n"/>
      <c r="D366" s="354" t="n"/>
      <c r="E366" s="354" t="n"/>
      <c r="F366" s="354" t="n"/>
      <c r="G366" s="354" t="n"/>
      <c r="H366" s="327" t="n"/>
      <c r="I366" s="327" t="n"/>
      <c r="J366" s="327" t="n"/>
      <c r="K366" s="327" t="n"/>
      <c r="L366" s="327" t="n"/>
      <c r="M366" s="327" t="n"/>
      <c r="N366" s="327" t="n"/>
      <c r="O366" s="327" t="n"/>
      <c r="P366" s="327" t="n"/>
      <c r="Q366" s="327" t="n"/>
      <c r="R366" s="327" t="n"/>
      <c r="S366" s="327" t="n"/>
      <c r="T366" s="327" t="n"/>
      <c r="U366" s="327" t="n"/>
      <c r="V366" s="327" t="n"/>
      <c r="W366" s="327" t="n"/>
      <c r="X366" s="327" t="n"/>
      <c r="Y366" s="327" t="n"/>
      <c r="Z366" s="327" t="n"/>
      <c r="AA366" s="327" t="n"/>
      <c r="AB366" s="327" t="n"/>
      <c r="AC366" s="327" t="n"/>
    </row>
    <row r="367">
      <c r="A367" s="327" t="n"/>
      <c r="B367" s="327" t="n"/>
      <c r="C367" s="354" t="n"/>
      <c r="D367" s="354" t="n"/>
      <c r="E367" s="354" t="n"/>
      <c r="F367" s="354" t="n"/>
      <c r="G367" s="354" t="n"/>
      <c r="H367" s="327" t="n"/>
      <c r="I367" s="327" t="n"/>
      <c r="J367" s="327" t="n"/>
      <c r="K367" s="327" t="n"/>
      <c r="L367" s="327" t="n"/>
      <c r="M367" s="327" t="n"/>
      <c r="N367" s="327" t="n"/>
      <c r="O367" s="327" t="n"/>
      <c r="P367" s="327" t="n"/>
      <c r="Q367" s="327" t="n"/>
      <c r="R367" s="327" t="n"/>
      <c r="S367" s="327" t="n"/>
      <c r="T367" s="327" t="n"/>
      <c r="U367" s="327" t="n"/>
      <c r="V367" s="327" t="n"/>
      <c r="W367" s="327" t="n"/>
      <c r="X367" s="327" t="n"/>
      <c r="Y367" s="327" t="n"/>
      <c r="Z367" s="327" t="n"/>
      <c r="AA367" s="327" t="n"/>
      <c r="AB367" s="327" t="n"/>
      <c r="AC367" s="327" t="n"/>
    </row>
    <row r="368">
      <c r="A368" s="327" t="n"/>
      <c r="B368" s="327" t="n"/>
      <c r="C368" s="354" t="n"/>
      <c r="D368" s="354" t="n"/>
      <c r="E368" s="354" t="n"/>
      <c r="F368" s="354" t="n"/>
      <c r="G368" s="354" t="n"/>
      <c r="H368" s="327" t="n"/>
      <c r="I368" s="327" t="n"/>
      <c r="J368" s="327" t="n"/>
      <c r="K368" s="327" t="n"/>
      <c r="L368" s="327" t="n"/>
      <c r="M368" s="327" t="n"/>
      <c r="N368" s="327" t="n"/>
      <c r="O368" s="327" t="n"/>
      <c r="P368" s="327" t="n"/>
      <c r="Q368" s="327" t="n"/>
      <c r="R368" s="327" t="n"/>
      <c r="S368" s="327" t="n"/>
      <c r="T368" s="327" t="n"/>
      <c r="U368" s="327" t="n"/>
      <c r="V368" s="327" t="n"/>
      <c r="W368" s="327" t="n"/>
      <c r="X368" s="327" t="n"/>
      <c r="Y368" s="327" t="n"/>
      <c r="Z368" s="327" t="n"/>
      <c r="AA368" s="327" t="n"/>
      <c r="AB368" s="327" t="n"/>
      <c r="AC368" s="327" t="n"/>
    </row>
    <row r="369">
      <c r="A369" s="327" t="n"/>
      <c r="B369" s="327" t="n"/>
      <c r="C369" s="354" t="n"/>
      <c r="D369" s="354" t="n"/>
      <c r="E369" s="354" t="n"/>
      <c r="F369" s="354" t="n"/>
      <c r="G369" s="354" t="n"/>
      <c r="H369" s="327" t="n"/>
      <c r="I369" s="327" t="n"/>
      <c r="J369" s="327" t="n"/>
      <c r="K369" s="327" t="n"/>
      <c r="L369" s="327" t="n"/>
      <c r="M369" s="327" t="n"/>
      <c r="N369" s="327" t="n"/>
      <c r="O369" s="327" t="n"/>
      <c r="P369" s="327" t="n"/>
      <c r="Q369" s="327" t="n"/>
      <c r="R369" s="327" t="n"/>
      <c r="S369" s="327" t="n"/>
      <c r="T369" s="327" t="n"/>
      <c r="U369" s="327" t="n"/>
      <c r="V369" s="327" t="n"/>
      <c r="W369" s="327" t="n"/>
      <c r="X369" s="327" t="n"/>
      <c r="Y369" s="327" t="n"/>
      <c r="Z369" s="327" t="n"/>
      <c r="AA369" s="327" t="n"/>
      <c r="AB369" s="327" t="n"/>
      <c r="AC369" s="327" t="n"/>
    </row>
    <row r="370">
      <c r="A370" s="327" t="n"/>
      <c r="B370" s="327" t="n"/>
      <c r="C370" s="354" t="n"/>
      <c r="D370" s="354" t="n"/>
      <c r="E370" s="354" t="n"/>
      <c r="F370" s="354" t="n"/>
      <c r="G370" s="354" t="n"/>
      <c r="H370" s="327" t="n"/>
      <c r="I370" s="327" t="n"/>
      <c r="J370" s="327" t="n"/>
      <c r="K370" s="327" t="n"/>
      <c r="L370" s="327" t="n"/>
      <c r="M370" s="327" t="n"/>
      <c r="N370" s="327" t="n"/>
      <c r="O370" s="327" t="n"/>
      <c r="P370" s="327" t="n"/>
      <c r="Q370" s="327" t="n"/>
      <c r="R370" s="327" t="n"/>
      <c r="S370" s="327" t="n"/>
      <c r="T370" s="327" t="n"/>
      <c r="U370" s="327" t="n"/>
      <c r="V370" s="327" t="n"/>
      <c r="W370" s="327" t="n"/>
      <c r="X370" s="327" t="n"/>
      <c r="Y370" s="327" t="n"/>
      <c r="Z370" s="327" t="n"/>
      <c r="AA370" s="327" t="n"/>
      <c r="AB370" s="327" t="n"/>
      <c r="AC370" s="327" t="n"/>
    </row>
    <row r="371">
      <c r="A371" s="327" t="n"/>
      <c r="B371" s="327" t="n"/>
      <c r="C371" s="354" t="n"/>
      <c r="D371" s="354" t="n"/>
      <c r="E371" s="354" t="n"/>
      <c r="F371" s="354" t="n"/>
      <c r="G371" s="354" t="n"/>
      <c r="H371" s="327" t="n"/>
      <c r="I371" s="327" t="n"/>
      <c r="J371" s="327" t="n"/>
      <c r="K371" s="327" t="n"/>
      <c r="L371" s="327" t="n"/>
      <c r="M371" s="327" t="n"/>
      <c r="N371" s="327" t="n"/>
      <c r="O371" s="327" t="n"/>
      <c r="P371" s="327" t="n"/>
      <c r="Q371" s="327" t="n"/>
      <c r="R371" s="327" t="n"/>
      <c r="S371" s="327" t="n"/>
      <c r="T371" s="327" t="n"/>
      <c r="U371" s="327" t="n"/>
      <c r="V371" s="327" t="n"/>
      <c r="W371" s="327" t="n"/>
      <c r="X371" s="327" t="n"/>
      <c r="Y371" s="327" t="n"/>
      <c r="Z371" s="327" t="n"/>
      <c r="AA371" s="327" t="n"/>
      <c r="AB371" s="327" t="n"/>
      <c r="AC371" s="327" t="n"/>
    </row>
    <row r="372">
      <c r="A372" s="327" t="n"/>
      <c r="B372" s="327" t="n"/>
      <c r="C372" s="354" t="n"/>
      <c r="D372" s="354" t="n"/>
      <c r="E372" s="354" t="n"/>
      <c r="F372" s="354" t="n"/>
      <c r="G372" s="354" t="n"/>
      <c r="H372" s="327" t="n"/>
      <c r="I372" s="327" t="n"/>
      <c r="J372" s="327" t="n"/>
      <c r="K372" s="327" t="n"/>
      <c r="L372" s="327" t="n"/>
      <c r="M372" s="327" t="n"/>
      <c r="N372" s="327" t="n"/>
      <c r="O372" s="327" t="n"/>
      <c r="P372" s="327" t="n"/>
      <c r="Q372" s="327" t="n"/>
      <c r="R372" s="327" t="n"/>
      <c r="S372" s="327" t="n"/>
      <c r="T372" s="327" t="n"/>
      <c r="U372" s="327" t="n"/>
      <c r="V372" s="327" t="n"/>
      <c r="W372" s="327" t="n"/>
      <c r="X372" s="327" t="n"/>
      <c r="Y372" s="327" t="n"/>
      <c r="Z372" s="327" t="n"/>
      <c r="AA372" s="327" t="n"/>
      <c r="AB372" s="327" t="n"/>
      <c r="AC372" s="327" t="n"/>
    </row>
    <row r="373">
      <c r="A373" s="327" t="n"/>
      <c r="B373" s="327" t="n"/>
      <c r="C373" s="354" t="n"/>
      <c r="D373" s="354" t="n"/>
      <c r="E373" s="354" t="n"/>
      <c r="F373" s="354" t="n"/>
      <c r="G373" s="354" t="n"/>
      <c r="H373" s="327" t="n"/>
      <c r="I373" s="327" t="n"/>
      <c r="J373" s="327" t="n"/>
      <c r="K373" s="327" t="n"/>
      <c r="L373" s="327" t="n"/>
      <c r="M373" s="327" t="n"/>
      <c r="N373" s="327" t="n"/>
      <c r="O373" s="327" t="n"/>
      <c r="P373" s="327" t="n"/>
      <c r="Q373" s="327" t="n"/>
      <c r="R373" s="327" t="n"/>
      <c r="S373" s="327" t="n"/>
      <c r="T373" s="327" t="n"/>
      <c r="U373" s="327" t="n"/>
      <c r="V373" s="327" t="n"/>
      <c r="W373" s="327" t="n"/>
      <c r="X373" s="327" t="n"/>
      <c r="Y373" s="327" t="n"/>
      <c r="Z373" s="327" t="n"/>
      <c r="AA373" s="327" t="n"/>
      <c r="AB373" s="327" t="n"/>
      <c r="AC373" s="327" t="n"/>
    </row>
    <row r="374">
      <c r="A374" s="327" t="n"/>
      <c r="B374" s="327" t="n"/>
      <c r="C374" s="354" t="n"/>
      <c r="D374" s="354" t="n"/>
      <c r="E374" s="354" t="n"/>
      <c r="F374" s="354" t="n"/>
      <c r="G374" s="354" t="n"/>
      <c r="H374" s="327" t="n"/>
      <c r="I374" s="327" t="n"/>
      <c r="J374" s="327" t="n"/>
      <c r="K374" s="327" t="n"/>
      <c r="L374" s="327" t="n"/>
      <c r="M374" s="327" t="n"/>
      <c r="N374" s="327" t="n"/>
      <c r="O374" s="327" t="n"/>
      <c r="P374" s="327" t="n"/>
      <c r="Q374" s="327" t="n"/>
      <c r="R374" s="327" t="n"/>
      <c r="S374" s="327" t="n"/>
      <c r="T374" s="327" t="n"/>
      <c r="U374" s="327" t="n"/>
      <c r="V374" s="327" t="n"/>
      <c r="W374" s="327" t="n"/>
      <c r="X374" s="327" t="n"/>
      <c r="Y374" s="327" t="n"/>
      <c r="Z374" s="327" t="n"/>
      <c r="AA374" s="327" t="n"/>
      <c r="AB374" s="327" t="n"/>
      <c r="AC374" s="327" t="n"/>
    </row>
    <row r="375">
      <c r="A375" s="327" t="n"/>
      <c r="B375" s="327" t="n"/>
      <c r="C375" s="354" t="n"/>
      <c r="D375" s="354" t="n"/>
      <c r="E375" s="354" t="n"/>
      <c r="F375" s="354" t="n"/>
      <c r="G375" s="354" t="n"/>
      <c r="H375" s="327" t="n"/>
      <c r="I375" s="327" t="n"/>
      <c r="J375" s="327" t="n"/>
      <c r="K375" s="327" t="n"/>
      <c r="L375" s="327" t="n"/>
      <c r="M375" s="327" t="n"/>
      <c r="N375" s="327" t="n"/>
      <c r="O375" s="327" t="n"/>
      <c r="P375" s="327" t="n"/>
      <c r="Q375" s="327" t="n"/>
      <c r="R375" s="327" t="n"/>
      <c r="S375" s="327" t="n"/>
      <c r="T375" s="327" t="n"/>
      <c r="U375" s="327" t="n"/>
      <c r="V375" s="327" t="n"/>
      <c r="W375" s="327" t="n"/>
      <c r="X375" s="327" t="n"/>
      <c r="Y375" s="327" t="n"/>
      <c r="Z375" s="327" t="n"/>
      <c r="AA375" s="327" t="n"/>
      <c r="AB375" s="327" t="n"/>
      <c r="AC375" s="327" t="n"/>
    </row>
    <row r="376">
      <c r="A376" s="327" t="n"/>
      <c r="B376" s="327" t="n"/>
      <c r="C376" s="354" t="n"/>
      <c r="D376" s="354" t="n"/>
      <c r="E376" s="354" t="n"/>
      <c r="F376" s="354" t="n"/>
      <c r="G376" s="354" t="n"/>
      <c r="H376" s="327" t="n"/>
      <c r="I376" s="327" t="n"/>
      <c r="J376" s="327" t="n"/>
      <c r="K376" s="327" t="n"/>
      <c r="L376" s="327" t="n"/>
      <c r="M376" s="327" t="n"/>
      <c r="N376" s="327" t="n"/>
      <c r="O376" s="327" t="n"/>
      <c r="P376" s="327" t="n"/>
      <c r="Q376" s="327" t="n"/>
      <c r="R376" s="327" t="n"/>
      <c r="S376" s="327" t="n"/>
      <c r="T376" s="327" t="n"/>
      <c r="U376" s="327" t="n"/>
      <c r="V376" s="327" t="n"/>
      <c r="W376" s="327" t="n"/>
      <c r="X376" s="327" t="n"/>
      <c r="Y376" s="327" t="n"/>
      <c r="Z376" s="327" t="n"/>
      <c r="AA376" s="327" t="n"/>
      <c r="AB376" s="327" t="n"/>
      <c r="AC376" s="327" t="n"/>
    </row>
    <row r="377">
      <c r="A377" s="327" t="n"/>
      <c r="B377" s="327" t="n"/>
      <c r="C377" s="354" t="n"/>
      <c r="D377" s="354" t="n"/>
      <c r="E377" s="354" t="n"/>
      <c r="F377" s="354" t="n"/>
      <c r="G377" s="354" t="n"/>
      <c r="H377" s="327" t="n"/>
      <c r="I377" s="327" t="n"/>
      <c r="J377" s="327" t="n"/>
      <c r="K377" s="327" t="n"/>
      <c r="L377" s="327" t="n"/>
      <c r="M377" s="327" t="n"/>
      <c r="N377" s="327" t="n"/>
      <c r="O377" s="327" t="n"/>
      <c r="P377" s="327" t="n"/>
      <c r="Q377" s="327" t="n"/>
      <c r="R377" s="327" t="n"/>
      <c r="S377" s="327" t="n"/>
      <c r="T377" s="327" t="n"/>
      <c r="U377" s="327" t="n"/>
      <c r="V377" s="327" t="n"/>
      <c r="W377" s="327" t="n"/>
      <c r="X377" s="327" t="n"/>
      <c r="Y377" s="327" t="n"/>
      <c r="Z377" s="327" t="n"/>
      <c r="AA377" s="327" t="n"/>
      <c r="AB377" s="327" t="n"/>
      <c r="AC377" s="327" t="n"/>
    </row>
    <row r="378">
      <c r="A378" s="327" t="n"/>
      <c r="B378" s="327" t="n"/>
      <c r="C378" s="354" t="n"/>
      <c r="D378" s="354" t="n"/>
      <c r="E378" s="354" t="n"/>
      <c r="F378" s="354" t="n"/>
      <c r="G378" s="354" t="n"/>
      <c r="H378" s="327" t="n"/>
      <c r="I378" s="327" t="n"/>
      <c r="J378" s="327" t="n"/>
      <c r="K378" s="327" t="n"/>
      <c r="L378" s="327" t="n"/>
      <c r="M378" s="327" t="n"/>
      <c r="N378" s="327" t="n"/>
      <c r="O378" s="327" t="n"/>
      <c r="P378" s="327" t="n"/>
      <c r="Q378" s="327" t="n"/>
      <c r="R378" s="327" t="n"/>
      <c r="S378" s="327" t="n"/>
      <c r="T378" s="327" t="n"/>
      <c r="U378" s="327" t="n"/>
      <c r="V378" s="327" t="n"/>
      <c r="W378" s="327" t="n"/>
      <c r="X378" s="327" t="n"/>
      <c r="Y378" s="327" t="n"/>
      <c r="Z378" s="327" t="n"/>
      <c r="AA378" s="327" t="n"/>
      <c r="AB378" s="327" t="n"/>
      <c r="AC378" s="327" t="n"/>
    </row>
    <row r="379">
      <c r="A379" s="327" t="n"/>
      <c r="B379" s="327" t="n"/>
      <c r="C379" s="354" t="n"/>
      <c r="D379" s="354" t="n"/>
      <c r="E379" s="354" t="n"/>
      <c r="F379" s="354" t="n"/>
      <c r="G379" s="354" t="n"/>
      <c r="H379" s="327" t="n"/>
      <c r="I379" s="327" t="n"/>
      <c r="J379" s="327" t="n"/>
      <c r="K379" s="327" t="n"/>
      <c r="L379" s="327" t="n"/>
      <c r="M379" s="327" t="n"/>
      <c r="N379" s="327" t="n"/>
      <c r="O379" s="327" t="n"/>
      <c r="P379" s="327" t="n"/>
      <c r="Q379" s="327" t="n"/>
      <c r="R379" s="327" t="n"/>
      <c r="S379" s="327" t="n"/>
      <c r="T379" s="327" t="n"/>
      <c r="U379" s="327" t="n"/>
      <c r="V379" s="327" t="n"/>
      <c r="W379" s="327" t="n"/>
      <c r="X379" s="327" t="n"/>
      <c r="Y379" s="327" t="n"/>
      <c r="Z379" s="327" t="n"/>
      <c r="AA379" s="327" t="n"/>
      <c r="AB379" s="327" t="n"/>
      <c r="AC379" s="327" t="n"/>
    </row>
    <row r="380">
      <c r="A380" s="327" t="n"/>
      <c r="B380" s="327" t="n"/>
      <c r="C380" s="354" t="n"/>
      <c r="D380" s="354" t="n"/>
      <c r="E380" s="354" t="n"/>
      <c r="F380" s="354" t="n"/>
      <c r="G380" s="354" t="n"/>
      <c r="H380" s="327" t="n"/>
      <c r="I380" s="327" t="n"/>
      <c r="J380" s="327" t="n"/>
      <c r="K380" s="327" t="n"/>
      <c r="L380" s="327" t="n"/>
      <c r="M380" s="327" t="n"/>
      <c r="N380" s="327" t="n"/>
      <c r="O380" s="327" t="n"/>
      <c r="P380" s="327" t="n"/>
      <c r="Q380" s="327" t="n"/>
      <c r="R380" s="327" t="n"/>
      <c r="S380" s="327" t="n"/>
      <c r="T380" s="327" t="n"/>
      <c r="U380" s="327" t="n"/>
      <c r="V380" s="327" t="n"/>
      <c r="W380" s="327" t="n"/>
      <c r="X380" s="327" t="n"/>
      <c r="Y380" s="327" t="n"/>
      <c r="Z380" s="327" t="n"/>
      <c r="AA380" s="327" t="n"/>
      <c r="AB380" s="327" t="n"/>
      <c r="AC380" s="327" t="n"/>
    </row>
    <row r="381">
      <c r="A381" s="327" t="n"/>
      <c r="B381" s="327" t="n"/>
      <c r="C381" s="354" t="n"/>
      <c r="D381" s="354" t="n"/>
      <c r="E381" s="354" t="n"/>
      <c r="F381" s="354" t="n"/>
      <c r="G381" s="354" t="n"/>
      <c r="H381" s="327" t="n"/>
      <c r="I381" s="327" t="n"/>
      <c r="J381" s="327" t="n"/>
      <c r="K381" s="327" t="n"/>
      <c r="L381" s="327" t="n"/>
      <c r="M381" s="327" t="n"/>
      <c r="N381" s="327" t="n"/>
      <c r="O381" s="327" t="n"/>
      <c r="P381" s="327" t="n"/>
      <c r="Q381" s="327" t="n"/>
      <c r="R381" s="327" t="n"/>
      <c r="S381" s="327" t="n"/>
      <c r="T381" s="327" t="n"/>
      <c r="U381" s="327" t="n"/>
      <c r="V381" s="327" t="n"/>
      <c r="W381" s="327" t="n"/>
      <c r="X381" s="327" t="n"/>
      <c r="Y381" s="327" t="n"/>
      <c r="Z381" s="327" t="n"/>
      <c r="AA381" s="327" t="n"/>
      <c r="AB381" s="327" t="n"/>
      <c r="AC381" s="327" t="n"/>
    </row>
    <row r="382">
      <c r="A382" s="327" t="n"/>
      <c r="B382" s="327" t="n"/>
      <c r="C382" s="354" t="n"/>
      <c r="D382" s="354" t="n"/>
      <c r="E382" s="354" t="n"/>
      <c r="F382" s="354" t="n"/>
      <c r="G382" s="354" t="n"/>
      <c r="H382" s="327" t="n"/>
      <c r="I382" s="327" t="n"/>
      <c r="J382" s="327" t="n"/>
      <c r="K382" s="327" t="n"/>
      <c r="L382" s="327" t="n"/>
      <c r="M382" s="327" t="n"/>
      <c r="N382" s="327" t="n"/>
      <c r="O382" s="327" t="n"/>
      <c r="P382" s="327" t="n"/>
      <c r="Q382" s="327" t="n"/>
      <c r="R382" s="327" t="n"/>
      <c r="S382" s="327" t="n"/>
      <c r="T382" s="327" t="n"/>
      <c r="U382" s="327" t="n"/>
      <c r="V382" s="327" t="n"/>
      <c r="W382" s="327" t="n"/>
      <c r="X382" s="327" t="n"/>
      <c r="Y382" s="327" t="n"/>
      <c r="Z382" s="327" t="n"/>
      <c r="AA382" s="327" t="n"/>
      <c r="AB382" s="327" t="n"/>
      <c r="AC382" s="327" t="n"/>
    </row>
    <row r="383">
      <c r="A383" s="327" t="n"/>
      <c r="B383" s="327" t="n"/>
      <c r="C383" s="354" t="n"/>
      <c r="D383" s="354" t="n"/>
      <c r="E383" s="354" t="n"/>
      <c r="F383" s="354" t="n"/>
      <c r="G383" s="354" t="n"/>
      <c r="H383" s="327" t="n"/>
      <c r="I383" s="327" t="n"/>
      <c r="J383" s="327" t="n"/>
      <c r="K383" s="327" t="n"/>
      <c r="L383" s="327" t="n"/>
      <c r="M383" s="327" t="n"/>
      <c r="N383" s="327" t="n"/>
      <c r="O383" s="327" t="n"/>
      <c r="P383" s="327" t="n"/>
      <c r="Q383" s="327" t="n"/>
      <c r="R383" s="327" t="n"/>
      <c r="S383" s="327" t="n"/>
      <c r="T383" s="327" t="n"/>
      <c r="U383" s="327" t="n"/>
      <c r="V383" s="327" t="n"/>
      <c r="W383" s="327" t="n"/>
      <c r="X383" s="327" t="n"/>
      <c r="Y383" s="327" t="n"/>
      <c r="Z383" s="327" t="n"/>
      <c r="AA383" s="327" t="n"/>
      <c r="AB383" s="327" t="n"/>
      <c r="AC383" s="327" t="n"/>
    </row>
    <row r="384">
      <c r="A384" s="327" t="n"/>
      <c r="B384" s="327" t="n"/>
      <c r="C384" s="354" t="n"/>
      <c r="D384" s="354" t="n"/>
      <c r="E384" s="354" t="n"/>
      <c r="F384" s="354" t="n"/>
      <c r="G384" s="354" t="n"/>
      <c r="H384" s="327" t="n"/>
      <c r="I384" s="327" t="n"/>
      <c r="J384" s="327" t="n"/>
      <c r="K384" s="327" t="n"/>
      <c r="L384" s="327" t="n"/>
      <c r="M384" s="327" t="n"/>
      <c r="N384" s="327" t="n"/>
      <c r="O384" s="327" t="n"/>
      <c r="P384" s="327" t="n"/>
      <c r="Q384" s="327" t="n"/>
      <c r="R384" s="327" t="n"/>
      <c r="S384" s="327" t="n"/>
      <c r="T384" s="327" t="n"/>
      <c r="U384" s="327" t="n"/>
      <c r="V384" s="327" t="n"/>
      <c r="W384" s="327" t="n"/>
      <c r="X384" s="327" t="n"/>
      <c r="Y384" s="327" t="n"/>
      <c r="Z384" s="327" t="n"/>
      <c r="AA384" s="327" t="n"/>
      <c r="AB384" s="327" t="n"/>
      <c r="AC384" s="327" t="n"/>
    </row>
    <row r="385">
      <c r="A385" s="327" t="n"/>
      <c r="B385" s="327" t="n"/>
      <c r="C385" s="354" t="n"/>
      <c r="D385" s="354" t="n"/>
      <c r="E385" s="354" t="n"/>
      <c r="F385" s="354" t="n"/>
      <c r="G385" s="354" t="n"/>
      <c r="H385" s="327" t="n"/>
      <c r="I385" s="327" t="n"/>
      <c r="J385" s="327" t="n"/>
      <c r="K385" s="327" t="n"/>
      <c r="L385" s="327" t="n"/>
      <c r="M385" s="327" t="n"/>
      <c r="N385" s="327" t="n"/>
      <c r="O385" s="327" t="n"/>
      <c r="P385" s="327" t="n"/>
      <c r="Q385" s="327" t="n"/>
      <c r="R385" s="327" t="n"/>
      <c r="S385" s="327" t="n"/>
      <c r="T385" s="327" t="n"/>
      <c r="U385" s="327" t="n"/>
      <c r="V385" s="327" t="n"/>
      <c r="W385" s="327" t="n"/>
      <c r="X385" s="327" t="n"/>
      <c r="Y385" s="327" t="n"/>
      <c r="Z385" s="327" t="n"/>
      <c r="AA385" s="327" t="n"/>
      <c r="AB385" s="327" t="n"/>
      <c r="AC385" s="327" t="n"/>
    </row>
    <row r="386">
      <c r="A386" s="327" t="n"/>
      <c r="B386" s="327" t="n"/>
      <c r="C386" s="354" t="n"/>
      <c r="D386" s="354" t="n"/>
      <c r="E386" s="354" t="n"/>
      <c r="F386" s="354" t="n"/>
      <c r="G386" s="354" t="n"/>
      <c r="H386" s="327" t="n"/>
      <c r="I386" s="327" t="n"/>
      <c r="J386" s="327" t="n"/>
      <c r="K386" s="327" t="n"/>
      <c r="L386" s="327" t="n"/>
      <c r="M386" s="327" t="n"/>
      <c r="N386" s="327" t="n"/>
      <c r="O386" s="327" t="n"/>
      <c r="P386" s="327" t="n"/>
      <c r="Q386" s="327" t="n"/>
      <c r="R386" s="327" t="n"/>
      <c r="S386" s="327" t="n"/>
      <c r="T386" s="327" t="n"/>
      <c r="U386" s="327" t="n"/>
      <c r="V386" s="327" t="n"/>
      <c r="W386" s="327" t="n"/>
      <c r="X386" s="327" t="n"/>
      <c r="Y386" s="327" t="n"/>
      <c r="Z386" s="327" t="n"/>
      <c r="AA386" s="327" t="n"/>
      <c r="AB386" s="327" t="n"/>
      <c r="AC386" s="327" t="n"/>
    </row>
    <row r="387">
      <c r="A387" s="327" t="n"/>
      <c r="B387" s="327" t="n"/>
      <c r="C387" s="354" t="n"/>
      <c r="D387" s="354" t="n"/>
      <c r="E387" s="354" t="n"/>
      <c r="F387" s="354" t="n"/>
      <c r="G387" s="354" t="n"/>
      <c r="H387" s="327" t="n"/>
      <c r="I387" s="327" t="n"/>
      <c r="J387" s="327" t="n"/>
      <c r="K387" s="327" t="n"/>
      <c r="L387" s="327" t="n"/>
      <c r="M387" s="327" t="n"/>
      <c r="N387" s="327" t="n"/>
      <c r="O387" s="327" t="n"/>
      <c r="P387" s="327" t="n"/>
      <c r="Q387" s="327" t="n"/>
      <c r="R387" s="327" t="n"/>
      <c r="S387" s="327" t="n"/>
      <c r="T387" s="327" t="n"/>
      <c r="U387" s="327" t="n"/>
      <c r="V387" s="327" t="n"/>
      <c r="W387" s="327" t="n"/>
      <c r="X387" s="327" t="n"/>
      <c r="Y387" s="327" t="n"/>
      <c r="Z387" s="327" t="n"/>
      <c r="AA387" s="327" t="n"/>
      <c r="AB387" s="327" t="n"/>
      <c r="AC387" s="327" t="n"/>
    </row>
    <row r="388">
      <c r="A388" s="327" t="n"/>
      <c r="B388" s="327" t="n"/>
      <c r="C388" s="354" t="n"/>
      <c r="D388" s="354" t="n"/>
      <c r="E388" s="354" t="n"/>
      <c r="F388" s="354" t="n"/>
      <c r="G388" s="354" t="n"/>
      <c r="H388" s="327" t="n"/>
      <c r="I388" s="327" t="n"/>
      <c r="J388" s="327" t="n"/>
      <c r="K388" s="327" t="n"/>
      <c r="L388" s="327" t="n"/>
      <c r="M388" s="327" t="n"/>
      <c r="N388" s="327" t="n"/>
      <c r="O388" s="327" t="n"/>
      <c r="P388" s="327" t="n"/>
      <c r="Q388" s="327" t="n"/>
      <c r="R388" s="327" t="n"/>
      <c r="S388" s="327" t="n"/>
      <c r="T388" s="327" t="n"/>
      <c r="U388" s="327" t="n"/>
      <c r="V388" s="327" t="n"/>
      <c r="W388" s="327" t="n"/>
      <c r="X388" s="327" t="n"/>
      <c r="Y388" s="327" t="n"/>
      <c r="Z388" s="327" t="n"/>
      <c r="AA388" s="327" t="n"/>
      <c r="AB388" s="327" t="n"/>
      <c r="AC388" s="327" t="n"/>
    </row>
    <row r="389">
      <c r="A389" s="327" t="n"/>
      <c r="B389" s="327" t="n"/>
      <c r="C389" s="354" t="n"/>
      <c r="D389" s="354" t="n"/>
      <c r="E389" s="354" t="n"/>
      <c r="F389" s="354" t="n"/>
      <c r="G389" s="354" t="n"/>
      <c r="H389" s="327" t="n"/>
      <c r="I389" s="327" t="n"/>
      <c r="J389" s="327" t="n"/>
      <c r="K389" s="327" t="n"/>
      <c r="L389" s="327" t="n"/>
      <c r="M389" s="327" t="n"/>
      <c r="N389" s="327" t="n"/>
      <c r="O389" s="327" t="n"/>
      <c r="P389" s="327" t="n"/>
      <c r="Q389" s="327" t="n"/>
      <c r="R389" s="327" t="n"/>
      <c r="S389" s="327" t="n"/>
      <c r="T389" s="327" t="n"/>
      <c r="U389" s="327" t="n"/>
      <c r="V389" s="327" t="n"/>
      <c r="W389" s="327" t="n"/>
      <c r="X389" s="327" t="n"/>
      <c r="Y389" s="327" t="n"/>
      <c r="Z389" s="327" t="n"/>
      <c r="AA389" s="327" t="n"/>
      <c r="AB389" s="327" t="n"/>
      <c r="AC389" s="327" t="n"/>
    </row>
    <row r="390">
      <c r="A390" s="327" t="n"/>
      <c r="B390" s="327" t="n"/>
      <c r="C390" s="354" t="n"/>
      <c r="D390" s="354" t="n"/>
      <c r="E390" s="354" t="n"/>
      <c r="F390" s="354" t="n"/>
      <c r="G390" s="354" t="n"/>
      <c r="H390" s="327" t="n"/>
      <c r="I390" s="327" t="n"/>
      <c r="J390" s="327" t="n"/>
      <c r="K390" s="327" t="n"/>
      <c r="L390" s="327" t="n"/>
      <c r="M390" s="327" t="n"/>
      <c r="N390" s="327" t="n"/>
      <c r="O390" s="327" t="n"/>
      <c r="P390" s="327" t="n"/>
      <c r="Q390" s="327" t="n"/>
      <c r="R390" s="327" t="n"/>
      <c r="S390" s="327" t="n"/>
      <c r="T390" s="327" t="n"/>
      <c r="U390" s="327" t="n"/>
      <c r="V390" s="327" t="n"/>
      <c r="W390" s="327" t="n"/>
      <c r="X390" s="327" t="n"/>
      <c r="Y390" s="327" t="n"/>
      <c r="Z390" s="327" t="n"/>
      <c r="AA390" s="327" t="n"/>
      <c r="AB390" s="327" t="n"/>
      <c r="AC390" s="327" t="n"/>
    </row>
    <row r="391">
      <c r="A391" s="327" t="n"/>
      <c r="B391" s="327" t="n"/>
      <c r="C391" s="354" t="n"/>
      <c r="D391" s="354" t="n"/>
      <c r="E391" s="354" t="n"/>
      <c r="F391" s="354" t="n"/>
      <c r="G391" s="354" t="n"/>
      <c r="H391" s="327" t="n"/>
      <c r="I391" s="327" t="n"/>
      <c r="J391" s="327" t="n"/>
      <c r="K391" s="327" t="n"/>
      <c r="L391" s="327" t="n"/>
      <c r="M391" s="327" t="n"/>
      <c r="N391" s="327" t="n"/>
      <c r="O391" s="327" t="n"/>
      <c r="P391" s="327" t="n"/>
      <c r="Q391" s="327" t="n"/>
      <c r="R391" s="327" t="n"/>
      <c r="S391" s="327" t="n"/>
      <c r="T391" s="327" t="n"/>
      <c r="U391" s="327" t="n"/>
      <c r="V391" s="327" t="n"/>
      <c r="W391" s="327" t="n"/>
      <c r="X391" s="327" t="n"/>
      <c r="Y391" s="327" t="n"/>
      <c r="Z391" s="327" t="n"/>
      <c r="AA391" s="327" t="n"/>
      <c r="AB391" s="327" t="n"/>
      <c r="AC391" s="327" t="n"/>
    </row>
    <row r="392">
      <c r="A392" s="327" t="n"/>
      <c r="B392" s="327" t="n"/>
      <c r="C392" s="354" t="n"/>
      <c r="D392" s="354" t="n"/>
      <c r="E392" s="354" t="n"/>
      <c r="F392" s="354" t="n"/>
      <c r="G392" s="354" t="n"/>
      <c r="H392" s="327" t="n"/>
      <c r="I392" s="327" t="n"/>
      <c r="J392" s="327" t="n"/>
      <c r="K392" s="327" t="n"/>
      <c r="L392" s="327" t="n"/>
      <c r="M392" s="327" t="n"/>
      <c r="N392" s="327" t="n"/>
      <c r="O392" s="327" t="n"/>
      <c r="P392" s="327" t="n"/>
      <c r="Q392" s="327" t="n"/>
      <c r="R392" s="327" t="n"/>
      <c r="S392" s="327" t="n"/>
      <c r="T392" s="327" t="n"/>
      <c r="U392" s="327" t="n"/>
      <c r="V392" s="327" t="n"/>
      <c r="W392" s="327" t="n"/>
      <c r="X392" s="327" t="n"/>
      <c r="Y392" s="327" t="n"/>
      <c r="Z392" s="327" t="n"/>
      <c r="AA392" s="327" t="n"/>
      <c r="AB392" s="327" t="n"/>
      <c r="AC392" s="327" t="n"/>
    </row>
    <row r="393">
      <c r="A393" s="327" t="n"/>
      <c r="B393" s="327" t="n"/>
      <c r="C393" s="354" t="n"/>
      <c r="D393" s="354" t="n"/>
      <c r="E393" s="354" t="n"/>
      <c r="F393" s="354" t="n"/>
      <c r="G393" s="354" t="n"/>
      <c r="H393" s="327" t="n"/>
      <c r="I393" s="327" t="n"/>
      <c r="J393" s="327" t="n"/>
      <c r="K393" s="327" t="n"/>
      <c r="L393" s="327" t="n"/>
      <c r="M393" s="327" t="n"/>
      <c r="N393" s="327" t="n"/>
      <c r="O393" s="327" t="n"/>
      <c r="P393" s="327" t="n"/>
      <c r="Q393" s="327" t="n"/>
      <c r="R393" s="327" t="n"/>
      <c r="S393" s="327" t="n"/>
      <c r="T393" s="327" t="n"/>
      <c r="U393" s="327" t="n"/>
      <c r="V393" s="327" t="n"/>
      <c r="W393" s="327" t="n"/>
      <c r="X393" s="327" t="n"/>
      <c r="Y393" s="327" t="n"/>
      <c r="Z393" s="327" t="n"/>
      <c r="AA393" s="327" t="n"/>
      <c r="AB393" s="327" t="n"/>
      <c r="AC393" s="327" t="n"/>
    </row>
    <row r="394">
      <c r="A394" s="327" t="n"/>
      <c r="B394" s="327" t="n"/>
      <c r="C394" s="354" t="n"/>
      <c r="D394" s="354" t="n"/>
      <c r="E394" s="354" t="n"/>
      <c r="F394" s="354" t="n"/>
      <c r="G394" s="354" t="n"/>
      <c r="H394" s="327" t="n"/>
      <c r="I394" s="327" t="n"/>
      <c r="J394" s="327" t="n"/>
      <c r="K394" s="327" t="n"/>
      <c r="L394" s="327" t="n"/>
      <c r="M394" s="327" t="n"/>
      <c r="N394" s="327" t="n"/>
      <c r="O394" s="327" t="n"/>
      <c r="P394" s="327" t="n"/>
      <c r="Q394" s="327" t="n"/>
      <c r="R394" s="327" t="n"/>
      <c r="S394" s="327" t="n"/>
      <c r="T394" s="327" t="n"/>
      <c r="U394" s="327" t="n"/>
      <c r="V394" s="327" t="n"/>
      <c r="W394" s="327" t="n"/>
      <c r="X394" s="327" t="n"/>
      <c r="Y394" s="327" t="n"/>
      <c r="Z394" s="327" t="n"/>
      <c r="AA394" s="327" t="n"/>
      <c r="AB394" s="327" t="n"/>
      <c r="AC394" s="327" t="n"/>
    </row>
    <row r="395">
      <c r="A395" s="327" t="n"/>
      <c r="B395" s="327" t="n"/>
      <c r="C395" s="354" t="n"/>
      <c r="D395" s="354" t="n"/>
      <c r="E395" s="354" t="n"/>
      <c r="F395" s="354" t="n"/>
      <c r="G395" s="354" t="n"/>
      <c r="H395" s="327" t="n"/>
      <c r="I395" s="327" t="n"/>
      <c r="J395" s="327" t="n"/>
      <c r="K395" s="327" t="n"/>
      <c r="L395" s="327" t="n"/>
      <c r="M395" s="327" t="n"/>
      <c r="N395" s="327" t="n"/>
      <c r="O395" s="327" t="n"/>
      <c r="P395" s="327" t="n"/>
      <c r="Q395" s="327" t="n"/>
      <c r="R395" s="327" t="n"/>
      <c r="S395" s="327" t="n"/>
      <c r="T395" s="327" t="n"/>
      <c r="U395" s="327" t="n"/>
      <c r="V395" s="327" t="n"/>
      <c r="W395" s="327" t="n"/>
      <c r="X395" s="327" t="n"/>
      <c r="Y395" s="327" t="n"/>
      <c r="Z395" s="327" t="n"/>
      <c r="AA395" s="327" t="n"/>
      <c r="AB395" s="327" t="n"/>
      <c r="AC395" s="327" t="n"/>
    </row>
    <row r="396">
      <c r="A396" s="327" t="n"/>
      <c r="B396" s="327" t="n"/>
      <c r="C396" s="354" t="n"/>
      <c r="D396" s="354" t="n"/>
      <c r="E396" s="354" t="n"/>
      <c r="F396" s="354" t="n"/>
      <c r="G396" s="354" t="n"/>
      <c r="H396" s="327" t="n"/>
      <c r="I396" s="327" t="n"/>
      <c r="J396" s="327" t="n"/>
      <c r="K396" s="327" t="n"/>
      <c r="L396" s="327" t="n"/>
      <c r="M396" s="327" t="n"/>
      <c r="N396" s="327" t="n"/>
      <c r="O396" s="327" t="n"/>
      <c r="P396" s="327" t="n"/>
      <c r="Q396" s="327" t="n"/>
      <c r="R396" s="327" t="n"/>
      <c r="S396" s="327" t="n"/>
      <c r="T396" s="327" t="n"/>
      <c r="U396" s="327" t="n"/>
      <c r="V396" s="327" t="n"/>
      <c r="W396" s="327" t="n"/>
      <c r="X396" s="327" t="n"/>
      <c r="Y396" s="327" t="n"/>
      <c r="Z396" s="327" t="n"/>
      <c r="AA396" s="327" t="n"/>
      <c r="AB396" s="327" t="n"/>
      <c r="AC396" s="327" t="n"/>
    </row>
    <row r="397">
      <c r="A397" s="327" t="n"/>
      <c r="B397" s="327" t="n"/>
      <c r="C397" s="354" t="n"/>
      <c r="D397" s="354" t="n"/>
      <c r="E397" s="354" t="n"/>
      <c r="F397" s="354" t="n"/>
      <c r="G397" s="354" t="n"/>
      <c r="H397" s="327" t="n"/>
      <c r="I397" s="327" t="n"/>
      <c r="J397" s="327" t="n"/>
      <c r="K397" s="327" t="n"/>
      <c r="L397" s="327" t="n"/>
      <c r="M397" s="327" t="n"/>
      <c r="N397" s="327" t="n"/>
      <c r="O397" s="327" t="n"/>
      <c r="P397" s="327" t="n"/>
      <c r="Q397" s="327" t="n"/>
      <c r="R397" s="327" t="n"/>
      <c r="S397" s="327" t="n"/>
      <c r="T397" s="327" t="n"/>
      <c r="U397" s="327" t="n"/>
      <c r="V397" s="327" t="n"/>
      <c r="W397" s="327" t="n"/>
      <c r="X397" s="327" t="n"/>
      <c r="Y397" s="327" t="n"/>
      <c r="Z397" s="327" t="n"/>
      <c r="AA397" s="327" t="n"/>
      <c r="AB397" s="327" t="n"/>
      <c r="AC397" s="327" t="n"/>
    </row>
    <row r="398">
      <c r="A398" s="327" t="n"/>
      <c r="B398" s="327" t="n"/>
      <c r="C398" s="354" t="n"/>
      <c r="D398" s="354" t="n"/>
      <c r="E398" s="354" t="n"/>
      <c r="F398" s="354" t="n"/>
      <c r="G398" s="354" t="n"/>
      <c r="H398" s="327" t="n"/>
      <c r="I398" s="327" t="n"/>
      <c r="J398" s="327" t="n"/>
      <c r="K398" s="327" t="n"/>
      <c r="L398" s="327" t="n"/>
      <c r="M398" s="327" t="n"/>
      <c r="N398" s="327" t="n"/>
      <c r="O398" s="327" t="n"/>
      <c r="P398" s="327" t="n"/>
      <c r="Q398" s="327" t="n"/>
      <c r="R398" s="327" t="n"/>
      <c r="S398" s="327" t="n"/>
      <c r="T398" s="327" t="n"/>
      <c r="U398" s="327" t="n"/>
      <c r="V398" s="327" t="n"/>
      <c r="W398" s="327" t="n"/>
      <c r="X398" s="327" t="n"/>
      <c r="Y398" s="327" t="n"/>
      <c r="Z398" s="327" t="n"/>
      <c r="AA398" s="327" t="n"/>
      <c r="AB398" s="327" t="n"/>
      <c r="AC398" s="327" t="n"/>
    </row>
    <row r="399">
      <c r="A399" s="327" t="n"/>
      <c r="B399" s="327" t="n"/>
      <c r="C399" s="354" t="n"/>
      <c r="D399" s="354" t="n"/>
      <c r="E399" s="354" t="n"/>
      <c r="F399" s="354" t="n"/>
      <c r="G399" s="354" t="n"/>
      <c r="H399" s="327" t="n"/>
      <c r="I399" s="327" t="n"/>
      <c r="J399" s="327" t="n"/>
      <c r="K399" s="327" t="n"/>
      <c r="L399" s="327" t="n"/>
      <c r="M399" s="327" t="n"/>
      <c r="N399" s="327" t="n"/>
      <c r="O399" s="327" t="n"/>
      <c r="P399" s="327" t="n"/>
      <c r="Q399" s="327" t="n"/>
      <c r="R399" s="327" t="n"/>
      <c r="S399" s="327" t="n"/>
      <c r="T399" s="327" t="n"/>
      <c r="U399" s="327" t="n"/>
      <c r="V399" s="327" t="n"/>
      <c r="W399" s="327" t="n"/>
      <c r="X399" s="327" t="n"/>
      <c r="Y399" s="327" t="n"/>
      <c r="Z399" s="327" t="n"/>
      <c r="AA399" s="327" t="n"/>
      <c r="AB399" s="327" t="n"/>
      <c r="AC399" s="327" t="n"/>
    </row>
    <row r="400">
      <c r="A400" s="327" t="n"/>
      <c r="B400" s="327" t="n"/>
      <c r="C400" s="354" t="n"/>
      <c r="D400" s="354" t="n"/>
      <c r="E400" s="354" t="n"/>
      <c r="F400" s="354" t="n"/>
      <c r="G400" s="354" t="n"/>
      <c r="H400" s="327" t="n"/>
      <c r="I400" s="327" t="n"/>
      <c r="J400" s="327" t="n"/>
      <c r="K400" s="327" t="n"/>
      <c r="L400" s="327" t="n"/>
      <c r="M400" s="327" t="n"/>
      <c r="N400" s="327" t="n"/>
      <c r="O400" s="327" t="n"/>
      <c r="P400" s="327" t="n"/>
      <c r="Q400" s="327" t="n"/>
      <c r="R400" s="327" t="n"/>
      <c r="S400" s="327" t="n"/>
      <c r="T400" s="327" t="n"/>
      <c r="U400" s="327" t="n"/>
      <c r="V400" s="327" t="n"/>
      <c r="W400" s="327" t="n"/>
      <c r="X400" s="327" t="n"/>
      <c r="Y400" s="327" t="n"/>
      <c r="Z400" s="327" t="n"/>
      <c r="AA400" s="327" t="n"/>
      <c r="AB400" s="327" t="n"/>
      <c r="AC400" s="327" t="n"/>
    </row>
    <row r="401">
      <c r="A401" s="327" t="n"/>
      <c r="B401" s="327" t="n"/>
      <c r="C401" s="354" t="n"/>
      <c r="D401" s="354" t="n"/>
      <c r="E401" s="354" t="n"/>
      <c r="F401" s="354" t="n"/>
      <c r="G401" s="354" t="n"/>
      <c r="H401" s="327" t="n"/>
      <c r="I401" s="327" t="n"/>
      <c r="J401" s="327" t="n"/>
      <c r="K401" s="327" t="n"/>
      <c r="L401" s="327" t="n"/>
      <c r="M401" s="327" t="n"/>
      <c r="N401" s="327" t="n"/>
      <c r="O401" s="327" t="n"/>
      <c r="P401" s="327" t="n"/>
      <c r="Q401" s="327" t="n"/>
      <c r="R401" s="327" t="n"/>
      <c r="S401" s="327" t="n"/>
      <c r="T401" s="327" t="n"/>
      <c r="U401" s="327" t="n"/>
      <c r="V401" s="327" t="n"/>
      <c r="W401" s="327" t="n"/>
      <c r="X401" s="327" t="n"/>
      <c r="Y401" s="327" t="n"/>
      <c r="Z401" s="327" t="n"/>
      <c r="AA401" s="327" t="n"/>
      <c r="AB401" s="327" t="n"/>
      <c r="AC401" s="327" t="n"/>
    </row>
    <row r="402">
      <c r="A402" s="327" t="n"/>
      <c r="B402" s="327" t="n"/>
      <c r="C402" s="354" t="n"/>
      <c r="D402" s="354" t="n"/>
      <c r="E402" s="354" t="n"/>
      <c r="F402" s="354" t="n"/>
      <c r="G402" s="354" t="n"/>
      <c r="H402" s="327" t="n"/>
      <c r="I402" s="327" t="n"/>
      <c r="J402" s="327" t="n"/>
      <c r="K402" s="327" t="n"/>
      <c r="L402" s="327" t="n"/>
      <c r="M402" s="327" t="n"/>
      <c r="N402" s="327" t="n"/>
      <c r="O402" s="327" t="n"/>
      <c r="P402" s="327" t="n"/>
      <c r="Q402" s="327" t="n"/>
      <c r="R402" s="327" t="n"/>
      <c r="S402" s="327" t="n"/>
      <c r="T402" s="327" t="n"/>
      <c r="U402" s="327" t="n"/>
      <c r="V402" s="327" t="n"/>
      <c r="W402" s="327" t="n"/>
      <c r="X402" s="327" t="n"/>
      <c r="Y402" s="327" t="n"/>
      <c r="Z402" s="327" t="n"/>
      <c r="AA402" s="327" t="n"/>
      <c r="AB402" s="327" t="n"/>
      <c r="AC402" s="327" t="n"/>
    </row>
    <row r="403">
      <c r="A403" s="327" t="n"/>
      <c r="B403" s="327" t="n"/>
      <c r="C403" s="354" t="n"/>
      <c r="D403" s="354" t="n"/>
      <c r="E403" s="354" t="n"/>
      <c r="F403" s="354" t="n"/>
      <c r="G403" s="354" t="n"/>
      <c r="H403" s="327" t="n"/>
      <c r="I403" s="327" t="n"/>
      <c r="J403" s="327" t="n"/>
      <c r="K403" s="327" t="n"/>
      <c r="L403" s="327" t="n"/>
      <c r="M403" s="327" t="n"/>
      <c r="N403" s="327" t="n"/>
      <c r="O403" s="327" t="n"/>
      <c r="P403" s="327" t="n"/>
      <c r="Q403" s="327" t="n"/>
      <c r="R403" s="327" t="n"/>
      <c r="S403" s="327" t="n"/>
      <c r="T403" s="327" t="n"/>
      <c r="U403" s="327" t="n"/>
      <c r="V403" s="327" t="n"/>
      <c r="W403" s="327" t="n"/>
      <c r="X403" s="327" t="n"/>
      <c r="Y403" s="327" t="n"/>
      <c r="Z403" s="327" t="n"/>
      <c r="AA403" s="327" t="n"/>
      <c r="AB403" s="327" t="n"/>
      <c r="AC403" s="327" t="n"/>
    </row>
    <row r="404">
      <c r="A404" s="327" t="n"/>
      <c r="B404" s="327" t="n"/>
      <c r="C404" s="354" t="n"/>
      <c r="D404" s="354" t="n"/>
      <c r="E404" s="354" t="n"/>
      <c r="F404" s="354" t="n"/>
      <c r="G404" s="354" t="n"/>
      <c r="H404" s="327" t="n"/>
      <c r="I404" s="327" t="n"/>
      <c r="J404" s="327" t="n"/>
      <c r="K404" s="327" t="n"/>
      <c r="L404" s="327" t="n"/>
      <c r="M404" s="327" t="n"/>
      <c r="N404" s="327" t="n"/>
      <c r="O404" s="327" t="n"/>
      <c r="P404" s="327" t="n"/>
      <c r="Q404" s="327" t="n"/>
      <c r="R404" s="327" t="n"/>
      <c r="S404" s="327" t="n"/>
      <c r="T404" s="327" t="n"/>
      <c r="U404" s="327" t="n"/>
      <c r="V404" s="327" t="n"/>
      <c r="W404" s="327" t="n"/>
      <c r="X404" s="327" t="n"/>
      <c r="Y404" s="327" t="n"/>
      <c r="Z404" s="327" t="n"/>
      <c r="AA404" s="327" t="n"/>
      <c r="AB404" s="327" t="n"/>
      <c r="AC404" s="327" t="n"/>
    </row>
    <row r="405">
      <c r="A405" s="327" t="n"/>
      <c r="B405" s="327" t="n"/>
      <c r="C405" s="354" t="n"/>
      <c r="D405" s="354" t="n"/>
      <c r="E405" s="354" t="n"/>
      <c r="F405" s="354" t="n"/>
      <c r="G405" s="354" t="n"/>
      <c r="H405" s="327" t="n"/>
      <c r="I405" s="327" t="n"/>
      <c r="J405" s="327" t="n"/>
      <c r="K405" s="327" t="n"/>
      <c r="L405" s="327" t="n"/>
      <c r="M405" s="327" t="n"/>
      <c r="N405" s="327" t="n"/>
      <c r="O405" s="327" t="n"/>
      <c r="P405" s="327" t="n"/>
      <c r="Q405" s="327" t="n"/>
      <c r="R405" s="327" t="n"/>
      <c r="S405" s="327" t="n"/>
      <c r="T405" s="327" t="n"/>
      <c r="U405" s="327" t="n"/>
      <c r="V405" s="327" t="n"/>
      <c r="W405" s="327" t="n"/>
      <c r="X405" s="327" t="n"/>
      <c r="Y405" s="327" t="n"/>
      <c r="Z405" s="327" t="n"/>
      <c r="AA405" s="327" t="n"/>
      <c r="AB405" s="327" t="n"/>
      <c r="AC405" s="327" t="n"/>
    </row>
    <row r="406">
      <c r="A406" s="327" t="n"/>
      <c r="B406" s="327" t="n"/>
      <c r="C406" s="354" t="n"/>
      <c r="D406" s="354" t="n"/>
      <c r="E406" s="354" t="n"/>
      <c r="F406" s="354" t="n"/>
      <c r="G406" s="354" t="n"/>
      <c r="H406" s="327" t="n"/>
      <c r="I406" s="327" t="n"/>
      <c r="J406" s="327" t="n"/>
      <c r="K406" s="327" t="n"/>
      <c r="L406" s="327" t="n"/>
      <c r="M406" s="327" t="n"/>
      <c r="N406" s="327" t="n"/>
      <c r="O406" s="327" t="n"/>
      <c r="P406" s="327" t="n"/>
      <c r="Q406" s="327" t="n"/>
      <c r="R406" s="327" t="n"/>
      <c r="S406" s="327" t="n"/>
      <c r="T406" s="327" t="n"/>
      <c r="U406" s="327" t="n"/>
      <c r="V406" s="327" t="n"/>
      <c r="W406" s="327" t="n"/>
      <c r="X406" s="327" t="n"/>
      <c r="Y406" s="327" t="n"/>
      <c r="Z406" s="327" t="n"/>
      <c r="AA406" s="327" t="n"/>
      <c r="AB406" s="327" t="n"/>
      <c r="AC406" s="327" t="n"/>
    </row>
    <row r="407">
      <c r="A407" s="327" t="n"/>
      <c r="B407" s="327" t="n"/>
      <c r="C407" s="354" t="n"/>
      <c r="D407" s="354" t="n"/>
      <c r="E407" s="354" t="n"/>
      <c r="F407" s="354" t="n"/>
      <c r="G407" s="354" t="n"/>
      <c r="H407" s="327" t="n"/>
      <c r="I407" s="327" t="n"/>
      <c r="J407" s="327" t="n"/>
      <c r="K407" s="327" t="n"/>
      <c r="L407" s="327" t="n"/>
      <c r="M407" s="327" t="n"/>
      <c r="N407" s="327" t="n"/>
      <c r="O407" s="327" t="n"/>
      <c r="P407" s="327" t="n"/>
      <c r="Q407" s="327" t="n"/>
      <c r="R407" s="327" t="n"/>
      <c r="S407" s="327" t="n"/>
      <c r="T407" s="327" t="n"/>
      <c r="U407" s="327" t="n"/>
      <c r="V407" s="327" t="n"/>
      <c r="W407" s="327" t="n"/>
      <c r="X407" s="327" t="n"/>
      <c r="Y407" s="327" t="n"/>
      <c r="Z407" s="327" t="n"/>
      <c r="AA407" s="327" t="n"/>
      <c r="AB407" s="327" t="n"/>
      <c r="AC407" s="327" t="n"/>
    </row>
    <row r="408">
      <c r="A408" s="327" t="n"/>
      <c r="B408" s="327" t="n"/>
      <c r="C408" s="354" t="n"/>
      <c r="D408" s="354" t="n"/>
      <c r="E408" s="354" t="n"/>
      <c r="F408" s="354" t="n"/>
      <c r="G408" s="354" t="n"/>
      <c r="H408" s="327" t="n"/>
      <c r="I408" s="327" t="n"/>
      <c r="J408" s="327" t="n"/>
      <c r="K408" s="327" t="n"/>
      <c r="L408" s="327" t="n"/>
      <c r="M408" s="327" t="n"/>
      <c r="N408" s="327" t="n"/>
      <c r="O408" s="327" t="n"/>
      <c r="P408" s="327" t="n"/>
      <c r="Q408" s="327" t="n"/>
      <c r="R408" s="327" t="n"/>
      <c r="S408" s="327" t="n"/>
      <c r="T408" s="327" t="n"/>
      <c r="U408" s="327" t="n"/>
      <c r="V408" s="327" t="n"/>
      <c r="W408" s="327" t="n"/>
      <c r="X408" s="327" t="n"/>
      <c r="Y408" s="327" t="n"/>
      <c r="Z408" s="327" t="n"/>
      <c r="AA408" s="327" t="n"/>
      <c r="AB408" s="327" t="n"/>
      <c r="AC408" s="327" t="n"/>
    </row>
    <row r="409">
      <c r="A409" s="327" t="n"/>
      <c r="B409" s="327" t="n"/>
      <c r="C409" s="354" t="n"/>
      <c r="D409" s="354" t="n"/>
      <c r="E409" s="354" t="n"/>
      <c r="F409" s="354" t="n"/>
      <c r="G409" s="354" t="n"/>
      <c r="H409" s="327" t="n"/>
      <c r="I409" s="327" t="n"/>
      <c r="J409" s="327" t="n"/>
      <c r="K409" s="327" t="n"/>
      <c r="L409" s="327" t="n"/>
      <c r="M409" s="327" t="n"/>
      <c r="N409" s="327" t="n"/>
      <c r="O409" s="327" t="n"/>
      <c r="P409" s="327" t="n"/>
      <c r="Q409" s="327" t="n"/>
      <c r="R409" s="327" t="n"/>
      <c r="S409" s="327" t="n"/>
      <c r="T409" s="327" t="n"/>
      <c r="U409" s="327" t="n"/>
      <c r="V409" s="327" t="n"/>
      <c r="W409" s="327" t="n"/>
      <c r="X409" s="327" t="n"/>
      <c r="Y409" s="327" t="n"/>
      <c r="Z409" s="327" t="n"/>
      <c r="AA409" s="327" t="n"/>
      <c r="AB409" s="327" t="n"/>
      <c r="AC409" s="327" t="n"/>
    </row>
    <row r="410">
      <c r="A410" s="327" t="n"/>
      <c r="B410" s="327" t="n"/>
      <c r="C410" s="354" t="n"/>
      <c r="D410" s="354" t="n"/>
      <c r="E410" s="354" t="n"/>
      <c r="F410" s="354" t="n"/>
      <c r="G410" s="354" t="n"/>
      <c r="H410" s="327" t="n"/>
      <c r="I410" s="327" t="n"/>
      <c r="J410" s="327" t="n"/>
      <c r="K410" s="327" t="n"/>
      <c r="L410" s="327" t="n"/>
      <c r="M410" s="327" t="n"/>
      <c r="N410" s="327" t="n"/>
      <c r="O410" s="327" t="n"/>
      <c r="P410" s="327" t="n"/>
      <c r="Q410" s="327" t="n"/>
      <c r="R410" s="327" t="n"/>
      <c r="S410" s="327" t="n"/>
      <c r="T410" s="327" t="n"/>
      <c r="U410" s="327" t="n"/>
      <c r="V410" s="327" t="n"/>
      <c r="W410" s="327" t="n"/>
      <c r="X410" s="327" t="n"/>
      <c r="Y410" s="327" t="n"/>
      <c r="Z410" s="327" t="n"/>
      <c r="AA410" s="327" t="n"/>
      <c r="AB410" s="327" t="n"/>
      <c r="AC410" s="327" t="n"/>
    </row>
    <row r="411">
      <c r="A411" s="327" t="n"/>
      <c r="B411" s="327" t="n"/>
      <c r="C411" s="354" t="n"/>
      <c r="D411" s="354" t="n"/>
      <c r="E411" s="354" t="n"/>
      <c r="F411" s="354" t="n"/>
      <c r="G411" s="354" t="n"/>
      <c r="H411" s="327" t="n"/>
      <c r="I411" s="327" t="n"/>
      <c r="J411" s="327" t="n"/>
      <c r="K411" s="327" t="n"/>
      <c r="L411" s="327" t="n"/>
      <c r="M411" s="327" t="n"/>
      <c r="N411" s="327" t="n"/>
      <c r="O411" s="327" t="n"/>
      <c r="P411" s="327" t="n"/>
      <c r="Q411" s="327" t="n"/>
      <c r="R411" s="327" t="n"/>
      <c r="S411" s="327" t="n"/>
      <c r="T411" s="327" t="n"/>
      <c r="U411" s="327" t="n"/>
      <c r="V411" s="327" t="n"/>
      <c r="W411" s="327" t="n"/>
      <c r="X411" s="327" t="n"/>
      <c r="Y411" s="327" t="n"/>
      <c r="Z411" s="327" t="n"/>
      <c r="AA411" s="327" t="n"/>
      <c r="AB411" s="327" t="n"/>
      <c r="AC411" s="327" t="n"/>
    </row>
    <row r="412">
      <c r="A412" s="327" t="n"/>
      <c r="B412" s="327" t="n"/>
      <c r="C412" s="354" t="n"/>
      <c r="D412" s="354" t="n"/>
      <c r="E412" s="354" t="n"/>
      <c r="F412" s="354" t="n"/>
      <c r="G412" s="354" t="n"/>
      <c r="H412" s="327" t="n"/>
      <c r="I412" s="327" t="n"/>
      <c r="J412" s="327" t="n"/>
      <c r="K412" s="327" t="n"/>
      <c r="L412" s="327" t="n"/>
      <c r="M412" s="327" t="n"/>
      <c r="N412" s="327" t="n"/>
      <c r="O412" s="327" t="n"/>
      <c r="P412" s="327" t="n"/>
      <c r="Q412" s="327" t="n"/>
      <c r="R412" s="327" t="n"/>
      <c r="S412" s="327" t="n"/>
      <c r="T412" s="327" t="n"/>
      <c r="U412" s="327" t="n"/>
      <c r="V412" s="327" t="n"/>
      <c r="W412" s="327" t="n"/>
      <c r="X412" s="327" t="n"/>
      <c r="Y412" s="327" t="n"/>
      <c r="Z412" s="327" t="n"/>
      <c r="AA412" s="327" t="n"/>
      <c r="AB412" s="327" t="n"/>
      <c r="AC412" s="327" t="n"/>
    </row>
    <row r="413">
      <c r="A413" s="327" t="n"/>
      <c r="B413" s="327" t="n"/>
      <c r="C413" s="354" t="n"/>
      <c r="D413" s="354" t="n"/>
      <c r="E413" s="354" t="n"/>
      <c r="F413" s="354" t="n"/>
      <c r="G413" s="354" t="n"/>
      <c r="H413" s="327" t="n"/>
      <c r="I413" s="327" t="n"/>
      <c r="J413" s="327" t="n"/>
      <c r="K413" s="327" t="n"/>
      <c r="L413" s="327" t="n"/>
      <c r="M413" s="327" t="n"/>
      <c r="N413" s="327" t="n"/>
      <c r="O413" s="327" t="n"/>
      <c r="P413" s="327" t="n"/>
      <c r="Q413" s="327" t="n"/>
      <c r="R413" s="327" t="n"/>
      <c r="S413" s="327" t="n"/>
      <c r="T413" s="327" t="n"/>
      <c r="U413" s="327" t="n"/>
      <c r="V413" s="327" t="n"/>
      <c r="W413" s="327" t="n"/>
      <c r="X413" s="327" t="n"/>
      <c r="Y413" s="327" t="n"/>
      <c r="Z413" s="327" t="n"/>
      <c r="AA413" s="327" t="n"/>
      <c r="AB413" s="327" t="n"/>
      <c r="AC413" s="327" t="n"/>
    </row>
    <row r="414">
      <c r="A414" s="327" t="n"/>
      <c r="B414" s="327" t="n"/>
      <c r="C414" s="354" t="n"/>
      <c r="D414" s="354" t="n"/>
      <c r="E414" s="354" t="n"/>
      <c r="F414" s="354" t="n"/>
      <c r="G414" s="354" t="n"/>
      <c r="H414" s="327" t="n"/>
      <c r="I414" s="327" t="n"/>
      <c r="J414" s="327" t="n"/>
      <c r="K414" s="327" t="n"/>
      <c r="L414" s="327" t="n"/>
      <c r="M414" s="327" t="n"/>
      <c r="N414" s="327" t="n"/>
      <c r="O414" s="327" t="n"/>
      <c r="P414" s="327" t="n"/>
      <c r="Q414" s="327" t="n"/>
      <c r="R414" s="327" t="n"/>
      <c r="S414" s="327" t="n"/>
      <c r="T414" s="327" t="n"/>
      <c r="U414" s="327" t="n"/>
      <c r="V414" s="327" t="n"/>
      <c r="W414" s="327" t="n"/>
      <c r="X414" s="327" t="n"/>
      <c r="Y414" s="327" t="n"/>
      <c r="Z414" s="327" t="n"/>
      <c r="AA414" s="327" t="n"/>
      <c r="AB414" s="327" t="n"/>
      <c r="AC414" s="327" t="n"/>
    </row>
    <row r="415">
      <c r="A415" s="327" t="n"/>
      <c r="B415" s="327" t="n"/>
      <c r="C415" s="354" t="n"/>
      <c r="D415" s="354" t="n"/>
      <c r="E415" s="354" t="n"/>
      <c r="F415" s="354" t="n"/>
      <c r="G415" s="354" t="n"/>
      <c r="H415" s="327" t="n"/>
      <c r="I415" s="327" t="n"/>
      <c r="J415" s="327" t="n"/>
      <c r="K415" s="327" t="n"/>
      <c r="L415" s="327" t="n"/>
      <c r="M415" s="327" t="n"/>
      <c r="N415" s="327" t="n"/>
      <c r="O415" s="327" t="n"/>
      <c r="P415" s="327" t="n"/>
      <c r="Q415" s="327" t="n"/>
      <c r="R415" s="327" t="n"/>
      <c r="S415" s="327" t="n"/>
      <c r="T415" s="327" t="n"/>
      <c r="U415" s="327" t="n"/>
      <c r="V415" s="327" t="n"/>
      <c r="W415" s="327" t="n"/>
      <c r="X415" s="327" t="n"/>
      <c r="Y415" s="327" t="n"/>
      <c r="Z415" s="327" t="n"/>
      <c r="AA415" s="327" t="n"/>
      <c r="AB415" s="327" t="n"/>
      <c r="AC415" s="327" t="n"/>
    </row>
    <row r="416">
      <c r="A416" s="327" t="n"/>
      <c r="B416" s="327" t="n"/>
      <c r="C416" s="354" t="n"/>
      <c r="D416" s="354" t="n"/>
      <c r="E416" s="354" t="n"/>
      <c r="F416" s="354" t="n"/>
      <c r="G416" s="354" t="n"/>
      <c r="H416" s="327" t="n"/>
      <c r="I416" s="327" t="n"/>
      <c r="J416" s="327" t="n"/>
      <c r="K416" s="327" t="n"/>
      <c r="L416" s="327" t="n"/>
      <c r="M416" s="327" t="n"/>
      <c r="N416" s="327" t="n"/>
      <c r="O416" s="327" t="n"/>
      <c r="P416" s="327" t="n"/>
      <c r="Q416" s="327" t="n"/>
      <c r="R416" s="327" t="n"/>
      <c r="S416" s="327" t="n"/>
      <c r="T416" s="327" t="n"/>
      <c r="U416" s="327" t="n"/>
      <c r="V416" s="327" t="n"/>
      <c r="W416" s="327" t="n"/>
      <c r="X416" s="327" t="n"/>
      <c r="Y416" s="327" t="n"/>
      <c r="Z416" s="327" t="n"/>
      <c r="AA416" s="327" t="n"/>
      <c r="AB416" s="327" t="n"/>
      <c r="AC416" s="327" t="n"/>
    </row>
    <row r="417">
      <c r="A417" s="327" t="n"/>
      <c r="B417" s="327" t="n"/>
      <c r="C417" s="354" t="n"/>
      <c r="D417" s="354" t="n"/>
      <c r="E417" s="354" t="n"/>
      <c r="F417" s="354" t="n"/>
      <c r="G417" s="354" t="n"/>
      <c r="H417" s="327" t="n"/>
      <c r="I417" s="327" t="n"/>
      <c r="J417" s="327" t="n"/>
      <c r="K417" s="327" t="n"/>
      <c r="L417" s="327" t="n"/>
      <c r="M417" s="327" t="n"/>
      <c r="N417" s="327" t="n"/>
      <c r="O417" s="327" t="n"/>
      <c r="P417" s="327" t="n"/>
      <c r="Q417" s="327" t="n"/>
      <c r="R417" s="327" t="n"/>
      <c r="S417" s="327" t="n"/>
      <c r="T417" s="327" t="n"/>
      <c r="U417" s="327" t="n"/>
      <c r="V417" s="327" t="n"/>
      <c r="W417" s="327" t="n"/>
      <c r="X417" s="327" t="n"/>
      <c r="Y417" s="327" t="n"/>
      <c r="Z417" s="327" t="n"/>
      <c r="AA417" s="327" t="n"/>
      <c r="AB417" s="327" t="n"/>
      <c r="AC417" s="327" t="n"/>
    </row>
    <row r="418">
      <c r="A418" s="327" t="n"/>
      <c r="B418" s="327" t="n"/>
      <c r="C418" s="354" t="n"/>
      <c r="D418" s="354" t="n"/>
      <c r="E418" s="354" t="n"/>
      <c r="F418" s="354" t="n"/>
      <c r="G418" s="354" t="n"/>
      <c r="H418" s="327" t="n"/>
      <c r="I418" s="327" t="n"/>
      <c r="J418" s="327" t="n"/>
      <c r="K418" s="327" t="n"/>
      <c r="L418" s="327" t="n"/>
      <c r="M418" s="327" t="n"/>
      <c r="N418" s="327" t="n"/>
      <c r="O418" s="327" t="n"/>
      <c r="P418" s="327" t="n"/>
      <c r="Q418" s="327" t="n"/>
      <c r="R418" s="327" t="n"/>
      <c r="S418" s="327" t="n"/>
      <c r="T418" s="327" t="n"/>
      <c r="U418" s="327" t="n"/>
      <c r="V418" s="327" t="n"/>
      <c r="W418" s="327" t="n"/>
      <c r="X418" s="327" t="n"/>
      <c r="Y418" s="327" t="n"/>
      <c r="Z418" s="327" t="n"/>
      <c r="AA418" s="327" t="n"/>
      <c r="AB418" s="327" t="n"/>
      <c r="AC418" s="327" t="n"/>
    </row>
    <row r="419">
      <c r="A419" s="327" t="n"/>
      <c r="B419" s="327" t="n"/>
      <c r="C419" s="354" t="n"/>
      <c r="D419" s="354" t="n"/>
      <c r="E419" s="354" t="n"/>
      <c r="F419" s="354" t="n"/>
      <c r="G419" s="354" t="n"/>
      <c r="H419" s="327" t="n"/>
      <c r="I419" s="327" t="n"/>
      <c r="J419" s="327" t="n"/>
      <c r="K419" s="327" t="n"/>
      <c r="L419" s="327" t="n"/>
      <c r="M419" s="327" t="n"/>
      <c r="N419" s="327" t="n"/>
      <c r="O419" s="327" t="n"/>
      <c r="P419" s="327" t="n"/>
      <c r="Q419" s="327" t="n"/>
      <c r="R419" s="327" t="n"/>
      <c r="S419" s="327" t="n"/>
      <c r="T419" s="327" t="n"/>
      <c r="U419" s="327" t="n"/>
      <c r="V419" s="327" t="n"/>
      <c r="W419" s="327" t="n"/>
      <c r="X419" s="327" t="n"/>
      <c r="Y419" s="327" t="n"/>
      <c r="Z419" s="327" t="n"/>
      <c r="AA419" s="327" t="n"/>
      <c r="AB419" s="327" t="n"/>
      <c r="AC419" s="327" t="n"/>
    </row>
    <row r="420">
      <c r="A420" s="327" t="n"/>
      <c r="B420" s="327" t="n"/>
      <c r="C420" s="354" t="n"/>
      <c r="D420" s="354" t="n"/>
      <c r="E420" s="354" t="n"/>
      <c r="F420" s="354" t="n"/>
      <c r="G420" s="354" t="n"/>
      <c r="H420" s="327" t="n"/>
      <c r="I420" s="327" t="n"/>
      <c r="J420" s="327" t="n"/>
      <c r="K420" s="327" t="n"/>
      <c r="L420" s="327" t="n"/>
      <c r="M420" s="327" t="n"/>
      <c r="N420" s="327" t="n"/>
      <c r="O420" s="327" t="n"/>
      <c r="P420" s="327" t="n"/>
      <c r="Q420" s="327" t="n"/>
      <c r="R420" s="327" t="n"/>
      <c r="S420" s="327" t="n"/>
      <c r="T420" s="327" t="n"/>
      <c r="U420" s="327" t="n"/>
      <c r="V420" s="327" t="n"/>
      <c r="W420" s="327" t="n"/>
      <c r="X420" s="327" t="n"/>
      <c r="Y420" s="327" t="n"/>
      <c r="Z420" s="327" t="n"/>
      <c r="AA420" s="327" t="n"/>
      <c r="AB420" s="327" t="n"/>
      <c r="AC420" s="327" t="n"/>
    </row>
    <row r="421">
      <c r="A421" s="327" t="n"/>
      <c r="B421" s="327" t="n"/>
      <c r="C421" s="354" t="n"/>
      <c r="D421" s="354" t="n"/>
      <c r="E421" s="354" t="n"/>
      <c r="F421" s="354" t="n"/>
      <c r="G421" s="354" t="n"/>
      <c r="H421" s="327" t="n"/>
      <c r="I421" s="327" t="n"/>
      <c r="J421" s="327" t="n"/>
      <c r="K421" s="327" t="n"/>
      <c r="L421" s="327" t="n"/>
      <c r="M421" s="327" t="n"/>
      <c r="N421" s="327" t="n"/>
      <c r="O421" s="327" t="n"/>
      <c r="P421" s="327" t="n"/>
      <c r="Q421" s="327" t="n"/>
      <c r="R421" s="327" t="n"/>
      <c r="S421" s="327" t="n"/>
      <c r="T421" s="327" t="n"/>
      <c r="U421" s="327" t="n"/>
      <c r="V421" s="327" t="n"/>
      <c r="W421" s="327" t="n"/>
      <c r="X421" s="327" t="n"/>
      <c r="Y421" s="327" t="n"/>
      <c r="Z421" s="327" t="n"/>
      <c r="AA421" s="327" t="n"/>
      <c r="AB421" s="327" t="n"/>
      <c r="AC421" s="327" t="n"/>
    </row>
    <row r="422">
      <c r="A422" s="327" t="n"/>
      <c r="B422" s="327" t="n"/>
      <c r="C422" s="354" t="n"/>
      <c r="D422" s="354" t="n"/>
      <c r="E422" s="354" t="n"/>
      <c r="F422" s="354" t="n"/>
      <c r="G422" s="354" t="n"/>
      <c r="H422" s="327" t="n"/>
      <c r="I422" s="327" t="n"/>
      <c r="J422" s="327" t="n"/>
      <c r="K422" s="327" t="n"/>
      <c r="L422" s="327" t="n"/>
      <c r="M422" s="327" t="n"/>
      <c r="N422" s="327" t="n"/>
      <c r="O422" s="327" t="n"/>
      <c r="P422" s="327" t="n"/>
      <c r="Q422" s="327" t="n"/>
      <c r="R422" s="327" t="n"/>
      <c r="S422" s="327" t="n"/>
      <c r="T422" s="327" t="n"/>
      <c r="U422" s="327" t="n"/>
      <c r="V422" s="327" t="n"/>
      <c r="W422" s="327" t="n"/>
      <c r="X422" s="327" t="n"/>
      <c r="Y422" s="327" t="n"/>
      <c r="Z422" s="327" t="n"/>
      <c r="AA422" s="327" t="n"/>
      <c r="AB422" s="327" t="n"/>
      <c r="AC422" s="327" t="n"/>
    </row>
    <row r="423">
      <c r="A423" s="327" t="n"/>
      <c r="B423" s="327" t="n"/>
      <c r="C423" s="354" t="n"/>
      <c r="D423" s="354" t="n"/>
      <c r="E423" s="354" t="n"/>
      <c r="F423" s="354" t="n"/>
      <c r="G423" s="354" t="n"/>
      <c r="H423" s="327" t="n"/>
      <c r="I423" s="327" t="n"/>
      <c r="J423" s="327" t="n"/>
      <c r="K423" s="327" t="n"/>
      <c r="L423" s="327" t="n"/>
      <c r="M423" s="327" t="n"/>
      <c r="N423" s="327" t="n"/>
      <c r="O423" s="327" t="n"/>
      <c r="P423" s="327" t="n"/>
      <c r="Q423" s="327" t="n"/>
      <c r="R423" s="327" t="n"/>
      <c r="S423" s="327" t="n"/>
      <c r="T423" s="327" t="n"/>
      <c r="U423" s="327" t="n"/>
      <c r="V423" s="327" t="n"/>
      <c r="W423" s="327" t="n"/>
      <c r="X423" s="327" t="n"/>
      <c r="Y423" s="327" t="n"/>
      <c r="Z423" s="327" t="n"/>
      <c r="AA423" s="327" t="n"/>
      <c r="AB423" s="327" t="n"/>
      <c r="AC423" s="327" t="n"/>
    </row>
    <row r="424">
      <c r="A424" s="327" t="n"/>
      <c r="B424" s="327" t="n"/>
      <c r="C424" s="354" t="n"/>
      <c r="D424" s="354" t="n"/>
      <c r="E424" s="354" t="n"/>
      <c r="F424" s="354" t="n"/>
      <c r="G424" s="354" t="n"/>
      <c r="H424" s="327" t="n"/>
      <c r="I424" s="327" t="n"/>
      <c r="J424" s="327" t="n"/>
      <c r="K424" s="327" t="n"/>
      <c r="L424" s="327" t="n"/>
      <c r="M424" s="327" t="n"/>
      <c r="N424" s="327" t="n"/>
      <c r="O424" s="327" t="n"/>
      <c r="P424" s="327" t="n"/>
      <c r="Q424" s="327" t="n"/>
      <c r="R424" s="327" t="n"/>
      <c r="S424" s="327" t="n"/>
      <c r="T424" s="327" t="n"/>
      <c r="U424" s="327" t="n"/>
      <c r="V424" s="327" t="n"/>
      <c r="W424" s="327" t="n"/>
      <c r="X424" s="327" t="n"/>
      <c r="Y424" s="327" t="n"/>
      <c r="Z424" s="327" t="n"/>
      <c r="AA424" s="327" t="n"/>
      <c r="AB424" s="327" t="n"/>
      <c r="AC424" s="327" t="n"/>
    </row>
    <row r="425">
      <c r="A425" s="327" t="n"/>
      <c r="B425" s="327" t="n"/>
      <c r="C425" s="354" t="n"/>
      <c r="D425" s="354" t="n"/>
      <c r="E425" s="354" t="n"/>
      <c r="F425" s="354" t="n"/>
      <c r="G425" s="354" t="n"/>
      <c r="H425" s="327" t="n"/>
      <c r="I425" s="327" t="n"/>
      <c r="J425" s="327" t="n"/>
      <c r="K425" s="327" t="n"/>
      <c r="L425" s="327" t="n"/>
      <c r="M425" s="327" t="n"/>
      <c r="N425" s="327" t="n"/>
      <c r="O425" s="327" t="n"/>
      <c r="P425" s="327" t="n"/>
      <c r="Q425" s="327" t="n"/>
      <c r="R425" s="327" t="n"/>
      <c r="S425" s="327" t="n"/>
      <c r="T425" s="327" t="n"/>
      <c r="U425" s="327" t="n"/>
      <c r="V425" s="327" t="n"/>
      <c r="W425" s="327" t="n"/>
      <c r="X425" s="327" t="n"/>
      <c r="Y425" s="327" t="n"/>
      <c r="Z425" s="327" t="n"/>
      <c r="AA425" s="327" t="n"/>
      <c r="AB425" s="327" t="n"/>
      <c r="AC425" s="327" t="n"/>
    </row>
    <row r="426">
      <c r="A426" s="327" t="n"/>
      <c r="B426" s="327" t="n"/>
      <c r="C426" s="354" t="n"/>
      <c r="D426" s="354" t="n"/>
      <c r="E426" s="354" t="n"/>
      <c r="F426" s="354" t="n"/>
      <c r="G426" s="354" t="n"/>
      <c r="H426" s="327" t="n"/>
      <c r="I426" s="327" t="n"/>
      <c r="J426" s="327" t="n"/>
      <c r="K426" s="327" t="n"/>
      <c r="L426" s="327" t="n"/>
      <c r="M426" s="327" t="n"/>
      <c r="N426" s="327" t="n"/>
      <c r="O426" s="327" t="n"/>
      <c r="P426" s="327" t="n"/>
      <c r="Q426" s="327" t="n"/>
      <c r="R426" s="327" t="n"/>
      <c r="S426" s="327" t="n"/>
      <c r="T426" s="327" t="n"/>
      <c r="U426" s="327" t="n"/>
      <c r="V426" s="327" t="n"/>
      <c r="W426" s="327" t="n"/>
      <c r="X426" s="327" t="n"/>
      <c r="Y426" s="327" t="n"/>
      <c r="Z426" s="327" t="n"/>
      <c r="AA426" s="327" t="n"/>
      <c r="AB426" s="327" t="n"/>
      <c r="AC426" s="327" t="n"/>
    </row>
    <row r="427">
      <c r="A427" s="327" t="n"/>
      <c r="B427" s="327" t="n"/>
      <c r="C427" s="354" t="n"/>
      <c r="D427" s="354" t="n"/>
      <c r="E427" s="354" t="n"/>
      <c r="F427" s="354" t="n"/>
      <c r="G427" s="354" t="n"/>
      <c r="H427" s="327" t="n"/>
      <c r="I427" s="327" t="n"/>
      <c r="J427" s="327" t="n"/>
      <c r="K427" s="327" t="n"/>
      <c r="L427" s="327" t="n"/>
      <c r="M427" s="327" t="n"/>
      <c r="N427" s="327" t="n"/>
      <c r="O427" s="327" t="n"/>
      <c r="P427" s="327" t="n"/>
      <c r="Q427" s="327" t="n"/>
      <c r="R427" s="327" t="n"/>
      <c r="S427" s="327" t="n"/>
      <c r="T427" s="327" t="n"/>
      <c r="U427" s="327" t="n"/>
      <c r="V427" s="327" t="n"/>
      <c r="W427" s="327" t="n"/>
      <c r="X427" s="327" t="n"/>
      <c r="Y427" s="327" t="n"/>
      <c r="Z427" s="327" t="n"/>
      <c r="AA427" s="327" t="n"/>
      <c r="AB427" s="327" t="n"/>
      <c r="AC427" s="327" t="n"/>
    </row>
    <row r="428">
      <c r="A428" s="327" t="n"/>
      <c r="B428" s="327" t="n"/>
      <c r="C428" s="354" t="n"/>
      <c r="D428" s="354" t="n"/>
      <c r="E428" s="354" t="n"/>
      <c r="F428" s="354" t="n"/>
      <c r="G428" s="354" t="n"/>
      <c r="H428" s="327" t="n"/>
      <c r="I428" s="327" t="n"/>
      <c r="J428" s="327" t="n"/>
      <c r="K428" s="327" t="n"/>
      <c r="L428" s="327" t="n"/>
      <c r="M428" s="327" t="n"/>
      <c r="N428" s="327" t="n"/>
      <c r="O428" s="327" t="n"/>
      <c r="P428" s="327" t="n"/>
      <c r="Q428" s="327" t="n"/>
      <c r="R428" s="327" t="n"/>
      <c r="S428" s="327" t="n"/>
      <c r="T428" s="327" t="n"/>
      <c r="U428" s="327" t="n"/>
      <c r="V428" s="327" t="n"/>
      <c r="W428" s="327" t="n"/>
      <c r="X428" s="327" t="n"/>
      <c r="Y428" s="327" t="n"/>
      <c r="Z428" s="327" t="n"/>
      <c r="AA428" s="327" t="n"/>
      <c r="AB428" s="327" t="n"/>
      <c r="AC428" s="327" t="n"/>
    </row>
    <row r="429">
      <c r="A429" s="327" t="n"/>
      <c r="B429" s="327" t="n"/>
      <c r="C429" s="354" t="n"/>
      <c r="D429" s="354" t="n"/>
      <c r="E429" s="354" t="n"/>
      <c r="F429" s="354" t="n"/>
      <c r="G429" s="354" t="n"/>
      <c r="H429" s="327" t="n"/>
      <c r="I429" s="327" t="n"/>
      <c r="J429" s="327" t="n"/>
      <c r="K429" s="327" t="n"/>
      <c r="L429" s="327" t="n"/>
      <c r="M429" s="327" t="n"/>
      <c r="N429" s="327" t="n"/>
      <c r="O429" s="327" t="n"/>
      <c r="P429" s="327" t="n"/>
      <c r="Q429" s="327" t="n"/>
      <c r="R429" s="327" t="n"/>
      <c r="S429" s="327" t="n"/>
      <c r="T429" s="327" t="n"/>
      <c r="U429" s="327" t="n"/>
      <c r="V429" s="327" t="n"/>
      <c r="W429" s="327" t="n"/>
      <c r="X429" s="327" t="n"/>
      <c r="Y429" s="327" t="n"/>
      <c r="Z429" s="327" t="n"/>
      <c r="AA429" s="327" t="n"/>
      <c r="AB429" s="327" t="n"/>
      <c r="AC429" s="327" t="n"/>
    </row>
    <row r="430">
      <c r="A430" s="327" t="n"/>
      <c r="B430" s="327" t="n"/>
      <c r="C430" s="354" t="n"/>
      <c r="D430" s="354" t="n"/>
      <c r="E430" s="354" t="n"/>
      <c r="F430" s="354" t="n"/>
      <c r="G430" s="354" t="n"/>
      <c r="H430" s="327" t="n"/>
      <c r="I430" s="327" t="n"/>
      <c r="J430" s="327" t="n"/>
      <c r="K430" s="327" t="n"/>
      <c r="L430" s="327" t="n"/>
      <c r="M430" s="327" t="n"/>
      <c r="N430" s="327" t="n"/>
      <c r="O430" s="327" t="n"/>
      <c r="P430" s="327" t="n"/>
      <c r="Q430" s="327" t="n"/>
      <c r="R430" s="327" t="n"/>
      <c r="S430" s="327" t="n"/>
      <c r="T430" s="327" t="n"/>
      <c r="U430" s="327" t="n"/>
      <c r="V430" s="327" t="n"/>
      <c r="W430" s="327" t="n"/>
      <c r="X430" s="327" t="n"/>
      <c r="Y430" s="327" t="n"/>
      <c r="Z430" s="327" t="n"/>
      <c r="AA430" s="327" t="n"/>
      <c r="AB430" s="327" t="n"/>
      <c r="AC430" s="327" t="n"/>
    </row>
    <row r="431">
      <c r="A431" s="327" t="n"/>
      <c r="B431" s="327" t="n"/>
      <c r="C431" s="354" t="n"/>
      <c r="D431" s="354" t="n"/>
      <c r="E431" s="354" t="n"/>
      <c r="F431" s="354" t="n"/>
      <c r="G431" s="354" t="n"/>
      <c r="H431" s="327" t="n"/>
      <c r="I431" s="327" t="n"/>
      <c r="J431" s="327" t="n"/>
      <c r="K431" s="327" t="n"/>
      <c r="L431" s="327" t="n"/>
      <c r="M431" s="327" t="n"/>
      <c r="N431" s="327" t="n"/>
      <c r="O431" s="327" t="n"/>
      <c r="P431" s="327" t="n"/>
      <c r="Q431" s="327" t="n"/>
      <c r="R431" s="327" t="n"/>
      <c r="S431" s="327" t="n"/>
      <c r="T431" s="327" t="n"/>
      <c r="U431" s="327" t="n"/>
      <c r="V431" s="327" t="n"/>
      <c r="W431" s="327" t="n"/>
      <c r="X431" s="327" t="n"/>
      <c r="Y431" s="327" t="n"/>
      <c r="Z431" s="327" t="n"/>
      <c r="AA431" s="327" t="n"/>
      <c r="AB431" s="327" t="n"/>
      <c r="AC431" s="327" t="n"/>
    </row>
    <row r="432">
      <c r="A432" s="327" t="n"/>
      <c r="B432" s="327" t="n"/>
      <c r="C432" s="354" t="n"/>
      <c r="D432" s="354" t="n"/>
      <c r="E432" s="354" t="n"/>
      <c r="F432" s="354" t="n"/>
      <c r="G432" s="354" t="n"/>
      <c r="H432" s="327" t="n"/>
      <c r="I432" s="327" t="n"/>
      <c r="J432" s="327" t="n"/>
      <c r="K432" s="327" t="n"/>
      <c r="L432" s="327" t="n"/>
      <c r="M432" s="327" t="n"/>
      <c r="N432" s="327" t="n"/>
      <c r="O432" s="327" t="n"/>
      <c r="P432" s="327" t="n"/>
      <c r="Q432" s="327" t="n"/>
      <c r="R432" s="327" t="n"/>
      <c r="S432" s="327" t="n"/>
      <c r="T432" s="327" t="n"/>
      <c r="U432" s="327" t="n"/>
      <c r="V432" s="327" t="n"/>
      <c r="W432" s="327" t="n"/>
      <c r="X432" s="327" t="n"/>
      <c r="Y432" s="327" t="n"/>
      <c r="Z432" s="327" t="n"/>
      <c r="AA432" s="327" t="n"/>
      <c r="AB432" s="327" t="n"/>
      <c r="AC432" s="327" t="n"/>
    </row>
    <row r="433">
      <c r="A433" s="327" t="n"/>
      <c r="B433" s="327" t="n"/>
      <c r="C433" s="354" t="n"/>
      <c r="D433" s="354" t="n"/>
      <c r="E433" s="354" t="n"/>
      <c r="F433" s="354" t="n"/>
      <c r="G433" s="354" t="n"/>
      <c r="H433" s="327" t="n"/>
      <c r="I433" s="327" t="n"/>
      <c r="J433" s="327" t="n"/>
      <c r="K433" s="327" t="n"/>
      <c r="L433" s="327" t="n"/>
      <c r="M433" s="327" t="n"/>
      <c r="N433" s="327" t="n"/>
      <c r="O433" s="327" t="n"/>
      <c r="P433" s="327" t="n"/>
      <c r="Q433" s="327" t="n"/>
      <c r="R433" s="327" t="n"/>
      <c r="S433" s="327" t="n"/>
      <c r="T433" s="327" t="n"/>
      <c r="U433" s="327" t="n"/>
      <c r="V433" s="327" t="n"/>
      <c r="W433" s="327" t="n"/>
      <c r="X433" s="327" t="n"/>
      <c r="Y433" s="327" t="n"/>
      <c r="Z433" s="327" t="n"/>
      <c r="AA433" s="327" t="n"/>
      <c r="AB433" s="327" t="n"/>
      <c r="AC433" s="327" t="n"/>
    </row>
    <row r="434">
      <c r="A434" s="327" t="n"/>
      <c r="B434" s="327" t="n"/>
      <c r="C434" s="354" t="n"/>
      <c r="D434" s="354" t="n"/>
      <c r="E434" s="354" t="n"/>
      <c r="F434" s="354" t="n"/>
      <c r="G434" s="354" t="n"/>
      <c r="H434" s="327" t="n"/>
      <c r="I434" s="327" t="n"/>
      <c r="J434" s="327" t="n"/>
      <c r="K434" s="327" t="n"/>
      <c r="L434" s="327" t="n"/>
      <c r="M434" s="327" t="n"/>
      <c r="N434" s="327" t="n"/>
      <c r="O434" s="327" t="n"/>
      <c r="P434" s="327" t="n"/>
      <c r="Q434" s="327" t="n"/>
      <c r="R434" s="327" t="n"/>
      <c r="S434" s="327" t="n"/>
      <c r="T434" s="327" t="n"/>
      <c r="U434" s="327" t="n"/>
      <c r="V434" s="327" t="n"/>
      <c r="W434" s="327" t="n"/>
      <c r="X434" s="327" t="n"/>
      <c r="Y434" s="327" t="n"/>
      <c r="Z434" s="327" t="n"/>
      <c r="AA434" s="327" t="n"/>
      <c r="AB434" s="327" t="n"/>
      <c r="AC434" s="327" t="n"/>
    </row>
    <row r="435">
      <c r="A435" s="327" t="n"/>
      <c r="B435" s="327" t="n"/>
      <c r="C435" s="354" t="n"/>
      <c r="D435" s="354" t="n"/>
      <c r="E435" s="354" t="n"/>
      <c r="F435" s="354" t="n"/>
      <c r="G435" s="354" t="n"/>
      <c r="H435" s="327" t="n"/>
      <c r="I435" s="327" t="n"/>
      <c r="J435" s="327" t="n"/>
      <c r="K435" s="327" t="n"/>
      <c r="L435" s="327" t="n"/>
      <c r="M435" s="327" t="n"/>
      <c r="N435" s="327" t="n"/>
      <c r="O435" s="327" t="n"/>
      <c r="P435" s="327" t="n"/>
      <c r="Q435" s="327" t="n"/>
      <c r="R435" s="327" t="n"/>
      <c r="S435" s="327" t="n"/>
      <c r="T435" s="327" t="n"/>
      <c r="U435" s="327" t="n"/>
      <c r="V435" s="327" t="n"/>
      <c r="W435" s="327" t="n"/>
      <c r="X435" s="327" t="n"/>
      <c r="Y435" s="327" t="n"/>
      <c r="Z435" s="327" t="n"/>
      <c r="AA435" s="327" t="n"/>
      <c r="AB435" s="327" t="n"/>
      <c r="AC435" s="327" t="n"/>
    </row>
    <row r="436">
      <c r="A436" s="327" t="n"/>
      <c r="B436" s="327" t="n"/>
      <c r="C436" s="354" t="n"/>
      <c r="D436" s="354" t="n"/>
      <c r="E436" s="354" t="n"/>
      <c r="F436" s="354" t="n"/>
      <c r="G436" s="354" t="n"/>
      <c r="H436" s="327" t="n"/>
      <c r="I436" s="327" t="n"/>
      <c r="J436" s="327" t="n"/>
      <c r="K436" s="327" t="n"/>
      <c r="L436" s="327" t="n"/>
      <c r="M436" s="327" t="n"/>
      <c r="N436" s="327" t="n"/>
      <c r="O436" s="327" t="n"/>
      <c r="P436" s="327" t="n"/>
      <c r="Q436" s="327" t="n"/>
      <c r="R436" s="327" t="n"/>
      <c r="S436" s="327" t="n"/>
      <c r="T436" s="327" t="n"/>
      <c r="U436" s="327" t="n"/>
      <c r="V436" s="327" t="n"/>
      <c r="W436" s="327" t="n"/>
      <c r="X436" s="327" t="n"/>
      <c r="Y436" s="327" t="n"/>
      <c r="Z436" s="327" t="n"/>
      <c r="AA436" s="327" t="n"/>
      <c r="AB436" s="327" t="n"/>
      <c r="AC436" s="327" t="n"/>
    </row>
    <row r="437">
      <c r="A437" s="327" t="n"/>
      <c r="B437" s="327" t="n"/>
      <c r="C437" s="354" t="n"/>
      <c r="D437" s="354" t="n"/>
      <c r="E437" s="354" t="n"/>
      <c r="F437" s="354" t="n"/>
      <c r="G437" s="354" t="n"/>
      <c r="H437" s="327" t="n"/>
      <c r="I437" s="327" t="n"/>
      <c r="J437" s="327" t="n"/>
      <c r="K437" s="327" t="n"/>
      <c r="L437" s="327" t="n"/>
      <c r="M437" s="327" t="n"/>
      <c r="N437" s="327" t="n"/>
      <c r="O437" s="327" t="n"/>
      <c r="P437" s="327" t="n"/>
      <c r="Q437" s="327" t="n"/>
      <c r="R437" s="327" t="n"/>
      <c r="S437" s="327" t="n"/>
      <c r="T437" s="327" t="n"/>
      <c r="U437" s="327" t="n"/>
      <c r="V437" s="327" t="n"/>
      <c r="W437" s="327" t="n"/>
      <c r="X437" s="327" t="n"/>
      <c r="Y437" s="327" t="n"/>
      <c r="Z437" s="327" t="n"/>
      <c r="AA437" s="327" t="n"/>
      <c r="AB437" s="327" t="n"/>
      <c r="AC437" s="327" t="n"/>
    </row>
    <row r="438">
      <c r="A438" s="327" t="n"/>
      <c r="B438" s="327" t="n"/>
      <c r="C438" s="354" t="n"/>
      <c r="D438" s="354" t="n"/>
      <c r="E438" s="354" t="n"/>
      <c r="F438" s="354" t="n"/>
      <c r="G438" s="354" t="n"/>
      <c r="H438" s="327" t="n"/>
      <c r="I438" s="327" t="n"/>
      <c r="J438" s="327" t="n"/>
      <c r="K438" s="327" t="n"/>
      <c r="L438" s="327" t="n"/>
      <c r="M438" s="327" t="n"/>
      <c r="N438" s="327" t="n"/>
      <c r="O438" s="327" t="n"/>
      <c r="P438" s="327" t="n"/>
      <c r="Q438" s="327" t="n"/>
      <c r="R438" s="327" t="n"/>
      <c r="S438" s="327" t="n"/>
      <c r="T438" s="327" t="n"/>
      <c r="U438" s="327" t="n"/>
      <c r="V438" s="327" t="n"/>
      <c r="W438" s="327" t="n"/>
      <c r="X438" s="327" t="n"/>
      <c r="Y438" s="327" t="n"/>
      <c r="Z438" s="327" t="n"/>
      <c r="AA438" s="327" t="n"/>
      <c r="AB438" s="327" t="n"/>
      <c r="AC438" s="327" t="n"/>
    </row>
    <row r="439">
      <c r="A439" s="327" t="n"/>
      <c r="B439" s="327" t="n"/>
      <c r="C439" s="354" t="n"/>
      <c r="D439" s="354" t="n"/>
      <c r="E439" s="354" t="n"/>
      <c r="F439" s="354" t="n"/>
      <c r="G439" s="354" t="n"/>
      <c r="H439" s="327" t="n"/>
      <c r="I439" s="327" t="n"/>
      <c r="J439" s="327" t="n"/>
      <c r="K439" s="327" t="n"/>
      <c r="L439" s="327" t="n"/>
      <c r="M439" s="327" t="n"/>
      <c r="N439" s="327" t="n"/>
      <c r="O439" s="327" t="n"/>
      <c r="P439" s="327" t="n"/>
      <c r="Q439" s="327" t="n"/>
      <c r="R439" s="327" t="n"/>
      <c r="S439" s="327" t="n"/>
      <c r="T439" s="327" t="n"/>
      <c r="U439" s="327" t="n"/>
      <c r="V439" s="327" t="n"/>
      <c r="W439" s="327" t="n"/>
      <c r="X439" s="327" t="n"/>
      <c r="Y439" s="327" t="n"/>
      <c r="Z439" s="327" t="n"/>
      <c r="AA439" s="327" t="n"/>
      <c r="AB439" s="327" t="n"/>
      <c r="AC439" s="327" t="n"/>
    </row>
    <row r="440">
      <c r="A440" s="327" t="n"/>
      <c r="B440" s="327" t="n"/>
      <c r="C440" s="354" t="n"/>
      <c r="D440" s="354" t="n"/>
      <c r="E440" s="354" t="n"/>
      <c r="F440" s="354" t="n"/>
      <c r="G440" s="354" t="n"/>
      <c r="H440" s="327" t="n"/>
      <c r="I440" s="327" t="n"/>
      <c r="J440" s="327" t="n"/>
      <c r="K440" s="327" t="n"/>
      <c r="L440" s="327" t="n"/>
      <c r="M440" s="327" t="n"/>
      <c r="N440" s="327" t="n"/>
      <c r="O440" s="327" t="n"/>
      <c r="P440" s="327" t="n"/>
      <c r="Q440" s="327" t="n"/>
      <c r="R440" s="327" t="n"/>
      <c r="S440" s="327" t="n"/>
      <c r="T440" s="327" t="n"/>
      <c r="U440" s="327" t="n"/>
      <c r="V440" s="327" t="n"/>
      <c r="W440" s="327" t="n"/>
      <c r="X440" s="327" t="n"/>
      <c r="Y440" s="327" t="n"/>
      <c r="Z440" s="327" t="n"/>
      <c r="AA440" s="327" t="n"/>
      <c r="AB440" s="327" t="n"/>
      <c r="AC440" s="327" t="n"/>
    </row>
    <row r="441">
      <c r="A441" s="327" t="n"/>
      <c r="B441" s="327" t="n"/>
      <c r="C441" s="354" t="n"/>
      <c r="D441" s="354" t="n"/>
      <c r="E441" s="354" t="n"/>
      <c r="F441" s="354" t="n"/>
      <c r="G441" s="354" t="n"/>
      <c r="H441" s="327" t="n"/>
      <c r="I441" s="327" t="n"/>
      <c r="J441" s="327" t="n"/>
      <c r="K441" s="327" t="n"/>
      <c r="L441" s="327" t="n"/>
      <c r="M441" s="327" t="n"/>
      <c r="N441" s="327" t="n"/>
      <c r="O441" s="327" t="n"/>
      <c r="P441" s="327" t="n"/>
      <c r="Q441" s="327" t="n"/>
      <c r="R441" s="327" t="n"/>
      <c r="S441" s="327" t="n"/>
      <c r="T441" s="327" t="n"/>
      <c r="U441" s="327" t="n"/>
      <c r="V441" s="327" t="n"/>
      <c r="W441" s="327" t="n"/>
      <c r="X441" s="327" t="n"/>
      <c r="Y441" s="327" t="n"/>
      <c r="Z441" s="327" t="n"/>
      <c r="AA441" s="327" t="n"/>
      <c r="AB441" s="327" t="n"/>
      <c r="AC441" s="327" t="n"/>
    </row>
    <row r="442">
      <c r="A442" s="327" t="n"/>
      <c r="B442" s="327" t="n"/>
      <c r="C442" s="354" t="n"/>
      <c r="D442" s="354" t="n"/>
      <c r="E442" s="354" t="n"/>
      <c r="F442" s="354" t="n"/>
      <c r="G442" s="354" t="n"/>
      <c r="H442" s="327" t="n"/>
      <c r="I442" s="327" t="n"/>
      <c r="J442" s="327" t="n"/>
      <c r="K442" s="327" t="n"/>
      <c r="L442" s="327" t="n"/>
      <c r="M442" s="327" t="n"/>
      <c r="N442" s="327" t="n"/>
      <c r="O442" s="327" t="n"/>
      <c r="P442" s="327" t="n"/>
      <c r="Q442" s="327" t="n"/>
      <c r="R442" s="327" t="n"/>
      <c r="S442" s="327" t="n"/>
      <c r="T442" s="327" t="n"/>
      <c r="U442" s="327" t="n"/>
      <c r="V442" s="327" t="n"/>
      <c r="W442" s="327" t="n"/>
      <c r="X442" s="327" t="n"/>
      <c r="Y442" s="327" t="n"/>
      <c r="Z442" s="327" t="n"/>
      <c r="AA442" s="327" t="n"/>
      <c r="AB442" s="327" t="n"/>
      <c r="AC442" s="327" t="n"/>
    </row>
    <row r="443">
      <c r="A443" s="327" t="n"/>
      <c r="B443" s="327" t="n"/>
      <c r="C443" s="354" t="n"/>
      <c r="D443" s="354" t="n"/>
      <c r="E443" s="354" t="n"/>
      <c r="F443" s="354" t="n"/>
      <c r="G443" s="354" t="n"/>
      <c r="H443" s="327" t="n"/>
      <c r="I443" s="327" t="n"/>
      <c r="J443" s="327" t="n"/>
      <c r="K443" s="327" t="n"/>
      <c r="L443" s="327" t="n"/>
      <c r="M443" s="327" t="n"/>
      <c r="N443" s="327" t="n"/>
      <c r="O443" s="327" t="n"/>
      <c r="P443" s="327" t="n"/>
      <c r="Q443" s="327" t="n"/>
      <c r="R443" s="327" t="n"/>
      <c r="S443" s="327" t="n"/>
      <c r="T443" s="327" t="n"/>
      <c r="U443" s="327" t="n"/>
      <c r="V443" s="327" t="n"/>
      <c r="W443" s="327" t="n"/>
      <c r="X443" s="327" t="n"/>
      <c r="Y443" s="327" t="n"/>
      <c r="Z443" s="327" t="n"/>
      <c r="AA443" s="327" t="n"/>
      <c r="AB443" s="327" t="n"/>
      <c r="AC443" s="327" t="n"/>
    </row>
    <row r="444">
      <c r="A444" s="327" t="n"/>
      <c r="B444" s="327" t="n"/>
      <c r="C444" s="354" t="n"/>
      <c r="D444" s="354" t="n"/>
      <c r="E444" s="354" t="n"/>
      <c r="F444" s="354" t="n"/>
      <c r="G444" s="354" t="n"/>
      <c r="H444" s="327" t="n"/>
      <c r="I444" s="327" t="n"/>
      <c r="J444" s="327" t="n"/>
      <c r="K444" s="327" t="n"/>
      <c r="L444" s="327" t="n"/>
      <c r="M444" s="327" t="n"/>
      <c r="N444" s="327" t="n"/>
      <c r="O444" s="327" t="n"/>
      <c r="P444" s="327" t="n"/>
      <c r="Q444" s="327" t="n"/>
      <c r="R444" s="327" t="n"/>
      <c r="S444" s="327" t="n"/>
      <c r="T444" s="327" t="n"/>
      <c r="U444" s="327" t="n"/>
      <c r="V444" s="327" t="n"/>
      <c r="W444" s="327" t="n"/>
      <c r="X444" s="327" t="n"/>
      <c r="Y444" s="327" t="n"/>
      <c r="Z444" s="327" t="n"/>
      <c r="AA444" s="327" t="n"/>
      <c r="AB444" s="327" t="n"/>
      <c r="AC444" s="327" t="n"/>
    </row>
    <row r="445">
      <c r="C445" s="354" t="n"/>
      <c r="D445" s="354" t="n"/>
      <c r="E445" s="354" t="n"/>
      <c r="F445" s="354" t="n"/>
      <c r="G445" s="354" t="n"/>
    </row>
    <row r="446">
      <c r="C446" s="354" t="n"/>
      <c r="D446" s="354" t="n"/>
      <c r="E446" s="354" t="n"/>
      <c r="F446" s="354" t="n"/>
      <c r="G446" s="354" t="n"/>
    </row>
    <row r="447">
      <c r="C447" s="354" t="n"/>
      <c r="D447" s="354" t="n"/>
      <c r="E447" s="354" t="n"/>
      <c r="F447" s="354" t="n"/>
      <c r="G447" s="354" t="n"/>
    </row>
    <row r="448">
      <c r="C448" s="354" t="n"/>
      <c r="D448" s="354" t="n"/>
      <c r="E448" s="354" t="n"/>
      <c r="F448" s="354" t="n"/>
      <c r="G448" s="354" t="n"/>
    </row>
    <row r="449">
      <c r="C449" s="354" t="n"/>
      <c r="D449" s="354" t="n"/>
      <c r="E449" s="354" t="n"/>
      <c r="F449" s="354" t="n"/>
      <c r="G449" s="354" t="n"/>
    </row>
    <row r="450">
      <c r="C450" s="354" t="n"/>
      <c r="D450" s="354" t="n"/>
      <c r="E450" s="354" t="n"/>
      <c r="F450" s="354" t="n"/>
      <c r="G450" s="354" t="n"/>
    </row>
    <row r="451">
      <c r="C451" s="354" t="n"/>
      <c r="D451" s="354" t="n"/>
      <c r="E451" s="354" t="n"/>
      <c r="F451" s="354" t="n"/>
      <c r="G451" s="354" t="n"/>
    </row>
    <row r="452">
      <c r="C452" s="354" t="n"/>
      <c r="D452" s="354" t="n"/>
      <c r="E452" s="354" t="n"/>
      <c r="F452" s="354" t="n"/>
      <c r="G452" s="354" t="n"/>
    </row>
    <row r="453">
      <c r="C453" s="354" t="n"/>
      <c r="D453" s="354" t="n"/>
      <c r="E453" s="354" t="n"/>
      <c r="F453" s="354" t="n"/>
      <c r="G453" s="354" t="n"/>
    </row>
    <row r="454">
      <c r="C454" s="354" t="n"/>
      <c r="D454" s="354" t="n"/>
      <c r="E454" s="354" t="n"/>
      <c r="F454" s="354" t="n"/>
      <c r="G454" s="354" t="n"/>
    </row>
    <row r="455">
      <c r="C455" s="354" t="n"/>
      <c r="D455" s="354" t="n"/>
      <c r="E455" s="354" t="n"/>
      <c r="F455" s="354" t="n"/>
      <c r="G455" s="354" t="n"/>
    </row>
    <row r="456">
      <c r="C456" s="354" t="n"/>
      <c r="D456" s="354" t="n"/>
      <c r="E456" s="354" t="n"/>
      <c r="F456" s="354" t="n"/>
      <c r="G456" s="354" t="n"/>
    </row>
    <row r="457">
      <c r="C457" s="354" t="n"/>
      <c r="D457" s="354" t="n"/>
      <c r="E457" s="354" t="n"/>
      <c r="F457" s="354" t="n"/>
      <c r="G457" s="354" t="n"/>
    </row>
    <row r="458">
      <c r="C458" s="354" t="n"/>
      <c r="D458" s="354" t="n"/>
      <c r="E458" s="354" t="n"/>
      <c r="F458" s="354" t="n"/>
      <c r="G458" s="354" t="n"/>
    </row>
    <row r="459">
      <c r="C459" s="354" t="n"/>
      <c r="D459" s="354" t="n"/>
      <c r="E459" s="354" t="n"/>
      <c r="F459" s="354" t="n"/>
      <c r="G459" s="354" t="n"/>
    </row>
    <row r="460">
      <c r="C460" s="354" t="n"/>
      <c r="D460" s="354" t="n"/>
      <c r="E460" s="354" t="n"/>
      <c r="F460" s="354" t="n"/>
      <c r="G460" s="354" t="n"/>
    </row>
    <row r="461">
      <c r="C461" s="354" t="n"/>
      <c r="D461" s="354" t="n"/>
      <c r="E461" s="354" t="n"/>
      <c r="F461" s="354" t="n"/>
      <c r="G461" s="354" t="n"/>
    </row>
    <row r="462">
      <c r="C462" s="354" t="n"/>
      <c r="D462" s="354" t="n"/>
      <c r="E462" s="354" t="n"/>
      <c r="F462" s="354" t="n"/>
      <c r="G462" s="354" t="n"/>
    </row>
    <row r="463">
      <c r="C463" s="354" t="n"/>
      <c r="D463" s="354" t="n"/>
      <c r="E463" s="354" t="n"/>
      <c r="F463" s="354" t="n"/>
      <c r="G463" s="354" t="n"/>
    </row>
    <row r="464">
      <c r="C464" s="354" t="n"/>
      <c r="D464" s="354" t="n"/>
      <c r="E464" s="354" t="n"/>
      <c r="F464" s="354" t="n"/>
      <c r="G464" s="354" t="n"/>
    </row>
    <row r="465">
      <c r="C465" s="354" t="n"/>
      <c r="D465" s="354" t="n"/>
      <c r="E465" s="354" t="n"/>
      <c r="F465" s="354" t="n"/>
      <c r="G465" s="354" t="n"/>
    </row>
    <row r="466">
      <c r="C466" s="354" t="n"/>
      <c r="D466" s="354" t="n"/>
      <c r="E466" s="354" t="n"/>
      <c r="F466" s="354" t="n"/>
      <c r="G466" s="354" t="n"/>
    </row>
    <row r="467">
      <c r="C467" s="354" t="n"/>
      <c r="D467" s="354" t="n"/>
      <c r="E467" s="354" t="n"/>
      <c r="F467" s="354" t="n"/>
      <c r="G467" s="354" t="n"/>
    </row>
    <row r="468">
      <c r="C468" s="354" t="n"/>
      <c r="D468" s="354" t="n"/>
      <c r="E468" s="354" t="n"/>
      <c r="F468" s="354" t="n"/>
      <c r="G468" s="354" t="n"/>
    </row>
    <row r="469">
      <c r="C469" s="354" t="n"/>
      <c r="D469" s="354" t="n"/>
      <c r="E469" s="354" t="n"/>
      <c r="F469" s="354" t="n"/>
      <c r="G469" s="354" t="n"/>
    </row>
    <row r="470">
      <c r="C470" s="354" t="n"/>
      <c r="D470" s="354" t="n"/>
      <c r="E470" s="354" t="n"/>
      <c r="F470" s="354" t="n"/>
      <c r="G470" s="354" t="n"/>
    </row>
    <row r="471">
      <c r="C471" s="354" t="n"/>
      <c r="D471" s="354" t="n"/>
      <c r="E471" s="354" t="n"/>
      <c r="F471" s="354" t="n"/>
      <c r="G471" s="354" t="n"/>
    </row>
    <row r="472">
      <c r="C472" s="354" t="n"/>
      <c r="D472" s="354" t="n"/>
      <c r="E472" s="354" t="n"/>
      <c r="F472" s="354" t="n"/>
      <c r="G472" s="354" t="n"/>
    </row>
    <row r="473">
      <c r="C473" s="354" t="n"/>
      <c r="D473" s="354" t="n"/>
      <c r="E473" s="354" t="n"/>
      <c r="F473" s="354" t="n"/>
      <c r="G473" s="354" t="n"/>
    </row>
    <row r="474">
      <c r="C474" s="354" t="n"/>
      <c r="D474" s="354" t="n"/>
      <c r="E474" s="354" t="n"/>
      <c r="F474" s="354" t="n"/>
      <c r="G474" s="354" t="n"/>
    </row>
    <row r="475">
      <c r="C475" s="354" t="n"/>
      <c r="D475" s="354" t="n"/>
      <c r="E475" s="354" t="n"/>
      <c r="F475" s="354" t="n"/>
      <c r="G475" s="354" t="n"/>
    </row>
    <row r="476">
      <c r="C476" s="354" t="n"/>
      <c r="D476" s="354" t="n"/>
      <c r="E476" s="354" t="n"/>
      <c r="F476" s="354" t="n"/>
      <c r="G476" s="354" t="n"/>
    </row>
    <row r="477">
      <c r="C477" s="354" t="n"/>
      <c r="D477" s="354" t="n"/>
      <c r="E477" s="354" t="n"/>
      <c r="F477" s="354" t="n"/>
      <c r="G477" s="354" t="n"/>
    </row>
    <row r="478">
      <c r="C478" s="354" t="n"/>
      <c r="D478" s="354" t="n"/>
      <c r="E478" s="354" t="n"/>
      <c r="F478" s="354" t="n"/>
      <c r="G478" s="354" t="n"/>
    </row>
    <row r="479">
      <c r="C479" s="354" t="n"/>
      <c r="D479" s="354" t="n"/>
      <c r="E479" s="354" t="n"/>
      <c r="F479" s="354" t="n"/>
      <c r="G479" s="354" t="n"/>
    </row>
    <row r="480">
      <c r="C480" s="354" t="n"/>
      <c r="D480" s="354" t="n"/>
      <c r="E480" s="354" t="n"/>
      <c r="F480" s="354" t="n"/>
      <c r="G480" s="354" t="n"/>
    </row>
    <row r="481">
      <c r="C481" s="354" t="n"/>
      <c r="D481" s="354" t="n"/>
      <c r="E481" s="354" t="n"/>
      <c r="F481" s="354" t="n"/>
      <c r="G481" s="354" t="n"/>
    </row>
    <row r="482">
      <c r="C482" s="354" t="n"/>
      <c r="D482" s="354" t="n"/>
      <c r="E482" s="354" t="n"/>
      <c r="F482" s="354" t="n"/>
      <c r="G482" s="354" t="n"/>
    </row>
    <row r="483">
      <c r="C483" s="354" t="n"/>
      <c r="D483" s="354" t="n"/>
      <c r="E483" s="354" t="n"/>
      <c r="F483" s="354" t="n"/>
      <c r="G483" s="354" t="n"/>
    </row>
    <row r="484">
      <c r="C484" s="354" t="n"/>
      <c r="D484" s="354" t="n"/>
      <c r="E484" s="354" t="n"/>
      <c r="F484" s="354" t="n"/>
      <c r="G484" s="354" t="n"/>
    </row>
    <row r="485">
      <c r="C485" s="354" t="n"/>
      <c r="D485" s="354" t="n"/>
      <c r="E485" s="354" t="n"/>
      <c r="F485" s="354" t="n"/>
      <c r="G485" s="354" t="n"/>
    </row>
    <row r="486">
      <c r="C486" s="354" t="n"/>
      <c r="D486" s="354" t="n"/>
      <c r="E486" s="354" t="n"/>
      <c r="F486" s="354" t="n"/>
      <c r="G486" s="354" t="n"/>
    </row>
    <row r="487">
      <c r="C487" s="354" t="n"/>
      <c r="D487" s="354" t="n"/>
      <c r="E487" s="354" t="n"/>
      <c r="F487" s="354" t="n"/>
      <c r="G487" s="354" t="n"/>
    </row>
    <row r="488">
      <c r="C488" s="354" t="n"/>
      <c r="D488" s="354" t="n"/>
      <c r="E488" s="354" t="n"/>
      <c r="F488" s="354" t="n"/>
      <c r="G488" s="354" t="n"/>
    </row>
    <row r="489">
      <c r="C489" s="354" t="n"/>
      <c r="D489" s="354" t="n"/>
      <c r="E489" s="354" t="n"/>
      <c r="F489" s="354" t="n"/>
      <c r="G489" s="354" t="n"/>
    </row>
    <row r="490">
      <c r="C490" s="354" t="n"/>
      <c r="D490" s="354" t="n"/>
      <c r="E490" s="354" t="n"/>
      <c r="F490" s="354" t="n"/>
      <c r="G490" s="354" t="n"/>
    </row>
    <row r="491">
      <c r="C491" s="354" t="n"/>
      <c r="D491" s="354" t="n"/>
      <c r="E491" s="354" t="n"/>
      <c r="F491" s="354" t="n"/>
      <c r="G491" s="354" t="n"/>
    </row>
    <row r="492">
      <c r="C492" s="354" t="n"/>
      <c r="D492" s="354" t="n"/>
      <c r="E492" s="354" t="n"/>
      <c r="F492" s="354" t="n"/>
      <c r="G492" s="354" t="n"/>
    </row>
    <row r="493">
      <c r="C493" s="354" t="n"/>
      <c r="D493" s="354" t="n"/>
      <c r="E493" s="354" t="n"/>
      <c r="F493" s="354" t="n"/>
      <c r="G493" s="354" t="n"/>
    </row>
    <row r="494">
      <c r="C494" s="354" t="n"/>
      <c r="D494" s="354" t="n"/>
      <c r="E494" s="354" t="n"/>
      <c r="F494" s="354" t="n"/>
      <c r="G494" s="354" t="n"/>
    </row>
    <row r="495">
      <c r="C495" s="354" t="n"/>
      <c r="D495" s="354" t="n"/>
      <c r="E495" s="354" t="n"/>
      <c r="F495" s="354" t="n"/>
      <c r="G495" s="354" t="n"/>
    </row>
    <row r="496">
      <c r="C496" s="354" t="n"/>
      <c r="D496" s="354" t="n"/>
      <c r="E496" s="354" t="n"/>
      <c r="F496" s="354" t="n"/>
      <c r="G496" s="354" t="n"/>
    </row>
    <row r="497">
      <c r="C497" s="354" t="n"/>
      <c r="D497" s="354" t="n"/>
      <c r="E497" s="354" t="n"/>
      <c r="F497" s="354" t="n"/>
      <c r="G497" s="354" t="n"/>
    </row>
    <row r="498">
      <c r="C498" s="354" t="n"/>
      <c r="D498" s="354" t="n"/>
      <c r="E498" s="354" t="n"/>
      <c r="F498" s="354" t="n"/>
      <c r="G498" s="354" t="n"/>
    </row>
    <row r="499">
      <c r="C499" s="354" t="n"/>
      <c r="D499" s="354" t="n"/>
      <c r="E499" s="354" t="n"/>
      <c r="F499" s="354" t="n"/>
      <c r="G499" s="354" t="n"/>
    </row>
    <row r="500">
      <c r="C500" s="354" t="n"/>
      <c r="D500" s="354" t="n"/>
      <c r="E500" s="354" t="n"/>
      <c r="F500" s="354" t="n"/>
      <c r="G500" s="354" t="n"/>
    </row>
    <row r="501">
      <c r="C501" s="354" t="n"/>
      <c r="D501" s="354" t="n"/>
      <c r="E501" s="354" t="n"/>
      <c r="F501" s="354" t="n"/>
      <c r="G501" s="354" t="n"/>
    </row>
    <row r="502">
      <c r="C502" s="354" t="n"/>
      <c r="D502" s="354" t="n"/>
      <c r="E502" s="354" t="n"/>
      <c r="F502" s="354" t="n"/>
      <c r="G502" s="354" t="n"/>
    </row>
    <row r="503">
      <c r="C503" s="354" t="n"/>
      <c r="D503" s="354" t="n"/>
      <c r="E503" s="354" t="n"/>
      <c r="F503" s="354" t="n"/>
      <c r="G503" s="354" t="n"/>
    </row>
    <row r="504">
      <c r="C504" s="354" t="n"/>
      <c r="D504" s="354" t="n"/>
      <c r="E504" s="354" t="n"/>
      <c r="F504" s="354" t="n"/>
      <c r="G504" s="354" t="n"/>
    </row>
    <row r="505">
      <c r="C505" s="354" t="n"/>
      <c r="D505" s="354" t="n"/>
      <c r="E505" s="354" t="n"/>
      <c r="F505" s="354" t="n"/>
      <c r="G505" s="354" t="n"/>
    </row>
    <row r="506">
      <c r="C506" s="354" t="n"/>
      <c r="D506" s="354" t="n"/>
      <c r="E506" s="354" t="n"/>
      <c r="F506" s="354" t="n"/>
      <c r="G506" s="354" t="n"/>
    </row>
    <row r="507">
      <c r="C507" s="354" t="n"/>
      <c r="D507" s="354" t="n"/>
      <c r="E507" s="354" t="n"/>
      <c r="F507" s="354" t="n"/>
      <c r="G507" s="354" t="n"/>
    </row>
    <row r="508">
      <c r="C508" s="354" t="n"/>
      <c r="D508" s="354" t="n"/>
      <c r="E508" s="354" t="n"/>
      <c r="F508" s="354" t="n"/>
      <c r="G508" s="354" t="n"/>
    </row>
    <row r="509">
      <c r="C509" s="354" t="n"/>
      <c r="D509" s="354" t="n"/>
      <c r="E509" s="354" t="n"/>
      <c r="F509" s="354" t="n"/>
      <c r="G509" s="354" t="n"/>
    </row>
    <row r="510">
      <c r="C510" s="354" t="n"/>
      <c r="D510" s="354" t="n"/>
      <c r="E510" s="354" t="n"/>
      <c r="F510" s="354" t="n"/>
      <c r="G510" s="354" t="n"/>
    </row>
    <row r="511">
      <c r="C511" s="354" t="n"/>
      <c r="D511" s="354" t="n"/>
      <c r="E511" s="354" t="n"/>
      <c r="F511" s="354" t="n"/>
      <c r="G511" s="354" t="n"/>
    </row>
    <row r="512">
      <c r="C512" s="354" t="n"/>
      <c r="D512" s="354" t="n"/>
      <c r="E512" s="354" t="n"/>
      <c r="F512" s="354" t="n"/>
      <c r="G512" s="354" t="n"/>
    </row>
    <row r="513">
      <c r="C513" s="354" t="n"/>
      <c r="D513" s="354" t="n"/>
      <c r="E513" s="354" t="n"/>
      <c r="F513" s="354" t="n"/>
      <c r="G513" s="354" t="n"/>
    </row>
    <row r="514">
      <c r="C514" s="354" t="n"/>
      <c r="D514" s="354" t="n"/>
      <c r="E514" s="354" t="n"/>
      <c r="F514" s="354" t="n"/>
      <c r="G514" s="354" t="n"/>
    </row>
    <row r="515">
      <c r="C515" s="354" t="n"/>
      <c r="D515" s="354" t="n"/>
      <c r="E515" s="354" t="n"/>
      <c r="F515" s="354" t="n"/>
      <c r="G515" s="354" t="n"/>
    </row>
    <row r="516">
      <c r="C516" s="354" t="n"/>
      <c r="D516" s="354" t="n"/>
      <c r="E516" s="354" t="n"/>
      <c r="F516" s="354" t="n"/>
      <c r="G516" s="354" t="n"/>
    </row>
    <row r="517">
      <c r="C517" s="354" t="n"/>
      <c r="D517" s="354" t="n"/>
      <c r="E517" s="354" t="n"/>
      <c r="F517" s="354" t="n"/>
      <c r="G517" s="354" t="n"/>
    </row>
    <row r="518">
      <c r="C518" s="354" t="n"/>
      <c r="D518" s="354" t="n"/>
      <c r="E518" s="354" t="n"/>
      <c r="F518" s="354" t="n"/>
      <c r="G518" s="354" t="n"/>
    </row>
    <row r="519">
      <c r="C519" s="354" t="n"/>
      <c r="D519" s="354" t="n"/>
      <c r="E519" s="354" t="n"/>
      <c r="F519" s="354" t="n"/>
      <c r="G519" s="354" t="n"/>
    </row>
    <row r="520">
      <c r="C520" s="354" t="n"/>
      <c r="D520" s="354" t="n"/>
      <c r="E520" s="354" t="n"/>
      <c r="F520" s="354" t="n"/>
      <c r="G520" s="354" t="n"/>
    </row>
    <row r="521">
      <c r="C521" s="354" t="n"/>
      <c r="D521" s="354" t="n"/>
      <c r="E521" s="354" t="n"/>
      <c r="F521" s="354" t="n"/>
      <c r="G521" s="354" t="n"/>
    </row>
    <row r="522">
      <c r="C522" s="354" t="n"/>
      <c r="D522" s="354" t="n"/>
      <c r="E522" s="354" t="n"/>
      <c r="F522" s="354" t="n"/>
      <c r="G522" s="354" t="n"/>
    </row>
    <row r="523">
      <c r="C523" s="354" t="n"/>
      <c r="D523" s="354" t="n"/>
      <c r="E523" s="354" t="n"/>
      <c r="F523" s="354" t="n"/>
      <c r="G523" s="354" t="n"/>
    </row>
    <row r="524">
      <c r="C524" s="354" t="n"/>
      <c r="D524" s="354" t="n"/>
      <c r="E524" s="354" t="n"/>
      <c r="F524" s="354" t="n"/>
      <c r="G524" s="354" t="n"/>
    </row>
    <row r="525">
      <c r="C525" s="354" t="n"/>
      <c r="D525" s="354" t="n"/>
      <c r="E525" s="354" t="n"/>
      <c r="F525" s="354" t="n"/>
      <c r="G525" s="354" t="n"/>
    </row>
    <row r="526">
      <c r="C526" s="354" t="n"/>
      <c r="D526" s="354" t="n"/>
      <c r="E526" s="354" t="n"/>
      <c r="F526" s="354" t="n"/>
      <c r="G526" s="354" t="n"/>
    </row>
    <row r="527">
      <c r="C527" s="354" t="n"/>
      <c r="D527" s="354" t="n"/>
      <c r="E527" s="354" t="n"/>
      <c r="F527" s="354" t="n"/>
      <c r="G527" s="354" t="n"/>
    </row>
    <row r="528">
      <c r="C528" s="354" t="n"/>
      <c r="D528" s="354" t="n"/>
      <c r="E528" s="354" t="n"/>
      <c r="F528" s="354" t="n"/>
      <c r="G528" s="354" t="n"/>
    </row>
    <row r="529">
      <c r="C529" s="354" t="n"/>
      <c r="D529" s="354" t="n"/>
      <c r="E529" s="354" t="n"/>
      <c r="F529" s="354" t="n"/>
      <c r="G529" s="354" t="n"/>
    </row>
    <row r="530">
      <c r="C530" s="354" t="n"/>
      <c r="D530" s="354" t="n"/>
      <c r="E530" s="354" t="n"/>
      <c r="F530" s="354" t="n"/>
      <c r="G530" s="354" t="n"/>
    </row>
    <row r="531">
      <c r="C531" s="354" t="n"/>
      <c r="D531" s="354" t="n"/>
      <c r="E531" s="354" t="n"/>
      <c r="F531" s="354" t="n"/>
      <c r="G531" s="354" t="n"/>
    </row>
    <row r="532">
      <c r="C532" s="354" t="n"/>
      <c r="D532" s="354" t="n"/>
      <c r="E532" s="354" t="n"/>
      <c r="F532" s="354" t="n"/>
      <c r="G532" s="354" t="n"/>
    </row>
    <row r="533">
      <c r="C533" s="354" t="n"/>
      <c r="D533" s="354" t="n"/>
      <c r="E533" s="354" t="n"/>
      <c r="F533" s="354" t="n"/>
      <c r="G533" s="354" t="n"/>
    </row>
    <row r="534">
      <c r="C534" s="354" t="n"/>
      <c r="D534" s="354" t="n"/>
      <c r="E534" s="354" t="n"/>
      <c r="F534" s="354" t="n"/>
      <c r="G534" s="354" t="n"/>
    </row>
    <row r="535">
      <c r="C535" s="354" t="n"/>
      <c r="D535" s="354" t="n"/>
      <c r="E535" s="354" t="n"/>
      <c r="F535" s="354" t="n"/>
      <c r="G535" s="354" t="n"/>
    </row>
    <row r="536">
      <c r="C536" s="354" t="n"/>
      <c r="D536" s="354" t="n"/>
      <c r="E536" s="354" t="n"/>
      <c r="F536" s="354" t="n"/>
      <c r="G536" s="354" t="n"/>
    </row>
    <row r="537">
      <c r="C537" s="354" t="n"/>
      <c r="D537" s="354" t="n"/>
      <c r="E537" s="354" t="n"/>
      <c r="F537" s="354" t="n"/>
      <c r="G537" s="354" t="n"/>
    </row>
    <row r="538">
      <c r="C538" s="354" t="n"/>
      <c r="D538" s="354" t="n"/>
      <c r="E538" s="354" t="n"/>
      <c r="F538" s="354" t="n"/>
      <c r="G538" s="354" t="n"/>
    </row>
    <row r="539">
      <c r="C539" s="354" t="n"/>
      <c r="D539" s="354" t="n"/>
      <c r="E539" s="354" t="n"/>
      <c r="F539" s="354" t="n"/>
      <c r="G539" s="354" t="n"/>
    </row>
    <row r="540">
      <c r="C540" s="354" t="n"/>
      <c r="D540" s="354" t="n"/>
      <c r="E540" s="354" t="n"/>
      <c r="F540" s="354" t="n"/>
      <c r="G540" s="354" t="n"/>
    </row>
    <row r="541">
      <c r="C541" s="354" t="n"/>
      <c r="D541" s="354" t="n"/>
      <c r="E541" s="354" t="n"/>
      <c r="F541" s="354" t="n"/>
      <c r="G541" s="354" t="n"/>
    </row>
    <row r="542">
      <c r="C542" s="354" t="n"/>
      <c r="D542" s="354" t="n"/>
      <c r="E542" s="354" t="n"/>
      <c r="F542" s="354" t="n"/>
      <c r="G542" s="354" t="n"/>
    </row>
    <row r="543">
      <c r="C543" s="354" t="n"/>
      <c r="D543" s="354" t="n"/>
      <c r="E543" s="354" t="n"/>
      <c r="F543" s="354" t="n"/>
      <c r="G543" s="354" t="n"/>
    </row>
    <row r="544">
      <c r="C544" s="354" t="n"/>
      <c r="D544" s="354" t="n"/>
      <c r="E544" s="354" t="n"/>
      <c r="F544" s="354" t="n"/>
      <c r="G544" s="354" t="n"/>
    </row>
    <row r="545">
      <c r="C545" s="354" t="n"/>
      <c r="D545" s="354" t="n"/>
      <c r="E545" s="354" t="n"/>
      <c r="F545" s="354" t="n"/>
      <c r="G545" s="354" t="n"/>
    </row>
    <row r="546">
      <c r="C546" s="354" t="n"/>
      <c r="D546" s="354" t="n"/>
      <c r="E546" s="354" t="n"/>
      <c r="F546" s="354" t="n"/>
      <c r="G546" s="354" t="n"/>
    </row>
    <row r="547">
      <c r="C547" s="354" t="n"/>
      <c r="D547" s="354" t="n"/>
      <c r="E547" s="354" t="n"/>
      <c r="F547" s="354" t="n"/>
      <c r="G547" s="354" t="n"/>
    </row>
    <row r="548">
      <c r="C548" s="354" t="n"/>
      <c r="D548" s="354" t="n"/>
      <c r="E548" s="354" t="n"/>
      <c r="F548" s="354" t="n"/>
      <c r="G548" s="354" t="n"/>
    </row>
    <row r="549">
      <c r="C549" s="354" t="n"/>
      <c r="D549" s="354" t="n"/>
      <c r="E549" s="354" t="n"/>
      <c r="F549" s="354" t="n"/>
      <c r="G549" s="354" t="n"/>
    </row>
    <row r="550">
      <c r="C550" s="354" t="n"/>
      <c r="D550" s="354" t="n"/>
      <c r="E550" s="354" t="n"/>
      <c r="F550" s="354" t="n"/>
      <c r="G550" s="354" t="n"/>
    </row>
    <row r="551">
      <c r="C551" s="354" t="n"/>
      <c r="D551" s="354" t="n"/>
      <c r="E551" s="354" t="n"/>
      <c r="F551" s="354" t="n"/>
      <c r="G551" s="354" t="n"/>
    </row>
    <row r="552">
      <c r="C552" s="354" t="n"/>
      <c r="D552" s="354" t="n"/>
      <c r="E552" s="354" t="n"/>
      <c r="F552" s="354" t="n"/>
      <c r="G552" s="354" t="n"/>
    </row>
    <row r="553">
      <c r="C553" s="354" t="n"/>
      <c r="D553" s="354" t="n"/>
      <c r="E553" s="354" t="n"/>
      <c r="F553" s="354" t="n"/>
      <c r="G553" s="354" t="n"/>
    </row>
    <row r="554">
      <c r="C554" s="354" t="n"/>
      <c r="D554" s="354" t="n"/>
      <c r="E554" s="354" t="n"/>
      <c r="F554" s="354" t="n"/>
      <c r="G554" s="354" t="n"/>
    </row>
    <row r="555">
      <c r="C555" s="354" t="n"/>
      <c r="D555" s="354" t="n"/>
      <c r="E555" s="354" t="n"/>
      <c r="F555" s="354" t="n"/>
      <c r="G555" s="354" t="n"/>
    </row>
    <row r="556">
      <c r="C556" s="354" t="n"/>
      <c r="D556" s="354" t="n"/>
      <c r="E556" s="354" t="n"/>
      <c r="F556" s="354" t="n"/>
      <c r="G556" s="354" t="n"/>
    </row>
    <row r="557">
      <c r="C557" s="354" t="n"/>
      <c r="D557" s="354" t="n"/>
      <c r="E557" s="354" t="n"/>
      <c r="F557" s="354" t="n"/>
      <c r="G557" s="354" t="n"/>
    </row>
    <row r="558">
      <c r="C558" s="354" t="n"/>
      <c r="D558" s="354" t="n"/>
      <c r="E558" s="354" t="n"/>
      <c r="F558" s="354" t="n"/>
      <c r="G558" s="354" t="n"/>
    </row>
    <row r="559">
      <c r="C559" s="354" t="n"/>
      <c r="D559" s="354" t="n"/>
      <c r="E559" s="354" t="n"/>
      <c r="F559" s="354" t="n"/>
      <c r="G559" s="354" t="n"/>
    </row>
    <row r="560">
      <c r="C560" s="354" t="n"/>
      <c r="D560" s="354" t="n"/>
      <c r="E560" s="354" t="n"/>
      <c r="F560" s="354" t="n"/>
      <c r="G560" s="354" t="n"/>
    </row>
    <row r="561">
      <c r="C561" s="354" t="n"/>
      <c r="D561" s="354" t="n"/>
      <c r="E561" s="354" t="n"/>
      <c r="F561" s="354" t="n"/>
      <c r="G561" s="354" t="n"/>
    </row>
    <row r="562">
      <c r="C562" s="354" t="n"/>
      <c r="D562" s="354" t="n"/>
      <c r="E562" s="354" t="n"/>
      <c r="F562" s="354" t="n"/>
      <c r="G562" s="354" t="n"/>
    </row>
    <row r="563">
      <c r="C563" s="354" t="n"/>
      <c r="D563" s="354" t="n"/>
      <c r="E563" s="354" t="n"/>
      <c r="F563" s="354" t="n"/>
      <c r="G563" s="354" t="n"/>
    </row>
    <row r="564">
      <c r="C564" s="354" t="n"/>
      <c r="D564" s="354" t="n"/>
      <c r="E564" s="354" t="n"/>
      <c r="F564" s="354" t="n"/>
      <c r="G564" s="354" t="n"/>
    </row>
    <row r="565">
      <c r="C565" s="354" t="n"/>
      <c r="D565" s="354" t="n"/>
      <c r="E565" s="354" t="n"/>
      <c r="F565" s="354" t="n"/>
      <c r="G565" s="354" t="n"/>
    </row>
    <row r="566">
      <c r="C566" s="354" t="n"/>
      <c r="D566" s="354" t="n"/>
      <c r="E566" s="354" t="n"/>
      <c r="F566" s="354" t="n"/>
      <c r="G566" s="354" t="n"/>
    </row>
    <row r="567">
      <c r="C567" s="354" t="n"/>
      <c r="D567" s="354" t="n"/>
      <c r="E567" s="354" t="n"/>
      <c r="F567" s="354" t="n"/>
      <c r="G567" s="354" t="n"/>
    </row>
    <row r="568">
      <c r="C568" s="354" t="n"/>
      <c r="D568" s="354" t="n"/>
      <c r="E568" s="354" t="n"/>
      <c r="F568" s="354" t="n"/>
      <c r="G568" s="354" t="n"/>
    </row>
    <row r="569">
      <c r="C569" s="354" t="n"/>
      <c r="D569" s="354" t="n"/>
      <c r="E569" s="354" t="n"/>
      <c r="F569" s="354" t="n"/>
      <c r="G569" s="354" t="n"/>
    </row>
    <row r="570">
      <c r="C570" s="354" t="n"/>
      <c r="D570" s="354" t="n"/>
      <c r="E570" s="354" t="n"/>
      <c r="F570" s="354" t="n"/>
      <c r="G570" s="354" t="n"/>
    </row>
    <row r="571">
      <c r="C571" s="354" t="n"/>
      <c r="D571" s="354" t="n"/>
      <c r="E571" s="354" t="n"/>
      <c r="F571" s="354" t="n"/>
      <c r="G571" s="354" t="n"/>
    </row>
    <row r="572">
      <c r="C572" s="354" t="n"/>
      <c r="D572" s="354" t="n"/>
      <c r="E572" s="354" t="n"/>
      <c r="F572" s="354" t="n"/>
      <c r="G572" s="354" t="n"/>
    </row>
    <row r="573">
      <c r="C573" s="354" t="n"/>
      <c r="D573" s="354" t="n"/>
      <c r="E573" s="354" t="n"/>
      <c r="F573" s="354" t="n"/>
      <c r="G573" s="354" t="n"/>
    </row>
    <row r="574">
      <c r="C574" s="354" t="n"/>
      <c r="D574" s="354" t="n"/>
      <c r="E574" s="354" t="n"/>
      <c r="F574" s="354" t="n"/>
      <c r="G574" s="354" t="n"/>
    </row>
    <row r="575">
      <c r="C575" s="354" t="n"/>
      <c r="D575" s="354" t="n"/>
      <c r="E575" s="354" t="n"/>
      <c r="F575" s="354" t="n"/>
      <c r="G575" s="354" t="n"/>
    </row>
    <row r="576">
      <c r="C576" s="354" t="n"/>
      <c r="D576" s="354" t="n"/>
      <c r="E576" s="354" t="n"/>
      <c r="F576" s="354" t="n"/>
      <c r="G576" s="354" t="n"/>
    </row>
    <row r="577">
      <c r="C577" s="354" t="n"/>
      <c r="D577" s="354" t="n"/>
      <c r="E577" s="354" t="n"/>
      <c r="F577" s="354" t="n"/>
      <c r="G577" s="354" t="n"/>
    </row>
    <row r="578">
      <c r="C578" s="354" t="n"/>
      <c r="D578" s="354" t="n"/>
      <c r="E578" s="354" t="n"/>
      <c r="F578" s="354" t="n"/>
      <c r="G578" s="354" t="n"/>
    </row>
    <row r="579">
      <c r="C579" s="354" t="n"/>
      <c r="D579" s="354" t="n"/>
      <c r="E579" s="354" t="n"/>
      <c r="F579" s="354" t="n"/>
      <c r="G579" s="354" t="n"/>
    </row>
    <row r="580">
      <c r="C580" s="354" t="n"/>
      <c r="D580" s="354" t="n"/>
      <c r="E580" s="354" t="n"/>
      <c r="F580" s="354" t="n"/>
      <c r="G580" s="354" t="n"/>
    </row>
    <row r="581">
      <c r="C581" s="354" t="n"/>
      <c r="D581" s="354" t="n"/>
      <c r="E581" s="354" t="n"/>
      <c r="F581" s="354" t="n"/>
      <c r="G581" s="354" t="n"/>
    </row>
    <row r="582">
      <c r="C582" s="354" t="n"/>
      <c r="D582" s="354" t="n"/>
      <c r="E582" s="354" t="n"/>
      <c r="F582" s="354" t="n"/>
      <c r="G582" s="354" t="n"/>
    </row>
    <row r="583">
      <c r="C583" s="354" t="n"/>
      <c r="D583" s="354" t="n"/>
      <c r="E583" s="354" t="n"/>
      <c r="F583" s="354" t="n"/>
      <c r="G583" s="354" t="n"/>
    </row>
    <row r="584">
      <c r="C584" s="354" t="n"/>
      <c r="D584" s="354" t="n"/>
      <c r="E584" s="354" t="n"/>
      <c r="F584" s="354" t="n"/>
      <c r="G584" s="354" t="n"/>
    </row>
    <row r="585">
      <c r="C585" s="354" t="n"/>
      <c r="D585" s="354" t="n"/>
      <c r="E585" s="354" t="n"/>
      <c r="F585" s="354" t="n"/>
      <c r="G585" s="354" t="n"/>
    </row>
    <row r="586">
      <c r="C586" s="354" t="n"/>
      <c r="D586" s="354" t="n"/>
      <c r="E586" s="354" t="n"/>
      <c r="F586" s="354" t="n"/>
      <c r="G586" s="354" t="n"/>
    </row>
    <row r="587">
      <c r="C587" s="354" t="n"/>
      <c r="D587" s="354" t="n"/>
      <c r="E587" s="354" t="n"/>
      <c r="F587" s="354" t="n"/>
      <c r="G587" s="354" t="n"/>
    </row>
    <row r="588">
      <c r="C588" s="354" t="n"/>
      <c r="D588" s="354" t="n"/>
      <c r="E588" s="354" t="n"/>
      <c r="F588" s="354" t="n"/>
      <c r="G588" s="354" t="n"/>
    </row>
    <row r="589">
      <c r="C589" s="354" t="n"/>
      <c r="D589" s="354" t="n"/>
      <c r="E589" s="354" t="n"/>
      <c r="F589" s="354" t="n"/>
      <c r="G589" s="354" t="n"/>
    </row>
    <row r="590">
      <c r="C590" s="354" t="n"/>
      <c r="D590" s="354" t="n"/>
      <c r="E590" s="354" t="n"/>
      <c r="F590" s="354" t="n"/>
      <c r="G590" s="354" t="n"/>
    </row>
    <row r="591">
      <c r="C591" s="354" t="n"/>
      <c r="D591" s="354" t="n"/>
      <c r="E591" s="354" t="n"/>
      <c r="F591" s="354" t="n"/>
      <c r="G591" s="354" t="n"/>
    </row>
    <row r="592">
      <c r="C592" s="354" t="n"/>
      <c r="D592" s="354" t="n"/>
      <c r="E592" s="354" t="n"/>
      <c r="F592" s="354" t="n"/>
      <c r="G592" s="354" t="n"/>
    </row>
    <row r="593">
      <c r="C593" s="354" t="n"/>
      <c r="D593" s="354" t="n"/>
      <c r="E593" s="354" t="n"/>
      <c r="F593" s="354" t="n"/>
      <c r="G593" s="354" t="n"/>
    </row>
    <row r="594">
      <c r="C594" s="354" t="n"/>
      <c r="D594" s="354" t="n"/>
      <c r="E594" s="354" t="n"/>
      <c r="F594" s="354" t="n"/>
      <c r="G594" s="354" t="n"/>
    </row>
    <row r="595">
      <c r="C595" s="354" t="n"/>
      <c r="D595" s="354" t="n"/>
      <c r="E595" s="354" t="n"/>
      <c r="F595" s="354" t="n"/>
      <c r="G595" s="354" t="n"/>
    </row>
    <row r="596">
      <c r="C596" s="354" t="n"/>
      <c r="D596" s="354" t="n"/>
      <c r="E596" s="354" t="n"/>
      <c r="F596" s="354" t="n"/>
      <c r="G596" s="354" t="n"/>
    </row>
    <row r="597">
      <c r="C597" s="354" t="n"/>
      <c r="D597" s="354" t="n"/>
      <c r="E597" s="354" t="n"/>
      <c r="F597" s="354" t="n"/>
      <c r="G597" s="354" t="n"/>
    </row>
    <row r="598">
      <c r="C598" s="354" t="n"/>
      <c r="D598" s="354" t="n"/>
      <c r="E598" s="354" t="n"/>
      <c r="F598" s="354" t="n"/>
      <c r="G598" s="354" t="n"/>
    </row>
    <row r="599">
      <c r="C599" s="354" t="n"/>
      <c r="D599" s="354" t="n"/>
      <c r="E599" s="354" t="n"/>
      <c r="F599" s="354" t="n"/>
      <c r="G599" s="354" t="n"/>
    </row>
    <row r="600">
      <c r="C600" s="354" t="n"/>
      <c r="D600" s="354" t="n"/>
      <c r="E600" s="354" t="n"/>
      <c r="F600" s="354" t="n"/>
      <c r="G600" s="354" t="n"/>
    </row>
    <row r="601">
      <c r="C601" s="354" t="n"/>
      <c r="D601" s="354" t="n"/>
      <c r="E601" s="354" t="n"/>
      <c r="F601" s="354" t="n"/>
      <c r="G601" s="354" t="n"/>
    </row>
    <row r="602">
      <c r="C602" s="354" t="n"/>
      <c r="D602" s="354" t="n"/>
      <c r="E602" s="354" t="n"/>
      <c r="F602" s="354" t="n"/>
      <c r="G602" s="354" t="n"/>
    </row>
    <row r="603">
      <c r="C603" s="354" t="n"/>
      <c r="D603" s="354" t="n"/>
      <c r="E603" s="354" t="n"/>
      <c r="F603" s="354" t="n"/>
      <c r="G603" s="354" t="n"/>
    </row>
    <row r="604">
      <c r="C604" s="354" t="n"/>
      <c r="D604" s="354" t="n"/>
      <c r="E604" s="354" t="n"/>
      <c r="F604" s="354" t="n"/>
      <c r="G604" s="354" t="n"/>
    </row>
    <row r="605">
      <c r="C605" s="354" t="n"/>
      <c r="D605" s="354" t="n"/>
      <c r="E605" s="354" t="n"/>
      <c r="F605" s="354" t="n"/>
      <c r="G605" s="354" t="n"/>
    </row>
    <row r="606">
      <c r="C606" s="354" t="n"/>
      <c r="D606" s="354" t="n"/>
      <c r="E606" s="354" t="n"/>
      <c r="F606" s="354" t="n"/>
      <c r="G606" s="354" t="n"/>
    </row>
    <row r="607">
      <c r="C607" s="354" t="n"/>
      <c r="D607" s="354" t="n"/>
      <c r="E607" s="354" t="n"/>
      <c r="F607" s="354" t="n"/>
      <c r="G607" s="354" t="n"/>
    </row>
    <row r="608">
      <c r="C608" s="354" t="n"/>
      <c r="D608" s="354" t="n"/>
      <c r="E608" s="354" t="n"/>
      <c r="F608" s="354" t="n"/>
      <c r="G608" s="354" t="n"/>
    </row>
    <row r="609">
      <c r="C609" s="354" t="n"/>
      <c r="D609" s="354" t="n"/>
      <c r="E609" s="354" t="n"/>
      <c r="F609" s="354" t="n"/>
      <c r="G609" s="354" t="n"/>
    </row>
    <row r="610">
      <c r="C610" s="354" t="n"/>
      <c r="D610" s="354" t="n"/>
      <c r="E610" s="354" t="n"/>
      <c r="F610" s="354" t="n"/>
      <c r="G610" s="354" t="n"/>
    </row>
    <row r="611">
      <c r="C611" s="354" t="n"/>
      <c r="D611" s="354" t="n"/>
      <c r="E611" s="354" t="n"/>
      <c r="F611" s="354" t="n"/>
      <c r="G611" s="354" t="n"/>
    </row>
    <row r="612">
      <c r="C612" s="354" t="n"/>
      <c r="D612" s="354" t="n"/>
      <c r="E612" s="354" t="n"/>
      <c r="F612" s="354" t="n"/>
      <c r="G612" s="354" t="n"/>
    </row>
    <row r="613">
      <c r="C613" s="354" t="n"/>
      <c r="D613" s="354" t="n"/>
      <c r="E613" s="354" t="n"/>
      <c r="F613" s="354" t="n"/>
      <c r="G613" s="354" t="n"/>
    </row>
    <row r="614">
      <c r="C614" s="354" t="n"/>
      <c r="D614" s="354" t="n"/>
      <c r="E614" s="354" t="n"/>
      <c r="F614" s="354" t="n"/>
      <c r="G614" s="354" t="n"/>
    </row>
    <row r="615">
      <c r="C615" s="354" t="n"/>
      <c r="D615" s="354" t="n"/>
      <c r="E615" s="354" t="n"/>
      <c r="F615" s="354" t="n"/>
      <c r="G615" s="354" t="n"/>
    </row>
    <row r="616">
      <c r="C616" s="354" t="n"/>
      <c r="D616" s="354" t="n"/>
      <c r="E616" s="354" t="n"/>
      <c r="F616" s="354" t="n"/>
      <c r="G616" s="354" t="n"/>
    </row>
    <row r="617">
      <c r="C617" s="354" t="n"/>
      <c r="D617" s="354" t="n"/>
      <c r="E617" s="354" t="n"/>
      <c r="F617" s="354" t="n"/>
      <c r="G617" s="354" t="n"/>
    </row>
    <row r="618">
      <c r="C618" s="354" t="n"/>
      <c r="D618" s="354" t="n"/>
      <c r="E618" s="354" t="n"/>
      <c r="F618" s="354" t="n"/>
      <c r="G618" s="354" t="n"/>
    </row>
    <row r="619">
      <c r="C619" s="354" t="n"/>
      <c r="D619" s="354" t="n"/>
      <c r="E619" s="354" t="n"/>
      <c r="F619" s="354" t="n"/>
      <c r="G619" s="354" t="n"/>
    </row>
    <row r="620">
      <c r="C620" s="354" t="n"/>
      <c r="D620" s="354" t="n"/>
      <c r="E620" s="354" t="n"/>
      <c r="F620" s="354" t="n"/>
      <c r="G620" s="354" t="n"/>
    </row>
    <row r="621">
      <c r="C621" s="354" t="n"/>
      <c r="D621" s="354" t="n"/>
      <c r="E621" s="354" t="n"/>
      <c r="F621" s="354" t="n"/>
      <c r="G621" s="354" t="n"/>
    </row>
    <row r="622">
      <c r="C622" s="354" t="n"/>
      <c r="D622" s="354" t="n"/>
      <c r="E622" s="354" t="n"/>
      <c r="F622" s="354" t="n"/>
      <c r="G622" s="354" t="n"/>
    </row>
    <row r="623">
      <c r="C623" s="354" t="n"/>
      <c r="D623" s="354" t="n"/>
      <c r="E623" s="354" t="n"/>
      <c r="F623" s="354" t="n"/>
      <c r="G623" s="354" t="n"/>
    </row>
    <row r="624">
      <c r="C624" s="354" t="n"/>
      <c r="D624" s="354" t="n"/>
      <c r="E624" s="354" t="n"/>
      <c r="F624" s="354" t="n"/>
      <c r="G624" s="354" t="n"/>
    </row>
    <row r="625">
      <c r="C625" s="354" t="n"/>
      <c r="D625" s="354" t="n"/>
      <c r="E625" s="354" t="n"/>
      <c r="F625" s="354" t="n"/>
      <c r="G625" s="354" t="n"/>
    </row>
    <row r="626">
      <c r="C626" s="354" t="n"/>
      <c r="D626" s="354" t="n"/>
      <c r="E626" s="354" t="n"/>
      <c r="F626" s="354" t="n"/>
      <c r="G626" s="354" t="n"/>
    </row>
    <row r="627">
      <c r="C627" s="354" t="n"/>
      <c r="D627" s="354" t="n"/>
      <c r="E627" s="354" t="n"/>
      <c r="F627" s="354" t="n"/>
      <c r="G627" s="354" t="n"/>
    </row>
    <row r="628">
      <c r="C628" s="354" t="n"/>
      <c r="D628" s="354" t="n"/>
      <c r="E628" s="354" t="n"/>
      <c r="F628" s="354" t="n"/>
      <c r="G628" s="354" t="n"/>
    </row>
    <row r="629">
      <c r="C629" s="354" t="n"/>
      <c r="D629" s="354" t="n"/>
      <c r="E629" s="354" t="n"/>
      <c r="F629" s="354" t="n"/>
      <c r="G629" s="354" t="n"/>
    </row>
    <row r="630">
      <c r="C630" s="354" t="n"/>
      <c r="D630" s="354" t="n"/>
      <c r="E630" s="354" t="n"/>
      <c r="F630" s="354" t="n"/>
      <c r="G630" s="354" t="n"/>
    </row>
    <row r="631">
      <c r="C631" s="354" t="n"/>
      <c r="D631" s="354" t="n"/>
      <c r="E631" s="354" t="n"/>
      <c r="F631" s="354" t="n"/>
      <c r="G631" s="354" t="n"/>
    </row>
    <row r="632">
      <c r="C632" s="354" t="n"/>
      <c r="D632" s="354" t="n"/>
      <c r="E632" s="354" t="n"/>
      <c r="F632" s="354" t="n"/>
      <c r="G632" s="354" t="n"/>
    </row>
    <row r="633">
      <c r="C633" s="354" t="n"/>
      <c r="D633" s="354" t="n"/>
      <c r="E633" s="354" t="n"/>
      <c r="F633" s="354" t="n"/>
      <c r="G633" s="354" t="n"/>
    </row>
    <row r="634">
      <c r="C634" s="354" t="n"/>
      <c r="D634" s="354" t="n"/>
      <c r="E634" s="354" t="n"/>
      <c r="F634" s="354" t="n"/>
      <c r="G634" s="354" t="n"/>
    </row>
    <row r="635">
      <c r="C635" s="354" t="n"/>
      <c r="D635" s="354" t="n"/>
      <c r="E635" s="354" t="n"/>
      <c r="F635" s="354" t="n"/>
      <c r="G635" s="354" t="n"/>
    </row>
    <row r="636">
      <c r="C636" s="354" t="n"/>
      <c r="D636" s="354" t="n"/>
      <c r="E636" s="354" t="n"/>
      <c r="F636" s="354" t="n"/>
      <c r="G636" s="354" t="n"/>
    </row>
    <row r="637">
      <c r="C637" s="354" t="n"/>
      <c r="D637" s="354" t="n"/>
      <c r="E637" s="354" t="n"/>
      <c r="F637" s="354" t="n"/>
      <c r="G637" s="354" t="n"/>
    </row>
    <row r="638">
      <c r="C638" s="354" t="n"/>
      <c r="D638" s="354" t="n"/>
      <c r="E638" s="354" t="n"/>
      <c r="F638" s="354" t="n"/>
      <c r="G638" s="354" t="n"/>
    </row>
    <row r="639">
      <c r="C639" s="354" t="n"/>
      <c r="D639" s="354" t="n"/>
      <c r="E639" s="354" t="n"/>
      <c r="F639" s="354" t="n"/>
      <c r="G639" s="354" t="n"/>
    </row>
    <row r="640">
      <c r="C640" s="354" t="n"/>
      <c r="D640" s="354" t="n"/>
      <c r="E640" s="354" t="n"/>
      <c r="F640" s="354" t="n"/>
      <c r="G640" s="354" t="n"/>
    </row>
    <row r="641">
      <c r="C641" s="354" t="n"/>
      <c r="D641" s="354" t="n"/>
      <c r="E641" s="354" t="n"/>
      <c r="F641" s="354" t="n"/>
      <c r="G641" s="354" t="n"/>
    </row>
    <row r="642">
      <c r="C642" s="354" t="n"/>
      <c r="D642" s="354" t="n"/>
      <c r="E642" s="354" t="n"/>
      <c r="F642" s="354" t="n"/>
      <c r="G642" s="354" t="n"/>
    </row>
    <row r="643">
      <c r="C643" s="354" t="n"/>
      <c r="D643" s="354" t="n"/>
      <c r="E643" s="354" t="n"/>
      <c r="F643" s="354" t="n"/>
      <c r="G643" s="354" t="n"/>
    </row>
    <row r="644">
      <c r="C644" s="354" t="n"/>
      <c r="D644" s="354" t="n"/>
      <c r="E644" s="354" t="n"/>
      <c r="F644" s="354" t="n"/>
      <c r="G644" s="354" t="n"/>
    </row>
    <row r="645">
      <c r="C645" s="354" t="n"/>
      <c r="D645" s="354" t="n"/>
      <c r="E645" s="354" t="n"/>
      <c r="F645" s="354" t="n"/>
      <c r="G645" s="354" t="n"/>
    </row>
    <row r="646">
      <c r="C646" s="354" t="n"/>
      <c r="D646" s="354" t="n"/>
      <c r="E646" s="354" t="n"/>
      <c r="F646" s="354" t="n"/>
      <c r="G646" s="354" t="n"/>
    </row>
    <row r="647">
      <c r="C647" s="354" t="n"/>
      <c r="D647" s="354" t="n"/>
      <c r="E647" s="354" t="n"/>
      <c r="F647" s="354" t="n"/>
      <c r="G647" s="354" t="n"/>
    </row>
    <row r="648">
      <c r="C648" s="354" t="n"/>
      <c r="D648" s="354" t="n"/>
      <c r="E648" s="354" t="n"/>
      <c r="F648" s="354" t="n"/>
      <c r="G648" s="354" t="n"/>
    </row>
    <row r="649">
      <c r="C649" s="354" t="n"/>
      <c r="D649" s="354" t="n"/>
      <c r="E649" s="354" t="n"/>
      <c r="F649" s="354" t="n"/>
      <c r="G649" s="354" t="n"/>
    </row>
    <row r="650">
      <c r="C650" s="354" t="n"/>
      <c r="D650" s="354" t="n"/>
      <c r="E650" s="354" t="n"/>
      <c r="F650" s="354" t="n"/>
      <c r="G650" s="354" t="n"/>
    </row>
    <row r="651">
      <c r="C651" s="354" t="n"/>
      <c r="D651" s="354" t="n"/>
      <c r="E651" s="354" t="n"/>
      <c r="F651" s="354" t="n"/>
      <c r="G651" s="354" t="n"/>
    </row>
    <row r="652">
      <c r="C652" s="354" t="n"/>
      <c r="D652" s="354" t="n"/>
      <c r="E652" s="354" t="n"/>
      <c r="F652" s="354" t="n"/>
      <c r="G652" s="354" t="n"/>
    </row>
    <row r="653">
      <c r="C653" s="354" t="n"/>
      <c r="D653" s="354" t="n"/>
      <c r="E653" s="354" t="n"/>
      <c r="F653" s="354" t="n"/>
      <c r="G653" s="354" t="n"/>
    </row>
    <row r="654">
      <c r="C654" s="354" t="n"/>
      <c r="D654" s="354" t="n"/>
      <c r="E654" s="354" t="n"/>
      <c r="F654" s="354" t="n"/>
      <c r="G654" s="354" t="n"/>
    </row>
    <row r="655">
      <c r="C655" s="354" t="n"/>
      <c r="D655" s="354" t="n"/>
      <c r="E655" s="354" t="n"/>
      <c r="F655" s="354" t="n"/>
      <c r="G655" s="354" t="n"/>
    </row>
    <row r="656">
      <c r="C656" s="354" t="n"/>
      <c r="D656" s="354" t="n"/>
      <c r="E656" s="354" t="n"/>
      <c r="F656" s="354" t="n"/>
      <c r="G656" s="354" t="n"/>
    </row>
    <row r="657">
      <c r="C657" s="354" t="n"/>
      <c r="D657" s="354" t="n"/>
      <c r="E657" s="354" t="n"/>
      <c r="F657" s="354" t="n"/>
      <c r="G657" s="354" t="n"/>
    </row>
    <row r="658">
      <c r="C658" s="354" t="n"/>
      <c r="D658" s="354" t="n"/>
      <c r="E658" s="354" t="n"/>
      <c r="F658" s="354" t="n"/>
      <c r="G658" s="354" t="n"/>
    </row>
    <row r="659">
      <c r="C659" s="354" t="n"/>
      <c r="D659" s="354" t="n"/>
      <c r="E659" s="354" t="n"/>
      <c r="F659" s="354" t="n"/>
      <c r="G659" s="354" t="n"/>
    </row>
    <row r="660">
      <c r="C660" s="354" t="n"/>
      <c r="D660" s="354" t="n"/>
      <c r="E660" s="354" t="n"/>
      <c r="F660" s="354" t="n"/>
      <c r="G660" s="354" t="n"/>
    </row>
    <row r="661">
      <c r="C661" s="354" t="n"/>
      <c r="D661" s="354" t="n"/>
      <c r="E661" s="354" t="n"/>
      <c r="F661" s="354" t="n"/>
      <c r="G661" s="354" t="n"/>
    </row>
    <row r="662">
      <c r="C662" s="354" t="n"/>
      <c r="D662" s="354" t="n"/>
      <c r="E662" s="354" t="n"/>
      <c r="F662" s="354" t="n"/>
      <c r="G662" s="354" t="n"/>
    </row>
    <row r="663">
      <c r="C663" s="354" t="n"/>
      <c r="D663" s="354" t="n"/>
      <c r="E663" s="354" t="n"/>
      <c r="F663" s="354" t="n"/>
      <c r="G663" s="354" t="n"/>
    </row>
    <row r="664">
      <c r="C664" s="354" t="n"/>
      <c r="D664" s="354" t="n"/>
      <c r="E664" s="354" t="n"/>
      <c r="F664" s="354" t="n"/>
      <c r="G664" s="354" t="n"/>
    </row>
    <row r="665">
      <c r="C665" s="354" t="n"/>
      <c r="D665" s="354" t="n"/>
      <c r="E665" s="354" t="n"/>
      <c r="F665" s="354" t="n"/>
      <c r="G665" s="354" t="n"/>
    </row>
    <row r="666">
      <c r="C666" s="354" t="n"/>
      <c r="D666" s="354" t="n"/>
      <c r="E666" s="354" t="n"/>
      <c r="F666" s="354" t="n"/>
      <c r="G666" s="354" t="n"/>
    </row>
    <row r="667">
      <c r="C667" s="354" t="n"/>
      <c r="D667" s="354" t="n"/>
      <c r="E667" s="354" t="n"/>
      <c r="F667" s="354" t="n"/>
      <c r="G667" s="354" t="n"/>
    </row>
    <row r="668">
      <c r="C668" s="354" t="n"/>
      <c r="D668" s="354" t="n"/>
      <c r="E668" s="354" t="n"/>
      <c r="F668" s="354" t="n"/>
      <c r="G668" s="354" t="n"/>
    </row>
    <row r="669">
      <c r="C669" s="354" t="n"/>
      <c r="D669" s="354" t="n"/>
      <c r="E669" s="354" t="n"/>
      <c r="F669" s="354" t="n"/>
      <c r="G669" s="354" t="n"/>
    </row>
    <row r="670">
      <c r="C670" s="354" t="n"/>
      <c r="D670" s="354" t="n"/>
      <c r="E670" s="354" t="n"/>
      <c r="F670" s="354" t="n"/>
      <c r="G670" s="354" t="n"/>
    </row>
    <row r="671">
      <c r="C671" s="354" t="n"/>
      <c r="D671" s="354" t="n"/>
      <c r="E671" s="354" t="n"/>
      <c r="F671" s="354" t="n"/>
      <c r="G671" s="354" t="n"/>
    </row>
    <row r="672">
      <c r="C672" s="354" t="n"/>
      <c r="D672" s="354" t="n"/>
      <c r="E672" s="354" t="n"/>
      <c r="F672" s="354" t="n"/>
      <c r="G672" s="354" t="n"/>
    </row>
    <row r="673">
      <c r="C673" s="354" t="n"/>
      <c r="D673" s="354" t="n"/>
      <c r="E673" s="354" t="n"/>
      <c r="F673" s="354" t="n"/>
      <c r="G673" s="354" t="n"/>
    </row>
    <row r="674">
      <c r="C674" s="354" t="n"/>
      <c r="D674" s="354" t="n"/>
      <c r="E674" s="354" t="n"/>
      <c r="F674" s="354" t="n"/>
      <c r="G674" s="354" t="n"/>
    </row>
    <row r="675">
      <c r="C675" s="354" t="n"/>
      <c r="D675" s="354" t="n"/>
      <c r="E675" s="354" t="n"/>
      <c r="F675" s="354" t="n"/>
      <c r="G675" s="354" t="n"/>
    </row>
    <row r="676">
      <c r="C676" s="354" t="n"/>
      <c r="D676" s="354" t="n"/>
      <c r="E676" s="354" t="n"/>
      <c r="F676" s="354" t="n"/>
      <c r="G676" s="354" t="n"/>
    </row>
    <row r="677">
      <c r="C677" s="354" t="n"/>
      <c r="D677" s="354" t="n"/>
      <c r="E677" s="354" t="n"/>
      <c r="F677" s="354" t="n"/>
      <c r="G677" s="354" t="n"/>
    </row>
    <row r="678">
      <c r="C678" s="354" t="n"/>
      <c r="D678" s="354" t="n"/>
      <c r="E678" s="354" t="n"/>
      <c r="F678" s="354" t="n"/>
      <c r="G678" s="354" t="n"/>
    </row>
    <row r="679">
      <c r="C679" s="354" t="n"/>
      <c r="D679" s="354" t="n"/>
      <c r="E679" s="354" t="n"/>
      <c r="F679" s="354" t="n"/>
      <c r="G679" s="354" t="n"/>
    </row>
    <row r="680">
      <c r="C680" s="354" t="n"/>
      <c r="D680" s="354" t="n"/>
      <c r="E680" s="354" t="n"/>
      <c r="F680" s="354" t="n"/>
      <c r="G680" s="354" t="n"/>
    </row>
    <row r="681">
      <c r="C681" s="354" t="n"/>
      <c r="D681" s="354" t="n"/>
      <c r="E681" s="354" t="n"/>
      <c r="F681" s="354" t="n"/>
      <c r="G681" s="354" t="n"/>
    </row>
    <row r="682">
      <c r="C682" s="354" t="n"/>
      <c r="D682" s="354" t="n"/>
      <c r="E682" s="354" t="n"/>
      <c r="F682" s="354" t="n"/>
      <c r="G682" s="354" t="n"/>
    </row>
    <row r="683">
      <c r="C683" s="354" t="n"/>
      <c r="D683" s="354" t="n"/>
      <c r="E683" s="354" t="n"/>
      <c r="F683" s="354" t="n"/>
      <c r="G683" s="354" t="n"/>
    </row>
    <row r="684">
      <c r="C684" s="354" t="n"/>
      <c r="D684" s="354" t="n"/>
      <c r="E684" s="354" t="n"/>
      <c r="F684" s="354" t="n"/>
      <c r="G684" s="354" t="n"/>
    </row>
    <row r="685">
      <c r="C685" s="354" t="n"/>
      <c r="D685" s="354" t="n"/>
      <c r="E685" s="354" t="n"/>
      <c r="F685" s="354" t="n"/>
      <c r="G685" s="354" t="n"/>
    </row>
    <row r="686">
      <c r="C686" s="354" t="n"/>
      <c r="D686" s="354" t="n"/>
      <c r="E686" s="354" t="n"/>
      <c r="F686" s="354" t="n"/>
      <c r="G686" s="354" t="n"/>
    </row>
    <row r="687">
      <c r="C687" s="354" t="n"/>
      <c r="D687" s="354" t="n"/>
      <c r="E687" s="354" t="n"/>
      <c r="F687" s="354" t="n"/>
      <c r="G687" s="354" t="n"/>
    </row>
    <row r="688">
      <c r="C688" s="354" t="n"/>
      <c r="D688" s="354" t="n"/>
      <c r="E688" s="354" t="n"/>
      <c r="F688" s="354" t="n"/>
      <c r="G688" s="354" t="n"/>
    </row>
    <row r="689">
      <c r="C689" s="354" t="n"/>
      <c r="D689" s="354" t="n"/>
      <c r="E689" s="354" t="n"/>
      <c r="F689" s="354" t="n"/>
      <c r="G689" s="354" t="n"/>
    </row>
    <row r="690">
      <c r="C690" s="354" t="n"/>
      <c r="D690" s="354" t="n"/>
      <c r="E690" s="354" t="n"/>
      <c r="F690" s="354" t="n"/>
      <c r="G690" s="354" t="n"/>
    </row>
    <row r="691">
      <c r="C691" s="354" t="n"/>
      <c r="D691" s="354" t="n"/>
      <c r="E691" s="354" t="n"/>
      <c r="F691" s="354" t="n"/>
      <c r="G691" s="354" t="n"/>
    </row>
    <row r="692">
      <c r="C692" s="354" t="n"/>
      <c r="D692" s="354" t="n"/>
      <c r="E692" s="354" t="n"/>
      <c r="F692" s="354" t="n"/>
      <c r="G692" s="354" t="n"/>
    </row>
    <row r="693">
      <c r="C693" s="354" t="n"/>
      <c r="D693" s="354" t="n"/>
      <c r="E693" s="354" t="n"/>
      <c r="F693" s="354" t="n"/>
      <c r="G693" s="354" t="n"/>
    </row>
    <row r="694">
      <c r="C694" s="354" t="n"/>
      <c r="D694" s="354" t="n"/>
      <c r="E694" s="354" t="n"/>
      <c r="F694" s="354" t="n"/>
      <c r="G694" s="354" t="n"/>
    </row>
    <row r="695">
      <c r="C695" s="354" t="n"/>
      <c r="D695" s="354" t="n"/>
      <c r="E695" s="354" t="n"/>
      <c r="F695" s="354" t="n"/>
      <c r="G695" s="354" t="n"/>
    </row>
    <row r="696">
      <c r="C696" s="354" t="n"/>
      <c r="D696" s="354" t="n"/>
      <c r="E696" s="354" t="n"/>
      <c r="F696" s="354" t="n"/>
      <c r="G696" s="354" t="n"/>
    </row>
    <row r="697">
      <c r="C697" s="354" t="n"/>
      <c r="D697" s="354" t="n"/>
      <c r="E697" s="354" t="n"/>
      <c r="F697" s="354" t="n"/>
      <c r="G697" s="354" t="n"/>
    </row>
    <row r="698">
      <c r="C698" s="354" t="n"/>
      <c r="D698" s="354" t="n"/>
      <c r="E698" s="354" t="n"/>
      <c r="F698" s="354" t="n"/>
      <c r="G698" s="354" t="n"/>
    </row>
    <row r="699">
      <c r="C699" s="354" t="n"/>
      <c r="D699" s="354" t="n"/>
      <c r="E699" s="354" t="n"/>
      <c r="F699" s="354" t="n"/>
      <c r="G699" s="354" t="n"/>
    </row>
    <row r="700">
      <c r="C700" s="354" t="n"/>
      <c r="D700" s="354" t="n"/>
      <c r="E700" s="354" t="n"/>
      <c r="F700" s="354" t="n"/>
      <c r="G700" s="354" t="n"/>
    </row>
    <row r="701">
      <c r="C701" s="354" t="n"/>
      <c r="D701" s="354" t="n"/>
      <c r="E701" s="354" t="n"/>
      <c r="F701" s="354" t="n"/>
      <c r="G701" s="354" t="n"/>
    </row>
    <row r="702">
      <c r="C702" s="354" t="n"/>
      <c r="D702" s="354" t="n"/>
      <c r="E702" s="354" t="n"/>
      <c r="F702" s="354" t="n"/>
      <c r="G702" s="354" t="n"/>
    </row>
    <row r="703">
      <c r="C703" s="354" t="n"/>
      <c r="D703" s="354" t="n"/>
      <c r="E703" s="354" t="n"/>
      <c r="F703" s="354" t="n"/>
      <c r="G703" s="354" t="n"/>
    </row>
    <row r="704">
      <c r="C704" s="354" t="n"/>
      <c r="D704" s="354" t="n"/>
      <c r="E704" s="354" t="n"/>
      <c r="F704" s="354" t="n"/>
      <c r="G704" s="354" t="n"/>
    </row>
    <row r="705">
      <c r="C705" s="354" t="n"/>
      <c r="D705" s="354" t="n"/>
      <c r="E705" s="354" t="n"/>
      <c r="F705" s="354" t="n"/>
      <c r="G705" s="354" t="n"/>
    </row>
    <row r="706">
      <c r="C706" s="354" t="n"/>
      <c r="D706" s="354" t="n"/>
      <c r="E706" s="354" t="n"/>
      <c r="F706" s="354" t="n"/>
      <c r="G706" s="354" t="n"/>
    </row>
    <row r="707">
      <c r="C707" s="354" t="n"/>
      <c r="D707" s="354" t="n"/>
      <c r="E707" s="354" t="n"/>
      <c r="F707" s="354" t="n"/>
      <c r="G707" s="354" t="n"/>
    </row>
    <row r="708">
      <c r="C708" s="354" t="n"/>
      <c r="D708" s="354" t="n"/>
      <c r="E708" s="354" t="n"/>
      <c r="F708" s="354" t="n"/>
      <c r="G708" s="354" t="n"/>
    </row>
    <row r="709">
      <c r="C709" s="354" t="n"/>
      <c r="D709" s="354" t="n"/>
      <c r="E709" s="354" t="n"/>
      <c r="F709" s="354" t="n"/>
      <c r="G709" s="354" t="n"/>
    </row>
    <row r="710">
      <c r="C710" s="354" t="n"/>
      <c r="D710" s="354" t="n"/>
      <c r="E710" s="354" t="n"/>
      <c r="F710" s="354" t="n"/>
      <c r="G710" s="354" t="n"/>
    </row>
    <row r="711">
      <c r="C711" s="354" t="n"/>
      <c r="D711" s="354" t="n"/>
      <c r="E711" s="354" t="n"/>
      <c r="F711" s="354" t="n"/>
      <c r="G711" s="354" t="n"/>
    </row>
    <row r="712">
      <c r="C712" s="354" t="n"/>
      <c r="D712" s="354" t="n"/>
      <c r="E712" s="354" t="n"/>
      <c r="F712" s="354" t="n"/>
      <c r="G712" s="354" t="n"/>
    </row>
    <row r="713">
      <c r="C713" s="354" t="n"/>
      <c r="D713" s="354" t="n"/>
      <c r="E713" s="354" t="n"/>
      <c r="F713" s="354" t="n"/>
      <c r="G713" s="354" t="n"/>
    </row>
    <row r="714">
      <c r="C714" s="354" t="n"/>
      <c r="D714" s="354" t="n"/>
      <c r="E714" s="354" t="n"/>
      <c r="F714" s="354" t="n"/>
      <c r="G714" s="354" t="n"/>
    </row>
    <row r="715">
      <c r="C715" s="354" t="n"/>
      <c r="D715" s="354" t="n"/>
      <c r="E715" s="354" t="n"/>
      <c r="F715" s="354" t="n"/>
      <c r="G715" s="354" t="n"/>
    </row>
    <row r="716">
      <c r="C716" s="354" t="n"/>
      <c r="D716" s="354" t="n"/>
      <c r="E716" s="354" t="n"/>
      <c r="F716" s="354" t="n"/>
      <c r="G716" s="354" t="n"/>
    </row>
    <row r="717">
      <c r="C717" s="354" t="n"/>
      <c r="D717" s="354" t="n"/>
      <c r="E717" s="354" t="n"/>
      <c r="F717" s="354" t="n"/>
      <c r="G717" s="354" t="n"/>
    </row>
    <row r="718">
      <c r="C718" s="354" t="n"/>
      <c r="D718" s="354" t="n"/>
      <c r="E718" s="354" t="n"/>
      <c r="F718" s="354" t="n"/>
      <c r="G718" s="354" t="n"/>
    </row>
    <row r="719">
      <c r="C719" s="354" t="n"/>
      <c r="D719" s="354" t="n"/>
      <c r="E719" s="354" t="n"/>
      <c r="F719" s="354" t="n"/>
      <c r="G719" s="354" t="n"/>
    </row>
    <row r="720">
      <c r="C720" s="354" t="n"/>
      <c r="D720" s="354" t="n"/>
      <c r="E720" s="354" t="n"/>
      <c r="F720" s="354" t="n"/>
      <c r="G720" s="354" t="n"/>
    </row>
    <row r="721">
      <c r="C721" s="354" t="n"/>
      <c r="D721" s="354" t="n"/>
      <c r="E721" s="354" t="n"/>
      <c r="F721" s="354" t="n"/>
      <c r="G721" s="354" t="n"/>
    </row>
    <row r="722">
      <c r="C722" s="354" t="n"/>
      <c r="D722" s="354" t="n"/>
      <c r="E722" s="354" t="n"/>
      <c r="F722" s="354" t="n"/>
      <c r="G722" s="354" t="n"/>
    </row>
    <row r="723">
      <c r="C723" s="354" t="n"/>
      <c r="D723" s="354" t="n"/>
      <c r="E723" s="354" t="n"/>
      <c r="F723" s="354" t="n"/>
      <c r="G723" s="354" t="n"/>
    </row>
    <row r="724">
      <c r="C724" s="354" t="n"/>
      <c r="D724" s="354" t="n"/>
      <c r="E724" s="354" t="n"/>
      <c r="F724" s="354" t="n"/>
      <c r="G724" s="354" t="n"/>
    </row>
    <row r="725">
      <c r="C725" s="354" t="n"/>
      <c r="D725" s="354" t="n"/>
      <c r="E725" s="354" t="n"/>
      <c r="F725" s="354" t="n"/>
      <c r="G725" s="354" t="n"/>
    </row>
    <row r="726">
      <c r="C726" s="354" t="n"/>
      <c r="D726" s="354" t="n"/>
      <c r="E726" s="354" t="n"/>
      <c r="F726" s="354" t="n"/>
      <c r="G726" s="354" t="n"/>
    </row>
    <row r="727">
      <c r="C727" s="354" t="n"/>
      <c r="D727" s="354" t="n"/>
      <c r="E727" s="354" t="n"/>
      <c r="F727" s="354" t="n"/>
      <c r="G727" s="354" t="n"/>
    </row>
    <row r="728">
      <c r="C728" s="354" t="n"/>
      <c r="D728" s="354" t="n"/>
      <c r="E728" s="354" t="n"/>
      <c r="F728" s="354" t="n"/>
      <c r="G728" s="354" t="n"/>
    </row>
    <row r="729">
      <c r="C729" s="354" t="n"/>
      <c r="D729" s="354" t="n"/>
      <c r="E729" s="354" t="n"/>
      <c r="F729" s="354" t="n"/>
      <c r="G729" s="354" t="n"/>
    </row>
    <row r="730">
      <c r="C730" s="354" t="n"/>
      <c r="D730" s="354" t="n"/>
      <c r="E730" s="354" t="n"/>
      <c r="F730" s="354" t="n"/>
      <c r="G730" s="354" t="n"/>
    </row>
    <row r="731">
      <c r="C731" s="354" t="n"/>
      <c r="D731" s="354" t="n"/>
      <c r="E731" s="354" t="n"/>
      <c r="F731" s="354" t="n"/>
      <c r="G731" s="354" t="n"/>
    </row>
    <row r="732">
      <c r="C732" s="354" t="n"/>
      <c r="D732" s="354" t="n"/>
      <c r="E732" s="354" t="n"/>
      <c r="F732" s="354" t="n"/>
      <c r="G732" s="354" t="n"/>
    </row>
    <row r="733">
      <c r="C733" s="354" t="n"/>
      <c r="D733" s="354" t="n"/>
      <c r="E733" s="354" t="n"/>
      <c r="F733" s="354" t="n"/>
      <c r="G733" s="354" t="n"/>
    </row>
    <row r="734">
      <c r="C734" s="354" t="n"/>
      <c r="D734" s="354" t="n"/>
      <c r="E734" s="354" t="n"/>
      <c r="F734" s="354" t="n"/>
      <c r="G734" s="354" t="n"/>
    </row>
    <row r="735">
      <c r="C735" s="354" t="n"/>
      <c r="D735" s="354" t="n"/>
      <c r="E735" s="354" t="n"/>
      <c r="F735" s="354" t="n"/>
      <c r="G735" s="354" t="n"/>
    </row>
    <row r="736">
      <c r="C736" s="354" t="n"/>
      <c r="D736" s="354" t="n"/>
      <c r="E736" s="354" t="n"/>
      <c r="F736" s="354" t="n"/>
      <c r="G736" s="354" t="n"/>
    </row>
    <row r="737">
      <c r="C737" s="354" t="n"/>
      <c r="D737" s="354" t="n"/>
      <c r="E737" s="354" t="n"/>
      <c r="F737" s="354" t="n"/>
      <c r="G737" s="354" t="n"/>
    </row>
    <row r="738">
      <c r="C738" s="354" t="n"/>
      <c r="D738" s="354" t="n"/>
      <c r="E738" s="354" t="n"/>
      <c r="F738" s="354" t="n"/>
      <c r="G738" s="354" t="n"/>
    </row>
    <row r="739">
      <c r="C739" s="354" t="n"/>
      <c r="D739" s="354" t="n"/>
      <c r="E739" s="354" t="n"/>
      <c r="F739" s="354" t="n"/>
      <c r="G739" s="354" t="n"/>
    </row>
    <row r="740">
      <c r="C740" s="354" t="n"/>
      <c r="D740" s="354" t="n"/>
      <c r="E740" s="354" t="n"/>
      <c r="F740" s="354" t="n"/>
      <c r="G740" s="354" t="n"/>
    </row>
    <row r="741">
      <c r="C741" s="354" t="n"/>
      <c r="D741" s="354" t="n"/>
      <c r="E741" s="354" t="n"/>
      <c r="F741" s="354" t="n"/>
      <c r="G741" s="354" t="n"/>
    </row>
    <row r="742">
      <c r="C742" s="354" t="n"/>
      <c r="D742" s="354" t="n"/>
      <c r="E742" s="354" t="n"/>
      <c r="F742" s="354" t="n"/>
      <c r="G742" s="354" t="n"/>
    </row>
    <row r="743">
      <c r="C743" s="354" t="n"/>
      <c r="D743" s="354" t="n"/>
      <c r="E743" s="354" t="n"/>
      <c r="F743" s="354" t="n"/>
      <c r="G743" s="354" t="n"/>
    </row>
    <row r="744">
      <c r="C744" s="354" t="n"/>
      <c r="D744" s="354" t="n"/>
      <c r="E744" s="354" t="n"/>
      <c r="F744" s="354" t="n"/>
      <c r="G744" s="354" t="n"/>
    </row>
    <row r="745">
      <c r="C745" s="354" t="n"/>
      <c r="D745" s="354" t="n"/>
      <c r="E745" s="354" t="n"/>
      <c r="F745" s="354" t="n"/>
      <c r="G745" s="354" t="n"/>
    </row>
    <row r="746">
      <c r="C746" s="354" t="n"/>
      <c r="D746" s="354" t="n"/>
      <c r="E746" s="354" t="n"/>
      <c r="F746" s="354" t="n"/>
      <c r="G746" s="354" t="n"/>
    </row>
    <row r="747">
      <c r="C747" s="354" t="n"/>
      <c r="D747" s="354" t="n"/>
      <c r="E747" s="354" t="n"/>
      <c r="F747" s="354" t="n"/>
      <c r="G747" s="354" t="n"/>
    </row>
    <row r="748">
      <c r="C748" s="354" t="n"/>
      <c r="D748" s="354" t="n"/>
      <c r="E748" s="354" t="n"/>
      <c r="F748" s="354" t="n"/>
      <c r="G748" s="354" t="n"/>
    </row>
    <row r="749">
      <c r="C749" s="354" t="n"/>
      <c r="D749" s="354" t="n"/>
      <c r="E749" s="354" t="n"/>
      <c r="F749" s="354" t="n"/>
      <c r="G749" s="354" t="n"/>
    </row>
    <row r="750">
      <c r="C750" s="354" t="n"/>
      <c r="D750" s="354" t="n"/>
      <c r="E750" s="354" t="n"/>
      <c r="F750" s="354" t="n"/>
      <c r="G750" s="354" t="n"/>
    </row>
    <row r="751">
      <c r="C751" s="354" t="n"/>
      <c r="D751" s="354" t="n"/>
      <c r="E751" s="354" t="n"/>
      <c r="F751" s="354" t="n"/>
      <c r="G751" s="354" t="n"/>
    </row>
    <row r="752">
      <c r="C752" s="354" t="n"/>
      <c r="D752" s="354" t="n"/>
      <c r="E752" s="354" t="n"/>
      <c r="F752" s="354" t="n"/>
      <c r="G752" s="354" t="n"/>
    </row>
    <row r="753">
      <c r="C753" s="354" t="n"/>
      <c r="D753" s="354" t="n"/>
      <c r="E753" s="354" t="n"/>
      <c r="F753" s="354" t="n"/>
      <c r="G753" s="354" t="n"/>
    </row>
    <row r="754">
      <c r="C754" s="354" t="n"/>
      <c r="D754" s="354" t="n"/>
      <c r="E754" s="354" t="n"/>
      <c r="F754" s="354" t="n"/>
      <c r="G754" s="354" t="n"/>
    </row>
    <row r="755">
      <c r="C755" s="354" t="n"/>
      <c r="D755" s="354" t="n"/>
      <c r="E755" s="354" t="n"/>
      <c r="F755" s="354" t="n"/>
      <c r="G755" s="354" t="n"/>
    </row>
    <row r="756">
      <c r="C756" s="354" t="n"/>
      <c r="D756" s="354" t="n"/>
      <c r="E756" s="354" t="n"/>
      <c r="F756" s="354" t="n"/>
      <c r="G756" s="354" t="n"/>
    </row>
    <row r="757">
      <c r="C757" s="354" t="n"/>
      <c r="D757" s="354" t="n"/>
      <c r="E757" s="354" t="n"/>
      <c r="F757" s="354" t="n"/>
      <c r="G757" s="354" t="n"/>
    </row>
    <row r="758">
      <c r="C758" s="354" t="n"/>
      <c r="D758" s="354" t="n"/>
      <c r="E758" s="354" t="n"/>
      <c r="F758" s="354" t="n"/>
      <c r="G758" s="354" t="n"/>
    </row>
    <row r="759">
      <c r="C759" s="354" t="n"/>
      <c r="D759" s="354" t="n"/>
      <c r="E759" s="354" t="n"/>
      <c r="F759" s="354" t="n"/>
      <c r="G759" s="354" t="n"/>
    </row>
    <row r="760">
      <c r="C760" s="354" t="n"/>
      <c r="D760" s="354" t="n"/>
      <c r="E760" s="354" t="n"/>
      <c r="F760" s="354" t="n"/>
      <c r="G760" s="354" t="n"/>
    </row>
    <row r="761">
      <c r="C761" s="354" t="n"/>
      <c r="D761" s="354" t="n"/>
      <c r="E761" s="354" t="n"/>
      <c r="F761" s="354" t="n"/>
      <c r="G761" s="354" t="n"/>
    </row>
    <row r="762">
      <c r="C762" s="354" t="n"/>
      <c r="D762" s="354" t="n"/>
      <c r="E762" s="354" t="n"/>
      <c r="F762" s="354" t="n"/>
      <c r="G762" s="354" t="n"/>
    </row>
    <row r="763">
      <c r="C763" s="354" t="n"/>
      <c r="D763" s="354" t="n"/>
      <c r="E763" s="354" t="n"/>
      <c r="F763" s="354" t="n"/>
      <c r="G763" s="354" t="n"/>
    </row>
    <row r="764">
      <c r="C764" s="354" t="n"/>
      <c r="D764" s="354" t="n"/>
      <c r="E764" s="354" t="n"/>
      <c r="F764" s="354" t="n"/>
      <c r="G764" s="354" t="n"/>
    </row>
    <row r="765">
      <c r="C765" s="354" t="n"/>
      <c r="D765" s="354" t="n"/>
      <c r="E765" s="354" t="n"/>
      <c r="F765" s="354" t="n"/>
      <c r="G765" s="354" t="n"/>
    </row>
    <row r="766">
      <c r="C766" s="354" t="n"/>
      <c r="D766" s="354" t="n"/>
      <c r="E766" s="354" t="n"/>
      <c r="F766" s="354" t="n"/>
      <c r="G766" s="354" t="n"/>
    </row>
    <row r="767">
      <c r="C767" s="354" t="n"/>
      <c r="D767" s="354" t="n"/>
      <c r="E767" s="354" t="n"/>
      <c r="F767" s="354" t="n"/>
      <c r="G767" s="354" t="n"/>
    </row>
    <row r="768">
      <c r="C768" s="354" t="n"/>
      <c r="D768" s="354" t="n"/>
      <c r="E768" s="354" t="n"/>
      <c r="F768" s="354" t="n"/>
      <c r="G768" s="354" t="n"/>
    </row>
    <row r="769">
      <c r="C769" s="354" t="n"/>
      <c r="D769" s="354" t="n"/>
      <c r="E769" s="354" t="n"/>
      <c r="F769" s="354" t="n"/>
      <c r="G769" s="354" t="n"/>
    </row>
    <row r="770">
      <c r="C770" s="354" t="n"/>
      <c r="D770" s="354" t="n"/>
      <c r="E770" s="354" t="n"/>
      <c r="F770" s="354" t="n"/>
      <c r="G770" s="354" t="n"/>
    </row>
    <row r="771">
      <c r="C771" s="354" t="n"/>
      <c r="D771" s="354" t="n"/>
      <c r="E771" s="354" t="n"/>
      <c r="F771" s="354" t="n"/>
      <c r="G771" s="354" t="n"/>
    </row>
    <row r="772">
      <c r="C772" s="354" t="n"/>
      <c r="D772" s="354" t="n"/>
      <c r="E772" s="354" t="n"/>
      <c r="F772" s="354" t="n"/>
      <c r="G772" s="354" t="n"/>
    </row>
    <row r="773">
      <c r="C773" s="354" t="n"/>
      <c r="D773" s="354" t="n"/>
      <c r="E773" s="354" t="n"/>
      <c r="F773" s="354" t="n"/>
      <c r="G773" s="354" t="n"/>
    </row>
    <row r="774">
      <c r="C774" s="354" t="n"/>
      <c r="D774" s="354" t="n"/>
      <c r="E774" s="354" t="n"/>
      <c r="F774" s="354" t="n"/>
      <c r="G774" s="354" t="n"/>
    </row>
    <row r="775">
      <c r="C775" s="354" t="n"/>
      <c r="D775" s="354" t="n"/>
      <c r="E775" s="354" t="n"/>
      <c r="F775" s="354" t="n"/>
      <c r="G775" s="354" t="n"/>
    </row>
    <row r="776">
      <c r="C776" s="354" t="n"/>
      <c r="D776" s="354" t="n"/>
      <c r="E776" s="354" t="n"/>
      <c r="F776" s="354" t="n"/>
      <c r="G776" s="354" t="n"/>
    </row>
    <row r="777">
      <c r="C777" s="354" t="n"/>
      <c r="D777" s="354" t="n"/>
      <c r="E777" s="354" t="n"/>
      <c r="F777" s="354" t="n"/>
      <c r="G777" s="354" t="n"/>
    </row>
    <row r="778">
      <c r="C778" s="354" t="n"/>
      <c r="D778" s="354" t="n"/>
      <c r="E778" s="354" t="n"/>
      <c r="F778" s="354" t="n"/>
      <c r="G778" s="354" t="n"/>
    </row>
    <row r="779">
      <c r="C779" s="354" t="n"/>
      <c r="D779" s="354" t="n"/>
      <c r="E779" s="354" t="n"/>
      <c r="F779" s="354" t="n"/>
      <c r="G779" s="354" t="n"/>
    </row>
    <row r="780">
      <c r="C780" s="354" t="n"/>
      <c r="D780" s="354" t="n"/>
      <c r="E780" s="354" t="n"/>
      <c r="F780" s="354" t="n"/>
      <c r="G780" s="354" t="n"/>
    </row>
    <row r="781">
      <c r="C781" s="354" t="n"/>
      <c r="D781" s="354" t="n"/>
      <c r="E781" s="354" t="n"/>
      <c r="F781" s="354" t="n"/>
      <c r="G781" s="354" t="n"/>
    </row>
    <row r="782">
      <c r="C782" s="354" t="n"/>
      <c r="D782" s="354" t="n"/>
      <c r="E782" s="354" t="n"/>
      <c r="F782" s="354" t="n"/>
      <c r="G782" s="354" t="n"/>
    </row>
    <row r="783">
      <c r="C783" s="354" t="n"/>
      <c r="D783" s="354" t="n"/>
      <c r="E783" s="354" t="n"/>
      <c r="F783" s="354" t="n"/>
      <c r="G783" s="354" t="n"/>
    </row>
    <row r="784">
      <c r="C784" s="354" t="n"/>
      <c r="D784" s="354" t="n"/>
      <c r="E784" s="354" t="n"/>
      <c r="F784" s="354" t="n"/>
      <c r="G784" s="354" t="n"/>
    </row>
    <row r="785">
      <c r="C785" s="354" t="n"/>
      <c r="D785" s="354" t="n"/>
      <c r="E785" s="354" t="n"/>
      <c r="F785" s="354" t="n"/>
      <c r="G785" s="354" t="n"/>
    </row>
    <row r="786">
      <c r="C786" s="354" t="n"/>
      <c r="D786" s="354" t="n"/>
      <c r="E786" s="354" t="n"/>
      <c r="F786" s="354" t="n"/>
      <c r="G786" s="354" t="n"/>
    </row>
    <row r="787">
      <c r="C787" s="354" t="n"/>
      <c r="D787" s="354" t="n"/>
      <c r="E787" s="354" t="n"/>
      <c r="F787" s="354" t="n"/>
      <c r="G787" s="354" t="n"/>
    </row>
    <row r="788">
      <c r="C788" s="354" t="n"/>
      <c r="D788" s="354" t="n"/>
      <c r="E788" s="354" t="n"/>
      <c r="F788" s="354" t="n"/>
      <c r="G788" s="354" t="n"/>
    </row>
    <row r="789">
      <c r="C789" s="354" t="n"/>
      <c r="D789" s="354" t="n"/>
      <c r="E789" s="354" t="n"/>
      <c r="F789" s="354" t="n"/>
      <c r="G789" s="354" t="n"/>
    </row>
    <row r="790">
      <c r="C790" s="354" t="n"/>
      <c r="D790" s="354" t="n"/>
      <c r="E790" s="354" t="n"/>
      <c r="F790" s="354" t="n"/>
      <c r="G790" s="354" t="n"/>
    </row>
    <row r="791">
      <c r="C791" s="354" t="n"/>
      <c r="D791" s="354" t="n"/>
      <c r="E791" s="354" t="n"/>
      <c r="F791" s="354" t="n"/>
      <c r="G791" s="354" t="n"/>
    </row>
    <row r="792">
      <c r="C792" s="354" t="n"/>
      <c r="D792" s="354" t="n"/>
      <c r="E792" s="354" t="n"/>
      <c r="F792" s="354" t="n"/>
      <c r="G792" s="354" t="n"/>
    </row>
    <row r="793">
      <c r="C793" s="354" t="n"/>
      <c r="D793" s="354" t="n"/>
      <c r="E793" s="354" t="n"/>
      <c r="F793" s="354" t="n"/>
      <c r="G793" s="354" t="n"/>
    </row>
    <row r="794">
      <c r="C794" s="354" t="n"/>
      <c r="D794" s="354" t="n"/>
      <c r="E794" s="354" t="n"/>
      <c r="F794" s="354" t="n"/>
      <c r="G794" s="354" t="n"/>
    </row>
    <row r="795">
      <c r="C795" s="354" t="n"/>
      <c r="D795" s="354" t="n"/>
      <c r="E795" s="354" t="n"/>
      <c r="F795" s="354" t="n"/>
      <c r="G795" s="354" t="n"/>
    </row>
    <row r="796">
      <c r="C796" s="354" t="n"/>
      <c r="D796" s="354" t="n"/>
      <c r="E796" s="354" t="n"/>
      <c r="F796" s="354" t="n"/>
      <c r="G796" s="354" t="n"/>
    </row>
    <row r="797">
      <c r="C797" s="354" t="n"/>
      <c r="D797" s="354" t="n"/>
      <c r="E797" s="354" t="n"/>
      <c r="F797" s="354" t="n"/>
      <c r="G797" s="354" t="n"/>
    </row>
    <row r="798">
      <c r="C798" s="354" t="n"/>
      <c r="D798" s="354" t="n"/>
      <c r="E798" s="354" t="n"/>
      <c r="F798" s="354" t="n"/>
      <c r="G798" s="354" t="n"/>
    </row>
    <row r="799">
      <c r="C799" s="354" t="n"/>
      <c r="D799" s="354" t="n"/>
      <c r="E799" s="354" t="n"/>
      <c r="F799" s="354" t="n"/>
      <c r="G799" s="354" t="n"/>
    </row>
    <row r="800">
      <c r="C800" s="354" t="n"/>
      <c r="D800" s="354" t="n"/>
      <c r="E800" s="354" t="n"/>
      <c r="F800" s="354" t="n"/>
      <c r="G800" s="354" t="n"/>
    </row>
    <row r="801">
      <c r="C801" s="354" t="n"/>
      <c r="D801" s="354" t="n"/>
      <c r="E801" s="354" t="n"/>
      <c r="F801" s="354" t="n"/>
      <c r="G801" s="354" t="n"/>
    </row>
    <row r="802">
      <c r="C802" s="354" t="n"/>
      <c r="D802" s="354" t="n"/>
      <c r="E802" s="354" t="n"/>
      <c r="F802" s="354" t="n"/>
      <c r="G802" s="354" t="n"/>
    </row>
    <row r="803">
      <c r="C803" s="354" t="n"/>
      <c r="D803" s="354" t="n"/>
      <c r="E803" s="354" t="n"/>
      <c r="F803" s="354" t="n"/>
      <c r="G803" s="354" t="n"/>
    </row>
    <row r="804">
      <c r="C804" s="354" t="n"/>
      <c r="D804" s="354" t="n"/>
      <c r="E804" s="354" t="n"/>
      <c r="F804" s="354" t="n"/>
      <c r="G804" s="354" t="n"/>
    </row>
    <row r="805">
      <c r="C805" s="354" t="n"/>
      <c r="D805" s="354" t="n"/>
      <c r="E805" s="354" t="n"/>
      <c r="F805" s="354" t="n"/>
      <c r="G805" s="354" t="n"/>
    </row>
    <row r="806">
      <c r="C806" s="354" t="n"/>
      <c r="D806" s="354" t="n"/>
      <c r="E806" s="354" t="n"/>
      <c r="F806" s="354" t="n"/>
      <c r="G806" s="354" t="n"/>
    </row>
    <row r="807">
      <c r="C807" s="354" t="n"/>
      <c r="D807" s="354" t="n"/>
      <c r="E807" s="354" t="n"/>
      <c r="F807" s="354" t="n"/>
      <c r="G807" s="354" t="n"/>
    </row>
    <row r="808">
      <c r="C808" s="354" t="n"/>
      <c r="D808" s="354" t="n"/>
      <c r="E808" s="354" t="n"/>
      <c r="F808" s="354" t="n"/>
      <c r="G808" s="354" t="n"/>
    </row>
    <row r="809">
      <c r="C809" s="354" t="n"/>
      <c r="D809" s="354" t="n"/>
      <c r="E809" s="354" t="n"/>
      <c r="F809" s="354" t="n"/>
      <c r="G809" s="354" t="n"/>
    </row>
    <row r="810">
      <c r="C810" s="354" t="n"/>
      <c r="D810" s="354" t="n"/>
      <c r="E810" s="354" t="n"/>
      <c r="F810" s="354" t="n"/>
      <c r="G810" s="354" t="n"/>
    </row>
    <row r="811">
      <c r="C811" s="354" t="n"/>
      <c r="D811" s="354" t="n"/>
      <c r="E811" s="354" t="n"/>
      <c r="F811" s="354" t="n"/>
      <c r="G811" s="354" t="n"/>
    </row>
    <row r="812">
      <c r="C812" s="354" t="n"/>
      <c r="D812" s="354" t="n"/>
      <c r="E812" s="354" t="n"/>
      <c r="F812" s="354" t="n"/>
      <c r="G812" s="354" t="n"/>
    </row>
    <row r="813">
      <c r="C813" s="354" t="n"/>
      <c r="D813" s="354" t="n"/>
      <c r="E813" s="354" t="n"/>
      <c r="F813" s="354" t="n"/>
      <c r="G813" s="354" t="n"/>
    </row>
    <row r="814">
      <c r="C814" s="354" t="n"/>
      <c r="D814" s="354" t="n"/>
      <c r="E814" s="354" t="n"/>
      <c r="F814" s="354" t="n"/>
      <c r="G814" s="354" t="n"/>
    </row>
    <row r="815">
      <c r="C815" s="354" t="n"/>
      <c r="D815" s="354" t="n"/>
      <c r="E815" s="354" t="n"/>
      <c r="F815" s="354" t="n"/>
      <c r="G815" s="354" t="n"/>
    </row>
    <row r="816">
      <c r="C816" s="354" t="n"/>
      <c r="D816" s="354" t="n"/>
      <c r="E816" s="354" t="n"/>
      <c r="F816" s="354" t="n"/>
      <c r="G816" s="354" t="n"/>
    </row>
    <row r="817">
      <c r="C817" s="354" t="n"/>
      <c r="D817" s="354" t="n"/>
      <c r="E817" s="354" t="n"/>
      <c r="F817" s="354" t="n"/>
      <c r="G817" s="354" t="n"/>
    </row>
    <row r="818">
      <c r="C818" s="354" t="n"/>
      <c r="D818" s="354" t="n"/>
      <c r="E818" s="354" t="n"/>
      <c r="F818" s="354" t="n"/>
      <c r="G818" s="354" t="n"/>
    </row>
    <row r="819">
      <c r="C819" s="354" t="n"/>
      <c r="D819" s="354" t="n"/>
      <c r="E819" s="354" t="n"/>
      <c r="F819" s="354" t="n"/>
      <c r="G819" s="354" t="n"/>
    </row>
    <row r="820">
      <c r="C820" s="354" t="n"/>
      <c r="D820" s="354" t="n"/>
      <c r="E820" s="354" t="n"/>
      <c r="F820" s="354" t="n"/>
      <c r="G820" s="354" t="n"/>
    </row>
    <row r="821">
      <c r="C821" s="354" t="n"/>
      <c r="D821" s="354" t="n"/>
      <c r="E821" s="354" t="n"/>
      <c r="F821" s="354" t="n"/>
      <c r="G821" s="354" t="n"/>
    </row>
    <row r="822">
      <c r="C822" s="354" t="n"/>
      <c r="D822" s="354" t="n"/>
      <c r="E822" s="354" t="n"/>
      <c r="F822" s="354" t="n"/>
      <c r="G822" s="354" t="n"/>
    </row>
    <row r="823">
      <c r="C823" s="354" t="n"/>
      <c r="D823" s="354" t="n"/>
      <c r="E823" s="354" t="n"/>
      <c r="F823" s="354" t="n"/>
      <c r="G823" s="354" t="n"/>
    </row>
    <row r="824">
      <c r="C824" s="354" t="n"/>
      <c r="D824" s="354" t="n"/>
      <c r="E824" s="354" t="n"/>
      <c r="F824" s="354" t="n"/>
      <c r="G824" s="354" t="n"/>
    </row>
    <row r="825">
      <c r="C825" s="354" t="n"/>
      <c r="D825" s="354" t="n"/>
      <c r="E825" s="354" t="n"/>
      <c r="F825" s="354" t="n"/>
      <c r="G825" s="354" t="n"/>
    </row>
    <row r="826">
      <c r="C826" s="354" t="n"/>
      <c r="D826" s="354" t="n"/>
      <c r="E826" s="354" t="n"/>
      <c r="F826" s="354" t="n"/>
      <c r="G826" s="354" t="n"/>
    </row>
    <row r="827">
      <c r="C827" s="354" t="n"/>
      <c r="D827" s="354" t="n"/>
      <c r="E827" s="354" t="n"/>
      <c r="F827" s="354" t="n"/>
      <c r="G827" s="354" t="n"/>
    </row>
    <row r="828">
      <c r="C828" s="354" t="n"/>
      <c r="D828" s="354" t="n"/>
      <c r="E828" s="354" t="n"/>
      <c r="F828" s="354" t="n"/>
      <c r="G828" s="354" t="n"/>
    </row>
    <row r="829">
      <c r="C829" s="354" t="n"/>
      <c r="D829" s="354" t="n"/>
      <c r="E829" s="354" t="n"/>
      <c r="F829" s="354" t="n"/>
      <c r="G829" s="354" t="n"/>
    </row>
    <row r="830">
      <c r="C830" s="354" t="n"/>
      <c r="D830" s="354" t="n"/>
      <c r="E830" s="354" t="n"/>
      <c r="F830" s="354" t="n"/>
      <c r="G830" s="354" t="n"/>
    </row>
    <row r="831">
      <c r="C831" s="354" t="n"/>
      <c r="D831" s="354" t="n"/>
      <c r="E831" s="354" t="n"/>
      <c r="F831" s="354" t="n"/>
      <c r="G831" s="354" t="n"/>
    </row>
    <row r="832">
      <c r="C832" s="354" t="n"/>
      <c r="D832" s="354" t="n"/>
      <c r="E832" s="354" t="n"/>
      <c r="F832" s="354" t="n"/>
      <c r="G832" s="354" t="n"/>
    </row>
    <row r="833">
      <c r="C833" s="354" t="n"/>
      <c r="D833" s="354" t="n"/>
      <c r="E833" s="354" t="n"/>
      <c r="F833" s="354" t="n"/>
      <c r="G833" s="354" t="n"/>
    </row>
    <row r="834">
      <c r="C834" s="354" t="n"/>
      <c r="D834" s="354" t="n"/>
      <c r="E834" s="354" t="n"/>
      <c r="F834" s="354" t="n"/>
      <c r="G834" s="354" t="n"/>
    </row>
    <row r="835">
      <c r="C835" s="354" t="n"/>
      <c r="D835" s="354" t="n"/>
      <c r="E835" s="354" t="n"/>
      <c r="F835" s="354" t="n"/>
      <c r="G835" s="354" t="n"/>
    </row>
    <row r="836">
      <c r="C836" s="354" t="n"/>
      <c r="D836" s="354" t="n"/>
      <c r="E836" s="354" t="n"/>
      <c r="F836" s="354" t="n"/>
      <c r="G836" s="354" t="n"/>
    </row>
    <row r="837">
      <c r="C837" s="354" t="n"/>
      <c r="D837" s="354" t="n"/>
      <c r="E837" s="354" t="n"/>
      <c r="F837" s="354" t="n"/>
      <c r="G837" s="354" t="n"/>
    </row>
    <row r="838">
      <c r="C838" s="354" t="n"/>
      <c r="D838" s="354" t="n"/>
      <c r="E838" s="354" t="n"/>
      <c r="F838" s="354" t="n"/>
      <c r="G838" s="354" t="n"/>
    </row>
    <row r="839">
      <c r="C839" s="354" t="n"/>
      <c r="D839" s="354" t="n"/>
      <c r="E839" s="354" t="n"/>
      <c r="F839" s="354" t="n"/>
      <c r="G839" s="354" t="n"/>
    </row>
    <row r="840">
      <c r="C840" s="354" t="n"/>
      <c r="D840" s="354" t="n"/>
      <c r="E840" s="354" t="n"/>
      <c r="F840" s="354" t="n"/>
      <c r="G840" s="354" t="n"/>
    </row>
    <row r="841">
      <c r="C841" s="354" t="n"/>
      <c r="D841" s="354" t="n"/>
      <c r="E841" s="354" t="n"/>
      <c r="F841" s="354" t="n"/>
      <c r="G841" s="354" t="n"/>
    </row>
    <row r="842">
      <c r="C842" s="354" t="n"/>
      <c r="D842" s="354" t="n"/>
      <c r="E842" s="354" t="n"/>
      <c r="F842" s="354" t="n"/>
      <c r="G842" s="354" t="n"/>
    </row>
    <row r="843">
      <c r="C843" s="354" t="n"/>
      <c r="D843" s="354" t="n"/>
      <c r="E843" s="354" t="n"/>
      <c r="F843" s="354" t="n"/>
      <c r="G843" s="354" t="n"/>
    </row>
    <row r="844">
      <c r="C844" s="354" t="n"/>
      <c r="D844" s="354" t="n"/>
      <c r="E844" s="354" t="n"/>
      <c r="F844" s="354" t="n"/>
      <c r="G844" s="354" t="n"/>
    </row>
    <row r="845">
      <c r="C845" s="354" t="n"/>
      <c r="D845" s="354" t="n"/>
      <c r="E845" s="354" t="n"/>
      <c r="F845" s="354" t="n"/>
      <c r="G845" s="354" t="n"/>
    </row>
    <row r="846">
      <c r="C846" s="354" t="n"/>
      <c r="D846" s="354" t="n"/>
      <c r="E846" s="354" t="n"/>
      <c r="F846" s="354" t="n"/>
      <c r="G846" s="354" t="n"/>
    </row>
    <row r="847">
      <c r="C847" s="354" t="n"/>
      <c r="D847" s="354" t="n"/>
      <c r="E847" s="354" t="n"/>
      <c r="F847" s="354" t="n"/>
      <c r="G847" s="354" t="n"/>
    </row>
    <row r="848">
      <c r="C848" s="354" t="n"/>
      <c r="D848" s="354" t="n"/>
      <c r="E848" s="354" t="n"/>
      <c r="F848" s="354" t="n"/>
      <c r="G848" s="354" t="n"/>
    </row>
    <row r="849">
      <c r="C849" s="354" t="n"/>
      <c r="D849" s="354" t="n"/>
      <c r="E849" s="354" t="n"/>
      <c r="F849" s="354" t="n"/>
      <c r="G849" s="354" t="n"/>
    </row>
    <row r="850">
      <c r="C850" s="354" t="n"/>
      <c r="D850" s="354" t="n"/>
      <c r="E850" s="354" t="n"/>
      <c r="F850" s="354" t="n"/>
      <c r="G850" s="354" t="n"/>
    </row>
    <row r="851">
      <c r="C851" s="354" t="n"/>
      <c r="D851" s="354" t="n"/>
      <c r="E851" s="354" t="n"/>
      <c r="F851" s="354" t="n"/>
      <c r="G851" s="354" t="n"/>
    </row>
    <row r="852">
      <c r="C852" s="354" t="n"/>
      <c r="D852" s="354" t="n"/>
      <c r="E852" s="354" t="n"/>
      <c r="F852" s="354" t="n"/>
      <c r="G852" s="354" t="n"/>
    </row>
    <row r="853">
      <c r="C853" s="354" t="n"/>
      <c r="D853" s="354" t="n"/>
      <c r="E853" s="354" t="n"/>
      <c r="F853" s="354" t="n"/>
      <c r="G853" s="354" t="n"/>
    </row>
    <row r="854">
      <c r="C854" s="354" t="n"/>
      <c r="D854" s="354" t="n"/>
      <c r="E854" s="354" t="n"/>
      <c r="F854" s="354" t="n"/>
      <c r="G854" s="354" t="n"/>
    </row>
    <row r="855">
      <c r="C855" s="354" t="n"/>
      <c r="D855" s="354" t="n"/>
      <c r="E855" s="354" t="n"/>
      <c r="F855" s="354" t="n"/>
      <c r="G855" s="354" t="n"/>
    </row>
    <row r="856">
      <c r="C856" s="354" t="n"/>
      <c r="D856" s="354" t="n"/>
      <c r="E856" s="354" t="n"/>
      <c r="F856" s="354" t="n"/>
      <c r="G856" s="354" t="n"/>
    </row>
    <row r="857">
      <c r="C857" s="354" t="n"/>
      <c r="D857" s="354" t="n"/>
      <c r="E857" s="354" t="n"/>
      <c r="F857" s="354" t="n"/>
      <c r="G857" s="354" t="n"/>
    </row>
    <row r="858">
      <c r="C858" s="354" t="n"/>
      <c r="D858" s="354" t="n"/>
      <c r="E858" s="354" t="n"/>
      <c r="F858" s="354" t="n"/>
      <c r="G858" s="354" t="n"/>
    </row>
    <row r="859">
      <c r="C859" s="354" t="n"/>
      <c r="D859" s="354" t="n"/>
      <c r="E859" s="354" t="n"/>
      <c r="F859" s="354" t="n"/>
      <c r="G859" s="354" t="n"/>
    </row>
    <row r="860">
      <c r="C860" s="354" t="n"/>
      <c r="D860" s="354" t="n"/>
      <c r="E860" s="354" t="n"/>
      <c r="F860" s="354" t="n"/>
      <c r="G860" s="354" t="n"/>
    </row>
    <row r="861">
      <c r="C861" s="354" t="n"/>
      <c r="D861" s="354" t="n"/>
      <c r="E861" s="354" t="n"/>
      <c r="F861" s="354" t="n"/>
      <c r="G861" s="354" t="n"/>
    </row>
    <row r="862">
      <c r="C862" s="354" t="n"/>
      <c r="D862" s="354" t="n"/>
      <c r="E862" s="354" t="n"/>
      <c r="F862" s="354" t="n"/>
      <c r="G862" s="354" t="n"/>
    </row>
    <row r="863">
      <c r="C863" s="354" t="n"/>
      <c r="D863" s="354" t="n"/>
      <c r="E863" s="354" t="n"/>
      <c r="F863" s="354" t="n"/>
      <c r="G863" s="354" t="n"/>
    </row>
    <row r="864">
      <c r="C864" s="354" t="n"/>
      <c r="D864" s="354" t="n"/>
      <c r="E864" s="354" t="n"/>
      <c r="F864" s="354" t="n"/>
      <c r="G864" s="354" t="n"/>
    </row>
    <row r="865">
      <c r="C865" s="354" t="n"/>
      <c r="D865" s="354" t="n"/>
      <c r="E865" s="354" t="n"/>
      <c r="F865" s="354" t="n"/>
      <c r="G865" s="354" t="n"/>
    </row>
    <row r="866">
      <c r="C866" s="354" t="n"/>
      <c r="D866" s="354" t="n"/>
      <c r="E866" s="354" t="n"/>
      <c r="F866" s="354" t="n"/>
      <c r="G866" s="354" t="n"/>
    </row>
    <row r="867">
      <c r="C867" s="354" t="n"/>
      <c r="D867" s="354" t="n"/>
      <c r="E867" s="354" t="n"/>
      <c r="F867" s="354" t="n"/>
      <c r="G867" s="354" t="n"/>
    </row>
    <row r="868">
      <c r="C868" s="354" t="n"/>
      <c r="D868" s="354" t="n"/>
      <c r="E868" s="354" t="n"/>
      <c r="F868" s="354" t="n"/>
      <c r="G868" s="354" t="n"/>
    </row>
    <row r="869">
      <c r="C869" s="354" t="n"/>
      <c r="D869" s="354" t="n"/>
      <c r="E869" s="354" t="n"/>
      <c r="F869" s="354" t="n"/>
      <c r="G869" s="354" t="n"/>
    </row>
    <row r="870">
      <c r="C870" s="354" t="n"/>
      <c r="D870" s="354" t="n"/>
      <c r="E870" s="354" t="n"/>
      <c r="F870" s="354" t="n"/>
      <c r="G870" s="354" t="n"/>
    </row>
    <row r="871">
      <c r="C871" s="354" t="n"/>
      <c r="D871" s="354" t="n"/>
      <c r="E871" s="354" t="n"/>
      <c r="F871" s="354" t="n"/>
      <c r="G871" s="354" t="n"/>
    </row>
    <row r="872">
      <c r="C872" s="354" t="n"/>
      <c r="D872" s="354" t="n"/>
      <c r="E872" s="354" t="n"/>
      <c r="F872" s="354" t="n"/>
      <c r="G872" s="354" t="n"/>
    </row>
    <row r="873">
      <c r="C873" s="354" t="n"/>
      <c r="D873" s="354" t="n"/>
      <c r="E873" s="354" t="n"/>
      <c r="F873" s="354" t="n"/>
      <c r="G873" s="354" t="n"/>
    </row>
    <row r="874">
      <c r="C874" s="354" t="n"/>
      <c r="D874" s="354" t="n"/>
      <c r="E874" s="354" t="n"/>
      <c r="F874" s="354" t="n"/>
      <c r="G874" s="354" t="n"/>
    </row>
    <row r="875">
      <c r="C875" s="354" t="n"/>
      <c r="D875" s="354" t="n"/>
      <c r="E875" s="354" t="n"/>
      <c r="F875" s="354" t="n"/>
      <c r="G875" s="354" t="n"/>
    </row>
    <row r="876">
      <c r="C876" s="354" t="n"/>
      <c r="D876" s="354" t="n"/>
      <c r="E876" s="354" t="n"/>
      <c r="F876" s="354" t="n"/>
      <c r="G876" s="354" t="n"/>
    </row>
    <row r="877">
      <c r="C877" s="354" t="n"/>
      <c r="D877" s="354" t="n"/>
      <c r="E877" s="354" t="n"/>
      <c r="F877" s="354" t="n"/>
      <c r="G877" s="354" t="n"/>
    </row>
    <row r="878">
      <c r="C878" s="354" t="n"/>
      <c r="D878" s="354" t="n"/>
      <c r="E878" s="354" t="n"/>
      <c r="F878" s="354" t="n"/>
      <c r="G878" s="354" t="n"/>
    </row>
    <row r="879">
      <c r="C879" s="354" t="n"/>
      <c r="D879" s="354" t="n"/>
      <c r="E879" s="354" t="n"/>
      <c r="F879" s="354" t="n"/>
      <c r="G879" s="354" t="n"/>
    </row>
    <row r="880">
      <c r="C880" s="354" t="n"/>
      <c r="D880" s="354" t="n"/>
      <c r="E880" s="354" t="n"/>
      <c r="F880" s="354" t="n"/>
      <c r="G880" s="354" t="n"/>
    </row>
    <row r="881">
      <c r="C881" s="354" t="n"/>
      <c r="D881" s="354" t="n"/>
      <c r="E881" s="354" t="n"/>
      <c r="F881" s="354" t="n"/>
      <c r="G881" s="354" t="n"/>
    </row>
    <row r="882">
      <c r="C882" s="354" t="n"/>
      <c r="D882" s="354" t="n"/>
      <c r="E882" s="354" t="n"/>
      <c r="F882" s="354" t="n"/>
      <c r="G882" s="354" t="n"/>
    </row>
    <row r="883">
      <c r="C883" s="354" t="n"/>
      <c r="D883" s="354" t="n"/>
      <c r="E883" s="354" t="n"/>
      <c r="F883" s="354" t="n"/>
      <c r="G883" s="354" t="n"/>
    </row>
    <row r="884">
      <c r="C884" s="354" t="n"/>
      <c r="D884" s="354" t="n"/>
      <c r="E884" s="354" t="n"/>
      <c r="F884" s="354" t="n"/>
      <c r="G884" s="354" t="n"/>
    </row>
    <row r="885">
      <c r="C885" s="354" t="n"/>
      <c r="D885" s="354" t="n"/>
      <c r="E885" s="354" t="n"/>
      <c r="F885" s="354" t="n"/>
      <c r="G885" s="354" t="n"/>
    </row>
    <row r="886">
      <c r="C886" s="354" t="n"/>
      <c r="D886" s="354" t="n"/>
      <c r="E886" s="354" t="n"/>
      <c r="F886" s="354" t="n"/>
      <c r="G886" s="354" t="n"/>
    </row>
    <row r="887">
      <c r="C887" s="354" t="n"/>
      <c r="D887" s="354" t="n"/>
      <c r="E887" s="354" t="n"/>
      <c r="F887" s="354" t="n"/>
      <c r="G887" s="354" t="n"/>
    </row>
    <row r="888">
      <c r="C888" s="354" t="n"/>
      <c r="D888" s="354" t="n"/>
      <c r="E888" s="354" t="n"/>
      <c r="F888" s="354" t="n"/>
      <c r="G888" s="354" t="n"/>
    </row>
    <row r="889">
      <c r="C889" s="354" t="n"/>
      <c r="D889" s="354" t="n"/>
      <c r="E889" s="354" t="n"/>
      <c r="F889" s="354" t="n"/>
      <c r="G889" s="354" t="n"/>
    </row>
    <row r="890">
      <c r="C890" s="354" t="n"/>
      <c r="D890" s="354" t="n"/>
      <c r="E890" s="354" t="n"/>
      <c r="F890" s="354" t="n"/>
      <c r="G890" s="354" t="n"/>
    </row>
    <row r="891">
      <c r="C891" s="354" t="n"/>
      <c r="D891" s="354" t="n"/>
      <c r="E891" s="354" t="n"/>
      <c r="F891" s="354" t="n"/>
      <c r="G891" s="354" t="n"/>
    </row>
    <row r="892">
      <c r="C892" s="354" t="n"/>
      <c r="D892" s="354" t="n"/>
      <c r="E892" s="354" t="n"/>
      <c r="F892" s="354" t="n"/>
      <c r="G892" s="354" t="n"/>
    </row>
    <row r="893">
      <c r="C893" s="354" t="n"/>
      <c r="D893" s="354" t="n"/>
      <c r="E893" s="354" t="n"/>
      <c r="F893" s="354" t="n"/>
      <c r="G893" s="354" t="n"/>
    </row>
    <row r="894">
      <c r="C894" s="354" t="n"/>
      <c r="D894" s="354" t="n"/>
      <c r="E894" s="354" t="n"/>
      <c r="F894" s="354" t="n"/>
      <c r="G894" s="354" t="n"/>
    </row>
    <row r="895">
      <c r="C895" s="354" t="n"/>
      <c r="D895" s="354" t="n"/>
      <c r="E895" s="354" t="n"/>
      <c r="F895" s="354" t="n"/>
      <c r="G895" s="354" t="n"/>
    </row>
    <row r="896">
      <c r="C896" s="354" t="n"/>
      <c r="D896" s="354" t="n"/>
      <c r="E896" s="354" t="n"/>
      <c r="F896" s="354" t="n"/>
      <c r="G896" s="354" t="n"/>
    </row>
    <row r="897">
      <c r="C897" s="354" t="n"/>
      <c r="D897" s="354" t="n"/>
      <c r="E897" s="354" t="n"/>
      <c r="F897" s="354" t="n"/>
      <c r="G897" s="354" t="n"/>
    </row>
    <row r="898">
      <c r="C898" s="354" t="n"/>
      <c r="D898" s="354" t="n"/>
      <c r="E898" s="354" t="n"/>
      <c r="F898" s="354" t="n"/>
      <c r="G898" s="354" t="n"/>
    </row>
    <row r="899">
      <c r="C899" s="354" t="n"/>
      <c r="D899" s="354" t="n"/>
      <c r="E899" s="354" t="n"/>
      <c r="F899" s="354" t="n"/>
      <c r="G899" s="354" t="n"/>
    </row>
    <row r="900">
      <c r="C900" s="354" t="n"/>
      <c r="D900" s="354" t="n"/>
      <c r="E900" s="354" t="n"/>
      <c r="F900" s="354" t="n"/>
      <c r="G900" s="354" t="n"/>
    </row>
    <row r="901">
      <c r="C901" s="354" t="n"/>
      <c r="D901" s="354" t="n"/>
      <c r="E901" s="354" t="n"/>
      <c r="F901" s="354" t="n"/>
      <c r="G901" s="354" t="n"/>
    </row>
    <row r="902">
      <c r="C902" s="354" t="n"/>
      <c r="D902" s="354" t="n"/>
      <c r="E902" s="354" t="n"/>
      <c r="F902" s="354" t="n"/>
      <c r="G902" s="354" t="n"/>
    </row>
    <row r="903">
      <c r="C903" s="354" t="n"/>
      <c r="D903" s="354" t="n"/>
      <c r="E903" s="354" t="n"/>
      <c r="F903" s="354" t="n"/>
      <c r="G903" s="354" t="n"/>
    </row>
    <row r="904">
      <c r="C904" s="354" t="n"/>
      <c r="D904" s="354" t="n"/>
      <c r="E904" s="354" t="n"/>
      <c r="F904" s="354" t="n"/>
      <c r="G904" s="354" t="n"/>
    </row>
    <row r="905">
      <c r="C905" s="354" t="n"/>
      <c r="D905" s="354" t="n"/>
      <c r="E905" s="354" t="n"/>
      <c r="F905" s="354" t="n"/>
      <c r="G905" s="354" t="n"/>
    </row>
    <row r="906">
      <c r="C906" s="354" t="n"/>
      <c r="D906" s="354" t="n"/>
      <c r="E906" s="354" t="n"/>
      <c r="F906" s="354" t="n"/>
      <c r="G906" s="354" t="n"/>
    </row>
    <row r="907">
      <c r="C907" s="354" t="n"/>
      <c r="D907" s="354" t="n"/>
      <c r="E907" s="354" t="n"/>
      <c r="F907" s="354" t="n"/>
      <c r="G907" s="354" t="n"/>
    </row>
    <row r="908">
      <c r="C908" s="354" t="n"/>
      <c r="D908" s="354" t="n"/>
      <c r="E908" s="354" t="n"/>
      <c r="F908" s="354" t="n"/>
      <c r="G908" s="354" t="n"/>
    </row>
    <row r="909">
      <c r="C909" s="354" t="n"/>
      <c r="D909" s="354" t="n"/>
      <c r="E909" s="354" t="n"/>
      <c r="F909" s="354" t="n"/>
      <c r="G909" s="354" t="n"/>
    </row>
    <row r="910">
      <c r="C910" s="354" t="n"/>
      <c r="D910" s="354" t="n"/>
      <c r="E910" s="354" t="n"/>
      <c r="F910" s="354" t="n"/>
      <c r="G910" s="354" t="n"/>
    </row>
    <row r="911">
      <c r="C911" s="354" t="n"/>
      <c r="D911" s="354" t="n"/>
      <c r="E911" s="354" t="n"/>
      <c r="F911" s="354" t="n"/>
      <c r="G911" s="354" t="n"/>
    </row>
    <row r="912">
      <c r="C912" s="354" t="n"/>
      <c r="D912" s="354" t="n"/>
      <c r="E912" s="354" t="n"/>
      <c r="F912" s="354" t="n"/>
      <c r="G912" s="354" t="n"/>
    </row>
    <row r="913">
      <c r="C913" s="354" t="n"/>
      <c r="D913" s="354" t="n"/>
      <c r="E913" s="354" t="n"/>
      <c r="F913" s="354" t="n"/>
      <c r="G913" s="354" t="n"/>
    </row>
    <row r="914">
      <c r="C914" s="354" t="n"/>
      <c r="D914" s="354" t="n"/>
      <c r="E914" s="354" t="n"/>
      <c r="F914" s="354" t="n"/>
      <c r="G914" s="354" t="n"/>
    </row>
    <row r="915">
      <c r="C915" s="354" t="n"/>
      <c r="D915" s="354" t="n"/>
      <c r="E915" s="354" t="n"/>
      <c r="F915" s="354" t="n"/>
      <c r="G915" s="354" t="n"/>
    </row>
    <row r="916">
      <c r="C916" s="354" t="n"/>
      <c r="D916" s="354" t="n"/>
      <c r="E916" s="354" t="n"/>
      <c r="F916" s="354" t="n"/>
      <c r="G916" s="354" t="n"/>
    </row>
    <row r="917">
      <c r="C917" s="354" t="n"/>
      <c r="D917" s="354" t="n"/>
      <c r="E917" s="354" t="n"/>
      <c r="F917" s="354" t="n"/>
      <c r="G917" s="354" t="n"/>
    </row>
    <row r="918">
      <c r="C918" s="354" t="n"/>
      <c r="D918" s="354" t="n"/>
      <c r="E918" s="354" t="n"/>
      <c r="F918" s="354" t="n"/>
      <c r="G918" s="354" t="n"/>
    </row>
    <row r="919">
      <c r="C919" s="354" t="n"/>
      <c r="D919" s="354" t="n"/>
      <c r="E919" s="354" t="n"/>
      <c r="F919" s="354" t="n"/>
      <c r="G919" s="354" t="n"/>
    </row>
    <row r="920">
      <c r="C920" s="354" t="n"/>
      <c r="D920" s="354" t="n"/>
      <c r="E920" s="354" t="n"/>
      <c r="F920" s="354" t="n"/>
      <c r="G920" s="354" t="n"/>
    </row>
    <row r="921">
      <c r="C921" s="354" t="n"/>
      <c r="D921" s="354" t="n"/>
      <c r="E921" s="354" t="n"/>
      <c r="F921" s="354" t="n"/>
      <c r="G921" s="354" t="n"/>
    </row>
    <row r="922">
      <c r="C922" s="354" t="n"/>
      <c r="D922" s="354" t="n"/>
      <c r="E922" s="354" t="n"/>
      <c r="F922" s="354" t="n"/>
      <c r="G922" s="354" t="n"/>
    </row>
    <row r="923">
      <c r="C923" s="354" t="n"/>
      <c r="D923" s="354" t="n"/>
      <c r="E923" s="354" t="n"/>
      <c r="F923" s="354" t="n"/>
      <c r="G923" s="354" t="n"/>
    </row>
    <row r="924">
      <c r="C924" s="354" t="n"/>
      <c r="D924" s="354" t="n"/>
      <c r="E924" s="354" t="n"/>
      <c r="F924" s="354" t="n"/>
      <c r="G924" s="354" t="n"/>
    </row>
    <row r="925">
      <c r="C925" s="354" t="n"/>
      <c r="D925" s="354" t="n"/>
      <c r="E925" s="354" t="n"/>
      <c r="F925" s="354" t="n"/>
      <c r="G925" s="354" t="n"/>
    </row>
    <row r="926">
      <c r="C926" s="354" t="n"/>
      <c r="D926" s="354" t="n"/>
      <c r="E926" s="354" t="n"/>
      <c r="F926" s="354" t="n"/>
      <c r="G926" s="354" t="n"/>
    </row>
    <row r="927">
      <c r="C927" s="354" t="n"/>
      <c r="D927" s="354" t="n"/>
      <c r="E927" s="354" t="n"/>
      <c r="F927" s="354" t="n"/>
      <c r="G927" s="354" t="n"/>
    </row>
    <row r="928">
      <c r="C928" s="354" t="n"/>
      <c r="D928" s="354" t="n"/>
      <c r="E928" s="354" t="n"/>
      <c r="F928" s="354" t="n"/>
      <c r="G928" s="354" t="n"/>
    </row>
    <row r="929">
      <c r="C929" s="354" t="n"/>
      <c r="D929" s="354" t="n"/>
      <c r="E929" s="354" t="n"/>
      <c r="F929" s="354" t="n"/>
      <c r="G929" s="354" t="n"/>
    </row>
    <row r="930">
      <c r="C930" s="354" t="n"/>
      <c r="D930" s="354" t="n"/>
      <c r="E930" s="354" t="n"/>
      <c r="F930" s="354" t="n"/>
      <c r="G930" s="354" t="n"/>
    </row>
    <row r="931">
      <c r="C931" s="354" t="n"/>
      <c r="D931" s="354" t="n"/>
      <c r="E931" s="354" t="n"/>
      <c r="F931" s="354" t="n"/>
      <c r="G931" s="354" t="n"/>
    </row>
    <row r="932">
      <c r="C932" s="354" t="n"/>
      <c r="D932" s="354" t="n"/>
      <c r="E932" s="354" t="n"/>
      <c r="F932" s="354" t="n"/>
      <c r="G932" s="354" t="n"/>
    </row>
    <row r="933">
      <c r="C933" s="354" t="n"/>
      <c r="D933" s="354" t="n"/>
      <c r="E933" s="354" t="n"/>
      <c r="F933" s="354" t="n"/>
      <c r="G933" s="354" t="n"/>
    </row>
    <row r="934">
      <c r="C934" s="354" t="n"/>
      <c r="D934" s="354" t="n"/>
      <c r="E934" s="354" t="n"/>
      <c r="F934" s="354" t="n"/>
      <c r="G934" s="354" t="n"/>
    </row>
    <row r="935">
      <c r="C935" s="354" t="n"/>
      <c r="D935" s="354" t="n"/>
      <c r="E935" s="354" t="n"/>
      <c r="F935" s="354" t="n"/>
      <c r="G935" s="354" t="n"/>
    </row>
    <row r="936">
      <c r="C936" s="354" t="n"/>
      <c r="D936" s="354" t="n"/>
      <c r="E936" s="354" t="n"/>
      <c r="F936" s="354" t="n"/>
      <c r="G936" s="354" t="n"/>
    </row>
    <row r="937">
      <c r="C937" s="354" t="n"/>
      <c r="D937" s="354" t="n"/>
      <c r="E937" s="354" t="n"/>
      <c r="F937" s="354" t="n"/>
      <c r="G937" s="354" t="n"/>
    </row>
    <row r="938">
      <c r="C938" s="354" t="n"/>
      <c r="D938" s="354" t="n"/>
      <c r="E938" s="354" t="n"/>
      <c r="F938" s="354" t="n"/>
      <c r="G938" s="354" t="n"/>
    </row>
    <row r="939">
      <c r="C939" s="354" t="n"/>
      <c r="D939" s="354" t="n"/>
      <c r="E939" s="354" t="n"/>
      <c r="F939" s="354" t="n"/>
      <c r="G939" s="354" t="n"/>
    </row>
    <row r="940">
      <c r="C940" s="354" t="n"/>
      <c r="D940" s="354" t="n"/>
      <c r="E940" s="354" t="n"/>
      <c r="F940" s="354" t="n"/>
      <c r="G940" s="354" t="n"/>
    </row>
    <row r="941">
      <c r="C941" s="354" t="n"/>
      <c r="D941" s="354" t="n"/>
      <c r="E941" s="354" t="n"/>
      <c r="F941" s="354" t="n"/>
      <c r="G941" s="354" t="n"/>
    </row>
    <row r="942">
      <c r="C942" s="354" t="n"/>
      <c r="D942" s="354" t="n"/>
      <c r="E942" s="354" t="n"/>
      <c r="F942" s="354" t="n"/>
      <c r="G942" s="354" t="n"/>
    </row>
    <row r="943">
      <c r="C943" s="354" t="n"/>
      <c r="D943" s="354" t="n"/>
      <c r="E943" s="354" t="n"/>
      <c r="F943" s="354" t="n"/>
      <c r="G943" s="354" t="n"/>
    </row>
    <row r="944">
      <c r="C944" s="354" t="n"/>
      <c r="D944" s="354" t="n"/>
      <c r="E944" s="354" t="n"/>
      <c r="F944" s="354" t="n"/>
      <c r="G944" s="354" t="n"/>
    </row>
    <row r="945">
      <c r="C945" s="354" t="n"/>
      <c r="D945" s="354" t="n"/>
      <c r="E945" s="354" t="n"/>
      <c r="F945" s="354" t="n"/>
      <c r="G945" s="354" t="n"/>
    </row>
    <row r="946">
      <c r="C946" s="354" t="n"/>
      <c r="D946" s="354" t="n"/>
      <c r="E946" s="354" t="n"/>
      <c r="F946" s="354" t="n"/>
      <c r="G946" s="354" t="n"/>
    </row>
    <row r="947">
      <c r="C947" s="354" t="n"/>
      <c r="D947" s="354" t="n"/>
      <c r="E947" s="354" t="n"/>
      <c r="F947" s="354" t="n"/>
      <c r="G947" s="354" t="n"/>
    </row>
    <row r="948">
      <c r="C948" s="354" t="n"/>
      <c r="D948" s="354" t="n"/>
      <c r="E948" s="354" t="n"/>
      <c r="F948" s="354" t="n"/>
      <c r="G948" s="354" t="n"/>
    </row>
    <row r="949">
      <c r="C949" s="354" t="n"/>
      <c r="D949" s="354" t="n"/>
      <c r="E949" s="354" t="n"/>
      <c r="F949" s="354" t="n"/>
      <c r="G949" s="354" t="n"/>
    </row>
    <row r="950">
      <c r="C950" s="354" t="n"/>
      <c r="D950" s="354" t="n"/>
      <c r="E950" s="354" t="n"/>
      <c r="F950" s="354" t="n"/>
      <c r="G950" s="354" t="n"/>
    </row>
    <row r="951">
      <c r="C951" s="354" t="n"/>
      <c r="D951" s="354" t="n"/>
      <c r="E951" s="354" t="n"/>
      <c r="F951" s="354" t="n"/>
      <c r="G951" s="354" t="n"/>
    </row>
    <row r="952">
      <c r="C952" s="354" t="n"/>
      <c r="D952" s="354" t="n"/>
      <c r="E952" s="354" t="n"/>
      <c r="F952" s="354" t="n"/>
      <c r="G952" s="354" t="n"/>
    </row>
    <row r="953">
      <c r="C953" s="354" t="n"/>
      <c r="D953" s="354" t="n"/>
      <c r="E953" s="354" t="n"/>
      <c r="F953" s="354" t="n"/>
      <c r="G953" s="354" t="n"/>
    </row>
    <row r="954">
      <c r="C954" s="354" t="n"/>
      <c r="D954" s="354" t="n"/>
      <c r="E954" s="354" t="n"/>
      <c r="F954" s="354" t="n"/>
      <c r="G954" s="354" t="n"/>
    </row>
    <row r="955">
      <c r="C955" s="354" t="n"/>
      <c r="D955" s="354" t="n"/>
      <c r="E955" s="354" t="n"/>
      <c r="F955" s="354" t="n"/>
      <c r="G955" s="354" t="n"/>
    </row>
    <row r="956">
      <c r="C956" s="354" t="n"/>
      <c r="D956" s="354" t="n"/>
      <c r="E956" s="354" t="n"/>
      <c r="F956" s="354" t="n"/>
      <c r="G956" s="354" t="n"/>
    </row>
    <row r="957">
      <c r="C957" s="354" t="n"/>
      <c r="D957" s="354" t="n"/>
      <c r="E957" s="354" t="n"/>
      <c r="F957" s="354" t="n"/>
      <c r="G957" s="354" t="n"/>
    </row>
    <row r="958">
      <c r="C958" s="354" t="n"/>
      <c r="D958" s="354" t="n"/>
      <c r="E958" s="354" t="n"/>
      <c r="F958" s="354" t="n"/>
      <c r="G958" s="354" t="n"/>
    </row>
    <row r="959">
      <c r="C959" s="354" t="n"/>
      <c r="D959" s="354" t="n"/>
      <c r="E959" s="354" t="n"/>
      <c r="F959" s="354" t="n"/>
      <c r="G959" s="354" t="n"/>
    </row>
    <row r="960">
      <c r="C960" s="354" t="n"/>
      <c r="D960" s="354" t="n"/>
      <c r="E960" s="354" t="n"/>
      <c r="F960" s="354" t="n"/>
      <c r="G960" s="354" t="n"/>
    </row>
    <row r="961">
      <c r="C961" s="354" t="n"/>
      <c r="D961" s="354" t="n"/>
      <c r="E961" s="354" t="n"/>
      <c r="F961" s="354" t="n"/>
      <c r="G961" s="354" t="n"/>
    </row>
    <row r="962">
      <c r="C962" s="354" t="n"/>
      <c r="D962" s="354" t="n"/>
      <c r="E962" s="354" t="n"/>
      <c r="F962" s="354" t="n"/>
      <c r="G962" s="354" t="n"/>
    </row>
    <row r="963">
      <c r="C963" s="354" t="n"/>
      <c r="D963" s="354" t="n"/>
      <c r="E963" s="354" t="n"/>
      <c r="F963" s="354" t="n"/>
      <c r="G963" s="354" t="n"/>
    </row>
    <row r="964">
      <c r="C964" s="354" t="n"/>
      <c r="D964" s="354" t="n"/>
      <c r="E964" s="354" t="n"/>
      <c r="F964" s="354" t="n"/>
      <c r="G964" s="354" t="n"/>
    </row>
    <row r="965">
      <c r="C965" s="354" t="n"/>
      <c r="D965" s="354" t="n"/>
      <c r="E965" s="354" t="n"/>
      <c r="F965" s="354" t="n"/>
      <c r="G965" s="354" t="n"/>
    </row>
    <row r="966">
      <c r="C966" s="354" t="n"/>
      <c r="D966" s="354" t="n"/>
      <c r="E966" s="354" t="n"/>
      <c r="F966" s="354" t="n"/>
      <c r="G966" s="354" t="n"/>
    </row>
    <row r="967">
      <c r="C967" s="354" t="n"/>
      <c r="D967" s="354" t="n"/>
      <c r="E967" s="354" t="n"/>
      <c r="F967" s="354" t="n"/>
      <c r="G967" s="354" t="n"/>
    </row>
    <row r="968">
      <c r="C968" s="354" t="n"/>
      <c r="D968" s="354" t="n"/>
      <c r="E968" s="354" t="n"/>
      <c r="F968" s="354" t="n"/>
      <c r="G968" s="354" t="n"/>
    </row>
    <row r="969">
      <c r="C969" s="354" t="n"/>
      <c r="D969" s="354" t="n"/>
      <c r="E969" s="354" t="n"/>
      <c r="F969" s="354" t="n"/>
      <c r="G969" s="354" t="n"/>
    </row>
    <row r="970">
      <c r="C970" s="354" t="n"/>
      <c r="D970" s="354" t="n"/>
      <c r="E970" s="354" t="n"/>
      <c r="F970" s="354" t="n"/>
      <c r="G970" s="354" t="n"/>
    </row>
    <row r="971">
      <c r="C971" s="354" t="n"/>
      <c r="D971" s="354" t="n"/>
      <c r="E971" s="354" t="n"/>
      <c r="F971" s="354" t="n"/>
      <c r="G971" s="354" t="n"/>
    </row>
    <row r="972">
      <c r="C972" s="354" t="n"/>
      <c r="D972" s="354" t="n"/>
      <c r="E972" s="354" t="n"/>
      <c r="F972" s="354" t="n"/>
      <c r="G972" s="354" t="n"/>
    </row>
    <row r="973">
      <c r="C973" s="354" t="n"/>
      <c r="D973" s="354" t="n"/>
      <c r="E973" s="354" t="n"/>
      <c r="F973" s="354" t="n"/>
      <c r="G973" s="354" t="n"/>
    </row>
    <row r="974">
      <c r="C974" s="354" t="n"/>
      <c r="D974" s="354" t="n"/>
      <c r="E974" s="354" t="n"/>
      <c r="F974" s="354" t="n"/>
      <c r="G974" s="354" t="n"/>
    </row>
    <row r="975">
      <c r="C975" s="354" t="n"/>
      <c r="D975" s="354" t="n"/>
      <c r="E975" s="354" t="n"/>
      <c r="F975" s="354" t="n"/>
      <c r="G975" s="354" t="n"/>
    </row>
    <row r="976">
      <c r="C976" s="354" t="n"/>
      <c r="D976" s="354" t="n"/>
      <c r="E976" s="354" t="n"/>
      <c r="F976" s="354" t="n"/>
      <c r="G976" s="354" t="n"/>
    </row>
    <row r="977">
      <c r="C977" s="354" t="n"/>
      <c r="D977" s="354" t="n"/>
      <c r="E977" s="354" t="n"/>
      <c r="F977" s="354" t="n"/>
      <c r="G977" s="354" t="n"/>
    </row>
    <row r="978">
      <c r="C978" s="354" t="n"/>
      <c r="D978" s="354" t="n"/>
      <c r="E978" s="354" t="n"/>
      <c r="F978" s="354" t="n"/>
      <c r="G978" s="354" t="n"/>
    </row>
    <row r="979">
      <c r="C979" s="354" t="n"/>
      <c r="D979" s="354" t="n"/>
      <c r="E979" s="354" t="n"/>
      <c r="F979" s="354" t="n"/>
      <c r="G979" s="354" t="n"/>
    </row>
    <row r="980">
      <c r="C980" s="354" t="n"/>
      <c r="D980" s="354" t="n"/>
      <c r="E980" s="354" t="n"/>
      <c r="F980" s="354" t="n"/>
      <c r="G980" s="354" t="n"/>
    </row>
    <row r="981">
      <c r="C981" s="354" t="n"/>
      <c r="D981" s="354" t="n"/>
      <c r="E981" s="354" t="n"/>
      <c r="F981" s="354" t="n"/>
      <c r="G981" s="354" t="n"/>
    </row>
    <row r="982">
      <c r="C982" s="354" t="n"/>
      <c r="D982" s="354" t="n"/>
      <c r="E982" s="354" t="n"/>
      <c r="F982" s="354" t="n"/>
      <c r="G982" s="354" t="n"/>
    </row>
    <row r="983">
      <c r="C983" s="354" t="n"/>
      <c r="D983" s="354" t="n"/>
      <c r="E983" s="354" t="n"/>
      <c r="F983" s="354" t="n"/>
      <c r="G983" s="354" t="n"/>
    </row>
    <row r="984">
      <c r="C984" s="354" t="n"/>
      <c r="D984" s="354" t="n"/>
      <c r="E984" s="354" t="n"/>
      <c r="F984" s="354" t="n"/>
      <c r="G984" s="354" t="n"/>
    </row>
    <row r="985">
      <c r="C985" s="354" t="n"/>
      <c r="D985" s="354" t="n"/>
      <c r="E985" s="354" t="n"/>
      <c r="F985" s="354" t="n"/>
      <c r="G985" s="354" t="n"/>
    </row>
    <row r="986">
      <c r="C986" s="354" t="n"/>
      <c r="D986" s="354" t="n"/>
      <c r="E986" s="354" t="n"/>
      <c r="F986" s="354" t="n"/>
      <c r="G986" s="354" t="n"/>
    </row>
    <row r="987">
      <c r="C987" s="354" t="n"/>
      <c r="D987" s="354" t="n"/>
      <c r="E987" s="354" t="n"/>
      <c r="F987" s="354" t="n"/>
      <c r="G987" s="354" t="n"/>
    </row>
    <row r="988">
      <c r="C988" s="354" t="n"/>
      <c r="D988" s="354" t="n"/>
      <c r="E988" s="354" t="n"/>
      <c r="F988" s="354" t="n"/>
      <c r="G988" s="354" t="n"/>
    </row>
    <row r="989">
      <c r="C989" s="354" t="n"/>
      <c r="D989" s="354" t="n"/>
      <c r="E989" s="354" t="n"/>
      <c r="F989" s="354" t="n"/>
      <c r="G989" s="354" t="n"/>
    </row>
    <row r="990">
      <c r="C990" s="354" t="n"/>
      <c r="D990" s="354" t="n"/>
      <c r="E990" s="354" t="n"/>
      <c r="F990" s="354" t="n"/>
      <c r="G990" s="354" t="n"/>
    </row>
    <row r="991">
      <c r="C991" s="354" t="n"/>
      <c r="D991" s="354" t="n"/>
      <c r="E991" s="354" t="n"/>
      <c r="F991" s="354" t="n"/>
      <c r="G991" s="354" t="n"/>
    </row>
    <row r="992">
      <c r="C992" s="354" t="n"/>
      <c r="D992" s="354" t="n"/>
      <c r="E992" s="354" t="n"/>
      <c r="F992" s="354" t="n"/>
      <c r="G992" s="354" t="n"/>
    </row>
    <row r="993">
      <c r="C993" s="354" t="n"/>
      <c r="D993" s="354" t="n"/>
      <c r="E993" s="354" t="n"/>
      <c r="F993" s="354" t="n"/>
      <c r="G993" s="354" t="n"/>
    </row>
    <row r="994">
      <c r="C994" s="354" t="n"/>
      <c r="D994" s="354" t="n"/>
      <c r="E994" s="354" t="n"/>
      <c r="F994" s="354" t="n"/>
      <c r="G994" s="354" t="n"/>
    </row>
    <row r="995">
      <c r="C995" s="354" t="n"/>
      <c r="D995" s="354" t="n"/>
      <c r="E995" s="354" t="n"/>
      <c r="F995" s="354" t="n"/>
      <c r="G995" s="354" t="n"/>
    </row>
    <row r="996">
      <c r="C996" s="354" t="n"/>
      <c r="D996" s="354" t="n"/>
      <c r="E996" s="354" t="n"/>
      <c r="F996" s="354" t="n"/>
      <c r="G996" s="354" t="n"/>
    </row>
    <row r="997">
      <c r="C997" s="354" t="n"/>
      <c r="D997" s="354" t="n"/>
      <c r="E997" s="354" t="n"/>
      <c r="F997" s="354" t="n"/>
      <c r="G997" s="354" t="n"/>
    </row>
    <row r="998">
      <c r="C998" s="354" t="n"/>
      <c r="D998" s="354" t="n"/>
      <c r="E998" s="354" t="n"/>
      <c r="F998" s="354" t="n"/>
      <c r="G998" s="354" t="n"/>
    </row>
    <row r="999">
      <c r="C999" s="354" t="n"/>
      <c r="D999" s="354" t="n"/>
      <c r="E999" s="354" t="n"/>
      <c r="F999" s="354" t="n"/>
      <c r="G999" s="354" t="n"/>
    </row>
    <row r="1000">
      <c r="C1000" s="354" t="n"/>
      <c r="D1000" s="354" t="n"/>
      <c r="E1000" s="354" t="n"/>
      <c r="F1000" s="354" t="n"/>
      <c r="G1000" s="354" t="n"/>
    </row>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P1000"/>
  <sheetViews>
    <sheetView workbookViewId="0">
      <selection activeCell="A1" sqref="A1"/>
    </sheetView>
  </sheetViews>
  <sheetFormatPr baseColWidth="8" defaultColWidth="12.63" defaultRowHeight="15.75" customHeight="1"/>
  <cols>
    <col width="9.5" customWidth="1" style="482" min="1" max="4"/>
    <col width="13.88" customWidth="1" style="482" min="5" max="6"/>
    <col width="18.38" customWidth="1" style="482" min="7" max="7"/>
    <col width="9.5" customWidth="1" style="482" min="8" max="15"/>
  </cols>
  <sheetData>
    <row r="1">
      <c r="A1" s="355">
        <f>IFERROR(__xludf.DUMMYFUNCTION("IMPORTRANGE(""https://docs.google.com/spreadsheets/d/1oJmkDK37Qizzdaxn4KCwh1BMwdNWuHCx3AGH8BC9yu0/edit#gid=1994449604"",""アイテム!A1:N1000"")"),"作品_ID")</f>
        <v/>
      </c>
      <c r="B1" s="356">
        <f>IFERROR(__xludf.DUMMYFUNCTION("""COMPUTED_VALUE"""),"作品名")</f>
        <v/>
      </c>
      <c r="C1" s="356">
        <f>IFERROR(__xludf.DUMMYFUNCTION("""COMPUTED_VALUE"""),"接頭語（カテゴリー）")</f>
        <v/>
      </c>
      <c r="D1" s="357">
        <f>IFERROR(__xludf.DUMMYFUNCTION("""COMPUTED_VALUE"""),"識別ID")</f>
        <v/>
      </c>
      <c r="E1" s="356">
        <f>IFERROR(__xludf.DUMMYFUNCTION("""COMPUTED_VALUE"""),"アイテム_ID")</f>
        <v/>
      </c>
      <c r="F1" s="356">
        <f>IFERROR(__xludf.DUMMYFUNCTION("""COMPUTED_VALUE"""),"assetKey")</f>
        <v/>
      </c>
      <c r="G1" s="356">
        <f>IFERROR(__xludf.DUMMYFUNCTION("""COMPUTED_VALUE"""),"画像ファイルID")</f>
        <v/>
      </c>
      <c r="H1" s="356">
        <f>IFERROR(__xludf.DUMMYFUNCTION("""COMPUTED_VALUE"""),"アイテム名")</f>
        <v/>
      </c>
      <c r="I1" s="356">
        <f>IFERROR(__xludf.DUMMYFUNCTION("""COMPUTED_VALUE"""),"レアリティ")</f>
        <v/>
      </c>
      <c r="J1" s="359">
        <f>IFERROR(__xludf.DUMMYFUNCTION("""COMPUTED_VALUE"""),"最大所持数")</f>
        <v/>
      </c>
      <c r="K1" s="359">
        <f>IFERROR(__xludf.DUMMYFUNCTION("""COMPUTED_VALUE"""),"最大表示上限数")</f>
        <v/>
      </c>
      <c r="L1" s="359">
        <f>IFERROR(__xludf.DUMMYFUNCTION("""COMPUTED_VALUE"""),"フレーバーテキスト")</f>
        <v/>
      </c>
      <c r="M1" s="359">
        <f>IFERROR(__xludf.DUMMYFUNCTION("""COMPUTED_VALUE"""),"アイテム備考")</f>
        <v/>
      </c>
      <c r="N1" s="359">
        <f>IFERROR(__xludf.DUMMYFUNCTION("""COMPUTED_VALUE"""),"start_date")</f>
        <v/>
      </c>
      <c r="O1" s="360" t="n"/>
      <c r="P1" s="334" t="n"/>
    </row>
    <row r="2">
      <c r="A2" s="361">
        <f>IFERROR(__xludf.DUMMYFUNCTION("""COMPUTED_VALUE"""),"▼ゲーム内通貨")</f>
        <v/>
      </c>
      <c r="B2" s="403" t="n"/>
      <c r="C2" s="363" t="n"/>
      <c r="D2" s="413" t="n"/>
      <c r="E2" s="403" t="n"/>
      <c r="F2" s="403" t="n"/>
      <c r="G2" s="370" t="n"/>
      <c r="H2" s="377" t="n"/>
      <c r="I2" s="367" t="n"/>
      <c r="J2" s="367" t="n"/>
      <c r="K2" s="368" t="n"/>
      <c r="L2" s="369" t="n"/>
      <c r="M2" s="369" t="n"/>
      <c r="N2" s="369" t="n"/>
      <c r="O2" s="369" t="n"/>
      <c r="P2" s="334" t="n"/>
    </row>
    <row r="3">
      <c r="A3" s="361">
        <f>IFERROR(__xludf.DUMMYFUNCTION("""COMPUTED_VALUE"""),"glo")</f>
        <v/>
      </c>
      <c r="B3" s="403">
        <f>IFERROR(__xludf.DUMMYFUNCTION("""COMPUTED_VALUE"""),"GLOW")</f>
        <v/>
      </c>
      <c r="C3" s="370">
        <f>IFERROR(__xludf.DUMMYFUNCTION("""COMPUTED_VALUE"""),"prism")</f>
        <v/>
      </c>
      <c r="D3" s="413">
        <f>IFERROR(__xludf.DUMMYFUNCTION("""COMPUTED_VALUE"""),"00001")</f>
        <v/>
      </c>
      <c r="E3" s="403">
        <f>IFERROR(__xludf.DUMMYFUNCTION("""COMPUTED_VALUE"""),"prism_glo_00001")</f>
        <v/>
      </c>
      <c r="F3" s="403">
        <f>IFERROR(__xludf.DUMMYFUNCTION("""COMPUTED_VALUE"""),"prism_glo_00001")</f>
        <v/>
      </c>
      <c r="G3" s="370">
        <f>IFERROR(__xludf.DUMMYFUNCTION("""COMPUTED_VALUE"""),"item_icon_prism_glo_00001")</f>
        <v/>
      </c>
      <c r="H3" s="377">
        <f>IFERROR(__xludf.DUMMYFUNCTION("""COMPUTED_VALUE"""),"プリズム")</f>
        <v/>
      </c>
      <c r="I3" s="367">
        <f>IFERROR(__xludf.DUMMYFUNCTION("""COMPUTED_VALUE"""),"UR")</f>
        <v/>
      </c>
      <c r="J3" s="367">
        <f>IFERROR(__xludf.DUMMYFUNCTION("""COMPUTED_VALUE"""),9.99999999E8)</f>
        <v/>
      </c>
      <c r="K3" s="371">
        <f>IFERROR(__xludf.DUMMYFUNCTION("""COMPUTED_VALUE"""),9.99999999E8)</f>
        <v/>
      </c>
      <c r="L3" s="369">
        <f>IFERROR(__xludf.DUMMYFUNCTION("""COMPUTED_VALUE"""),"未定")</f>
        <v/>
      </c>
      <c r="M3" s="369" t="n"/>
      <c r="N3" s="369">
        <f>IFERROR(__xludf.DUMMYFUNCTION("""COMPUTED_VALUE"""),"2024-01-01 00:00:00")</f>
        <v/>
      </c>
      <c r="O3" s="369" t="n"/>
      <c r="P3" s="334" t="n"/>
    </row>
    <row r="4">
      <c r="A4" s="372">
        <f>IFERROR(__xludf.DUMMYFUNCTION("""COMPUTED_VALUE"""),"glo")</f>
        <v/>
      </c>
      <c r="B4" s="338">
        <f>IFERROR(__xludf.DUMMYFUNCTION("""COMPUTED_VALUE"""),"GLOW")</f>
        <v/>
      </c>
      <c r="C4" s="338">
        <f>IFERROR(__xludf.DUMMYFUNCTION("""COMPUTED_VALUE"""),"coin")</f>
        <v/>
      </c>
      <c r="D4" s="373">
        <f>IFERROR(__xludf.DUMMYFUNCTION("""COMPUTED_VALUE"""),"00001")</f>
        <v/>
      </c>
      <c r="E4" s="338">
        <f>IFERROR(__xludf.DUMMYFUNCTION("""COMPUTED_VALUE"""),"Coin")</f>
        <v/>
      </c>
      <c r="F4" s="338">
        <f>IFERROR(__xludf.DUMMYFUNCTION("""COMPUTED_VALUE"""),"coin_glo_00001")</f>
        <v/>
      </c>
      <c r="G4" s="338">
        <f>IFERROR(__xludf.DUMMYFUNCTION("""COMPUTED_VALUE"""),"item_icon_coin_glo_00001")</f>
        <v/>
      </c>
      <c r="H4" s="338">
        <f>IFERROR(__xludf.DUMMYFUNCTION("""COMPUTED_VALUE"""),"コイン")</f>
        <v/>
      </c>
      <c r="I4" s="338">
        <f>IFERROR(__xludf.DUMMYFUNCTION("""COMPUTED_VALUE"""),"SR")</f>
        <v/>
      </c>
      <c r="J4" s="374">
        <f>IFERROR(__xludf.DUMMYFUNCTION("""COMPUTED_VALUE"""),9.99999999E8)</f>
        <v/>
      </c>
      <c r="K4" s="374">
        <f>IFERROR(__xludf.DUMMYFUNCTION("""COMPUTED_VALUE"""),9.99999999E8)</f>
        <v/>
      </c>
      <c r="L4" s="338">
        <f>IFERROR(__xludf.DUMMYFUNCTION("""COMPUTED_VALUE"""),"未定")</f>
        <v/>
      </c>
      <c r="M4" s="338" t="n"/>
      <c r="N4" s="373">
        <f>IFERROR(__xludf.DUMMYFUNCTION("""COMPUTED_VALUE"""),"2024-01-01 00:00:00")</f>
        <v/>
      </c>
      <c r="O4" s="368" t="n"/>
      <c r="P4" s="334" t="n"/>
    </row>
    <row r="5">
      <c r="A5" s="361">
        <f>IFERROR(__xludf.DUMMYFUNCTION("""COMPUTED_VALUE"""),"▼基本アイテム")</f>
        <v/>
      </c>
      <c r="B5" s="403" t="n"/>
      <c r="C5" s="363" t="n"/>
      <c r="D5" s="413" t="n"/>
      <c r="E5" s="403" t="n"/>
      <c r="F5" s="403" t="n"/>
      <c r="G5" s="370" t="n"/>
      <c r="H5" s="370" t="n"/>
      <c r="I5" s="375" t="n"/>
      <c r="J5" s="375" t="n"/>
      <c r="K5" s="368" t="n"/>
      <c r="L5" s="369" t="n"/>
      <c r="M5" s="369" t="n"/>
      <c r="N5" s="369" t="n"/>
      <c r="O5" s="369" t="n"/>
      <c r="P5" s="334" t="n"/>
    </row>
    <row r="6">
      <c r="A6" s="361">
        <f>IFERROR(__xludf.DUMMYFUNCTION("""COMPUTED_VALUE"""),"glo")</f>
        <v/>
      </c>
      <c r="B6" s="403">
        <f>IFERROR(__xludf.DUMMYFUNCTION("""COMPUTED_VALUE"""),"GLOW")</f>
        <v/>
      </c>
      <c r="C6" s="363">
        <f>IFERROR(__xludf.DUMMYFUNCTION("""COMPUTED_VALUE"""),"stamina")</f>
        <v/>
      </c>
      <c r="D6" s="413">
        <f>IFERROR(__xludf.DUMMYFUNCTION("""COMPUTED_VALUE"""),"00001")</f>
        <v/>
      </c>
      <c r="E6" s="403">
        <f>IFERROR(__xludf.DUMMYFUNCTION("""COMPUTED_VALUE"""),"stamina_glo_00001")</f>
        <v/>
      </c>
      <c r="F6" s="403">
        <f>IFERROR(__xludf.DUMMYFUNCTION("""COMPUTED_VALUE"""),"stamina_glo_00001")</f>
        <v/>
      </c>
      <c r="G6" s="370">
        <f>IFERROR(__xludf.DUMMYFUNCTION("""COMPUTED_VALUE"""),"item_icon_stamina_glo_00001")</f>
        <v/>
      </c>
      <c r="H6" s="370">
        <f>IFERROR(__xludf.DUMMYFUNCTION("""COMPUTED_VALUE"""),"スタミナ")</f>
        <v/>
      </c>
      <c r="I6" s="375">
        <f>IFERROR(__xludf.DUMMYFUNCTION("""COMPUTED_VALUE"""),"R")</f>
        <v/>
      </c>
      <c r="J6" s="375">
        <f>IFERROR(__xludf.DUMMYFUNCTION("""COMPUTED_VALUE"""),999.0)</f>
        <v/>
      </c>
      <c r="K6" s="368">
        <f>IFERROR(__xludf.DUMMYFUNCTION("""COMPUTED_VALUE"""),999.0)</f>
        <v/>
      </c>
      <c r="L6" s="369" t="n"/>
      <c r="M6" s="369" t="n"/>
      <c r="N6" s="369">
        <f>IFERROR(__xludf.DUMMYFUNCTION("""COMPUTED_VALUE"""),"2024-01-01 00:00:00")</f>
        <v/>
      </c>
      <c r="O6" s="369" t="n"/>
      <c r="P6" s="334" t="n"/>
    </row>
    <row r="7">
      <c r="A7" s="372">
        <f>IFERROR(__xludf.DUMMYFUNCTION("""COMPUTED_VALUE"""),"glo")</f>
        <v/>
      </c>
      <c r="B7" s="338">
        <f>IFERROR(__xludf.DUMMYFUNCTION("""COMPUTED_VALUE"""),"GLOW")</f>
        <v/>
      </c>
      <c r="C7" s="338">
        <f>IFERROR(__xludf.DUMMYFUNCTION("""COMPUTED_VALUE"""),"stamina_item")</f>
        <v/>
      </c>
      <c r="D7" s="373">
        <f>IFERROR(__xludf.DUMMYFUNCTION("""COMPUTED_VALUE"""),"00001")</f>
        <v/>
      </c>
      <c r="E7" s="338">
        <f>IFERROR(__xludf.DUMMYFUNCTION("""COMPUTED_VALUE"""),"stamina_item_glo_00001")</f>
        <v/>
      </c>
      <c r="F7" s="338">
        <f>IFERROR(__xludf.DUMMYFUNCTION("""COMPUTED_VALUE"""),"stamina_item_glo_00001")</f>
        <v/>
      </c>
      <c r="G7" s="338">
        <f>IFERROR(__xludf.DUMMYFUNCTION("""COMPUTED_VALUE"""),"item_icon_stamina_item_glo_00001")</f>
        <v/>
      </c>
      <c r="H7" s="338">
        <f>IFERROR(__xludf.DUMMYFUNCTION("""COMPUTED_VALUE"""),"スタミナドリンク")</f>
        <v/>
      </c>
      <c r="I7" s="338">
        <f>IFERROR(__xludf.DUMMYFUNCTION("""COMPUTED_VALUE"""),"R")</f>
        <v/>
      </c>
      <c r="J7" s="374">
        <f>IFERROR(__xludf.DUMMYFUNCTION("""COMPUTED_VALUE"""),9.99999999E8)</f>
        <v/>
      </c>
      <c r="K7" s="374">
        <f>IFERROR(__xludf.DUMMYFUNCTION("""COMPUTED_VALUE"""),9.99999999E8)</f>
        <v/>
      </c>
      <c r="L7" s="338">
        <f>IFERROR(__xludf.DUMMYFUNCTION("""COMPUTED_VALUE"""),"使用することでスタミナ最を10回復できるアイテム")</f>
        <v/>
      </c>
      <c r="M7" s="338" t="n"/>
      <c r="N7" s="373">
        <f>IFERROR(__xludf.DUMMYFUNCTION("""COMPUTED_VALUE"""),"2026-02-01 15:00:00")</f>
        <v/>
      </c>
      <c r="O7" s="368" t="n"/>
      <c r="P7" s="334" t="n"/>
    </row>
    <row r="8">
      <c r="A8" s="361">
        <f>IFERROR(__xludf.DUMMYFUNCTION("""COMPUTED_VALUE"""),"glo")</f>
        <v/>
      </c>
      <c r="B8" s="403">
        <f>IFERROR(__xludf.DUMMYFUNCTION("""COMPUTED_VALUE"""),"GLOW")</f>
        <v/>
      </c>
      <c r="C8" s="370">
        <f>IFERROR(__xludf.DUMMYFUNCTION("""COMPUTED_VALUE"""),"stamina_item")</f>
        <v/>
      </c>
      <c r="D8" s="413">
        <f>IFERROR(__xludf.DUMMYFUNCTION("""COMPUTED_VALUE"""),"00002")</f>
        <v/>
      </c>
      <c r="E8" s="403">
        <f>IFERROR(__xludf.DUMMYFUNCTION("""COMPUTED_VALUE"""),"stamina_item_glo_00002")</f>
        <v/>
      </c>
      <c r="F8" s="403">
        <f>IFERROR(__xludf.DUMMYFUNCTION("""COMPUTED_VALUE"""),"stamina_item_glo_00002")</f>
        <v/>
      </c>
      <c r="G8" s="370">
        <f>IFERROR(__xludf.DUMMYFUNCTION("""COMPUTED_VALUE"""),"item_icon_stamina_item_glo_00002")</f>
        <v/>
      </c>
      <c r="H8" s="370">
        <f>IFERROR(__xludf.DUMMYFUNCTION("""COMPUTED_VALUE"""),"スーパースタミナドリンク")</f>
        <v/>
      </c>
      <c r="I8" s="370">
        <f>IFERROR(__xludf.DUMMYFUNCTION("""COMPUTED_VALUE"""),"SR")</f>
        <v/>
      </c>
      <c r="J8" s="377">
        <f>IFERROR(__xludf.DUMMYFUNCTION("""COMPUTED_VALUE"""),9.99999999E8)</f>
        <v/>
      </c>
      <c r="K8" s="371">
        <f>IFERROR(__xludf.DUMMYFUNCTION("""COMPUTED_VALUE"""),9.99999999E8)</f>
        <v/>
      </c>
      <c r="L8" s="378">
        <f>IFERROR(__xludf.DUMMYFUNCTION("""COMPUTED_VALUE"""),"使用することでスタミナ最を50回復できるアイテム")</f>
        <v/>
      </c>
      <c r="M8" s="369" t="n"/>
      <c r="N8" s="369">
        <f>IFERROR(__xludf.DUMMYFUNCTION("""COMPUTED_VALUE"""),"2024-01-01 00:00:00")</f>
        <v/>
      </c>
      <c r="O8" s="369" t="n"/>
      <c r="P8" s="334" t="n"/>
    </row>
    <row r="9">
      <c r="A9" s="361">
        <f>IFERROR(__xludf.DUMMYFUNCTION("""COMPUTED_VALUE"""),"glo")</f>
        <v/>
      </c>
      <c r="B9" s="403">
        <f>IFERROR(__xludf.DUMMYFUNCTION("""COMPUTED_VALUE"""),"GLOW")</f>
        <v/>
      </c>
      <c r="C9" s="370">
        <f>IFERROR(__xludf.DUMMYFUNCTION("""COMPUTED_VALUE"""),"exp")</f>
        <v/>
      </c>
      <c r="D9" s="413">
        <f>IFERROR(__xludf.DUMMYFUNCTION("""COMPUTED_VALUE"""),"00001")</f>
        <v/>
      </c>
      <c r="E9" s="403">
        <f>IFERROR(__xludf.DUMMYFUNCTION("""COMPUTED_VALUE"""),"exp_glo_00001")</f>
        <v/>
      </c>
      <c r="F9" s="403">
        <f>IFERROR(__xludf.DUMMYFUNCTION("""COMPUTED_VALUE"""),"exp_glo_00001")</f>
        <v/>
      </c>
      <c r="G9" s="370">
        <f>IFERROR(__xludf.DUMMYFUNCTION("""COMPUTED_VALUE"""),"item_icon_exp_glo_00001")</f>
        <v/>
      </c>
      <c r="H9" s="370">
        <f>IFERROR(__xludf.DUMMYFUNCTION("""COMPUTED_VALUE"""),"リーダーEXP")</f>
        <v/>
      </c>
      <c r="I9" s="370">
        <f>IFERROR(__xludf.DUMMYFUNCTION("""COMPUTED_VALUE"""),"R")</f>
        <v/>
      </c>
      <c r="J9" s="370">
        <f>IFERROR(__xludf.DUMMYFUNCTION("""COMPUTED_VALUE"""),"-")</f>
        <v/>
      </c>
      <c r="K9" s="368">
        <f>IFERROR(__xludf.DUMMYFUNCTION("""COMPUTED_VALUE"""),"-")</f>
        <v/>
      </c>
      <c r="L9" s="378" t="n"/>
      <c r="M9" s="369" t="n"/>
      <c r="N9" s="369">
        <f>IFERROR(__xludf.DUMMYFUNCTION("""COMPUTED_VALUE"""),"2024-01-01 00:00:00")</f>
        <v/>
      </c>
      <c r="O9" s="369" t="n"/>
      <c r="P9" s="334" t="n"/>
    </row>
    <row r="10">
      <c r="A10" s="361">
        <f>IFERROR(__xludf.DUMMYFUNCTION("""COMPUTED_VALUE"""),"▼ガシャチケット")</f>
        <v/>
      </c>
      <c r="B10" s="403" t="n"/>
      <c r="C10" s="370" t="n"/>
      <c r="D10" s="413" t="n"/>
      <c r="E10" s="403" t="n"/>
      <c r="F10" s="403" t="n"/>
      <c r="G10" s="363" t="n"/>
      <c r="H10" s="377" t="n"/>
      <c r="I10" s="377" t="n"/>
      <c r="J10" s="377" t="n"/>
      <c r="K10" s="368" t="n"/>
      <c r="L10" s="378" t="n"/>
      <c r="M10" s="369" t="n"/>
      <c r="N10" s="369" t="n"/>
      <c r="O10" s="369" t="n"/>
      <c r="P10" s="334" t="n"/>
    </row>
    <row r="11">
      <c r="A11" s="361">
        <f>IFERROR(__xludf.DUMMYFUNCTION("""COMPUTED_VALUE"""),"glo")</f>
        <v/>
      </c>
      <c r="B11" s="403">
        <f>IFERROR(__xludf.DUMMYFUNCTION("""COMPUTED_VALUE"""),"GLOW")</f>
        <v/>
      </c>
      <c r="C11" s="370">
        <f>IFERROR(__xludf.DUMMYFUNCTION("""COMPUTED_VALUE"""),"ticket")</f>
        <v/>
      </c>
      <c r="D11" s="413">
        <f>IFERROR(__xludf.DUMMYFUNCTION("""COMPUTED_VALUE"""),"00001")</f>
        <v/>
      </c>
      <c r="E11" s="403">
        <f>IFERROR(__xludf.DUMMYFUNCTION("""COMPUTED_VALUE"""),"ticket_glo_00001")</f>
        <v/>
      </c>
      <c r="F11" s="403">
        <f>IFERROR(__xludf.DUMMYFUNCTION("""COMPUTED_VALUE"""),"ticket_glo_00001")</f>
        <v/>
      </c>
      <c r="G11" s="363">
        <f>IFERROR(__xludf.DUMMYFUNCTION("""COMPUTED_VALUE"""),"item_icon_ticket_glo_00001")</f>
        <v/>
      </c>
      <c r="H11" s="377">
        <f>IFERROR(__xludf.DUMMYFUNCTION("""COMPUTED_VALUE"""),"ノーマルガシャチケット")</f>
        <v/>
      </c>
      <c r="I11" s="377">
        <f>IFERROR(__xludf.DUMMYFUNCTION("""COMPUTED_VALUE"""),"R")</f>
        <v/>
      </c>
      <c r="J11" s="377">
        <f>IFERROR(__xludf.DUMMYFUNCTION("""COMPUTED_VALUE"""),9.99999999E8)</f>
        <v/>
      </c>
      <c r="K11" s="371">
        <f>IFERROR(__xludf.DUMMYFUNCTION("""COMPUTED_VALUE"""),9.99999999E8)</f>
        <v/>
      </c>
      <c r="L11" s="378">
        <f>IFERROR(__xludf.DUMMYFUNCTION("""COMPUTED_VALUE"""),"ノーマルガシャを引くことができるアイテム")</f>
        <v/>
      </c>
      <c r="M11" s="379">
        <f>IFERROR(__xludf.DUMMYFUNCTION("""COMPUTED_VALUE"""),"ノーマルガシャは実施無しに変更。
無料配布OK、コインで購入OK
※ガシャチケの配布ルールはアイテム構成図を確認すること
https://wonderplanet.atlassian.net/wiki/spaces/GLOW/pages/344622597
ノーマルガシャを1回引けるガシャチケット。10枚集めると10連も可能（最大10連を上限とする）")</f>
        <v/>
      </c>
      <c r="N11" s="369">
        <f>IFERROR(__xludf.DUMMYFUNCTION("""COMPUTED_VALUE"""),"リリース無し")</f>
        <v/>
      </c>
      <c r="O11" s="369" t="n"/>
      <c r="P11" s="334" t="n"/>
    </row>
    <row r="12">
      <c r="A12" s="361">
        <f>IFERROR(__xludf.DUMMYFUNCTION("""COMPUTED_VALUE"""),"glo")</f>
        <v/>
      </c>
      <c r="B12" s="403">
        <f>IFERROR(__xludf.DUMMYFUNCTION("""COMPUTED_VALUE"""),"GLOW")</f>
        <v/>
      </c>
      <c r="C12" s="370">
        <f>IFERROR(__xludf.DUMMYFUNCTION("""COMPUTED_VALUE"""),"ticket")</f>
        <v/>
      </c>
      <c r="D12" s="413">
        <f>IFERROR(__xludf.DUMMYFUNCTION("""COMPUTED_VALUE"""),"00002")</f>
        <v/>
      </c>
      <c r="E12" s="403">
        <f>IFERROR(__xludf.DUMMYFUNCTION("""COMPUTED_VALUE"""),"ticket_glo_00002")</f>
        <v/>
      </c>
      <c r="F12" s="403">
        <f>IFERROR(__xludf.DUMMYFUNCTION("""COMPUTED_VALUE"""),"ticket_glo_00002")</f>
        <v/>
      </c>
      <c r="G12" s="363">
        <f>IFERROR(__xludf.DUMMYFUNCTION("""COMPUTED_VALUE"""),"item_icon_ticket_glo_00002")</f>
        <v/>
      </c>
      <c r="H12" s="377">
        <f>IFERROR(__xludf.DUMMYFUNCTION("""COMPUTED_VALUE"""),"スペシャルガシャチケット")</f>
        <v/>
      </c>
      <c r="I12" s="377">
        <f>IFERROR(__xludf.DUMMYFUNCTION("""COMPUTED_VALUE"""),"UR")</f>
        <v/>
      </c>
      <c r="J12" s="377">
        <f>IFERROR(__xludf.DUMMYFUNCTION("""COMPUTED_VALUE"""),9.99999999E8)</f>
        <v/>
      </c>
      <c r="K12" s="371">
        <f>IFERROR(__xludf.DUMMYFUNCTION("""COMPUTED_VALUE"""),9.99999999E8)</f>
        <v/>
      </c>
      <c r="L12" s="369">
        <f>IFERROR(__xludf.DUMMYFUNCTION("""COMPUTED_VALUE"""),"スペシャルガシャを引くことができるアイテム")</f>
        <v/>
      </c>
      <c r="M12" s="369">
        <f>IFERROR(__xludf.DUMMYFUNCTION("""COMPUTED_VALUE"""),"有償/無償プリズムで引くことのできるスペシャルガシャを1回引けるガシャチケット。10枚集めると10連も可能（最大10連を上限とする）。")</f>
        <v/>
      </c>
      <c r="N12" s="369">
        <f>IFERROR(__xludf.DUMMYFUNCTION("""COMPUTED_VALUE"""),"2024-01-01 00:00:00")</f>
        <v/>
      </c>
      <c r="O12" s="369" t="n"/>
      <c r="P12" s="334" t="n"/>
    </row>
    <row r="13">
      <c r="A13" s="361">
        <f>IFERROR(__xludf.DUMMYFUNCTION("""COMPUTED_VALUE"""),"glo")</f>
        <v/>
      </c>
      <c r="B13" s="403">
        <f>IFERROR(__xludf.DUMMYFUNCTION("""COMPUTED_VALUE"""),"GLOW")</f>
        <v/>
      </c>
      <c r="C13" s="370">
        <f>IFERROR(__xludf.DUMMYFUNCTION("""COMPUTED_VALUE"""),"ticket")</f>
        <v/>
      </c>
      <c r="D13" s="413">
        <f>IFERROR(__xludf.DUMMYFUNCTION("""COMPUTED_VALUE"""),"00003")</f>
        <v/>
      </c>
      <c r="E13" s="403">
        <f>IFERROR(__xludf.DUMMYFUNCTION("""COMPUTED_VALUE"""),"ticket_glo_00003")</f>
        <v/>
      </c>
      <c r="F13" s="403">
        <f>IFERROR(__xludf.DUMMYFUNCTION("""COMPUTED_VALUE"""),"ticket_glo_00003")</f>
        <v/>
      </c>
      <c r="G13" s="363">
        <f>IFERROR(__xludf.DUMMYFUNCTION("""COMPUTED_VALUE"""),"item_icon_ticket_glo_00003")</f>
        <v/>
      </c>
      <c r="H13" s="377">
        <f>IFERROR(__xludf.DUMMYFUNCTION("""COMPUTED_VALUE"""),"ピックアップガシャチケット")</f>
        <v/>
      </c>
      <c r="I13" s="377">
        <f>IFERROR(__xludf.DUMMYFUNCTION("""COMPUTED_VALUE"""),"UR")</f>
        <v/>
      </c>
      <c r="J13" s="377">
        <f>IFERROR(__xludf.DUMMYFUNCTION("""COMPUTED_VALUE"""),9.99999999E8)</f>
        <v/>
      </c>
      <c r="K13" s="371">
        <f>IFERROR(__xludf.DUMMYFUNCTION("""COMPUTED_VALUE"""),9.99999999E8)</f>
        <v/>
      </c>
      <c r="L13" s="369">
        <f>IFERROR(__xludf.DUMMYFUNCTION("""COMPUTED_VALUE"""),"ピックアップガシャを引くことができるアイテム")</f>
        <v/>
      </c>
      <c r="M13" s="369">
        <f>IFERROR(__xludf.DUMMYFUNCTION("""COMPUTED_VALUE"""),"有償/無償プリズムで引くことのできるピックアップガシャを1回引けるガシャチケット。10枚集めると10連も可能（最大10連を上限とする）。")</f>
        <v/>
      </c>
      <c r="N13" s="369">
        <f>IFERROR(__xludf.DUMMYFUNCTION("""COMPUTED_VALUE"""),"2024-01-01 00:00:00")</f>
        <v/>
      </c>
      <c r="O13" s="369" t="n"/>
      <c r="P13" s="334" t="n"/>
    </row>
    <row r="14">
      <c r="A14" s="361">
        <f>IFERROR(__xludf.DUMMYFUNCTION("""COMPUTED_VALUE"""),"glo")</f>
        <v/>
      </c>
      <c r="B14" s="403">
        <f>IFERROR(__xludf.DUMMYFUNCTION("""COMPUTED_VALUE"""),"GLOW")</f>
        <v/>
      </c>
      <c r="C14" s="370">
        <f>IFERROR(__xludf.DUMMYFUNCTION("""COMPUTED_VALUE"""),"ticket")</f>
        <v/>
      </c>
      <c r="D14" s="413">
        <f>IFERROR(__xludf.DUMMYFUNCTION("""COMPUTED_VALUE"""),"00004")</f>
        <v/>
      </c>
      <c r="E14" s="403">
        <f>IFERROR(__xludf.DUMMYFUNCTION("""COMPUTED_VALUE"""),"ticket_glo_00004")</f>
        <v/>
      </c>
      <c r="F14" s="403">
        <f>IFERROR(__xludf.DUMMYFUNCTION("""COMPUTED_VALUE"""),"ticket_glo_00004")</f>
        <v/>
      </c>
      <c r="G14" s="363">
        <f>IFERROR(__xludf.DUMMYFUNCTION("""COMPUTED_VALUE"""),"item_icon_ticket_glo_00004")</f>
        <v/>
      </c>
      <c r="H14" s="377">
        <f>IFERROR(__xludf.DUMMYFUNCTION("""COMPUTED_VALUE"""),"フェスガシャチケット")</f>
        <v/>
      </c>
      <c r="I14" s="377">
        <f>IFERROR(__xludf.DUMMYFUNCTION("""COMPUTED_VALUE"""),"UR")</f>
        <v/>
      </c>
      <c r="J14" s="377">
        <f>IFERROR(__xludf.DUMMYFUNCTION("""COMPUTED_VALUE"""),9.99999999E8)</f>
        <v/>
      </c>
      <c r="K14" s="371">
        <f>IFERROR(__xludf.DUMMYFUNCTION("""COMPUTED_VALUE"""),9.99999999E8)</f>
        <v/>
      </c>
      <c r="L14" s="378">
        <f>IFERROR(__xludf.DUMMYFUNCTION("""COMPUTED_VALUE"""),"フェスガシャを引くことができるアイテム")</f>
        <v/>
      </c>
      <c r="M14" s="369">
        <f>IFERROR(__xludf.DUMMYFUNCTION("""COMPUTED_VALUE"""),"有償/無償プリズムで引くことのできるフェスプガシャを1回引けるガシャチケット。10枚集めると10連も可能（最大10連を上限とする）。")</f>
        <v/>
      </c>
      <c r="N14" s="369">
        <f>IFERROR(__xludf.DUMMYFUNCTION("""COMPUTED_VALUE"""),"2024-01-01 00:00:00")</f>
        <v/>
      </c>
      <c r="O14" s="369" t="n"/>
      <c r="P14" s="334" t="n"/>
    </row>
    <row r="15">
      <c r="A15" s="361">
        <f>IFERROR(__xludf.DUMMYFUNCTION("""COMPUTED_VALUE"""),"glo")</f>
        <v/>
      </c>
      <c r="B15" s="403">
        <f>IFERROR(__xludf.DUMMYFUNCTION("""COMPUTED_VALUE"""),"GLOW")</f>
        <v/>
      </c>
      <c r="C15" s="370">
        <f>IFERROR(__xludf.DUMMYFUNCTION("""COMPUTED_VALUE"""),"ticket")</f>
        <v/>
      </c>
      <c r="D15" s="413">
        <f>IFERROR(__xludf.DUMMYFUNCTION("""COMPUTED_VALUE"""),"00102")</f>
        <v/>
      </c>
      <c r="E15" s="403">
        <f>IFERROR(__xludf.DUMMYFUNCTION("""COMPUTED_VALUE"""),"ticket_glo_00102")</f>
        <v/>
      </c>
      <c r="F15" s="403">
        <f>IFERROR(__xludf.DUMMYFUNCTION("""COMPUTED_VALUE"""),"ticket_glo_00102")</f>
        <v/>
      </c>
      <c r="G15" s="363">
        <f>IFERROR(__xludf.DUMMYFUNCTION("""COMPUTED_VALUE"""),"item_icon_ticket_glo_00102")</f>
        <v/>
      </c>
      <c r="H15" s="377">
        <f>IFERROR(__xludf.DUMMYFUNCTION("""COMPUTED_VALUE"""),"R以上確定ガシャチケット")</f>
        <v/>
      </c>
      <c r="I15" s="377">
        <f>IFERROR(__xludf.DUMMYFUNCTION("""COMPUTED_VALUE"""),"R")</f>
        <v/>
      </c>
      <c r="J15" s="377">
        <f>IFERROR(__xludf.DUMMYFUNCTION("""COMPUTED_VALUE"""),9.99999999E8)</f>
        <v/>
      </c>
      <c r="K15" s="371">
        <f>IFERROR(__xludf.DUMMYFUNCTION("""COMPUTED_VALUE"""),9.99999999E8)</f>
        <v/>
      </c>
      <c r="L15" s="378">
        <f>IFERROR(__xludf.DUMMYFUNCTION("""COMPUTED_VALUE"""),"R以上確定ガシャを引くことができるアイテム")</f>
        <v/>
      </c>
      <c r="M15" s="369">
        <f>IFERROR(__xludf.DUMMYFUNCTION("""COMPUTED_VALUE"""),"ガシャデータ未作成
無料配布OK、コインで購入OK
1体R以上キャラ確定のガシャチケット。10枚集めると10連も可能（最大10連を上限とする）。1枚のみだと単発。
プレミアムガシャチケットと違い、天井がない。")</f>
        <v/>
      </c>
      <c r="N15" s="369">
        <f>IFERROR(__xludf.DUMMYFUNCTION("""COMPUTED_VALUE"""),"2024-01-01 00:00:00")</f>
        <v/>
      </c>
      <c r="O15" s="369" t="n"/>
      <c r="P15" s="334" t="n"/>
    </row>
    <row r="16">
      <c r="A16" s="361">
        <f>IFERROR(__xludf.DUMMYFUNCTION("""COMPUTED_VALUE"""),"glo")</f>
        <v/>
      </c>
      <c r="B16" s="403">
        <f>IFERROR(__xludf.DUMMYFUNCTION("""COMPUTED_VALUE"""),"GLOW")</f>
        <v/>
      </c>
      <c r="C16" s="370">
        <f>IFERROR(__xludf.DUMMYFUNCTION("""COMPUTED_VALUE"""),"ticket")</f>
        <v/>
      </c>
      <c r="D16" s="413">
        <f>IFERROR(__xludf.DUMMYFUNCTION("""COMPUTED_VALUE"""),"00104")</f>
        <v/>
      </c>
      <c r="E16" s="403">
        <f>IFERROR(__xludf.DUMMYFUNCTION("""COMPUTED_VALUE"""),"ticket_glo_00104")</f>
        <v/>
      </c>
      <c r="F16" s="403">
        <f>IFERROR(__xludf.DUMMYFUNCTION("""COMPUTED_VALUE"""),"ticket_glo_00104")</f>
        <v/>
      </c>
      <c r="G16" s="363">
        <f>IFERROR(__xludf.DUMMYFUNCTION("""COMPUTED_VALUE"""),"item_icon_ticket_glo_00104")</f>
        <v/>
      </c>
      <c r="H16" s="377">
        <f>IFERROR(__xludf.DUMMYFUNCTION("""COMPUTED_VALUE"""),"SR以上確定ガシャチケット")</f>
        <v/>
      </c>
      <c r="I16" s="377">
        <f>IFERROR(__xludf.DUMMYFUNCTION("""COMPUTED_VALUE"""),"SR")</f>
        <v/>
      </c>
      <c r="J16" s="377">
        <f>IFERROR(__xludf.DUMMYFUNCTION("""COMPUTED_VALUE"""),9.99999999E8)</f>
        <v/>
      </c>
      <c r="K16" s="371">
        <f>IFERROR(__xludf.DUMMYFUNCTION("""COMPUTED_VALUE"""),9.99999999E8)</f>
        <v/>
      </c>
      <c r="L16" s="378">
        <f>IFERROR(__xludf.DUMMYFUNCTION("""COMPUTED_VALUE"""),"SR以上確定ガシャを引くことができるアイテム")</f>
        <v/>
      </c>
      <c r="M16" s="369">
        <f>IFERROR(__xludf.DUMMYFUNCTION("""COMPUTED_VALUE"""),"ガシャデータ未作成
無料配布OK、コインで購入は×
1体SR以上のキャラ確定の1連ガシャチケット。10枚集めると10連も可能（最大10連を上限とする）。
ガシャID未作成。")</f>
        <v/>
      </c>
      <c r="N16" s="369">
        <f>IFERROR(__xludf.DUMMYFUNCTION("""COMPUTED_VALUE"""),"2024-01-01 00:00:00")</f>
        <v/>
      </c>
      <c r="O16" s="369" t="n"/>
      <c r="P16" s="334" t="n"/>
    </row>
    <row r="17">
      <c r="A17" s="361">
        <f>IFERROR(__xludf.DUMMYFUNCTION("""COMPUTED_VALUE"""),"glo")</f>
        <v/>
      </c>
      <c r="B17" s="403">
        <f>IFERROR(__xludf.DUMMYFUNCTION("""COMPUTED_VALUE"""),"GLOW")</f>
        <v/>
      </c>
      <c r="C17" s="370">
        <f>IFERROR(__xludf.DUMMYFUNCTION("""COMPUTED_VALUE"""),"ticket")</f>
        <v/>
      </c>
      <c r="D17" s="413">
        <f>IFERROR(__xludf.DUMMYFUNCTION("""COMPUTED_VALUE"""),"00105")</f>
        <v/>
      </c>
      <c r="E17" s="403">
        <f>IFERROR(__xludf.DUMMYFUNCTION("""COMPUTED_VALUE"""),"ticket_glo_00105")</f>
        <v/>
      </c>
      <c r="F17" s="403">
        <f>IFERROR(__xludf.DUMMYFUNCTION("""COMPUTED_VALUE"""),"ticket_glo_00105")</f>
        <v/>
      </c>
      <c r="G17" s="363">
        <f>IFERROR(__xludf.DUMMYFUNCTION("""COMPUTED_VALUE"""),"item_icon_ticket_glo_00105")</f>
        <v/>
      </c>
      <c r="H17" s="377">
        <f>IFERROR(__xludf.DUMMYFUNCTION("""COMPUTED_VALUE"""),"SSR以上確定ガシャチケット")</f>
        <v/>
      </c>
      <c r="I17" s="377">
        <f>IFERROR(__xludf.DUMMYFUNCTION("""COMPUTED_VALUE"""),"SSR")</f>
        <v/>
      </c>
      <c r="J17" s="377">
        <f>IFERROR(__xludf.DUMMYFUNCTION("""COMPUTED_VALUE"""),9.99999999E8)</f>
        <v/>
      </c>
      <c r="K17" s="371">
        <f>IFERROR(__xludf.DUMMYFUNCTION("""COMPUTED_VALUE"""),9.99999999E8)</f>
        <v/>
      </c>
      <c r="L17" s="378">
        <f>IFERROR(__xludf.DUMMYFUNCTION("""COMPUTED_VALUE"""),"SSR以上確定ガシャを引くことができるアイテム")</f>
        <v/>
      </c>
      <c r="M17" s="369">
        <f>IFERROR(__xludf.DUMMYFUNCTION("""COMPUTED_VALUE"""),"ガシャデータ未作成
有償販売・プリズム販売・オマケのみ
SSRキャラ確定の1連ガシャチケット。10枚集めると10連も可能（最大10連を上限とする）。")</f>
        <v/>
      </c>
      <c r="N17" s="369">
        <f>IFERROR(__xludf.DUMMYFUNCTION("""COMPUTED_VALUE"""),"2024-01-01 00:00:00")</f>
        <v/>
      </c>
      <c r="O17" s="369" t="n"/>
      <c r="P17" s="334" t="n"/>
    </row>
    <row r="18">
      <c r="A18" s="361">
        <f>IFERROR(__xludf.DUMMYFUNCTION("""COMPUTED_VALUE"""),"glo")</f>
        <v/>
      </c>
      <c r="B18" s="403">
        <f>IFERROR(__xludf.DUMMYFUNCTION("""COMPUTED_VALUE"""),"GLOW")</f>
        <v/>
      </c>
      <c r="C18" s="370">
        <f>IFERROR(__xludf.DUMMYFUNCTION("""COMPUTED_VALUE"""),"ticket")</f>
        <v/>
      </c>
      <c r="D18" s="413">
        <f>IFERROR(__xludf.DUMMYFUNCTION("""COMPUTED_VALUE"""),"00202")</f>
        <v/>
      </c>
      <c r="E18" s="403">
        <f>IFERROR(__xludf.DUMMYFUNCTION("""COMPUTED_VALUE"""),"ticket_glo_00202")</f>
        <v/>
      </c>
      <c r="F18" s="403">
        <f>IFERROR(__xludf.DUMMYFUNCTION("""COMPUTED_VALUE"""),"ticket_glo_00202")</f>
        <v/>
      </c>
      <c r="G18" s="363">
        <f>IFERROR(__xludf.DUMMYFUNCTION("""COMPUTED_VALUE"""),"item_icon_ticket_glo_00202")</f>
        <v/>
      </c>
      <c r="H18" s="370">
        <f>IFERROR(__xludf.DUMMYFUNCTION("""COMPUTED_VALUE"""),"UR確定ガシャチケット")</f>
        <v/>
      </c>
      <c r="I18" s="377">
        <f>IFERROR(__xludf.DUMMYFUNCTION("""COMPUTED_VALUE"""),"UR")</f>
        <v/>
      </c>
      <c r="J18" s="377">
        <f>IFERROR(__xludf.DUMMYFUNCTION("""COMPUTED_VALUE"""),9.99999999E8)</f>
        <v/>
      </c>
      <c r="K18" s="371">
        <f>IFERROR(__xludf.DUMMYFUNCTION("""COMPUTED_VALUE"""),9.99999999E8)</f>
        <v/>
      </c>
      <c r="L18" s="368">
        <f>IFERROR(__xludf.DUMMYFUNCTION("""COMPUTED_VALUE"""),"UR以上確定ガシャを引くことができるアイテム")</f>
        <v/>
      </c>
      <c r="M18" s="369">
        <f>IFERROR(__xludf.DUMMYFUNCTION("""COMPUTED_VALUE"""),"ガシャデータ未作成
有償販売・プリズム販売・オマケのみ
URキャラ確定の1連ガシャチケット。10枚集めると10連も可能（最大10連を上限とする）。")</f>
        <v/>
      </c>
      <c r="N18" s="369">
        <f>IFERROR(__xludf.DUMMYFUNCTION("""COMPUTED_VALUE"""),"2024-01-01 00:00:00")</f>
        <v/>
      </c>
      <c r="O18" s="369" t="n"/>
      <c r="P18" s="334" t="n"/>
    </row>
    <row r="19">
      <c r="A19" s="361">
        <f>IFERROR(__xludf.DUMMYFUNCTION("""COMPUTED_VALUE"""),"glo")</f>
        <v/>
      </c>
      <c r="B19" s="403">
        <f>IFERROR(__xludf.DUMMYFUNCTION("""COMPUTED_VALUE"""),"GLOW")</f>
        <v/>
      </c>
      <c r="C19" s="370">
        <f>IFERROR(__xludf.DUMMYFUNCTION("""COMPUTED_VALUE"""),"ticket")</f>
        <v/>
      </c>
      <c r="D19" s="413">
        <f>IFERROR(__xludf.DUMMYFUNCTION("""COMPUTED_VALUE"""),"00203")</f>
        <v/>
      </c>
      <c r="E19" s="403">
        <f>IFERROR(__xludf.DUMMYFUNCTION("""COMPUTED_VALUE"""),"ticket_glo_00203")</f>
        <v/>
      </c>
      <c r="F19" s="403">
        <f>IFERROR(__xludf.DUMMYFUNCTION("""COMPUTED_VALUE"""),"ticket_glo_00203")</f>
        <v/>
      </c>
      <c r="G19" s="363">
        <f>IFERROR(__xludf.DUMMYFUNCTION("""COMPUTED_VALUE"""),"item_icon_ticket_glo_00203")</f>
        <v/>
      </c>
      <c r="H19" s="377">
        <f>IFERROR(__xludf.DUMMYFUNCTION("""COMPUTED_VALUE"""),"UR1体確定10連ガシャチケット")</f>
        <v/>
      </c>
      <c r="I19" s="377">
        <f>IFERROR(__xludf.DUMMYFUNCTION("""COMPUTED_VALUE"""),"UR")</f>
        <v/>
      </c>
      <c r="J19" s="377">
        <f>IFERROR(__xludf.DUMMYFUNCTION("""COMPUTED_VALUE"""),9.99999999E8)</f>
        <v/>
      </c>
      <c r="K19" s="371">
        <f>IFERROR(__xludf.DUMMYFUNCTION("""COMPUTED_VALUE"""),9.99999999E8)</f>
        <v/>
      </c>
      <c r="L19" s="369">
        <f>IFERROR(__xludf.DUMMYFUNCTION("""COMPUTED_VALUE"""),"UR1体確定10連ガシャを引くことができるアイテム")</f>
        <v/>
      </c>
      <c r="M19" s="369">
        <f>IFERROR(__xludf.DUMMYFUNCTION("""COMPUTED_VALUE"""),"有償販売・プリズム販売・オマケのみ
URキャラ1体確定の10連ガシャチケット。1枚(10連)ずつしか使えない。")</f>
        <v/>
      </c>
      <c r="N19" s="369">
        <f>IFERROR(__xludf.DUMMYFUNCTION("""COMPUTED_VALUE"""),"2024-01-01 00:00:00")</f>
        <v/>
      </c>
      <c r="O19" s="369" t="n"/>
      <c r="P19" s="334" t="n"/>
    </row>
    <row r="20">
      <c r="A20" s="361">
        <f>IFERROR(__xludf.DUMMYFUNCTION("""COMPUTED_VALUE"""),"glo")</f>
        <v/>
      </c>
      <c r="B20" s="403">
        <f>IFERROR(__xludf.DUMMYFUNCTION("""COMPUTED_VALUE"""),"GLOW")</f>
        <v/>
      </c>
      <c r="C20" s="370">
        <f>IFERROR(__xludf.DUMMYFUNCTION("""COMPUTED_VALUE"""),"ticket")</f>
        <v/>
      </c>
      <c r="D20" s="413">
        <f>IFERROR(__xludf.DUMMYFUNCTION("""COMPUTED_VALUE"""),"00204")</f>
        <v/>
      </c>
      <c r="E20" s="403">
        <f>IFERROR(__xludf.DUMMYFUNCTION("""COMPUTED_VALUE"""),"ticket_glo_00204")</f>
        <v/>
      </c>
      <c r="F20" s="403">
        <f>IFERROR(__xludf.DUMMYFUNCTION("""COMPUTED_VALUE"""),"ticket_glo_00204")</f>
        <v/>
      </c>
      <c r="G20" s="363">
        <f>IFERROR(__xludf.DUMMYFUNCTION("""COMPUTED_VALUE"""),"item_icon_ticket_glo_00204")</f>
        <v/>
      </c>
      <c r="H20" s="377">
        <f>IFERROR(__xludf.DUMMYFUNCTION("""COMPUTED_VALUE"""),"ピックアップUR1体確定10連ガシャチケット")</f>
        <v/>
      </c>
      <c r="I20" s="377">
        <f>IFERROR(__xludf.DUMMYFUNCTION("""COMPUTED_VALUE"""),"UR")</f>
        <v/>
      </c>
      <c r="J20" s="377">
        <f>IFERROR(__xludf.DUMMYFUNCTION("""COMPUTED_VALUE"""),9.99999999E8)</f>
        <v/>
      </c>
      <c r="K20" s="371">
        <f>IFERROR(__xludf.DUMMYFUNCTION("""COMPUTED_VALUE"""),9.99999999E8)</f>
        <v/>
      </c>
      <c r="L20" s="369">
        <f>IFERROR(__xludf.DUMMYFUNCTION("""COMPUTED_VALUE"""),"ピックアップUR1体確定10連ガシャを引くことができるアイテム")</f>
        <v/>
      </c>
      <c r="M20" s="369">
        <f>IFERROR(__xludf.DUMMYFUNCTION("""COMPUTED_VALUE"""),"ガシャデータ未作成
有償販売・プリズム販売・オマケのみ
URキャラ1体確定の10連ガシャチケット。1枚(10連)ずつしか使えない。")</f>
        <v/>
      </c>
      <c r="N20" s="369">
        <f>IFERROR(__xludf.DUMMYFUNCTION("""COMPUTED_VALUE"""),"2024-01-01 00:00:00")</f>
        <v/>
      </c>
      <c r="O20" s="369" t="n"/>
      <c r="P20" s="334" t="n"/>
    </row>
    <row r="21">
      <c r="A21" s="361">
        <f>IFERROR(__xludf.DUMMYFUNCTION("""COMPUTED_VALUE"""),"glo")</f>
        <v/>
      </c>
      <c r="B21" s="403">
        <f>IFERROR(__xludf.DUMMYFUNCTION("""COMPUTED_VALUE"""),"GLOW")</f>
        <v/>
      </c>
      <c r="C21" s="370">
        <f>IFERROR(__xludf.DUMMYFUNCTION("""COMPUTED_VALUE"""),"ticket")</f>
        <v/>
      </c>
      <c r="D21" s="413">
        <f>IFERROR(__xludf.DUMMYFUNCTION("""COMPUTED_VALUE"""),"00205")</f>
        <v/>
      </c>
      <c r="E21" s="403">
        <f>IFERROR(__xludf.DUMMYFUNCTION("""COMPUTED_VALUE"""),"ticket_glo_00205")</f>
        <v/>
      </c>
      <c r="F21" s="403">
        <f>IFERROR(__xludf.DUMMYFUNCTION("""COMPUTED_VALUE"""),"ticket_glo_00205")</f>
        <v/>
      </c>
      <c r="G21" s="363">
        <f>IFERROR(__xludf.DUMMYFUNCTION("""COMPUTED_VALUE"""),"item_icon_ticket_glo_00205")</f>
        <v/>
      </c>
      <c r="H21" s="370">
        <f>IFERROR(__xludf.DUMMYFUNCTION("""COMPUTED_VALUE"""),"URキャラ1体確定10連フェスガシャチケット")</f>
        <v/>
      </c>
      <c r="I21" s="377">
        <f>IFERROR(__xludf.DUMMYFUNCTION("""COMPUTED_VALUE"""),"UR")</f>
        <v/>
      </c>
      <c r="J21" s="377">
        <f>IFERROR(__xludf.DUMMYFUNCTION("""COMPUTED_VALUE"""),9.99999999E8)</f>
        <v/>
      </c>
      <c r="K21" s="371">
        <f>IFERROR(__xludf.DUMMYFUNCTION("""COMPUTED_VALUE"""),9.99999999E8)</f>
        <v/>
      </c>
      <c r="L21" s="380">
        <f>IFERROR(__xludf.DUMMYFUNCTION("""COMPUTED_VALUE"""),"フェス限定URキャラ1体確定10連ガシャを引くことができるアイテム")</f>
        <v/>
      </c>
      <c r="M21" s="369">
        <f>IFERROR(__xludf.DUMMYFUNCTION("""COMPUTED_VALUE"""),"ガシャデータ未作成
有償販売・プリズム販売・オマケのみ
URキャラ1体確定の10連ガシャチケット。1枚(10連)ずつしか使えない。")</f>
        <v/>
      </c>
      <c r="N21" s="369">
        <f>IFERROR(__xludf.DUMMYFUNCTION("""COMPUTED_VALUE"""),"2024-01-01 00:00:00")</f>
        <v/>
      </c>
      <c r="O21" s="369" t="n"/>
      <c r="P21" s="334" t="n"/>
    </row>
    <row r="22">
      <c r="A22" s="361">
        <f>IFERROR(__xludf.DUMMYFUNCTION("""COMPUTED_VALUE"""),"glo")</f>
        <v/>
      </c>
      <c r="B22" s="403">
        <f>IFERROR(__xludf.DUMMYFUNCTION("""COMPUTED_VALUE"""),"GLOW")</f>
        <v/>
      </c>
      <c r="C22" s="370">
        <f>IFERROR(__xludf.DUMMYFUNCTION("""COMPUTED_VALUE"""),"ticket")</f>
        <v/>
      </c>
      <c r="D22" s="413">
        <f>IFERROR(__xludf.DUMMYFUNCTION("""COMPUTED_VALUE"""),"00206")</f>
        <v/>
      </c>
      <c r="E22" s="403">
        <f>IFERROR(__xludf.DUMMYFUNCTION("""COMPUTED_VALUE"""),"ticket_glo_00206")</f>
        <v/>
      </c>
      <c r="F22" s="403">
        <f>IFERROR(__xludf.DUMMYFUNCTION("""COMPUTED_VALUE"""),"ticket_glo_00206")</f>
        <v/>
      </c>
      <c r="G22" s="363">
        <f>IFERROR(__xludf.DUMMYFUNCTION("""COMPUTED_VALUE"""),"item_icon_ticket_glo_00206")</f>
        <v/>
      </c>
      <c r="H22" s="377">
        <f>IFERROR(__xludf.DUMMYFUNCTION("""COMPUTED_VALUE"""),"『補てん』スタートダッシュガシャチケット")</f>
        <v/>
      </c>
      <c r="I22" s="377">
        <f>IFERROR(__xludf.DUMMYFUNCTION("""COMPUTED_VALUE"""),"UR")</f>
        <v/>
      </c>
      <c r="J22" s="377">
        <f>IFERROR(__xludf.DUMMYFUNCTION("""COMPUTED_VALUE"""),9.99999999E8)</f>
        <v/>
      </c>
      <c r="K22" s="371">
        <f>IFERROR(__xludf.DUMMYFUNCTION("""COMPUTED_VALUE"""),9.99999999E8)</f>
        <v/>
      </c>
      <c r="L22" s="380">
        <f>IFERROR(__xludf.DUMMYFUNCTION("""COMPUTED_VALUE"""),"72時間限定スタートダッシュガシャを引くことができるアイテム")</f>
        <v/>
      </c>
      <c r="M22" s="369" t="n"/>
      <c r="N22" s="369">
        <f>IFERROR(__xludf.DUMMYFUNCTION("""COMPUTED_VALUE"""),"2024-01-01 00:00:00")</f>
        <v/>
      </c>
      <c r="O22" s="369" t="n"/>
      <c r="P22" s="334" t="n"/>
    </row>
    <row r="23">
      <c r="A23" s="361">
        <f>IFERROR(__xludf.DUMMYFUNCTION("""COMPUTED_VALUE"""),"glo")</f>
        <v/>
      </c>
      <c r="B23" s="403">
        <f>IFERROR(__xludf.DUMMYFUNCTION("""COMPUTED_VALUE"""),"GLOW")</f>
        <v/>
      </c>
      <c r="C23" s="370">
        <f>IFERROR(__xludf.DUMMYFUNCTION("""COMPUTED_VALUE"""),"ticket")</f>
        <v/>
      </c>
      <c r="D23" s="413">
        <f>IFERROR(__xludf.DUMMYFUNCTION("""COMPUTED_VALUE"""),"00207")</f>
        <v/>
      </c>
      <c r="E23" s="403">
        <f>IFERROR(__xludf.DUMMYFUNCTION("""COMPUTED_VALUE"""),"ticket_glo_00207")</f>
        <v/>
      </c>
      <c r="F23" s="403">
        <f>IFERROR(__xludf.DUMMYFUNCTION("""COMPUTED_VALUE"""),"ticket_glo_00207")</f>
        <v/>
      </c>
      <c r="G23" s="363">
        <f>IFERROR(__xludf.DUMMYFUNCTION("""COMPUTED_VALUE"""),"item_icon_ticket_glo_00207")</f>
        <v/>
      </c>
      <c r="H23" s="377">
        <f>IFERROR(__xludf.DUMMYFUNCTION("""COMPUTED_VALUE"""),"『補てん』2026年正月記念！UR1体確定ガシャチケット")</f>
        <v/>
      </c>
      <c r="I23" s="377">
        <f>IFERROR(__xludf.DUMMYFUNCTION("""COMPUTED_VALUE"""),"UR")</f>
        <v/>
      </c>
      <c r="J23" s="377">
        <f>IFERROR(__xludf.DUMMYFUNCTION("""COMPUTED_VALUE"""),9.99999999E8)</f>
        <v/>
      </c>
      <c r="K23" s="371">
        <f>IFERROR(__xludf.DUMMYFUNCTION("""COMPUTED_VALUE"""),9.99999999E8)</f>
        <v/>
      </c>
      <c r="L23" s="368">
        <f>IFERROR(__xludf.DUMMYFUNCTION("""COMPUTED_VALUE"""),"2026年正月記念！UR1体確定ガシャを引くことができるアイテム")</f>
        <v/>
      </c>
      <c r="M23" s="369" t="n"/>
      <c r="N23" s="369">
        <f>IFERROR(__xludf.DUMMYFUNCTION("""COMPUTED_VALUE"""),"2026-01-01 00:00:00")</f>
        <v/>
      </c>
      <c r="O23" s="369" t="n"/>
      <c r="P23" s="334" t="n"/>
    </row>
    <row r="24">
      <c r="A24" s="361">
        <f>IFERROR(__xludf.DUMMYFUNCTION("""COMPUTED_VALUE"""),"glo")</f>
        <v/>
      </c>
      <c r="B24" s="403">
        <f>IFERROR(__xludf.DUMMYFUNCTION("""COMPUTED_VALUE"""),"GLOW")</f>
        <v/>
      </c>
      <c r="C24" s="370">
        <f>IFERROR(__xludf.DUMMYFUNCTION("""COMPUTED_VALUE"""),"ticket")</f>
        <v/>
      </c>
      <c r="D24" s="413">
        <f>IFERROR(__xludf.DUMMYFUNCTION("""COMPUTED_VALUE"""),"00208")</f>
        <v/>
      </c>
      <c r="E24" s="403">
        <f>IFERROR(__xludf.DUMMYFUNCTION("""COMPUTED_VALUE"""),"ticket_glo_00208")</f>
        <v/>
      </c>
      <c r="F24" s="403">
        <f>IFERROR(__xludf.DUMMYFUNCTION("""COMPUTED_VALUE"""),"ticket_glo_00208")</f>
        <v/>
      </c>
      <c r="G24" s="363">
        <f>IFERROR(__xludf.DUMMYFUNCTION("""COMPUTED_VALUE"""),"item_icon_ticket_glo_00208")</f>
        <v/>
      </c>
      <c r="H24" s="377">
        <f>IFERROR(__xludf.DUMMYFUNCTION("""COMPUTED_VALUE"""),"『補てん』ステップアップガシャチケット")</f>
        <v/>
      </c>
      <c r="I24" s="377">
        <f>IFERROR(__xludf.DUMMYFUNCTION("""COMPUTED_VALUE"""),"UR")</f>
        <v/>
      </c>
      <c r="J24" s="377">
        <f>IFERROR(__xludf.DUMMYFUNCTION("""COMPUTED_VALUE"""),9.99999999E8)</f>
        <v/>
      </c>
      <c r="K24" s="371">
        <f>IFERROR(__xludf.DUMMYFUNCTION("""COMPUTED_VALUE"""),9.99999999E8)</f>
        <v/>
      </c>
      <c r="L24" s="368">
        <f>IFERROR(__xludf.DUMMYFUNCTION("""COMPUTED_VALUE"""),"ステップアップガシャを引くことができるアイテム")</f>
        <v/>
      </c>
      <c r="M24" s="369" t="n"/>
      <c r="N24" s="369">
        <f>IFERROR(__xludf.DUMMYFUNCTION("""COMPUTED_VALUE"""),"2026-01-01 00:00:00")</f>
        <v/>
      </c>
      <c r="O24" s="369" t="n"/>
      <c r="P24" s="334" t="n"/>
    </row>
    <row r="25">
      <c r="A25" s="372">
        <f>IFERROR(__xludf.DUMMYFUNCTION("""COMPUTED_VALUE"""),"glo")</f>
        <v/>
      </c>
      <c r="B25" s="338">
        <f>IFERROR(__xludf.DUMMYFUNCTION("""COMPUTED_VALUE"""),"GLOW")</f>
        <v/>
      </c>
      <c r="C25" s="338">
        <f>IFERROR(__xludf.DUMMYFUNCTION("""COMPUTED_VALUE"""),"ticket")</f>
        <v/>
      </c>
      <c r="D25" s="373">
        <f>IFERROR(__xludf.DUMMYFUNCTION("""COMPUTED_VALUE"""),"90000")</f>
        <v/>
      </c>
      <c r="E25" s="338">
        <f>IFERROR(__xludf.DUMMYFUNCTION("""COMPUTED_VALUE"""),"ticket_glo_90000")</f>
        <v/>
      </c>
      <c r="F25" s="338">
        <f>IFERROR(__xludf.DUMMYFUNCTION("""COMPUTED_VALUE"""),"ticket_glo_90000")</f>
        <v/>
      </c>
      <c r="G25" s="338">
        <f>IFERROR(__xludf.DUMMYFUNCTION("""COMPUTED_VALUE"""),"item_icon_ticket_glo_90000")</f>
        <v/>
      </c>
      <c r="H25" s="338">
        <f>IFERROR(__xludf.DUMMYFUNCTION("""COMPUTED_VALUE"""),"プレミアムメダル")</f>
        <v/>
      </c>
      <c r="I25" s="338">
        <f>IFERROR(__xludf.DUMMYFUNCTION("""COMPUTED_VALUE"""),"UR")</f>
        <v/>
      </c>
      <c r="J25" s="374">
        <f>IFERROR(__xludf.DUMMYFUNCTION("""COMPUTED_VALUE"""),9.99999999E8)</f>
        <v/>
      </c>
      <c r="K25" s="374">
        <f>IFERROR(__xludf.DUMMYFUNCTION("""COMPUTED_VALUE"""),9.99999999E8)</f>
        <v/>
      </c>
      <c r="L25" s="338">
        <f>IFERROR(__xludf.DUMMYFUNCTION("""COMPUTED_VALUE"""),"プレミアムメダルガシャを引くことができるアイテム")</f>
        <v/>
      </c>
      <c r="M25" s="338" t="n"/>
      <c r="N25" s="373">
        <f>IFERROR(__xludf.DUMMYFUNCTION("""COMPUTED_VALUE"""),"2024-01-01 00:00:00")</f>
        <v/>
      </c>
      <c r="O25" s="368" t="n"/>
      <c r="P25" s="334" t="n"/>
    </row>
    <row r="26">
      <c r="A26" s="361">
        <f>IFERROR(__xludf.DUMMYFUNCTION("""COMPUTED_VALUE"""),"osh")</f>
        <v/>
      </c>
      <c r="B26" s="403">
        <f>IFERROR(__xludf.DUMMYFUNCTION("""COMPUTED_VALUE"""),"【推しの子】")</f>
        <v/>
      </c>
      <c r="C26" s="370">
        <f>IFERROR(__xludf.DUMMYFUNCTION("""COMPUTED_VALUE"""),"ticket")</f>
        <v/>
      </c>
      <c r="D26" s="413">
        <f>IFERROR(__xludf.DUMMYFUNCTION("""COMPUTED_VALUE"""),"10000")</f>
        <v/>
      </c>
      <c r="E26" s="403">
        <f>IFERROR(__xludf.DUMMYFUNCTION("""COMPUTED_VALUE"""),"ticket_osh_10000")</f>
        <v/>
      </c>
      <c r="F26" s="403">
        <f>IFERROR(__xludf.DUMMYFUNCTION("""COMPUTED_VALUE"""),"ticket_osh_10000")</f>
        <v/>
      </c>
      <c r="G26" s="370">
        <f>IFERROR(__xludf.DUMMYFUNCTION("""COMPUTED_VALUE"""),"item_icon_ticket_osh_10000")</f>
        <v/>
      </c>
      <c r="H26" s="377">
        <f>IFERROR(__xludf.DUMMYFUNCTION("""COMPUTED_VALUE"""),"【推しの子】SSR確定ガシャチケット")</f>
        <v/>
      </c>
      <c r="I26" s="377">
        <f>IFERROR(__xludf.DUMMYFUNCTION("""COMPUTED_VALUE"""),"SSR")</f>
        <v/>
      </c>
      <c r="J26" s="377">
        <f>IFERROR(__xludf.DUMMYFUNCTION("""COMPUTED_VALUE"""),9.99999999E8)</f>
        <v/>
      </c>
      <c r="K26" s="371">
        <f>IFERROR(__xludf.DUMMYFUNCTION("""COMPUTED_VALUE"""),9.99999999E8)</f>
        <v/>
      </c>
      <c r="L26" s="368">
        <f>IFERROR(__xludf.DUMMYFUNCTION("""COMPUTED_VALUE"""),"【推しの子】SSR確定ガシャを引くことができるアイテム")</f>
        <v/>
      </c>
      <c r="M26" s="369">
        <f>IFERROR(__xludf.DUMMYFUNCTION("""COMPUTED_VALUE"""),"推しの子イベント用")</f>
        <v/>
      </c>
      <c r="N26" s="369">
        <f>IFERROR(__xludf.DUMMYFUNCTION("""COMPUTED_VALUE"""),"2026-01-01 00:00:00")</f>
        <v/>
      </c>
      <c r="O26" s="369" t="n"/>
      <c r="P26" s="334" t="n"/>
    </row>
    <row r="27">
      <c r="A27" s="381">
        <f>IFERROR(__xludf.DUMMYFUNCTION("""COMPUTED_VALUE"""),"glo")</f>
        <v/>
      </c>
      <c r="B27" s="368">
        <f>IFERROR(__xludf.DUMMYFUNCTION("""COMPUTED_VALUE"""),"GLOW")</f>
        <v/>
      </c>
      <c r="C27" s="368">
        <f>IFERROR(__xludf.DUMMYFUNCTION("""COMPUTED_VALUE"""),"ticket")</f>
        <v/>
      </c>
      <c r="D27" s="382">
        <f>IFERROR(__xludf.DUMMYFUNCTION("""COMPUTED_VALUE"""),"10001")</f>
        <v/>
      </c>
      <c r="E27" s="383">
        <f>IFERROR(__xludf.DUMMYFUNCTION("""COMPUTED_VALUE"""),"ticket_glo_10001")</f>
        <v/>
      </c>
      <c r="F27" s="383">
        <f>IFERROR(__xludf.DUMMYFUNCTION("""COMPUTED_VALUE"""),"ticket_glo_10001")</f>
        <v/>
      </c>
      <c r="G27" s="368">
        <f>IFERROR(__xludf.DUMMYFUNCTION("""COMPUTED_VALUE"""),"item_icon_ticket_glo_10001")</f>
        <v/>
      </c>
      <c r="H27" s="371">
        <f>IFERROR(__xludf.DUMMYFUNCTION("""COMPUTED_VALUE"""),"賀正ガシャチケット Ver.2026")</f>
        <v/>
      </c>
      <c r="I27" s="371">
        <f>IFERROR(__xludf.DUMMYFUNCTION("""COMPUTED_VALUE"""),"SSR")</f>
        <v/>
      </c>
      <c r="J27" s="371">
        <f>IFERROR(__xludf.DUMMYFUNCTION("""COMPUTED_VALUE"""),9.99999999E8)</f>
        <v/>
      </c>
      <c r="K27" s="371">
        <f>IFERROR(__xludf.DUMMYFUNCTION("""COMPUTED_VALUE"""),9.99999999E8)</f>
        <v/>
      </c>
      <c r="L27" s="368">
        <f>IFERROR(__xludf.DUMMYFUNCTION("""COMPUTED_VALUE"""),"賀正ガシャ Ver.2026を引くことができるアイテム。ミッションをクリアしてたくさん集めよう！")</f>
        <v/>
      </c>
      <c r="M27" s="369">
        <f>IFERROR(__xludf.DUMMYFUNCTION("""COMPUTED_VALUE"""),"正月イベント用")</f>
        <v/>
      </c>
      <c r="N27" s="369">
        <f>IFERROR(__xludf.DUMMYFUNCTION("""COMPUTED_VALUE"""),"2026-01-01 00:00:00")</f>
        <v/>
      </c>
      <c r="O27" s="369" t="n"/>
      <c r="P27" s="334" t="n"/>
    </row>
    <row r="28">
      <c r="A28" s="372">
        <f>IFERROR(__xludf.DUMMYFUNCTION("""COMPUTED_VALUE"""),"kim")</f>
        <v/>
      </c>
      <c r="B28" s="338">
        <f>IFERROR(__xludf.DUMMYFUNCTION("""COMPUTED_VALUE"""),"君のことが大大大大大好きな100人の彼女")</f>
        <v/>
      </c>
      <c r="C28" s="338">
        <f>IFERROR(__xludf.DUMMYFUNCTION("""COMPUTED_VALUE"""),"ticket")</f>
        <v/>
      </c>
      <c r="D28" s="373">
        <f>IFERROR(__xludf.DUMMYFUNCTION("""COMPUTED_VALUE"""),"00001")</f>
        <v/>
      </c>
      <c r="E28" s="338">
        <f>IFERROR(__xludf.DUMMYFUNCTION("""COMPUTED_VALUE"""),"ticket_kim_00001")</f>
        <v/>
      </c>
      <c r="F28" s="338">
        <f>IFERROR(__xludf.DUMMYFUNCTION("""COMPUTED_VALUE"""),"ticket_kim_00001")</f>
        <v/>
      </c>
      <c r="G28" s="338">
        <f>IFERROR(__xludf.DUMMYFUNCTION("""COMPUTED_VALUE"""),"item_icon_ticket_kim_00001")</f>
        <v/>
      </c>
      <c r="H28" s="338">
        <f>IFERROR(__xludf.DUMMYFUNCTION("""COMPUTED_VALUE"""),"SSR彼女確定ガシャチケット")</f>
        <v/>
      </c>
      <c r="I28" s="338">
        <f>IFERROR(__xludf.DUMMYFUNCTION("""COMPUTED_VALUE"""),"SSR")</f>
        <v/>
      </c>
      <c r="J28" s="374">
        <f>IFERROR(__xludf.DUMMYFUNCTION("""COMPUTED_VALUE"""),9.99999999E8)</f>
        <v/>
      </c>
      <c r="K28" s="374">
        <f>IFERROR(__xludf.DUMMYFUNCTION("""COMPUTED_VALUE"""),9.99999999E8)</f>
        <v/>
      </c>
      <c r="L28" s="338">
        <f>IFERROR(__xludf.DUMMYFUNCTION("""COMPUTED_VALUE"""),"SSR彼女確定ガシャを引くことができるアイテム")</f>
        <v/>
      </c>
      <c r="M28" s="338">
        <f>IFERROR(__xludf.DUMMYFUNCTION("""COMPUTED_VALUE"""),"君のことが大大大大大好きな100人の彼女イベント用")</f>
        <v/>
      </c>
      <c r="N28" s="373">
        <f>IFERROR(__xludf.DUMMYFUNCTION("""COMPUTED_VALUE"""),"2026-02-16 15:00:00")</f>
        <v/>
      </c>
      <c r="O28" s="368" t="n"/>
      <c r="P28" s="334" t="n"/>
    </row>
    <row r="29">
      <c r="A29" s="361">
        <f>IFERROR(__xludf.DUMMYFUNCTION("""COMPUTED_VALUE"""),"glo")</f>
        <v/>
      </c>
      <c r="B29" s="403">
        <f>IFERROR(__xludf.DUMMYFUNCTION("""COMPUTED_VALUE"""),"GLOW")</f>
        <v/>
      </c>
      <c r="C29" s="363">
        <f>IFERROR(__xludf.DUMMYFUNCTION("""COMPUTED_VALUE"""),"ticket")</f>
        <v/>
      </c>
      <c r="D29" s="413">
        <f>IFERROR(__xludf.DUMMYFUNCTION("""COMPUTED_VALUE"""),"10002")</f>
        <v/>
      </c>
      <c r="E29" s="403">
        <f>IFERROR(__xludf.DUMMYFUNCTION("""COMPUTED_VALUE"""),"ticket_glo_10002")</f>
        <v/>
      </c>
      <c r="F29" s="403">
        <f>IFERROR(__xludf.DUMMYFUNCTION("""COMPUTED_VALUE"""),"ticket_glo_10002")</f>
        <v/>
      </c>
      <c r="G29" s="363">
        <f>IFERROR(__xludf.DUMMYFUNCTION("""COMPUTED_VALUE"""),"item_icon_ticket_glo_10002")</f>
        <v/>
      </c>
      <c r="H29" s="377">
        <f>IFERROR(__xludf.DUMMYFUNCTION("""COMPUTED_VALUE"""),"バレンタインピックアップガシャチケット")</f>
        <v/>
      </c>
      <c r="I29" s="377">
        <f>IFERROR(__xludf.DUMMYFUNCTION("""COMPUTED_VALUE"""),"SSR")</f>
        <v/>
      </c>
      <c r="J29" s="377">
        <f>IFERROR(__xludf.DUMMYFUNCTION("""COMPUTED_VALUE"""),9.99999999E8)</f>
        <v/>
      </c>
      <c r="K29" s="371">
        <f>IFERROR(__xludf.DUMMYFUNCTION("""COMPUTED_VALUE"""),9.99999999E8)</f>
        <v/>
      </c>
      <c r="L29" s="368">
        <f>IFERROR(__xludf.DUMMYFUNCTION("""COMPUTED_VALUE"""),"バレンタインピックアップガシャチケットを引くことができるアイテム")</f>
        <v/>
      </c>
      <c r="M29" s="368">
        <f>IFERROR(__xludf.DUMMYFUNCTION("""COMPUTED_VALUE"""),"バレンタインガシャ用")</f>
        <v/>
      </c>
      <c r="N29" s="369">
        <f>IFERROR(__xludf.DUMMYFUNCTION("""COMPUTED_VALUE"""),"2026-02-02 15:00:00")</f>
        <v/>
      </c>
      <c r="O29" s="369" t="n"/>
      <c r="P29" s="334" t="n"/>
    </row>
    <row r="30">
      <c r="A30" s="361">
        <f>IFERROR(__xludf.DUMMYFUNCTION("""COMPUTED_VALUE"""),"glo")</f>
        <v/>
      </c>
      <c r="B30" s="403">
        <f>IFERROR(__xludf.DUMMYFUNCTION("""COMPUTED_VALUE"""),"GLOW")</f>
        <v/>
      </c>
      <c r="C30" s="363">
        <f>IFERROR(__xludf.DUMMYFUNCTION("""COMPUTED_VALUE"""),"ticket")</f>
        <v/>
      </c>
      <c r="D30" s="413">
        <f>IFERROR(__xludf.DUMMYFUNCTION("""COMPUTED_VALUE"""),"10003")</f>
        <v/>
      </c>
      <c r="E30" s="403">
        <f>IFERROR(__xludf.DUMMYFUNCTION("""COMPUTED_VALUE"""),"ticket_glo_10003")</f>
        <v/>
      </c>
      <c r="F30" s="403">
        <f>IFERROR(__xludf.DUMMYFUNCTION("""COMPUTED_VALUE"""),"ticket_glo_10003")</f>
        <v/>
      </c>
      <c r="G30" s="363">
        <f>IFERROR(__xludf.DUMMYFUNCTION("""COMPUTED_VALUE"""),"item_icon_ticket_glo_10003")</f>
        <v/>
      </c>
      <c r="H30" s="370">
        <f>IFERROR(__xludf.DUMMYFUNCTION("""COMPUTED_VALUE"""),"ホワイトデーピックアップガシャチケット")</f>
        <v/>
      </c>
      <c r="I30" s="377">
        <f>IFERROR(__xludf.DUMMYFUNCTION("""COMPUTED_VALUE"""),"SSR")</f>
        <v/>
      </c>
      <c r="J30" s="377">
        <f>IFERROR(__xludf.DUMMYFUNCTION("""COMPUTED_VALUE"""),9.99999999E8)</f>
        <v/>
      </c>
      <c r="K30" s="371">
        <f>IFERROR(__xludf.DUMMYFUNCTION("""COMPUTED_VALUE"""),9.99999999E8)</f>
        <v/>
      </c>
      <c r="L30" s="368">
        <f>IFERROR(__xludf.DUMMYFUNCTION("""COMPUTED_VALUE"""),"ホワイトデーピックアップガシャチケットを引くことができるアイテム")</f>
        <v/>
      </c>
      <c r="M30" s="368">
        <f>IFERROR(__xludf.DUMMYFUNCTION("""COMPUTED_VALUE"""),"ホワイトデーガシャ用")</f>
        <v/>
      </c>
      <c r="N30" s="382">
        <f>IFERROR(__xludf.DUMMYFUNCTION("""COMPUTED_VALUE"""),"2026-01-01 00:00:00")</f>
        <v/>
      </c>
      <c r="O30" s="369" t="n"/>
      <c r="P30" s="334" t="n"/>
    </row>
    <row r="31">
      <c r="A31" s="361">
        <f>IFERROR(__xludf.DUMMYFUNCTION("""COMPUTED_VALUE"""),"f05anniv")</f>
        <v/>
      </c>
      <c r="B31" s="403">
        <f>IFERROR(__xludf.DUMMYFUNCTION("""COMPUTED_VALUE"""),"ハーフアニバーサリー 感謝祭！前半")</f>
        <v/>
      </c>
      <c r="C31" s="363">
        <f>IFERROR(__xludf.DUMMYFUNCTION("""COMPUTED_VALUE"""),"ticket")</f>
        <v/>
      </c>
      <c r="D31" s="413">
        <f>IFERROR(__xludf.DUMMYFUNCTION("""COMPUTED_VALUE"""),"10004")</f>
        <v/>
      </c>
      <c r="E31" s="403">
        <f>IFERROR(__xludf.DUMMYFUNCTION("""COMPUTED_VALUE"""),"ticket_f05anniv_10004")</f>
        <v/>
      </c>
      <c r="F31" s="403">
        <f>IFERROR(__xludf.DUMMYFUNCTION("""COMPUTED_VALUE"""),"ticket_f05anniv_10004")</f>
        <v/>
      </c>
      <c r="G31" s="363">
        <f>IFERROR(__xludf.DUMMYFUNCTION("""COMPUTED_VALUE"""),"item_icon_ticket_f05anniv_10004")</f>
        <v/>
      </c>
      <c r="H31" s="377">
        <f>IFERROR(__xludf.DUMMYFUNCTION("""COMPUTED_VALUE"""),"ありがとうメダル")</f>
        <v/>
      </c>
      <c r="I31" s="377">
        <f>IFERROR(__xludf.DUMMYFUNCTION("""COMPUTED_VALUE"""),"SSR")</f>
        <v/>
      </c>
      <c r="J31" s="377">
        <f>IFERROR(__xludf.DUMMYFUNCTION("""COMPUTED_VALUE"""),9.99999999E8)</f>
        <v/>
      </c>
      <c r="K31" s="371">
        <f>IFERROR(__xludf.DUMMYFUNCTION("""COMPUTED_VALUE"""),9.99999999E8)</f>
        <v/>
      </c>
      <c r="L31" s="368">
        <f>IFERROR(__xludf.DUMMYFUNCTION("""COMPUTED_VALUE"""),"ありがとうメダルガシャを引くことができるアイテム")</f>
        <v/>
      </c>
      <c r="M31" s="368">
        <f>IFERROR(__xludf.DUMMYFUNCTION("""COMPUTED_VALUE"""),"ハーフアニバーサリー前半施策のイベントガシャ")</f>
        <v/>
      </c>
      <c r="N31" s="369" t="n"/>
      <c r="O31" s="369" t="n"/>
      <c r="P31" s="334" t="n"/>
    </row>
    <row r="32">
      <c r="A32" s="361" t="n"/>
      <c r="B32" s="403" t="n"/>
      <c r="C32" s="363" t="n"/>
      <c r="D32" s="413" t="n"/>
      <c r="E32" s="403" t="n"/>
      <c r="F32" s="403" t="n"/>
      <c r="G32" s="363" t="n"/>
      <c r="H32" s="377" t="n"/>
      <c r="I32" s="377" t="n"/>
      <c r="J32" s="377" t="n"/>
      <c r="K32" s="368" t="n"/>
      <c r="L32" s="368" t="n"/>
      <c r="M32" s="368" t="n"/>
      <c r="N32" s="369" t="n"/>
      <c r="O32" s="369" t="n"/>
      <c r="P32" s="334" t="n"/>
    </row>
    <row r="33">
      <c r="A33" s="361" t="n"/>
      <c r="B33" s="403" t="n"/>
      <c r="C33" s="363" t="n"/>
      <c r="D33" s="413" t="n"/>
      <c r="E33" s="403" t="n"/>
      <c r="F33" s="403" t="n"/>
      <c r="G33" s="363" t="n"/>
      <c r="H33" s="370" t="n"/>
      <c r="I33" s="377" t="n"/>
      <c r="J33" s="377" t="n"/>
      <c r="K33" s="368" t="n"/>
      <c r="L33" s="368" t="n"/>
      <c r="M33" s="368" t="n"/>
      <c r="N33" s="368" t="n"/>
      <c r="O33" s="369" t="n"/>
      <c r="P33" s="334" t="n"/>
    </row>
    <row r="34">
      <c r="A34" s="361" t="n"/>
      <c r="B34" s="403" t="n"/>
      <c r="C34" s="363" t="n"/>
      <c r="D34" s="413" t="n"/>
      <c r="E34" s="403" t="n"/>
      <c r="F34" s="403" t="n"/>
      <c r="G34" s="363" t="n"/>
      <c r="H34" s="377" t="n"/>
      <c r="I34" s="377" t="n"/>
      <c r="J34" s="377" t="n"/>
      <c r="K34" s="368" t="n"/>
      <c r="L34" s="368" t="n"/>
      <c r="M34" s="368" t="n"/>
      <c r="N34" s="369" t="n"/>
      <c r="O34" s="369" t="n"/>
      <c r="P34" s="334" t="n"/>
    </row>
    <row r="35">
      <c r="A35" s="361" t="n"/>
      <c r="B35" s="403" t="n"/>
      <c r="C35" s="363" t="n"/>
      <c r="D35" s="413" t="n"/>
      <c r="E35" s="403" t="n"/>
      <c r="F35" s="403" t="n"/>
      <c r="G35" s="363" t="n"/>
      <c r="H35" s="377" t="n"/>
      <c r="I35" s="377" t="n"/>
      <c r="J35" s="377" t="n"/>
      <c r="K35" s="368" t="n"/>
      <c r="L35" s="368" t="n"/>
      <c r="M35" s="368" t="n"/>
      <c r="N35" s="369" t="n"/>
      <c r="O35" s="369" t="n"/>
      <c r="P35" s="334" t="n"/>
    </row>
    <row r="36">
      <c r="A36" s="361">
        <f>IFERROR(__xludf.DUMMYFUNCTION("""COMPUTED_VALUE"""),"▼キャラ強化アイテム（共通素材）")</f>
        <v/>
      </c>
      <c r="B36" s="403" t="n"/>
      <c r="C36" s="363" t="n"/>
      <c r="D36" s="413" t="n"/>
      <c r="E36" s="403" t="n"/>
      <c r="F36" s="403" t="n"/>
      <c r="G36" s="363" t="n"/>
      <c r="H36" s="377" t="n"/>
      <c r="I36" s="377" t="n"/>
      <c r="J36" s="377" t="n"/>
      <c r="K36" s="368" t="n"/>
      <c r="L36" s="368" t="n"/>
      <c r="M36" s="368" t="n"/>
      <c r="N36" s="369" t="n"/>
      <c r="O36" s="369" t="n"/>
      <c r="P36" s="334" t="n"/>
    </row>
    <row r="37">
      <c r="A37" s="372">
        <f>IFERROR(__xludf.DUMMYFUNCTION("""COMPUTED_VALUE"""),"glo")</f>
        <v/>
      </c>
      <c r="B37" s="338">
        <f>IFERROR(__xludf.DUMMYFUNCTION("""COMPUTED_VALUE"""),"GLOW")</f>
        <v/>
      </c>
      <c r="C37" s="338">
        <f>IFERROR(__xludf.DUMMYFUNCTION("""COMPUTED_VALUE"""),"memory")</f>
        <v/>
      </c>
      <c r="D37" s="373">
        <f>IFERROR(__xludf.DUMMYFUNCTION("""COMPUTED_VALUE"""),"00001")</f>
        <v/>
      </c>
      <c r="E37" s="338">
        <f>IFERROR(__xludf.DUMMYFUNCTION("""COMPUTED_VALUE"""),"memory_glo_00001")</f>
        <v/>
      </c>
      <c r="F37" s="338">
        <f>IFERROR(__xludf.DUMMYFUNCTION("""COMPUTED_VALUE"""),"memory_glo_00001")</f>
        <v/>
      </c>
      <c r="G37" s="338">
        <f>IFERROR(__xludf.DUMMYFUNCTION("""COMPUTED_VALUE"""),"item_icon_memory_glo_00001")</f>
        <v/>
      </c>
      <c r="H37" s="338">
        <f>IFERROR(__xludf.DUMMYFUNCTION("""COMPUTED_VALUE"""),"カラーメモリー・グレー")</f>
        <v/>
      </c>
      <c r="I37" s="338">
        <f>IFERROR(__xludf.DUMMYFUNCTION("""COMPUTED_VALUE"""),"UR")</f>
        <v/>
      </c>
      <c r="J37" s="374">
        <f>IFERROR(__xludf.DUMMYFUNCTION("""COMPUTED_VALUE"""),9.99999999E8)</f>
        <v/>
      </c>
      <c r="K37" s="374">
        <f>IFERROR(__xludf.DUMMYFUNCTION("""COMPUTED_VALUE"""),9.99999999E8)</f>
        <v/>
      </c>
      <c r="L37" s="338">
        <f>IFERROR(__xludf.DUMMYFUNCTION("""COMPUTED_VALUE"""),"無属性キャラのLv.上限開放に使用するアイテム")</f>
        <v/>
      </c>
      <c r="M37" s="338" t="n"/>
      <c r="N37" s="373">
        <f>IFERROR(__xludf.DUMMYFUNCTION("""COMPUTED_VALUE"""),"2024-01-01 00:00:00")</f>
        <v/>
      </c>
      <c r="O37" s="368" t="n"/>
      <c r="P37" s="334" t="n"/>
    </row>
    <row r="38">
      <c r="A38" s="361">
        <f>IFERROR(__xludf.DUMMYFUNCTION("""COMPUTED_VALUE"""),"glo")</f>
        <v/>
      </c>
      <c r="B38" s="403">
        <f>IFERROR(__xludf.DUMMYFUNCTION("""COMPUTED_VALUE"""),"GLOW")</f>
        <v/>
      </c>
      <c r="C38" s="363">
        <f>IFERROR(__xludf.DUMMYFUNCTION("""COMPUTED_VALUE"""),"memory")</f>
        <v/>
      </c>
      <c r="D38" s="413">
        <f>IFERROR(__xludf.DUMMYFUNCTION("""COMPUTED_VALUE"""),"00002")</f>
        <v/>
      </c>
      <c r="E38" s="403">
        <f>IFERROR(__xludf.DUMMYFUNCTION("""COMPUTED_VALUE"""),"memory_glo_00002")</f>
        <v/>
      </c>
      <c r="F38" s="403">
        <f>IFERROR(__xludf.DUMMYFUNCTION("""COMPUTED_VALUE"""),"memory_glo_00002")</f>
        <v/>
      </c>
      <c r="G38" s="363">
        <f>IFERROR(__xludf.DUMMYFUNCTION("""COMPUTED_VALUE"""),"item_icon_memory_glo_00002")</f>
        <v/>
      </c>
      <c r="H38" s="377">
        <f>IFERROR(__xludf.DUMMYFUNCTION("""COMPUTED_VALUE"""),"カラーメモリー・レッド")</f>
        <v/>
      </c>
      <c r="I38" s="377">
        <f>IFERROR(__xludf.DUMMYFUNCTION("""COMPUTED_VALUE"""),"UR")</f>
        <v/>
      </c>
      <c r="J38" s="377">
        <f>IFERROR(__xludf.DUMMYFUNCTION("""COMPUTED_VALUE"""),9.99999999E8)</f>
        <v/>
      </c>
      <c r="K38" s="371">
        <f>IFERROR(__xludf.DUMMYFUNCTION("""COMPUTED_VALUE"""),9.99999999E8)</f>
        <v/>
      </c>
      <c r="L38" s="380">
        <f>IFERROR(__xludf.DUMMYFUNCTION("""COMPUTED_VALUE"""),"赤属性キャラのLv.上限開放に使用するアイテム")</f>
        <v/>
      </c>
      <c r="M38" s="368" t="n"/>
      <c r="N38" s="369">
        <f>IFERROR(__xludf.DUMMYFUNCTION("""COMPUTED_VALUE"""),"2024-01-01 00:00:00")</f>
        <v/>
      </c>
      <c r="O38" s="369" t="n"/>
      <c r="P38" s="334" t="n"/>
    </row>
    <row r="39">
      <c r="A39" s="361">
        <f>IFERROR(__xludf.DUMMYFUNCTION("""COMPUTED_VALUE"""),"glo")</f>
        <v/>
      </c>
      <c r="B39" s="403">
        <f>IFERROR(__xludf.DUMMYFUNCTION("""COMPUTED_VALUE"""),"GLOW")</f>
        <v/>
      </c>
      <c r="C39" s="363">
        <f>IFERROR(__xludf.DUMMYFUNCTION("""COMPUTED_VALUE"""),"memory")</f>
        <v/>
      </c>
      <c r="D39" s="413">
        <f>IFERROR(__xludf.DUMMYFUNCTION("""COMPUTED_VALUE"""),"00003")</f>
        <v/>
      </c>
      <c r="E39" s="403">
        <f>IFERROR(__xludf.DUMMYFUNCTION("""COMPUTED_VALUE"""),"memory_glo_00003")</f>
        <v/>
      </c>
      <c r="F39" s="403">
        <f>IFERROR(__xludf.DUMMYFUNCTION("""COMPUTED_VALUE"""),"memory_glo_00003")</f>
        <v/>
      </c>
      <c r="G39" s="363">
        <f>IFERROR(__xludf.DUMMYFUNCTION("""COMPUTED_VALUE"""),"item_icon_memory_glo_00003")</f>
        <v/>
      </c>
      <c r="H39" s="377">
        <f>IFERROR(__xludf.DUMMYFUNCTION("""COMPUTED_VALUE"""),"カラーメモリー・ブルー")</f>
        <v/>
      </c>
      <c r="I39" s="377">
        <f>IFERROR(__xludf.DUMMYFUNCTION("""COMPUTED_VALUE"""),"UR")</f>
        <v/>
      </c>
      <c r="J39" s="377">
        <f>IFERROR(__xludf.DUMMYFUNCTION("""COMPUTED_VALUE"""),9.99999999E8)</f>
        <v/>
      </c>
      <c r="K39" s="371">
        <f>IFERROR(__xludf.DUMMYFUNCTION("""COMPUTED_VALUE"""),9.99999999E8)</f>
        <v/>
      </c>
      <c r="L39" s="380">
        <f>IFERROR(__xludf.DUMMYFUNCTION("""COMPUTED_VALUE"""),"青属性キャラのLv.上限開放に使用するアイテム")</f>
        <v/>
      </c>
      <c r="M39" s="368" t="n"/>
      <c r="N39" s="369">
        <f>IFERROR(__xludf.DUMMYFUNCTION("""COMPUTED_VALUE"""),"2024-01-01 00:00:00")</f>
        <v/>
      </c>
      <c r="O39" s="369" t="n"/>
      <c r="P39" s="334" t="n"/>
    </row>
    <row r="40">
      <c r="A40" s="372">
        <f>IFERROR(__xludf.DUMMYFUNCTION("""COMPUTED_VALUE"""),"glo")</f>
        <v/>
      </c>
      <c r="B40" s="338">
        <f>IFERROR(__xludf.DUMMYFUNCTION("""COMPUTED_VALUE"""),"GLOW")</f>
        <v/>
      </c>
      <c r="C40" s="338">
        <f>IFERROR(__xludf.DUMMYFUNCTION("""COMPUTED_VALUE"""),"memory")</f>
        <v/>
      </c>
      <c r="D40" s="373">
        <f>IFERROR(__xludf.DUMMYFUNCTION("""COMPUTED_VALUE"""),"00004")</f>
        <v/>
      </c>
      <c r="E40" s="338">
        <f>IFERROR(__xludf.DUMMYFUNCTION("""COMPUTED_VALUE"""),"memory_glo_00004")</f>
        <v/>
      </c>
      <c r="F40" s="338">
        <f>IFERROR(__xludf.DUMMYFUNCTION("""COMPUTED_VALUE"""),"memory_glo_00004")</f>
        <v/>
      </c>
      <c r="G40" s="338">
        <f>IFERROR(__xludf.DUMMYFUNCTION("""COMPUTED_VALUE"""),"item_icon_memory_glo_00004")</f>
        <v/>
      </c>
      <c r="H40" s="338">
        <f>IFERROR(__xludf.DUMMYFUNCTION("""COMPUTED_VALUE"""),"カラーメモリー・イエロー")</f>
        <v/>
      </c>
      <c r="I40" s="338">
        <f>IFERROR(__xludf.DUMMYFUNCTION("""COMPUTED_VALUE"""),"UR")</f>
        <v/>
      </c>
      <c r="J40" s="374">
        <f>IFERROR(__xludf.DUMMYFUNCTION("""COMPUTED_VALUE"""),9.99999999E8)</f>
        <v/>
      </c>
      <c r="K40" s="374">
        <f>IFERROR(__xludf.DUMMYFUNCTION("""COMPUTED_VALUE"""),9.99999999E8)</f>
        <v/>
      </c>
      <c r="L40" s="338">
        <f>IFERROR(__xludf.DUMMYFUNCTION("""COMPUTED_VALUE"""),"黄属性キャラのLv.上限開放に使用するアイテム")</f>
        <v/>
      </c>
      <c r="M40" s="338" t="n"/>
      <c r="N40" s="373">
        <f>IFERROR(__xludf.DUMMYFUNCTION("""COMPUTED_VALUE"""),"2024-01-01 00:00:00")</f>
        <v/>
      </c>
      <c r="O40" s="368" t="n"/>
      <c r="P40" s="334" t="n"/>
    </row>
    <row r="41">
      <c r="A41" s="384">
        <f>IFERROR(__xludf.DUMMYFUNCTION("""COMPUTED_VALUE"""),"glo")</f>
        <v/>
      </c>
      <c r="B41" s="385">
        <f>IFERROR(__xludf.DUMMYFUNCTION("""COMPUTED_VALUE"""),"GLOW")</f>
        <v/>
      </c>
      <c r="C41" s="385">
        <f>IFERROR(__xludf.DUMMYFUNCTION("""COMPUTED_VALUE"""),"memory")</f>
        <v/>
      </c>
      <c r="D41" s="386">
        <f>IFERROR(__xludf.DUMMYFUNCTION("""COMPUTED_VALUE"""),"00005")</f>
        <v/>
      </c>
      <c r="E41" s="385">
        <f>IFERROR(__xludf.DUMMYFUNCTION("""COMPUTED_VALUE"""),"memory_glo_00005")</f>
        <v/>
      </c>
      <c r="F41" s="385">
        <f>IFERROR(__xludf.DUMMYFUNCTION("""COMPUTED_VALUE"""),"memory_glo_00005")</f>
        <v/>
      </c>
      <c r="G41" s="385">
        <f>IFERROR(__xludf.DUMMYFUNCTION("""COMPUTED_VALUE"""),"item_icon_memory_glo_00005")</f>
        <v/>
      </c>
      <c r="H41" s="387">
        <f>IFERROR(__xludf.DUMMYFUNCTION("""COMPUTED_VALUE"""),"カラーメモリー・グリーン")</f>
        <v/>
      </c>
      <c r="I41" s="387">
        <f>IFERROR(__xludf.DUMMYFUNCTION("""COMPUTED_VALUE"""),"UR")</f>
        <v/>
      </c>
      <c r="J41" s="387">
        <f>IFERROR(__xludf.DUMMYFUNCTION("""COMPUTED_VALUE"""),9.99999999E8)</f>
        <v/>
      </c>
      <c r="K41" s="387">
        <f>IFERROR(__xludf.DUMMYFUNCTION("""COMPUTED_VALUE"""),9.99999999E8)</f>
        <v/>
      </c>
      <c r="L41" s="385">
        <f>IFERROR(__xludf.DUMMYFUNCTION("""COMPUTED_VALUE"""),"緑属性キャラのLv.上限開放に使用するアイテム")</f>
        <v/>
      </c>
      <c r="M41" s="385" t="n"/>
      <c r="N41" s="388">
        <f>IFERROR(__xludf.DUMMYFUNCTION("""COMPUTED_VALUE"""),"2024-01-01 00:00:00")</f>
        <v/>
      </c>
      <c r="O41" s="385" t="n"/>
      <c r="P41" s="334" t="n"/>
    </row>
    <row r="42">
      <c r="A42" s="389">
        <f>IFERROR(__xludf.DUMMYFUNCTION("""COMPUTED_VALUE"""),"glo")</f>
        <v/>
      </c>
      <c r="B42" s="390">
        <f>IFERROR(__xludf.DUMMYFUNCTION("""COMPUTED_VALUE"""),"GLOW")</f>
        <v/>
      </c>
      <c r="C42" s="390">
        <f>IFERROR(__xludf.DUMMYFUNCTION("""COMPUTED_VALUE"""),"memoryfragment")</f>
        <v/>
      </c>
      <c r="D42" s="413">
        <f>IFERROR(__xludf.DUMMYFUNCTION("""COMPUTED_VALUE"""),"00001")</f>
        <v/>
      </c>
      <c r="E42" s="403">
        <f>IFERROR(__xludf.DUMMYFUNCTION("""COMPUTED_VALUE"""),"memoryfragment_glo_00001")</f>
        <v/>
      </c>
      <c r="F42" s="391">
        <f>IFERROR(__xludf.DUMMYFUNCTION("""COMPUTED_VALUE"""),"memoryfragment_glo_00001")</f>
        <v/>
      </c>
      <c r="G42" s="390">
        <f>IFERROR(__xludf.DUMMYFUNCTION("""COMPUTED_VALUE"""),"item_icon_memoryfragment_glo_00001")</f>
        <v/>
      </c>
      <c r="H42" s="392">
        <f>IFERROR(__xludf.DUMMYFUNCTION("""COMPUTED_VALUE"""),"メモリーフラグメント・初級")</f>
        <v/>
      </c>
      <c r="I42" s="392">
        <f>IFERROR(__xludf.DUMMYFUNCTION("""COMPUTED_VALUE"""),"SR")</f>
        <v/>
      </c>
      <c r="J42" s="392">
        <f>IFERROR(__xludf.DUMMYFUNCTION("""COMPUTED_VALUE"""),9.99999999E8)</f>
        <v/>
      </c>
      <c r="K42" s="393">
        <f>IFERROR(__xludf.DUMMYFUNCTION("""COMPUTED_VALUE"""),9.99999999E8)</f>
        <v/>
      </c>
      <c r="L42" s="394">
        <f>IFERROR(__xludf.DUMMYFUNCTION("""COMPUTED_VALUE"""),"キャラのLv.上限開放に使用するアイテム")</f>
        <v/>
      </c>
      <c r="M42" s="395" t="n"/>
      <c r="N42" s="396">
        <f>IFERROR(__xludf.DUMMYFUNCTION("""COMPUTED_VALUE"""),"2024-01-01 00:00:00")</f>
        <v/>
      </c>
      <c r="O42" s="397" t="n"/>
      <c r="P42" s="334" t="n"/>
    </row>
    <row r="43">
      <c r="A43" s="361">
        <f>IFERROR(__xludf.DUMMYFUNCTION("""COMPUTED_VALUE"""),"glo")</f>
        <v/>
      </c>
      <c r="B43" s="403">
        <f>IFERROR(__xludf.DUMMYFUNCTION("""COMPUTED_VALUE"""),"GLOW")</f>
        <v/>
      </c>
      <c r="C43" s="363">
        <f>IFERROR(__xludf.DUMMYFUNCTION("""COMPUTED_VALUE"""),"memoryfragment")</f>
        <v/>
      </c>
      <c r="D43" s="413">
        <f>IFERROR(__xludf.DUMMYFUNCTION("""COMPUTED_VALUE"""),"00002")</f>
        <v/>
      </c>
      <c r="E43" s="403">
        <f>IFERROR(__xludf.DUMMYFUNCTION("""COMPUTED_VALUE"""),"memoryfragment_glo_00002")</f>
        <v/>
      </c>
      <c r="F43" s="391">
        <f>IFERROR(__xludf.DUMMYFUNCTION("""COMPUTED_VALUE"""),"memoryfragment_glo_00002")</f>
        <v/>
      </c>
      <c r="G43" s="363">
        <f>IFERROR(__xludf.DUMMYFUNCTION("""COMPUTED_VALUE"""),"item_icon_memoryfragment_glo_00002")</f>
        <v/>
      </c>
      <c r="H43" s="377">
        <f>IFERROR(__xludf.DUMMYFUNCTION("""COMPUTED_VALUE"""),"メモリーフラグメント・中級")</f>
        <v/>
      </c>
      <c r="I43" s="377">
        <f>IFERROR(__xludf.DUMMYFUNCTION("""COMPUTED_VALUE"""),"SSR")</f>
        <v/>
      </c>
      <c r="J43" s="377">
        <f>IFERROR(__xludf.DUMMYFUNCTION("""COMPUTED_VALUE"""),9.99999999E8)</f>
        <v/>
      </c>
      <c r="K43" s="371">
        <f>IFERROR(__xludf.DUMMYFUNCTION("""COMPUTED_VALUE"""),9.99999999E8)</f>
        <v/>
      </c>
      <c r="L43" s="368">
        <f>IFERROR(__xludf.DUMMYFUNCTION("""COMPUTED_VALUE"""),"キャラのLv.上限開放に使用するアイテム")</f>
        <v/>
      </c>
      <c r="M43" s="368" t="n"/>
      <c r="N43" s="369">
        <f>IFERROR(__xludf.DUMMYFUNCTION("""COMPUTED_VALUE"""),"2024-01-01 00:00:00")</f>
        <v/>
      </c>
      <c r="O43" s="369" t="n"/>
      <c r="P43" s="334" t="n"/>
    </row>
    <row r="44">
      <c r="A44" s="361">
        <f>IFERROR(__xludf.DUMMYFUNCTION("""COMPUTED_VALUE"""),"glo")</f>
        <v/>
      </c>
      <c r="B44" s="403">
        <f>IFERROR(__xludf.DUMMYFUNCTION("""COMPUTED_VALUE"""),"GLOW")</f>
        <v/>
      </c>
      <c r="C44" s="363">
        <f>IFERROR(__xludf.DUMMYFUNCTION("""COMPUTED_VALUE"""),"memoryfragment")</f>
        <v/>
      </c>
      <c r="D44" s="382">
        <f>IFERROR(__xludf.DUMMYFUNCTION("""COMPUTED_VALUE"""),"00003")</f>
        <v/>
      </c>
      <c r="E44" s="403">
        <f>IFERROR(__xludf.DUMMYFUNCTION("""COMPUTED_VALUE"""),"memoryfragment_glo_00003")</f>
        <v/>
      </c>
      <c r="F44" s="391">
        <f>IFERROR(__xludf.DUMMYFUNCTION("""COMPUTED_VALUE"""),"memoryfragment_glo_00003")</f>
        <v/>
      </c>
      <c r="G44" s="363">
        <f>IFERROR(__xludf.DUMMYFUNCTION("""COMPUTED_VALUE"""),"item_icon_memoryfragment_glo_00003")</f>
        <v/>
      </c>
      <c r="H44" s="377">
        <f>IFERROR(__xludf.DUMMYFUNCTION("""COMPUTED_VALUE"""),"メモリーフラグメント・上級")</f>
        <v/>
      </c>
      <c r="I44" s="377">
        <f>IFERROR(__xludf.DUMMYFUNCTION("""COMPUTED_VALUE"""),"UR")</f>
        <v/>
      </c>
      <c r="J44" s="377">
        <f>IFERROR(__xludf.DUMMYFUNCTION("""COMPUTED_VALUE"""),9.99999999E8)</f>
        <v/>
      </c>
      <c r="K44" s="371">
        <f>IFERROR(__xludf.DUMMYFUNCTION("""COMPUTED_VALUE"""),9.99999999E8)</f>
        <v/>
      </c>
      <c r="L44" s="368">
        <f>IFERROR(__xludf.DUMMYFUNCTION("""COMPUTED_VALUE"""),"キャラのLv.上限開放に使用するアイテム")</f>
        <v/>
      </c>
      <c r="M44" s="368" t="n"/>
      <c r="N44" s="369">
        <f>IFERROR(__xludf.DUMMYFUNCTION("""COMPUTED_VALUE"""),"2024-01-01 00:00:00")</f>
        <v/>
      </c>
      <c r="O44" s="369" t="n"/>
      <c r="P44" s="334" t="n"/>
    </row>
    <row r="45">
      <c r="A45" s="361" t="n"/>
      <c r="B45" s="403" t="n"/>
      <c r="C45" s="363" t="n"/>
      <c r="D45" s="413" t="n"/>
      <c r="E45" s="403" t="n"/>
      <c r="F45" s="391" t="n"/>
      <c r="G45" s="363" t="n"/>
      <c r="H45" s="377" t="n"/>
      <c r="I45" s="377" t="n"/>
      <c r="J45" s="377" t="n"/>
      <c r="K45" s="368" t="n"/>
      <c r="L45" s="368" t="n"/>
      <c r="M45" s="368" t="n"/>
      <c r="N45" s="369" t="n"/>
      <c r="O45" s="369" t="n"/>
      <c r="P45" s="334" t="n"/>
    </row>
    <row r="46">
      <c r="A46" s="361" t="n"/>
      <c r="B46" s="403" t="n"/>
      <c r="C46" s="363" t="n"/>
      <c r="D46" s="413" t="n"/>
      <c r="E46" s="403" t="n"/>
      <c r="F46" s="391" t="n"/>
      <c r="G46" s="363" t="n"/>
      <c r="H46" s="377" t="n"/>
      <c r="I46" s="377" t="n"/>
      <c r="J46" s="377" t="n"/>
      <c r="K46" s="368" t="n"/>
      <c r="L46" s="368" t="n"/>
      <c r="M46" s="368" t="n"/>
      <c r="N46" s="369" t="n"/>
      <c r="O46" s="369" t="n"/>
      <c r="P46" s="334" t="n"/>
    </row>
    <row r="47">
      <c r="A47" s="361">
        <f>IFERROR(__xludf.DUMMYFUNCTION("""COMPUTED_VALUE"""),"▼キャラのかけらBOX")</f>
        <v/>
      </c>
      <c r="B47" s="403" t="n"/>
      <c r="C47" s="363" t="n"/>
      <c r="D47" s="413" t="n"/>
      <c r="E47" s="403" t="n"/>
      <c r="F47" s="391" t="n"/>
      <c r="G47" s="370" t="n"/>
      <c r="H47" s="377" t="n"/>
      <c r="I47" s="377" t="n"/>
      <c r="J47" s="377" t="n"/>
      <c r="K47" s="368" t="n"/>
      <c r="L47" s="368" t="n"/>
      <c r="M47" s="368" t="n"/>
      <c r="N47" s="369" t="n"/>
      <c r="O47" s="369" t="n"/>
      <c r="P47" s="334" t="n"/>
    </row>
    <row r="48">
      <c r="A48" s="361">
        <f>IFERROR(__xludf.DUMMYFUNCTION("""COMPUTED_VALUE"""),"glo")</f>
        <v/>
      </c>
      <c r="B48" s="403">
        <f>IFERROR(__xludf.DUMMYFUNCTION("""COMPUTED_VALUE"""),"GLOW")</f>
        <v/>
      </c>
      <c r="C48" s="363">
        <f>IFERROR(__xludf.DUMMYFUNCTION("""COMPUTED_VALUE"""),"box")</f>
        <v/>
      </c>
      <c r="D48" s="413">
        <f>IFERROR(__xludf.DUMMYFUNCTION("""COMPUTED_VALUE"""),"00001")</f>
        <v/>
      </c>
      <c r="E48" s="403">
        <f>IFERROR(__xludf.DUMMYFUNCTION("""COMPUTED_VALUE"""),"box_glo_00001")</f>
        <v/>
      </c>
      <c r="F48" s="391">
        <f>IFERROR(__xludf.DUMMYFUNCTION("""COMPUTED_VALUE"""),"box_glo_00001")</f>
        <v/>
      </c>
      <c r="G48" s="370">
        <f>IFERROR(__xludf.DUMMYFUNCTION("""COMPUTED_VALUE"""),"item_icon_box_glo_00001")</f>
        <v/>
      </c>
      <c r="H48" s="377">
        <f>IFERROR(__xludf.DUMMYFUNCTION("""COMPUTED_VALUE"""),"ランダムRキャラのかけらBOX")</f>
        <v/>
      </c>
      <c r="I48" s="377">
        <f>IFERROR(__xludf.DUMMYFUNCTION("""COMPUTED_VALUE"""),"R")</f>
        <v/>
      </c>
      <c r="J48" s="377">
        <f>IFERROR(__xludf.DUMMYFUNCTION("""COMPUTED_VALUE"""),9.99999999E8)</f>
        <v/>
      </c>
      <c r="K48" s="371">
        <f>IFERROR(__xludf.DUMMYFUNCTION("""COMPUTED_VALUE"""),9.99999999E8)</f>
        <v/>
      </c>
      <c r="L48" s="368">
        <f>IFERROR(__xludf.DUMMYFUNCTION("""COMPUTED_VALUE"""),"Rのキャラのかけらがランダムで獲得できるアイテムBOX")</f>
        <v/>
      </c>
      <c r="M48" s="368" t="n"/>
      <c r="N48" s="369">
        <f>IFERROR(__xludf.DUMMYFUNCTION("""COMPUTED_VALUE"""),"2024-01-01 00:00:00")</f>
        <v/>
      </c>
      <c r="O48" s="369" t="n"/>
      <c r="P48" s="334" t="n"/>
    </row>
    <row r="49">
      <c r="A49" s="361">
        <f>IFERROR(__xludf.DUMMYFUNCTION("""COMPUTED_VALUE"""),"glo")</f>
        <v/>
      </c>
      <c r="B49" s="403">
        <f>IFERROR(__xludf.DUMMYFUNCTION("""COMPUTED_VALUE"""),"GLOW")</f>
        <v/>
      </c>
      <c r="C49" s="363">
        <f>IFERROR(__xludf.DUMMYFUNCTION("""COMPUTED_VALUE"""),"box")</f>
        <v/>
      </c>
      <c r="D49" s="413">
        <f>IFERROR(__xludf.DUMMYFUNCTION("""COMPUTED_VALUE"""),"00002")</f>
        <v/>
      </c>
      <c r="E49" s="403">
        <f>IFERROR(__xludf.DUMMYFUNCTION("""COMPUTED_VALUE"""),"box_glo_00002")</f>
        <v/>
      </c>
      <c r="F49" s="391">
        <f>IFERROR(__xludf.DUMMYFUNCTION("""COMPUTED_VALUE"""),"box_glo_00002")</f>
        <v/>
      </c>
      <c r="G49" s="370">
        <f>IFERROR(__xludf.DUMMYFUNCTION("""COMPUTED_VALUE"""),"item_icon_box_glo_00002")</f>
        <v/>
      </c>
      <c r="H49" s="377">
        <f>IFERROR(__xludf.DUMMYFUNCTION("""COMPUTED_VALUE"""),"ランダムSRキャラのかけらBOX")</f>
        <v/>
      </c>
      <c r="I49" s="377">
        <f>IFERROR(__xludf.DUMMYFUNCTION("""COMPUTED_VALUE"""),"SR")</f>
        <v/>
      </c>
      <c r="J49" s="377">
        <f>IFERROR(__xludf.DUMMYFUNCTION("""COMPUTED_VALUE"""),9.99999999E8)</f>
        <v/>
      </c>
      <c r="K49" s="371">
        <f>IFERROR(__xludf.DUMMYFUNCTION("""COMPUTED_VALUE"""),9.99999999E8)</f>
        <v/>
      </c>
      <c r="L49" s="368">
        <f>IFERROR(__xludf.DUMMYFUNCTION("""COMPUTED_VALUE"""),"SRのキャラのかけらがランダムで獲得できるアイテムBOX")</f>
        <v/>
      </c>
      <c r="M49" s="368" t="n"/>
      <c r="N49" s="369">
        <f>IFERROR(__xludf.DUMMYFUNCTION("""COMPUTED_VALUE"""),"2024-01-01 00:00:00")</f>
        <v/>
      </c>
      <c r="O49" s="369" t="n"/>
      <c r="P49" s="334" t="n"/>
    </row>
    <row r="50">
      <c r="A50" s="361">
        <f>IFERROR(__xludf.DUMMYFUNCTION("""COMPUTED_VALUE"""),"glo")</f>
        <v/>
      </c>
      <c r="B50" s="403">
        <f>IFERROR(__xludf.DUMMYFUNCTION("""COMPUTED_VALUE"""),"GLOW")</f>
        <v/>
      </c>
      <c r="C50" s="363">
        <f>IFERROR(__xludf.DUMMYFUNCTION("""COMPUTED_VALUE"""),"box")</f>
        <v/>
      </c>
      <c r="D50" s="413">
        <f>IFERROR(__xludf.DUMMYFUNCTION("""COMPUTED_VALUE"""),"00003")</f>
        <v/>
      </c>
      <c r="E50" s="403">
        <f>IFERROR(__xludf.DUMMYFUNCTION("""COMPUTED_VALUE"""),"box_glo_00003")</f>
        <v/>
      </c>
      <c r="F50" s="391">
        <f>IFERROR(__xludf.DUMMYFUNCTION("""COMPUTED_VALUE"""),"box_glo_00003")</f>
        <v/>
      </c>
      <c r="G50" s="370">
        <f>IFERROR(__xludf.DUMMYFUNCTION("""COMPUTED_VALUE"""),"item_icon_box_glo_00003")</f>
        <v/>
      </c>
      <c r="H50" s="377">
        <f>IFERROR(__xludf.DUMMYFUNCTION("""COMPUTED_VALUE"""),"ランダムSSRキャラのかけらBOX")</f>
        <v/>
      </c>
      <c r="I50" s="377">
        <f>IFERROR(__xludf.DUMMYFUNCTION("""COMPUTED_VALUE"""),"SSR")</f>
        <v/>
      </c>
      <c r="J50" s="377">
        <f>IFERROR(__xludf.DUMMYFUNCTION("""COMPUTED_VALUE"""),9.99999999E8)</f>
        <v/>
      </c>
      <c r="K50" s="371">
        <f>IFERROR(__xludf.DUMMYFUNCTION("""COMPUTED_VALUE"""),9.99999999E8)</f>
        <v/>
      </c>
      <c r="L50" s="368">
        <f>IFERROR(__xludf.DUMMYFUNCTION("""COMPUTED_VALUE"""),"SSRのキャラのかけらがランダムで獲得できるアイテムBOX")</f>
        <v/>
      </c>
      <c r="M50" s="368" t="n"/>
      <c r="N50" s="369">
        <f>IFERROR(__xludf.DUMMYFUNCTION("""COMPUTED_VALUE"""),"2024-01-01 00:00:00")</f>
        <v/>
      </c>
      <c r="O50" s="369" t="n"/>
      <c r="P50" s="334" t="n"/>
    </row>
    <row r="51">
      <c r="A51" s="361">
        <f>IFERROR(__xludf.DUMMYFUNCTION("""COMPUTED_VALUE"""),"glo")</f>
        <v/>
      </c>
      <c r="B51" s="403">
        <f>IFERROR(__xludf.DUMMYFUNCTION("""COMPUTED_VALUE"""),"GLOW")</f>
        <v/>
      </c>
      <c r="C51" s="363">
        <f>IFERROR(__xludf.DUMMYFUNCTION("""COMPUTED_VALUE"""),"box")</f>
        <v/>
      </c>
      <c r="D51" s="413">
        <f>IFERROR(__xludf.DUMMYFUNCTION("""COMPUTED_VALUE"""),"00004")</f>
        <v/>
      </c>
      <c r="E51" s="403">
        <f>IFERROR(__xludf.DUMMYFUNCTION("""COMPUTED_VALUE"""),"box_glo_00004")</f>
        <v/>
      </c>
      <c r="F51" s="391">
        <f>IFERROR(__xludf.DUMMYFUNCTION("""COMPUTED_VALUE"""),"box_glo_00004")</f>
        <v/>
      </c>
      <c r="G51" s="370">
        <f>IFERROR(__xludf.DUMMYFUNCTION("""COMPUTED_VALUE"""),"item_icon_box_glo_00004")</f>
        <v/>
      </c>
      <c r="H51" s="377">
        <f>IFERROR(__xludf.DUMMYFUNCTION("""COMPUTED_VALUE"""),"ランダムURキャラのかけらBOX")</f>
        <v/>
      </c>
      <c r="I51" s="377">
        <f>IFERROR(__xludf.DUMMYFUNCTION("""COMPUTED_VALUE"""),"UR")</f>
        <v/>
      </c>
      <c r="J51" s="377">
        <f>IFERROR(__xludf.DUMMYFUNCTION("""COMPUTED_VALUE"""),9.99999999E8)</f>
        <v/>
      </c>
      <c r="K51" s="371">
        <f>IFERROR(__xludf.DUMMYFUNCTION("""COMPUTED_VALUE"""),9.99999999E8)</f>
        <v/>
      </c>
      <c r="L51" s="368">
        <f>IFERROR(__xludf.DUMMYFUNCTION("""COMPUTED_VALUE"""),"URのキャラのかけらがランダムで獲得できるアイテムBOX")</f>
        <v/>
      </c>
      <c r="M51" s="368" t="n"/>
      <c r="N51" s="369">
        <f>IFERROR(__xludf.DUMMYFUNCTION("""COMPUTED_VALUE"""),"2024-01-01 00:00:00")</f>
        <v/>
      </c>
      <c r="O51" s="369" t="n"/>
      <c r="P51" s="334" t="n"/>
    </row>
    <row r="52">
      <c r="A52" s="361">
        <f>IFERROR(__xludf.DUMMYFUNCTION("""COMPUTED_VALUE"""),"glo")</f>
        <v/>
      </c>
      <c r="B52" s="403">
        <f>IFERROR(__xludf.DUMMYFUNCTION("""COMPUTED_VALUE"""),"GLOW")</f>
        <v/>
      </c>
      <c r="C52" s="363">
        <f>IFERROR(__xludf.DUMMYFUNCTION("""COMPUTED_VALUE"""),"box")</f>
        <v/>
      </c>
      <c r="D52" s="413">
        <f>IFERROR(__xludf.DUMMYFUNCTION("""COMPUTED_VALUE"""),"00005")</f>
        <v/>
      </c>
      <c r="E52" s="403">
        <f>IFERROR(__xludf.DUMMYFUNCTION("""COMPUTED_VALUE"""),"box_glo_00005")</f>
        <v/>
      </c>
      <c r="F52" s="391">
        <f>IFERROR(__xludf.DUMMYFUNCTION("""COMPUTED_VALUE"""),"box_glo_00005")</f>
        <v/>
      </c>
      <c r="G52" s="370">
        <f>IFERROR(__xludf.DUMMYFUNCTION("""COMPUTED_VALUE"""),"item_icon_box_glo_00005")</f>
        <v/>
      </c>
      <c r="H52" s="377">
        <f>IFERROR(__xludf.DUMMYFUNCTION("""COMPUTED_VALUE"""),"選べるRキャラのかけらBOX")</f>
        <v/>
      </c>
      <c r="I52" s="377">
        <f>IFERROR(__xludf.DUMMYFUNCTION("""COMPUTED_VALUE"""),"R")</f>
        <v/>
      </c>
      <c r="J52" s="377">
        <f>IFERROR(__xludf.DUMMYFUNCTION("""COMPUTED_VALUE"""),9.99999999E8)</f>
        <v/>
      </c>
      <c r="K52" s="371">
        <f>IFERROR(__xludf.DUMMYFUNCTION("""COMPUTED_VALUE"""),9.99999999E8)</f>
        <v/>
      </c>
      <c r="L52" s="368">
        <f>IFERROR(__xludf.DUMMYFUNCTION("""COMPUTED_VALUE"""),"Rのキャラのかけらを選択して獲得できるアイテムBOX")</f>
        <v/>
      </c>
      <c r="M52" s="368" t="n"/>
      <c r="N52" s="369">
        <f>IFERROR(__xludf.DUMMYFUNCTION("""COMPUTED_VALUE"""),"2024-01-01 00:00:00")</f>
        <v/>
      </c>
      <c r="O52" s="369" t="n"/>
      <c r="P52" s="334" t="n"/>
    </row>
    <row r="53">
      <c r="A53" s="361">
        <f>IFERROR(__xludf.DUMMYFUNCTION("""COMPUTED_VALUE"""),"glo")</f>
        <v/>
      </c>
      <c r="B53" s="403">
        <f>IFERROR(__xludf.DUMMYFUNCTION("""COMPUTED_VALUE"""),"GLOW")</f>
        <v/>
      </c>
      <c r="C53" s="363">
        <f>IFERROR(__xludf.DUMMYFUNCTION("""COMPUTED_VALUE"""),"box")</f>
        <v/>
      </c>
      <c r="D53" s="413">
        <f>IFERROR(__xludf.DUMMYFUNCTION("""COMPUTED_VALUE"""),"00006")</f>
        <v/>
      </c>
      <c r="E53" s="403">
        <f>IFERROR(__xludf.DUMMYFUNCTION("""COMPUTED_VALUE"""),"box_glo_00006")</f>
        <v/>
      </c>
      <c r="F53" s="391">
        <f>IFERROR(__xludf.DUMMYFUNCTION("""COMPUTED_VALUE"""),"box_glo_00006")</f>
        <v/>
      </c>
      <c r="G53" s="370">
        <f>IFERROR(__xludf.DUMMYFUNCTION("""COMPUTED_VALUE"""),"item_icon_box_glo_00006")</f>
        <v/>
      </c>
      <c r="H53" s="377">
        <f>IFERROR(__xludf.DUMMYFUNCTION("""COMPUTED_VALUE"""),"選べるSRキャラのかけらBOX")</f>
        <v/>
      </c>
      <c r="I53" s="377">
        <f>IFERROR(__xludf.DUMMYFUNCTION("""COMPUTED_VALUE"""),"SR")</f>
        <v/>
      </c>
      <c r="J53" s="377">
        <f>IFERROR(__xludf.DUMMYFUNCTION("""COMPUTED_VALUE"""),9.99999999E8)</f>
        <v/>
      </c>
      <c r="K53" s="371">
        <f>IFERROR(__xludf.DUMMYFUNCTION("""COMPUTED_VALUE"""),9.99999999E8)</f>
        <v/>
      </c>
      <c r="L53" s="368">
        <f>IFERROR(__xludf.DUMMYFUNCTION("""COMPUTED_VALUE"""),"SRのキャラのかけらを選択して獲得できるアイテムBOX")</f>
        <v/>
      </c>
      <c r="M53" s="368" t="n"/>
      <c r="N53" s="369">
        <f>IFERROR(__xludf.DUMMYFUNCTION("""COMPUTED_VALUE"""),"2024-01-01 00:00:00")</f>
        <v/>
      </c>
      <c r="O53" s="369" t="n"/>
      <c r="P53" s="334" t="n"/>
    </row>
    <row r="54">
      <c r="A54" s="361">
        <f>IFERROR(__xludf.DUMMYFUNCTION("""COMPUTED_VALUE"""),"glo")</f>
        <v/>
      </c>
      <c r="B54" s="403">
        <f>IFERROR(__xludf.DUMMYFUNCTION("""COMPUTED_VALUE"""),"GLOW")</f>
        <v/>
      </c>
      <c r="C54" s="363">
        <f>IFERROR(__xludf.DUMMYFUNCTION("""COMPUTED_VALUE"""),"box")</f>
        <v/>
      </c>
      <c r="D54" s="413">
        <f>IFERROR(__xludf.DUMMYFUNCTION("""COMPUTED_VALUE"""),"00007")</f>
        <v/>
      </c>
      <c r="E54" s="403">
        <f>IFERROR(__xludf.DUMMYFUNCTION("""COMPUTED_VALUE"""),"box_glo_00007")</f>
        <v/>
      </c>
      <c r="F54" s="391">
        <f>IFERROR(__xludf.DUMMYFUNCTION("""COMPUTED_VALUE"""),"box_glo_00007")</f>
        <v/>
      </c>
      <c r="G54" s="370">
        <f>IFERROR(__xludf.DUMMYFUNCTION("""COMPUTED_VALUE"""),"item_icon_box_glo_00007")</f>
        <v/>
      </c>
      <c r="H54" s="377">
        <f>IFERROR(__xludf.DUMMYFUNCTION("""COMPUTED_VALUE"""),"選べるSSRキャラのかけらBOX")</f>
        <v/>
      </c>
      <c r="I54" s="377">
        <f>IFERROR(__xludf.DUMMYFUNCTION("""COMPUTED_VALUE"""),"SSR")</f>
        <v/>
      </c>
      <c r="J54" s="377">
        <f>IFERROR(__xludf.DUMMYFUNCTION("""COMPUTED_VALUE"""),9.99999999E8)</f>
        <v/>
      </c>
      <c r="K54" s="371">
        <f>IFERROR(__xludf.DUMMYFUNCTION("""COMPUTED_VALUE"""),9.99999999E8)</f>
        <v/>
      </c>
      <c r="L54" s="368">
        <f>IFERROR(__xludf.DUMMYFUNCTION("""COMPUTED_VALUE"""),"SSRのキャラのかけらを選択して獲得できるアイテムBOX")</f>
        <v/>
      </c>
      <c r="M54" s="368" t="n"/>
      <c r="N54" s="369">
        <f>IFERROR(__xludf.DUMMYFUNCTION("""COMPUTED_VALUE"""),"2024-01-01 00:00:00")</f>
        <v/>
      </c>
      <c r="O54" s="369" t="n"/>
      <c r="P54" s="334" t="n"/>
    </row>
    <row r="55">
      <c r="A55" s="361">
        <f>IFERROR(__xludf.DUMMYFUNCTION("""COMPUTED_VALUE"""),"glo")</f>
        <v/>
      </c>
      <c r="B55" s="403">
        <f>IFERROR(__xludf.DUMMYFUNCTION("""COMPUTED_VALUE"""),"GLOW")</f>
        <v/>
      </c>
      <c r="C55" s="363">
        <f>IFERROR(__xludf.DUMMYFUNCTION("""COMPUTED_VALUE"""),"box")</f>
        <v/>
      </c>
      <c r="D55" s="413">
        <f>IFERROR(__xludf.DUMMYFUNCTION("""COMPUTED_VALUE"""),"00008")</f>
        <v/>
      </c>
      <c r="E55" s="403">
        <f>IFERROR(__xludf.DUMMYFUNCTION("""COMPUTED_VALUE"""),"box_glo_00008")</f>
        <v/>
      </c>
      <c r="F55" s="391">
        <f>IFERROR(__xludf.DUMMYFUNCTION("""COMPUTED_VALUE"""),"box_glo_00008")</f>
        <v/>
      </c>
      <c r="G55" s="370">
        <f>IFERROR(__xludf.DUMMYFUNCTION("""COMPUTED_VALUE"""),"item_icon_box_glo_00008")</f>
        <v/>
      </c>
      <c r="H55" s="377">
        <f>IFERROR(__xludf.DUMMYFUNCTION("""COMPUTED_VALUE"""),"選べるURキャラのかけらBOX")</f>
        <v/>
      </c>
      <c r="I55" s="377">
        <f>IFERROR(__xludf.DUMMYFUNCTION("""COMPUTED_VALUE"""),"UR")</f>
        <v/>
      </c>
      <c r="J55" s="377">
        <f>IFERROR(__xludf.DUMMYFUNCTION("""COMPUTED_VALUE"""),9.99999999E8)</f>
        <v/>
      </c>
      <c r="K55" s="371">
        <f>IFERROR(__xludf.DUMMYFUNCTION("""COMPUTED_VALUE"""),9.99999999E8)</f>
        <v/>
      </c>
      <c r="L55" s="368">
        <f>IFERROR(__xludf.DUMMYFUNCTION("""COMPUTED_VALUE"""),"URのキャラのかけらを選択して獲得できるアイテムBOX")</f>
        <v/>
      </c>
      <c r="M55" s="368" t="n"/>
      <c r="N55" s="369">
        <f>IFERROR(__xludf.DUMMYFUNCTION("""COMPUTED_VALUE"""),"2024-01-01 00:00:00")</f>
        <v/>
      </c>
      <c r="O55" s="369" t="n"/>
      <c r="P55" s="334" t="n"/>
    </row>
    <row r="56">
      <c r="A56" s="361" t="n"/>
      <c r="B56" s="403" t="n"/>
      <c r="C56" s="363" t="n"/>
      <c r="D56" s="413" t="n"/>
      <c r="E56" s="403" t="n"/>
      <c r="F56" s="391" t="n"/>
      <c r="G56" s="370" t="n"/>
      <c r="H56" s="377" t="n"/>
      <c r="I56" s="377" t="n"/>
      <c r="J56" s="377" t="n"/>
      <c r="K56" s="368" t="n"/>
      <c r="L56" s="368" t="n"/>
      <c r="M56" s="368" t="n"/>
      <c r="N56" s="369" t="n"/>
      <c r="O56" s="369" t="n"/>
      <c r="P56" s="334" t="n"/>
    </row>
    <row r="57">
      <c r="A57" s="361" t="n"/>
      <c r="B57" s="403" t="n"/>
      <c r="C57" s="363" t="n"/>
      <c r="D57" s="413" t="n"/>
      <c r="E57" s="403" t="n"/>
      <c r="F57" s="391" t="n"/>
      <c r="G57" s="370" t="n"/>
      <c r="H57" s="377" t="n"/>
      <c r="I57" s="377" t="n"/>
      <c r="J57" s="377" t="n"/>
      <c r="K57" s="368" t="n"/>
      <c r="L57" s="368" t="n"/>
      <c r="M57" s="368" t="n"/>
      <c r="N57" s="369" t="n"/>
      <c r="O57" s="369" t="n"/>
      <c r="P57" s="334" t="n"/>
    </row>
    <row r="58">
      <c r="A58" s="361" t="n"/>
      <c r="B58" s="403" t="n"/>
      <c r="C58" s="363" t="n"/>
      <c r="D58" s="413" t="n"/>
      <c r="E58" s="403" t="n"/>
      <c r="F58" s="391" t="n"/>
      <c r="G58" s="370" t="n"/>
      <c r="H58" s="377" t="n"/>
      <c r="I58" s="377" t="n"/>
      <c r="J58" s="377" t="n"/>
      <c r="K58" s="368" t="n"/>
      <c r="L58" s="368" t="n"/>
      <c r="M58" s="368" t="n"/>
      <c r="N58" s="369" t="n"/>
      <c r="O58" s="369" t="n"/>
      <c r="P58" s="334" t="n"/>
    </row>
    <row r="59">
      <c r="A59" s="361" t="n"/>
      <c r="B59" s="403" t="n"/>
      <c r="C59" s="363" t="n"/>
      <c r="D59" s="413" t="n"/>
      <c r="E59" s="403" t="n"/>
      <c r="F59" s="391" t="n"/>
      <c r="G59" s="370" t="n"/>
      <c r="H59" s="377" t="n"/>
      <c r="I59" s="377" t="n"/>
      <c r="J59" s="377" t="n"/>
      <c r="K59" s="368" t="n"/>
      <c r="L59" s="368" t="n"/>
      <c r="M59" s="368" t="n"/>
      <c r="N59" s="369" t="n"/>
      <c r="O59" s="369" t="n"/>
      <c r="P59" s="334" t="n"/>
    </row>
    <row r="60">
      <c r="A60" s="361" t="n"/>
      <c r="B60" s="403" t="n"/>
      <c r="C60" s="363" t="n"/>
      <c r="D60" s="413" t="n"/>
      <c r="E60" s="403" t="n"/>
      <c r="F60" s="391" t="n"/>
      <c r="G60" s="370" t="n"/>
      <c r="H60" s="377" t="n"/>
      <c r="I60" s="377" t="n"/>
      <c r="J60" s="377" t="n"/>
      <c r="K60" s="368" t="n"/>
      <c r="L60" s="368" t="n"/>
      <c r="M60" s="368" t="n"/>
      <c r="N60" s="369" t="n"/>
      <c r="O60" s="369" t="n"/>
      <c r="P60" s="334" t="n"/>
    </row>
    <row r="61">
      <c r="A61" s="361" t="n"/>
      <c r="B61" s="403" t="n"/>
      <c r="C61" s="363" t="n"/>
      <c r="D61" s="413" t="n"/>
      <c r="E61" s="403" t="n"/>
      <c r="F61" s="391" t="n"/>
      <c r="G61" s="370" t="n"/>
      <c r="H61" s="377" t="n"/>
      <c r="I61" s="377" t="n"/>
      <c r="J61" s="377" t="n"/>
      <c r="K61" s="368" t="n"/>
      <c r="L61" s="368" t="n"/>
      <c r="M61" s="368" t="n"/>
      <c r="N61" s="369" t="n"/>
      <c r="O61" s="369" t="n"/>
      <c r="P61" s="334" t="n"/>
    </row>
    <row r="62">
      <c r="A62" s="361">
        <f>IFERROR(__xludf.DUMMYFUNCTION("""COMPUTED_VALUE"""),"▼キャラのかけら")</f>
        <v/>
      </c>
      <c r="B62" s="403" t="n"/>
      <c r="C62" s="363" t="n"/>
      <c r="D62" s="413" t="n"/>
      <c r="E62" s="403" t="n"/>
      <c r="F62" s="391" t="n"/>
      <c r="G62" s="370" t="n"/>
      <c r="H62" s="377" t="n"/>
      <c r="I62" s="377" t="n"/>
      <c r="J62" s="377" t="n"/>
      <c r="K62" s="368" t="n"/>
      <c r="L62" s="368" t="n"/>
      <c r="M62" s="368" t="n"/>
      <c r="N62" s="369" t="n"/>
      <c r="O62" s="369" t="n"/>
      <c r="P62" s="334" t="n"/>
    </row>
    <row r="63">
      <c r="A63" s="361" t="n"/>
      <c r="B63" s="403" t="n"/>
      <c r="C63" s="363" t="n"/>
      <c r="D63" s="413" t="n"/>
      <c r="E63" s="403" t="n"/>
      <c r="F63" s="391" t="n"/>
      <c r="G63" s="370" t="n"/>
      <c r="H63" s="377" t="n"/>
      <c r="I63" s="377" t="n"/>
      <c r="J63" s="377" t="n"/>
      <c r="K63" s="368" t="n"/>
      <c r="L63" s="368" t="n"/>
      <c r="M63" s="368" t="n"/>
      <c r="N63" s="369" t="n"/>
      <c r="O63" s="369" t="n"/>
      <c r="P63" s="334" t="n"/>
    </row>
    <row r="64">
      <c r="A64" s="361">
        <f>IFERROR(__xludf.DUMMYFUNCTION("""COMPUTED_VALUE"""),"spy")</f>
        <v/>
      </c>
      <c r="B64" s="403">
        <f>IFERROR(__xludf.DUMMYFUNCTION("""COMPUTED_VALUE"""),"SPY×FAMILY")</f>
        <v/>
      </c>
      <c r="C64" s="363">
        <f>IFERROR(__xludf.DUMMYFUNCTION("""COMPUTED_VALUE"""),"piece")</f>
        <v/>
      </c>
      <c r="D64" s="413">
        <f>IFERROR(__xludf.DUMMYFUNCTION("""COMPUTED_VALUE"""),"00001")</f>
        <v/>
      </c>
      <c r="E64" s="403">
        <f>IFERROR(__xludf.DUMMYFUNCTION("""COMPUTED_VALUE"""),"piece_spy_00001")</f>
        <v/>
      </c>
      <c r="F64" s="391">
        <f>IFERROR(__xludf.DUMMYFUNCTION("""COMPUTED_VALUE"""),"piece_spy_00001")</f>
        <v/>
      </c>
      <c r="G64" s="370">
        <f>IFERROR(__xludf.DUMMYFUNCTION("""COMPUTED_VALUE"""),"item_icon_piece_spy_00001")</f>
        <v/>
      </c>
      <c r="H64" s="377">
        <f>IFERROR(__xludf.DUMMYFUNCTION("""COMPUTED_VALUE"""),"わくわく アーニャのかけら")</f>
        <v/>
      </c>
      <c r="I64" s="377">
        <f>IFERROR(__xludf.DUMMYFUNCTION("""COMPUTED_VALUE"""),"UR")</f>
        <v/>
      </c>
      <c r="J64" s="377">
        <f>IFERROR(__xludf.DUMMYFUNCTION("""COMPUTED_VALUE"""),9.99999999E8)</f>
        <v/>
      </c>
      <c r="K64" s="371">
        <f>IFERROR(__xludf.DUMMYFUNCTION("""COMPUTED_VALUE"""),9.99999999E8)</f>
        <v/>
      </c>
      <c r="L64" s="368">
        <f>IFERROR(__xludf.DUMMYFUNCTION("""COMPUTED_VALUE"""),"わくわく アーニャのグレードアップに使用するアイテム")</f>
        <v/>
      </c>
      <c r="M64" s="368" t="n"/>
      <c r="N64" s="369">
        <f>IFERROR(__xludf.DUMMYFUNCTION("""COMPUTED_VALUE"""),"2024-01-01 00:00:00")</f>
        <v/>
      </c>
      <c r="O64" s="369" t="n"/>
      <c r="P64" s="334" t="n"/>
    </row>
    <row r="65">
      <c r="A65" s="361">
        <f>IFERROR(__xludf.DUMMYFUNCTION("""COMPUTED_VALUE"""),"spy")</f>
        <v/>
      </c>
      <c r="B65" s="403">
        <f>IFERROR(__xludf.DUMMYFUNCTION("""COMPUTED_VALUE"""),"SPY×FAMILY")</f>
        <v/>
      </c>
      <c r="C65" s="363">
        <f>IFERROR(__xludf.DUMMYFUNCTION("""COMPUTED_VALUE"""),"piece")</f>
        <v/>
      </c>
      <c r="D65" s="413">
        <f>IFERROR(__xludf.DUMMYFUNCTION("""COMPUTED_VALUE"""),"00101")</f>
        <v/>
      </c>
      <c r="E65" s="403">
        <f>IFERROR(__xludf.DUMMYFUNCTION("""COMPUTED_VALUE"""),"piece_spy_00101")</f>
        <v/>
      </c>
      <c r="F65" s="391">
        <f>IFERROR(__xludf.DUMMYFUNCTION("""COMPUTED_VALUE"""),"piece_spy_00101")</f>
        <v/>
      </c>
      <c r="G65" s="370">
        <f>IFERROR(__xludf.DUMMYFUNCTION("""COMPUTED_VALUE"""),"item_icon_piece_spy_00101")</f>
        <v/>
      </c>
      <c r="H65" s="377">
        <f>IFERROR(__xludf.DUMMYFUNCTION("""COMPUTED_VALUE"""),"＜黄昏＞ ロイドのかけら")</f>
        <v/>
      </c>
      <c r="I65" s="377">
        <f>IFERROR(__xludf.DUMMYFUNCTION("""COMPUTED_VALUE"""),"UR")</f>
        <v/>
      </c>
      <c r="J65" s="377">
        <f>IFERROR(__xludf.DUMMYFUNCTION("""COMPUTED_VALUE"""),9.99999999E8)</f>
        <v/>
      </c>
      <c r="K65" s="371">
        <f>IFERROR(__xludf.DUMMYFUNCTION("""COMPUTED_VALUE"""),9.99999999E8)</f>
        <v/>
      </c>
      <c r="L65" s="368">
        <f>IFERROR(__xludf.DUMMYFUNCTION("""COMPUTED_VALUE"""),"＜黄昏＞ ロイドのグレードアップに使用するアイテム")</f>
        <v/>
      </c>
      <c r="M65" s="368" t="n"/>
      <c r="N65" s="369">
        <f>IFERROR(__xludf.DUMMYFUNCTION("""COMPUTED_VALUE"""),"2024-01-01 00:00:00")</f>
        <v/>
      </c>
      <c r="O65" s="369" t="n"/>
      <c r="P65" s="334" t="n"/>
    </row>
    <row r="66">
      <c r="A66" s="361">
        <f>IFERROR(__xludf.DUMMYFUNCTION("""COMPUTED_VALUE"""),"spy")</f>
        <v/>
      </c>
      <c r="B66" s="403">
        <f>IFERROR(__xludf.DUMMYFUNCTION("""COMPUTED_VALUE"""),"SPY×FAMILY")</f>
        <v/>
      </c>
      <c r="C66" s="363">
        <f>IFERROR(__xludf.DUMMYFUNCTION("""COMPUTED_VALUE"""),"piece")</f>
        <v/>
      </c>
      <c r="D66" s="413">
        <f>IFERROR(__xludf.DUMMYFUNCTION("""COMPUTED_VALUE"""),"00201")</f>
        <v/>
      </c>
      <c r="E66" s="403">
        <f>IFERROR(__xludf.DUMMYFUNCTION("""COMPUTED_VALUE"""),"piece_spy_00201")</f>
        <v/>
      </c>
      <c r="F66" s="391">
        <f>IFERROR(__xludf.DUMMYFUNCTION("""COMPUTED_VALUE"""),"piece_spy_00201")</f>
        <v/>
      </c>
      <c r="G66" s="370">
        <f>IFERROR(__xludf.DUMMYFUNCTION("""COMPUTED_VALUE"""),"item_icon_piece_spy_00201")</f>
        <v/>
      </c>
      <c r="H66" s="377">
        <f>IFERROR(__xludf.DUMMYFUNCTION("""COMPUTED_VALUE"""),"＜いばら姫＞ ヨルのかけら")</f>
        <v/>
      </c>
      <c r="I66" s="377">
        <f>IFERROR(__xludf.DUMMYFUNCTION("""COMPUTED_VALUE"""),"UR")</f>
        <v/>
      </c>
      <c r="J66" s="377">
        <f>IFERROR(__xludf.DUMMYFUNCTION("""COMPUTED_VALUE"""),9.99999999E8)</f>
        <v/>
      </c>
      <c r="K66" s="371">
        <f>IFERROR(__xludf.DUMMYFUNCTION("""COMPUTED_VALUE"""),9.99999999E8)</f>
        <v/>
      </c>
      <c r="L66" s="368">
        <f>IFERROR(__xludf.DUMMYFUNCTION("""COMPUTED_VALUE"""),"＜いばら姫＞ ヨルのグレードアップに使用するアイテム")</f>
        <v/>
      </c>
      <c r="M66" s="368" t="n"/>
      <c r="N66" s="369">
        <f>IFERROR(__xludf.DUMMYFUNCTION("""COMPUTED_VALUE"""),"2024-01-01 00:00:00")</f>
        <v/>
      </c>
      <c r="O66" s="369" t="n"/>
      <c r="P66" s="334" t="n"/>
    </row>
    <row r="67">
      <c r="A67" s="361">
        <f>IFERROR(__xludf.DUMMYFUNCTION("""COMPUTED_VALUE"""),"spy")</f>
        <v/>
      </c>
      <c r="B67" s="403">
        <f>IFERROR(__xludf.DUMMYFUNCTION("""COMPUTED_VALUE"""),"SPY×FAMILY")</f>
        <v/>
      </c>
      <c r="C67" s="363">
        <f>IFERROR(__xludf.DUMMYFUNCTION("""COMPUTED_VALUE"""),"piece")</f>
        <v/>
      </c>
      <c r="D67" s="413">
        <f>IFERROR(__xludf.DUMMYFUNCTION("""COMPUTED_VALUE"""),"00301")</f>
        <v/>
      </c>
      <c r="E67" s="403">
        <f>IFERROR(__xludf.DUMMYFUNCTION("""COMPUTED_VALUE"""),"piece_spy_00301")</f>
        <v/>
      </c>
      <c r="F67" s="391">
        <f>IFERROR(__xludf.DUMMYFUNCTION("""COMPUTED_VALUE"""),"piece_spy_00301")</f>
        <v/>
      </c>
      <c r="G67" s="370">
        <f>IFERROR(__xludf.DUMMYFUNCTION("""COMPUTED_VALUE"""),"item_icon_piece_spy_00301")</f>
        <v/>
      </c>
      <c r="H67" s="377">
        <f>IFERROR(__xludf.DUMMYFUNCTION("""COMPUTED_VALUE"""),"ダミアン・デズモンドのかけら")</f>
        <v/>
      </c>
      <c r="I67" s="377">
        <f>IFERROR(__xludf.DUMMYFUNCTION("""COMPUTED_VALUE"""),"SR")</f>
        <v/>
      </c>
      <c r="J67" s="377">
        <f>IFERROR(__xludf.DUMMYFUNCTION("""COMPUTED_VALUE"""),9.99999999E8)</f>
        <v/>
      </c>
      <c r="K67" s="371">
        <f>IFERROR(__xludf.DUMMYFUNCTION("""COMPUTED_VALUE"""),9.99999999E8)</f>
        <v/>
      </c>
      <c r="L67" s="368">
        <f>IFERROR(__xludf.DUMMYFUNCTION("""COMPUTED_VALUE"""),"ダミアン・デズモンドのグレードアップに使用するアイテム")</f>
        <v/>
      </c>
      <c r="M67" s="368" t="n"/>
      <c r="N67" s="369">
        <f>IFERROR(__xludf.DUMMYFUNCTION("""COMPUTED_VALUE"""),45936.625)</f>
        <v/>
      </c>
      <c r="O67" s="369" t="n"/>
      <c r="P67" s="334" t="n"/>
    </row>
    <row r="68">
      <c r="A68" s="361">
        <f>IFERROR(__xludf.DUMMYFUNCTION("""COMPUTED_VALUE"""),"spy")</f>
        <v/>
      </c>
      <c r="B68" s="403">
        <f>IFERROR(__xludf.DUMMYFUNCTION("""COMPUTED_VALUE"""),"SPY×FAMILY")</f>
        <v/>
      </c>
      <c r="C68" s="363">
        <f>IFERROR(__xludf.DUMMYFUNCTION("""COMPUTED_VALUE"""),"piece")</f>
        <v/>
      </c>
      <c r="D68" s="413">
        <f>IFERROR(__xludf.DUMMYFUNCTION("""COMPUTED_VALUE"""),"00401")</f>
        <v/>
      </c>
      <c r="E68" s="403">
        <f>IFERROR(__xludf.DUMMYFUNCTION("""COMPUTED_VALUE"""),"piece_spy_00401")</f>
        <v/>
      </c>
      <c r="F68" s="391">
        <f>IFERROR(__xludf.DUMMYFUNCTION("""COMPUTED_VALUE"""),"piece_spy_00401")</f>
        <v/>
      </c>
      <c r="G68" s="370">
        <f>IFERROR(__xludf.DUMMYFUNCTION("""COMPUTED_VALUE"""),"item_icon_piece_spy_00401")</f>
        <v/>
      </c>
      <c r="H68" s="377">
        <f>IFERROR(__xludf.DUMMYFUNCTION("""COMPUTED_VALUE"""),"フランキー・フランクリンのかけら")</f>
        <v/>
      </c>
      <c r="I68" s="377">
        <f>IFERROR(__xludf.DUMMYFUNCTION("""COMPUTED_VALUE"""),"SR")</f>
        <v/>
      </c>
      <c r="J68" s="377">
        <f>IFERROR(__xludf.DUMMYFUNCTION("""COMPUTED_VALUE"""),9.99999999E8)</f>
        <v/>
      </c>
      <c r="K68" s="371">
        <f>IFERROR(__xludf.DUMMYFUNCTION("""COMPUTED_VALUE"""),9.99999999E8)</f>
        <v/>
      </c>
      <c r="L68" s="368">
        <f>IFERROR(__xludf.DUMMYFUNCTION("""COMPUTED_VALUE"""),"フランキー・フランクリンのグレードアップに使用するアイテム")</f>
        <v/>
      </c>
      <c r="M68" s="368" t="n"/>
      <c r="N68" s="369">
        <f>IFERROR(__xludf.DUMMYFUNCTION("""COMPUTED_VALUE"""),45936.625)</f>
        <v/>
      </c>
      <c r="O68" s="369" t="n"/>
      <c r="P68" s="334" t="n"/>
    </row>
    <row r="69">
      <c r="A69" s="361">
        <f>IFERROR(__xludf.DUMMYFUNCTION("""COMPUTED_VALUE"""),"spy")</f>
        <v/>
      </c>
      <c r="B69" s="403">
        <f>IFERROR(__xludf.DUMMYFUNCTION("""COMPUTED_VALUE"""),"SPY×FAMILY")</f>
        <v/>
      </c>
      <c r="C69" s="363">
        <f>IFERROR(__xludf.DUMMYFUNCTION("""COMPUTED_VALUE"""),"piece")</f>
        <v/>
      </c>
      <c r="D69" s="413">
        <f>IFERROR(__xludf.DUMMYFUNCTION("""COMPUTED_VALUE"""),"00501")</f>
        <v/>
      </c>
      <c r="E69" s="403">
        <f>IFERROR(__xludf.DUMMYFUNCTION("""COMPUTED_VALUE"""),"piece_spy_00501")</f>
        <v/>
      </c>
      <c r="F69" s="391">
        <f>IFERROR(__xludf.DUMMYFUNCTION("""COMPUTED_VALUE"""),"piece_spy_00501")</f>
        <v/>
      </c>
      <c r="G69" s="370">
        <f>IFERROR(__xludf.DUMMYFUNCTION("""COMPUTED_VALUE"""),"item_icon_piece_spy_00501")</f>
        <v/>
      </c>
      <c r="H69" s="377">
        <f>IFERROR(__xludf.DUMMYFUNCTION("""COMPUTED_VALUE"""),"姉を想う盲愛 ユーリ・ブライアのかけら")</f>
        <v/>
      </c>
      <c r="I69" s="377">
        <f>IFERROR(__xludf.DUMMYFUNCTION("""COMPUTED_VALUE"""),"UR")</f>
        <v/>
      </c>
      <c r="J69" s="377">
        <f>IFERROR(__xludf.DUMMYFUNCTION("""COMPUTED_VALUE"""),9.99999999E8)</f>
        <v/>
      </c>
      <c r="K69" s="371">
        <f>IFERROR(__xludf.DUMMYFUNCTION("""COMPUTED_VALUE"""),9.99999999E8)</f>
        <v/>
      </c>
      <c r="L69" s="368">
        <f>IFERROR(__xludf.DUMMYFUNCTION("""COMPUTED_VALUE"""),"姉を想う盲愛 ユーリ・ブライアのグレードアップに使用するアイテム")</f>
        <v/>
      </c>
      <c r="M69" s="368" t="n"/>
      <c r="N69" s="369">
        <f>IFERROR(__xludf.DUMMYFUNCTION("""COMPUTED_VALUE"""),45936.625)</f>
        <v/>
      </c>
      <c r="O69" s="369" t="n"/>
      <c r="P69" s="334" t="n"/>
    </row>
    <row r="70">
      <c r="A70" s="361" t="n"/>
      <c r="B70" s="403" t="n"/>
      <c r="C70" s="363" t="n"/>
      <c r="D70" s="413" t="n"/>
      <c r="E70" s="403" t="n"/>
      <c r="F70" s="391" t="n"/>
      <c r="G70" s="370" t="n"/>
      <c r="H70" s="377" t="n"/>
      <c r="I70" s="377" t="n"/>
      <c r="J70" s="377" t="n"/>
      <c r="K70" s="368" t="n"/>
      <c r="L70" s="368" t="n"/>
      <c r="M70" s="368" t="n"/>
      <c r="N70" s="369" t="n"/>
      <c r="O70" s="369" t="n"/>
      <c r="P70" s="334" t="n"/>
    </row>
    <row r="71">
      <c r="A71" s="361">
        <f>IFERROR(__xludf.DUMMYFUNCTION("""COMPUTED_VALUE"""),"aka")</f>
        <v/>
      </c>
      <c r="B71" s="403">
        <f>IFERROR(__xludf.DUMMYFUNCTION("""COMPUTED_VALUE"""),"ラーメン赤猫")</f>
        <v/>
      </c>
      <c r="C71" s="363">
        <f>IFERROR(__xludf.DUMMYFUNCTION("""COMPUTED_VALUE"""),"piece")</f>
        <v/>
      </c>
      <c r="D71" s="413">
        <f>IFERROR(__xludf.DUMMYFUNCTION("""COMPUTED_VALUE"""),"00001")</f>
        <v/>
      </c>
      <c r="E71" s="403">
        <f>IFERROR(__xludf.DUMMYFUNCTION("""COMPUTED_VALUE"""),"piece_aka_00001")</f>
        <v/>
      </c>
      <c r="F71" s="391">
        <f>IFERROR(__xludf.DUMMYFUNCTION("""COMPUTED_VALUE"""),"piece_aka_00001")</f>
        <v/>
      </c>
      <c r="G71" s="370">
        <f>IFERROR(__xludf.DUMMYFUNCTION("""COMPUTED_VALUE"""),"item_icon_piece_aka_00001")</f>
        <v/>
      </c>
      <c r="H71" s="370">
        <f>IFERROR(__xludf.DUMMYFUNCTION("""COMPUTED_VALUE"""),"佐々木のかけら")</f>
        <v/>
      </c>
      <c r="I71" s="377">
        <f>IFERROR(__xludf.DUMMYFUNCTION("""COMPUTED_VALUE"""),"R")</f>
        <v/>
      </c>
      <c r="J71" s="377">
        <f>IFERROR(__xludf.DUMMYFUNCTION("""COMPUTED_VALUE"""),9.99999999E8)</f>
        <v/>
      </c>
      <c r="K71" s="371">
        <f>IFERROR(__xludf.DUMMYFUNCTION("""COMPUTED_VALUE"""),9.99999999E8)</f>
        <v/>
      </c>
      <c r="L71" s="368">
        <f>IFERROR(__xludf.DUMMYFUNCTION("""COMPUTED_VALUE"""),"佐々木のグレードアップに使用するアイテム")</f>
        <v/>
      </c>
      <c r="M71" s="368" t="n"/>
      <c r="N71" s="382">
        <f>IFERROR(__xludf.DUMMYFUNCTION("""COMPUTED_VALUE"""),"2024-01-01 00:00:00")</f>
        <v/>
      </c>
      <c r="O71" s="369" t="n"/>
      <c r="P71" s="334" t="n"/>
    </row>
    <row r="72">
      <c r="A72" s="361">
        <f>IFERROR(__xludf.DUMMYFUNCTION("""COMPUTED_VALUE"""),"aka")</f>
        <v/>
      </c>
      <c r="B72" s="403">
        <f>IFERROR(__xludf.DUMMYFUNCTION("""COMPUTED_VALUE"""),"ラーメン赤猫")</f>
        <v/>
      </c>
      <c r="C72" s="363">
        <f>IFERROR(__xludf.DUMMYFUNCTION("""COMPUTED_VALUE"""),"piece")</f>
        <v/>
      </c>
      <c r="D72" s="413">
        <f>IFERROR(__xludf.DUMMYFUNCTION("""COMPUTED_VALUE"""),"00101")</f>
        <v/>
      </c>
      <c r="E72" s="403">
        <f>IFERROR(__xludf.DUMMYFUNCTION("""COMPUTED_VALUE"""),"piece_aka_00101")</f>
        <v/>
      </c>
      <c r="F72" s="391">
        <f>IFERROR(__xludf.DUMMYFUNCTION("""COMPUTED_VALUE"""),"piece_aka_00101")</f>
        <v/>
      </c>
      <c r="G72" s="370">
        <f>IFERROR(__xludf.DUMMYFUNCTION("""COMPUTED_VALUE"""),"item_icon_piece_aka_00101")</f>
        <v/>
      </c>
      <c r="H72" s="377">
        <f>IFERROR(__xludf.DUMMYFUNCTION("""COMPUTED_VALUE"""),"文蔵のかけら")</f>
        <v/>
      </c>
      <c r="I72" s="377">
        <f>IFERROR(__xludf.DUMMYFUNCTION("""COMPUTED_VALUE"""),"R")</f>
        <v/>
      </c>
      <c r="J72" s="377">
        <f>IFERROR(__xludf.DUMMYFUNCTION("""COMPUTED_VALUE"""),9.99999999E8)</f>
        <v/>
      </c>
      <c r="K72" s="371">
        <f>IFERROR(__xludf.DUMMYFUNCTION("""COMPUTED_VALUE"""),9.99999999E8)</f>
        <v/>
      </c>
      <c r="L72" s="368">
        <f>IFERROR(__xludf.DUMMYFUNCTION("""COMPUTED_VALUE"""),"文蔵のグレードアップに使用するアイテム")</f>
        <v/>
      </c>
      <c r="M72" s="368" t="n"/>
      <c r="N72" s="369">
        <f>IFERROR(__xludf.DUMMYFUNCTION("""COMPUTED_VALUE"""),"2024-01-01 00:00:00")</f>
        <v/>
      </c>
      <c r="O72" s="369" t="n"/>
      <c r="P72" s="334" t="n"/>
    </row>
    <row r="73">
      <c r="A73" s="361" t="n"/>
      <c r="B73" s="403" t="n"/>
      <c r="C73" s="363" t="n"/>
      <c r="D73" s="413" t="n"/>
      <c r="E73" s="403" t="n"/>
      <c r="F73" s="391" t="n"/>
      <c r="G73" s="370" t="n"/>
      <c r="H73" s="377" t="n"/>
      <c r="I73" s="377" t="n"/>
      <c r="J73" s="377" t="n"/>
      <c r="K73" s="368" t="n"/>
      <c r="L73" s="368" t="n"/>
      <c r="M73" s="368" t="n"/>
      <c r="N73" s="369" t="n"/>
      <c r="O73" s="369" t="n"/>
      <c r="P73" s="334" t="n"/>
    </row>
    <row r="74">
      <c r="A74" s="361">
        <f>IFERROR(__xludf.DUMMYFUNCTION("""COMPUTED_VALUE"""),"rik")</f>
        <v/>
      </c>
      <c r="B74" s="403">
        <f>IFERROR(__xludf.DUMMYFUNCTION("""COMPUTED_VALUE"""),"トマトイプーのリコピン")</f>
        <v/>
      </c>
      <c r="C74" s="363">
        <f>IFERROR(__xludf.DUMMYFUNCTION("""COMPUTED_VALUE"""),"piece")</f>
        <v/>
      </c>
      <c r="D74" s="413">
        <f>IFERROR(__xludf.DUMMYFUNCTION("""COMPUTED_VALUE"""),"00001")</f>
        <v/>
      </c>
      <c r="E74" s="403">
        <f>IFERROR(__xludf.DUMMYFUNCTION("""COMPUTED_VALUE"""),"piece_rik_00001")</f>
        <v/>
      </c>
      <c r="F74" s="391">
        <f>IFERROR(__xludf.DUMMYFUNCTION("""COMPUTED_VALUE"""),"piece_rik_00001")</f>
        <v/>
      </c>
      <c r="G74" s="370">
        <f>IFERROR(__xludf.DUMMYFUNCTION("""COMPUTED_VALUE"""),"item_icon_piece_rik_00001")</f>
        <v/>
      </c>
      <c r="H74" s="377">
        <f>IFERROR(__xludf.DUMMYFUNCTION("""COMPUTED_VALUE"""),"リコピンのかけら")</f>
        <v/>
      </c>
      <c r="I74" s="377">
        <f>IFERROR(__xludf.DUMMYFUNCTION("""COMPUTED_VALUE"""),"R")</f>
        <v/>
      </c>
      <c r="J74" s="377">
        <f>IFERROR(__xludf.DUMMYFUNCTION("""COMPUTED_VALUE"""),9.99999999E8)</f>
        <v/>
      </c>
      <c r="K74" s="371">
        <f>IFERROR(__xludf.DUMMYFUNCTION("""COMPUTED_VALUE"""),9.99999999E8)</f>
        <v/>
      </c>
      <c r="L74" s="368">
        <f>IFERROR(__xludf.DUMMYFUNCTION("""COMPUTED_VALUE"""),"リコピンのグレードアップに使用するアイテム")</f>
        <v/>
      </c>
      <c r="M74" s="368" t="n"/>
      <c r="N74" s="369">
        <f>IFERROR(__xludf.DUMMYFUNCTION("""COMPUTED_VALUE"""),"2024-01-01 00:00:00")</f>
        <v/>
      </c>
      <c r="O74" s="369" t="n"/>
      <c r="P74" s="334" t="n"/>
    </row>
    <row r="75">
      <c r="A75" s="361">
        <f>IFERROR(__xludf.DUMMYFUNCTION("""COMPUTED_VALUE"""),"rik")</f>
        <v/>
      </c>
      <c r="B75" s="403">
        <f>IFERROR(__xludf.DUMMYFUNCTION("""COMPUTED_VALUE"""),"トマトイプーのリコピン")</f>
        <v/>
      </c>
      <c r="C75" s="363">
        <f>IFERROR(__xludf.DUMMYFUNCTION("""COMPUTED_VALUE"""),"piece")</f>
        <v/>
      </c>
      <c r="D75" s="413">
        <f>IFERROR(__xludf.DUMMYFUNCTION("""COMPUTED_VALUE"""),"00101")</f>
        <v/>
      </c>
      <c r="E75" s="403">
        <f>IFERROR(__xludf.DUMMYFUNCTION("""COMPUTED_VALUE"""),"piece_rik_00101")</f>
        <v/>
      </c>
      <c r="F75" s="391">
        <f>IFERROR(__xludf.DUMMYFUNCTION("""COMPUTED_VALUE"""),"piece_rik_00101")</f>
        <v/>
      </c>
      <c r="G75" s="370">
        <f>IFERROR(__xludf.DUMMYFUNCTION("""COMPUTED_VALUE"""),"item_icon_piece_rik_00101")</f>
        <v/>
      </c>
      <c r="H75" s="377">
        <f>IFERROR(__xludf.DUMMYFUNCTION("""COMPUTED_VALUE"""),"甘戸 めめのかけら")</f>
        <v/>
      </c>
      <c r="I75" s="377">
        <f>IFERROR(__xludf.DUMMYFUNCTION("""COMPUTED_VALUE"""),"R")</f>
        <v/>
      </c>
      <c r="J75" s="377">
        <f>IFERROR(__xludf.DUMMYFUNCTION("""COMPUTED_VALUE"""),9.99999999E8)</f>
        <v/>
      </c>
      <c r="K75" s="371">
        <f>IFERROR(__xludf.DUMMYFUNCTION("""COMPUTED_VALUE"""),9.99999999E8)</f>
        <v/>
      </c>
      <c r="L75" s="368">
        <f>IFERROR(__xludf.DUMMYFUNCTION("""COMPUTED_VALUE"""),"甘戸 めめのグレードアップに使用するアイテム")</f>
        <v/>
      </c>
      <c r="M75" s="368" t="n"/>
      <c r="N75" s="369">
        <f>IFERROR(__xludf.DUMMYFUNCTION("""COMPUTED_VALUE"""),"2024-01-01 00:00:00")</f>
        <v/>
      </c>
      <c r="O75" s="369" t="n"/>
      <c r="P75" s="334" t="n"/>
    </row>
    <row r="76">
      <c r="A76" s="361" t="n"/>
      <c r="B76" s="403" t="n"/>
      <c r="C76" s="363" t="n"/>
      <c r="D76" s="413" t="n"/>
      <c r="E76" s="403" t="n"/>
      <c r="F76" s="391" t="n"/>
      <c r="G76" s="370" t="n"/>
      <c r="H76" s="370" t="n"/>
      <c r="I76" s="377" t="n"/>
      <c r="J76" s="377" t="n"/>
      <c r="K76" s="368" t="n"/>
      <c r="L76" s="368" t="n"/>
      <c r="M76" s="368" t="n"/>
      <c r="N76" s="368" t="n"/>
      <c r="O76" s="369" t="n"/>
      <c r="P76" s="334" t="n"/>
    </row>
    <row r="77">
      <c r="A77" s="361">
        <f>IFERROR(__xludf.DUMMYFUNCTION("""COMPUTED_VALUE"""),"dan")</f>
        <v/>
      </c>
      <c r="B77" s="403">
        <f>IFERROR(__xludf.DUMMYFUNCTION("""COMPUTED_VALUE"""),"ダンダダン")</f>
        <v/>
      </c>
      <c r="C77" s="363">
        <f>IFERROR(__xludf.DUMMYFUNCTION("""COMPUTED_VALUE"""),"piece")</f>
        <v/>
      </c>
      <c r="D77" s="413">
        <f>IFERROR(__xludf.DUMMYFUNCTION("""COMPUTED_VALUE"""),"00001")</f>
        <v/>
      </c>
      <c r="E77" s="391">
        <f>IFERROR(__xludf.DUMMYFUNCTION("""COMPUTED_VALUE"""),"piece_dan_00001")</f>
        <v/>
      </c>
      <c r="F77" s="391">
        <f>IFERROR(__xludf.DUMMYFUNCTION("""COMPUTED_VALUE"""),"piece_dan_00001")</f>
        <v/>
      </c>
      <c r="G77" s="370">
        <f>IFERROR(__xludf.DUMMYFUNCTION("""COMPUTED_VALUE"""),"item_icon_piece_dan_00001")</f>
        <v/>
      </c>
      <c r="H77" s="377">
        <f>IFERROR(__xludf.DUMMYFUNCTION("""COMPUTED_VALUE"""),"オカルンのかけら")</f>
        <v/>
      </c>
      <c r="I77" s="377">
        <f>IFERROR(__xludf.DUMMYFUNCTION("""COMPUTED_VALUE"""),"R")</f>
        <v/>
      </c>
      <c r="J77" s="377">
        <f>IFERROR(__xludf.DUMMYFUNCTION("""COMPUTED_VALUE"""),9.99999999E8)</f>
        <v/>
      </c>
      <c r="K77" s="371">
        <f>IFERROR(__xludf.DUMMYFUNCTION("""COMPUTED_VALUE"""),9.99999999E8)</f>
        <v/>
      </c>
      <c r="L77" s="368">
        <f>IFERROR(__xludf.DUMMYFUNCTION("""COMPUTED_VALUE"""),"オカルンのグレードアップに使用するアイテム")</f>
        <v/>
      </c>
      <c r="M77" s="368" t="n"/>
      <c r="N77" s="398">
        <f>IFERROR(__xludf.DUMMYFUNCTION("""COMPUTED_VALUE"""),"2024-01-01 00:00:00")</f>
        <v/>
      </c>
      <c r="O77" s="369" t="n"/>
      <c r="P77" s="334" t="n"/>
    </row>
    <row r="78">
      <c r="A78" s="361">
        <f>IFERROR(__xludf.DUMMYFUNCTION("""COMPUTED_VALUE"""),"dan")</f>
        <v/>
      </c>
      <c r="B78" s="403">
        <f>IFERROR(__xludf.DUMMYFUNCTION("""COMPUTED_VALUE"""),"ダンダダン")</f>
        <v/>
      </c>
      <c r="C78" s="363">
        <f>IFERROR(__xludf.DUMMYFUNCTION("""COMPUTED_VALUE"""),"piece")</f>
        <v/>
      </c>
      <c r="D78" s="413">
        <f>IFERROR(__xludf.DUMMYFUNCTION("""COMPUTED_VALUE"""),"00002")</f>
        <v/>
      </c>
      <c r="E78" s="391">
        <f>IFERROR(__xludf.DUMMYFUNCTION("""COMPUTED_VALUE"""),"piece_dan_00002")</f>
        <v/>
      </c>
      <c r="F78" s="391">
        <f>IFERROR(__xludf.DUMMYFUNCTION("""COMPUTED_VALUE"""),"piece_dan_00002")</f>
        <v/>
      </c>
      <c r="G78" s="370">
        <f>IFERROR(__xludf.DUMMYFUNCTION("""COMPUTED_VALUE"""),"item_icon_piece_dan_00002")</f>
        <v/>
      </c>
      <c r="H78" s="377">
        <f>IFERROR(__xludf.DUMMYFUNCTION("""COMPUTED_VALUE"""),"ターボババアの霊力 オカルンのかけら")</f>
        <v/>
      </c>
      <c r="I78" s="377">
        <f>IFERROR(__xludf.DUMMYFUNCTION("""COMPUTED_VALUE"""),"UR")</f>
        <v/>
      </c>
      <c r="J78" s="377">
        <f>IFERROR(__xludf.DUMMYFUNCTION("""COMPUTED_VALUE"""),9.99999999E8)</f>
        <v/>
      </c>
      <c r="K78" s="371">
        <f>IFERROR(__xludf.DUMMYFUNCTION("""COMPUTED_VALUE"""),9.99999999E8)</f>
        <v/>
      </c>
      <c r="L78" s="368">
        <f>IFERROR(__xludf.DUMMYFUNCTION("""COMPUTED_VALUE"""),"ターボババアの霊力 オカルンのグレードアップに使用するアイテム")</f>
        <v/>
      </c>
      <c r="M78" s="368" t="n"/>
      <c r="N78" s="369">
        <f>IFERROR(__xludf.DUMMYFUNCTION("""COMPUTED_VALUE"""),"2024-01-01 00:00:00")</f>
        <v/>
      </c>
      <c r="O78" s="369" t="n"/>
      <c r="P78" s="334" t="n"/>
    </row>
    <row r="79">
      <c r="A79" s="361">
        <f>IFERROR(__xludf.DUMMYFUNCTION("""COMPUTED_VALUE"""),"dan")</f>
        <v/>
      </c>
      <c r="B79" s="403">
        <f>IFERROR(__xludf.DUMMYFUNCTION("""COMPUTED_VALUE"""),"ダンダダン")</f>
        <v/>
      </c>
      <c r="C79" s="363">
        <f>IFERROR(__xludf.DUMMYFUNCTION("""COMPUTED_VALUE"""),"piece")</f>
        <v/>
      </c>
      <c r="D79" s="413">
        <f>IFERROR(__xludf.DUMMYFUNCTION("""COMPUTED_VALUE"""),"00101")</f>
        <v/>
      </c>
      <c r="E79" s="391">
        <f>IFERROR(__xludf.DUMMYFUNCTION("""COMPUTED_VALUE"""),"piece_dan_00101")</f>
        <v/>
      </c>
      <c r="F79" s="391">
        <f>IFERROR(__xludf.DUMMYFUNCTION("""COMPUTED_VALUE"""),"piece_dan_00101")</f>
        <v/>
      </c>
      <c r="G79" s="370">
        <f>IFERROR(__xludf.DUMMYFUNCTION("""COMPUTED_VALUE"""),"item_icon_piece_dan_00101")</f>
        <v/>
      </c>
      <c r="H79" s="377">
        <f>IFERROR(__xludf.DUMMYFUNCTION("""COMPUTED_VALUE"""),"モモのかけら")</f>
        <v/>
      </c>
      <c r="I79" s="377">
        <f>IFERROR(__xludf.DUMMYFUNCTION("""COMPUTED_VALUE"""),"SSR")</f>
        <v/>
      </c>
      <c r="J79" s="377">
        <f>IFERROR(__xludf.DUMMYFUNCTION("""COMPUTED_VALUE"""),9.99999999E8)</f>
        <v/>
      </c>
      <c r="K79" s="371">
        <f>IFERROR(__xludf.DUMMYFUNCTION("""COMPUTED_VALUE"""),9.99999999E8)</f>
        <v/>
      </c>
      <c r="L79" s="368">
        <f>IFERROR(__xludf.DUMMYFUNCTION("""COMPUTED_VALUE"""),"モモのグレードアップに使用するアイテム")</f>
        <v/>
      </c>
      <c r="M79" s="368" t="n"/>
      <c r="N79" s="369">
        <f>IFERROR(__xludf.DUMMYFUNCTION("""COMPUTED_VALUE"""),"2024-01-01 00:00:00")</f>
        <v/>
      </c>
      <c r="O79" s="369" t="n"/>
      <c r="P79" s="334" t="n"/>
    </row>
    <row r="80">
      <c r="A80" s="361">
        <f>IFERROR(__xludf.DUMMYFUNCTION("""COMPUTED_VALUE"""),"dan")</f>
        <v/>
      </c>
      <c r="B80" s="403">
        <f>IFERROR(__xludf.DUMMYFUNCTION("""COMPUTED_VALUE"""),"ダンダダン")</f>
        <v/>
      </c>
      <c r="C80" s="363">
        <f>IFERROR(__xludf.DUMMYFUNCTION("""COMPUTED_VALUE"""),"piece")</f>
        <v/>
      </c>
      <c r="D80" s="413">
        <f>IFERROR(__xludf.DUMMYFUNCTION("""COMPUTED_VALUE"""),"00201")</f>
        <v/>
      </c>
      <c r="E80" s="391">
        <f>IFERROR(__xludf.DUMMYFUNCTION("""COMPUTED_VALUE"""),"piece_dan_00201")</f>
        <v/>
      </c>
      <c r="F80" s="391">
        <f>IFERROR(__xludf.DUMMYFUNCTION("""COMPUTED_VALUE"""),"piece_dan_00201")</f>
        <v/>
      </c>
      <c r="G80" s="370">
        <f>IFERROR(__xludf.DUMMYFUNCTION("""COMPUTED_VALUE"""),"item_icon_piece_dan_00201")</f>
        <v/>
      </c>
      <c r="H80" s="377">
        <f>IFERROR(__xludf.DUMMYFUNCTION("""COMPUTED_VALUE"""),"アイラのかけら")</f>
        <v/>
      </c>
      <c r="I80" s="377">
        <f>IFERROR(__xludf.DUMMYFUNCTION("""COMPUTED_VALUE"""),"SR")</f>
        <v/>
      </c>
      <c r="J80" s="377">
        <f>IFERROR(__xludf.DUMMYFUNCTION("""COMPUTED_VALUE"""),9.99999999E8)</f>
        <v/>
      </c>
      <c r="K80" s="371">
        <f>IFERROR(__xludf.DUMMYFUNCTION("""COMPUTED_VALUE"""),9.99999999E8)</f>
        <v/>
      </c>
      <c r="L80" s="368">
        <f>IFERROR(__xludf.DUMMYFUNCTION("""COMPUTED_VALUE"""),"アイラのグレードアップに使用するアイテム")</f>
        <v/>
      </c>
      <c r="M80" s="368" t="n"/>
      <c r="N80" s="369">
        <f>IFERROR(__xludf.DUMMYFUNCTION("""COMPUTED_VALUE"""),45952.625)</f>
        <v/>
      </c>
      <c r="O80" s="369" t="n"/>
      <c r="P80" s="334" t="n"/>
    </row>
    <row r="81">
      <c r="A81" s="361">
        <f>IFERROR(__xludf.DUMMYFUNCTION("""COMPUTED_VALUE"""),"dan")</f>
        <v/>
      </c>
      <c r="B81" s="403">
        <f>IFERROR(__xludf.DUMMYFUNCTION("""COMPUTED_VALUE"""),"ダンダダン")</f>
        <v/>
      </c>
      <c r="C81" s="363">
        <f>IFERROR(__xludf.DUMMYFUNCTION("""COMPUTED_VALUE"""),"piece")</f>
        <v/>
      </c>
      <c r="D81" s="413">
        <f>IFERROR(__xludf.DUMMYFUNCTION("""COMPUTED_VALUE"""),"00202")</f>
        <v/>
      </c>
      <c r="E81" s="391">
        <f>IFERROR(__xludf.DUMMYFUNCTION("""COMPUTED_VALUE"""),"piece_dan_00202")</f>
        <v/>
      </c>
      <c r="F81" s="391">
        <f>IFERROR(__xludf.DUMMYFUNCTION("""COMPUTED_VALUE"""),"piece_dan_00202")</f>
        <v/>
      </c>
      <c r="G81" s="370">
        <f>IFERROR(__xludf.DUMMYFUNCTION("""COMPUTED_VALUE"""),"item_icon_piece_dan_00202")</f>
        <v/>
      </c>
      <c r="H81" s="377">
        <f>IFERROR(__xludf.DUMMYFUNCTION("""COMPUTED_VALUE"""),"アクさらの愛 アイラ のかけら")</f>
        <v/>
      </c>
      <c r="I81" s="377">
        <f>IFERROR(__xludf.DUMMYFUNCTION("""COMPUTED_VALUE"""),"UR")</f>
        <v/>
      </c>
      <c r="J81" s="377">
        <f>IFERROR(__xludf.DUMMYFUNCTION("""COMPUTED_VALUE"""),9.99999999E8)</f>
        <v/>
      </c>
      <c r="K81" s="371">
        <f>IFERROR(__xludf.DUMMYFUNCTION("""COMPUTED_VALUE"""),9.99999999E8)</f>
        <v/>
      </c>
      <c r="L81" s="368">
        <f>IFERROR(__xludf.DUMMYFUNCTION("""COMPUTED_VALUE"""),"アクさらの愛 アイラのグレードアップに使用するアイテム")</f>
        <v/>
      </c>
      <c r="M81" s="368" t="n"/>
      <c r="N81" s="369">
        <f>IFERROR(__xludf.DUMMYFUNCTION("""COMPUTED_VALUE"""),45952.625)</f>
        <v/>
      </c>
      <c r="O81" s="369" t="n"/>
      <c r="P81" s="334" t="n"/>
    </row>
    <row r="82">
      <c r="A82" s="361">
        <f>IFERROR(__xludf.DUMMYFUNCTION("""COMPUTED_VALUE"""),"dan")</f>
        <v/>
      </c>
      <c r="B82" s="403">
        <f>IFERROR(__xludf.DUMMYFUNCTION("""COMPUTED_VALUE"""),"ダンダダン")</f>
        <v/>
      </c>
      <c r="C82" s="363">
        <f>IFERROR(__xludf.DUMMYFUNCTION("""COMPUTED_VALUE"""),"piece")</f>
        <v/>
      </c>
      <c r="D82" s="413">
        <f>IFERROR(__xludf.DUMMYFUNCTION("""COMPUTED_VALUE"""),"00301")</f>
        <v/>
      </c>
      <c r="E82" s="391">
        <f>IFERROR(__xludf.DUMMYFUNCTION("""COMPUTED_VALUE"""),"piece_dan_00301")</f>
        <v/>
      </c>
      <c r="F82" s="391">
        <f>IFERROR(__xludf.DUMMYFUNCTION("""COMPUTED_VALUE"""),"piece_dan_00301")</f>
        <v/>
      </c>
      <c r="G82" s="370">
        <f>IFERROR(__xludf.DUMMYFUNCTION("""COMPUTED_VALUE"""),"item_icon_piece_dan_00301")</f>
        <v/>
      </c>
      <c r="H82" s="377">
        <f>IFERROR(__xludf.DUMMYFUNCTION("""COMPUTED_VALUE"""),"招き猫 ターボババアのかけら")</f>
        <v/>
      </c>
      <c r="I82" s="377">
        <f>IFERROR(__xludf.DUMMYFUNCTION("""COMPUTED_VALUE"""),"SR")</f>
        <v/>
      </c>
      <c r="J82" s="377">
        <f>IFERROR(__xludf.DUMMYFUNCTION("""COMPUTED_VALUE"""),9.99999999E8)</f>
        <v/>
      </c>
      <c r="K82" s="371">
        <f>IFERROR(__xludf.DUMMYFUNCTION("""COMPUTED_VALUE"""),9.99999999E8)</f>
        <v/>
      </c>
      <c r="L82" s="368">
        <f>IFERROR(__xludf.DUMMYFUNCTION("""COMPUTED_VALUE"""),"招き猫 ターボババアのグレードアップに使用するアイテム")</f>
        <v/>
      </c>
      <c r="M82" s="368" t="n"/>
      <c r="N82" s="369">
        <f>IFERROR(__xludf.DUMMYFUNCTION("""COMPUTED_VALUE"""),45952.625)</f>
        <v/>
      </c>
      <c r="O82" s="369" t="n"/>
      <c r="P82" s="334" t="n"/>
    </row>
    <row r="83">
      <c r="A83" s="361" t="n"/>
      <c r="B83" s="403" t="n"/>
      <c r="C83" s="363" t="n"/>
      <c r="D83" s="413" t="n"/>
      <c r="E83" s="391" t="n"/>
      <c r="F83" s="391" t="n"/>
      <c r="G83" s="370" t="n"/>
      <c r="H83" s="377" t="n"/>
      <c r="I83" s="377" t="n"/>
      <c r="J83" s="377" t="n"/>
      <c r="K83" s="368" t="n"/>
      <c r="L83" s="368" t="n"/>
      <c r="M83" s="368" t="n"/>
      <c r="N83" s="369" t="n"/>
      <c r="O83" s="369" t="n"/>
      <c r="P83" s="334" t="n"/>
    </row>
    <row r="84">
      <c r="A84" s="361">
        <f>IFERROR(__xludf.DUMMYFUNCTION("""COMPUTED_VALUE"""),"gom")</f>
        <v/>
      </c>
      <c r="B84" s="403">
        <f>IFERROR(__xludf.DUMMYFUNCTION("""COMPUTED_VALUE"""),"姫様“拷問”の時間です")</f>
        <v/>
      </c>
      <c r="C84" s="363">
        <f>IFERROR(__xludf.DUMMYFUNCTION("""COMPUTED_VALUE"""),"piece")</f>
        <v/>
      </c>
      <c r="D84" s="413">
        <f>IFERROR(__xludf.DUMMYFUNCTION("""COMPUTED_VALUE"""),"00001")</f>
        <v/>
      </c>
      <c r="E84" s="391">
        <f>IFERROR(__xludf.DUMMYFUNCTION("""COMPUTED_VALUE"""),"piece_gom_00001")</f>
        <v/>
      </c>
      <c r="F84" s="391">
        <f>IFERROR(__xludf.DUMMYFUNCTION("""COMPUTED_VALUE"""),"piece_gom_00001")</f>
        <v/>
      </c>
      <c r="G84" s="370">
        <f>IFERROR(__xludf.DUMMYFUNCTION("""COMPUTED_VALUE"""),"item_icon_piece_gom_00001")</f>
        <v/>
      </c>
      <c r="H84" s="377">
        <f>IFERROR(__xludf.DUMMYFUNCTION("""COMPUTED_VALUE"""),"囚われの王女 姫様のかけら")</f>
        <v/>
      </c>
      <c r="I84" s="377">
        <f>IFERROR(__xludf.DUMMYFUNCTION("""COMPUTED_VALUE"""),"UR")</f>
        <v/>
      </c>
      <c r="J84" s="377">
        <f>IFERROR(__xludf.DUMMYFUNCTION("""COMPUTED_VALUE"""),9.99999999E8)</f>
        <v/>
      </c>
      <c r="K84" s="371">
        <f>IFERROR(__xludf.DUMMYFUNCTION("""COMPUTED_VALUE"""),9.99999999E8)</f>
        <v/>
      </c>
      <c r="L84" s="368">
        <f>IFERROR(__xludf.DUMMYFUNCTION("""COMPUTED_VALUE"""),"囚われの王女 姫様のグレードアップに使用するアイテム")</f>
        <v/>
      </c>
      <c r="M84" s="368" t="n"/>
      <c r="N84" s="369">
        <f>IFERROR(__xludf.DUMMYFUNCTION("""COMPUTED_VALUE"""),"2024-01-01 00:00:00")</f>
        <v/>
      </c>
      <c r="O84" s="369" t="n"/>
      <c r="P84" s="334" t="n"/>
    </row>
    <row r="85">
      <c r="A85" s="361">
        <f>IFERROR(__xludf.DUMMYFUNCTION("""COMPUTED_VALUE"""),"gom")</f>
        <v/>
      </c>
      <c r="B85" s="403">
        <f>IFERROR(__xludf.DUMMYFUNCTION("""COMPUTED_VALUE"""),"姫様“拷問”の時間です")</f>
        <v/>
      </c>
      <c r="C85" s="363">
        <f>IFERROR(__xludf.DUMMYFUNCTION("""COMPUTED_VALUE"""),"piece")</f>
        <v/>
      </c>
      <c r="D85" s="413">
        <f>IFERROR(__xludf.DUMMYFUNCTION("""COMPUTED_VALUE"""),"00101")</f>
        <v/>
      </c>
      <c r="E85" s="391">
        <f>IFERROR(__xludf.DUMMYFUNCTION("""COMPUTED_VALUE"""),"piece_gom_00101")</f>
        <v/>
      </c>
      <c r="F85" s="391">
        <f>IFERROR(__xludf.DUMMYFUNCTION("""COMPUTED_VALUE"""),"piece_gom_00101")</f>
        <v/>
      </c>
      <c r="G85" s="370">
        <f>IFERROR(__xludf.DUMMYFUNCTION("""COMPUTED_VALUE"""),"item_icon_piece_gom_00101")</f>
        <v/>
      </c>
      <c r="H85" s="377">
        <f>IFERROR(__xludf.DUMMYFUNCTION("""COMPUTED_VALUE"""),"トーチャー・トルチュールのかけら")</f>
        <v/>
      </c>
      <c r="I85" s="377">
        <f>IFERROR(__xludf.DUMMYFUNCTION("""COMPUTED_VALUE"""),"SR")</f>
        <v/>
      </c>
      <c r="J85" s="377">
        <f>IFERROR(__xludf.DUMMYFUNCTION("""COMPUTED_VALUE"""),9.99999999E8)</f>
        <v/>
      </c>
      <c r="K85" s="371">
        <f>IFERROR(__xludf.DUMMYFUNCTION("""COMPUTED_VALUE"""),9.99999999E8)</f>
        <v/>
      </c>
      <c r="L85" s="368">
        <f>IFERROR(__xludf.DUMMYFUNCTION("""COMPUTED_VALUE"""),"トーチャー・トルチュールのグレードアップに使用するアイテム")</f>
        <v/>
      </c>
      <c r="M85" s="368" t="n"/>
      <c r="N85" s="369">
        <f>IFERROR(__xludf.DUMMYFUNCTION("""COMPUTED_VALUE"""),"2024-01-01 00:00:00")</f>
        <v/>
      </c>
      <c r="O85" s="369" t="n"/>
      <c r="P85" s="334" t="n"/>
    </row>
    <row r="86">
      <c r="A86" s="361">
        <f>IFERROR(__xludf.DUMMYFUNCTION("""COMPUTED_VALUE"""),"gom")</f>
        <v/>
      </c>
      <c r="B86" s="403">
        <f>IFERROR(__xludf.DUMMYFUNCTION("""COMPUTED_VALUE"""),"姫様“拷問”の時間です")</f>
        <v/>
      </c>
      <c r="C86" s="363">
        <f>IFERROR(__xludf.DUMMYFUNCTION("""COMPUTED_VALUE"""),"piece")</f>
        <v/>
      </c>
      <c r="D86" s="413">
        <f>IFERROR(__xludf.DUMMYFUNCTION("""COMPUTED_VALUE"""),"00201")</f>
        <v/>
      </c>
      <c r="E86" s="391">
        <f>IFERROR(__xludf.DUMMYFUNCTION("""COMPUTED_VALUE"""),"piece_gom_00201")</f>
        <v/>
      </c>
      <c r="F86" s="391">
        <f>IFERROR(__xludf.DUMMYFUNCTION("""COMPUTED_VALUE"""),"piece_gom_00201")</f>
        <v/>
      </c>
      <c r="G86" s="370">
        <f>IFERROR(__xludf.DUMMYFUNCTION("""COMPUTED_VALUE"""),"item_icon_piece_gom_00201")</f>
        <v/>
      </c>
      <c r="H86" s="377">
        <f>IFERROR(__xludf.DUMMYFUNCTION("""COMPUTED_VALUE"""),"クロルのかけら")</f>
        <v/>
      </c>
      <c r="I86" s="377">
        <f>IFERROR(__xludf.DUMMYFUNCTION("""COMPUTED_VALUE"""),"R")</f>
        <v/>
      </c>
      <c r="J86" s="377">
        <f>IFERROR(__xludf.DUMMYFUNCTION("""COMPUTED_VALUE"""),9.99999999E8)</f>
        <v/>
      </c>
      <c r="K86" s="371">
        <f>IFERROR(__xludf.DUMMYFUNCTION("""COMPUTED_VALUE"""),9.99999999E8)</f>
        <v/>
      </c>
      <c r="L86" s="368">
        <f>IFERROR(__xludf.DUMMYFUNCTION("""COMPUTED_VALUE"""),"クロルのグレードアップに使用するアイテム")</f>
        <v/>
      </c>
      <c r="M86" s="368" t="n"/>
      <c r="N86" s="369">
        <f>IFERROR(__xludf.DUMMYFUNCTION("""COMPUTED_VALUE"""),"2024-01-01 00:00:00")</f>
        <v/>
      </c>
      <c r="O86" s="369" t="n"/>
      <c r="P86" s="334" t="n"/>
    </row>
    <row r="87">
      <c r="A87" s="361" t="n"/>
      <c r="B87" s="403" t="n"/>
      <c r="C87" s="363" t="n"/>
      <c r="D87" s="413" t="n"/>
      <c r="E87" s="391" t="n"/>
      <c r="F87" s="391" t="n"/>
      <c r="G87" s="370" t="n"/>
      <c r="H87" s="377" t="n"/>
      <c r="I87" s="377" t="n"/>
      <c r="J87" s="377" t="n"/>
      <c r="K87" s="368" t="n"/>
      <c r="L87" s="368" t="n"/>
      <c r="M87" s="368" t="n"/>
      <c r="N87" s="369" t="n"/>
      <c r="O87" s="369" t="n"/>
      <c r="P87" s="334" t="n"/>
    </row>
    <row r="88">
      <c r="A88" s="361">
        <f>IFERROR(__xludf.DUMMYFUNCTION("""COMPUTED_VALUE"""),"chi")</f>
        <v/>
      </c>
      <c r="B88" s="403">
        <f>IFERROR(__xludf.DUMMYFUNCTION("""COMPUTED_VALUE"""),"チェンソーマン")</f>
        <v/>
      </c>
      <c r="C88" s="363">
        <f>IFERROR(__xludf.DUMMYFUNCTION("""COMPUTED_VALUE"""),"piece")</f>
        <v/>
      </c>
      <c r="D88" s="413">
        <f>IFERROR(__xludf.DUMMYFUNCTION("""COMPUTED_VALUE"""),"00001")</f>
        <v/>
      </c>
      <c r="E88" s="391">
        <f>IFERROR(__xludf.DUMMYFUNCTION("""COMPUTED_VALUE"""),"piece_chi_00001")</f>
        <v/>
      </c>
      <c r="F88" s="391">
        <f>IFERROR(__xludf.DUMMYFUNCTION("""COMPUTED_VALUE"""),"piece_chi_00001")</f>
        <v/>
      </c>
      <c r="G88" s="370">
        <f>IFERROR(__xludf.DUMMYFUNCTION("""COMPUTED_VALUE"""),"item_icon_piece_chi_00001")</f>
        <v/>
      </c>
      <c r="H88" s="377">
        <f>IFERROR(__xludf.DUMMYFUNCTION("""COMPUTED_VALUE"""),"デンジのかけら")</f>
        <v/>
      </c>
      <c r="I88" s="377">
        <f>IFERROR(__xludf.DUMMYFUNCTION("""COMPUTED_VALUE"""),"R")</f>
        <v/>
      </c>
      <c r="J88" s="377">
        <f>IFERROR(__xludf.DUMMYFUNCTION("""COMPUTED_VALUE"""),9.99999999E8)</f>
        <v/>
      </c>
      <c r="K88" s="371">
        <f>IFERROR(__xludf.DUMMYFUNCTION("""COMPUTED_VALUE"""),9.99999999E8)</f>
        <v/>
      </c>
      <c r="L88" s="368">
        <f>IFERROR(__xludf.DUMMYFUNCTION("""COMPUTED_VALUE"""),"デンジのグレードアップに使用するアイテム")</f>
        <v/>
      </c>
      <c r="M88" s="368" t="n"/>
      <c r="N88" s="369">
        <f>IFERROR(__xludf.DUMMYFUNCTION("""COMPUTED_VALUE"""),"2024-01-01 00:00:00")</f>
        <v/>
      </c>
      <c r="O88" s="369" t="n"/>
      <c r="P88" s="334" t="n"/>
    </row>
    <row r="89">
      <c r="A89" s="361">
        <f>IFERROR(__xludf.DUMMYFUNCTION("""COMPUTED_VALUE"""),"chi")</f>
        <v/>
      </c>
      <c r="B89" s="403">
        <f>IFERROR(__xludf.DUMMYFUNCTION("""COMPUTED_VALUE"""),"チェンソーマン")</f>
        <v/>
      </c>
      <c r="C89" s="363">
        <f>IFERROR(__xludf.DUMMYFUNCTION("""COMPUTED_VALUE"""),"piece")</f>
        <v/>
      </c>
      <c r="D89" s="413">
        <f>IFERROR(__xludf.DUMMYFUNCTION("""COMPUTED_VALUE"""),"00002")</f>
        <v/>
      </c>
      <c r="E89" s="391">
        <f>IFERROR(__xludf.DUMMYFUNCTION("""COMPUTED_VALUE"""),"piece_chi_00002")</f>
        <v/>
      </c>
      <c r="F89" s="391">
        <f>IFERROR(__xludf.DUMMYFUNCTION("""COMPUTED_VALUE"""),"piece_chi_00002")</f>
        <v/>
      </c>
      <c r="G89" s="370">
        <f>IFERROR(__xludf.DUMMYFUNCTION("""COMPUTED_VALUE"""),"item_icon_piece_chi_00002")</f>
        <v/>
      </c>
      <c r="H89" s="377">
        <f>IFERROR(__xludf.DUMMYFUNCTION("""COMPUTED_VALUE"""),"悪魔が恐れる悪魔 チェンソーマンのかけら")</f>
        <v/>
      </c>
      <c r="I89" s="377">
        <f>IFERROR(__xludf.DUMMYFUNCTION("""COMPUTED_VALUE"""),"UR")</f>
        <v/>
      </c>
      <c r="J89" s="377">
        <f>IFERROR(__xludf.DUMMYFUNCTION("""COMPUTED_VALUE"""),9.99999999E8)</f>
        <v/>
      </c>
      <c r="K89" s="371">
        <f>IFERROR(__xludf.DUMMYFUNCTION("""COMPUTED_VALUE"""),9.99999999E8)</f>
        <v/>
      </c>
      <c r="L89" s="368">
        <f>IFERROR(__xludf.DUMMYFUNCTION("""COMPUTED_VALUE"""),"悪魔が恐れる悪魔 チェンソーマンのグレードアップに使用するアイテム")</f>
        <v/>
      </c>
      <c r="M89" s="368" t="n"/>
      <c r="N89" s="369">
        <f>IFERROR(__xludf.DUMMYFUNCTION("""COMPUTED_VALUE"""),"2024-01-01 00:00:00")</f>
        <v/>
      </c>
      <c r="O89" s="369" t="n"/>
      <c r="P89" s="334" t="n"/>
    </row>
    <row r="90">
      <c r="A90" s="361">
        <f>IFERROR(__xludf.DUMMYFUNCTION("""COMPUTED_VALUE"""),"chi")</f>
        <v/>
      </c>
      <c r="B90" s="403">
        <f>IFERROR(__xludf.DUMMYFUNCTION("""COMPUTED_VALUE"""),"チェンソーマン")</f>
        <v/>
      </c>
      <c r="C90" s="363">
        <f>IFERROR(__xludf.DUMMYFUNCTION("""COMPUTED_VALUE"""),"piece")</f>
        <v/>
      </c>
      <c r="D90" s="413">
        <f>IFERROR(__xludf.DUMMYFUNCTION("""COMPUTED_VALUE"""),"00201")</f>
        <v/>
      </c>
      <c r="E90" s="391">
        <f>IFERROR(__xludf.DUMMYFUNCTION("""COMPUTED_VALUE"""),"piece_chi_00201")</f>
        <v/>
      </c>
      <c r="F90" s="391">
        <f>IFERROR(__xludf.DUMMYFUNCTION("""COMPUTED_VALUE"""),"piece_chi_00201")</f>
        <v/>
      </c>
      <c r="G90" s="370">
        <f>IFERROR(__xludf.DUMMYFUNCTION("""COMPUTED_VALUE"""),"item_icon_piece_chi_00201")</f>
        <v/>
      </c>
      <c r="H90" s="377">
        <f>IFERROR(__xludf.DUMMYFUNCTION("""COMPUTED_VALUE"""),"早川 アキのかけら")</f>
        <v/>
      </c>
      <c r="I90" s="377">
        <f>IFERROR(__xludf.DUMMYFUNCTION("""COMPUTED_VALUE"""),"SSR")</f>
        <v/>
      </c>
      <c r="J90" s="377">
        <f>IFERROR(__xludf.DUMMYFUNCTION("""COMPUTED_VALUE"""),9.99999999E8)</f>
        <v/>
      </c>
      <c r="K90" s="371">
        <f>IFERROR(__xludf.DUMMYFUNCTION("""COMPUTED_VALUE"""),9.99999999E8)</f>
        <v/>
      </c>
      <c r="L90" s="368">
        <f>IFERROR(__xludf.DUMMYFUNCTION("""COMPUTED_VALUE"""),"早川 アキのグレードアップに使用するアイテム")</f>
        <v/>
      </c>
      <c r="M90" s="368" t="n"/>
      <c r="N90" s="369">
        <f>IFERROR(__xludf.DUMMYFUNCTION("""COMPUTED_VALUE"""),"2024-01-01 00:00:00")</f>
        <v/>
      </c>
      <c r="O90" s="369" t="n"/>
      <c r="P90" s="334" t="n"/>
    </row>
    <row r="91">
      <c r="A91" s="361">
        <f>IFERROR(__xludf.DUMMYFUNCTION("""COMPUTED_VALUE"""),"chi")</f>
        <v/>
      </c>
      <c r="B91" s="403">
        <f>IFERROR(__xludf.DUMMYFUNCTION("""COMPUTED_VALUE"""),"チェンソーマン")</f>
        <v/>
      </c>
      <c r="C91" s="363">
        <f>IFERROR(__xludf.DUMMYFUNCTION("""COMPUTED_VALUE"""),"piece")</f>
        <v/>
      </c>
      <c r="D91" s="413">
        <f>IFERROR(__xludf.DUMMYFUNCTION("""COMPUTED_VALUE"""),"00301")</f>
        <v/>
      </c>
      <c r="E91" s="391">
        <f>IFERROR(__xludf.DUMMYFUNCTION("""COMPUTED_VALUE"""),"piece_chi_00301")</f>
        <v/>
      </c>
      <c r="F91" s="391">
        <f>IFERROR(__xludf.DUMMYFUNCTION("""COMPUTED_VALUE"""),"piece_chi_00301")</f>
        <v/>
      </c>
      <c r="G91" s="370">
        <f>IFERROR(__xludf.DUMMYFUNCTION("""COMPUTED_VALUE"""),"item_icon_piece_chi_00301")</f>
        <v/>
      </c>
      <c r="H91" s="377">
        <f>IFERROR(__xludf.DUMMYFUNCTION("""COMPUTED_VALUE"""),"パワーのかけら")</f>
        <v/>
      </c>
      <c r="I91" s="377">
        <f>IFERROR(__xludf.DUMMYFUNCTION("""COMPUTED_VALUE"""),"SSR")</f>
        <v/>
      </c>
      <c r="J91" s="377">
        <f>IFERROR(__xludf.DUMMYFUNCTION("""COMPUTED_VALUE"""),9.99999999E8)</f>
        <v/>
      </c>
      <c r="K91" s="371">
        <f>IFERROR(__xludf.DUMMYFUNCTION("""COMPUTED_VALUE"""),9.99999999E8)</f>
        <v/>
      </c>
      <c r="L91" s="368">
        <f>IFERROR(__xludf.DUMMYFUNCTION("""COMPUTED_VALUE"""),"パワーのグレードアップに使用するアイテム")</f>
        <v/>
      </c>
      <c r="M91" s="368" t="n"/>
      <c r="N91" s="369">
        <f>IFERROR(__xludf.DUMMYFUNCTION("""COMPUTED_VALUE"""),"2024-01-01 00:00:00")</f>
        <v/>
      </c>
      <c r="O91" s="369" t="n"/>
      <c r="P91" s="334" t="n"/>
    </row>
    <row r="92">
      <c r="A92" s="361" t="n"/>
      <c r="B92" s="403" t="n"/>
      <c r="C92" s="363" t="n"/>
      <c r="D92" s="413" t="n"/>
      <c r="E92" s="391" t="n"/>
      <c r="F92" s="391" t="n"/>
      <c r="G92" s="370" t="n"/>
      <c r="H92" s="377" t="n"/>
      <c r="I92" s="377" t="n"/>
      <c r="J92" s="377" t="n"/>
      <c r="K92" s="368" t="n"/>
      <c r="L92" s="368" t="n"/>
      <c r="M92" s="368" t="n"/>
      <c r="N92" s="369" t="n"/>
      <c r="O92" s="369" t="n"/>
      <c r="P92" s="334" t="n"/>
    </row>
    <row r="93">
      <c r="A93" s="361">
        <f>IFERROR(__xludf.DUMMYFUNCTION("""COMPUTED_VALUE"""),"bat")</f>
        <v/>
      </c>
      <c r="B93" s="403">
        <f>IFERROR(__xludf.DUMMYFUNCTION("""COMPUTED_VALUE"""),"忘却バッテリー")</f>
        <v/>
      </c>
      <c r="C93" s="363">
        <f>IFERROR(__xludf.DUMMYFUNCTION("""COMPUTED_VALUE"""),"piece")</f>
        <v/>
      </c>
      <c r="D93" s="413">
        <f>IFERROR(__xludf.DUMMYFUNCTION("""COMPUTED_VALUE"""),"00001")</f>
        <v/>
      </c>
      <c r="E93" s="391">
        <f>IFERROR(__xludf.DUMMYFUNCTION("""COMPUTED_VALUE"""),"piece_bat_00001")</f>
        <v/>
      </c>
      <c r="F93" s="391">
        <f>IFERROR(__xludf.DUMMYFUNCTION("""COMPUTED_VALUE"""),"piece_bat_00001")</f>
        <v/>
      </c>
      <c r="G93" s="370">
        <f>IFERROR(__xludf.DUMMYFUNCTION("""COMPUTED_VALUE"""),"item_icon_piece_bat_00001")</f>
        <v/>
      </c>
      <c r="H93" s="377">
        <f>IFERROR(__xludf.DUMMYFUNCTION("""COMPUTED_VALUE"""),"清峰 葉流火のかけら")</f>
        <v/>
      </c>
      <c r="I93" s="377">
        <f>IFERROR(__xludf.DUMMYFUNCTION("""COMPUTED_VALUE"""),"SR")</f>
        <v/>
      </c>
      <c r="J93" s="377">
        <f>IFERROR(__xludf.DUMMYFUNCTION("""COMPUTED_VALUE"""),9.99999999E8)</f>
        <v/>
      </c>
      <c r="K93" s="371">
        <f>IFERROR(__xludf.DUMMYFUNCTION("""COMPUTED_VALUE"""),9.99999999E8)</f>
        <v/>
      </c>
      <c r="L93" s="368">
        <f>IFERROR(__xludf.DUMMYFUNCTION("""COMPUTED_VALUE"""),"清峰 葉流火のグレードアップに使用するアイテム")</f>
        <v/>
      </c>
      <c r="M93" s="368" t="n"/>
      <c r="N93" s="369">
        <f>IFERROR(__xludf.DUMMYFUNCTION("""COMPUTED_VALUE"""),"2024-01-01 00:00:00")</f>
        <v/>
      </c>
      <c r="O93" s="369" t="n"/>
      <c r="P93" s="334" t="n"/>
    </row>
    <row r="94">
      <c r="A94" s="361">
        <f>IFERROR(__xludf.DUMMYFUNCTION("""COMPUTED_VALUE"""),"bat")</f>
        <v/>
      </c>
      <c r="B94" s="403">
        <f>IFERROR(__xludf.DUMMYFUNCTION("""COMPUTED_VALUE"""),"忘却バッテリー")</f>
        <v/>
      </c>
      <c r="C94" s="363">
        <f>IFERROR(__xludf.DUMMYFUNCTION("""COMPUTED_VALUE"""),"piece")</f>
        <v/>
      </c>
      <c r="D94" s="413">
        <f>IFERROR(__xludf.DUMMYFUNCTION("""COMPUTED_VALUE"""),"00101")</f>
        <v/>
      </c>
      <c r="E94" s="391">
        <f>IFERROR(__xludf.DUMMYFUNCTION("""COMPUTED_VALUE"""),"piece_bat_00101")</f>
        <v/>
      </c>
      <c r="F94" s="391">
        <f>IFERROR(__xludf.DUMMYFUNCTION("""COMPUTED_VALUE"""),"piece_bat_00101")</f>
        <v/>
      </c>
      <c r="G94" s="370">
        <f>IFERROR(__xludf.DUMMYFUNCTION("""COMPUTED_VALUE"""),"item_icon_piece_bat_00101")</f>
        <v/>
      </c>
      <c r="H94" s="377">
        <f>IFERROR(__xludf.DUMMYFUNCTION("""COMPUTED_VALUE"""),"要 圭のかけら")</f>
        <v/>
      </c>
      <c r="I94" s="377">
        <f>IFERROR(__xludf.DUMMYFUNCTION("""COMPUTED_VALUE"""),"SR")</f>
        <v/>
      </c>
      <c r="J94" s="377">
        <f>IFERROR(__xludf.DUMMYFUNCTION("""COMPUTED_VALUE"""),9.99999999E8)</f>
        <v/>
      </c>
      <c r="K94" s="371">
        <f>IFERROR(__xludf.DUMMYFUNCTION("""COMPUTED_VALUE"""),9.99999999E8)</f>
        <v/>
      </c>
      <c r="L94" s="368">
        <f>IFERROR(__xludf.DUMMYFUNCTION("""COMPUTED_VALUE"""),"要 圭のグレードアップに使用するアイテム")</f>
        <v/>
      </c>
      <c r="M94" s="368" t="n"/>
      <c r="N94" s="369">
        <f>IFERROR(__xludf.DUMMYFUNCTION("""COMPUTED_VALUE"""),"2024-01-01 00:00:00")</f>
        <v/>
      </c>
      <c r="O94" s="369" t="n"/>
      <c r="P94" s="334" t="n"/>
    </row>
    <row r="95">
      <c r="A95" s="361" t="n"/>
      <c r="B95" s="403" t="n"/>
      <c r="C95" s="363" t="n"/>
      <c r="D95" s="413" t="n"/>
      <c r="E95" s="391" t="n"/>
      <c r="F95" s="391" t="n"/>
      <c r="G95" s="370" t="n"/>
      <c r="H95" s="371" t="n"/>
      <c r="I95" s="377" t="n"/>
      <c r="J95" s="377" t="n"/>
      <c r="K95" s="368" t="n"/>
      <c r="L95" s="368" t="n"/>
      <c r="M95" s="368" t="n"/>
      <c r="N95" s="369" t="n"/>
      <c r="O95" s="369" t="n"/>
      <c r="P95" s="334" t="n"/>
    </row>
    <row r="96">
      <c r="A96" s="372">
        <f>IFERROR(__xludf.DUMMYFUNCTION("""COMPUTED_VALUE"""),"kai")</f>
        <v/>
      </c>
      <c r="B96" s="338">
        <f>IFERROR(__xludf.DUMMYFUNCTION("""COMPUTED_VALUE"""),"怪獣８号")</f>
        <v/>
      </c>
      <c r="C96" s="338">
        <f>IFERROR(__xludf.DUMMYFUNCTION("""COMPUTED_VALUE"""),"piece")</f>
        <v/>
      </c>
      <c r="D96" s="373">
        <f>IFERROR(__xludf.DUMMYFUNCTION("""COMPUTED_VALUE"""),"00001")</f>
        <v/>
      </c>
      <c r="E96" s="338">
        <f>IFERROR(__xludf.DUMMYFUNCTION("""COMPUTED_VALUE"""),"piece_kai_00001")</f>
        <v/>
      </c>
      <c r="F96" s="373">
        <f>IFERROR(__xludf.DUMMYFUNCTION("""COMPUTED_VALUE"""),"piece_kai_00001")</f>
        <v/>
      </c>
      <c r="G96" s="338">
        <f>IFERROR(__xludf.DUMMYFUNCTION("""COMPUTED_VALUE"""),"item_icon_piece_kai_00001")</f>
        <v/>
      </c>
      <c r="H96" s="338">
        <f>IFERROR(__xludf.DUMMYFUNCTION("""COMPUTED_VALUE"""),"日比野 カフカのかけら")</f>
        <v/>
      </c>
      <c r="I96" s="338">
        <f>IFERROR(__xludf.DUMMYFUNCTION("""COMPUTED_VALUE"""),"R")</f>
        <v/>
      </c>
      <c r="J96" s="374">
        <f>IFERROR(__xludf.DUMMYFUNCTION("""COMPUTED_VALUE"""),9.99999999E8)</f>
        <v/>
      </c>
      <c r="K96" s="374">
        <f>IFERROR(__xludf.DUMMYFUNCTION("""COMPUTED_VALUE"""),9.99999999E8)</f>
        <v/>
      </c>
      <c r="L96" s="338">
        <f>IFERROR(__xludf.DUMMYFUNCTION("""COMPUTED_VALUE"""),"日比野 カフカのグレードアップに使用するアイテム")</f>
        <v/>
      </c>
      <c r="M96" s="338" t="n"/>
      <c r="N96" s="373">
        <f>IFERROR(__xludf.DUMMYFUNCTION("""COMPUTED_VALUE"""),"2024-01-01 00:00:00")</f>
        <v/>
      </c>
      <c r="O96" s="368" t="n"/>
      <c r="P96" s="334" t="n"/>
    </row>
    <row r="97">
      <c r="A97" s="399">
        <f>IFERROR(__xludf.DUMMYFUNCTION("""COMPUTED_VALUE"""),"kai")</f>
        <v/>
      </c>
      <c r="B97" s="403">
        <f>IFERROR(__xludf.DUMMYFUNCTION("""COMPUTED_VALUE"""),"怪獣８号")</f>
        <v/>
      </c>
      <c r="C97" s="403">
        <f>IFERROR(__xludf.DUMMYFUNCTION("""COMPUTED_VALUE"""),"piece")</f>
        <v/>
      </c>
      <c r="D97" s="391">
        <f>IFERROR(__xludf.DUMMYFUNCTION("""COMPUTED_VALUE"""),"00002")</f>
        <v/>
      </c>
      <c r="E97" s="391">
        <f>IFERROR(__xludf.DUMMYFUNCTION("""COMPUTED_VALUE"""),"piece_kai_00002")</f>
        <v/>
      </c>
      <c r="F97" s="391">
        <f>IFERROR(__xludf.DUMMYFUNCTION("""COMPUTED_VALUE"""),"piece_kai_00002")</f>
        <v/>
      </c>
      <c r="G97" s="403">
        <f>IFERROR(__xludf.DUMMYFUNCTION("""COMPUTED_VALUE"""),"item_icon_piece_kai_00002")</f>
        <v/>
      </c>
      <c r="H97" s="400">
        <f>IFERROR(__xludf.DUMMYFUNCTION("""COMPUTED_VALUE"""),"隠された英雄の姿 怪獣８号のかけら")</f>
        <v/>
      </c>
      <c r="I97" s="400">
        <f>IFERROR(__xludf.DUMMYFUNCTION("""COMPUTED_VALUE"""),"UR")</f>
        <v/>
      </c>
      <c r="J97" s="400">
        <f>IFERROR(__xludf.DUMMYFUNCTION("""COMPUTED_VALUE"""),9.99999999E8)</f>
        <v/>
      </c>
      <c r="K97" s="401">
        <f>IFERROR(__xludf.DUMMYFUNCTION("""COMPUTED_VALUE"""),9.99999999E8)</f>
        <v/>
      </c>
      <c r="L97" s="383">
        <f>IFERROR(__xludf.DUMMYFUNCTION("""COMPUTED_VALUE"""),"隠された英雄の姿 怪獣８号のグレードアップに使用するアイテム")</f>
        <v/>
      </c>
      <c r="M97" s="383" t="n"/>
      <c r="N97" s="402">
        <f>IFERROR(__xludf.DUMMYFUNCTION("""COMPUTED_VALUE"""),"2024-01-01 00:00:00")</f>
        <v/>
      </c>
      <c r="O97" s="402" t="n"/>
      <c r="P97" s="334" t="n"/>
    </row>
    <row r="98">
      <c r="A98" s="399">
        <f>IFERROR(__xludf.DUMMYFUNCTION("""COMPUTED_VALUE"""),"kai")</f>
        <v/>
      </c>
      <c r="B98" s="403">
        <f>IFERROR(__xludf.DUMMYFUNCTION("""COMPUTED_VALUE"""),"怪獣８号")</f>
        <v/>
      </c>
      <c r="C98" s="403">
        <f>IFERROR(__xludf.DUMMYFUNCTION("""COMPUTED_VALUE"""),"piece")</f>
        <v/>
      </c>
      <c r="D98" s="391">
        <f>IFERROR(__xludf.DUMMYFUNCTION("""COMPUTED_VALUE"""),"00101")</f>
        <v/>
      </c>
      <c r="E98" s="391">
        <f>IFERROR(__xludf.DUMMYFUNCTION("""COMPUTED_VALUE"""),"piece_kai_00101")</f>
        <v/>
      </c>
      <c r="F98" s="391">
        <f>IFERROR(__xludf.DUMMYFUNCTION("""COMPUTED_VALUE"""),"piece_kai_00101")</f>
        <v/>
      </c>
      <c r="G98" s="403">
        <f>IFERROR(__xludf.DUMMYFUNCTION("""COMPUTED_VALUE"""),"item_icon_piece_kai_00101")</f>
        <v/>
      </c>
      <c r="H98" s="400">
        <f>IFERROR(__xludf.DUMMYFUNCTION("""COMPUTED_VALUE"""),"市川 レノのかけら")</f>
        <v/>
      </c>
      <c r="I98" s="400">
        <f>IFERROR(__xludf.DUMMYFUNCTION("""COMPUTED_VALUE"""),"SR")</f>
        <v/>
      </c>
      <c r="J98" s="400">
        <f>IFERROR(__xludf.DUMMYFUNCTION("""COMPUTED_VALUE"""),9.99999999E8)</f>
        <v/>
      </c>
      <c r="K98" s="404">
        <f>IFERROR(__xludf.DUMMYFUNCTION("""COMPUTED_VALUE"""),9.99999999E8)</f>
        <v/>
      </c>
      <c r="L98" s="383">
        <f>IFERROR(__xludf.DUMMYFUNCTION("""COMPUTED_VALUE"""),"市川 レノのグレードアップに使用するアイテム")</f>
        <v/>
      </c>
      <c r="M98" s="383" t="n"/>
      <c r="N98" s="402">
        <f>IFERROR(__xludf.DUMMYFUNCTION("""COMPUTED_VALUE"""),"2024-01-01 00:00:00")</f>
        <v/>
      </c>
      <c r="O98" s="402" t="n"/>
      <c r="P98" s="334" t="n"/>
    </row>
    <row r="99">
      <c r="A99" s="381">
        <f>IFERROR(__xludf.DUMMYFUNCTION("""COMPUTED_VALUE"""),"kai")</f>
        <v/>
      </c>
      <c r="B99" s="368">
        <f>IFERROR(__xludf.DUMMYFUNCTION("""COMPUTED_VALUE"""),"怪獣８号")</f>
        <v/>
      </c>
      <c r="C99" s="368">
        <f>IFERROR(__xludf.DUMMYFUNCTION("""COMPUTED_VALUE"""),"piece")</f>
        <v/>
      </c>
      <c r="D99" s="382">
        <f>IFERROR(__xludf.DUMMYFUNCTION("""COMPUTED_VALUE"""),"00201")</f>
        <v/>
      </c>
      <c r="E99" s="382">
        <f>IFERROR(__xludf.DUMMYFUNCTION("""COMPUTED_VALUE"""),"piece_kai_00201")</f>
        <v/>
      </c>
      <c r="F99" s="382">
        <f>IFERROR(__xludf.DUMMYFUNCTION("""COMPUTED_VALUE"""),"piece_kai_00201")</f>
        <v/>
      </c>
      <c r="G99" s="368">
        <f>IFERROR(__xludf.DUMMYFUNCTION("""COMPUTED_VALUE"""),"item_icon_piece_kai_00201")</f>
        <v/>
      </c>
      <c r="H99" s="371">
        <f>IFERROR(__xludf.DUMMYFUNCTION("""COMPUTED_VALUE"""),"第三部隊隊長 亜白 ミナのかけら")</f>
        <v/>
      </c>
      <c r="I99" s="371">
        <f>IFERROR(__xludf.DUMMYFUNCTION("""COMPUTED_VALUE"""),"UR")</f>
        <v/>
      </c>
      <c r="J99" s="371">
        <f>IFERROR(__xludf.DUMMYFUNCTION("""COMPUTED_VALUE"""),9.99999999E8)</f>
        <v/>
      </c>
      <c r="K99" s="371">
        <f>IFERROR(__xludf.DUMMYFUNCTION("""COMPUTED_VALUE"""),9.99999999E8)</f>
        <v/>
      </c>
      <c r="L99" s="368">
        <f>IFERROR(__xludf.DUMMYFUNCTION("""COMPUTED_VALUE"""),"第三部隊隊長 亜白 ミナのグレードアップに使用するアイテム")</f>
        <v/>
      </c>
      <c r="M99" s="368" t="n"/>
      <c r="N99" s="369">
        <f>IFERROR(__xludf.DUMMYFUNCTION("""COMPUTED_VALUE"""),"2024-01-01 00:00:00")</f>
        <v/>
      </c>
      <c r="O99" s="368" t="n"/>
      <c r="P99" s="334" t="n"/>
    </row>
    <row r="100">
      <c r="A100" s="381">
        <f>IFERROR(__xludf.DUMMYFUNCTION("""COMPUTED_VALUE"""),"kai")</f>
        <v/>
      </c>
      <c r="B100" s="368">
        <f>IFERROR(__xludf.DUMMYFUNCTION("""COMPUTED_VALUE"""),"怪獣８号")</f>
        <v/>
      </c>
      <c r="C100" s="368">
        <f>IFERROR(__xludf.DUMMYFUNCTION("""COMPUTED_VALUE"""),"piece")</f>
        <v/>
      </c>
      <c r="D100" s="382">
        <f>IFERROR(__xludf.DUMMYFUNCTION("""COMPUTED_VALUE"""),"00301")</f>
        <v/>
      </c>
      <c r="E100" s="382">
        <f>IFERROR(__xludf.DUMMYFUNCTION("""COMPUTED_VALUE"""),"piece_kai_00301")</f>
        <v/>
      </c>
      <c r="F100" s="382">
        <f>IFERROR(__xludf.DUMMYFUNCTION("""COMPUTED_VALUE"""),"piece_kai_00301")</f>
        <v/>
      </c>
      <c r="G100" s="368">
        <f>IFERROR(__xludf.DUMMYFUNCTION("""COMPUTED_VALUE"""),"item_icon_piece_kai_00301")</f>
        <v/>
      </c>
      <c r="H100" s="371">
        <f>IFERROR(__xludf.DUMMYFUNCTION("""COMPUTED_VALUE"""),"四ノ宮 キコルのかけら")</f>
        <v/>
      </c>
      <c r="I100" s="371">
        <f>IFERROR(__xludf.DUMMYFUNCTION("""COMPUTED_VALUE"""),"SSR")</f>
        <v/>
      </c>
      <c r="J100" s="371">
        <f>IFERROR(__xludf.DUMMYFUNCTION("""COMPUTED_VALUE"""),9.99999999E8)</f>
        <v/>
      </c>
      <c r="K100" s="371">
        <f>IFERROR(__xludf.DUMMYFUNCTION("""COMPUTED_VALUE"""),9.99999999E8)</f>
        <v/>
      </c>
      <c r="L100" s="368">
        <f>IFERROR(__xludf.DUMMYFUNCTION("""COMPUTED_VALUE"""),"四ノ宮 キコルのグレードアップに使用するアイテム")</f>
        <v/>
      </c>
      <c r="M100" s="368" t="n"/>
      <c r="N100" s="369">
        <f>IFERROR(__xludf.DUMMYFUNCTION("""COMPUTED_VALUE"""),"2024-01-01 00:00:00")</f>
        <v/>
      </c>
      <c r="O100" s="368" t="n"/>
      <c r="P100" s="334" t="n"/>
    </row>
    <row r="101">
      <c r="A101" s="381">
        <f>IFERROR(__xludf.DUMMYFUNCTION("""COMPUTED_VALUE"""),"kai")</f>
        <v/>
      </c>
      <c r="B101" s="368">
        <f>IFERROR(__xludf.DUMMYFUNCTION("""COMPUTED_VALUE"""),"怪獣８号")</f>
        <v/>
      </c>
      <c r="C101" s="368">
        <f>IFERROR(__xludf.DUMMYFUNCTION("""COMPUTED_VALUE"""),"piece")</f>
        <v/>
      </c>
      <c r="D101" s="382">
        <f>IFERROR(__xludf.DUMMYFUNCTION("""COMPUTED_VALUE"""),"00401")</f>
        <v/>
      </c>
      <c r="E101" s="382">
        <f>IFERROR(__xludf.DUMMYFUNCTION("""COMPUTED_VALUE"""),"piece_kai_00401")</f>
        <v/>
      </c>
      <c r="F101" s="382">
        <f>IFERROR(__xludf.DUMMYFUNCTION("""COMPUTED_VALUE"""),"piece_kai_00401")</f>
        <v/>
      </c>
      <c r="G101" s="368">
        <f>IFERROR(__xludf.DUMMYFUNCTION("""COMPUTED_VALUE"""),"item_icon_piece_kai_00401")</f>
        <v/>
      </c>
      <c r="H101" s="371">
        <f>IFERROR(__xludf.DUMMYFUNCTION("""COMPUTED_VALUE"""),"保科 宗四郎のかけら")</f>
        <v/>
      </c>
      <c r="I101" s="371">
        <f>IFERROR(__xludf.DUMMYFUNCTION("""COMPUTED_VALUE"""),"SSR")</f>
        <v/>
      </c>
      <c r="J101" s="371">
        <f>IFERROR(__xludf.DUMMYFUNCTION("""COMPUTED_VALUE"""),9.99999999E8)</f>
        <v/>
      </c>
      <c r="K101" s="371">
        <f>IFERROR(__xludf.DUMMYFUNCTION("""COMPUTED_VALUE"""),9.99999999E8)</f>
        <v/>
      </c>
      <c r="L101" s="368">
        <f>IFERROR(__xludf.DUMMYFUNCTION("""COMPUTED_VALUE"""),"保科 宗四郎のグレードアップに使用するアイテム")</f>
        <v/>
      </c>
      <c r="M101" s="368" t="n"/>
      <c r="N101" s="369">
        <f>IFERROR(__xludf.DUMMYFUNCTION("""COMPUTED_VALUE"""),"2024-01-01 00:00:00")</f>
        <v/>
      </c>
      <c r="O101" s="368" t="n"/>
      <c r="P101" s="334" t="n"/>
    </row>
    <row r="102">
      <c r="A102" s="381">
        <f>IFERROR(__xludf.DUMMYFUNCTION("""COMPUTED_VALUE"""),"kai")</f>
        <v/>
      </c>
      <c r="B102" s="368">
        <f>IFERROR(__xludf.DUMMYFUNCTION("""COMPUTED_VALUE"""),"怪獣８号")</f>
        <v/>
      </c>
      <c r="C102" s="368">
        <f>IFERROR(__xludf.DUMMYFUNCTION("""COMPUTED_VALUE"""),"piece")</f>
        <v/>
      </c>
      <c r="D102" s="382">
        <f>IFERROR(__xludf.DUMMYFUNCTION("""COMPUTED_VALUE"""),"00501")</f>
        <v/>
      </c>
      <c r="E102" s="368">
        <f>IFERROR(__xludf.DUMMYFUNCTION("""COMPUTED_VALUE"""),"piece_kai_00501")</f>
        <v/>
      </c>
      <c r="F102" s="382">
        <f>IFERROR(__xludf.DUMMYFUNCTION("""COMPUTED_VALUE"""),"piece_kai_00501")</f>
        <v/>
      </c>
      <c r="G102" s="368">
        <f>IFERROR(__xludf.DUMMYFUNCTION("""COMPUTED_VALUE"""),"item_icon_piece_kai_00501")</f>
        <v/>
      </c>
      <c r="H102" s="371">
        <f>IFERROR(__xludf.DUMMYFUNCTION("""COMPUTED_VALUE"""),"四ノ宮 功のかけら")</f>
        <v/>
      </c>
      <c r="I102" s="371">
        <f>IFERROR(__xludf.DUMMYFUNCTION("""COMPUTED_VALUE"""),"SR")</f>
        <v/>
      </c>
      <c r="J102" s="371">
        <f>IFERROR(__xludf.DUMMYFUNCTION("""COMPUTED_VALUE"""),9.99999999E8)</f>
        <v/>
      </c>
      <c r="K102" s="371">
        <f>IFERROR(__xludf.DUMMYFUNCTION("""COMPUTED_VALUE"""),9.99999999E8)</f>
        <v/>
      </c>
      <c r="L102" s="368">
        <f>IFERROR(__xludf.DUMMYFUNCTION("""COMPUTED_VALUE"""),"四ノ宮 功のグレードアップに使用するアイテム")</f>
        <v/>
      </c>
      <c r="M102" s="368" t="n"/>
      <c r="N102" s="369">
        <f>IFERROR(__xludf.DUMMYFUNCTION("""COMPUTED_VALUE"""),"2024-01-01 00:00:00")</f>
        <v/>
      </c>
      <c r="O102" s="368" t="n"/>
      <c r="P102" s="334" t="n"/>
    </row>
    <row r="103">
      <c r="A103" s="381">
        <f>IFERROR(__xludf.DUMMYFUNCTION("""COMPUTED_VALUE"""),"kai")</f>
        <v/>
      </c>
      <c r="B103" s="368">
        <f>IFERROR(__xludf.DUMMYFUNCTION("""COMPUTED_VALUE"""),"怪獣８号")</f>
        <v/>
      </c>
      <c r="C103" s="405">
        <f>IFERROR(__xludf.DUMMYFUNCTION("""COMPUTED_VALUE"""),"piece")</f>
        <v/>
      </c>
      <c r="D103" s="382">
        <f>IFERROR(__xludf.DUMMYFUNCTION("""COMPUTED_VALUE"""),"00601")</f>
        <v/>
      </c>
      <c r="E103" s="368">
        <f>IFERROR(__xludf.DUMMYFUNCTION("""COMPUTED_VALUE"""),"piece_kai_00601")</f>
        <v/>
      </c>
      <c r="F103" s="382">
        <f>IFERROR(__xludf.DUMMYFUNCTION("""COMPUTED_VALUE"""),"piece_kai_00601")</f>
        <v/>
      </c>
      <c r="G103" s="368">
        <f>IFERROR(__xludf.DUMMYFUNCTION("""COMPUTED_VALUE"""),"item_icon_piece_kai_00601")</f>
        <v/>
      </c>
      <c r="H103" s="371">
        <f>IFERROR(__xludf.DUMMYFUNCTION("""COMPUTED_VALUE"""),"古橋 伊春のかけら")</f>
        <v/>
      </c>
      <c r="I103" s="371">
        <f>IFERROR(__xludf.DUMMYFUNCTION("""COMPUTED_VALUE"""),"SR")</f>
        <v/>
      </c>
      <c r="J103" s="371">
        <f>IFERROR(__xludf.DUMMYFUNCTION("""COMPUTED_VALUE"""),9.99999999E8)</f>
        <v/>
      </c>
      <c r="K103" s="371">
        <f>IFERROR(__xludf.DUMMYFUNCTION("""COMPUTED_VALUE"""),9.99999999E8)</f>
        <v/>
      </c>
      <c r="L103" s="368">
        <f>IFERROR(__xludf.DUMMYFUNCTION("""COMPUTED_VALUE"""),"古橋 伊春のグレードアップに使用するアイテム")</f>
        <v/>
      </c>
      <c r="M103" s="368" t="n"/>
      <c r="N103" s="369">
        <f>IFERROR(__xludf.DUMMYFUNCTION("""COMPUTED_VALUE"""),"2024-01-01 00:00:00")</f>
        <v/>
      </c>
      <c r="O103" s="368" t="n"/>
      <c r="P103" s="334" t="n"/>
    </row>
    <row r="104">
      <c r="A104" s="381" t="n"/>
      <c r="B104" s="368" t="n"/>
      <c r="C104" s="405" t="n"/>
      <c r="D104" s="368" t="n"/>
      <c r="E104" s="368" t="n"/>
      <c r="F104" s="368" t="n"/>
      <c r="G104" s="368" t="n"/>
      <c r="H104" s="371" t="n"/>
      <c r="I104" s="371" t="n"/>
      <c r="J104" s="368" t="n"/>
      <c r="K104" s="368" t="n"/>
      <c r="L104" s="368" t="n"/>
      <c r="M104" s="368" t="n"/>
      <c r="N104" s="369" t="n"/>
      <c r="O104" s="368" t="n"/>
      <c r="P104" s="334" t="n"/>
    </row>
    <row r="105">
      <c r="A105" s="381">
        <f>IFERROR(__xludf.DUMMYFUNCTION("""COMPUTED_VALUE"""),"yuw")</f>
        <v/>
      </c>
      <c r="B105" s="368">
        <f>IFERROR(__xludf.DUMMYFUNCTION("""COMPUTED_VALUE"""),"2.5次元の誘惑")</f>
        <v/>
      </c>
      <c r="C105" s="405">
        <f>IFERROR(__xludf.DUMMYFUNCTION("""COMPUTED_VALUE"""),"piece")</f>
        <v/>
      </c>
      <c r="D105" s="382">
        <f>IFERROR(__xludf.DUMMYFUNCTION("""COMPUTED_VALUE"""),"00001")</f>
        <v/>
      </c>
      <c r="E105" s="368">
        <f>IFERROR(__xludf.DUMMYFUNCTION("""COMPUTED_VALUE"""),"piece_yuw_00001")</f>
        <v/>
      </c>
      <c r="F105" s="382">
        <f>IFERROR(__xludf.DUMMYFUNCTION("""COMPUTED_VALUE"""),"piece_yuw_00001")</f>
        <v/>
      </c>
      <c r="G105" s="368">
        <f>IFERROR(__xludf.DUMMYFUNCTION("""COMPUTED_VALUE"""),"item_icon_piece_yuw_00001")</f>
        <v/>
      </c>
      <c r="H105" s="371">
        <f>IFERROR(__xludf.DUMMYFUNCTION("""COMPUTED_VALUE"""),"リリエルに捧ぐ愛 天乃 リリサのかけら")</f>
        <v/>
      </c>
      <c r="I105" s="371">
        <f>IFERROR(__xludf.DUMMYFUNCTION("""COMPUTED_VALUE"""),"UR")</f>
        <v/>
      </c>
      <c r="J105" s="371">
        <f>IFERROR(__xludf.DUMMYFUNCTION("""COMPUTED_VALUE"""),9.99999999E8)</f>
        <v/>
      </c>
      <c r="K105" s="371">
        <f>IFERROR(__xludf.DUMMYFUNCTION("""COMPUTED_VALUE"""),9.99999999E8)</f>
        <v/>
      </c>
      <c r="L105" s="368">
        <f>IFERROR(__xludf.DUMMYFUNCTION("""COMPUTED_VALUE"""),"リリエルに捧ぐ愛 天乃 リリサのグレードアップに使用するアイテム")</f>
        <v/>
      </c>
      <c r="M105" s="368" t="n"/>
      <c r="N105" s="369">
        <f>IFERROR(__xludf.DUMMYFUNCTION("""COMPUTED_VALUE"""),"2024-01-01 00:00:00")</f>
        <v/>
      </c>
      <c r="O105" s="368" t="n"/>
      <c r="P105" s="334" t="n"/>
    </row>
    <row r="106">
      <c r="A106" s="381">
        <f>IFERROR(__xludf.DUMMYFUNCTION("""COMPUTED_VALUE"""),"yuw")</f>
        <v/>
      </c>
      <c r="B106" s="368">
        <f>IFERROR(__xludf.DUMMYFUNCTION("""COMPUTED_VALUE"""),"2.5次元の誘惑")</f>
        <v/>
      </c>
      <c r="C106" s="405">
        <f>IFERROR(__xludf.DUMMYFUNCTION("""COMPUTED_VALUE"""),"piece")</f>
        <v/>
      </c>
      <c r="D106" s="382">
        <f>IFERROR(__xludf.DUMMYFUNCTION("""COMPUTED_VALUE"""),"00101")</f>
        <v/>
      </c>
      <c r="E106" s="368">
        <f>IFERROR(__xludf.DUMMYFUNCTION("""COMPUTED_VALUE"""),"piece_yuw_00101")</f>
        <v/>
      </c>
      <c r="F106" s="382">
        <f>IFERROR(__xludf.DUMMYFUNCTION("""COMPUTED_VALUE"""),"piece_yuw_00101")</f>
        <v/>
      </c>
      <c r="G106" s="368">
        <f>IFERROR(__xludf.DUMMYFUNCTION("""COMPUTED_VALUE"""),"item_icon_piece_yuw_00101")</f>
        <v/>
      </c>
      <c r="H106" s="371">
        <f>IFERROR(__xludf.DUMMYFUNCTION("""COMPUTED_VALUE"""),"コスプレに託す乙女心 橘 美花莉のかけら")</f>
        <v/>
      </c>
      <c r="I106" s="371">
        <f>IFERROR(__xludf.DUMMYFUNCTION("""COMPUTED_VALUE"""),"UR")</f>
        <v/>
      </c>
      <c r="J106" s="371">
        <f>IFERROR(__xludf.DUMMYFUNCTION("""COMPUTED_VALUE"""),9.99999999E8)</f>
        <v/>
      </c>
      <c r="K106" s="371">
        <f>IFERROR(__xludf.DUMMYFUNCTION("""COMPUTED_VALUE"""),9.99999999E8)</f>
        <v/>
      </c>
      <c r="L106" s="368">
        <f>IFERROR(__xludf.DUMMYFUNCTION("""COMPUTED_VALUE"""),"コスプレに託す乙女心 橘 美花莉のグレードアップに使用するアイテム")</f>
        <v/>
      </c>
      <c r="M106" s="368" t="n"/>
      <c r="N106" s="369">
        <f>IFERROR(__xludf.DUMMYFUNCTION("""COMPUTED_VALUE"""),"2024-01-01 00:00:00")</f>
        <v/>
      </c>
      <c r="O106" s="368" t="n"/>
      <c r="P106" s="334" t="n"/>
    </row>
    <row r="107">
      <c r="A107" s="381">
        <f>IFERROR(__xludf.DUMMYFUNCTION("""COMPUTED_VALUE"""),"yuw")</f>
        <v/>
      </c>
      <c r="B107" s="368">
        <f>IFERROR(__xludf.DUMMYFUNCTION("""COMPUTED_VALUE"""),"2.5次元の誘惑")</f>
        <v/>
      </c>
      <c r="C107" s="405">
        <f>IFERROR(__xludf.DUMMYFUNCTION("""COMPUTED_VALUE"""),"piece")</f>
        <v/>
      </c>
      <c r="D107" s="382">
        <f>IFERROR(__xludf.DUMMYFUNCTION("""COMPUTED_VALUE"""),"00102")</f>
        <v/>
      </c>
      <c r="E107" s="368">
        <f>IFERROR(__xludf.DUMMYFUNCTION("""COMPUTED_VALUE"""),"piece_yuw_00102")</f>
        <v/>
      </c>
      <c r="F107" s="382">
        <f>IFERROR(__xludf.DUMMYFUNCTION("""COMPUTED_VALUE"""),"piece_yuw_00102")</f>
        <v/>
      </c>
      <c r="G107" s="368">
        <f>IFERROR(__xludf.DUMMYFUNCTION("""COMPUTED_VALUE"""),"item_icon_piece_yuw_00102")</f>
        <v/>
      </c>
      <c r="H107" s="371">
        <f>IFERROR(__xludf.DUMMYFUNCTION("""COMPUTED_VALUE"""),"愛届ける聖夜のサンタ 橘 美花莉のかけら")</f>
        <v/>
      </c>
      <c r="I107" s="371">
        <f>IFERROR(__xludf.DUMMYFUNCTION("""COMPUTED_VALUE"""),"UR")</f>
        <v/>
      </c>
      <c r="J107" s="371">
        <f>IFERROR(__xludf.DUMMYFUNCTION("""COMPUTED_VALUE"""),9.99999999E8)</f>
        <v/>
      </c>
      <c r="K107" s="371">
        <f>IFERROR(__xludf.DUMMYFUNCTION("""COMPUTED_VALUE"""),9.99999999E8)</f>
        <v/>
      </c>
      <c r="L107" s="368">
        <f>IFERROR(__xludf.DUMMYFUNCTION("""COMPUTED_VALUE"""),"愛届ける聖夜のサンタ 橘 美花莉のグレードアップに使用するアイテム")</f>
        <v/>
      </c>
      <c r="M107" s="368" t="n"/>
      <c r="N107" s="369">
        <f>IFERROR(__xludf.DUMMYFUNCTION("""COMPUTED_VALUE"""),"2025-12-22 12:00:00")</f>
        <v/>
      </c>
      <c r="O107" s="368" t="n"/>
      <c r="P107" s="334" t="n"/>
    </row>
    <row r="108">
      <c r="A108" s="381">
        <f>IFERROR(__xludf.DUMMYFUNCTION("""COMPUTED_VALUE"""),"yuw")</f>
        <v/>
      </c>
      <c r="B108" s="368">
        <f>IFERROR(__xludf.DUMMYFUNCTION("""COMPUTED_VALUE"""),"2.5次元の誘惑")</f>
        <v/>
      </c>
      <c r="C108" s="405">
        <f>IFERROR(__xludf.DUMMYFUNCTION("""COMPUTED_VALUE"""),"piece")</f>
        <v/>
      </c>
      <c r="D108" s="382">
        <f>IFERROR(__xludf.DUMMYFUNCTION("""COMPUTED_VALUE"""),"00201")</f>
        <v/>
      </c>
      <c r="E108" s="368">
        <f>IFERROR(__xludf.DUMMYFUNCTION("""COMPUTED_VALUE"""),"piece_yuw_00201")</f>
        <v/>
      </c>
      <c r="F108" s="382">
        <f>IFERROR(__xludf.DUMMYFUNCTION("""COMPUTED_VALUE"""),"piece_yuw_00201")</f>
        <v/>
      </c>
      <c r="G108" s="368">
        <f>IFERROR(__xludf.DUMMYFUNCTION("""COMPUTED_VALUE"""),"item_icon_piece_yuw_00201")</f>
        <v/>
      </c>
      <c r="H108" s="371">
        <f>IFERROR(__xludf.DUMMYFUNCTION("""COMPUTED_VALUE"""),"羽生まゆりのかけら")</f>
        <v/>
      </c>
      <c r="I108" s="371">
        <f>IFERROR(__xludf.DUMMYFUNCTION("""COMPUTED_VALUE"""),"SSR")</f>
        <v/>
      </c>
      <c r="J108" s="371">
        <f>IFERROR(__xludf.DUMMYFUNCTION("""COMPUTED_VALUE"""),9.99999999E8)</f>
        <v/>
      </c>
      <c r="K108" s="371">
        <f>IFERROR(__xludf.DUMMYFUNCTION("""COMPUTED_VALUE"""),9.99999999E8)</f>
        <v/>
      </c>
      <c r="L108" s="368">
        <f>IFERROR(__xludf.DUMMYFUNCTION("""COMPUTED_VALUE"""),"羽生 まゆりのグレードアップに使用するアイテム")</f>
        <v/>
      </c>
      <c r="M108" s="368" t="n"/>
      <c r="N108" s="369">
        <f>IFERROR(__xludf.DUMMYFUNCTION("""COMPUTED_VALUE"""),"2025-11-25 15:00:00")</f>
        <v/>
      </c>
      <c r="O108" s="368" t="n"/>
      <c r="P108" s="334" t="n"/>
    </row>
    <row r="109">
      <c r="A109" s="381">
        <f>IFERROR(__xludf.DUMMYFUNCTION("""COMPUTED_VALUE"""),"yuw")</f>
        <v/>
      </c>
      <c r="B109" s="368">
        <f>IFERROR(__xludf.DUMMYFUNCTION("""COMPUTED_VALUE"""),"2.5次元の誘惑")</f>
        <v/>
      </c>
      <c r="C109" s="405">
        <f>IFERROR(__xludf.DUMMYFUNCTION("""COMPUTED_VALUE"""),"piece")</f>
        <v/>
      </c>
      <c r="D109" s="382">
        <f>IFERROR(__xludf.DUMMYFUNCTION("""COMPUTED_VALUE"""),"00301")</f>
        <v/>
      </c>
      <c r="E109" s="368">
        <f>IFERROR(__xludf.DUMMYFUNCTION("""COMPUTED_VALUE"""),"piece_yuw_00301")</f>
        <v/>
      </c>
      <c r="F109" s="382">
        <f>IFERROR(__xludf.DUMMYFUNCTION("""COMPUTED_VALUE"""),"piece_yuw_00301")</f>
        <v/>
      </c>
      <c r="G109" s="368">
        <f>IFERROR(__xludf.DUMMYFUNCTION("""COMPUTED_VALUE"""),"item_icon_piece_yuw_00301")</f>
        <v/>
      </c>
      <c r="H109" s="371">
        <f>IFERROR(__xludf.DUMMYFUNCTION("""COMPUTED_VALUE"""),"勇気を纏うコスプレ 乃愛のかけら")</f>
        <v/>
      </c>
      <c r="I109" s="371">
        <f>IFERROR(__xludf.DUMMYFUNCTION("""COMPUTED_VALUE"""),"UR")</f>
        <v/>
      </c>
      <c r="J109" s="371">
        <f>IFERROR(__xludf.DUMMYFUNCTION("""COMPUTED_VALUE"""),9.99999999E8)</f>
        <v/>
      </c>
      <c r="K109" s="371">
        <f>IFERROR(__xludf.DUMMYFUNCTION("""COMPUTED_VALUE"""),9.99999999E8)</f>
        <v/>
      </c>
      <c r="L109" s="368">
        <f>IFERROR(__xludf.DUMMYFUNCTION("""COMPUTED_VALUE"""),"勇気を纏うコスプレ 乃愛のグレードアップに使用するアイテム")</f>
        <v/>
      </c>
      <c r="M109" s="368" t="n"/>
      <c r="N109" s="369">
        <f>IFERROR(__xludf.DUMMYFUNCTION("""COMPUTED_VALUE"""),"2025-11-25 15:00:00")</f>
        <v/>
      </c>
      <c r="O109" s="368" t="n"/>
      <c r="P109" s="334" t="n"/>
    </row>
    <row r="110">
      <c r="A110" s="381">
        <f>IFERROR(__xludf.DUMMYFUNCTION("""COMPUTED_VALUE"""),"yuw")</f>
        <v/>
      </c>
      <c r="B110" s="368">
        <f>IFERROR(__xludf.DUMMYFUNCTION("""COMPUTED_VALUE"""),"2.5次元の誘惑")</f>
        <v/>
      </c>
      <c r="C110" s="405">
        <f>IFERROR(__xludf.DUMMYFUNCTION("""COMPUTED_VALUE"""),"piece")</f>
        <v/>
      </c>
      <c r="D110" s="382">
        <f>IFERROR(__xludf.DUMMYFUNCTION("""COMPUTED_VALUE"""),"00401")</f>
        <v/>
      </c>
      <c r="E110" s="368">
        <f>IFERROR(__xludf.DUMMYFUNCTION("""COMPUTED_VALUE"""),"piece_yuw_00401")</f>
        <v/>
      </c>
      <c r="F110" s="382">
        <f>IFERROR(__xludf.DUMMYFUNCTION("""COMPUTED_VALUE"""),"piece_yuw_00401")</f>
        <v/>
      </c>
      <c r="G110" s="368">
        <f>IFERROR(__xludf.DUMMYFUNCTION("""COMPUTED_VALUE"""),"item_icon_piece_yuw_00401")</f>
        <v/>
      </c>
      <c r="H110" s="371">
        <f>IFERROR(__xludf.DUMMYFUNCTION("""COMPUTED_VALUE"""),"伝えたいウチの想い 喜咲 アリアのかけら")</f>
        <v/>
      </c>
      <c r="I110" s="371">
        <f>IFERROR(__xludf.DUMMYFUNCTION("""COMPUTED_VALUE"""),"UR")</f>
        <v/>
      </c>
      <c r="J110" s="371">
        <f>IFERROR(__xludf.DUMMYFUNCTION("""COMPUTED_VALUE"""),9.99999999E8)</f>
        <v/>
      </c>
      <c r="K110" s="371">
        <f>IFERROR(__xludf.DUMMYFUNCTION("""COMPUTED_VALUE"""),9.99999999E8)</f>
        <v/>
      </c>
      <c r="L110" s="368">
        <f>IFERROR(__xludf.DUMMYFUNCTION("""COMPUTED_VALUE"""),"伝えたいウチの想い 喜咲 アリアのグレードアップに使用するアイテム")</f>
        <v/>
      </c>
      <c r="M110" s="368" t="n"/>
      <c r="N110" s="369">
        <f>IFERROR(__xludf.DUMMYFUNCTION("""COMPUTED_VALUE"""),"2025-11-25 15:00:00")</f>
        <v/>
      </c>
      <c r="O110" s="368" t="n"/>
      <c r="P110" s="334" t="n"/>
    </row>
    <row r="111">
      <c r="A111" s="381">
        <f>IFERROR(__xludf.DUMMYFUNCTION("""COMPUTED_VALUE"""),"yuw")</f>
        <v/>
      </c>
      <c r="B111" s="368">
        <f>IFERROR(__xludf.DUMMYFUNCTION("""COMPUTED_VALUE"""),"2.5次元の誘惑")</f>
        <v/>
      </c>
      <c r="C111" s="405">
        <f>IFERROR(__xludf.DUMMYFUNCTION("""COMPUTED_VALUE"""),"piece")</f>
        <v/>
      </c>
      <c r="D111" s="382">
        <f>IFERROR(__xludf.DUMMYFUNCTION("""COMPUTED_VALUE"""),"00501")</f>
        <v/>
      </c>
      <c r="E111" s="368">
        <f>IFERROR(__xludf.DUMMYFUNCTION("""COMPUTED_VALUE"""),"piece_yuw_00501")</f>
        <v/>
      </c>
      <c r="F111" s="382">
        <f>IFERROR(__xludf.DUMMYFUNCTION("""COMPUTED_VALUE"""),"piece_yuw_00501")</f>
        <v/>
      </c>
      <c r="G111" s="368">
        <f>IFERROR(__xludf.DUMMYFUNCTION("""COMPUTED_VALUE"""),"item_icon_piece_yuw_00501")</f>
        <v/>
      </c>
      <c r="H111" s="371">
        <f>IFERROR(__xludf.DUMMYFUNCTION("""COMPUTED_VALUE"""),"753♡のかけら")</f>
        <v/>
      </c>
      <c r="I111" s="371">
        <f>IFERROR(__xludf.DUMMYFUNCTION("""COMPUTED_VALUE"""),"SR")</f>
        <v/>
      </c>
      <c r="J111" s="371">
        <f>IFERROR(__xludf.DUMMYFUNCTION("""COMPUTED_VALUE"""),9.99999999E8)</f>
        <v/>
      </c>
      <c r="K111" s="371">
        <f>IFERROR(__xludf.DUMMYFUNCTION("""COMPUTED_VALUE"""),9.99999999E8)</f>
        <v/>
      </c>
      <c r="L111" s="368">
        <f>IFERROR(__xludf.DUMMYFUNCTION("""COMPUTED_VALUE"""),"753♡のグレードアップに使用するアイテム")</f>
        <v/>
      </c>
      <c r="M111" s="368" t="n"/>
      <c r="N111" s="369">
        <f>IFERROR(__xludf.DUMMYFUNCTION("""COMPUTED_VALUE"""),"2025-11-25 15:00:00")</f>
        <v/>
      </c>
      <c r="O111" s="368" t="n"/>
      <c r="P111" s="334" t="n"/>
    </row>
    <row r="112">
      <c r="A112" s="381">
        <f>IFERROR(__xludf.DUMMYFUNCTION("""COMPUTED_VALUE"""),"yuw")</f>
        <v/>
      </c>
      <c r="B112" s="368">
        <f>IFERROR(__xludf.DUMMYFUNCTION("""COMPUTED_VALUE"""),"2.5次元の誘惑")</f>
        <v/>
      </c>
      <c r="C112" s="405">
        <f>IFERROR(__xludf.DUMMYFUNCTION("""COMPUTED_VALUE"""),"piece")</f>
        <v/>
      </c>
      <c r="D112" s="382">
        <f>IFERROR(__xludf.DUMMYFUNCTION("""COMPUTED_VALUE"""),"00601")</f>
        <v/>
      </c>
      <c r="E112" s="368">
        <f>IFERROR(__xludf.DUMMYFUNCTION("""COMPUTED_VALUE"""),"piece_yuw_00601")</f>
        <v/>
      </c>
      <c r="F112" s="382">
        <f>IFERROR(__xludf.DUMMYFUNCTION("""COMPUTED_VALUE"""),"piece_yuw_00601")</f>
        <v/>
      </c>
      <c r="G112" s="368">
        <f>IFERROR(__xludf.DUMMYFUNCTION("""COMPUTED_VALUE"""),"item_icon_piece_yuw_00601")</f>
        <v/>
      </c>
      <c r="H112" s="371">
        <f>IFERROR(__xludf.DUMMYFUNCTION("""COMPUTED_VALUE"""),"奥村 正宗のかけら")</f>
        <v/>
      </c>
      <c r="I112" s="371">
        <f>IFERROR(__xludf.DUMMYFUNCTION("""COMPUTED_VALUE"""),"SR")</f>
        <v/>
      </c>
      <c r="J112" s="371">
        <f>IFERROR(__xludf.DUMMYFUNCTION("""COMPUTED_VALUE"""),9.99999999E8)</f>
        <v/>
      </c>
      <c r="K112" s="371">
        <f>IFERROR(__xludf.DUMMYFUNCTION("""COMPUTED_VALUE"""),9.99999999E8)</f>
        <v/>
      </c>
      <c r="L112" s="368">
        <f>IFERROR(__xludf.DUMMYFUNCTION("""COMPUTED_VALUE"""),"奥村 正宗のグレードアップに使用するアイテム")</f>
        <v/>
      </c>
      <c r="M112" s="368" t="n"/>
      <c r="N112" s="369">
        <f>IFERROR(__xludf.DUMMYFUNCTION("""COMPUTED_VALUE"""),"2025-11-25 15:00:00")</f>
        <v/>
      </c>
      <c r="O112" s="368" t="n"/>
      <c r="P112" s="334" t="n"/>
    </row>
    <row r="113">
      <c r="A113" s="381" t="n"/>
      <c r="B113" s="368" t="n"/>
      <c r="C113" s="405" t="n"/>
      <c r="D113" s="368" t="n"/>
      <c r="E113" s="368" t="n"/>
      <c r="F113" s="368" t="n"/>
      <c r="G113" s="368" t="n"/>
      <c r="H113" s="371" t="n"/>
      <c r="I113" s="371" t="n"/>
      <c r="J113" s="368" t="n"/>
      <c r="K113" s="368" t="n"/>
      <c r="L113" s="368" t="n"/>
      <c r="M113" s="368" t="n"/>
      <c r="N113" s="369" t="n"/>
      <c r="O113" s="368" t="n"/>
      <c r="P113" s="334" t="n"/>
    </row>
    <row r="114">
      <c r="A114" s="381">
        <f>IFERROR(__xludf.DUMMYFUNCTION("""COMPUTED_VALUE"""),"sur")</f>
        <v/>
      </c>
      <c r="B114" s="368">
        <f>IFERROR(__xludf.DUMMYFUNCTION("""COMPUTED_VALUE"""),"魔都精兵のスレイブ")</f>
        <v/>
      </c>
      <c r="C114" s="405">
        <f>IFERROR(__xludf.DUMMYFUNCTION("""COMPUTED_VALUE"""),"piece")</f>
        <v/>
      </c>
      <c r="D114" s="382">
        <f>IFERROR(__xludf.DUMMYFUNCTION("""COMPUTED_VALUE"""),"00001")</f>
        <v/>
      </c>
      <c r="E114" s="368">
        <f>IFERROR(__xludf.DUMMYFUNCTION("""COMPUTED_VALUE"""),"piece_sur_00001")</f>
        <v/>
      </c>
      <c r="F114" s="382">
        <f>IFERROR(__xludf.DUMMYFUNCTION("""COMPUTED_VALUE"""),"piece_sur_00001")</f>
        <v/>
      </c>
      <c r="G114" s="368">
        <f>IFERROR(__xludf.DUMMYFUNCTION("""COMPUTED_VALUE"""),"item_icon_piece_sur_00001")</f>
        <v/>
      </c>
      <c r="H114" s="371">
        <f>IFERROR(__xludf.DUMMYFUNCTION("""COMPUTED_VALUE"""),"和倉 優希のかけら")</f>
        <v/>
      </c>
      <c r="I114" s="371">
        <f>IFERROR(__xludf.DUMMYFUNCTION("""COMPUTED_VALUE"""),"R")</f>
        <v/>
      </c>
      <c r="J114" s="371">
        <f>IFERROR(__xludf.DUMMYFUNCTION("""COMPUTED_VALUE"""),9.99999999E8)</f>
        <v/>
      </c>
      <c r="K114" s="371">
        <f>IFERROR(__xludf.DUMMYFUNCTION("""COMPUTED_VALUE"""),9.99999999E8)</f>
        <v/>
      </c>
      <c r="L114" s="368">
        <f>IFERROR(__xludf.DUMMYFUNCTION("""COMPUTED_VALUE"""),"和倉 優希のグレードアップに使用するアイテム")</f>
        <v/>
      </c>
      <c r="M114" s="368" t="n"/>
      <c r="N114" s="369">
        <f>IFERROR(__xludf.DUMMYFUNCTION("""COMPUTED_VALUE"""),"2024-01-01 00:00:00")</f>
        <v/>
      </c>
      <c r="O114" s="368" t="n"/>
      <c r="P114" s="334" t="n"/>
    </row>
    <row r="115">
      <c r="A115" s="381">
        <f>IFERROR(__xludf.DUMMYFUNCTION("""COMPUTED_VALUE"""),"sur")</f>
        <v/>
      </c>
      <c r="B115" s="368">
        <f>IFERROR(__xludf.DUMMYFUNCTION("""COMPUTED_VALUE"""),"魔都精兵のスレイブ")</f>
        <v/>
      </c>
      <c r="C115" s="405">
        <f>IFERROR(__xludf.DUMMYFUNCTION("""COMPUTED_VALUE"""),"piece")</f>
        <v/>
      </c>
      <c r="D115" s="382">
        <f>IFERROR(__xludf.DUMMYFUNCTION("""COMPUTED_VALUE"""),"00101")</f>
        <v/>
      </c>
      <c r="E115" s="368">
        <f>IFERROR(__xludf.DUMMYFUNCTION("""COMPUTED_VALUE"""),"piece_sur_00101")</f>
        <v/>
      </c>
      <c r="F115" s="382">
        <f>IFERROR(__xludf.DUMMYFUNCTION("""COMPUTED_VALUE"""),"piece_sur_00101")</f>
        <v/>
      </c>
      <c r="G115" s="368">
        <f>IFERROR(__xludf.DUMMYFUNCTION("""COMPUTED_VALUE"""),"item_icon_piece_sur_00101")</f>
        <v/>
      </c>
      <c r="H115" s="371">
        <f>IFERROR(__xludf.DUMMYFUNCTION("""COMPUTED_VALUE"""),"誇り高き魔都の剣姫 羽前 京香のかけら")</f>
        <v/>
      </c>
      <c r="I115" s="371">
        <f>IFERROR(__xludf.DUMMYFUNCTION("""COMPUTED_VALUE"""),"UR")</f>
        <v/>
      </c>
      <c r="J115" s="371">
        <f>IFERROR(__xludf.DUMMYFUNCTION("""COMPUTED_VALUE"""),9.99999999E8)</f>
        <v/>
      </c>
      <c r="K115" s="371">
        <f>IFERROR(__xludf.DUMMYFUNCTION("""COMPUTED_VALUE"""),9.99999999E8)</f>
        <v/>
      </c>
      <c r="L115" s="368">
        <f>IFERROR(__xludf.DUMMYFUNCTION("""COMPUTED_VALUE"""),"誇り高き魔都の剣姫 羽前 京香のグレードアップに使用するアイテム")</f>
        <v/>
      </c>
      <c r="M115" s="368" t="n"/>
      <c r="N115" s="369">
        <f>IFERROR(__xludf.DUMMYFUNCTION("""COMPUTED_VALUE"""),"2024-01-01 00:00:00")</f>
        <v/>
      </c>
      <c r="O115" s="368" t="n"/>
      <c r="P115" s="334" t="n"/>
    </row>
    <row r="116">
      <c r="A116" s="381">
        <f>IFERROR(__xludf.DUMMYFUNCTION("""COMPUTED_VALUE"""),"sur")</f>
        <v/>
      </c>
      <c r="B116" s="368">
        <f>IFERROR(__xludf.DUMMYFUNCTION("""COMPUTED_VALUE"""),"魔都精兵のスレイブ")</f>
        <v/>
      </c>
      <c r="C116" s="405">
        <f>IFERROR(__xludf.DUMMYFUNCTION("""COMPUTED_VALUE"""),"piece")</f>
        <v/>
      </c>
      <c r="D116" s="382">
        <f>IFERROR(__xludf.DUMMYFUNCTION("""COMPUTED_VALUE"""),"00201")</f>
        <v/>
      </c>
      <c r="E116" s="368">
        <f>IFERROR(__xludf.DUMMYFUNCTION("""COMPUTED_VALUE"""),"piece_sur_00201")</f>
        <v/>
      </c>
      <c r="F116" s="382">
        <f>IFERROR(__xludf.DUMMYFUNCTION("""COMPUTED_VALUE"""),"piece_sur_00201")</f>
        <v/>
      </c>
      <c r="G116" s="368">
        <f>IFERROR(__xludf.DUMMYFUNCTION("""COMPUTED_VALUE"""),"item_icon_piece_sur_00201")</f>
        <v/>
      </c>
      <c r="H116" s="371">
        <f>IFERROR(__xludf.DUMMYFUNCTION("""COMPUTED_VALUE"""),"東 日万凛のかけら")</f>
        <v/>
      </c>
      <c r="I116" s="371">
        <f>IFERROR(__xludf.DUMMYFUNCTION("""COMPUTED_VALUE"""),"SR")</f>
        <v/>
      </c>
      <c r="J116" s="371">
        <f>IFERROR(__xludf.DUMMYFUNCTION("""COMPUTED_VALUE"""),9.99999999E8)</f>
        <v/>
      </c>
      <c r="K116" s="371">
        <f>IFERROR(__xludf.DUMMYFUNCTION("""COMPUTED_VALUE"""),9.99999999E8)</f>
        <v/>
      </c>
      <c r="L116" s="368">
        <f>IFERROR(__xludf.DUMMYFUNCTION("""COMPUTED_VALUE"""),"東 日万凛のグレードアップに使用するアイテム")</f>
        <v/>
      </c>
      <c r="M116" s="368" t="n"/>
      <c r="N116" s="369">
        <f>IFERROR(__xludf.DUMMYFUNCTION("""COMPUTED_VALUE"""),"2024-01-01 00:00:00")</f>
        <v/>
      </c>
      <c r="O116" s="368" t="n"/>
      <c r="P116" s="334" t="n"/>
    </row>
    <row r="117">
      <c r="A117" s="381">
        <f>IFERROR(__xludf.DUMMYFUNCTION("""COMPUTED_VALUE"""),"sur")</f>
        <v/>
      </c>
      <c r="B117" s="368">
        <f>IFERROR(__xludf.DUMMYFUNCTION("""COMPUTED_VALUE"""),"魔都精兵のスレイブ")</f>
        <v/>
      </c>
      <c r="C117" s="405">
        <f>IFERROR(__xludf.DUMMYFUNCTION("""COMPUTED_VALUE"""),"piece")</f>
        <v/>
      </c>
      <c r="D117" s="382">
        <f>IFERROR(__xludf.DUMMYFUNCTION("""COMPUTED_VALUE"""),"00301")</f>
        <v/>
      </c>
      <c r="E117" s="368">
        <f>IFERROR(__xludf.DUMMYFUNCTION("""COMPUTED_VALUE"""),"piece_sur_00301")</f>
        <v/>
      </c>
      <c r="F117" s="382">
        <f>IFERROR(__xludf.DUMMYFUNCTION("""COMPUTED_VALUE"""),"piece_sur_00301")</f>
        <v/>
      </c>
      <c r="G117" s="368">
        <f>IFERROR(__xludf.DUMMYFUNCTION("""COMPUTED_VALUE"""),"item_icon_piece_sur_00301")</f>
        <v/>
      </c>
      <c r="H117" s="371">
        <f>IFERROR(__xludf.DUMMYFUNCTION("""COMPUTED_VALUE"""),"駿河 朱々のかけら")</f>
        <v/>
      </c>
      <c r="I117" s="371">
        <f>IFERROR(__xludf.DUMMYFUNCTION("""COMPUTED_VALUE"""),"SR")</f>
        <v/>
      </c>
      <c r="J117" s="371">
        <f>IFERROR(__xludf.DUMMYFUNCTION("""COMPUTED_VALUE"""),9.99999999E8)</f>
        <v/>
      </c>
      <c r="K117" s="371">
        <f>IFERROR(__xludf.DUMMYFUNCTION("""COMPUTED_VALUE"""),9.99999999E8)</f>
        <v/>
      </c>
      <c r="L117" s="368">
        <f>IFERROR(__xludf.DUMMYFUNCTION("""COMPUTED_VALUE"""),"駿河 朱々のグレードアップに使用するアイテム")</f>
        <v/>
      </c>
      <c r="M117" s="368" t="n"/>
      <c r="N117" s="369">
        <f>IFERROR(__xludf.DUMMYFUNCTION("""COMPUTED_VALUE"""),"2024-01-01 00:00:00")</f>
        <v/>
      </c>
      <c r="O117" s="368" t="n"/>
      <c r="P117" s="334" t="n"/>
    </row>
    <row r="118">
      <c r="A118" s="381">
        <f>IFERROR(__xludf.DUMMYFUNCTION("""COMPUTED_VALUE"""),"sur")</f>
        <v/>
      </c>
      <c r="B118" s="368">
        <f>IFERROR(__xludf.DUMMYFUNCTION("""COMPUTED_VALUE"""),"魔都精兵のスレイブ")</f>
        <v/>
      </c>
      <c r="C118" s="405">
        <f>IFERROR(__xludf.DUMMYFUNCTION("""COMPUTED_VALUE"""),"piece")</f>
        <v/>
      </c>
      <c r="D118" s="382">
        <f>IFERROR(__xludf.DUMMYFUNCTION("""COMPUTED_VALUE"""),"00401")</f>
        <v/>
      </c>
      <c r="E118" s="368">
        <f>IFERROR(__xludf.DUMMYFUNCTION("""COMPUTED_VALUE"""),"piece_sur_00401")</f>
        <v/>
      </c>
      <c r="F118" s="382">
        <f>IFERROR(__xludf.DUMMYFUNCTION("""COMPUTED_VALUE"""),"piece_sur_00401")</f>
        <v/>
      </c>
      <c r="G118" s="368">
        <f>IFERROR(__xludf.DUMMYFUNCTION("""COMPUTED_VALUE"""),"item_icon_piece_sur_00401")</f>
        <v/>
      </c>
      <c r="H118" s="371">
        <f>IFERROR(__xludf.DUMMYFUNCTION("""COMPUTED_VALUE"""),"大川村 寧のかけら")</f>
        <v/>
      </c>
      <c r="I118" s="371">
        <f>IFERROR(__xludf.DUMMYFUNCTION("""COMPUTED_VALUE"""),"SR")</f>
        <v/>
      </c>
      <c r="J118" s="371">
        <f>IFERROR(__xludf.DUMMYFUNCTION("""COMPUTED_VALUE"""),9.99999999E8)</f>
        <v/>
      </c>
      <c r="K118" s="371">
        <f>IFERROR(__xludf.DUMMYFUNCTION("""COMPUTED_VALUE"""),9.99999999E8)</f>
        <v/>
      </c>
      <c r="L118" s="368">
        <f>IFERROR(__xludf.DUMMYFUNCTION("""COMPUTED_VALUE"""),"大川村 寧のグレードアップに使用するアイテム")</f>
        <v/>
      </c>
      <c r="M118" s="368" t="n"/>
      <c r="N118" s="369">
        <f>IFERROR(__xludf.DUMMYFUNCTION("""COMPUTED_VALUE"""),"2024-01-01 00:00:00")</f>
        <v/>
      </c>
      <c r="O118" s="368" t="n"/>
      <c r="P118" s="334" t="n"/>
    </row>
    <row r="119">
      <c r="A119" s="381">
        <f>IFERROR(__xludf.DUMMYFUNCTION("""COMPUTED_VALUE"""),"sur")</f>
        <v/>
      </c>
      <c r="B119" s="368">
        <f>IFERROR(__xludf.DUMMYFUNCTION("""COMPUTED_VALUE"""),"魔都精兵のスレイブ")</f>
        <v/>
      </c>
      <c r="C119" s="405">
        <f>IFERROR(__xludf.DUMMYFUNCTION("""COMPUTED_VALUE"""),"piece")</f>
        <v/>
      </c>
      <c r="D119" s="382">
        <f>IFERROR(__xludf.DUMMYFUNCTION("""COMPUTED_VALUE"""),"00501")</f>
        <v/>
      </c>
      <c r="E119" s="368">
        <f>IFERROR(__xludf.DUMMYFUNCTION("""COMPUTED_VALUE"""),"piece_sur_00501")</f>
        <v/>
      </c>
      <c r="F119" s="382">
        <f>IFERROR(__xludf.DUMMYFUNCTION("""COMPUTED_VALUE"""),"piece_sur_00501")</f>
        <v/>
      </c>
      <c r="G119" s="368">
        <f>IFERROR(__xludf.DUMMYFUNCTION("""COMPUTED_VALUE"""),"item_icon_piece_sur_00501")</f>
        <v/>
      </c>
      <c r="H119" s="371">
        <f>IFERROR(__xludf.DUMMYFUNCTION("""COMPUTED_VALUE"""),"空間を操る六番組組長 出雲 天花のかけら")</f>
        <v/>
      </c>
      <c r="I119" s="371">
        <f>IFERROR(__xludf.DUMMYFUNCTION("""COMPUTED_VALUE"""),"UR")</f>
        <v/>
      </c>
      <c r="J119" s="371">
        <f>IFERROR(__xludf.DUMMYFUNCTION("""COMPUTED_VALUE"""),9.99999999E8)</f>
        <v/>
      </c>
      <c r="K119" s="371">
        <f>IFERROR(__xludf.DUMMYFUNCTION("""COMPUTED_VALUE"""),9.99999999E8)</f>
        <v/>
      </c>
      <c r="L119" s="368">
        <f>IFERROR(__xludf.DUMMYFUNCTION("""COMPUTED_VALUE"""),"空間を操る六番組組長 出雲 天花のグレードアップに使用するアイテム")</f>
        <v/>
      </c>
      <c r="M119" s="368" t="n"/>
      <c r="N119" s="369">
        <f>IFERROR(__xludf.DUMMYFUNCTION("""COMPUTED_VALUE"""),"2025-12-08 12:00:00")</f>
        <v/>
      </c>
      <c r="O119" s="368" t="n"/>
      <c r="P119" s="334" t="n"/>
    </row>
    <row r="120">
      <c r="A120" s="381">
        <f>IFERROR(__xludf.DUMMYFUNCTION("""COMPUTED_VALUE"""),"sur")</f>
        <v/>
      </c>
      <c r="B120" s="368">
        <f>IFERROR(__xludf.DUMMYFUNCTION("""COMPUTED_VALUE"""),"魔都精兵のスレイブ")</f>
        <v/>
      </c>
      <c r="C120" s="405">
        <f>IFERROR(__xludf.DUMMYFUNCTION("""COMPUTED_VALUE"""),"piece")</f>
        <v/>
      </c>
      <c r="D120" s="382">
        <f>IFERROR(__xludf.DUMMYFUNCTION("""COMPUTED_VALUE"""),"00601")</f>
        <v/>
      </c>
      <c r="E120" s="368">
        <f>IFERROR(__xludf.DUMMYFUNCTION("""COMPUTED_VALUE"""),"piece_sur_00601")</f>
        <v/>
      </c>
      <c r="F120" s="382">
        <f>IFERROR(__xludf.DUMMYFUNCTION("""COMPUTED_VALUE"""),"piece_sur_00601")</f>
        <v/>
      </c>
      <c r="G120" s="368">
        <f>IFERROR(__xludf.DUMMYFUNCTION("""COMPUTED_VALUE"""),"item_icon_piece_sur_00601")</f>
        <v/>
      </c>
      <c r="H120" s="371">
        <f>IFERROR(__xludf.DUMMYFUNCTION("""COMPUTED_VALUE"""),"東 八千穂のかけら")</f>
        <v/>
      </c>
      <c r="I120" s="371">
        <f>IFERROR(__xludf.DUMMYFUNCTION("""COMPUTED_VALUE"""),"SSR")</f>
        <v/>
      </c>
      <c r="J120" s="371">
        <f>IFERROR(__xludf.DUMMYFUNCTION("""COMPUTED_VALUE"""),9.99999999E8)</f>
        <v/>
      </c>
      <c r="K120" s="371">
        <f>IFERROR(__xludf.DUMMYFUNCTION("""COMPUTED_VALUE"""),9.99999999E8)</f>
        <v/>
      </c>
      <c r="L120" s="368">
        <f>IFERROR(__xludf.DUMMYFUNCTION("""COMPUTED_VALUE"""),"東 八千穂のグレードアップに使用するアイテム")</f>
        <v/>
      </c>
      <c r="M120" s="368" t="n"/>
      <c r="N120" s="369">
        <f>IFERROR(__xludf.DUMMYFUNCTION("""COMPUTED_VALUE"""),"2025-12-08 12:00:00")</f>
        <v/>
      </c>
      <c r="O120" s="368" t="n"/>
      <c r="P120" s="334" t="n"/>
    </row>
    <row r="121">
      <c r="A121" s="381">
        <f>IFERROR(__xludf.DUMMYFUNCTION("""COMPUTED_VALUE"""),"sur")</f>
        <v/>
      </c>
      <c r="B121" s="368">
        <f>IFERROR(__xludf.DUMMYFUNCTION("""COMPUTED_VALUE"""),"魔都精兵のスレイブ")</f>
        <v/>
      </c>
      <c r="C121" s="405">
        <f>IFERROR(__xludf.DUMMYFUNCTION("""COMPUTED_VALUE"""),"piece")</f>
        <v/>
      </c>
      <c r="D121" s="382">
        <f>IFERROR(__xludf.DUMMYFUNCTION("""COMPUTED_VALUE"""),"00701")</f>
        <v/>
      </c>
      <c r="E121" s="368">
        <f>IFERROR(__xludf.DUMMYFUNCTION("""COMPUTED_VALUE"""),"piece_sur_00701")</f>
        <v/>
      </c>
      <c r="F121" s="382">
        <f>IFERROR(__xludf.DUMMYFUNCTION("""COMPUTED_VALUE"""),"piece_sur_00701")</f>
        <v/>
      </c>
      <c r="G121" s="368">
        <f>IFERROR(__xludf.DUMMYFUNCTION("""COMPUTED_VALUE"""),"item_icon_piece_sur_00701")</f>
        <v/>
      </c>
      <c r="H121" s="371">
        <f>IFERROR(__xludf.DUMMYFUNCTION("""COMPUTED_VALUE"""),"和倉 青羽のかけら")</f>
        <v/>
      </c>
      <c r="I121" s="371">
        <f>IFERROR(__xludf.DUMMYFUNCTION("""COMPUTED_VALUE"""),"SR")</f>
        <v/>
      </c>
      <c r="J121" s="371">
        <f>IFERROR(__xludf.DUMMYFUNCTION("""COMPUTED_VALUE"""),9.99999999E8)</f>
        <v/>
      </c>
      <c r="K121" s="371">
        <f>IFERROR(__xludf.DUMMYFUNCTION("""COMPUTED_VALUE"""),9.99999999E8)</f>
        <v/>
      </c>
      <c r="L121" s="368">
        <f>IFERROR(__xludf.DUMMYFUNCTION("""COMPUTED_VALUE"""),"和倉 青羽のグレードアップに使用するアイテム")</f>
        <v/>
      </c>
      <c r="M121" s="368" t="n"/>
      <c r="N121" s="369">
        <f>IFERROR(__xludf.DUMMYFUNCTION("""COMPUTED_VALUE"""),"2025-12-08 15:00:00")</f>
        <v/>
      </c>
      <c r="O121" s="368" t="n"/>
      <c r="P121" s="334" t="n"/>
    </row>
    <row r="122">
      <c r="A122" s="381">
        <f>IFERROR(__xludf.DUMMYFUNCTION("""COMPUTED_VALUE"""),"sur")</f>
        <v/>
      </c>
      <c r="B122" s="368">
        <f>IFERROR(__xludf.DUMMYFUNCTION("""COMPUTED_VALUE"""),"魔都精兵のスレイブ")</f>
        <v/>
      </c>
      <c r="C122" s="405">
        <f>IFERROR(__xludf.DUMMYFUNCTION("""COMPUTED_VALUE"""),"piece")</f>
        <v/>
      </c>
      <c r="D122" s="382">
        <f>IFERROR(__xludf.DUMMYFUNCTION("""COMPUTED_VALUE"""),"00801")</f>
        <v/>
      </c>
      <c r="E122" s="368">
        <f>IFERROR(__xludf.DUMMYFUNCTION("""COMPUTED_VALUE"""),"piece_sur_00801")</f>
        <v/>
      </c>
      <c r="F122" s="382">
        <f>IFERROR(__xludf.DUMMYFUNCTION("""COMPUTED_VALUE"""),"piece_sur_00801")</f>
        <v/>
      </c>
      <c r="G122" s="368">
        <f>IFERROR(__xludf.DUMMYFUNCTION("""COMPUTED_VALUE"""),"item_icon_piece_sur_00801")</f>
        <v/>
      </c>
      <c r="H122" s="371">
        <f>IFERROR(__xludf.DUMMYFUNCTION("""COMPUTED_VALUE"""),"無窮の鎖 和倉 優希のかけら")</f>
        <v/>
      </c>
      <c r="I122" s="371">
        <f>IFERROR(__xludf.DUMMYFUNCTION("""COMPUTED_VALUE"""),"SR")</f>
        <v/>
      </c>
      <c r="J122" s="371">
        <f>IFERROR(__xludf.DUMMYFUNCTION("""COMPUTED_VALUE"""),9.99999999E8)</f>
        <v/>
      </c>
      <c r="K122" s="371">
        <f>IFERROR(__xludf.DUMMYFUNCTION("""COMPUTED_VALUE"""),9.99999999E8)</f>
        <v/>
      </c>
      <c r="L122" s="368">
        <f>IFERROR(__xludf.DUMMYFUNCTION("""COMPUTED_VALUE"""),"無窮の鎖 和倉 優希のグレードアップに使用するアイテム")</f>
        <v/>
      </c>
      <c r="M122" s="368" t="n"/>
      <c r="N122" s="369">
        <f>IFERROR(__xludf.DUMMYFUNCTION("""COMPUTED_VALUE"""),"2025-12-08 15:00:00")</f>
        <v/>
      </c>
      <c r="O122" s="368" t="n"/>
      <c r="P122" s="334" t="n"/>
    </row>
    <row r="123">
      <c r="A123" s="381" t="n"/>
      <c r="B123" s="368" t="n"/>
      <c r="C123" s="405" t="n"/>
      <c r="D123" s="368" t="n"/>
      <c r="E123" s="368" t="n"/>
      <c r="F123" s="368" t="n"/>
      <c r="G123" s="368" t="n"/>
      <c r="H123" s="371" t="n"/>
      <c r="I123" s="371" t="n"/>
      <c r="J123" s="368" t="n"/>
      <c r="K123" s="368" t="n"/>
      <c r="L123" s="368" t="n"/>
      <c r="M123" s="368" t="n"/>
      <c r="N123" s="369" t="n"/>
      <c r="O123" s="368" t="n"/>
      <c r="P123" s="334" t="n"/>
    </row>
    <row r="124">
      <c r="A124" s="381">
        <f>IFERROR(__xludf.DUMMYFUNCTION("""COMPUTED_VALUE"""),"ron")</f>
        <v/>
      </c>
      <c r="B124" s="368">
        <f>IFERROR(__xludf.DUMMYFUNCTION("""COMPUTED_VALUE"""),"鴨乃橋ロンの禁断推理")</f>
        <v/>
      </c>
      <c r="C124" s="405">
        <f>IFERROR(__xludf.DUMMYFUNCTION("""COMPUTED_VALUE"""),"piece")</f>
        <v/>
      </c>
      <c r="D124" s="382">
        <f>IFERROR(__xludf.DUMMYFUNCTION("""COMPUTED_VALUE"""),"00001")</f>
        <v/>
      </c>
      <c r="E124" s="368">
        <f>IFERROR(__xludf.DUMMYFUNCTION("""COMPUTED_VALUE"""),"piece_ron_00001")</f>
        <v/>
      </c>
      <c r="F124" s="382">
        <f>IFERROR(__xludf.DUMMYFUNCTION("""COMPUTED_VALUE"""),"piece_ron_00001")</f>
        <v/>
      </c>
      <c r="G124" s="368">
        <f>IFERROR(__xludf.DUMMYFUNCTION("""COMPUTED_VALUE"""),"item_icon_piece_ron_00001")</f>
        <v/>
      </c>
      <c r="H124" s="371">
        <f>IFERROR(__xludf.DUMMYFUNCTION("""COMPUTED_VALUE"""),"鴨乃橋 ロンのかけら")</f>
        <v/>
      </c>
      <c r="I124" s="371">
        <f>IFERROR(__xludf.DUMMYFUNCTION("""COMPUTED_VALUE"""),"SSR")</f>
        <v/>
      </c>
      <c r="J124" s="371">
        <f>IFERROR(__xludf.DUMMYFUNCTION("""COMPUTED_VALUE"""),9.99999999E8)</f>
        <v/>
      </c>
      <c r="K124" s="371">
        <f>IFERROR(__xludf.DUMMYFUNCTION("""COMPUTED_VALUE"""),9.99999999E8)</f>
        <v/>
      </c>
      <c r="L124" s="368">
        <f>IFERROR(__xludf.DUMMYFUNCTION("""COMPUTED_VALUE"""),"鴨乃橋 ロンのグレードアップに使用するアイテム")</f>
        <v/>
      </c>
      <c r="M124" s="368" t="n"/>
      <c r="N124" s="369">
        <f>IFERROR(__xludf.DUMMYFUNCTION("""COMPUTED_VALUE"""),"2024-01-01 00:00:00")</f>
        <v/>
      </c>
      <c r="O124" s="368" t="n"/>
      <c r="P124" s="334" t="n"/>
    </row>
    <row r="125">
      <c r="A125" s="381">
        <f>IFERROR(__xludf.DUMMYFUNCTION("""COMPUTED_VALUE"""),"ron")</f>
        <v/>
      </c>
      <c r="B125" s="368">
        <f>IFERROR(__xludf.DUMMYFUNCTION("""COMPUTED_VALUE"""),"鴨乃橋ロンの禁断推理")</f>
        <v/>
      </c>
      <c r="C125" s="405">
        <f>IFERROR(__xludf.DUMMYFUNCTION("""COMPUTED_VALUE"""),"piece")</f>
        <v/>
      </c>
      <c r="D125" s="382">
        <f>IFERROR(__xludf.DUMMYFUNCTION("""COMPUTED_VALUE"""),"00101")</f>
        <v/>
      </c>
      <c r="E125" s="368">
        <f>IFERROR(__xludf.DUMMYFUNCTION("""COMPUTED_VALUE"""),"piece_ron_00101")</f>
        <v/>
      </c>
      <c r="F125" s="382">
        <f>IFERROR(__xludf.DUMMYFUNCTION("""COMPUTED_VALUE"""),"piece_ron_00101")</f>
        <v/>
      </c>
      <c r="G125" s="368">
        <f>IFERROR(__xludf.DUMMYFUNCTION("""COMPUTED_VALUE"""),"item_icon_piece_ron_00101")</f>
        <v/>
      </c>
      <c r="H125" s="371">
        <f>IFERROR(__xludf.DUMMYFUNCTION("""COMPUTED_VALUE"""),"一色 都々丸のかけら")</f>
        <v/>
      </c>
      <c r="I125" s="371">
        <f>IFERROR(__xludf.DUMMYFUNCTION("""COMPUTED_VALUE"""),"R")</f>
        <v/>
      </c>
      <c r="J125" s="371">
        <f>IFERROR(__xludf.DUMMYFUNCTION("""COMPUTED_VALUE"""),9.99999999E8)</f>
        <v/>
      </c>
      <c r="K125" s="371">
        <f>IFERROR(__xludf.DUMMYFUNCTION("""COMPUTED_VALUE"""),9.99999999E8)</f>
        <v/>
      </c>
      <c r="L125" s="368">
        <f>IFERROR(__xludf.DUMMYFUNCTION("""COMPUTED_VALUE"""),"一色 都々丸のグレードアップに使用するアイテム")</f>
        <v/>
      </c>
      <c r="M125" s="368" t="n"/>
      <c r="N125" s="369">
        <f>IFERROR(__xludf.DUMMYFUNCTION("""COMPUTED_VALUE"""),"2024-01-01 00:00:00")</f>
        <v/>
      </c>
      <c r="O125" s="368" t="n"/>
      <c r="P125" s="334" t="n"/>
    </row>
    <row r="126">
      <c r="A126" s="381" t="n"/>
      <c r="B126" s="368" t="n"/>
      <c r="C126" s="405" t="n"/>
      <c r="D126" s="368" t="n"/>
      <c r="E126" s="368" t="n"/>
      <c r="F126" s="368" t="n"/>
      <c r="G126" s="368" t="n"/>
      <c r="H126" s="371" t="n"/>
      <c r="I126" s="371" t="n"/>
      <c r="J126" s="368" t="n"/>
      <c r="K126" s="368" t="n"/>
      <c r="L126" s="368" t="n"/>
      <c r="M126" s="368" t="n"/>
      <c r="N126" s="369" t="n"/>
      <c r="O126" s="368" t="n"/>
      <c r="P126" s="334" t="n"/>
    </row>
    <row r="127">
      <c r="A127" s="384">
        <f>IFERROR(__xludf.DUMMYFUNCTION("""COMPUTED_VALUE"""),"aha")</f>
        <v/>
      </c>
      <c r="B127" s="512" t="n"/>
      <c r="C127" s="512" t="n"/>
      <c r="D127" s="512" t="n"/>
      <c r="E127" s="512" t="n"/>
      <c r="F127" s="512" t="n"/>
      <c r="G127" s="512" t="n"/>
      <c r="H127" s="512" t="n"/>
      <c r="I127" s="512" t="n"/>
      <c r="J127" s="512" t="n"/>
      <c r="K127" s="512" t="n"/>
      <c r="L127" s="512" t="n"/>
      <c r="M127" s="512" t="n"/>
      <c r="N127" s="497" t="n"/>
      <c r="O127" s="368" t="n"/>
      <c r="P127" s="334" t="n"/>
    </row>
    <row r="128">
      <c r="A128" s="308">
        <f>IFERROR(__xludf.DUMMYFUNCTION("""COMPUTED_VALUE"""),"aha")</f>
        <v/>
      </c>
      <c r="B128" s="383">
        <f>IFERROR(__xludf.DUMMYFUNCTION("""COMPUTED_VALUE"""),"阿波連さんははかれない")</f>
        <v/>
      </c>
      <c r="C128" s="383">
        <f>IFERROR(__xludf.DUMMYFUNCTION("""COMPUTED_VALUE"""),"piece")</f>
        <v/>
      </c>
      <c r="D128" s="407">
        <f>IFERROR(__xludf.DUMMYFUNCTION("""COMPUTED_VALUE"""),"00101")</f>
        <v/>
      </c>
      <c r="E128" s="407">
        <f>IFERROR(__xludf.DUMMYFUNCTION("""COMPUTED_VALUE"""),"piece_aha_00101")</f>
        <v/>
      </c>
      <c r="F128" s="407">
        <f>IFERROR(__xludf.DUMMYFUNCTION("""COMPUTED_VALUE"""),"piece_aha_00101")</f>
        <v/>
      </c>
      <c r="G128" s="383">
        <f>IFERROR(__xludf.DUMMYFUNCTION("""COMPUTED_VALUE"""),"item_icon_piece_aha_00101")</f>
        <v/>
      </c>
      <c r="H128" s="404">
        <f>IFERROR(__xludf.DUMMYFUNCTION("""COMPUTED_VALUE"""),"阿波連 れいなのかけら")</f>
        <v/>
      </c>
      <c r="I128" s="404">
        <f>IFERROR(__xludf.DUMMYFUNCTION("""COMPUTED_VALUE"""),"SSR")</f>
        <v/>
      </c>
      <c r="J128" s="404">
        <f>IFERROR(__xludf.DUMMYFUNCTION("""COMPUTED_VALUE"""),9.99999999E8)</f>
        <v/>
      </c>
      <c r="K128" s="404">
        <f>IFERROR(__xludf.DUMMYFUNCTION("""COMPUTED_VALUE"""),9.99999999E8)</f>
        <v/>
      </c>
      <c r="L128" s="383">
        <f>IFERROR(__xludf.DUMMYFUNCTION("""COMPUTED_VALUE"""),"阿波連 れいなのグレードアップに使用するアイテム")</f>
        <v/>
      </c>
      <c r="M128" s="383" t="n"/>
      <c r="N128" s="402">
        <f>IFERROR(__xludf.DUMMYFUNCTION("""COMPUTED_VALUE"""),"2024-01-01 00:00:00")</f>
        <v/>
      </c>
      <c r="O128" s="368" t="n"/>
      <c r="P128" s="334" t="n"/>
    </row>
    <row r="129">
      <c r="A129" s="308" t="n"/>
      <c r="B129" s="383" t="n"/>
      <c r="C129" s="383" t="n"/>
      <c r="D129" s="407" t="n"/>
      <c r="E129" s="407" t="n"/>
      <c r="F129" s="383" t="n"/>
      <c r="G129" s="383" t="n"/>
      <c r="H129" s="404" t="n"/>
      <c r="I129" s="404" t="n"/>
      <c r="J129" s="383" t="n"/>
      <c r="K129" s="383" t="n"/>
      <c r="L129" s="383" t="n"/>
      <c r="M129" s="383" t="n"/>
      <c r="N129" s="402" t="n"/>
      <c r="O129" s="368" t="n"/>
      <c r="P129" s="334" t="n"/>
    </row>
    <row r="130">
      <c r="A130" s="381">
        <f>IFERROR(__xludf.DUMMYFUNCTION("""COMPUTED_VALUE"""),"tak")</f>
        <v/>
      </c>
      <c r="B130" s="368">
        <f>IFERROR(__xludf.DUMMYFUNCTION("""COMPUTED_VALUE"""),"タコピーの原罪")</f>
        <v/>
      </c>
      <c r="C130" s="368">
        <f>IFERROR(__xludf.DUMMYFUNCTION("""COMPUTED_VALUE"""),"piece")</f>
        <v/>
      </c>
      <c r="D130" s="382">
        <f>IFERROR(__xludf.DUMMYFUNCTION("""COMPUTED_VALUE"""),"00001")</f>
        <v/>
      </c>
      <c r="E130" s="368">
        <f>IFERROR(__xludf.DUMMYFUNCTION("""COMPUTED_VALUE"""),"piece_tak_00001")</f>
        <v/>
      </c>
      <c r="F130" s="382">
        <f>IFERROR(__xludf.DUMMYFUNCTION("""COMPUTED_VALUE"""),"piece_tak_00001")</f>
        <v/>
      </c>
      <c r="G130" s="368">
        <f>IFERROR(__xludf.DUMMYFUNCTION("""COMPUTED_VALUE"""),"item_icon_piece_tak_00001")</f>
        <v/>
      </c>
      <c r="H130" s="368">
        <f>IFERROR(__xludf.DUMMYFUNCTION("""COMPUTED_VALUE"""),"ハッピー星からの使者 タコピーのかけら")</f>
        <v/>
      </c>
      <c r="I130" s="368">
        <f>IFERROR(__xludf.DUMMYFUNCTION("""COMPUTED_VALUE"""),"UR")</f>
        <v/>
      </c>
      <c r="J130" s="371">
        <f>IFERROR(__xludf.DUMMYFUNCTION("""COMPUTED_VALUE"""),9.99999999E8)</f>
        <v/>
      </c>
      <c r="K130" s="371">
        <f>IFERROR(__xludf.DUMMYFUNCTION("""COMPUTED_VALUE"""),9.99999999E8)</f>
        <v/>
      </c>
      <c r="L130" s="368">
        <f>IFERROR(__xludf.DUMMYFUNCTION("""COMPUTED_VALUE"""),"ハッピー星からの使者 タコピーのグレードアップに使用するアイテム")</f>
        <v/>
      </c>
      <c r="M130" s="368" t="n"/>
      <c r="N130" s="382">
        <f>IFERROR(__xludf.DUMMYFUNCTION("""COMPUTED_VALUE"""),"2024-01-01 00:00:00")</f>
        <v/>
      </c>
      <c r="O130" s="368" t="n"/>
      <c r="P130" s="334" t="n"/>
    </row>
    <row r="131">
      <c r="A131" s="381" t="n"/>
      <c r="B131" s="368" t="n"/>
      <c r="C131" s="368" t="n"/>
      <c r="D131" s="368" t="n"/>
      <c r="E131" s="368" t="n"/>
      <c r="F131" s="368" t="n"/>
      <c r="G131" s="368" t="n"/>
      <c r="H131" s="368" t="n"/>
      <c r="I131" s="368" t="n"/>
      <c r="J131" s="368" t="n"/>
      <c r="K131" s="368" t="n"/>
      <c r="L131" s="368" t="n"/>
      <c r="M131" s="368" t="n"/>
      <c r="N131" s="368" t="n"/>
      <c r="O131" s="368" t="n"/>
      <c r="P131" s="334" t="n"/>
    </row>
    <row r="132">
      <c r="A132" s="381">
        <f>IFERROR(__xludf.DUMMYFUNCTION("""COMPUTED_VALUE"""),"jig")</f>
        <v/>
      </c>
      <c r="B132" s="368">
        <f>IFERROR(__xludf.DUMMYFUNCTION("""COMPUTED_VALUE"""),"地獄楽")</f>
        <v/>
      </c>
      <c r="C132" s="368">
        <f>IFERROR(__xludf.DUMMYFUNCTION("""COMPUTED_VALUE"""),"piece")</f>
        <v/>
      </c>
      <c r="D132" s="382">
        <f>IFERROR(__xludf.DUMMYFUNCTION("""COMPUTED_VALUE"""),"00001")</f>
        <v/>
      </c>
      <c r="E132" s="368">
        <f>IFERROR(__xludf.DUMMYFUNCTION("""COMPUTED_VALUE"""),"piece_jig_00001")</f>
        <v/>
      </c>
      <c r="F132" s="382">
        <f>IFERROR(__xludf.DUMMYFUNCTION("""COMPUTED_VALUE"""),"piece_jig_00001")</f>
        <v/>
      </c>
      <c r="G132" s="368">
        <f>IFERROR(__xludf.DUMMYFUNCTION("""COMPUTED_VALUE"""),"item_icon_piece_jig_00001")</f>
        <v/>
      </c>
      <c r="H132" s="368">
        <f>IFERROR(__xludf.DUMMYFUNCTION("""COMPUTED_VALUE"""),"がらんの画眉丸のかけら")</f>
        <v/>
      </c>
      <c r="I132" s="368">
        <f>IFERROR(__xludf.DUMMYFUNCTION("""COMPUTED_VALUE"""),"UR")</f>
        <v/>
      </c>
      <c r="J132" s="371">
        <f>IFERROR(__xludf.DUMMYFUNCTION("""COMPUTED_VALUE"""),9.99999999E8)</f>
        <v/>
      </c>
      <c r="K132" s="371">
        <f>IFERROR(__xludf.DUMMYFUNCTION("""COMPUTED_VALUE"""),9.99999999E8)</f>
        <v/>
      </c>
      <c r="L132" s="368">
        <f>IFERROR(__xludf.DUMMYFUNCTION("""COMPUTED_VALUE"""),"がらんの画眉丸のグレードアップに使用するアイテム")</f>
        <v/>
      </c>
      <c r="M132" s="368" t="n"/>
      <c r="N132" s="382">
        <f>IFERROR(__xludf.DUMMYFUNCTION("""COMPUTED_VALUE"""),"2024-01-01 00:00:00")</f>
        <v/>
      </c>
      <c r="O132" s="368" t="n"/>
      <c r="P132" s="334" t="n"/>
    </row>
    <row r="133">
      <c r="A133" s="381">
        <f>IFERROR(__xludf.DUMMYFUNCTION("""COMPUTED_VALUE"""),"jig")</f>
        <v/>
      </c>
      <c r="B133" s="368">
        <f>IFERROR(__xludf.DUMMYFUNCTION("""COMPUTED_VALUE"""),"地獄楽")</f>
        <v/>
      </c>
      <c r="C133" s="368">
        <f>IFERROR(__xludf.DUMMYFUNCTION("""COMPUTED_VALUE"""),"piece")</f>
        <v/>
      </c>
      <c r="D133" s="382">
        <f>IFERROR(__xludf.DUMMYFUNCTION("""COMPUTED_VALUE"""),"00101")</f>
        <v/>
      </c>
      <c r="E133" s="368">
        <f>IFERROR(__xludf.DUMMYFUNCTION("""COMPUTED_VALUE"""),"piece_jig_00101")</f>
        <v/>
      </c>
      <c r="F133" s="382">
        <f>IFERROR(__xludf.DUMMYFUNCTION("""COMPUTED_VALUE"""),"piece_jig_00101")</f>
        <v/>
      </c>
      <c r="G133" s="368">
        <f>IFERROR(__xludf.DUMMYFUNCTION("""COMPUTED_VALUE"""),"item_icon_piece_jig_00101")</f>
        <v/>
      </c>
      <c r="H133" s="368">
        <f>IFERROR(__xludf.DUMMYFUNCTION("""COMPUTED_VALUE"""),"山田浅ェ門 佐切のかけら")</f>
        <v/>
      </c>
      <c r="I133" s="368">
        <f>IFERROR(__xludf.DUMMYFUNCTION("""COMPUTED_VALUE"""),"SSR")</f>
        <v/>
      </c>
      <c r="J133" s="371">
        <f>IFERROR(__xludf.DUMMYFUNCTION("""COMPUTED_VALUE"""),9.99999999E8)</f>
        <v/>
      </c>
      <c r="K133" s="371">
        <f>IFERROR(__xludf.DUMMYFUNCTION("""COMPUTED_VALUE"""),9.99999999E8)</f>
        <v/>
      </c>
      <c r="L133" s="368">
        <f>IFERROR(__xludf.DUMMYFUNCTION("""COMPUTED_VALUE"""),"山田浅ェ門 佐切のグレードアップに使用するアイテム")</f>
        <v/>
      </c>
      <c r="M133" s="368" t="n"/>
      <c r="N133" s="382">
        <f>IFERROR(__xludf.DUMMYFUNCTION("""COMPUTED_VALUE"""),"2024-01-01 00:00:00")</f>
        <v/>
      </c>
      <c r="O133" s="368" t="n"/>
      <c r="P133" s="334" t="n"/>
    </row>
    <row r="134">
      <c r="A134" s="334">
        <f>IFERROR(__xludf.DUMMYFUNCTION("""COMPUTED_VALUE"""),"jig")</f>
        <v/>
      </c>
      <c r="B134" s="334">
        <f>IFERROR(__xludf.DUMMYFUNCTION("""COMPUTED_VALUE"""),"地獄楽")</f>
        <v/>
      </c>
      <c r="C134" s="334">
        <f>IFERROR(__xludf.DUMMYFUNCTION("""COMPUTED_VALUE"""),"piece")</f>
        <v/>
      </c>
      <c r="D134" s="408">
        <f>IFERROR(__xludf.DUMMYFUNCTION("""COMPUTED_VALUE"""),"00201")</f>
        <v/>
      </c>
      <c r="E134" s="334">
        <f>IFERROR(__xludf.DUMMYFUNCTION("""COMPUTED_VALUE"""),"piece_jig_00201")</f>
        <v/>
      </c>
      <c r="F134" s="408">
        <f>IFERROR(__xludf.DUMMYFUNCTION("""COMPUTED_VALUE"""),"piece_jig_00201")</f>
        <v/>
      </c>
      <c r="G134" s="334">
        <f>IFERROR(__xludf.DUMMYFUNCTION("""COMPUTED_VALUE"""),"item_icon_piece_jig_00201")</f>
        <v/>
      </c>
      <c r="H134" s="334">
        <f>IFERROR(__xludf.DUMMYFUNCTION("""COMPUTED_VALUE"""),"杠のかけら")</f>
        <v/>
      </c>
      <c r="I134" s="334">
        <f>IFERROR(__xludf.DUMMYFUNCTION("""COMPUTED_VALUE"""),"SSR")</f>
        <v/>
      </c>
      <c r="J134" s="409">
        <f>IFERROR(__xludf.DUMMYFUNCTION("""COMPUTED_VALUE"""),9.99999999E8)</f>
        <v/>
      </c>
      <c r="K134" s="409">
        <f>IFERROR(__xludf.DUMMYFUNCTION("""COMPUTED_VALUE"""),9.99999999E8)</f>
        <v/>
      </c>
      <c r="L134" s="334">
        <f>IFERROR(__xludf.DUMMYFUNCTION("""COMPUTED_VALUE"""),"杠のグレードアップに使用するアイテム")</f>
        <v/>
      </c>
      <c r="M134" s="334" t="n"/>
      <c r="N134" s="410">
        <f>IFERROR(__xludf.DUMMYFUNCTION("""COMPUTED_VALUE"""),"2024-01-01 00:00:00")</f>
        <v/>
      </c>
      <c r="O134" s="368" t="n"/>
      <c r="P134" s="334" t="n"/>
    </row>
    <row r="135">
      <c r="A135" s="334">
        <f>IFERROR(__xludf.DUMMYFUNCTION("""COMPUTED_VALUE"""),"jig")</f>
        <v/>
      </c>
      <c r="B135" s="334">
        <f>IFERROR(__xludf.DUMMYFUNCTION("""COMPUTED_VALUE"""),"地獄楽")</f>
        <v/>
      </c>
      <c r="C135" s="334">
        <f>IFERROR(__xludf.DUMMYFUNCTION("""COMPUTED_VALUE"""),"piece")</f>
        <v/>
      </c>
      <c r="D135" s="408">
        <f>IFERROR(__xludf.DUMMYFUNCTION("""COMPUTED_VALUE"""),"00301")</f>
        <v/>
      </c>
      <c r="E135" s="334">
        <f>IFERROR(__xludf.DUMMYFUNCTION("""COMPUTED_VALUE"""),"piece_jig_00301")</f>
        <v/>
      </c>
      <c r="F135" s="408">
        <f>IFERROR(__xludf.DUMMYFUNCTION("""COMPUTED_VALUE"""),"piece_jig_00301")</f>
        <v/>
      </c>
      <c r="G135" s="334">
        <f>IFERROR(__xludf.DUMMYFUNCTION("""COMPUTED_VALUE"""),"item_icon_piece_jig_00301")</f>
        <v/>
      </c>
      <c r="H135" s="334">
        <f>IFERROR(__xludf.DUMMYFUNCTION("""COMPUTED_VALUE"""),"山田浅ェ門 仙汰のかけら")</f>
        <v/>
      </c>
      <c r="I135" s="334">
        <f>IFERROR(__xludf.DUMMYFUNCTION("""COMPUTED_VALUE"""),"SR")</f>
        <v/>
      </c>
      <c r="J135" s="409">
        <f>IFERROR(__xludf.DUMMYFUNCTION("""COMPUTED_VALUE"""),9.99999999E8)</f>
        <v/>
      </c>
      <c r="K135" s="409">
        <f>IFERROR(__xludf.DUMMYFUNCTION("""COMPUTED_VALUE"""),9.99999999E8)</f>
        <v/>
      </c>
      <c r="L135" s="334">
        <f>IFERROR(__xludf.DUMMYFUNCTION("""COMPUTED_VALUE"""),"山田浅ェ門 仙汰のグレードアップに使用するアイテム")</f>
        <v/>
      </c>
      <c r="M135" s="334" t="n"/>
      <c r="N135" s="410">
        <f>IFERROR(__xludf.DUMMYFUNCTION("""COMPUTED_VALUE"""),"2024-01-01 00:00:00")</f>
        <v/>
      </c>
      <c r="O135" s="368" t="n"/>
      <c r="P135" s="334" t="n"/>
    </row>
    <row r="136">
      <c r="A136" s="334" t="n"/>
      <c r="B136" s="334" t="n"/>
      <c r="C136" s="334" t="n"/>
      <c r="D136" s="334" t="n"/>
      <c r="E136" s="334" t="n"/>
      <c r="F136" s="334" t="n"/>
      <c r="G136" s="334" t="n"/>
      <c r="H136" s="334" t="n"/>
      <c r="I136" s="334" t="n"/>
      <c r="J136" s="334" t="n"/>
      <c r="K136" s="334" t="n"/>
      <c r="L136" s="334" t="n"/>
      <c r="M136" s="334" t="n"/>
      <c r="N136" s="339" t="n"/>
      <c r="O136" s="368" t="n"/>
      <c r="P136" s="334" t="n"/>
    </row>
    <row r="137">
      <c r="A137" s="334">
        <f>IFERROR(__xludf.DUMMYFUNCTION("""COMPUTED_VALUE"""),"mag")</f>
        <v/>
      </c>
      <c r="B137" s="334">
        <f>IFERROR(__xludf.DUMMYFUNCTION("""COMPUTED_VALUE"""),"株式会社マジルミエ")</f>
        <v/>
      </c>
      <c r="C137" s="334">
        <f>IFERROR(__xludf.DUMMYFUNCTION("""COMPUTED_VALUE"""),"piece")</f>
        <v/>
      </c>
      <c r="D137" s="408">
        <f>IFERROR(__xludf.DUMMYFUNCTION("""COMPUTED_VALUE"""),"00001")</f>
        <v/>
      </c>
      <c r="E137" s="334">
        <f>IFERROR(__xludf.DUMMYFUNCTION("""COMPUTED_VALUE"""),"piece_mag_00001")</f>
        <v/>
      </c>
      <c r="F137" s="408">
        <f>IFERROR(__xludf.DUMMYFUNCTION("""COMPUTED_VALUE"""),"piece_mag_00001")</f>
        <v/>
      </c>
      <c r="G137" s="334">
        <f>IFERROR(__xludf.DUMMYFUNCTION("""COMPUTED_VALUE"""),"item_icon_piece_mag_00001")</f>
        <v/>
      </c>
      <c r="H137" s="334">
        <f>IFERROR(__xludf.DUMMYFUNCTION("""COMPUTED_VALUE"""),"新人魔法少女 桜木 カナのかけら")</f>
        <v/>
      </c>
      <c r="I137" s="334">
        <f>IFERROR(__xludf.DUMMYFUNCTION("""COMPUTED_VALUE"""),"UR")</f>
        <v/>
      </c>
      <c r="J137" s="409">
        <f>IFERROR(__xludf.DUMMYFUNCTION("""COMPUTED_VALUE"""),9.99999999E8)</f>
        <v/>
      </c>
      <c r="K137" s="409">
        <f>IFERROR(__xludf.DUMMYFUNCTION("""COMPUTED_VALUE"""),9.99999999E8)</f>
        <v/>
      </c>
      <c r="L137" s="334">
        <f>IFERROR(__xludf.DUMMYFUNCTION("""COMPUTED_VALUE"""),"新人魔法少女 桜木 カナのグレードアップに使用するアイテム")</f>
        <v/>
      </c>
      <c r="M137" s="334" t="n"/>
      <c r="N137" s="410">
        <f>IFERROR(__xludf.DUMMYFUNCTION("""COMPUTED_VALUE"""),"2024-01-01 00:00:00")</f>
        <v/>
      </c>
      <c r="O137" s="368" t="n"/>
      <c r="P137" s="334" t="n"/>
    </row>
    <row r="138">
      <c r="A138" s="334">
        <f>IFERROR(__xludf.DUMMYFUNCTION("""COMPUTED_VALUE"""),"mag")</f>
        <v/>
      </c>
      <c r="B138" s="334">
        <f>IFERROR(__xludf.DUMMYFUNCTION("""COMPUTED_VALUE"""),"株式会社マジルミエ")</f>
        <v/>
      </c>
      <c r="C138" s="334">
        <f>IFERROR(__xludf.DUMMYFUNCTION("""COMPUTED_VALUE"""),"piece")</f>
        <v/>
      </c>
      <c r="D138" s="408">
        <f>IFERROR(__xludf.DUMMYFUNCTION("""COMPUTED_VALUE"""),"00101")</f>
        <v/>
      </c>
      <c r="E138" s="334">
        <f>IFERROR(__xludf.DUMMYFUNCTION("""COMPUTED_VALUE"""),"piece_mag_00101")</f>
        <v/>
      </c>
      <c r="F138" s="408">
        <f>IFERROR(__xludf.DUMMYFUNCTION("""COMPUTED_VALUE"""),"piece_mag_00101")</f>
        <v/>
      </c>
      <c r="G138" s="334">
        <f>IFERROR(__xludf.DUMMYFUNCTION("""COMPUTED_VALUE"""),"item_icon_piece_mag_00101")</f>
        <v/>
      </c>
      <c r="H138" s="334">
        <f>IFERROR(__xludf.DUMMYFUNCTION("""COMPUTED_VALUE"""),"越谷 仁美のかけら")</f>
        <v/>
      </c>
      <c r="I138" s="334">
        <f>IFERROR(__xludf.DUMMYFUNCTION("""COMPUTED_VALUE"""),"SR")</f>
        <v/>
      </c>
      <c r="J138" s="409">
        <f>IFERROR(__xludf.DUMMYFUNCTION("""COMPUTED_VALUE"""),9.99999999E8)</f>
        <v/>
      </c>
      <c r="K138" s="409">
        <f>IFERROR(__xludf.DUMMYFUNCTION("""COMPUTED_VALUE"""),9.99999999E8)</f>
        <v/>
      </c>
      <c r="L138" s="334">
        <f>IFERROR(__xludf.DUMMYFUNCTION("""COMPUTED_VALUE"""),"越谷 仁美のグレードアップに使用するアイテム")</f>
        <v/>
      </c>
      <c r="M138" s="334" t="n"/>
      <c r="N138" s="410">
        <f>IFERROR(__xludf.DUMMYFUNCTION("""COMPUTED_VALUE"""),"2024-01-01 00:00:00")</f>
        <v/>
      </c>
      <c r="O138" s="368" t="n"/>
      <c r="P138" s="334" t="n"/>
    </row>
    <row r="139">
      <c r="A139" s="334">
        <f>IFERROR(__xludf.DUMMYFUNCTION("""COMPUTED_VALUE"""),"mag")</f>
        <v/>
      </c>
      <c r="B139" s="334">
        <f>IFERROR(__xludf.DUMMYFUNCTION("""COMPUTED_VALUE"""),"株式会社マジルミエ")</f>
        <v/>
      </c>
      <c r="C139" s="334">
        <f>IFERROR(__xludf.DUMMYFUNCTION("""COMPUTED_VALUE"""),"piece")</f>
        <v/>
      </c>
      <c r="D139" s="408">
        <f>IFERROR(__xludf.DUMMYFUNCTION("""COMPUTED_VALUE"""),"00201")</f>
        <v/>
      </c>
      <c r="E139" s="334">
        <f>IFERROR(__xludf.DUMMYFUNCTION("""COMPUTED_VALUE"""),"piece_mag_00201")</f>
        <v/>
      </c>
      <c r="F139" s="408">
        <f>IFERROR(__xludf.DUMMYFUNCTION("""COMPUTED_VALUE"""),"piece_mag_00201")</f>
        <v/>
      </c>
      <c r="G139" s="334">
        <f>IFERROR(__xludf.DUMMYFUNCTION("""COMPUTED_VALUE"""),"item_icon_piece_mag_00201")</f>
        <v/>
      </c>
      <c r="H139" s="334">
        <f>IFERROR(__xludf.DUMMYFUNCTION("""COMPUTED_VALUE"""),"絶対効率の体現者 土刃 メイのかけら")</f>
        <v/>
      </c>
      <c r="I139" s="334">
        <f>IFERROR(__xludf.DUMMYFUNCTION("""COMPUTED_VALUE"""),"UR")</f>
        <v/>
      </c>
      <c r="J139" s="409">
        <f>IFERROR(__xludf.DUMMYFUNCTION("""COMPUTED_VALUE"""),9.99999999E8)</f>
        <v/>
      </c>
      <c r="K139" s="409">
        <f>IFERROR(__xludf.DUMMYFUNCTION("""COMPUTED_VALUE"""),9.99999999E8)</f>
        <v/>
      </c>
      <c r="L139" s="334">
        <f>IFERROR(__xludf.DUMMYFUNCTION("""COMPUTED_VALUE"""),"絶対効率の体現者 土刃 メイのグレードアップに使用するアイテム")</f>
        <v/>
      </c>
      <c r="M139" s="334" t="n"/>
      <c r="N139" s="411">
        <f>IFERROR(__xludf.DUMMYFUNCTION("""COMPUTED_VALUE"""),45967.625)</f>
        <v/>
      </c>
      <c r="O139" s="368" t="n"/>
      <c r="P139" s="334" t="n"/>
    </row>
    <row r="140">
      <c r="A140" s="334">
        <f>IFERROR(__xludf.DUMMYFUNCTION("""COMPUTED_VALUE"""),"mag")</f>
        <v/>
      </c>
      <c r="B140" s="334">
        <f>IFERROR(__xludf.DUMMYFUNCTION("""COMPUTED_VALUE"""),"株式会社マジルミエ")</f>
        <v/>
      </c>
      <c r="C140" s="334">
        <f>IFERROR(__xludf.DUMMYFUNCTION("""COMPUTED_VALUE"""),"piece")</f>
        <v/>
      </c>
      <c r="D140" s="408">
        <f>IFERROR(__xludf.DUMMYFUNCTION("""COMPUTED_VALUE"""),"00301")</f>
        <v/>
      </c>
      <c r="E140" s="334">
        <f>IFERROR(__xludf.DUMMYFUNCTION("""COMPUTED_VALUE"""),"piece_mag_00301")</f>
        <v/>
      </c>
      <c r="F140" s="408">
        <f>IFERROR(__xludf.DUMMYFUNCTION("""COMPUTED_VALUE"""),"piece_mag_00301")</f>
        <v/>
      </c>
      <c r="G140" s="334">
        <f>IFERROR(__xludf.DUMMYFUNCTION("""COMPUTED_VALUE"""),"item_icon_piece_mag_00301")</f>
        <v/>
      </c>
      <c r="H140" s="334">
        <f>IFERROR(__xludf.DUMMYFUNCTION("""COMPUTED_VALUE"""),"葵 リリーのかけら")</f>
        <v/>
      </c>
      <c r="I140" s="334">
        <f>IFERROR(__xludf.DUMMYFUNCTION("""COMPUTED_VALUE"""),"SSR")</f>
        <v/>
      </c>
      <c r="J140" s="409">
        <f>IFERROR(__xludf.DUMMYFUNCTION("""COMPUTED_VALUE"""),9.99999999E8)</f>
        <v/>
      </c>
      <c r="K140" s="409">
        <f>IFERROR(__xludf.DUMMYFUNCTION("""COMPUTED_VALUE"""),9.99999999E8)</f>
        <v/>
      </c>
      <c r="L140" s="334">
        <f>IFERROR(__xludf.DUMMYFUNCTION("""COMPUTED_VALUE"""),"葵 リリーのグレードアップに使用するアイテム")</f>
        <v/>
      </c>
      <c r="M140" s="334" t="n"/>
      <c r="N140" s="411">
        <f>IFERROR(__xludf.DUMMYFUNCTION("""COMPUTED_VALUE"""),45967.625)</f>
        <v/>
      </c>
      <c r="O140" s="368" t="n"/>
      <c r="P140" s="334" t="n"/>
    </row>
    <row r="141">
      <c r="A141" s="334">
        <f>IFERROR(__xludf.DUMMYFUNCTION("""COMPUTED_VALUE"""),"mag")</f>
        <v/>
      </c>
      <c r="B141" s="334">
        <f>IFERROR(__xludf.DUMMYFUNCTION("""COMPUTED_VALUE"""),"株式会社マジルミエ")</f>
        <v/>
      </c>
      <c r="C141" s="334">
        <f>IFERROR(__xludf.DUMMYFUNCTION("""COMPUTED_VALUE"""),"piece")</f>
        <v/>
      </c>
      <c r="D141" s="408">
        <f>IFERROR(__xludf.DUMMYFUNCTION("""COMPUTED_VALUE"""),"00401")</f>
        <v/>
      </c>
      <c r="E141" s="334">
        <f>IFERROR(__xludf.DUMMYFUNCTION("""COMPUTED_VALUE"""),"piece_mag_00401")</f>
        <v/>
      </c>
      <c r="F141" s="408">
        <f>IFERROR(__xludf.DUMMYFUNCTION("""COMPUTED_VALUE"""),"piece_mag_00401")</f>
        <v/>
      </c>
      <c r="G141" s="334">
        <f>IFERROR(__xludf.DUMMYFUNCTION("""COMPUTED_VALUE"""),"item_icon_piece_mag_00401")</f>
        <v/>
      </c>
      <c r="H141" s="334">
        <f>IFERROR(__xludf.DUMMYFUNCTION("""COMPUTED_VALUE"""),"槇野 あかねのかけら")</f>
        <v/>
      </c>
      <c r="I141" s="334">
        <f>IFERROR(__xludf.DUMMYFUNCTION("""COMPUTED_VALUE"""),"SR")</f>
        <v/>
      </c>
      <c r="J141" s="409">
        <f>IFERROR(__xludf.DUMMYFUNCTION("""COMPUTED_VALUE"""),9.99999999E8)</f>
        <v/>
      </c>
      <c r="K141" s="409">
        <f>IFERROR(__xludf.DUMMYFUNCTION("""COMPUTED_VALUE"""),9.99999999E8)</f>
        <v/>
      </c>
      <c r="L141" s="334">
        <f>IFERROR(__xludf.DUMMYFUNCTION("""COMPUTED_VALUE"""),"槇野 あかねのグレードアップに使用するアイテム")</f>
        <v/>
      </c>
      <c r="M141" s="334" t="n"/>
      <c r="N141" s="411">
        <f>IFERROR(__xludf.DUMMYFUNCTION("""COMPUTED_VALUE"""),45967.625)</f>
        <v/>
      </c>
      <c r="O141" s="368" t="n"/>
      <c r="P141" s="334" t="n"/>
    </row>
    <row r="142">
      <c r="A142" s="334">
        <f>IFERROR(__xludf.DUMMYFUNCTION("""COMPUTED_VALUE"""),"mag")</f>
        <v/>
      </c>
      <c r="B142" s="334">
        <f>IFERROR(__xludf.DUMMYFUNCTION("""COMPUTED_VALUE"""),"株式会社マジルミエ")</f>
        <v/>
      </c>
      <c r="C142" s="334">
        <f>IFERROR(__xludf.DUMMYFUNCTION("""COMPUTED_VALUE"""),"piece")</f>
        <v/>
      </c>
      <c r="D142" s="408">
        <f>IFERROR(__xludf.DUMMYFUNCTION("""COMPUTED_VALUE"""),"00501")</f>
        <v/>
      </c>
      <c r="E142" s="334">
        <f>IFERROR(__xludf.DUMMYFUNCTION("""COMPUTED_VALUE"""),"piece_mag_00501")</f>
        <v/>
      </c>
      <c r="F142" s="408">
        <f>IFERROR(__xludf.DUMMYFUNCTION("""COMPUTED_VALUE"""),"piece_mag_00501")</f>
        <v/>
      </c>
      <c r="G142" s="334">
        <f>IFERROR(__xludf.DUMMYFUNCTION("""COMPUTED_VALUE"""),"item_icon_piece_mag_00501")</f>
        <v/>
      </c>
      <c r="H142" s="334">
        <f>IFERROR(__xludf.DUMMYFUNCTION("""COMPUTED_VALUE"""),"重本 浩司のかけら")</f>
        <v/>
      </c>
      <c r="I142" s="334">
        <f>IFERROR(__xludf.DUMMYFUNCTION("""COMPUTED_VALUE"""),"SR")</f>
        <v/>
      </c>
      <c r="J142" s="409">
        <f>IFERROR(__xludf.DUMMYFUNCTION("""COMPUTED_VALUE"""),9.99999999E8)</f>
        <v/>
      </c>
      <c r="K142" s="409">
        <f>IFERROR(__xludf.DUMMYFUNCTION("""COMPUTED_VALUE"""),9.99999999E8)</f>
        <v/>
      </c>
      <c r="L142" s="334">
        <f>IFERROR(__xludf.DUMMYFUNCTION("""COMPUTED_VALUE"""),"重本 浩司のグレードアップに使用するアイテム")</f>
        <v/>
      </c>
      <c r="M142" s="334" t="n"/>
      <c r="N142" s="411">
        <f>IFERROR(__xludf.DUMMYFUNCTION("""COMPUTED_VALUE"""),45967.625)</f>
        <v/>
      </c>
      <c r="O142" s="368" t="n"/>
      <c r="P142" s="334" t="n"/>
    </row>
    <row r="143">
      <c r="A143" s="334" t="n"/>
      <c r="B143" s="334" t="n"/>
      <c r="C143" s="334" t="n"/>
      <c r="D143" s="334" t="n"/>
      <c r="E143" s="334" t="n"/>
      <c r="F143" s="334" t="n"/>
      <c r="G143" s="334" t="n"/>
      <c r="H143" s="334" t="n"/>
      <c r="I143" s="334" t="n"/>
      <c r="J143" s="334" t="n"/>
      <c r="K143" s="334" t="n"/>
      <c r="L143" s="334" t="n"/>
      <c r="M143" s="334" t="n"/>
      <c r="N143" s="339" t="n"/>
      <c r="O143" s="368" t="n"/>
      <c r="P143" s="334" t="n"/>
    </row>
    <row r="144">
      <c r="A144" s="334">
        <f>IFERROR(__xludf.DUMMYFUNCTION("""COMPUTED_VALUE"""),"dos")</f>
        <v/>
      </c>
      <c r="B144" s="334">
        <f>IFERROR(__xludf.DUMMYFUNCTION("""COMPUTED_VALUE"""),"道産子ギャルはなまらめんこい")</f>
        <v/>
      </c>
      <c r="C144" s="334">
        <f>IFERROR(__xludf.DUMMYFUNCTION("""COMPUTED_VALUE"""),"piece")</f>
        <v/>
      </c>
      <c r="D144" s="408">
        <f>IFERROR(__xludf.DUMMYFUNCTION("""COMPUTED_VALUE"""),"00001")</f>
        <v/>
      </c>
      <c r="E144" s="334">
        <f>IFERROR(__xludf.DUMMYFUNCTION("""COMPUTED_VALUE"""),"piece_dos_00001")</f>
        <v/>
      </c>
      <c r="F144" s="408">
        <f>IFERROR(__xludf.DUMMYFUNCTION("""COMPUTED_VALUE"""),"piece_dos_00001")</f>
        <v/>
      </c>
      <c r="G144" s="334">
        <f>IFERROR(__xludf.DUMMYFUNCTION("""COMPUTED_VALUE"""),"item_icon_piece_dos_00001")</f>
        <v/>
      </c>
      <c r="H144" s="334">
        <f>IFERROR(__xludf.DUMMYFUNCTION("""COMPUTED_VALUE"""),"冬木 美波のかけら")</f>
        <v/>
      </c>
      <c r="I144" s="334">
        <f>IFERROR(__xludf.DUMMYFUNCTION("""COMPUTED_VALUE"""),"SSR")</f>
        <v/>
      </c>
      <c r="J144" s="409">
        <f>IFERROR(__xludf.DUMMYFUNCTION("""COMPUTED_VALUE"""),9.99999999E8)</f>
        <v/>
      </c>
      <c r="K144" s="409">
        <f>IFERROR(__xludf.DUMMYFUNCTION("""COMPUTED_VALUE"""),9.99999999E8)</f>
        <v/>
      </c>
      <c r="L144" s="334">
        <f>IFERROR(__xludf.DUMMYFUNCTION("""COMPUTED_VALUE"""),"冬木 美波のグレードアップに使用するアイテム")</f>
        <v/>
      </c>
      <c r="M144" s="334" t="n"/>
      <c r="N144" s="410">
        <f>IFERROR(__xludf.DUMMYFUNCTION("""COMPUTED_VALUE"""),"2024-01-01 00:00:00")</f>
        <v/>
      </c>
      <c r="O144" s="368" t="n"/>
      <c r="P144" s="334" t="n"/>
    </row>
    <row r="145">
      <c r="A145" s="334">
        <f>IFERROR(__xludf.DUMMYFUNCTION("""COMPUTED_VALUE"""),"dos")</f>
        <v/>
      </c>
      <c r="B145" s="334">
        <f>IFERROR(__xludf.DUMMYFUNCTION("""COMPUTED_VALUE"""),"道産子ギャルはなまらめんこい")</f>
        <v/>
      </c>
      <c r="C145" s="334">
        <f>IFERROR(__xludf.DUMMYFUNCTION("""COMPUTED_VALUE"""),"piece")</f>
        <v/>
      </c>
      <c r="D145" s="408">
        <f>IFERROR(__xludf.DUMMYFUNCTION("""COMPUTED_VALUE"""),"00101")</f>
        <v/>
      </c>
      <c r="E145" s="334">
        <f>IFERROR(__xludf.DUMMYFUNCTION("""COMPUTED_VALUE"""),"piece_dos_00101")</f>
        <v/>
      </c>
      <c r="F145" s="408">
        <f>IFERROR(__xludf.DUMMYFUNCTION("""COMPUTED_VALUE"""),"piece_dos_00101")</f>
        <v/>
      </c>
      <c r="G145" s="334">
        <f>IFERROR(__xludf.DUMMYFUNCTION("""COMPUTED_VALUE"""),"item_icon_piece_dos_00101")</f>
        <v/>
      </c>
      <c r="H145" s="334">
        <f>IFERROR(__xludf.DUMMYFUNCTION("""COMPUTED_VALUE"""),"秋野 沙友理のかけら")</f>
        <v/>
      </c>
      <c r="I145" s="334">
        <f>IFERROR(__xludf.DUMMYFUNCTION("""COMPUTED_VALUE"""),"SSR")</f>
        <v/>
      </c>
      <c r="J145" s="409">
        <f>IFERROR(__xludf.DUMMYFUNCTION("""COMPUTED_VALUE"""),9.99999999E8)</f>
        <v/>
      </c>
      <c r="K145" s="409">
        <f>IFERROR(__xludf.DUMMYFUNCTION("""COMPUTED_VALUE"""),9.99999999E8)</f>
        <v/>
      </c>
      <c r="L145" s="334">
        <f>IFERROR(__xludf.DUMMYFUNCTION("""COMPUTED_VALUE"""),"秋野 沙友理のグレードアップに使用するアイテム")</f>
        <v/>
      </c>
      <c r="M145" s="334" t="n"/>
      <c r="N145" s="410">
        <f>IFERROR(__xludf.DUMMYFUNCTION("""COMPUTED_VALUE"""),"2024-01-01 00:00:00")</f>
        <v/>
      </c>
      <c r="O145" s="368" t="n"/>
      <c r="P145" s="334" t="n"/>
    </row>
    <row r="146">
      <c r="A146" s="334" t="n"/>
      <c r="B146" s="334" t="n"/>
      <c r="C146" s="334" t="n"/>
      <c r="D146" s="334" t="n"/>
      <c r="E146" s="334" t="n"/>
      <c r="F146" s="334" t="n"/>
      <c r="G146" s="334" t="n"/>
      <c r="H146" s="334" t="n"/>
      <c r="I146" s="334" t="n"/>
      <c r="J146" s="334" t="n"/>
      <c r="K146" s="334" t="n"/>
      <c r="L146" s="334" t="n"/>
      <c r="M146" s="334" t="n"/>
      <c r="N146" s="339" t="n"/>
      <c r="O146" s="368" t="n"/>
      <c r="P146" s="334" t="n"/>
    </row>
    <row r="147">
      <c r="A147" s="334">
        <f>IFERROR(__xludf.DUMMYFUNCTION("""COMPUTED_VALUE"""),"sum")</f>
        <v/>
      </c>
      <c r="B147" s="334">
        <f>IFERROR(__xludf.DUMMYFUNCTION("""COMPUTED_VALUE"""),"サマータイムレンダ")</f>
        <v/>
      </c>
      <c r="C147" s="334">
        <f>IFERROR(__xludf.DUMMYFUNCTION("""COMPUTED_VALUE"""),"piece")</f>
        <v/>
      </c>
      <c r="D147" s="408">
        <f>IFERROR(__xludf.DUMMYFUNCTION("""COMPUTED_VALUE"""),"00001")</f>
        <v/>
      </c>
      <c r="E147" s="334">
        <f>IFERROR(__xludf.DUMMYFUNCTION("""COMPUTED_VALUE"""),"piece_sum_00001")</f>
        <v/>
      </c>
      <c r="F147" s="408">
        <f>IFERROR(__xludf.DUMMYFUNCTION("""COMPUTED_VALUE"""),"piece_sum_00001")</f>
        <v/>
      </c>
      <c r="G147" s="334">
        <f>IFERROR(__xludf.DUMMYFUNCTION("""COMPUTED_VALUE"""),"item_icon_piece_sum_00001")</f>
        <v/>
      </c>
      <c r="H147" s="334">
        <f>IFERROR(__xludf.DUMMYFUNCTION("""COMPUTED_VALUE"""),"網代 慎平のかけら")</f>
        <v/>
      </c>
      <c r="I147" s="334">
        <f>IFERROR(__xludf.DUMMYFUNCTION("""COMPUTED_VALUE"""),"R")</f>
        <v/>
      </c>
      <c r="J147" s="409">
        <f>IFERROR(__xludf.DUMMYFUNCTION("""COMPUTED_VALUE"""),9.99999999E8)</f>
        <v/>
      </c>
      <c r="K147" s="409">
        <f>IFERROR(__xludf.DUMMYFUNCTION("""COMPUTED_VALUE"""),9.99999999E8)</f>
        <v/>
      </c>
      <c r="L147" s="334">
        <f>IFERROR(__xludf.DUMMYFUNCTION("""COMPUTED_VALUE"""),"網代 慎平のグレードアップに使用するアイテム")</f>
        <v/>
      </c>
      <c r="M147" s="334" t="n"/>
      <c r="N147" s="410">
        <f>IFERROR(__xludf.DUMMYFUNCTION("""COMPUTED_VALUE"""),"2024-01-01 00:00:00")</f>
        <v/>
      </c>
      <c r="O147" s="368" t="n"/>
      <c r="P147" s="334" t="n"/>
    </row>
    <row r="148">
      <c r="A148" s="334">
        <f>IFERROR(__xludf.DUMMYFUNCTION("""COMPUTED_VALUE"""),"sum")</f>
        <v/>
      </c>
      <c r="B148" s="334">
        <f>IFERROR(__xludf.DUMMYFUNCTION("""COMPUTED_VALUE"""),"サマータイムレンダ")</f>
        <v/>
      </c>
      <c r="C148" s="334">
        <f>IFERROR(__xludf.DUMMYFUNCTION("""COMPUTED_VALUE"""),"piece")</f>
        <v/>
      </c>
      <c r="D148" s="408">
        <f>IFERROR(__xludf.DUMMYFUNCTION("""COMPUTED_VALUE"""),"00101")</f>
        <v/>
      </c>
      <c r="E148" s="334">
        <f>IFERROR(__xludf.DUMMYFUNCTION("""COMPUTED_VALUE"""),"piece_sum_00101")</f>
        <v/>
      </c>
      <c r="F148" s="408">
        <f>IFERROR(__xludf.DUMMYFUNCTION("""COMPUTED_VALUE"""),"piece_sum_00101")</f>
        <v/>
      </c>
      <c r="G148" s="334">
        <f>IFERROR(__xludf.DUMMYFUNCTION("""COMPUTED_VALUE"""),"item_icon_piece_sum_00101")</f>
        <v/>
      </c>
      <c r="H148" s="334">
        <f>IFERROR(__xludf.DUMMYFUNCTION("""COMPUTED_VALUE"""),"影のウシオ 小舟 潮のかけら")</f>
        <v/>
      </c>
      <c r="I148" s="334">
        <f>IFERROR(__xludf.DUMMYFUNCTION("""COMPUTED_VALUE"""),"UR")</f>
        <v/>
      </c>
      <c r="J148" s="409">
        <f>IFERROR(__xludf.DUMMYFUNCTION("""COMPUTED_VALUE"""),9.99999999E8)</f>
        <v/>
      </c>
      <c r="K148" s="409">
        <f>IFERROR(__xludf.DUMMYFUNCTION("""COMPUTED_VALUE"""),9.99999999E8)</f>
        <v/>
      </c>
      <c r="L148" s="334">
        <f>IFERROR(__xludf.DUMMYFUNCTION("""COMPUTED_VALUE"""),"影のウシオ 小舟 潮のグレードアップに使用するアイテム")</f>
        <v/>
      </c>
      <c r="M148" s="334" t="n"/>
      <c r="N148" s="410">
        <f>IFERROR(__xludf.DUMMYFUNCTION("""COMPUTED_VALUE"""),"2024-01-01 00:00:00")</f>
        <v/>
      </c>
      <c r="O148" s="368" t="n"/>
      <c r="P148" s="334" t="n"/>
    </row>
    <row r="149">
      <c r="A149" s="334">
        <f>IFERROR(__xludf.DUMMYFUNCTION("""COMPUTED_VALUE"""),"sum")</f>
        <v/>
      </c>
      <c r="B149" s="334">
        <f>IFERROR(__xludf.DUMMYFUNCTION("""COMPUTED_VALUE"""),"サマータイムレンダ")</f>
        <v/>
      </c>
      <c r="C149" s="334">
        <f>IFERROR(__xludf.DUMMYFUNCTION("""COMPUTED_VALUE"""),"piece")</f>
        <v/>
      </c>
      <c r="D149" s="408">
        <f>IFERROR(__xludf.DUMMYFUNCTION("""COMPUTED_VALUE"""),"00201")</f>
        <v/>
      </c>
      <c r="E149" s="334">
        <f>IFERROR(__xludf.DUMMYFUNCTION("""COMPUTED_VALUE"""),"piece_sum_00201")</f>
        <v/>
      </c>
      <c r="F149" s="408">
        <f>IFERROR(__xludf.DUMMYFUNCTION("""COMPUTED_VALUE"""),"piece_sum_00201")</f>
        <v/>
      </c>
      <c r="G149" s="334">
        <f>IFERROR(__xludf.DUMMYFUNCTION("""COMPUTED_VALUE"""),"item_icon_piece_sum_00201")</f>
        <v/>
      </c>
      <c r="H149" s="334">
        <f>IFERROR(__xludf.DUMMYFUNCTION("""COMPUTED_VALUE"""),"小舟 澪のかけら")</f>
        <v/>
      </c>
      <c r="I149" s="334">
        <f>IFERROR(__xludf.DUMMYFUNCTION("""COMPUTED_VALUE"""),"SR")</f>
        <v/>
      </c>
      <c r="J149" s="409">
        <f>IFERROR(__xludf.DUMMYFUNCTION("""COMPUTED_VALUE"""),9.99999999E8)</f>
        <v/>
      </c>
      <c r="K149" s="409">
        <f>IFERROR(__xludf.DUMMYFUNCTION("""COMPUTED_VALUE"""),9.99999999E8)</f>
        <v/>
      </c>
      <c r="L149" s="334">
        <f>IFERROR(__xludf.DUMMYFUNCTION("""COMPUTED_VALUE"""),"小舟 澪のグレードアップに使用するアイテム")</f>
        <v/>
      </c>
      <c r="M149" s="334" t="n"/>
      <c r="N149" s="410">
        <f>IFERROR(__xludf.DUMMYFUNCTION("""COMPUTED_VALUE"""),"2024-01-01 00:00:00")</f>
        <v/>
      </c>
      <c r="O149" s="368" t="n"/>
      <c r="P149" s="334" t="n"/>
    </row>
    <row r="150">
      <c r="A150" s="334">
        <f>IFERROR(__xludf.DUMMYFUNCTION("""COMPUTED_VALUE"""),"sum")</f>
        <v/>
      </c>
      <c r="B150" s="334">
        <f>IFERROR(__xludf.DUMMYFUNCTION("""COMPUTED_VALUE"""),"サマータイムレンダ")</f>
        <v/>
      </c>
      <c r="C150" s="334">
        <f>IFERROR(__xludf.DUMMYFUNCTION("""COMPUTED_VALUE"""),"piece")</f>
        <v/>
      </c>
      <c r="D150" s="408">
        <f>IFERROR(__xludf.DUMMYFUNCTION("""COMPUTED_VALUE"""),"00301")</f>
        <v/>
      </c>
      <c r="E150" s="334">
        <f>IFERROR(__xludf.DUMMYFUNCTION("""COMPUTED_VALUE"""),"piece_sum_00301")</f>
        <v/>
      </c>
      <c r="F150" s="408">
        <f>IFERROR(__xludf.DUMMYFUNCTION("""COMPUTED_VALUE"""),"piece_sum_00301")</f>
        <v/>
      </c>
      <c r="G150" s="334">
        <f>IFERROR(__xludf.DUMMYFUNCTION("""COMPUTED_VALUE"""),"item_icon_piece_sum_00301")</f>
        <v/>
      </c>
      <c r="H150" s="334">
        <f>IFERROR(__xludf.DUMMYFUNCTION("""COMPUTED_VALUE"""),"南方 竜之介のかけら")</f>
        <v/>
      </c>
      <c r="I150" s="334">
        <f>IFERROR(__xludf.DUMMYFUNCTION("""COMPUTED_VALUE"""),"SSR")</f>
        <v/>
      </c>
      <c r="J150" s="409">
        <f>IFERROR(__xludf.DUMMYFUNCTION("""COMPUTED_VALUE"""),9.99999999E8)</f>
        <v/>
      </c>
      <c r="K150" s="409">
        <f>IFERROR(__xludf.DUMMYFUNCTION("""COMPUTED_VALUE"""),9.99999999E8)</f>
        <v/>
      </c>
      <c r="L150" s="334" t="n"/>
      <c r="M150" s="334" t="n"/>
      <c r="N150" s="339">
        <f>IFERROR(__xludf.DUMMYFUNCTION("""COMPUTED_VALUE"""),"未設定")</f>
        <v/>
      </c>
      <c r="O150" s="368" t="n"/>
      <c r="P150" s="334" t="n"/>
    </row>
    <row r="151">
      <c r="A151" s="334" t="n"/>
      <c r="B151" s="334" t="n"/>
      <c r="C151" s="334" t="n"/>
      <c r="D151" s="334" t="n"/>
      <c r="E151" s="334" t="n"/>
      <c r="F151" s="334" t="n"/>
      <c r="G151" s="334" t="n"/>
      <c r="H151" s="334" t="n"/>
      <c r="I151" s="334" t="n"/>
      <c r="J151" s="334" t="n"/>
      <c r="K151" s="334" t="n"/>
      <c r="L151" s="334" t="n"/>
      <c r="M151" s="334" t="n"/>
      <c r="N151" s="339" t="n"/>
      <c r="O151" s="368" t="n"/>
      <c r="P151" s="334" t="n"/>
    </row>
    <row r="152">
      <c r="A152" s="334">
        <f>IFERROR(__xludf.DUMMYFUNCTION("""COMPUTED_VALUE"""),"osh")</f>
        <v/>
      </c>
      <c r="B152" s="334">
        <f>IFERROR(__xludf.DUMMYFUNCTION("""COMPUTED_VALUE"""),"【推しの子】")</f>
        <v/>
      </c>
      <c r="C152" s="334">
        <f>IFERROR(__xludf.DUMMYFUNCTION("""COMPUTED_VALUE"""),"piece")</f>
        <v/>
      </c>
      <c r="D152" s="408">
        <f>IFERROR(__xludf.DUMMYFUNCTION("""COMPUTED_VALUE"""),"00001")</f>
        <v/>
      </c>
      <c r="E152" s="334">
        <f>IFERROR(__xludf.DUMMYFUNCTION("""COMPUTED_VALUE"""),"piece_osh_00001")</f>
        <v/>
      </c>
      <c r="F152" s="408">
        <f>IFERROR(__xludf.DUMMYFUNCTION("""COMPUTED_VALUE"""),"piece_osh_00001")</f>
        <v/>
      </c>
      <c r="G152" s="334">
        <f>IFERROR(__xludf.DUMMYFUNCTION("""COMPUTED_VALUE"""),"item_icon_piece_osh_00001")</f>
        <v/>
      </c>
      <c r="H152" s="334">
        <f>IFERROR(__xludf.DUMMYFUNCTION("""COMPUTED_VALUE"""),"B小町不動のセンター アイのかけら")</f>
        <v/>
      </c>
      <c r="I152" s="334">
        <f>IFERROR(__xludf.DUMMYFUNCTION("""COMPUTED_VALUE"""),"UR")</f>
        <v/>
      </c>
      <c r="J152" s="409">
        <f>IFERROR(__xludf.DUMMYFUNCTION("""COMPUTED_VALUE"""),9.99999999E8)</f>
        <v/>
      </c>
      <c r="K152" s="409">
        <f>IFERROR(__xludf.DUMMYFUNCTION("""COMPUTED_VALUE"""),9.99999999E8)</f>
        <v/>
      </c>
      <c r="L152" s="334">
        <f>IFERROR(__xludf.DUMMYFUNCTION("""COMPUTED_VALUE"""),"B小町不動のセンター アイのグレードアップに使用するアイテム")</f>
        <v/>
      </c>
      <c r="M152" s="334" t="n"/>
      <c r="N152" s="410">
        <f>IFERROR(__xludf.DUMMYFUNCTION("""COMPUTED_VALUE"""),"2026-01-01 00:00:00")</f>
        <v/>
      </c>
      <c r="O152" s="368" t="n"/>
      <c r="P152" s="334" t="n"/>
    </row>
    <row r="153">
      <c r="A153" s="334">
        <f>IFERROR(__xludf.DUMMYFUNCTION("""COMPUTED_VALUE"""),"osh")</f>
        <v/>
      </c>
      <c r="B153" s="334">
        <f>IFERROR(__xludf.DUMMYFUNCTION("""COMPUTED_VALUE"""),"【推しの子】")</f>
        <v/>
      </c>
      <c r="C153" s="334">
        <f>IFERROR(__xludf.DUMMYFUNCTION("""COMPUTED_VALUE"""),"piece")</f>
        <v/>
      </c>
      <c r="D153" s="408">
        <f>IFERROR(__xludf.DUMMYFUNCTION("""COMPUTED_VALUE"""),"00101")</f>
        <v/>
      </c>
      <c r="E153" s="334">
        <f>IFERROR(__xludf.DUMMYFUNCTION("""COMPUTED_VALUE"""),"piece_osh_00101")</f>
        <v/>
      </c>
      <c r="F153" s="408">
        <f>IFERROR(__xludf.DUMMYFUNCTION("""COMPUTED_VALUE"""),"piece_osh_00101")</f>
        <v/>
      </c>
      <c r="G153" s="334">
        <f>IFERROR(__xludf.DUMMYFUNCTION("""COMPUTED_VALUE"""),"item_icon_piece_osh_00101")</f>
        <v/>
      </c>
      <c r="H153" s="334">
        <f>IFERROR(__xludf.DUMMYFUNCTION("""COMPUTED_VALUE"""),"復讐を誓う片星 星野 アクアのかけら")</f>
        <v/>
      </c>
      <c r="I153" s="334">
        <f>IFERROR(__xludf.DUMMYFUNCTION("""COMPUTED_VALUE"""),"UR")</f>
        <v/>
      </c>
      <c r="J153" s="409">
        <f>IFERROR(__xludf.DUMMYFUNCTION("""COMPUTED_VALUE"""),9.99999999E8)</f>
        <v/>
      </c>
      <c r="K153" s="409">
        <f>IFERROR(__xludf.DUMMYFUNCTION("""COMPUTED_VALUE"""),9.99999999E8)</f>
        <v/>
      </c>
      <c r="L153" s="334">
        <f>IFERROR(__xludf.DUMMYFUNCTION("""COMPUTED_VALUE"""),"復讐を誓う片星 星野 アクアのグレードアップに使用するアイテム")</f>
        <v/>
      </c>
      <c r="M153" s="334" t="n"/>
      <c r="N153" s="410">
        <f>IFERROR(__xludf.DUMMYFUNCTION("""COMPUTED_VALUE"""),"2026-01-01 00:00:00")</f>
        <v/>
      </c>
      <c r="O153" s="368" t="n"/>
      <c r="P153" s="334" t="n"/>
    </row>
    <row r="154">
      <c r="A154" s="334">
        <f>IFERROR(__xludf.DUMMYFUNCTION("""COMPUTED_VALUE"""),"osh")</f>
        <v/>
      </c>
      <c r="B154" s="334">
        <f>IFERROR(__xludf.DUMMYFUNCTION("""COMPUTED_VALUE"""),"【推しの子】")</f>
        <v/>
      </c>
      <c r="C154" s="334">
        <f>IFERROR(__xludf.DUMMYFUNCTION("""COMPUTED_VALUE"""),"piece")</f>
        <v/>
      </c>
      <c r="D154" s="408">
        <f>IFERROR(__xludf.DUMMYFUNCTION("""COMPUTED_VALUE"""),"00201")</f>
        <v/>
      </c>
      <c r="E154" s="334">
        <f>IFERROR(__xludf.DUMMYFUNCTION("""COMPUTED_VALUE"""),"piece_osh_00201")</f>
        <v/>
      </c>
      <c r="F154" s="408">
        <f>IFERROR(__xludf.DUMMYFUNCTION("""COMPUTED_VALUE"""),"piece_osh_00201")</f>
        <v/>
      </c>
      <c r="G154" s="334">
        <f>IFERROR(__xludf.DUMMYFUNCTION("""COMPUTED_VALUE"""),"item_icon_piece_osh_00201")</f>
        <v/>
      </c>
      <c r="H154" s="334">
        <f>IFERROR(__xludf.DUMMYFUNCTION("""COMPUTED_VALUE"""),"星野 ルビーのかけら")</f>
        <v/>
      </c>
      <c r="I154" s="334">
        <f>IFERROR(__xludf.DUMMYFUNCTION("""COMPUTED_VALUE"""),"SSR")</f>
        <v/>
      </c>
      <c r="J154" s="409">
        <f>IFERROR(__xludf.DUMMYFUNCTION("""COMPUTED_VALUE"""),9.99999999E8)</f>
        <v/>
      </c>
      <c r="K154" s="409">
        <f>IFERROR(__xludf.DUMMYFUNCTION("""COMPUTED_VALUE"""),9.99999999E8)</f>
        <v/>
      </c>
      <c r="L154" s="334">
        <f>IFERROR(__xludf.DUMMYFUNCTION("""COMPUTED_VALUE"""),"星野 ルビーのグレードアップに使用するアイテム")</f>
        <v/>
      </c>
      <c r="M154" s="334" t="n"/>
      <c r="N154" s="410">
        <f>IFERROR(__xludf.DUMMYFUNCTION("""COMPUTED_VALUE"""),"2026-01-01 00:00:00")</f>
        <v/>
      </c>
      <c r="O154" s="368" t="n"/>
      <c r="P154" s="334" t="n"/>
    </row>
    <row r="155">
      <c r="A155" s="334">
        <f>IFERROR(__xludf.DUMMYFUNCTION("""COMPUTED_VALUE"""),"osh")</f>
        <v/>
      </c>
      <c r="B155" s="334">
        <f>IFERROR(__xludf.DUMMYFUNCTION("""COMPUTED_VALUE"""),"【推しの子】")</f>
        <v/>
      </c>
      <c r="C155" s="334">
        <f>IFERROR(__xludf.DUMMYFUNCTION("""COMPUTED_VALUE"""),"piece")</f>
        <v/>
      </c>
      <c r="D155" s="408">
        <f>IFERROR(__xludf.DUMMYFUNCTION("""COMPUTED_VALUE"""),"00301")</f>
        <v/>
      </c>
      <c r="E155" s="334">
        <f>IFERROR(__xludf.DUMMYFUNCTION("""COMPUTED_VALUE"""),"piece_osh_00301")</f>
        <v/>
      </c>
      <c r="F155" s="408">
        <f>IFERROR(__xludf.DUMMYFUNCTION("""COMPUTED_VALUE"""),"piece_osh_00301")</f>
        <v/>
      </c>
      <c r="G155" s="334">
        <f>IFERROR(__xludf.DUMMYFUNCTION("""COMPUTED_VALUE"""),"item_icon_piece_osh_00301")</f>
        <v/>
      </c>
      <c r="H155" s="334">
        <f>IFERROR(__xludf.DUMMYFUNCTION("""COMPUTED_VALUE"""),"MEMちょのかけら")</f>
        <v/>
      </c>
      <c r="I155" s="334">
        <f>IFERROR(__xludf.DUMMYFUNCTION("""COMPUTED_VALUE"""),"SSR")</f>
        <v/>
      </c>
      <c r="J155" s="409">
        <f>IFERROR(__xludf.DUMMYFUNCTION("""COMPUTED_VALUE"""),9.99999999E8)</f>
        <v/>
      </c>
      <c r="K155" s="409">
        <f>IFERROR(__xludf.DUMMYFUNCTION("""COMPUTED_VALUE"""),9.99999999E8)</f>
        <v/>
      </c>
      <c r="L155" s="334">
        <f>IFERROR(__xludf.DUMMYFUNCTION("""COMPUTED_VALUE"""),"MEMちょのグレードアップに使用するアイテム")</f>
        <v/>
      </c>
      <c r="M155" s="334" t="n"/>
      <c r="N155" s="410">
        <f>IFERROR(__xludf.DUMMYFUNCTION("""COMPUTED_VALUE"""),"2026-01-01 00:00:00")</f>
        <v/>
      </c>
      <c r="O155" s="368" t="n"/>
      <c r="P155" s="334" t="n"/>
    </row>
    <row r="156">
      <c r="A156" s="334">
        <f>IFERROR(__xludf.DUMMYFUNCTION("""COMPUTED_VALUE"""),"osh")</f>
        <v/>
      </c>
      <c r="B156" s="334">
        <f>IFERROR(__xludf.DUMMYFUNCTION("""COMPUTED_VALUE"""),"【推しの子】")</f>
        <v/>
      </c>
      <c r="C156" s="334">
        <f>IFERROR(__xludf.DUMMYFUNCTION("""COMPUTED_VALUE"""),"piece")</f>
        <v/>
      </c>
      <c r="D156" s="408">
        <f>IFERROR(__xludf.DUMMYFUNCTION("""COMPUTED_VALUE"""),"00401")</f>
        <v/>
      </c>
      <c r="E156" s="334">
        <f>IFERROR(__xludf.DUMMYFUNCTION("""COMPUTED_VALUE"""),"piece_osh_00401")</f>
        <v/>
      </c>
      <c r="F156" s="408">
        <f>IFERROR(__xludf.DUMMYFUNCTION("""COMPUTED_VALUE"""),"piece_osh_00401")</f>
        <v/>
      </c>
      <c r="G156" s="334">
        <f>IFERROR(__xludf.DUMMYFUNCTION("""COMPUTED_VALUE"""),"item_icon_piece_osh_00401")</f>
        <v/>
      </c>
      <c r="H156" s="334">
        <f>IFERROR(__xludf.DUMMYFUNCTION("""COMPUTED_VALUE"""),"有馬 かなのかけら")</f>
        <v/>
      </c>
      <c r="I156" s="334">
        <f>IFERROR(__xludf.DUMMYFUNCTION("""COMPUTED_VALUE"""),"SSR")</f>
        <v/>
      </c>
      <c r="J156" s="409">
        <f>IFERROR(__xludf.DUMMYFUNCTION("""COMPUTED_VALUE"""),9.99999999E8)</f>
        <v/>
      </c>
      <c r="K156" s="409">
        <f>IFERROR(__xludf.DUMMYFUNCTION("""COMPUTED_VALUE"""),9.99999999E8)</f>
        <v/>
      </c>
      <c r="L156" s="334">
        <f>IFERROR(__xludf.DUMMYFUNCTION("""COMPUTED_VALUE"""),"有馬 かなのグレードアップに使用するアイテム")</f>
        <v/>
      </c>
      <c r="M156" s="334" t="n"/>
      <c r="N156" s="410">
        <f>IFERROR(__xludf.DUMMYFUNCTION("""COMPUTED_VALUE"""),"2026-01-01 00:00:00")</f>
        <v/>
      </c>
      <c r="O156" s="368" t="n"/>
      <c r="P156" s="334" t="n"/>
    </row>
    <row r="157">
      <c r="A157" s="334">
        <f>IFERROR(__xludf.DUMMYFUNCTION("""COMPUTED_VALUE"""),"osh")</f>
        <v/>
      </c>
      <c r="B157" s="334">
        <f>IFERROR(__xludf.DUMMYFUNCTION("""COMPUTED_VALUE"""),"【推しの子】")</f>
        <v/>
      </c>
      <c r="C157" s="334">
        <f>IFERROR(__xludf.DUMMYFUNCTION("""COMPUTED_VALUE"""),"piece")</f>
        <v/>
      </c>
      <c r="D157" s="408">
        <f>IFERROR(__xludf.DUMMYFUNCTION("""COMPUTED_VALUE"""),"00501")</f>
        <v/>
      </c>
      <c r="E157" s="334">
        <f>IFERROR(__xludf.DUMMYFUNCTION("""COMPUTED_VALUE"""),"piece_osh_00501")</f>
        <v/>
      </c>
      <c r="F157" s="408">
        <f>IFERROR(__xludf.DUMMYFUNCTION("""COMPUTED_VALUE"""),"piece_osh_00501")</f>
        <v/>
      </c>
      <c r="G157" s="334">
        <f>IFERROR(__xludf.DUMMYFUNCTION("""COMPUTED_VALUE"""),"item_icon_piece_osh_00501")</f>
        <v/>
      </c>
      <c r="H157" s="334">
        <f>IFERROR(__xludf.DUMMYFUNCTION("""COMPUTED_VALUE"""),"黒川 あかねのかけら")</f>
        <v/>
      </c>
      <c r="I157" s="334">
        <f>IFERROR(__xludf.DUMMYFUNCTION("""COMPUTED_VALUE"""),"SSR")</f>
        <v/>
      </c>
      <c r="J157" s="409">
        <f>IFERROR(__xludf.DUMMYFUNCTION("""COMPUTED_VALUE"""),9.99999999E8)</f>
        <v/>
      </c>
      <c r="K157" s="409">
        <f>IFERROR(__xludf.DUMMYFUNCTION("""COMPUTED_VALUE"""),9.99999999E8)</f>
        <v/>
      </c>
      <c r="L157" s="334">
        <f>IFERROR(__xludf.DUMMYFUNCTION("""COMPUTED_VALUE"""),"黒川 あかねのグレードアップに使用するアイテム")</f>
        <v/>
      </c>
      <c r="M157" s="334" t="n"/>
      <c r="N157" s="410">
        <f>IFERROR(__xludf.DUMMYFUNCTION("""COMPUTED_VALUE"""),"2026-01-01 00:00:00")</f>
        <v/>
      </c>
      <c r="O157" s="368" t="n"/>
      <c r="P157" s="334" t="n"/>
    </row>
    <row r="158">
      <c r="A158" s="334">
        <f>IFERROR(__xludf.DUMMYFUNCTION("""COMPUTED_VALUE"""),"osh")</f>
        <v/>
      </c>
      <c r="B158" s="334">
        <f>IFERROR(__xludf.DUMMYFUNCTION("""COMPUTED_VALUE"""),"【推しの子】")</f>
        <v/>
      </c>
      <c r="C158" s="334">
        <f>IFERROR(__xludf.DUMMYFUNCTION("""COMPUTED_VALUE"""),"piece")</f>
        <v/>
      </c>
      <c r="D158" s="408">
        <f>IFERROR(__xludf.DUMMYFUNCTION("""COMPUTED_VALUE"""),"00601")</f>
        <v/>
      </c>
      <c r="E158" s="334">
        <f>IFERROR(__xludf.DUMMYFUNCTION("""COMPUTED_VALUE"""),"piece_osh_00601")</f>
        <v/>
      </c>
      <c r="F158" s="408">
        <f>IFERROR(__xludf.DUMMYFUNCTION("""COMPUTED_VALUE"""),"piece_osh_00601")</f>
        <v/>
      </c>
      <c r="G158" s="334">
        <f>IFERROR(__xludf.DUMMYFUNCTION("""COMPUTED_VALUE"""),"item_icon_piece_osh_00601")</f>
        <v/>
      </c>
      <c r="H158" s="334">
        <f>IFERROR(__xludf.DUMMYFUNCTION("""COMPUTED_VALUE"""),"ぴえヨンのかけら")</f>
        <v/>
      </c>
      <c r="I158" s="334">
        <f>IFERROR(__xludf.DUMMYFUNCTION("""COMPUTED_VALUE"""),"SR")</f>
        <v/>
      </c>
      <c r="J158" s="409">
        <f>IFERROR(__xludf.DUMMYFUNCTION("""COMPUTED_VALUE"""),9.99999999E8)</f>
        <v/>
      </c>
      <c r="K158" s="409">
        <f>IFERROR(__xludf.DUMMYFUNCTION("""COMPUTED_VALUE"""),9.99999999E8)</f>
        <v/>
      </c>
      <c r="L158" s="334">
        <f>IFERROR(__xludf.DUMMYFUNCTION("""COMPUTED_VALUE"""),"ぴえヨンのグレードアップに使用するアイテム")</f>
        <v/>
      </c>
      <c r="M158" s="334" t="n"/>
      <c r="N158" s="410">
        <f>IFERROR(__xludf.DUMMYFUNCTION("""COMPUTED_VALUE"""),"2026-01-01 00:00:00")</f>
        <v/>
      </c>
      <c r="O158" s="368" t="n"/>
      <c r="P158" s="334" t="n"/>
    </row>
    <row r="159">
      <c r="A159" s="334" t="n"/>
      <c r="B159" s="334" t="n"/>
      <c r="C159" s="334" t="n"/>
      <c r="D159" s="334" t="n"/>
      <c r="E159" s="334" t="n"/>
      <c r="F159" s="334" t="n"/>
      <c r="G159" s="334" t="n"/>
      <c r="H159" s="334" t="n"/>
      <c r="I159" s="334" t="n"/>
      <c r="J159" s="334" t="n"/>
      <c r="K159" s="334" t="n"/>
      <c r="L159" s="334" t="n"/>
      <c r="M159" s="334" t="n"/>
      <c r="N159" s="339" t="n"/>
      <c r="O159" s="368" t="n"/>
      <c r="P159" s="334" t="n"/>
    </row>
    <row r="160">
      <c r="A160" s="334">
        <f>IFERROR(__xludf.DUMMYFUNCTION("""COMPUTED_VALUE"""),"jig")</f>
        <v/>
      </c>
      <c r="B160" s="334">
        <f>IFERROR(__xludf.DUMMYFUNCTION("""COMPUTED_VALUE"""),"地獄楽")</f>
        <v/>
      </c>
      <c r="C160" s="334">
        <f>IFERROR(__xludf.DUMMYFUNCTION("""COMPUTED_VALUE"""),"piece")</f>
        <v/>
      </c>
      <c r="D160" s="408">
        <f>IFERROR(__xludf.DUMMYFUNCTION("""COMPUTED_VALUE"""),"00401")</f>
        <v/>
      </c>
      <c r="E160" s="334">
        <f>IFERROR(__xludf.DUMMYFUNCTION("""COMPUTED_VALUE"""),"piece_jig_00401")</f>
        <v/>
      </c>
      <c r="F160" s="408">
        <f>IFERROR(__xludf.DUMMYFUNCTION("""COMPUTED_VALUE"""),"piece_jig_00401")</f>
        <v/>
      </c>
      <c r="G160" s="334">
        <f>IFERROR(__xludf.DUMMYFUNCTION("""COMPUTED_VALUE"""),"item_icon_piece_jig_00401")</f>
        <v/>
      </c>
      <c r="H160" s="334">
        <f>IFERROR(__xludf.DUMMYFUNCTION("""COMPUTED_VALUE"""),"賊王 亜左 弔兵衛のかけら")</f>
        <v/>
      </c>
      <c r="I160" s="334">
        <f>IFERROR(__xludf.DUMMYFUNCTION("""COMPUTED_VALUE"""),"UR")</f>
        <v/>
      </c>
      <c r="J160" s="409">
        <f>IFERROR(__xludf.DUMMYFUNCTION("""COMPUTED_VALUE"""),9.99999999E8)</f>
        <v/>
      </c>
      <c r="K160" s="409">
        <f>IFERROR(__xludf.DUMMYFUNCTION("""COMPUTED_VALUE"""),9.99999999E8)</f>
        <v/>
      </c>
      <c r="L160" s="334">
        <f>IFERROR(__xludf.DUMMYFUNCTION("""COMPUTED_VALUE"""),"賊王 亜左 弔兵衛のグレードアップに使用するアイテム")</f>
        <v/>
      </c>
      <c r="M160" s="334" t="n"/>
      <c r="N160" s="410">
        <f>IFERROR(__xludf.DUMMYFUNCTION("""COMPUTED_VALUE"""),"2026-01-16 15:00:00")</f>
        <v/>
      </c>
      <c r="O160" s="368" t="n"/>
      <c r="P160" s="334" t="n"/>
    </row>
    <row r="161">
      <c r="A161" s="334">
        <f>IFERROR(__xludf.DUMMYFUNCTION("""COMPUTED_VALUE"""),"jig")</f>
        <v/>
      </c>
      <c r="B161" s="334">
        <f>IFERROR(__xludf.DUMMYFUNCTION("""COMPUTED_VALUE"""),"地獄楽")</f>
        <v/>
      </c>
      <c r="C161" s="334">
        <f>IFERROR(__xludf.DUMMYFUNCTION("""COMPUTED_VALUE"""),"piece")</f>
        <v/>
      </c>
      <c r="D161" s="408">
        <f>IFERROR(__xludf.DUMMYFUNCTION("""COMPUTED_VALUE"""),"00501")</f>
        <v/>
      </c>
      <c r="E161" s="334">
        <f>IFERROR(__xludf.DUMMYFUNCTION("""COMPUTED_VALUE"""),"piece_jig_00501")</f>
        <v/>
      </c>
      <c r="F161" s="408">
        <f>IFERROR(__xludf.DUMMYFUNCTION("""COMPUTED_VALUE"""),"piece_jig_00501")</f>
        <v/>
      </c>
      <c r="G161" s="334">
        <f>IFERROR(__xludf.DUMMYFUNCTION("""COMPUTED_VALUE"""),"item_icon_piece_jig_00501")</f>
        <v/>
      </c>
      <c r="H161" s="334">
        <f>IFERROR(__xludf.DUMMYFUNCTION("""COMPUTED_VALUE"""),"山田浅ェ門 桐馬のかけら")</f>
        <v/>
      </c>
      <c r="I161" s="334">
        <f>IFERROR(__xludf.DUMMYFUNCTION("""COMPUTED_VALUE"""),"SSR")</f>
        <v/>
      </c>
      <c r="J161" s="409">
        <f>IFERROR(__xludf.DUMMYFUNCTION("""COMPUTED_VALUE"""),9.99999999E8)</f>
        <v/>
      </c>
      <c r="K161" s="409">
        <f>IFERROR(__xludf.DUMMYFUNCTION("""COMPUTED_VALUE"""),9.99999999E8)</f>
        <v/>
      </c>
      <c r="L161" s="334">
        <f>IFERROR(__xludf.DUMMYFUNCTION("""COMPUTED_VALUE"""),"山田浅ェ門 桐馬のグレードアップに使用するアイテム")</f>
        <v/>
      </c>
      <c r="M161" s="334" t="n"/>
      <c r="N161" s="410">
        <f>IFERROR(__xludf.DUMMYFUNCTION("""COMPUTED_VALUE"""),"2026-01-16 15:00:00")</f>
        <v/>
      </c>
      <c r="O161" s="368" t="n"/>
      <c r="P161" s="334" t="n"/>
    </row>
    <row r="162">
      <c r="A162" s="334">
        <f>IFERROR(__xludf.DUMMYFUNCTION("""COMPUTED_VALUE"""),"jig")</f>
        <v/>
      </c>
      <c r="B162" s="334">
        <f>IFERROR(__xludf.DUMMYFUNCTION("""COMPUTED_VALUE"""),"地獄楽")</f>
        <v/>
      </c>
      <c r="C162" s="334">
        <f>IFERROR(__xludf.DUMMYFUNCTION("""COMPUTED_VALUE"""),"piece")</f>
        <v/>
      </c>
      <c r="D162" s="408">
        <f>IFERROR(__xludf.DUMMYFUNCTION("""COMPUTED_VALUE"""),"00601")</f>
        <v/>
      </c>
      <c r="E162" s="334">
        <f>IFERROR(__xludf.DUMMYFUNCTION("""COMPUTED_VALUE"""),"piece_jig_00601")</f>
        <v/>
      </c>
      <c r="F162" s="408">
        <f>IFERROR(__xludf.DUMMYFUNCTION("""COMPUTED_VALUE"""),"piece_jig_00601")</f>
        <v/>
      </c>
      <c r="G162" s="334">
        <f>IFERROR(__xludf.DUMMYFUNCTION("""COMPUTED_VALUE"""),"item_icon_piece_jig_00601")</f>
        <v/>
      </c>
      <c r="H162" s="334">
        <f>IFERROR(__xludf.DUMMYFUNCTION("""COMPUTED_VALUE"""),"民谷 巌鉄斎のかけら")</f>
        <v/>
      </c>
      <c r="I162" s="334">
        <f>IFERROR(__xludf.DUMMYFUNCTION("""COMPUTED_VALUE"""),"SR")</f>
        <v/>
      </c>
      <c r="J162" s="409">
        <f>IFERROR(__xludf.DUMMYFUNCTION("""COMPUTED_VALUE"""),9.99999999E8)</f>
        <v/>
      </c>
      <c r="K162" s="409">
        <f>IFERROR(__xludf.DUMMYFUNCTION("""COMPUTED_VALUE"""),9.99999999E8)</f>
        <v/>
      </c>
      <c r="L162" s="334">
        <f>IFERROR(__xludf.DUMMYFUNCTION("""COMPUTED_VALUE"""),"民谷 巌鉄斎のグレードアップに使用するアイテム")</f>
        <v/>
      </c>
      <c r="M162" s="334" t="n"/>
      <c r="N162" s="410">
        <f>IFERROR(__xludf.DUMMYFUNCTION("""COMPUTED_VALUE"""),"2026-01-16 15:00:00")</f>
        <v/>
      </c>
      <c r="O162" s="368" t="n"/>
      <c r="P162" s="334" t="n"/>
    </row>
    <row r="163">
      <c r="A163" s="334">
        <f>IFERROR(__xludf.DUMMYFUNCTION("""COMPUTED_VALUE"""),"jig")</f>
        <v/>
      </c>
      <c r="B163" s="334">
        <f>IFERROR(__xludf.DUMMYFUNCTION("""COMPUTED_VALUE"""),"地獄楽")</f>
        <v/>
      </c>
      <c r="C163" s="334">
        <f>IFERROR(__xludf.DUMMYFUNCTION("""COMPUTED_VALUE"""),"piece")</f>
        <v/>
      </c>
      <c r="D163" s="408">
        <f>IFERROR(__xludf.DUMMYFUNCTION("""COMPUTED_VALUE"""),"00701")</f>
        <v/>
      </c>
      <c r="E163" s="334">
        <f>IFERROR(__xludf.DUMMYFUNCTION("""COMPUTED_VALUE"""),"piece_jig_00701")</f>
        <v/>
      </c>
      <c r="F163" s="408">
        <f>IFERROR(__xludf.DUMMYFUNCTION("""COMPUTED_VALUE"""),"piece_jig_00701")</f>
        <v/>
      </c>
      <c r="G163" s="334">
        <f>IFERROR(__xludf.DUMMYFUNCTION("""COMPUTED_VALUE"""),"item_icon_piece_jig_00701")</f>
        <v/>
      </c>
      <c r="H163" s="334">
        <f>IFERROR(__xludf.DUMMYFUNCTION("""COMPUTED_VALUE"""),"メイのかけら")</f>
        <v/>
      </c>
      <c r="I163" s="334">
        <f>IFERROR(__xludf.DUMMYFUNCTION("""COMPUTED_VALUE"""),"SR")</f>
        <v/>
      </c>
      <c r="J163" s="409">
        <f>IFERROR(__xludf.DUMMYFUNCTION("""COMPUTED_VALUE"""),9.99999999E8)</f>
        <v/>
      </c>
      <c r="K163" s="409">
        <f>IFERROR(__xludf.DUMMYFUNCTION("""COMPUTED_VALUE"""),9.99999999E8)</f>
        <v/>
      </c>
      <c r="L163" s="334">
        <f>IFERROR(__xludf.DUMMYFUNCTION("""COMPUTED_VALUE"""),"メイのグレードアップに使用するアイテム")</f>
        <v/>
      </c>
      <c r="M163" s="334" t="n"/>
      <c r="N163" s="410">
        <f>IFERROR(__xludf.DUMMYFUNCTION("""COMPUTED_VALUE"""),"2026-01-16 15:00:00")</f>
        <v/>
      </c>
      <c r="O163" s="368" t="n"/>
      <c r="P163" s="334" t="n"/>
    </row>
    <row r="164">
      <c r="A164" s="334" t="n"/>
      <c r="B164" s="334" t="n"/>
      <c r="C164" s="334" t="n"/>
      <c r="D164" s="334" t="n"/>
      <c r="E164" s="334" t="n"/>
      <c r="F164" s="334" t="n"/>
      <c r="G164" s="334" t="n"/>
      <c r="H164" s="334" t="n"/>
      <c r="I164" s="334" t="n"/>
      <c r="J164" s="334" t="n"/>
      <c r="K164" s="334" t="n"/>
      <c r="L164" s="334" t="n"/>
      <c r="M164" s="334" t="n"/>
      <c r="N164" s="339" t="n"/>
      <c r="O164" s="368" t="n"/>
      <c r="P164" s="334" t="n"/>
    </row>
    <row r="165">
      <c r="A165" s="334">
        <f>IFERROR(__xludf.DUMMYFUNCTION("""COMPUTED_VALUE"""),"you")</f>
        <v/>
      </c>
      <c r="B165" s="334">
        <f>IFERROR(__xludf.DUMMYFUNCTION("""COMPUTED_VALUE"""),"幼稚園WARS")</f>
        <v/>
      </c>
      <c r="C165" s="334">
        <f>IFERROR(__xludf.DUMMYFUNCTION("""COMPUTED_VALUE"""),"piece")</f>
        <v/>
      </c>
      <c r="D165" s="408">
        <f>IFERROR(__xludf.DUMMYFUNCTION("""COMPUTED_VALUE"""),"00001")</f>
        <v/>
      </c>
      <c r="E165" s="334">
        <f>IFERROR(__xludf.DUMMYFUNCTION("""COMPUTED_VALUE"""),"piece_you_00001")</f>
        <v/>
      </c>
      <c r="F165" s="408">
        <f>IFERROR(__xludf.DUMMYFUNCTION("""COMPUTED_VALUE"""),"piece_you_00001")</f>
        <v/>
      </c>
      <c r="G165" s="334">
        <f>IFERROR(__xludf.DUMMYFUNCTION("""COMPUTED_VALUE"""),"item_icon_piece_you_00001")</f>
        <v/>
      </c>
      <c r="H165" s="334">
        <f>IFERROR(__xludf.DUMMYFUNCTION("""COMPUTED_VALUE"""),"元殺し屋の新人教諭 リタのかけら")</f>
        <v/>
      </c>
      <c r="I165" s="334">
        <f>IFERROR(__xludf.DUMMYFUNCTION("""COMPUTED_VALUE"""),"UR")</f>
        <v/>
      </c>
      <c r="J165" s="409">
        <f>IFERROR(__xludf.DUMMYFUNCTION("""COMPUTED_VALUE"""),9.99999999E8)</f>
        <v/>
      </c>
      <c r="K165" s="409">
        <f>IFERROR(__xludf.DUMMYFUNCTION("""COMPUTED_VALUE"""),9.99999999E8)</f>
        <v/>
      </c>
      <c r="L165" s="334">
        <f>IFERROR(__xludf.DUMMYFUNCTION("""COMPUTED_VALUE"""),"元殺し屋の新人教諭 リタのグレードアップに使用するアイテム")</f>
        <v/>
      </c>
      <c r="M165" s="334" t="n"/>
      <c r="N165" s="410">
        <f>IFERROR(__xludf.DUMMYFUNCTION("""COMPUTED_VALUE"""),"2026-02-02 15:00:00")</f>
        <v/>
      </c>
      <c r="O165" s="368" t="n"/>
      <c r="P165" s="334" t="n"/>
    </row>
    <row r="166">
      <c r="A166" s="334">
        <f>IFERROR(__xludf.DUMMYFUNCTION("""COMPUTED_VALUE"""),"you")</f>
        <v/>
      </c>
      <c r="B166" s="334">
        <f>IFERROR(__xludf.DUMMYFUNCTION("""COMPUTED_VALUE"""),"幼稚園WARS")</f>
        <v/>
      </c>
      <c r="C166" s="334">
        <f>IFERROR(__xludf.DUMMYFUNCTION("""COMPUTED_VALUE"""),"piece")</f>
        <v/>
      </c>
      <c r="D166" s="408">
        <f>IFERROR(__xludf.DUMMYFUNCTION("""COMPUTED_VALUE"""),"00101")</f>
        <v/>
      </c>
      <c r="E166" s="334">
        <f>IFERROR(__xludf.DUMMYFUNCTION("""COMPUTED_VALUE"""),"piece_you_00101")</f>
        <v/>
      </c>
      <c r="F166" s="408">
        <f>IFERROR(__xludf.DUMMYFUNCTION("""COMPUTED_VALUE"""),"piece_you_00101")</f>
        <v/>
      </c>
      <c r="G166" s="334">
        <f>IFERROR(__xludf.DUMMYFUNCTION("""COMPUTED_VALUE"""),"item_icon_piece_you_00101")</f>
        <v/>
      </c>
      <c r="H166" s="334">
        <f>IFERROR(__xludf.DUMMYFUNCTION("""COMPUTED_VALUE"""),"ルークのかけら")</f>
        <v/>
      </c>
      <c r="I166" s="334">
        <f>IFERROR(__xludf.DUMMYFUNCTION("""COMPUTED_VALUE"""),"SSR")</f>
        <v/>
      </c>
      <c r="J166" s="409">
        <f>IFERROR(__xludf.DUMMYFUNCTION("""COMPUTED_VALUE"""),9.99999999E8)</f>
        <v/>
      </c>
      <c r="K166" s="409">
        <f>IFERROR(__xludf.DUMMYFUNCTION("""COMPUTED_VALUE"""),9.99999999E8)</f>
        <v/>
      </c>
      <c r="L166" s="334">
        <f>IFERROR(__xludf.DUMMYFUNCTION("""COMPUTED_VALUE"""),"ルークのグレードアップに使用するアイテム")</f>
        <v/>
      </c>
      <c r="M166" s="334" t="n"/>
      <c r="N166" s="410">
        <f>IFERROR(__xludf.DUMMYFUNCTION("""COMPUTED_VALUE"""),"2026-02-02 15:00:00")</f>
        <v/>
      </c>
      <c r="O166" s="368" t="n"/>
      <c r="P166" s="334" t="n"/>
    </row>
    <row r="167">
      <c r="A167" s="334">
        <f>IFERROR(__xludf.DUMMYFUNCTION("""COMPUTED_VALUE"""),"you")</f>
        <v/>
      </c>
      <c r="B167" s="334">
        <f>IFERROR(__xludf.DUMMYFUNCTION("""COMPUTED_VALUE"""),"幼稚園WARS")</f>
        <v/>
      </c>
      <c r="C167" s="334">
        <f>IFERROR(__xludf.DUMMYFUNCTION("""COMPUTED_VALUE"""),"piece")</f>
        <v/>
      </c>
      <c r="D167" s="408">
        <f>IFERROR(__xludf.DUMMYFUNCTION("""COMPUTED_VALUE"""),"00201")</f>
        <v/>
      </c>
      <c r="E167" s="334">
        <f>IFERROR(__xludf.DUMMYFUNCTION("""COMPUTED_VALUE"""),"piece_you_00201")</f>
        <v/>
      </c>
      <c r="F167" s="408">
        <f>IFERROR(__xludf.DUMMYFUNCTION("""COMPUTED_VALUE"""),"piece_you_00201")</f>
        <v/>
      </c>
      <c r="G167" s="334">
        <f>IFERROR(__xludf.DUMMYFUNCTION("""COMPUTED_VALUE"""),"item_icon_piece_you_00201")</f>
        <v/>
      </c>
      <c r="H167" s="334">
        <f>IFERROR(__xludf.DUMMYFUNCTION("""COMPUTED_VALUE"""),"ダグのかけら")</f>
        <v/>
      </c>
      <c r="I167" s="334">
        <f>IFERROR(__xludf.DUMMYFUNCTION("""COMPUTED_VALUE"""),"SR")</f>
        <v/>
      </c>
      <c r="J167" s="409">
        <f>IFERROR(__xludf.DUMMYFUNCTION("""COMPUTED_VALUE"""),9.99999999E8)</f>
        <v/>
      </c>
      <c r="K167" s="409">
        <f>IFERROR(__xludf.DUMMYFUNCTION("""COMPUTED_VALUE"""),9.99999999E8)</f>
        <v/>
      </c>
      <c r="L167" s="334">
        <f>IFERROR(__xludf.DUMMYFUNCTION("""COMPUTED_VALUE"""),"ダグのグレードアップに使用するアイテム")</f>
        <v/>
      </c>
      <c r="M167" s="334" t="n"/>
      <c r="N167" s="410">
        <f>IFERROR(__xludf.DUMMYFUNCTION("""COMPUTED_VALUE"""),"2026-02-02 15:00:00")</f>
        <v/>
      </c>
      <c r="O167" s="368" t="n"/>
      <c r="P167" s="334" t="n"/>
    </row>
    <row r="168">
      <c r="A168" s="334">
        <f>IFERROR(__xludf.DUMMYFUNCTION("""COMPUTED_VALUE"""),"you")</f>
        <v/>
      </c>
      <c r="B168" s="334">
        <f>IFERROR(__xludf.DUMMYFUNCTION("""COMPUTED_VALUE"""),"幼稚園WARS")</f>
        <v/>
      </c>
      <c r="C168" s="334">
        <f>IFERROR(__xludf.DUMMYFUNCTION("""COMPUTED_VALUE"""),"piece")</f>
        <v/>
      </c>
      <c r="D168" s="408">
        <f>IFERROR(__xludf.DUMMYFUNCTION("""COMPUTED_VALUE"""),"00301")</f>
        <v/>
      </c>
      <c r="E168" s="334">
        <f>IFERROR(__xludf.DUMMYFUNCTION("""COMPUTED_VALUE"""),"piece_you_00301")</f>
        <v/>
      </c>
      <c r="F168" s="408">
        <f>IFERROR(__xludf.DUMMYFUNCTION("""COMPUTED_VALUE"""),"piece_you_00301")</f>
        <v/>
      </c>
      <c r="G168" s="334">
        <f>IFERROR(__xludf.DUMMYFUNCTION("""COMPUTED_VALUE"""),"item_icon_piece_you_00301")</f>
        <v/>
      </c>
      <c r="H168" s="334">
        <f>IFERROR(__xludf.DUMMYFUNCTION("""COMPUTED_VALUE"""),"ハナのかけら")</f>
        <v/>
      </c>
      <c r="I168" s="334">
        <f>IFERROR(__xludf.DUMMYFUNCTION("""COMPUTED_VALUE"""),"SR")</f>
        <v/>
      </c>
      <c r="J168" s="409">
        <f>IFERROR(__xludf.DUMMYFUNCTION("""COMPUTED_VALUE"""),9.99999999E8)</f>
        <v/>
      </c>
      <c r="K168" s="409">
        <f>IFERROR(__xludf.DUMMYFUNCTION("""COMPUTED_VALUE"""),9.99999999E8)</f>
        <v/>
      </c>
      <c r="L168" s="334">
        <f>IFERROR(__xludf.DUMMYFUNCTION("""COMPUTED_VALUE"""),"ハナのグレードアップに使用するアイテム")</f>
        <v/>
      </c>
      <c r="M168" s="334" t="n"/>
      <c r="N168" s="410">
        <f>IFERROR(__xludf.DUMMYFUNCTION("""COMPUTED_VALUE"""),"2026-02-02 15:00:00")</f>
        <v/>
      </c>
      <c r="O168" s="368" t="n"/>
      <c r="P168" s="334" t="n"/>
    </row>
    <row r="169">
      <c r="A169" s="334" t="n"/>
      <c r="B169" s="334" t="n"/>
      <c r="C169" s="334" t="n"/>
      <c r="D169" s="334" t="n"/>
      <c r="E169" s="334" t="n"/>
      <c r="F169" s="334" t="n"/>
      <c r="G169" s="334" t="n"/>
      <c r="H169" s="334" t="n"/>
      <c r="I169" s="334" t="n"/>
      <c r="J169" s="334" t="n"/>
      <c r="K169" s="334" t="n"/>
      <c r="L169" s="334" t="n"/>
      <c r="M169" s="334" t="n"/>
      <c r="N169" s="339" t="n"/>
      <c r="O169" s="368" t="n"/>
      <c r="P169" s="334" t="n"/>
    </row>
    <row r="170">
      <c r="A170" s="334">
        <f>IFERROR(__xludf.DUMMYFUNCTION("""COMPUTED_VALUE"""),"kim")</f>
        <v/>
      </c>
      <c r="B170" s="334">
        <f>IFERROR(__xludf.DUMMYFUNCTION("""COMPUTED_VALUE"""),"君のことが大大大大大好きな100人の彼女")</f>
        <v/>
      </c>
      <c r="C170" s="334">
        <f>IFERROR(__xludf.DUMMYFUNCTION("""COMPUTED_VALUE"""),"piece")</f>
        <v/>
      </c>
      <c r="D170" s="408">
        <f>IFERROR(__xludf.DUMMYFUNCTION("""COMPUTED_VALUE"""),"00001")</f>
        <v/>
      </c>
      <c r="E170" s="334">
        <f>IFERROR(__xludf.DUMMYFUNCTION("""COMPUTED_VALUE"""),"piece_kim_00001")</f>
        <v/>
      </c>
      <c r="F170" s="408">
        <f>IFERROR(__xludf.DUMMYFUNCTION("""COMPUTED_VALUE"""),"piece_kim_00001")</f>
        <v/>
      </c>
      <c r="G170" s="334">
        <f>IFERROR(__xludf.DUMMYFUNCTION("""COMPUTED_VALUE"""),"item_icon_piece_kim_00001")</f>
        <v/>
      </c>
      <c r="H170" s="334">
        <f>IFERROR(__xludf.DUMMYFUNCTION("""COMPUTED_VALUE"""),"溢れる母性 花園 羽々里のかけら")</f>
        <v/>
      </c>
      <c r="I170" s="334">
        <f>IFERROR(__xludf.DUMMYFUNCTION("""COMPUTED_VALUE"""),"UR")</f>
        <v/>
      </c>
      <c r="J170" s="409">
        <f>IFERROR(__xludf.DUMMYFUNCTION("""COMPUTED_VALUE"""),9.99999999E8)</f>
        <v/>
      </c>
      <c r="K170" s="409">
        <f>IFERROR(__xludf.DUMMYFUNCTION("""COMPUTED_VALUE"""),9.99999999E8)</f>
        <v/>
      </c>
      <c r="L170" s="334">
        <f>IFERROR(__xludf.DUMMYFUNCTION("""COMPUTED_VALUE"""),"溢れる母性 花園 羽々里のグレードアップに使用するアイテム")</f>
        <v/>
      </c>
      <c r="M170" s="334" t="n"/>
      <c r="N170" s="410">
        <f>IFERROR(__xludf.DUMMYFUNCTION("""COMPUTED_VALUE"""),"2026-02-16 15:00:00")</f>
        <v/>
      </c>
      <c r="O170" s="368" t="n"/>
      <c r="P170" s="334" t="n"/>
    </row>
    <row r="171">
      <c r="A171" s="334">
        <f>IFERROR(__xludf.DUMMYFUNCTION("""COMPUTED_VALUE"""),"kim")</f>
        <v/>
      </c>
      <c r="B171" s="334">
        <f>IFERROR(__xludf.DUMMYFUNCTION("""COMPUTED_VALUE"""),"君のことが大大大大大好きな100人の彼女")</f>
        <v/>
      </c>
      <c r="C171" s="334">
        <f>IFERROR(__xludf.DUMMYFUNCTION("""COMPUTED_VALUE"""),"piece")</f>
        <v/>
      </c>
      <c r="D171" s="408">
        <f>IFERROR(__xludf.DUMMYFUNCTION("""COMPUTED_VALUE"""),"00101")</f>
        <v/>
      </c>
      <c r="E171" s="334">
        <f>IFERROR(__xludf.DUMMYFUNCTION("""COMPUTED_VALUE"""),"piece_kim_00101")</f>
        <v/>
      </c>
      <c r="F171" s="408">
        <f>IFERROR(__xludf.DUMMYFUNCTION("""COMPUTED_VALUE"""),"piece_kim_00101")</f>
        <v/>
      </c>
      <c r="G171" s="334">
        <f>IFERROR(__xludf.DUMMYFUNCTION("""COMPUTED_VALUE"""),"item_icon_piece_kim_00101")</f>
        <v/>
      </c>
      <c r="H171" s="334">
        <f>IFERROR(__xludf.DUMMYFUNCTION("""COMPUTED_VALUE"""),"花園 羽香里のかけら")</f>
        <v/>
      </c>
      <c r="I171" s="334">
        <f>IFERROR(__xludf.DUMMYFUNCTION("""COMPUTED_VALUE"""),"SSR")</f>
        <v/>
      </c>
      <c r="J171" s="409">
        <f>IFERROR(__xludf.DUMMYFUNCTION("""COMPUTED_VALUE"""),9.99999999E8)</f>
        <v/>
      </c>
      <c r="K171" s="409">
        <f>IFERROR(__xludf.DUMMYFUNCTION("""COMPUTED_VALUE"""),9.99999999E8)</f>
        <v/>
      </c>
      <c r="L171" s="334">
        <f>IFERROR(__xludf.DUMMYFUNCTION("""COMPUTED_VALUE"""),"花園 羽香里のグレードアップに使用するアイテム")</f>
        <v/>
      </c>
      <c r="M171" s="334" t="n"/>
      <c r="N171" s="410">
        <f>IFERROR(__xludf.DUMMYFUNCTION("""COMPUTED_VALUE"""),"2026-02-16 15:00:00")</f>
        <v/>
      </c>
      <c r="O171" s="368" t="n"/>
      <c r="P171" s="334" t="n"/>
    </row>
    <row r="172">
      <c r="A172" s="334">
        <f>IFERROR(__xludf.DUMMYFUNCTION("""COMPUTED_VALUE"""),"kim")</f>
        <v/>
      </c>
      <c r="B172" s="334">
        <f>IFERROR(__xludf.DUMMYFUNCTION("""COMPUTED_VALUE"""),"君のことが大大大大大好きな100人の彼女")</f>
        <v/>
      </c>
      <c r="C172" s="334">
        <f>IFERROR(__xludf.DUMMYFUNCTION("""COMPUTED_VALUE"""),"piece")</f>
        <v/>
      </c>
      <c r="D172" s="408">
        <f>IFERROR(__xludf.DUMMYFUNCTION("""COMPUTED_VALUE"""),"00201")</f>
        <v/>
      </c>
      <c r="E172" s="334">
        <f>IFERROR(__xludf.DUMMYFUNCTION("""COMPUTED_VALUE"""),"piece_kim_00201")</f>
        <v/>
      </c>
      <c r="F172" s="408">
        <f>IFERROR(__xludf.DUMMYFUNCTION("""COMPUTED_VALUE"""),"piece_kim_00201")</f>
        <v/>
      </c>
      <c r="G172" s="334">
        <f>IFERROR(__xludf.DUMMYFUNCTION("""COMPUTED_VALUE"""),"item_icon_piece_kim_00201")</f>
        <v/>
      </c>
      <c r="H172" s="334">
        <f>IFERROR(__xludf.DUMMYFUNCTION("""COMPUTED_VALUE"""),"院田 唐音のかけら")</f>
        <v/>
      </c>
      <c r="I172" s="334">
        <f>IFERROR(__xludf.DUMMYFUNCTION("""COMPUTED_VALUE"""),"SSR")</f>
        <v/>
      </c>
      <c r="J172" s="409">
        <f>IFERROR(__xludf.DUMMYFUNCTION("""COMPUTED_VALUE"""),9.99999999E8)</f>
        <v/>
      </c>
      <c r="K172" s="409">
        <f>IFERROR(__xludf.DUMMYFUNCTION("""COMPUTED_VALUE"""),9.99999999E8)</f>
        <v/>
      </c>
      <c r="L172" s="334">
        <f>IFERROR(__xludf.DUMMYFUNCTION("""COMPUTED_VALUE"""),"院田 唐音のグレードアップに使用するアイテム")</f>
        <v/>
      </c>
      <c r="M172" s="334" t="n"/>
      <c r="N172" s="410">
        <f>IFERROR(__xludf.DUMMYFUNCTION("""COMPUTED_VALUE"""),"2026-02-16 15:00:00")</f>
        <v/>
      </c>
      <c r="O172" s="368" t="n"/>
      <c r="P172" s="334" t="n"/>
    </row>
    <row r="173">
      <c r="A173" s="334">
        <f>IFERROR(__xludf.DUMMYFUNCTION("""COMPUTED_VALUE"""),"kim")</f>
        <v/>
      </c>
      <c r="B173" s="334">
        <f>IFERROR(__xludf.DUMMYFUNCTION("""COMPUTED_VALUE"""),"君のことが大大大大大好きな100人の彼女")</f>
        <v/>
      </c>
      <c r="C173" s="334">
        <f>IFERROR(__xludf.DUMMYFUNCTION("""COMPUTED_VALUE"""),"piece")</f>
        <v/>
      </c>
      <c r="D173" s="408">
        <f>IFERROR(__xludf.DUMMYFUNCTION("""COMPUTED_VALUE"""),"00301")</f>
        <v/>
      </c>
      <c r="E173" s="334">
        <f>IFERROR(__xludf.DUMMYFUNCTION("""COMPUTED_VALUE"""),"piece_kim_00301")</f>
        <v/>
      </c>
      <c r="F173" s="408">
        <f>IFERROR(__xludf.DUMMYFUNCTION("""COMPUTED_VALUE"""),"piece_kim_00301")</f>
        <v/>
      </c>
      <c r="G173" s="334">
        <f>IFERROR(__xludf.DUMMYFUNCTION("""COMPUTED_VALUE"""),"item_icon_piece_kim_00301")</f>
        <v/>
      </c>
      <c r="H173" s="334">
        <f>IFERROR(__xludf.DUMMYFUNCTION("""COMPUTED_VALUE"""),"好本 静のかけら")</f>
        <v/>
      </c>
      <c r="I173" s="334">
        <f>IFERROR(__xludf.DUMMYFUNCTION("""COMPUTED_VALUE"""),"SSR")</f>
        <v/>
      </c>
      <c r="J173" s="409">
        <f>IFERROR(__xludf.DUMMYFUNCTION("""COMPUTED_VALUE"""),9.99999999E8)</f>
        <v/>
      </c>
      <c r="K173" s="409">
        <f>IFERROR(__xludf.DUMMYFUNCTION("""COMPUTED_VALUE"""),9.99999999E8)</f>
        <v/>
      </c>
      <c r="L173" s="334">
        <f>IFERROR(__xludf.DUMMYFUNCTION("""COMPUTED_VALUE"""),"好本 静のグレードアップに使用するアイテム")</f>
        <v/>
      </c>
      <c r="M173" s="334" t="n"/>
      <c r="N173" s="410">
        <f>IFERROR(__xludf.DUMMYFUNCTION("""COMPUTED_VALUE"""),"2026-02-16 15:00:00")</f>
        <v/>
      </c>
      <c r="O173" s="368" t="n"/>
      <c r="P173" s="334" t="n"/>
    </row>
    <row r="174">
      <c r="A174" s="334" t="n"/>
      <c r="B174" s="334" t="n"/>
      <c r="C174" s="334" t="n"/>
      <c r="D174" s="334" t="n"/>
      <c r="E174" s="334" t="n"/>
      <c r="F174" s="334" t="n"/>
      <c r="G174" s="334" t="n"/>
      <c r="H174" s="334" t="n"/>
      <c r="I174" s="334" t="n"/>
      <c r="J174" s="334" t="n"/>
      <c r="K174" s="334" t="n"/>
      <c r="L174" s="334" t="n"/>
      <c r="M174" s="334" t="n"/>
      <c r="N174" s="339" t="n"/>
      <c r="O174" s="368" t="n"/>
      <c r="P174" s="334" t="n"/>
    </row>
    <row r="175">
      <c r="A175" s="334">
        <f>IFERROR(__xludf.DUMMYFUNCTION("""COMPUTED_VALUE"""),"hut")</f>
        <v/>
      </c>
      <c r="B175" s="334">
        <f>IFERROR(__xludf.DUMMYFUNCTION("""COMPUTED_VALUE"""),"ふつうの軽音部")</f>
        <v/>
      </c>
      <c r="C175" s="334">
        <f>IFERROR(__xludf.DUMMYFUNCTION("""COMPUTED_VALUE"""),"piece")</f>
        <v/>
      </c>
      <c r="D175" s="408">
        <f>IFERROR(__xludf.DUMMYFUNCTION("""COMPUTED_VALUE"""),"00001")</f>
        <v/>
      </c>
      <c r="E175" s="334">
        <f>IFERROR(__xludf.DUMMYFUNCTION("""COMPUTED_VALUE"""),"piece_hut_00001")</f>
        <v/>
      </c>
      <c r="F175" s="408">
        <f>IFERROR(__xludf.DUMMYFUNCTION("""COMPUTED_VALUE"""),"piece_hut_00001")</f>
        <v/>
      </c>
      <c r="G175" s="334">
        <f>IFERROR(__xludf.DUMMYFUNCTION("""COMPUTED_VALUE"""),"item_icon_piece_hut_00001")</f>
        <v/>
      </c>
      <c r="H175" s="334">
        <f>IFERROR(__xludf.DUMMYFUNCTION("""COMPUTED_VALUE"""),"ひたむきギタリスト 鳩野 ちひろのかけら")</f>
        <v/>
      </c>
      <c r="I175" s="334">
        <f>IFERROR(__xludf.DUMMYFUNCTION("""COMPUTED_VALUE"""),"UR")</f>
        <v/>
      </c>
      <c r="J175" s="409">
        <f>IFERROR(__xludf.DUMMYFUNCTION("""COMPUTED_VALUE"""),9.99999999E8)</f>
        <v/>
      </c>
      <c r="K175" s="409">
        <f>IFERROR(__xludf.DUMMYFUNCTION("""COMPUTED_VALUE"""),9.99999999E8)</f>
        <v/>
      </c>
      <c r="L175" s="334">
        <f>IFERROR(__xludf.DUMMYFUNCTION("""COMPUTED_VALUE"""),"ひたむきギタリスト 鳩野 ちひろのグレードアップに使用するアイテム")</f>
        <v/>
      </c>
      <c r="M175" s="334" t="n"/>
      <c r="N175" s="410">
        <f>IFERROR(__xludf.DUMMYFUNCTION("""COMPUTED_VALUE"""),"2026-03-02 15:00:00")</f>
        <v/>
      </c>
      <c r="O175" s="368" t="n"/>
      <c r="P175" s="334" t="n"/>
    </row>
    <row r="176">
      <c r="A176" s="334">
        <f>IFERROR(__xludf.DUMMYFUNCTION("""COMPUTED_VALUE"""),"hut")</f>
        <v/>
      </c>
      <c r="B176" s="334">
        <f>IFERROR(__xludf.DUMMYFUNCTION("""COMPUTED_VALUE"""),"ふつうの軽音部")</f>
        <v/>
      </c>
      <c r="C176" s="334">
        <f>IFERROR(__xludf.DUMMYFUNCTION("""COMPUTED_VALUE"""),"piece")</f>
        <v/>
      </c>
      <c r="D176" s="408">
        <f>IFERROR(__xludf.DUMMYFUNCTION("""COMPUTED_VALUE"""),"00101")</f>
        <v/>
      </c>
      <c r="E176" s="334">
        <f>IFERROR(__xludf.DUMMYFUNCTION("""COMPUTED_VALUE"""),"piece_hut_00101")</f>
        <v/>
      </c>
      <c r="F176" s="408">
        <f>IFERROR(__xludf.DUMMYFUNCTION("""COMPUTED_VALUE"""),"piece_hut_00101")</f>
        <v/>
      </c>
      <c r="G176" s="334">
        <f>IFERROR(__xludf.DUMMYFUNCTION("""COMPUTED_VALUE"""),"item_icon_piece_hut_00101")</f>
        <v/>
      </c>
      <c r="H176" s="334">
        <f>IFERROR(__xludf.DUMMYFUNCTION("""COMPUTED_VALUE"""),"幸山 厘のかけら")</f>
        <v/>
      </c>
      <c r="I176" s="334">
        <f>IFERROR(__xludf.DUMMYFUNCTION("""COMPUTED_VALUE"""),"SSR")</f>
        <v/>
      </c>
      <c r="J176" s="409">
        <f>IFERROR(__xludf.DUMMYFUNCTION("""COMPUTED_VALUE"""),9.99999999E8)</f>
        <v/>
      </c>
      <c r="K176" s="409">
        <f>IFERROR(__xludf.DUMMYFUNCTION("""COMPUTED_VALUE"""),9.99999999E8)</f>
        <v/>
      </c>
      <c r="L176" s="334">
        <f>IFERROR(__xludf.DUMMYFUNCTION("""COMPUTED_VALUE"""),"幸山 厘のグレードアップに使用するアイテム")</f>
        <v/>
      </c>
      <c r="M176" s="334" t="n"/>
      <c r="N176" s="410">
        <f>IFERROR(__xludf.DUMMYFUNCTION("""COMPUTED_VALUE"""),"2026-03-02 15:00:00")</f>
        <v/>
      </c>
      <c r="O176" s="368" t="n"/>
      <c r="P176" s="334" t="n"/>
    </row>
    <row r="177">
      <c r="A177" s="334">
        <f>IFERROR(__xludf.DUMMYFUNCTION("""COMPUTED_VALUE"""),"hut")</f>
        <v/>
      </c>
      <c r="B177" s="334">
        <f>IFERROR(__xludf.DUMMYFUNCTION("""COMPUTED_VALUE"""),"ふつうの軽音部")</f>
        <v/>
      </c>
      <c r="C177" s="334">
        <f>IFERROR(__xludf.DUMMYFUNCTION("""COMPUTED_VALUE"""),"piece")</f>
        <v/>
      </c>
      <c r="D177" s="408">
        <f>IFERROR(__xludf.DUMMYFUNCTION("""COMPUTED_VALUE"""),"00201")</f>
        <v/>
      </c>
      <c r="E177" s="334">
        <f>IFERROR(__xludf.DUMMYFUNCTION("""COMPUTED_VALUE"""),"piece_hut_00201")</f>
        <v/>
      </c>
      <c r="F177" s="408">
        <f>IFERROR(__xludf.DUMMYFUNCTION("""COMPUTED_VALUE"""),"piece_hut_00201")</f>
        <v/>
      </c>
      <c r="G177" s="334">
        <f>IFERROR(__xludf.DUMMYFUNCTION("""COMPUTED_VALUE"""),"item_icon_piece_hut_00201")</f>
        <v/>
      </c>
      <c r="H177" s="334">
        <f>IFERROR(__xludf.DUMMYFUNCTION("""COMPUTED_VALUE"""),"内田 桃のかけら")</f>
        <v/>
      </c>
      <c r="I177" s="334">
        <f>IFERROR(__xludf.DUMMYFUNCTION("""COMPUTED_VALUE"""),"SR")</f>
        <v/>
      </c>
      <c r="J177" s="409">
        <f>IFERROR(__xludf.DUMMYFUNCTION("""COMPUTED_VALUE"""),9.99999999E8)</f>
        <v/>
      </c>
      <c r="K177" s="409">
        <f>IFERROR(__xludf.DUMMYFUNCTION("""COMPUTED_VALUE"""),9.99999999E8)</f>
        <v/>
      </c>
      <c r="L177" s="334">
        <f>IFERROR(__xludf.DUMMYFUNCTION("""COMPUTED_VALUE"""),"内田 桃のグレードアップに使用するアイテム")</f>
        <v/>
      </c>
      <c r="M177" s="334" t="n"/>
      <c r="N177" s="410">
        <f>IFERROR(__xludf.DUMMYFUNCTION("""COMPUTED_VALUE"""),"2026-03-02 15:00:00")</f>
        <v/>
      </c>
      <c r="O177" s="368" t="n"/>
      <c r="P177" s="334" t="n"/>
    </row>
    <row r="178">
      <c r="A178" s="334">
        <f>IFERROR(__xludf.DUMMYFUNCTION("""COMPUTED_VALUE"""),"hut")</f>
        <v/>
      </c>
      <c r="B178" s="334">
        <f>IFERROR(__xludf.DUMMYFUNCTION("""COMPUTED_VALUE"""),"ふつうの軽音部")</f>
        <v/>
      </c>
      <c r="C178" s="334">
        <f>IFERROR(__xludf.DUMMYFUNCTION("""COMPUTED_VALUE"""),"piece")</f>
        <v/>
      </c>
      <c r="D178" s="408">
        <f>IFERROR(__xludf.DUMMYFUNCTION("""COMPUTED_VALUE"""),"00301")</f>
        <v/>
      </c>
      <c r="E178" s="334">
        <f>IFERROR(__xludf.DUMMYFUNCTION("""COMPUTED_VALUE"""),"piece_hut_00301")</f>
        <v/>
      </c>
      <c r="F178" s="408">
        <f>IFERROR(__xludf.DUMMYFUNCTION("""COMPUTED_VALUE"""),"piece_hut_00301")</f>
        <v/>
      </c>
      <c r="G178" s="334">
        <f>IFERROR(__xludf.DUMMYFUNCTION("""COMPUTED_VALUE"""),"item_icon_piece_hut_00301")</f>
        <v/>
      </c>
      <c r="H178" s="334">
        <f>IFERROR(__xludf.DUMMYFUNCTION("""COMPUTED_VALUE"""),"藤井 彩目のかけら")</f>
        <v/>
      </c>
      <c r="I178" s="334">
        <f>IFERROR(__xludf.DUMMYFUNCTION("""COMPUTED_VALUE"""),"SR")</f>
        <v/>
      </c>
      <c r="J178" s="409">
        <f>IFERROR(__xludf.DUMMYFUNCTION("""COMPUTED_VALUE"""),9.99999999E8)</f>
        <v/>
      </c>
      <c r="K178" s="409">
        <f>IFERROR(__xludf.DUMMYFUNCTION("""COMPUTED_VALUE"""),9.99999999E8)</f>
        <v/>
      </c>
      <c r="L178" s="334">
        <f>IFERROR(__xludf.DUMMYFUNCTION("""COMPUTED_VALUE"""),"藤井 彩目のグレードアップに使用するアイテム")</f>
        <v/>
      </c>
      <c r="M178" s="334" t="n"/>
      <c r="N178" s="410">
        <f>IFERROR(__xludf.DUMMYFUNCTION("""COMPUTED_VALUE"""),"2026-03-02 15:00:00")</f>
        <v/>
      </c>
      <c r="O178" s="368" t="n"/>
      <c r="P178" s="334" t="n"/>
    </row>
    <row r="179">
      <c r="A179" s="334" t="n"/>
      <c r="B179" s="334" t="n"/>
      <c r="C179" s="334" t="n"/>
      <c r="D179" s="334" t="n"/>
      <c r="E179" s="334" t="n"/>
      <c r="F179" s="334" t="n"/>
      <c r="G179" s="334" t="n"/>
      <c r="H179" s="334" t="n"/>
      <c r="I179" s="334" t="n"/>
      <c r="J179" s="334" t="n"/>
      <c r="K179" s="334" t="n"/>
      <c r="L179" s="334" t="n"/>
      <c r="M179" s="334" t="n"/>
      <c r="N179" s="339" t="n"/>
      <c r="O179" s="368" t="n"/>
      <c r="P179" s="334" t="n"/>
    </row>
    <row r="180">
      <c r="A180" s="334">
        <f>IFERROR(__xludf.DUMMYFUNCTION("""COMPUTED_VALUE"""),"aya")</f>
        <v/>
      </c>
      <c r="B180" s="334">
        <f>IFERROR(__xludf.DUMMYFUNCTION("""COMPUTED_VALUE"""),"あやかしトライアングル")</f>
        <v/>
      </c>
      <c r="C180" s="334">
        <f>IFERROR(__xludf.DUMMYFUNCTION("""COMPUTED_VALUE"""),"piece")</f>
        <v/>
      </c>
      <c r="D180" s="408">
        <f>IFERROR(__xludf.DUMMYFUNCTION("""COMPUTED_VALUE"""),"00001")</f>
        <v/>
      </c>
      <c r="E180" s="334">
        <f>IFERROR(__xludf.DUMMYFUNCTION("""COMPUTED_VALUE"""),"piece_aya_00001")</f>
        <v/>
      </c>
      <c r="F180" s="408">
        <f>IFERROR(__xludf.DUMMYFUNCTION("""COMPUTED_VALUE"""),"piece_aya_00001")</f>
        <v/>
      </c>
      <c r="G180" s="334">
        <f>IFERROR(__xludf.DUMMYFUNCTION("""COMPUTED_VALUE"""),"item_icon_piece_aya_00001")</f>
        <v/>
      </c>
      <c r="H180" s="334">
        <f>IFERROR(__xludf.DUMMYFUNCTION("""COMPUTED_VALUE"""),"一子相伝の風使い 風巻 祭里のかけら")</f>
        <v/>
      </c>
      <c r="I180" s="334">
        <f>IFERROR(__xludf.DUMMYFUNCTION("""COMPUTED_VALUE"""),"UR")</f>
        <v/>
      </c>
      <c r="J180" s="409">
        <f>IFERROR(__xludf.DUMMYFUNCTION("""COMPUTED_VALUE"""),9.99999999E8)</f>
        <v/>
      </c>
      <c r="K180" s="409">
        <f>IFERROR(__xludf.DUMMYFUNCTION("""COMPUTED_VALUE"""),9.99999999E8)</f>
        <v/>
      </c>
      <c r="L180" s="334">
        <f>IFERROR(__xludf.DUMMYFUNCTION("""COMPUTED_VALUE"""),"一子相伝の風使い　風巻 祭里のグレードアップに使用するアイテム")</f>
        <v/>
      </c>
      <c r="M180" s="334" t="n"/>
      <c r="N180" s="410">
        <f>IFERROR(__xludf.DUMMYFUNCTION("""COMPUTED_VALUE"""),"2026-04-17 15:00:00")</f>
        <v/>
      </c>
      <c r="O180" s="368" t="n"/>
      <c r="P180" s="334" t="n"/>
    </row>
    <row r="181">
      <c r="A181" s="334">
        <f>IFERROR(__xludf.DUMMYFUNCTION("""COMPUTED_VALUE"""),"aya")</f>
        <v/>
      </c>
      <c r="B181" s="334">
        <f>IFERROR(__xludf.DUMMYFUNCTION("""COMPUTED_VALUE"""),"あやかしトライアングル")</f>
        <v/>
      </c>
      <c r="C181" s="334">
        <f>IFERROR(__xludf.DUMMYFUNCTION("""COMPUTED_VALUE"""),"piece")</f>
        <v/>
      </c>
      <c r="D181" s="408">
        <f>IFERROR(__xludf.DUMMYFUNCTION("""COMPUTED_VALUE"""),"00101")</f>
        <v/>
      </c>
      <c r="E181" s="334">
        <f>IFERROR(__xludf.DUMMYFUNCTION("""COMPUTED_VALUE"""),"piece_aya_00101")</f>
        <v/>
      </c>
      <c r="F181" s="408">
        <f>IFERROR(__xludf.DUMMYFUNCTION("""COMPUTED_VALUE"""),"piece_aya_00101")</f>
        <v/>
      </c>
      <c r="G181" s="334">
        <f>IFERROR(__xludf.DUMMYFUNCTION("""COMPUTED_VALUE"""),"item_icon_piece_aya_00101")</f>
        <v/>
      </c>
      <c r="H181" s="334">
        <f>IFERROR(__xludf.DUMMYFUNCTION("""COMPUTED_VALUE"""),"花奏 すずのかけら")</f>
        <v/>
      </c>
      <c r="I181" s="334">
        <f>IFERROR(__xludf.DUMMYFUNCTION("""COMPUTED_VALUE"""),"SSR")</f>
        <v/>
      </c>
      <c r="J181" s="409">
        <f>IFERROR(__xludf.DUMMYFUNCTION("""COMPUTED_VALUE"""),9.99999999E8)</f>
        <v/>
      </c>
      <c r="K181" s="409">
        <f>IFERROR(__xludf.DUMMYFUNCTION("""COMPUTED_VALUE"""),9.99999999E8)</f>
        <v/>
      </c>
      <c r="L181" s="334">
        <f>IFERROR(__xludf.DUMMYFUNCTION("""COMPUTED_VALUE"""),"花奏 すずのグレードアップに使用するアイテム")</f>
        <v/>
      </c>
      <c r="M181" s="334" t="n"/>
      <c r="N181" s="410">
        <f>IFERROR(__xludf.DUMMYFUNCTION("""COMPUTED_VALUE"""),"2026-04-17 15:00:00")</f>
        <v/>
      </c>
      <c r="O181" s="368" t="n"/>
      <c r="P181" s="334" t="n"/>
    </row>
    <row r="182">
      <c r="A182" s="334">
        <f>IFERROR(__xludf.DUMMYFUNCTION("""COMPUTED_VALUE"""),"aya")</f>
        <v/>
      </c>
      <c r="B182" s="334">
        <f>IFERROR(__xludf.DUMMYFUNCTION("""COMPUTED_VALUE"""),"あやかしトライアングル")</f>
        <v/>
      </c>
      <c r="C182" s="334">
        <f>IFERROR(__xludf.DUMMYFUNCTION("""COMPUTED_VALUE"""),"piece")</f>
        <v/>
      </c>
      <c r="D182" s="408">
        <f>IFERROR(__xludf.DUMMYFUNCTION("""COMPUTED_VALUE"""),"00201")</f>
        <v/>
      </c>
      <c r="E182" s="334">
        <f>IFERROR(__xludf.DUMMYFUNCTION("""COMPUTED_VALUE"""),"piece_aya_00201")</f>
        <v/>
      </c>
      <c r="F182" s="408">
        <f>IFERROR(__xludf.DUMMYFUNCTION("""COMPUTED_VALUE"""),"piece_aya_00201")</f>
        <v/>
      </c>
      <c r="G182" s="334">
        <f>IFERROR(__xludf.DUMMYFUNCTION("""COMPUTED_VALUE"""),"item_icon_piece_aya_00201")</f>
        <v/>
      </c>
      <c r="H182" s="334">
        <f>IFERROR(__xludf.DUMMYFUNCTION("""COMPUTED_VALUE"""),"香炉木 恋緒のかけら")</f>
        <v/>
      </c>
      <c r="I182" s="334">
        <f>IFERROR(__xludf.DUMMYFUNCTION("""COMPUTED_VALUE"""),"SR")</f>
        <v/>
      </c>
      <c r="J182" s="409">
        <f>IFERROR(__xludf.DUMMYFUNCTION("""COMPUTED_VALUE"""),9.99999999E8)</f>
        <v/>
      </c>
      <c r="K182" s="409">
        <f>IFERROR(__xludf.DUMMYFUNCTION("""COMPUTED_VALUE"""),9.99999999E8)</f>
        <v/>
      </c>
      <c r="L182" s="334">
        <f>IFERROR(__xludf.DUMMYFUNCTION("""COMPUTED_VALUE"""),"香炉木 恋緒のグレードアップに使用するアイテム")</f>
        <v/>
      </c>
      <c r="M182" s="334" t="n"/>
      <c r="N182" s="410">
        <f>IFERROR(__xludf.DUMMYFUNCTION("""COMPUTED_VALUE"""),"2026-04-17 15:00:00")</f>
        <v/>
      </c>
      <c r="O182" s="368" t="n"/>
      <c r="P182" s="334" t="n"/>
    </row>
    <row r="183">
      <c r="A183" s="334">
        <f>IFERROR(__xludf.DUMMYFUNCTION("""COMPUTED_VALUE"""),"aya")</f>
        <v/>
      </c>
      <c r="B183" s="334">
        <f>IFERROR(__xludf.DUMMYFUNCTION("""COMPUTED_VALUE"""),"あやかしトライアングル")</f>
        <v/>
      </c>
      <c r="C183" s="334">
        <f>IFERROR(__xludf.DUMMYFUNCTION("""COMPUTED_VALUE"""),"piece")</f>
        <v/>
      </c>
      <c r="D183" s="408">
        <f>IFERROR(__xludf.DUMMYFUNCTION("""COMPUTED_VALUE"""),"00301")</f>
        <v/>
      </c>
      <c r="E183" s="334">
        <f>IFERROR(__xludf.DUMMYFUNCTION("""COMPUTED_VALUE"""),"piece_aya_00301")</f>
        <v/>
      </c>
      <c r="F183" s="408">
        <f>IFERROR(__xludf.DUMMYFUNCTION("""COMPUTED_VALUE"""),"piece_aya_00301")</f>
        <v/>
      </c>
      <c r="G183" s="334">
        <f>IFERROR(__xludf.DUMMYFUNCTION("""COMPUTED_VALUE"""),"item_icon_piece_aya_00301")</f>
        <v/>
      </c>
      <c r="H183" s="334">
        <f>IFERROR(__xludf.DUMMYFUNCTION("""COMPUTED_VALUE"""),"二ノ曲 宗牙のかけら")</f>
        <v/>
      </c>
      <c r="I183" s="334">
        <f>IFERROR(__xludf.DUMMYFUNCTION("""COMPUTED_VALUE"""),"SR")</f>
        <v/>
      </c>
      <c r="J183" s="409">
        <f>IFERROR(__xludf.DUMMYFUNCTION("""COMPUTED_VALUE"""),9.99999999E8)</f>
        <v/>
      </c>
      <c r="K183" s="409">
        <f>IFERROR(__xludf.DUMMYFUNCTION("""COMPUTED_VALUE"""),9.99999999E8)</f>
        <v/>
      </c>
      <c r="L183" s="334">
        <f>IFERROR(__xludf.DUMMYFUNCTION("""COMPUTED_VALUE"""),"二ノ曲 宗牙のグレードアップに使用するアイテム")</f>
        <v/>
      </c>
      <c r="M183" s="334" t="n"/>
      <c r="N183" s="410">
        <f>IFERROR(__xludf.DUMMYFUNCTION("""COMPUTED_VALUE"""),"2026-04-17 15:00:00")</f>
        <v/>
      </c>
      <c r="O183" s="368" t="n"/>
      <c r="P183" s="334" t="n"/>
    </row>
    <row r="184">
      <c r="A184" s="334" t="n"/>
      <c r="B184" s="334" t="n"/>
      <c r="C184" s="334" t="n"/>
      <c r="D184" s="334" t="n"/>
      <c r="E184" s="334" t="n"/>
      <c r="F184" s="334" t="n"/>
      <c r="G184" s="334" t="n"/>
      <c r="H184" s="334" t="n"/>
      <c r="I184" s="334" t="n"/>
      <c r="J184" s="334" t="n"/>
      <c r="K184" s="334" t="n"/>
      <c r="L184" s="334" t="n"/>
      <c r="M184" s="334" t="n"/>
      <c r="N184" s="339" t="n"/>
      <c r="O184" s="368" t="n"/>
      <c r="P184" s="334" t="n"/>
    </row>
    <row r="185">
      <c r="A185" s="334">
        <f>IFERROR(__xludf.DUMMYFUNCTION("""COMPUTED_VALUE"""),"sur")</f>
        <v/>
      </c>
      <c r="B185" s="334">
        <f>IFERROR(__xludf.DUMMYFUNCTION("""COMPUTED_VALUE"""),"魔都精兵のスレイブ")</f>
        <v/>
      </c>
      <c r="C185" s="334">
        <f>IFERROR(__xludf.DUMMYFUNCTION("""COMPUTED_VALUE"""),"piece")</f>
        <v/>
      </c>
      <c r="D185" s="408">
        <f>IFERROR(__xludf.DUMMYFUNCTION("""COMPUTED_VALUE"""),"00901")</f>
        <v/>
      </c>
      <c r="E185" s="334">
        <f>IFERROR(__xludf.DUMMYFUNCTION("""COMPUTED_VALUE"""),"piece_sur_00901")</f>
        <v/>
      </c>
      <c r="F185" s="408">
        <f>IFERROR(__xludf.DUMMYFUNCTION("""COMPUTED_VALUE"""),"piece_sur_00901")</f>
        <v/>
      </c>
      <c r="G185" s="334">
        <f>IFERROR(__xludf.DUMMYFUNCTION("""COMPUTED_VALUE"""),"item_icon_piece_sur_00901")</f>
        <v/>
      </c>
      <c r="H185" s="334">
        <f>IFERROR(__xludf.DUMMYFUNCTION("""COMPUTED_VALUE"""),"万物を統べる総組長 山城 恋のかけら")</f>
        <v/>
      </c>
      <c r="I185" s="334">
        <f>IFERROR(__xludf.DUMMYFUNCTION("""COMPUTED_VALUE"""),"UR")</f>
        <v/>
      </c>
      <c r="J185" s="409">
        <f>IFERROR(__xludf.DUMMYFUNCTION("""COMPUTED_VALUE"""),9.99999999E8)</f>
        <v/>
      </c>
      <c r="K185" s="409">
        <f>IFERROR(__xludf.DUMMYFUNCTION("""COMPUTED_VALUE"""),9.99999999E8)</f>
        <v/>
      </c>
      <c r="L185" s="334">
        <f>IFERROR(__xludf.DUMMYFUNCTION("""COMPUTED_VALUE"""),"万物を統べる総組長 山城 恋のグレードアップに使用するアイテム")</f>
        <v/>
      </c>
      <c r="M185" s="334" t="n"/>
      <c r="N185" s="339" t="n"/>
      <c r="O185" s="368" t="n"/>
      <c r="P185" s="334" t="n"/>
    </row>
    <row r="186">
      <c r="A186" s="334" t="n"/>
      <c r="B186" s="334" t="n"/>
      <c r="C186" s="334" t="n"/>
      <c r="D186" s="334" t="n"/>
      <c r="E186" s="334" t="n"/>
      <c r="F186" s="334" t="n"/>
      <c r="G186" s="334" t="n"/>
      <c r="H186" s="334" t="n"/>
      <c r="I186" s="334" t="n"/>
      <c r="J186" s="334" t="n"/>
      <c r="K186" s="334" t="n"/>
      <c r="L186" s="334" t="n"/>
      <c r="M186" s="334" t="n"/>
      <c r="N186" s="339" t="n"/>
      <c r="O186" s="368" t="n"/>
      <c r="P186" s="334" t="n"/>
    </row>
    <row r="187">
      <c r="A187" s="334">
        <f>IFERROR(__xludf.DUMMYFUNCTION("""COMPUTED_VALUE"""),"kai")</f>
        <v/>
      </c>
      <c r="B187" s="334">
        <f>IFERROR(__xludf.DUMMYFUNCTION("""COMPUTED_VALUE"""),"怪獣８号")</f>
        <v/>
      </c>
      <c r="C187" s="334">
        <f>IFERROR(__xludf.DUMMYFUNCTION("""COMPUTED_VALUE"""),"piece")</f>
        <v/>
      </c>
      <c r="D187" s="408">
        <f>IFERROR(__xludf.DUMMYFUNCTION("""COMPUTED_VALUE"""),"00102")</f>
        <v/>
      </c>
      <c r="E187" s="334">
        <f>IFERROR(__xludf.DUMMYFUNCTION("""COMPUTED_VALUE"""),"piece_kai_00102")</f>
        <v/>
      </c>
      <c r="F187" s="408">
        <f>IFERROR(__xludf.DUMMYFUNCTION("""COMPUTED_VALUE"""),"piece_kai_00102")</f>
        <v/>
      </c>
      <c r="G187" s="334">
        <f>IFERROR(__xludf.DUMMYFUNCTION("""COMPUTED_VALUE"""),"item_icon_piece_kai_00102")</f>
        <v/>
      </c>
      <c r="H187" s="334">
        <f>IFERROR(__xludf.DUMMYFUNCTION("""COMPUTED_VALUE"""),"識別怪獣兵器6 市川 レノのかけら")</f>
        <v/>
      </c>
      <c r="I187" s="334">
        <f>IFERROR(__xludf.DUMMYFUNCTION("""COMPUTED_VALUE"""),"UR")</f>
        <v/>
      </c>
      <c r="J187" s="409">
        <f>IFERROR(__xludf.DUMMYFUNCTION("""COMPUTED_VALUE"""),9.99999999E8)</f>
        <v/>
      </c>
      <c r="K187" s="409">
        <f>IFERROR(__xludf.DUMMYFUNCTION("""COMPUTED_VALUE"""),9.99999999E8)</f>
        <v/>
      </c>
      <c r="L187" s="334">
        <f>IFERROR(__xludf.DUMMYFUNCTION("""COMPUTED_VALUE"""),"識別怪獣兵器6 市川 レノのグレードアップに使用するアイテム")</f>
        <v/>
      </c>
      <c r="M187" s="334" t="n"/>
      <c r="N187" s="339" t="n"/>
      <c r="O187" s="368" t="n"/>
      <c r="P187" s="334" t="n"/>
    </row>
    <row r="188">
      <c r="A188" s="334">
        <f>IFERROR(__xludf.DUMMYFUNCTION("""COMPUTED_VALUE"""),"kai")</f>
        <v/>
      </c>
      <c r="B188" s="334">
        <f>IFERROR(__xludf.DUMMYFUNCTION("""COMPUTED_VALUE"""),"怪獣８号")</f>
        <v/>
      </c>
      <c r="C188" s="334">
        <f>IFERROR(__xludf.DUMMYFUNCTION("""COMPUTED_VALUE"""),"piece")</f>
        <v/>
      </c>
      <c r="D188" s="408">
        <f>IFERROR(__xludf.DUMMYFUNCTION("""COMPUTED_VALUE"""),"00701")</f>
        <v/>
      </c>
      <c r="E188" s="334">
        <f>IFERROR(__xludf.DUMMYFUNCTION("""COMPUTED_VALUE"""),"piece_kai_00701")</f>
        <v/>
      </c>
      <c r="F188" s="408">
        <f>IFERROR(__xludf.DUMMYFUNCTION("""COMPUTED_VALUE"""),"piece_kai_00701")</f>
        <v/>
      </c>
      <c r="G188" s="334">
        <f>IFERROR(__xludf.DUMMYFUNCTION("""COMPUTED_VALUE"""),"item_icon_piece_kai_00701")</f>
        <v/>
      </c>
      <c r="H188" s="334">
        <f>IFERROR(__xludf.DUMMYFUNCTION("""COMPUTED_VALUE"""),"識別怪獣兵器1 鳴海 弦のかけら")</f>
        <v/>
      </c>
      <c r="I188" s="334">
        <f>IFERROR(__xludf.DUMMYFUNCTION("""COMPUTED_VALUE"""),"UR")</f>
        <v/>
      </c>
      <c r="J188" s="409">
        <f>IFERROR(__xludf.DUMMYFUNCTION("""COMPUTED_VALUE"""),9.99999999E8)</f>
        <v/>
      </c>
      <c r="K188" s="409">
        <f>IFERROR(__xludf.DUMMYFUNCTION("""COMPUTED_VALUE"""),9.99999999E8)</f>
        <v/>
      </c>
      <c r="L188" s="334">
        <f>IFERROR(__xludf.DUMMYFUNCTION("""COMPUTED_VALUE"""),"識別怪獣兵器1 鳴海 弦のグレードアップに使用するアイテム")</f>
        <v/>
      </c>
      <c r="M188" s="334" t="n"/>
      <c r="N188" s="339" t="n"/>
      <c r="O188" s="368" t="n"/>
      <c r="P188" s="334" t="n"/>
    </row>
    <row r="189">
      <c r="A189" s="334" t="n"/>
      <c r="B189" s="334" t="n"/>
      <c r="C189" s="334" t="n"/>
      <c r="D189" s="334" t="n"/>
      <c r="E189" s="334" t="n"/>
      <c r="F189" s="334" t="n"/>
      <c r="G189" s="334" t="n"/>
      <c r="H189" s="334" t="n"/>
      <c r="I189" s="334" t="n"/>
      <c r="J189" s="334" t="n"/>
      <c r="K189" s="334" t="n"/>
      <c r="L189" s="334" t="n"/>
      <c r="M189" s="334" t="n"/>
      <c r="N189" s="339" t="n"/>
      <c r="O189" s="368" t="n"/>
      <c r="P189" s="334" t="n"/>
    </row>
    <row r="190">
      <c r="A190" s="334">
        <f>IFERROR(__xludf.DUMMYFUNCTION("""COMPUTED_VALUE"""),"osh")</f>
        <v/>
      </c>
      <c r="B190" s="334">
        <f>IFERROR(__xludf.DUMMYFUNCTION("""COMPUTED_VALUE"""),"【推しの子】")</f>
        <v/>
      </c>
      <c r="C190" s="334">
        <f>IFERROR(__xludf.DUMMYFUNCTION("""COMPUTED_VALUE"""),"piece")</f>
        <v/>
      </c>
      <c r="D190" s="408">
        <f>IFERROR(__xludf.DUMMYFUNCTION("""COMPUTED_VALUE"""),"00701")</f>
        <v/>
      </c>
      <c r="E190" s="334">
        <f>IFERROR(__xludf.DUMMYFUNCTION("""COMPUTED_VALUE"""),"piece_osh_00701")</f>
        <v/>
      </c>
      <c r="F190" s="408">
        <f>IFERROR(__xludf.DUMMYFUNCTION("""COMPUTED_VALUE"""),"piece_osh_00701")</f>
        <v/>
      </c>
      <c r="G190" s="334">
        <f>IFERROR(__xludf.DUMMYFUNCTION("""COMPUTED_VALUE"""),"item_icon_piece_osh_00701")</f>
        <v/>
      </c>
      <c r="H190" s="334">
        <f>IFERROR(__xludf.DUMMYFUNCTION("""COMPUTED_VALUE"""),"雨宮 吾郎のかけら")</f>
        <v/>
      </c>
      <c r="I190" s="334">
        <f>IFERROR(__xludf.DUMMYFUNCTION("""COMPUTED_VALUE"""),"SR")</f>
        <v/>
      </c>
      <c r="J190" s="409">
        <f>IFERROR(__xludf.DUMMYFUNCTION("""COMPUTED_VALUE"""),9.99999999E8)</f>
        <v/>
      </c>
      <c r="K190" s="409">
        <f>IFERROR(__xludf.DUMMYFUNCTION("""COMPUTED_VALUE"""),9.99999999E8)</f>
        <v/>
      </c>
      <c r="L190" s="334">
        <f>IFERROR(__xludf.DUMMYFUNCTION("""COMPUTED_VALUE"""),"雨宮 吾郎のグレードアップに使用するアイテム")</f>
        <v/>
      </c>
      <c r="M190" s="334" t="n"/>
      <c r="N190" s="339" t="n"/>
      <c r="O190" s="368" t="n"/>
      <c r="P190" s="334" t="n"/>
    </row>
    <row r="191">
      <c r="A191" s="334">
        <f>IFERROR(__xludf.DUMMYFUNCTION("""COMPUTED_VALUE"""),"osh")</f>
        <v/>
      </c>
      <c r="B191" s="334">
        <f>IFERROR(__xludf.DUMMYFUNCTION("""COMPUTED_VALUE"""),"【推しの子】")</f>
        <v/>
      </c>
      <c r="C191" s="334">
        <f>IFERROR(__xludf.DUMMYFUNCTION("""COMPUTED_VALUE"""),"piece")</f>
        <v/>
      </c>
      <c r="D191" s="408">
        <f>IFERROR(__xludf.DUMMYFUNCTION("""COMPUTED_VALUE"""),"00801")</f>
        <v/>
      </c>
      <c r="E191" s="334">
        <f>IFERROR(__xludf.DUMMYFUNCTION("""COMPUTED_VALUE"""),"piece_osh_00801")</f>
        <v/>
      </c>
      <c r="F191" s="408">
        <f>IFERROR(__xludf.DUMMYFUNCTION("""COMPUTED_VALUE"""),"piece_osh_00801")</f>
        <v/>
      </c>
      <c r="G191" s="334">
        <f>IFERROR(__xludf.DUMMYFUNCTION("""COMPUTED_VALUE"""),"item_icon_piece_osh_00801")</f>
        <v/>
      </c>
      <c r="H191" s="334">
        <f>IFERROR(__xludf.DUMMYFUNCTION("""COMPUTED_VALUE"""),"斉藤 ミヤコのかけら")</f>
        <v/>
      </c>
      <c r="I191" s="334">
        <f>IFERROR(__xludf.DUMMYFUNCTION("""COMPUTED_VALUE"""),"SSR")</f>
        <v/>
      </c>
      <c r="J191" s="409">
        <f>IFERROR(__xludf.DUMMYFUNCTION("""COMPUTED_VALUE"""),9.99999999E8)</f>
        <v/>
      </c>
      <c r="K191" s="409">
        <f>IFERROR(__xludf.DUMMYFUNCTION("""COMPUTED_VALUE"""),9.99999999E8)</f>
        <v/>
      </c>
      <c r="L191" s="334">
        <f>IFERROR(__xludf.DUMMYFUNCTION("""COMPUTED_VALUE"""),"斉藤 ミヤコのグレードアップに使用するアイテム")</f>
        <v/>
      </c>
      <c r="M191" s="334" t="n"/>
      <c r="N191" s="339" t="n"/>
      <c r="O191" s="368" t="n"/>
      <c r="P191" s="334" t="n"/>
    </row>
    <row r="192">
      <c r="A192" s="334" t="n"/>
      <c r="B192" s="334" t="n"/>
      <c r="C192" s="334" t="n"/>
      <c r="D192" s="334" t="n"/>
      <c r="E192" s="334" t="n"/>
      <c r="F192" s="334" t="n"/>
      <c r="G192" s="334" t="n"/>
      <c r="H192" s="334" t="n"/>
      <c r="I192" s="334" t="n"/>
      <c r="J192" s="334" t="n"/>
      <c r="K192" s="334" t="n"/>
      <c r="L192" s="334" t="n"/>
      <c r="M192" s="334" t="n"/>
      <c r="N192" s="339" t="n"/>
      <c r="O192" s="368" t="n"/>
      <c r="P192" s="334" t="n"/>
    </row>
    <row r="193">
      <c r="A193" s="334">
        <f>IFERROR(__xludf.DUMMYFUNCTION("""COMPUTED_VALUE"""),"hyp")</f>
        <v/>
      </c>
      <c r="B193" s="334">
        <f>IFERROR(__xludf.DUMMYFUNCTION("""COMPUTED_VALUE"""),"ハイパーインフレーション")</f>
        <v/>
      </c>
      <c r="C193" s="334">
        <f>IFERROR(__xludf.DUMMYFUNCTION("""COMPUTED_VALUE"""),"piece")</f>
        <v/>
      </c>
      <c r="D193" s="408">
        <f>IFERROR(__xludf.DUMMYFUNCTION("""COMPUTED_VALUE"""),"00001")</f>
        <v/>
      </c>
      <c r="E193" s="334">
        <f>IFERROR(__xludf.DUMMYFUNCTION("""COMPUTED_VALUE"""),"piece_hyp_00001")</f>
        <v/>
      </c>
      <c r="F193" s="408">
        <f>IFERROR(__xludf.DUMMYFUNCTION("""COMPUTED_VALUE"""),"piece_hyp_00001")</f>
        <v/>
      </c>
      <c r="G193" s="334">
        <f>IFERROR(__xludf.DUMMYFUNCTION("""COMPUTED_VALUE"""),"item_icon_piece_hyp_00001")</f>
        <v/>
      </c>
      <c r="H193" s="334">
        <f>IFERROR(__xludf.DUMMYFUNCTION("""COMPUTED_VALUE"""),"ルークのかけら")</f>
        <v/>
      </c>
      <c r="I193" s="334">
        <f>IFERROR(__xludf.DUMMYFUNCTION("""COMPUTED_VALUE"""),"SR")</f>
        <v/>
      </c>
      <c r="J193" s="409">
        <f>IFERROR(__xludf.DUMMYFUNCTION("""COMPUTED_VALUE"""),9.99999999E8)</f>
        <v/>
      </c>
      <c r="K193" s="409">
        <f>IFERROR(__xludf.DUMMYFUNCTION("""COMPUTED_VALUE"""),9.99999999E8)</f>
        <v/>
      </c>
      <c r="L193" s="334">
        <f>IFERROR(__xludf.DUMMYFUNCTION("""COMPUTED_VALUE"""),"ルークのグレードアップに使用するアイテム")</f>
        <v/>
      </c>
      <c r="M193" s="334" t="n"/>
      <c r="N193" s="339" t="n"/>
      <c r="O193" s="368" t="n"/>
      <c r="P193" s="334" t="n"/>
    </row>
    <row r="194">
      <c r="A194" s="334" t="n"/>
      <c r="B194" s="334" t="n"/>
      <c r="C194" s="334" t="n"/>
      <c r="D194" s="334" t="n"/>
      <c r="E194" s="334" t="n"/>
      <c r="F194" s="334" t="n"/>
      <c r="G194" s="334" t="n"/>
      <c r="H194" s="334" t="n"/>
      <c r="I194" s="334" t="n"/>
      <c r="J194" s="334" t="n"/>
      <c r="K194" s="334" t="n"/>
      <c r="L194" s="334" t="n"/>
      <c r="M194" s="334" t="n"/>
      <c r="N194" s="339" t="n"/>
      <c r="O194" s="368" t="n"/>
      <c r="P194" s="334" t="n"/>
    </row>
    <row r="195">
      <c r="A195" s="334">
        <f>IFERROR(__xludf.DUMMYFUNCTION("""COMPUTED_VALUE"""),"gam")</f>
        <v/>
      </c>
      <c r="B195" s="334">
        <f>IFERROR(__xludf.DUMMYFUNCTION("""COMPUTED_VALUE"""),"ゲーミングお嬢様")</f>
        <v/>
      </c>
      <c r="C195" s="334">
        <f>IFERROR(__xludf.DUMMYFUNCTION("""COMPUTED_VALUE"""),"piece")</f>
        <v/>
      </c>
      <c r="D195" s="408">
        <f>IFERROR(__xludf.DUMMYFUNCTION("""COMPUTED_VALUE"""),"00001")</f>
        <v/>
      </c>
      <c r="E195" s="334">
        <f>IFERROR(__xludf.DUMMYFUNCTION("""COMPUTED_VALUE"""),"piece_gam_00001")</f>
        <v/>
      </c>
      <c r="F195" s="408">
        <f>IFERROR(__xludf.DUMMYFUNCTION("""COMPUTED_VALUE"""),"piece_gam_00001")</f>
        <v/>
      </c>
      <c r="G195" s="334">
        <f>IFERROR(__xludf.DUMMYFUNCTION("""COMPUTED_VALUE"""),"item_icon_piece_gam_00001")</f>
        <v/>
      </c>
      <c r="H195" s="334">
        <f>IFERROR(__xludf.DUMMYFUNCTION("""COMPUTED_VALUE"""),"祥龍院 隆子のかけら")</f>
        <v/>
      </c>
      <c r="I195" s="334">
        <f>IFERROR(__xludf.DUMMYFUNCTION("""COMPUTED_VALUE"""),"SSR")</f>
        <v/>
      </c>
      <c r="J195" s="409">
        <f>IFERROR(__xludf.DUMMYFUNCTION("""COMPUTED_VALUE"""),9.99999999E8)</f>
        <v/>
      </c>
      <c r="K195" s="409">
        <f>IFERROR(__xludf.DUMMYFUNCTION("""COMPUTED_VALUE"""),9.99999999E8)</f>
        <v/>
      </c>
      <c r="L195" s="334">
        <f>IFERROR(__xludf.DUMMYFUNCTION("""COMPUTED_VALUE"""),"祥龍院 隆子のグレードアップに使用するアイテム")</f>
        <v/>
      </c>
      <c r="M195" s="334" t="n"/>
      <c r="N195" s="339" t="n"/>
      <c r="O195" s="368" t="n"/>
      <c r="P195" s="334" t="n"/>
    </row>
    <row r="196">
      <c r="A196" s="334" t="n"/>
      <c r="B196" s="334" t="n"/>
      <c r="C196" s="334" t="n"/>
      <c r="D196" s="334" t="n"/>
      <c r="E196" s="334" t="n"/>
      <c r="F196" s="334" t="n"/>
      <c r="G196" s="334" t="n"/>
      <c r="H196" s="334" t="n"/>
      <c r="I196" s="334" t="n"/>
      <c r="J196" s="334" t="n"/>
      <c r="K196" s="334" t="n"/>
      <c r="L196" s="334" t="n"/>
      <c r="M196" s="334" t="n"/>
      <c r="N196" s="339" t="n"/>
      <c r="O196" s="368" t="n"/>
      <c r="P196" s="334" t="n"/>
    </row>
    <row r="197">
      <c r="A197" s="334">
        <f>IFERROR(__xludf.DUMMYFUNCTION("""COMPUTED_VALUE"""),"ara")</f>
        <v/>
      </c>
      <c r="B197" s="334">
        <f>IFERROR(__xludf.DUMMYFUNCTION("""COMPUTED_VALUE"""),"アラガネの子")</f>
        <v/>
      </c>
      <c r="C197" s="334">
        <f>IFERROR(__xludf.DUMMYFUNCTION("""COMPUTED_VALUE"""),"piece")</f>
        <v/>
      </c>
      <c r="D197" s="408">
        <f>IFERROR(__xludf.DUMMYFUNCTION("""COMPUTED_VALUE"""),"00001")</f>
        <v/>
      </c>
      <c r="E197" s="334">
        <f>IFERROR(__xludf.DUMMYFUNCTION("""COMPUTED_VALUE"""),"piece_ara_00001")</f>
        <v/>
      </c>
      <c r="F197" s="408">
        <f>IFERROR(__xludf.DUMMYFUNCTION("""COMPUTED_VALUE"""),"piece_ara_00001")</f>
        <v/>
      </c>
      <c r="G197" s="334">
        <f>IFERROR(__xludf.DUMMYFUNCTION("""COMPUTED_VALUE"""),"item_icon_piece_ara_00001")</f>
        <v/>
      </c>
      <c r="H197" s="334">
        <f>IFERROR(__xludf.DUMMYFUNCTION("""COMPUTED_VALUE"""),"灰のかけら")</f>
        <v/>
      </c>
      <c r="I197" s="334">
        <f>IFERROR(__xludf.DUMMYFUNCTION("""COMPUTED_VALUE"""),"SR")</f>
        <v/>
      </c>
      <c r="J197" s="409">
        <f>IFERROR(__xludf.DUMMYFUNCTION("""COMPUTED_VALUE"""),9.99999999E8)</f>
        <v/>
      </c>
      <c r="K197" s="409">
        <f>IFERROR(__xludf.DUMMYFUNCTION("""COMPUTED_VALUE"""),9.99999999E8)</f>
        <v/>
      </c>
      <c r="L197" s="334">
        <f>IFERROR(__xludf.DUMMYFUNCTION("""COMPUTED_VALUE"""),"灰のグレードアップに使用するアイテム")</f>
        <v/>
      </c>
      <c r="M197" s="334" t="n"/>
      <c r="N197" s="339" t="n"/>
      <c r="O197" s="368" t="n"/>
      <c r="P197" s="334" t="n"/>
    </row>
    <row r="198">
      <c r="A198" s="334" t="n"/>
      <c r="B198" s="334" t="n"/>
      <c r="C198" s="334" t="n"/>
      <c r="D198" s="334" t="n"/>
      <c r="E198" s="334" t="n"/>
      <c r="F198" s="334" t="n"/>
      <c r="G198" s="334" t="n"/>
      <c r="H198" s="334" t="n"/>
      <c r="I198" s="334" t="n"/>
      <c r="J198" s="334" t="n"/>
      <c r="K198" s="334" t="n"/>
      <c r="L198" s="334" t="n"/>
      <c r="M198" s="334" t="n"/>
      <c r="N198" s="339" t="n"/>
      <c r="O198" s="368" t="n"/>
      <c r="P198" s="334" t="n"/>
    </row>
    <row r="199">
      <c r="A199" s="334">
        <f>IFERROR(__xludf.DUMMYFUNCTION("""COMPUTED_VALUE"""),"gom")</f>
        <v/>
      </c>
      <c r="B199" s="334">
        <f>IFERROR(__xludf.DUMMYFUNCTION("""COMPUTED_VALUE"""),"姫様“拷問”の時間です")</f>
        <v/>
      </c>
      <c r="C199" s="334">
        <f>IFERROR(__xludf.DUMMYFUNCTION("""COMPUTED_VALUE"""),"piece")</f>
        <v/>
      </c>
      <c r="D199" s="408">
        <f>IFERROR(__xludf.DUMMYFUNCTION("""COMPUTED_VALUE"""),"00701")</f>
        <v/>
      </c>
      <c r="E199" s="334">
        <f>IFERROR(__xludf.DUMMYFUNCTION("""COMPUTED_VALUE"""),"piece_gom_00701")</f>
        <v/>
      </c>
      <c r="F199" s="408">
        <f>IFERROR(__xludf.DUMMYFUNCTION("""COMPUTED_VALUE"""),"piece_gom_00701")</f>
        <v/>
      </c>
      <c r="G199" s="334">
        <f>IFERROR(__xludf.DUMMYFUNCTION("""COMPUTED_VALUE"""),"item_icon_piece_gom_00701")</f>
        <v/>
      </c>
      <c r="H199" s="334">
        <f>IFERROR(__xludf.DUMMYFUNCTION("""COMPUTED_VALUE"""),"カナッジのかけら")</f>
        <v/>
      </c>
      <c r="I199" s="334">
        <f>IFERROR(__xludf.DUMMYFUNCTION("""COMPUTED_VALUE"""),"SR")</f>
        <v/>
      </c>
      <c r="J199" s="409">
        <f>IFERROR(__xludf.DUMMYFUNCTION("""COMPUTED_VALUE"""),9.99999999E8)</f>
        <v/>
      </c>
      <c r="K199" s="409">
        <f>IFERROR(__xludf.DUMMYFUNCTION("""COMPUTED_VALUE"""),9.99999999E8)</f>
        <v/>
      </c>
      <c r="L199" s="334">
        <f>IFERROR(__xludf.DUMMYFUNCTION("""COMPUTED_VALUE"""),"カナッジのグレードアップに使用するアイテム")</f>
        <v/>
      </c>
      <c r="M199" s="334" t="n"/>
      <c r="N199" s="339" t="n"/>
      <c r="O199" s="368" t="n"/>
      <c r="P199" s="334" t="n"/>
    </row>
    <row r="200">
      <c r="A200" s="334" t="n"/>
      <c r="B200" s="334" t="n"/>
      <c r="C200" s="334" t="n"/>
      <c r="D200" s="334" t="n"/>
      <c r="E200" s="334" t="n"/>
      <c r="F200" s="334" t="n"/>
      <c r="G200" s="334" t="n"/>
      <c r="H200" s="334" t="n"/>
      <c r="I200" s="334" t="n"/>
      <c r="J200" s="334" t="n"/>
      <c r="K200" s="334" t="n"/>
      <c r="L200" s="334" t="n"/>
      <c r="M200" s="334" t="n"/>
      <c r="N200" s="339" t="n"/>
      <c r="O200" s="368" t="n"/>
      <c r="P200" s="334" t="n"/>
    </row>
    <row r="201">
      <c r="A201" s="334">
        <f>IFERROR(__xludf.DUMMYFUNCTION("""COMPUTED_VALUE"""),"mar")</f>
        <v/>
      </c>
      <c r="B201" s="334">
        <f>IFERROR(__xludf.DUMMYFUNCTION("""COMPUTED_VALUE"""),"マリッジトキシン")</f>
        <v/>
      </c>
      <c r="C201" s="334">
        <f>IFERROR(__xludf.DUMMYFUNCTION("""COMPUTED_VALUE"""),"piece")</f>
        <v/>
      </c>
      <c r="D201" s="408">
        <f>IFERROR(__xludf.DUMMYFUNCTION("""COMPUTED_VALUE"""),"00001")</f>
        <v/>
      </c>
      <c r="E201" s="334">
        <f>IFERROR(__xludf.DUMMYFUNCTION("""COMPUTED_VALUE"""),"piece_mar_00001")</f>
        <v/>
      </c>
      <c r="F201" s="408">
        <f>IFERROR(__xludf.DUMMYFUNCTION("""COMPUTED_VALUE"""),"piece_mar_00001")</f>
        <v/>
      </c>
      <c r="G201" s="334">
        <f>IFERROR(__xludf.DUMMYFUNCTION("""COMPUTED_VALUE"""),"item_icon_piece_mar_00001")</f>
        <v/>
      </c>
      <c r="H201" s="334">
        <f>IFERROR(__xludf.DUMMYFUNCTION("""COMPUTED_VALUE"""),"不器用な毒使い 下呂 ヒカルのかけら")</f>
        <v/>
      </c>
      <c r="I201" s="334">
        <f>IFERROR(__xludf.DUMMYFUNCTION("""COMPUTED_VALUE"""),"UR")</f>
        <v/>
      </c>
      <c r="J201" s="409">
        <f>IFERROR(__xludf.DUMMYFUNCTION("""COMPUTED_VALUE"""),9.99999999E8)</f>
        <v/>
      </c>
      <c r="K201" s="409">
        <f>IFERROR(__xludf.DUMMYFUNCTION("""COMPUTED_VALUE"""),9.99999999E8)</f>
        <v/>
      </c>
      <c r="L201" s="334">
        <f>IFERROR(__xludf.DUMMYFUNCTION("""COMPUTED_VALUE"""),"不器用な毒使い 下呂 ヒカルのグレードアップに使用するアイテム")</f>
        <v/>
      </c>
      <c r="M201" s="334" t="n"/>
      <c r="N201" s="339" t="n"/>
      <c r="O201" s="368" t="n"/>
      <c r="P201" s="334" t="n"/>
    </row>
    <row r="202">
      <c r="A202" s="334">
        <f>IFERROR(__xludf.DUMMYFUNCTION("""COMPUTED_VALUE"""),"mar")</f>
        <v/>
      </c>
      <c r="B202" s="334">
        <f>IFERROR(__xludf.DUMMYFUNCTION("""COMPUTED_VALUE"""),"マリッジトキシン")</f>
        <v/>
      </c>
      <c r="C202" s="334">
        <f>IFERROR(__xludf.DUMMYFUNCTION("""COMPUTED_VALUE"""),"piece")</f>
        <v/>
      </c>
      <c r="D202" s="408">
        <f>IFERROR(__xludf.DUMMYFUNCTION("""COMPUTED_VALUE"""),"00101")</f>
        <v/>
      </c>
      <c r="E202" s="334">
        <f>IFERROR(__xludf.DUMMYFUNCTION("""COMPUTED_VALUE"""),"piece_mar_00101")</f>
        <v/>
      </c>
      <c r="F202" s="408">
        <f>IFERROR(__xludf.DUMMYFUNCTION("""COMPUTED_VALUE"""),"piece_mar_00101")</f>
        <v/>
      </c>
      <c r="G202" s="334">
        <f>IFERROR(__xludf.DUMMYFUNCTION("""COMPUTED_VALUE"""),"item_icon_piece_mar_00101")</f>
        <v/>
      </c>
      <c r="H202" s="334">
        <f>IFERROR(__xludf.DUMMYFUNCTION("""COMPUTED_VALUE"""),"城崎 メイのかけら")</f>
        <v/>
      </c>
      <c r="I202" s="334">
        <f>IFERROR(__xludf.DUMMYFUNCTION("""COMPUTED_VALUE"""),"SSR")</f>
        <v/>
      </c>
      <c r="J202" s="409">
        <f>IFERROR(__xludf.DUMMYFUNCTION("""COMPUTED_VALUE"""),9.99999999E8)</f>
        <v/>
      </c>
      <c r="K202" s="409">
        <f>IFERROR(__xludf.DUMMYFUNCTION("""COMPUTED_VALUE"""),9.99999999E8)</f>
        <v/>
      </c>
      <c r="L202" s="334">
        <f>IFERROR(__xludf.DUMMYFUNCTION("""COMPUTED_VALUE"""),"城崎 メイのグレードアップに使用するアイテム")</f>
        <v/>
      </c>
      <c r="M202" s="334" t="n"/>
      <c r="N202" s="339" t="n"/>
      <c r="O202" s="368" t="n"/>
      <c r="P202" s="334" t="n"/>
    </row>
    <row r="203">
      <c r="A203" s="334">
        <f>IFERROR(__xludf.DUMMYFUNCTION("""COMPUTED_VALUE"""),"mar")</f>
        <v/>
      </c>
      <c r="B203" s="334">
        <f>IFERROR(__xludf.DUMMYFUNCTION("""COMPUTED_VALUE"""),"マリッジトキシン")</f>
        <v/>
      </c>
      <c r="C203" s="334">
        <f>IFERROR(__xludf.DUMMYFUNCTION("""COMPUTED_VALUE"""),"piece")</f>
        <v/>
      </c>
      <c r="D203" s="408">
        <f>IFERROR(__xludf.DUMMYFUNCTION("""COMPUTED_VALUE"""),"00201")</f>
        <v/>
      </c>
      <c r="E203" s="334">
        <f>IFERROR(__xludf.DUMMYFUNCTION("""COMPUTED_VALUE"""),"piece_mar_00201")</f>
        <v/>
      </c>
      <c r="F203" s="408">
        <f>IFERROR(__xludf.DUMMYFUNCTION("""COMPUTED_VALUE"""),"piece_mar_00201")</f>
        <v/>
      </c>
      <c r="G203" s="334">
        <f>IFERROR(__xludf.DUMMYFUNCTION("""COMPUTED_VALUE"""),"item_icon_piece_mar_00201")</f>
        <v/>
      </c>
      <c r="H203" s="334">
        <f>IFERROR(__xludf.DUMMYFUNCTION("""COMPUTED_VALUE"""),"姫川 杏子のかけら")</f>
        <v/>
      </c>
      <c r="I203" s="334">
        <f>IFERROR(__xludf.DUMMYFUNCTION("""COMPUTED_VALUE"""),"SR")</f>
        <v/>
      </c>
      <c r="J203" s="409">
        <f>IFERROR(__xludf.DUMMYFUNCTION("""COMPUTED_VALUE"""),9.99999999E8)</f>
        <v/>
      </c>
      <c r="K203" s="409">
        <f>IFERROR(__xludf.DUMMYFUNCTION("""COMPUTED_VALUE"""),9.99999999E8)</f>
        <v/>
      </c>
      <c r="L203" s="334">
        <f>IFERROR(__xludf.DUMMYFUNCTION("""COMPUTED_VALUE"""),"姫川 杏子のグレードアップに使用するアイテム")</f>
        <v/>
      </c>
      <c r="M203" s="334" t="n"/>
      <c r="N203" s="339" t="n"/>
      <c r="O203" s="368" t="n"/>
      <c r="P203" s="334" t="n"/>
    </row>
    <row r="204">
      <c r="A204" s="334">
        <f>IFERROR(__xludf.DUMMYFUNCTION("""COMPUTED_VALUE"""),"mar")</f>
        <v/>
      </c>
      <c r="B204" s="334">
        <f>IFERROR(__xludf.DUMMYFUNCTION("""COMPUTED_VALUE"""),"マリッジトキシン")</f>
        <v/>
      </c>
      <c r="C204" s="334">
        <f>IFERROR(__xludf.DUMMYFUNCTION("""COMPUTED_VALUE"""),"piece")</f>
        <v/>
      </c>
      <c r="D204" s="408">
        <f>IFERROR(__xludf.DUMMYFUNCTION("""COMPUTED_VALUE"""),"00401")</f>
        <v/>
      </c>
      <c r="E204" s="334">
        <f>IFERROR(__xludf.DUMMYFUNCTION("""COMPUTED_VALUE"""),"piece_mar_00401")</f>
        <v/>
      </c>
      <c r="F204" s="408">
        <f>IFERROR(__xludf.DUMMYFUNCTION("""COMPUTED_VALUE"""),"piece_mar_00401")</f>
        <v/>
      </c>
      <c r="G204" s="334">
        <f>IFERROR(__xludf.DUMMYFUNCTION("""COMPUTED_VALUE"""),"item_icon_piece_mar_00401")</f>
        <v/>
      </c>
      <c r="H204" s="334">
        <f>IFERROR(__xludf.DUMMYFUNCTION("""COMPUTED_VALUE"""),"音使い 鳴子のかけら")</f>
        <v/>
      </c>
      <c r="I204" s="334">
        <f>IFERROR(__xludf.DUMMYFUNCTION("""COMPUTED_VALUE"""),"SR")</f>
        <v/>
      </c>
      <c r="J204" s="409">
        <f>IFERROR(__xludf.DUMMYFUNCTION("""COMPUTED_VALUE"""),9.99999999E8)</f>
        <v/>
      </c>
      <c r="K204" s="409">
        <f>IFERROR(__xludf.DUMMYFUNCTION("""COMPUTED_VALUE"""),9.99999999E8)</f>
        <v/>
      </c>
      <c r="L204" s="334">
        <f>IFERROR(__xludf.DUMMYFUNCTION("""COMPUTED_VALUE"""),"音使い 鳴子のグレードアップに使用するアイテム")</f>
        <v/>
      </c>
      <c r="M204" s="334" t="n"/>
      <c r="N204" s="339" t="n"/>
      <c r="O204" s="368" t="n"/>
      <c r="P204" s="334" t="n"/>
    </row>
    <row r="205">
      <c r="A205" s="334" t="n"/>
      <c r="B205" s="334" t="n"/>
      <c r="C205" s="334" t="n"/>
      <c r="D205" s="334" t="n"/>
      <c r="E205" s="334" t="n"/>
      <c r="F205" s="334" t="n"/>
      <c r="G205" s="334" t="n"/>
      <c r="H205" s="334" t="n"/>
      <c r="I205" s="334" t="n"/>
      <c r="J205" s="334" t="n"/>
      <c r="K205" s="334" t="n"/>
      <c r="L205" s="334" t="n"/>
      <c r="M205" s="334" t="n"/>
      <c r="N205" s="339" t="n"/>
      <c r="O205" s="368" t="n"/>
      <c r="P205" s="334" t="n"/>
    </row>
    <row r="206">
      <c r="A206" s="334" t="n"/>
      <c r="B206" s="334" t="n"/>
      <c r="C206" s="334" t="n"/>
      <c r="D206" s="334" t="n"/>
      <c r="E206" s="334" t="n"/>
      <c r="F206" s="334" t="n"/>
      <c r="G206" s="334" t="n"/>
      <c r="H206" s="334" t="n"/>
      <c r="I206" s="334" t="n"/>
      <c r="J206" s="334" t="n"/>
      <c r="K206" s="334" t="n"/>
      <c r="L206" s="334" t="n"/>
      <c r="M206" s="334" t="n"/>
      <c r="N206" s="339" t="n"/>
      <c r="O206" s="368" t="n"/>
      <c r="P206" s="334" t="n"/>
    </row>
    <row r="207">
      <c r="A207" s="334" t="n"/>
      <c r="B207" s="334">
        <f>IFERROR(__xludf.DUMMYFUNCTION("""COMPUTED_VALUE"""),"error")</f>
        <v/>
      </c>
      <c r="C207" s="334">
        <f>IFERROR(__xludf.DUMMYFUNCTION("""COMPUTED_VALUE"""),"piece")</f>
        <v/>
      </c>
      <c r="D207" s="334" t="n"/>
      <c r="E207" s="334">
        <f>IFERROR(__xludf.DUMMYFUNCTION("""COMPUTED_VALUE"""),"piece__")</f>
        <v/>
      </c>
      <c r="F207" s="408">
        <f>IFERROR(__xludf.DUMMYFUNCTION("""COMPUTED_VALUE"""),"piece__")</f>
        <v/>
      </c>
      <c r="G207" s="334">
        <f>IFERROR(__xludf.DUMMYFUNCTION("""COMPUTED_VALUE"""),"item_icon_piece__")</f>
        <v/>
      </c>
      <c r="H207" s="334" t="n"/>
      <c r="I207" s="334" t="n"/>
      <c r="J207" s="334" t="n"/>
      <c r="K207" s="334" t="n"/>
      <c r="L207" s="334" t="n"/>
      <c r="M207" s="334" t="n"/>
      <c r="N207" s="339" t="n"/>
      <c r="O207" s="368" t="n"/>
      <c r="P207" s="334" t="n"/>
    </row>
    <row r="208">
      <c r="A208" s="334">
        <f>IFERROR(__xludf.DUMMYFUNCTION("""COMPUTED_VALUE"""),"▼イベントキャラ専用強化アイテム")</f>
        <v/>
      </c>
      <c r="B208" s="334" t="n"/>
      <c r="C208" s="334" t="n"/>
      <c r="D208" s="334" t="n"/>
      <c r="E208" s="334" t="n"/>
      <c r="F208" s="334" t="n"/>
      <c r="G208" s="334" t="n"/>
      <c r="H208" s="334" t="n"/>
      <c r="I208" s="334" t="n"/>
      <c r="J208" s="334" t="n"/>
      <c r="K208" s="334" t="n"/>
      <c r="L208" s="334" t="n"/>
      <c r="M208" s="334" t="n"/>
      <c r="N208" s="339" t="n"/>
      <c r="O208" s="368" t="n"/>
      <c r="P208" s="334" t="n"/>
    </row>
    <row r="209">
      <c r="A209" s="334" t="n"/>
      <c r="B209" s="334" t="n"/>
      <c r="C209" s="334" t="n"/>
      <c r="D209" s="334" t="n"/>
      <c r="E209" s="334" t="n"/>
      <c r="F209" s="334" t="n"/>
      <c r="G209" s="334" t="n"/>
      <c r="H209" s="334" t="n"/>
      <c r="I209" s="334" t="n"/>
      <c r="J209" s="334" t="n"/>
      <c r="K209" s="334" t="n"/>
      <c r="L209" s="334" t="n"/>
      <c r="M209" s="334" t="n"/>
      <c r="N209" s="339" t="n"/>
      <c r="O209" s="368" t="n"/>
      <c r="P209" s="334" t="n"/>
    </row>
    <row r="210">
      <c r="A210" s="334">
        <f>IFERROR(__xludf.DUMMYFUNCTION("""COMPUTED_VALUE"""),"kai")</f>
        <v/>
      </c>
      <c r="B210" s="334">
        <f>IFERROR(__xludf.DUMMYFUNCTION("""COMPUTED_VALUE"""),"怪獣８号")</f>
        <v/>
      </c>
      <c r="C210" s="334">
        <f>IFERROR(__xludf.DUMMYFUNCTION("""COMPUTED_VALUE"""),"memory_chara")</f>
        <v/>
      </c>
      <c r="D210" s="408">
        <f>IFERROR(__xludf.DUMMYFUNCTION("""COMPUTED_VALUE"""),"00501")</f>
        <v/>
      </c>
      <c r="E210" s="334">
        <f>IFERROR(__xludf.DUMMYFUNCTION("""COMPUTED_VALUE"""),"memory_chara_kai_00501")</f>
        <v/>
      </c>
      <c r="F210" s="334">
        <f>IFERROR(__xludf.DUMMYFUNCTION("""COMPUTED_VALUE"""),"memory_chara_kai_00501")</f>
        <v/>
      </c>
      <c r="G210" s="334">
        <f>IFERROR(__xludf.DUMMYFUNCTION("""COMPUTED_VALUE"""),"item_icon_memory_chara_kai_00501")</f>
        <v/>
      </c>
      <c r="H210" s="334">
        <f>IFERROR(__xludf.DUMMYFUNCTION("""COMPUTED_VALUE"""),"四ノ宮 功のメモリー")</f>
        <v/>
      </c>
      <c r="I210" s="334">
        <f>IFERROR(__xludf.DUMMYFUNCTION("""COMPUTED_VALUE"""),"SR")</f>
        <v/>
      </c>
      <c r="J210" s="409">
        <f>IFERROR(__xludf.DUMMYFUNCTION("""COMPUTED_VALUE"""),9.99999999E8)</f>
        <v/>
      </c>
      <c r="K210" s="409">
        <f>IFERROR(__xludf.DUMMYFUNCTION("""COMPUTED_VALUE"""),9.99999999E8)</f>
        <v/>
      </c>
      <c r="L210" s="334">
        <f>IFERROR(__xludf.DUMMYFUNCTION("""COMPUTED_VALUE"""),"四ノ宮 功のLv.上限開放に使用するアイテム")</f>
        <v/>
      </c>
      <c r="M210" s="334" t="n"/>
      <c r="N210" s="410">
        <f>IFERROR(__xludf.DUMMYFUNCTION("""COMPUTED_VALUE"""),"2024-01-01 00:00:00")</f>
        <v/>
      </c>
      <c r="O210" s="368" t="n"/>
      <c r="P210" s="334" t="n"/>
    </row>
    <row r="211">
      <c r="A211" s="334">
        <f>IFERROR(__xludf.DUMMYFUNCTION("""COMPUTED_VALUE"""),"kai")</f>
        <v/>
      </c>
      <c r="B211" s="334">
        <f>IFERROR(__xludf.DUMMYFUNCTION("""COMPUTED_VALUE"""),"怪獣８号")</f>
        <v/>
      </c>
      <c r="C211" s="334">
        <f>IFERROR(__xludf.DUMMYFUNCTION("""COMPUTED_VALUE"""),"memory_chara")</f>
        <v/>
      </c>
      <c r="D211" s="408">
        <f>IFERROR(__xludf.DUMMYFUNCTION("""COMPUTED_VALUE"""),"00601")</f>
        <v/>
      </c>
      <c r="E211" s="334">
        <f>IFERROR(__xludf.DUMMYFUNCTION("""COMPUTED_VALUE"""),"memory_chara_kai_00601")</f>
        <v/>
      </c>
      <c r="F211" s="334">
        <f>IFERROR(__xludf.DUMMYFUNCTION("""COMPUTED_VALUE"""),"memory_chara_kai_00601")</f>
        <v/>
      </c>
      <c r="G211" s="334">
        <f>IFERROR(__xludf.DUMMYFUNCTION("""COMPUTED_VALUE"""),"item_icon_memory_chara_kai_00601")</f>
        <v/>
      </c>
      <c r="H211" s="334">
        <f>IFERROR(__xludf.DUMMYFUNCTION("""COMPUTED_VALUE"""),"古橋 伊春のメモリー")</f>
        <v/>
      </c>
      <c r="I211" s="334">
        <f>IFERROR(__xludf.DUMMYFUNCTION("""COMPUTED_VALUE"""),"SR")</f>
        <v/>
      </c>
      <c r="J211" s="409">
        <f>IFERROR(__xludf.DUMMYFUNCTION("""COMPUTED_VALUE"""),9.99999999E8)</f>
        <v/>
      </c>
      <c r="K211" s="409">
        <f>IFERROR(__xludf.DUMMYFUNCTION("""COMPUTED_VALUE"""),9.99999999E8)</f>
        <v/>
      </c>
      <c r="L211" s="334">
        <f>IFERROR(__xludf.DUMMYFUNCTION("""COMPUTED_VALUE"""),"古橋 伊春のLv.上限開放に使用するアイテム")</f>
        <v/>
      </c>
      <c r="M211" s="334" t="n"/>
      <c r="N211" s="410">
        <f>IFERROR(__xludf.DUMMYFUNCTION("""COMPUTED_VALUE"""),"2024-01-01 00:00:00")</f>
        <v/>
      </c>
      <c r="O211" s="368" t="n"/>
      <c r="P211" s="334" t="n"/>
    </row>
    <row r="212">
      <c r="A212" s="334" t="n"/>
      <c r="B212" s="334" t="n"/>
      <c r="C212" s="334" t="n"/>
      <c r="D212" s="334" t="n"/>
      <c r="E212" s="334" t="n"/>
      <c r="F212" s="334" t="n"/>
      <c r="G212" s="334" t="n"/>
      <c r="H212" s="334" t="n"/>
      <c r="I212" s="334" t="n"/>
      <c r="J212" s="334" t="n"/>
      <c r="K212" s="334" t="n"/>
      <c r="L212" s="334" t="n"/>
      <c r="M212" s="334" t="n"/>
      <c r="N212" s="339" t="n"/>
      <c r="O212" s="368" t="n"/>
      <c r="P212" s="334" t="n"/>
    </row>
    <row r="213">
      <c r="A213" s="334">
        <f>IFERROR(__xludf.DUMMYFUNCTION("""COMPUTED_VALUE"""),"spy")</f>
        <v/>
      </c>
      <c r="B213" s="334">
        <f>IFERROR(__xludf.DUMMYFUNCTION("""COMPUTED_VALUE"""),"SPY×FAMILY")</f>
        <v/>
      </c>
      <c r="C213" s="334">
        <f>IFERROR(__xludf.DUMMYFUNCTION("""COMPUTED_VALUE"""),"memory_chara")</f>
        <v/>
      </c>
      <c r="D213" s="408">
        <f>IFERROR(__xludf.DUMMYFUNCTION("""COMPUTED_VALUE"""),"00301")</f>
        <v/>
      </c>
      <c r="E213" s="334">
        <f>IFERROR(__xludf.DUMMYFUNCTION("""COMPUTED_VALUE"""),"memory_chara_spy_00301")</f>
        <v/>
      </c>
      <c r="F213" s="334">
        <f>IFERROR(__xludf.DUMMYFUNCTION("""COMPUTED_VALUE"""),"memory_chara_spy_00301")</f>
        <v/>
      </c>
      <c r="G213" s="334">
        <f>IFERROR(__xludf.DUMMYFUNCTION("""COMPUTED_VALUE"""),"item_icon_memory_chara_spy_00301")</f>
        <v/>
      </c>
      <c r="H213" s="334">
        <f>IFERROR(__xludf.DUMMYFUNCTION("""COMPUTED_VALUE"""),"ダミアン・デズモンドのメモリー")</f>
        <v/>
      </c>
      <c r="I213" s="334">
        <f>IFERROR(__xludf.DUMMYFUNCTION("""COMPUTED_VALUE"""),"SR")</f>
        <v/>
      </c>
      <c r="J213" s="409">
        <f>IFERROR(__xludf.DUMMYFUNCTION("""COMPUTED_VALUE"""),9.99999999E8)</f>
        <v/>
      </c>
      <c r="K213" s="409">
        <f>IFERROR(__xludf.DUMMYFUNCTION("""COMPUTED_VALUE"""),9.99999999E8)</f>
        <v/>
      </c>
      <c r="L213" s="334">
        <f>IFERROR(__xludf.DUMMYFUNCTION("""COMPUTED_VALUE"""),"ダミアン・デズモンドのLv.上限開放に使用するアイテム")</f>
        <v/>
      </c>
      <c r="M213" s="334" t="n"/>
      <c r="N213" s="411">
        <f>IFERROR(__xludf.DUMMYFUNCTION("""COMPUTED_VALUE"""),45936.625)</f>
        <v/>
      </c>
      <c r="O213" s="368" t="n"/>
      <c r="P213" s="334" t="n"/>
    </row>
    <row r="214">
      <c r="A214" s="334">
        <f>IFERROR(__xludf.DUMMYFUNCTION("""COMPUTED_VALUE"""),"spy")</f>
        <v/>
      </c>
      <c r="B214" s="334">
        <f>IFERROR(__xludf.DUMMYFUNCTION("""COMPUTED_VALUE"""),"SPY×FAMILY")</f>
        <v/>
      </c>
      <c r="C214" s="334">
        <f>IFERROR(__xludf.DUMMYFUNCTION("""COMPUTED_VALUE"""),"memory_chara")</f>
        <v/>
      </c>
      <c r="D214" s="408">
        <f>IFERROR(__xludf.DUMMYFUNCTION("""COMPUTED_VALUE"""),"00401")</f>
        <v/>
      </c>
      <c r="E214" s="334">
        <f>IFERROR(__xludf.DUMMYFUNCTION("""COMPUTED_VALUE"""),"memory_chara_spy_00401")</f>
        <v/>
      </c>
      <c r="F214" s="334">
        <f>IFERROR(__xludf.DUMMYFUNCTION("""COMPUTED_VALUE"""),"memory_chara_spy_00401")</f>
        <v/>
      </c>
      <c r="G214" s="334">
        <f>IFERROR(__xludf.DUMMYFUNCTION("""COMPUTED_VALUE"""),"item_icon_memory_chara_spy_00401")</f>
        <v/>
      </c>
      <c r="H214" s="334">
        <f>IFERROR(__xludf.DUMMYFUNCTION("""COMPUTED_VALUE"""),"フランキー・フランクリンのメモリー")</f>
        <v/>
      </c>
      <c r="I214" s="334">
        <f>IFERROR(__xludf.DUMMYFUNCTION("""COMPUTED_VALUE"""),"SR")</f>
        <v/>
      </c>
      <c r="J214" s="409">
        <f>IFERROR(__xludf.DUMMYFUNCTION("""COMPUTED_VALUE"""),9.99999999E8)</f>
        <v/>
      </c>
      <c r="K214" s="409">
        <f>IFERROR(__xludf.DUMMYFUNCTION("""COMPUTED_VALUE"""),9.99999999E8)</f>
        <v/>
      </c>
      <c r="L214" s="334">
        <f>IFERROR(__xludf.DUMMYFUNCTION("""COMPUTED_VALUE"""),"フランキー・フランクリンのLv.上限開放に使用するアイテム")</f>
        <v/>
      </c>
      <c r="M214" s="334" t="n"/>
      <c r="N214" s="411">
        <f>IFERROR(__xludf.DUMMYFUNCTION("""COMPUTED_VALUE"""),45936.625)</f>
        <v/>
      </c>
      <c r="O214" s="368" t="n"/>
      <c r="P214" s="334" t="n"/>
    </row>
    <row r="215">
      <c r="A215" s="334" t="n"/>
      <c r="B215" s="334" t="n"/>
      <c r="C215" s="334" t="n"/>
      <c r="D215" s="334" t="n"/>
      <c r="E215" s="334" t="n"/>
      <c r="F215" s="334" t="n"/>
      <c r="G215" s="334" t="n"/>
      <c r="H215" s="334" t="n"/>
      <c r="I215" s="334" t="n"/>
      <c r="J215" s="334" t="n"/>
      <c r="K215" s="334" t="n"/>
      <c r="L215" s="334" t="n"/>
      <c r="M215" s="334" t="n"/>
      <c r="N215" s="339" t="n"/>
      <c r="O215" s="368" t="n"/>
      <c r="P215" s="334" t="n"/>
    </row>
    <row r="216">
      <c r="A216" s="334">
        <f>IFERROR(__xludf.DUMMYFUNCTION("""COMPUTED_VALUE"""),"dan")</f>
        <v/>
      </c>
      <c r="B216" s="334">
        <f>IFERROR(__xludf.DUMMYFUNCTION("""COMPUTED_VALUE"""),"ダンダダン")</f>
        <v/>
      </c>
      <c r="C216" s="334">
        <f>IFERROR(__xludf.DUMMYFUNCTION("""COMPUTED_VALUE"""),"memory_chara")</f>
        <v/>
      </c>
      <c r="D216" s="408">
        <f>IFERROR(__xludf.DUMMYFUNCTION("""COMPUTED_VALUE"""),"00201")</f>
        <v/>
      </c>
      <c r="E216" s="334">
        <f>IFERROR(__xludf.DUMMYFUNCTION("""COMPUTED_VALUE"""),"memory_chara_dan_00201")</f>
        <v/>
      </c>
      <c r="F216" s="334">
        <f>IFERROR(__xludf.DUMMYFUNCTION("""COMPUTED_VALUE"""),"memory_chara_dan_00201")</f>
        <v/>
      </c>
      <c r="G216" s="334">
        <f>IFERROR(__xludf.DUMMYFUNCTION("""COMPUTED_VALUE"""),"item_icon_memory_chara_dan_00201")</f>
        <v/>
      </c>
      <c r="H216" s="334">
        <f>IFERROR(__xludf.DUMMYFUNCTION("""COMPUTED_VALUE"""),"アイラのメモリー")</f>
        <v/>
      </c>
      <c r="I216" s="334">
        <f>IFERROR(__xludf.DUMMYFUNCTION("""COMPUTED_VALUE"""),"SR")</f>
        <v/>
      </c>
      <c r="J216" s="409">
        <f>IFERROR(__xludf.DUMMYFUNCTION("""COMPUTED_VALUE"""),9.99999999E8)</f>
        <v/>
      </c>
      <c r="K216" s="409">
        <f>IFERROR(__xludf.DUMMYFUNCTION("""COMPUTED_VALUE"""),9.99999999E8)</f>
        <v/>
      </c>
      <c r="L216" s="334">
        <f>IFERROR(__xludf.DUMMYFUNCTION("""COMPUTED_VALUE"""),"アイラのLv.上限開放に使用するアイテム")</f>
        <v/>
      </c>
      <c r="M216" s="334" t="n"/>
      <c r="N216" s="411">
        <f>IFERROR(__xludf.DUMMYFUNCTION("""COMPUTED_VALUE"""),45952.625)</f>
        <v/>
      </c>
      <c r="O216" s="368" t="n"/>
      <c r="P216" s="334" t="n"/>
    </row>
    <row r="217">
      <c r="A217" s="334">
        <f>IFERROR(__xludf.DUMMYFUNCTION("""COMPUTED_VALUE"""),"dan")</f>
        <v/>
      </c>
      <c r="B217" s="334">
        <f>IFERROR(__xludf.DUMMYFUNCTION("""COMPUTED_VALUE"""),"ダンダダン")</f>
        <v/>
      </c>
      <c r="C217" s="334">
        <f>IFERROR(__xludf.DUMMYFUNCTION("""COMPUTED_VALUE"""),"memory_chara")</f>
        <v/>
      </c>
      <c r="D217" s="408">
        <f>IFERROR(__xludf.DUMMYFUNCTION("""COMPUTED_VALUE"""),"00301")</f>
        <v/>
      </c>
      <c r="E217" s="334">
        <f>IFERROR(__xludf.DUMMYFUNCTION("""COMPUTED_VALUE"""),"memory_chara_dan_00301")</f>
        <v/>
      </c>
      <c r="F217" s="334">
        <f>IFERROR(__xludf.DUMMYFUNCTION("""COMPUTED_VALUE"""),"memory_chara_dan_00301")</f>
        <v/>
      </c>
      <c r="G217" s="334">
        <f>IFERROR(__xludf.DUMMYFUNCTION("""COMPUTED_VALUE"""),"item_icon_memory_chara_dan_00301")</f>
        <v/>
      </c>
      <c r="H217" s="334">
        <f>IFERROR(__xludf.DUMMYFUNCTION("""COMPUTED_VALUE"""),"招き猫 ターボババアのメモリー")</f>
        <v/>
      </c>
      <c r="I217" s="334">
        <f>IFERROR(__xludf.DUMMYFUNCTION("""COMPUTED_VALUE"""),"SR")</f>
        <v/>
      </c>
      <c r="J217" s="409">
        <f>IFERROR(__xludf.DUMMYFUNCTION("""COMPUTED_VALUE"""),9.99999999E8)</f>
        <v/>
      </c>
      <c r="K217" s="409">
        <f>IFERROR(__xludf.DUMMYFUNCTION("""COMPUTED_VALUE"""),9.99999999E8)</f>
        <v/>
      </c>
      <c r="L217" s="334">
        <f>IFERROR(__xludf.DUMMYFUNCTION("""COMPUTED_VALUE"""),"招き猫 ターボババアのLv.上限開放に使用するアイテム")</f>
        <v/>
      </c>
      <c r="M217" s="334" t="n"/>
      <c r="N217" s="411">
        <f>IFERROR(__xludf.DUMMYFUNCTION("""COMPUTED_VALUE"""),45952.625)</f>
        <v/>
      </c>
      <c r="O217" s="368" t="n"/>
      <c r="P217" s="334" t="n"/>
    </row>
    <row r="218">
      <c r="A218" s="334" t="n"/>
      <c r="B218" s="334" t="n"/>
      <c r="C218" s="334" t="n"/>
      <c r="D218" s="334" t="n"/>
      <c r="E218" s="334" t="n"/>
      <c r="F218" s="334" t="n"/>
      <c r="G218" s="334" t="n"/>
      <c r="H218" s="334" t="n"/>
      <c r="I218" s="334" t="n"/>
      <c r="J218" s="334" t="n"/>
      <c r="K218" s="334" t="n"/>
      <c r="L218" s="334" t="n"/>
      <c r="M218" s="334" t="n"/>
      <c r="N218" s="339" t="n"/>
      <c r="O218" s="368" t="n"/>
      <c r="P218" s="334" t="n"/>
    </row>
    <row r="219">
      <c r="A219" s="334">
        <f>IFERROR(__xludf.DUMMYFUNCTION("""COMPUTED_VALUE"""),"mag")</f>
        <v/>
      </c>
      <c r="B219" s="334">
        <f>IFERROR(__xludf.DUMMYFUNCTION("""COMPUTED_VALUE"""),"株式会社マジルミエ")</f>
        <v/>
      </c>
      <c r="C219" s="334">
        <f>IFERROR(__xludf.DUMMYFUNCTION("""COMPUTED_VALUE"""),"memory_chara")</f>
        <v/>
      </c>
      <c r="D219" s="408">
        <f>IFERROR(__xludf.DUMMYFUNCTION("""COMPUTED_VALUE"""),"00401")</f>
        <v/>
      </c>
      <c r="E219" s="334">
        <f>IFERROR(__xludf.DUMMYFUNCTION("""COMPUTED_VALUE"""),"memory_chara_mag_00401")</f>
        <v/>
      </c>
      <c r="F219" s="334">
        <f>IFERROR(__xludf.DUMMYFUNCTION("""COMPUTED_VALUE"""),"memory_chara_mag_00401")</f>
        <v/>
      </c>
      <c r="G219" s="334">
        <f>IFERROR(__xludf.DUMMYFUNCTION("""COMPUTED_VALUE"""),"item_icon_memory_chara_mag_00401")</f>
        <v/>
      </c>
      <c r="H219" s="334">
        <f>IFERROR(__xludf.DUMMYFUNCTION("""COMPUTED_VALUE"""),"槇野 あかねのメモリー")</f>
        <v/>
      </c>
      <c r="I219" s="334">
        <f>IFERROR(__xludf.DUMMYFUNCTION("""COMPUTED_VALUE"""),"SR")</f>
        <v/>
      </c>
      <c r="J219" s="409">
        <f>IFERROR(__xludf.DUMMYFUNCTION("""COMPUTED_VALUE"""),9.99999999E8)</f>
        <v/>
      </c>
      <c r="K219" s="409">
        <f>IFERROR(__xludf.DUMMYFUNCTION("""COMPUTED_VALUE"""),9.99999999E8)</f>
        <v/>
      </c>
      <c r="L219" s="334">
        <f>IFERROR(__xludf.DUMMYFUNCTION("""COMPUTED_VALUE"""),"槇野 あかねのLv.上限開放に使用するアイテム")</f>
        <v/>
      </c>
      <c r="M219" s="334" t="n"/>
      <c r="N219" s="411">
        <f>IFERROR(__xludf.DUMMYFUNCTION("""COMPUTED_VALUE"""),45967.625)</f>
        <v/>
      </c>
      <c r="O219" s="368" t="n"/>
      <c r="P219" s="334" t="n"/>
    </row>
    <row r="220">
      <c r="A220" s="334">
        <f>IFERROR(__xludf.DUMMYFUNCTION("""COMPUTED_VALUE"""),"mag")</f>
        <v/>
      </c>
      <c r="B220" s="334">
        <f>IFERROR(__xludf.DUMMYFUNCTION("""COMPUTED_VALUE"""),"株式会社マジルミエ")</f>
        <v/>
      </c>
      <c r="C220" s="334">
        <f>IFERROR(__xludf.DUMMYFUNCTION("""COMPUTED_VALUE"""),"memory_chara")</f>
        <v/>
      </c>
      <c r="D220" s="408">
        <f>IFERROR(__xludf.DUMMYFUNCTION("""COMPUTED_VALUE"""),"00501")</f>
        <v/>
      </c>
      <c r="E220" s="334">
        <f>IFERROR(__xludf.DUMMYFUNCTION("""COMPUTED_VALUE"""),"memory_chara_mag_00501")</f>
        <v/>
      </c>
      <c r="F220" s="334">
        <f>IFERROR(__xludf.DUMMYFUNCTION("""COMPUTED_VALUE"""),"memory_chara_mag_00501")</f>
        <v/>
      </c>
      <c r="G220" s="334">
        <f>IFERROR(__xludf.DUMMYFUNCTION("""COMPUTED_VALUE"""),"item_icon_memory_chara_mag_00501")</f>
        <v/>
      </c>
      <c r="H220" s="334">
        <f>IFERROR(__xludf.DUMMYFUNCTION("""COMPUTED_VALUE"""),"重本 浩司のメモリー")</f>
        <v/>
      </c>
      <c r="I220" s="334">
        <f>IFERROR(__xludf.DUMMYFUNCTION("""COMPUTED_VALUE"""),"SR")</f>
        <v/>
      </c>
      <c r="J220" s="409">
        <f>IFERROR(__xludf.DUMMYFUNCTION("""COMPUTED_VALUE"""),9.99999999E8)</f>
        <v/>
      </c>
      <c r="K220" s="409">
        <f>IFERROR(__xludf.DUMMYFUNCTION("""COMPUTED_VALUE"""),9.99999999E8)</f>
        <v/>
      </c>
      <c r="L220" s="334">
        <f>IFERROR(__xludf.DUMMYFUNCTION("""COMPUTED_VALUE"""),"重本 浩司のLv.上限開放に使用するアイテム")</f>
        <v/>
      </c>
      <c r="M220" s="334" t="n"/>
      <c r="N220" s="411">
        <f>IFERROR(__xludf.DUMMYFUNCTION("""COMPUTED_VALUE"""),45967.625)</f>
        <v/>
      </c>
      <c r="O220" s="368" t="n"/>
      <c r="P220" s="334" t="n"/>
    </row>
    <row r="221">
      <c r="A221" s="334" t="n"/>
      <c r="B221" s="334" t="n"/>
      <c r="C221" s="334" t="n"/>
      <c r="D221" s="334" t="n"/>
      <c r="E221" s="334" t="n"/>
      <c r="F221" s="334" t="n"/>
      <c r="G221" s="334" t="n"/>
      <c r="H221" s="334" t="n"/>
      <c r="I221" s="334" t="n"/>
      <c r="J221" s="334" t="n"/>
      <c r="K221" s="334" t="n"/>
      <c r="L221" s="334" t="n"/>
      <c r="M221" s="334" t="n"/>
      <c r="N221" s="339" t="n"/>
      <c r="O221" s="368" t="n"/>
      <c r="P221" s="334" t="n"/>
    </row>
    <row r="222">
      <c r="A222" s="334">
        <f>IFERROR(__xludf.DUMMYFUNCTION("""COMPUTED_VALUE"""),"yuw")</f>
        <v/>
      </c>
      <c r="B222" s="334">
        <f>IFERROR(__xludf.DUMMYFUNCTION("""COMPUTED_VALUE"""),"2.5次元の誘惑")</f>
        <v/>
      </c>
      <c r="C222" s="334">
        <f>IFERROR(__xludf.DUMMYFUNCTION("""COMPUTED_VALUE"""),"memory_chara")</f>
        <v/>
      </c>
      <c r="D222" s="408">
        <f>IFERROR(__xludf.DUMMYFUNCTION("""COMPUTED_VALUE"""),"00501")</f>
        <v/>
      </c>
      <c r="E222" s="334">
        <f>IFERROR(__xludf.DUMMYFUNCTION("""COMPUTED_VALUE"""),"memory_chara_yuw_00501")</f>
        <v/>
      </c>
      <c r="F222" s="334">
        <f>IFERROR(__xludf.DUMMYFUNCTION("""COMPUTED_VALUE"""),"memory_chara_yuw_00501")</f>
        <v/>
      </c>
      <c r="G222" s="334">
        <f>IFERROR(__xludf.DUMMYFUNCTION("""COMPUTED_VALUE"""),"item_icon_memory_chara_yuw_00501")</f>
        <v/>
      </c>
      <c r="H222" s="334">
        <f>IFERROR(__xludf.DUMMYFUNCTION("""COMPUTED_VALUE"""),"753♡のメモリー")</f>
        <v/>
      </c>
      <c r="I222" s="334">
        <f>IFERROR(__xludf.DUMMYFUNCTION("""COMPUTED_VALUE"""),"SR")</f>
        <v/>
      </c>
      <c r="J222" s="409">
        <f>IFERROR(__xludf.DUMMYFUNCTION("""COMPUTED_VALUE"""),9.99999999E8)</f>
        <v/>
      </c>
      <c r="K222" s="409">
        <f>IFERROR(__xludf.DUMMYFUNCTION("""COMPUTED_VALUE"""),9.99999999E8)</f>
        <v/>
      </c>
      <c r="L222" s="334">
        <f>IFERROR(__xludf.DUMMYFUNCTION("""COMPUTED_VALUE"""),"753♡のLv.上限開放に使用するアイテム")</f>
        <v/>
      </c>
      <c r="M222" s="334" t="n"/>
      <c r="N222" s="410">
        <f>IFERROR(__xludf.DUMMYFUNCTION("""COMPUTED_VALUE"""),"2025-11-25 15:00:00")</f>
        <v/>
      </c>
      <c r="O222" s="368" t="n"/>
      <c r="P222" s="334" t="n"/>
    </row>
    <row r="223">
      <c r="A223" s="334">
        <f>IFERROR(__xludf.DUMMYFUNCTION("""COMPUTED_VALUE"""),"yuw")</f>
        <v/>
      </c>
      <c r="B223" s="334">
        <f>IFERROR(__xludf.DUMMYFUNCTION("""COMPUTED_VALUE"""),"2.5次元の誘惑")</f>
        <v/>
      </c>
      <c r="C223" s="334">
        <f>IFERROR(__xludf.DUMMYFUNCTION("""COMPUTED_VALUE"""),"memory_chara")</f>
        <v/>
      </c>
      <c r="D223" s="408">
        <f>IFERROR(__xludf.DUMMYFUNCTION("""COMPUTED_VALUE"""),"00601")</f>
        <v/>
      </c>
      <c r="E223" s="334">
        <f>IFERROR(__xludf.DUMMYFUNCTION("""COMPUTED_VALUE"""),"memory_chara_yuw_00601")</f>
        <v/>
      </c>
      <c r="F223" s="334">
        <f>IFERROR(__xludf.DUMMYFUNCTION("""COMPUTED_VALUE"""),"memory_chara_yuw_00601")</f>
        <v/>
      </c>
      <c r="G223" s="334">
        <f>IFERROR(__xludf.DUMMYFUNCTION("""COMPUTED_VALUE"""),"item_icon_memory_chara_yuw_00601")</f>
        <v/>
      </c>
      <c r="H223" s="334">
        <f>IFERROR(__xludf.DUMMYFUNCTION("""COMPUTED_VALUE"""),"奥村 正宗のメモリー")</f>
        <v/>
      </c>
      <c r="I223" s="334">
        <f>IFERROR(__xludf.DUMMYFUNCTION("""COMPUTED_VALUE"""),"SR")</f>
        <v/>
      </c>
      <c r="J223" s="409">
        <f>IFERROR(__xludf.DUMMYFUNCTION("""COMPUTED_VALUE"""),9.99999999E8)</f>
        <v/>
      </c>
      <c r="K223" s="409">
        <f>IFERROR(__xludf.DUMMYFUNCTION("""COMPUTED_VALUE"""),9.99999999E8)</f>
        <v/>
      </c>
      <c r="L223" s="334">
        <f>IFERROR(__xludf.DUMMYFUNCTION("""COMPUTED_VALUE"""),"奥村 正宗のLv.上限開放に使用するアイテム")</f>
        <v/>
      </c>
      <c r="M223" s="334" t="n"/>
      <c r="N223" s="410">
        <f>IFERROR(__xludf.DUMMYFUNCTION("""COMPUTED_VALUE"""),"2025-11-25 15:00:00")</f>
        <v/>
      </c>
      <c r="O223" s="368" t="n"/>
      <c r="P223" s="334" t="n"/>
    </row>
    <row r="224">
      <c r="A224" s="334" t="n"/>
      <c r="B224" s="334" t="n"/>
      <c r="C224" s="334" t="n"/>
      <c r="D224" s="334" t="n"/>
      <c r="E224" s="334" t="n"/>
      <c r="F224" s="334" t="n"/>
      <c r="G224" s="334" t="n"/>
      <c r="H224" s="334" t="n"/>
      <c r="I224" s="334" t="n"/>
      <c r="J224" s="334" t="n"/>
      <c r="K224" s="334" t="n"/>
      <c r="L224" s="334" t="n"/>
      <c r="M224" s="334" t="n"/>
      <c r="N224" s="339" t="n"/>
      <c r="O224" s="368" t="n"/>
      <c r="P224" s="334" t="n"/>
    </row>
    <row r="225">
      <c r="A225" s="334">
        <f>IFERROR(__xludf.DUMMYFUNCTION("""COMPUTED_VALUE"""),"sur")</f>
        <v/>
      </c>
      <c r="B225" s="334">
        <f>IFERROR(__xludf.DUMMYFUNCTION("""COMPUTED_VALUE"""),"魔都精兵のスレイブ")</f>
        <v/>
      </c>
      <c r="C225" s="334">
        <f>IFERROR(__xludf.DUMMYFUNCTION("""COMPUTED_VALUE"""),"memory_chara")</f>
        <v/>
      </c>
      <c r="D225" s="408">
        <f>IFERROR(__xludf.DUMMYFUNCTION("""COMPUTED_VALUE"""),"00701")</f>
        <v/>
      </c>
      <c r="E225" s="334">
        <f>IFERROR(__xludf.DUMMYFUNCTION("""COMPUTED_VALUE"""),"memory_chara_sur_00701")</f>
        <v/>
      </c>
      <c r="F225" s="334">
        <f>IFERROR(__xludf.DUMMYFUNCTION("""COMPUTED_VALUE"""),"memory_chara_sur_00701")</f>
        <v/>
      </c>
      <c r="G225" s="334">
        <f>IFERROR(__xludf.DUMMYFUNCTION("""COMPUTED_VALUE"""),"item_icon_memory_chara_sur_00701")</f>
        <v/>
      </c>
      <c r="H225" s="334">
        <f>IFERROR(__xludf.DUMMYFUNCTION("""COMPUTED_VALUE"""),"和倉 青羽のメモリー")</f>
        <v/>
      </c>
      <c r="I225" s="334">
        <f>IFERROR(__xludf.DUMMYFUNCTION("""COMPUTED_VALUE"""),"SR")</f>
        <v/>
      </c>
      <c r="J225" s="409">
        <f>IFERROR(__xludf.DUMMYFUNCTION("""COMPUTED_VALUE"""),9.99999999E8)</f>
        <v/>
      </c>
      <c r="K225" s="409">
        <f>IFERROR(__xludf.DUMMYFUNCTION("""COMPUTED_VALUE"""),9.99999999E8)</f>
        <v/>
      </c>
      <c r="L225" s="334">
        <f>IFERROR(__xludf.DUMMYFUNCTION("""COMPUTED_VALUE"""),"和倉 青羽のLv.上限開放に使用するアイテム")</f>
        <v/>
      </c>
      <c r="M225" s="334" t="n"/>
      <c r="N225" s="410">
        <f>IFERROR(__xludf.DUMMYFUNCTION("""COMPUTED_VALUE"""),"2025-12-08 15:00:00")</f>
        <v/>
      </c>
      <c r="O225" s="368" t="n"/>
      <c r="P225" s="334" t="n"/>
    </row>
    <row r="226">
      <c r="A226" s="334">
        <f>IFERROR(__xludf.DUMMYFUNCTION("""COMPUTED_VALUE"""),"sur")</f>
        <v/>
      </c>
      <c r="B226" s="334">
        <f>IFERROR(__xludf.DUMMYFUNCTION("""COMPUTED_VALUE"""),"魔都精兵のスレイブ")</f>
        <v/>
      </c>
      <c r="C226" s="334">
        <f>IFERROR(__xludf.DUMMYFUNCTION("""COMPUTED_VALUE"""),"memory_chara")</f>
        <v/>
      </c>
      <c r="D226" s="408">
        <f>IFERROR(__xludf.DUMMYFUNCTION("""COMPUTED_VALUE"""),"00801")</f>
        <v/>
      </c>
      <c r="E226" s="334">
        <f>IFERROR(__xludf.DUMMYFUNCTION("""COMPUTED_VALUE"""),"memory_chara_sur_00801")</f>
        <v/>
      </c>
      <c r="F226" s="334">
        <f>IFERROR(__xludf.DUMMYFUNCTION("""COMPUTED_VALUE"""),"memory_chara_sur_00801")</f>
        <v/>
      </c>
      <c r="G226" s="334">
        <f>IFERROR(__xludf.DUMMYFUNCTION("""COMPUTED_VALUE"""),"item_icon_memory_chara_sur_00801")</f>
        <v/>
      </c>
      <c r="H226" s="334">
        <f>IFERROR(__xludf.DUMMYFUNCTION("""COMPUTED_VALUE"""),"無窮の鎖 和倉 優希のメモリー")</f>
        <v/>
      </c>
      <c r="I226" s="334">
        <f>IFERROR(__xludf.DUMMYFUNCTION("""COMPUTED_VALUE"""),"SR")</f>
        <v/>
      </c>
      <c r="J226" s="409">
        <f>IFERROR(__xludf.DUMMYFUNCTION("""COMPUTED_VALUE"""),9.99999999E8)</f>
        <v/>
      </c>
      <c r="K226" s="409">
        <f>IFERROR(__xludf.DUMMYFUNCTION("""COMPUTED_VALUE"""),9.99999999E8)</f>
        <v/>
      </c>
      <c r="L226" s="334">
        <f>IFERROR(__xludf.DUMMYFUNCTION("""COMPUTED_VALUE"""),"無窮の鎖 和倉 優希のLv.上限開放に使用するアイテム")</f>
        <v/>
      </c>
      <c r="M226" s="334" t="n"/>
      <c r="N226" s="410">
        <f>IFERROR(__xludf.DUMMYFUNCTION("""COMPUTED_VALUE"""),"2025-12-08 15:00:00")</f>
        <v/>
      </c>
      <c r="O226" s="368" t="n"/>
      <c r="P226" s="334" t="n"/>
    </row>
    <row r="227">
      <c r="A227" s="334" t="n"/>
      <c r="B227" s="334" t="n"/>
      <c r="C227" s="334" t="n"/>
      <c r="D227" s="334" t="n"/>
      <c r="E227" s="334" t="n"/>
      <c r="F227" s="334" t="n"/>
      <c r="G227" s="334" t="n"/>
      <c r="H227" s="334" t="n"/>
      <c r="I227" s="334" t="n"/>
      <c r="J227" s="334" t="n"/>
      <c r="K227" s="334" t="n"/>
      <c r="L227" s="334" t="n"/>
      <c r="M227" s="334" t="n"/>
      <c r="N227" s="339" t="n"/>
      <c r="O227" s="368" t="n"/>
      <c r="P227" s="334" t="n"/>
    </row>
    <row r="228">
      <c r="A228" s="334">
        <f>IFERROR(__xludf.DUMMYFUNCTION("""COMPUTED_VALUE"""),"osh")</f>
        <v/>
      </c>
      <c r="B228" s="334">
        <f>IFERROR(__xludf.DUMMYFUNCTION("""COMPUTED_VALUE"""),"【推しの子】")</f>
        <v/>
      </c>
      <c r="C228" s="334">
        <f>IFERROR(__xludf.DUMMYFUNCTION("""COMPUTED_VALUE"""),"memory_chara")</f>
        <v/>
      </c>
      <c r="D228" s="408">
        <f>IFERROR(__xludf.DUMMYFUNCTION("""COMPUTED_VALUE"""),"00601")</f>
        <v/>
      </c>
      <c r="E228" s="334">
        <f>IFERROR(__xludf.DUMMYFUNCTION("""COMPUTED_VALUE"""),"memory_chara_osh_00601")</f>
        <v/>
      </c>
      <c r="F228" s="334">
        <f>IFERROR(__xludf.DUMMYFUNCTION("""COMPUTED_VALUE"""),"memory_chara_osh_00601")</f>
        <v/>
      </c>
      <c r="G228" s="334">
        <f>IFERROR(__xludf.DUMMYFUNCTION("""COMPUTED_VALUE"""),"item_icon_memory_chara_osh_00601")</f>
        <v/>
      </c>
      <c r="H228" s="334">
        <f>IFERROR(__xludf.DUMMYFUNCTION("""COMPUTED_VALUE"""),"ぴえヨンのメモリー")</f>
        <v/>
      </c>
      <c r="I228" s="334">
        <f>IFERROR(__xludf.DUMMYFUNCTION("""COMPUTED_VALUE"""),"SR")</f>
        <v/>
      </c>
      <c r="J228" s="409">
        <f>IFERROR(__xludf.DUMMYFUNCTION("""COMPUTED_VALUE"""),9.99999999E8)</f>
        <v/>
      </c>
      <c r="K228" s="409">
        <f>IFERROR(__xludf.DUMMYFUNCTION("""COMPUTED_VALUE"""),9.99999999E8)</f>
        <v/>
      </c>
      <c r="L228" s="334">
        <f>IFERROR(__xludf.DUMMYFUNCTION("""COMPUTED_VALUE"""),"ぴえヨンのLv.上限開放に使用するアイテム")</f>
        <v/>
      </c>
      <c r="M228" s="334" t="n"/>
      <c r="N228" s="410">
        <f>IFERROR(__xludf.DUMMYFUNCTION("""COMPUTED_VALUE"""),"2026-01-01 00:00:00")</f>
        <v/>
      </c>
      <c r="O228" s="368" t="n"/>
      <c r="P228" s="334" t="n"/>
    </row>
    <row r="229">
      <c r="A229" s="334" t="n"/>
      <c r="B229" s="334" t="n"/>
      <c r="C229" s="334" t="n"/>
      <c r="D229" s="334" t="n"/>
      <c r="E229" s="334" t="n"/>
      <c r="F229" s="334" t="n"/>
      <c r="G229" s="334" t="n"/>
      <c r="H229" s="334" t="n"/>
      <c r="I229" s="334" t="n"/>
      <c r="J229" s="334" t="n"/>
      <c r="K229" s="334" t="n"/>
      <c r="L229" s="334" t="n"/>
      <c r="M229" s="334" t="n"/>
      <c r="N229" s="339" t="n"/>
      <c r="O229" s="368" t="n"/>
      <c r="P229" s="334" t="n"/>
    </row>
    <row r="230">
      <c r="A230" s="334">
        <f>IFERROR(__xludf.DUMMYFUNCTION("""COMPUTED_VALUE"""),"jig")</f>
        <v/>
      </c>
      <c r="B230" s="334">
        <f>IFERROR(__xludf.DUMMYFUNCTION("""COMPUTED_VALUE"""),"地獄楽")</f>
        <v/>
      </c>
      <c r="C230" s="334">
        <f>IFERROR(__xludf.DUMMYFUNCTION("""COMPUTED_VALUE"""),"memory_chara")</f>
        <v/>
      </c>
      <c r="D230" s="408">
        <f>IFERROR(__xludf.DUMMYFUNCTION("""COMPUTED_VALUE"""),"00601")</f>
        <v/>
      </c>
      <c r="E230" s="334">
        <f>IFERROR(__xludf.DUMMYFUNCTION("""COMPUTED_VALUE"""),"memory_chara_jig_00601")</f>
        <v/>
      </c>
      <c r="F230" s="334">
        <f>IFERROR(__xludf.DUMMYFUNCTION("""COMPUTED_VALUE"""),"memory_chara_jig_00601")</f>
        <v/>
      </c>
      <c r="G230" s="334">
        <f>IFERROR(__xludf.DUMMYFUNCTION("""COMPUTED_VALUE"""),"item_icon_memory_chara_jig_00601")</f>
        <v/>
      </c>
      <c r="H230" s="334">
        <f>IFERROR(__xludf.DUMMYFUNCTION("""COMPUTED_VALUE"""),"民谷 巌鉄斎のメモリー")</f>
        <v/>
      </c>
      <c r="I230" s="334">
        <f>IFERROR(__xludf.DUMMYFUNCTION("""COMPUTED_VALUE"""),"SR")</f>
        <v/>
      </c>
      <c r="J230" s="409">
        <f>IFERROR(__xludf.DUMMYFUNCTION("""COMPUTED_VALUE"""),9.99999999E8)</f>
        <v/>
      </c>
      <c r="K230" s="409">
        <f>IFERROR(__xludf.DUMMYFUNCTION("""COMPUTED_VALUE"""),9.99999999E8)</f>
        <v/>
      </c>
      <c r="L230" s="334">
        <f>IFERROR(__xludf.DUMMYFUNCTION("""COMPUTED_VALUE"""),"民谷 巌鉄斎のLv.上限開放に使用するアイテム")</f>
        <v/>
      </c>
      <c r="M230" s="334" t="n"/>
      <c r="N230" s="410">
        <f>IFERROR(__xludf.DUMMYFUNCTION("""COMPUTED_VALUE"""),"2026-01-16 15:00:00")</f>
        <v/>
      </c>
      <c r="O230" s="368" t="n"/>
      <c r="P230" s="334" t="n"/>
    </row>
    <row r="231">
      <c r="A231" s="334">
        <f>IFERROR(__xludf.DUMMYFUNCTION("""COMPUTED_VALUE"""),"jig")</f>
        <v/>
      </c>
      <c r="B231" s="334">
        <f>IFERROR(__xludf.DUMMYFUNCTION("""COMPUTED_VALUE"""),"地獄楽")</f>
        <v/>
      </c>
      <c r="C231" s="334">
        <f>IFERROR(__xludf.DUMMYFUNCTION("""COMPUTED_VALUE"""),"memory_chara")</f>
        <v/>
      </c>
      <c r="D231" s="408">
        <f>IFERROR(__xludf.DUMMYFUNCTION("""COMPUTED_VALUE"""),"00701")</f>
        <v/>
      </c>
      <c r="E231" s="334">
        <f>IFERROR(__xludf.DUMMYFUNCTION("""COMPUTED_VALUE"""),"memory_chara_jig_00701")</f>
        <v/>
      </c>
      <c r="F231" s="334">
        <f>IFERROR(__xludf.DUMMYFUNCTION("""COMPUTED_VALUE"""),"memory_chara_jig_00701")</f>
        <v/>
      </c>
      <c r="G231" s="334">
        <f>IFERROR(__xludf.DUMMYFUNCTION("""COMPUTED_VALUE"""),"item_icon_memory_chara_jig_00701")</f>
        <v/>
      </c>
      <c r="H231" s="334">
        <f>IFERROR(__xludf.DUMMYFUNCTION("""COMPUTED_VALUE"""),"メイのメモリー")</f>
        <v/>
      </c>
      <c r="I231" s="334">
        <f>IFERROR(__xludf.DUMMYFUNCTION("""COMPUTED_VALUE"""),"SR")</f>
        <v/>
      </c>
      <c r="J231" s="409">
        <f>IFERROR(__xludf.DUMMYFUNCTION("""COMPUTED_VALUE"""),9.99999999E8)</f>
        <v/>
      </c>
      <c r="K231" s="409">
        <f>IFERROR(__xludf.DUMMYFUNCTION("""COMPUTED_VALUE"""),9.99999999E8)</f>
        <v/>
      </c>
      <c r="L231" s="334">
        <f>IFERROR(__xludf.DUMMYFUNCTION("""COMPUTED_VALUE"""),"メイのLv.上限開放に使用するアイテム")</f>
        <v/>
      </c>
      <c r="M231" s="334" t="n"/>
      <c r="N231" s="410">
        <f>IFERROR(__xludf.DUMMYFUNCTION("""COMPUTED_VALUE"""),"2026-01-16 15:00:00")</f>
        <v/>
      </c>
      <c r="O231" s="368" t="n"/>
      <c r="P231" s="334" t="n"/>
    </row>
    <row r="232">
      <c r="A232" s="334" t="n"/>
      <c r="B232" s="334" t="n"/>
      <c r="C232" s="334" t="n"/>
      <c r="D232" s="334" t="n"/>
      <c r="E232" s="334" t="n"/>
      <c r="F232" s="334" t="n"/>
      <c r="G232" s="334" t="n"/>
      <c r="H232" s="334" t="n"/>
      <c r="I232" s="334" t="n"/>
      <c r="J232" s="334" t="n"/>
      <c r="K232" s="334" t="n"/>
      <c r="L232" s="334" t="n"/>
      <c r="M232" s="334" t="n"/>
      <c r="N232" s="339" t="n"/>
      <c r="O232" s="368" t="n"/>
      <c r="P232" s="334" t="n"/>
    </row>
    <row r="233">
      <c r="A233" s="334">
        <f>IFERROR(__xludf.DUMMYFUNCTION("""COMPUTED_VALUE"""),"you")</f>
        <v/>
      </c>
      <c r="B233" s="334">
        <f>IFERROR(__xludf.DUMMYFUNCTION("""COMPUTED_VALUE"""),"幼稚園WARS")</f>
        <v/>
      </c>
      <c r="C233" s="334">
        <f>IFERROR(__xludf.DUMMYFUNCTION("""COMPUTED_VALUE"""),"memory_chara")</f>
        <v/>
      </c>
      <c r="D233" s="408">
        <f>IFERROR(__xludf.DUMMYFUNCTION("""COMPUTED_VALUE"""),"00201")</f>
        <v/>
      </c>
      <c r="E233" s="334">
        <f>IFERROR(__xludf.DUMMYFUNCTION("""COMPUTED_VALUE"""),"memory_chara_you_00201")</f>
        <v/>
      </c>
      <c r="F233" s="334">
        <f>IFERROR(__xludf.DUMMYFUNCTION("""COMPUTED_VALUE"""),"memory_chara_you_00201")</f>
        <v/>
      </c>
      <c r="G233" s="334">
        <f>IFERROR(__xludf.DUMMYFUNCTION("""COMPUTED_VALUE"""),"item_icon_memory_chara_you_00201")</f>
        <v/>
      </c>
      <c r="H233" s="334">
        <f>IFERROR(__xludf.DUMMYFUNCTION("""COMPUTED_VALUE"""),"ダグのメモリー")</f>
        <v/>
      </c>
      <c r="I233" s="334">
        <f>IFERROR(__xludf.DUMMYFUNCTION("""COMPUTED_VALUE"""),"SR")</f>
        <v/>
      </c>
      <c r="J233" s="409">
        <f>IFERROR(__xludf.DUMMYFUNCTION("""COMPUTED_VALUE"""),9.99999999E8)</f>
        <v/>
      </c>
      <c r="K233" s="409">
        <f>IFERROR(__xludf.DUMMYFUNCTION("""COMPUTED_VALUE"""),9.99999999E8)</f>
        <v/>
      </c>
      <c r="L233" s="334">
        <f>IFERROR(__xludf.DUMMYFUNCTION("""COMPUTED_VALUE"""),"ダグのLv.上限開放に使用するアイテム")</f>
        <v/>
      </c>
      <c r="M233" s="334" t="n"/>
      <c r="N233" s="410">
        <f>IFERROR(__xludf.DUMMYFUNCTION("""COMPUTED_VALUE"""),"2026-02-02 15:00:00")</f>
        <v/>
      </c>
      <c r="O233" s="368" t="n"/>
      <c r="P233" s="334" t="n"/>
    </row>
    <row r="234">
      <c r="A234" s="334">
        <f>IFERROR(__xludf.DUMMYFUNCTION("""COMPUTED_VALUE"""),"you")</f>
        <v/>
      </c>
      <c r="B234" s="334">
        <f>IFERROR(__xludf.DUMMYFUNCTION("""COMPUTED_VALUE"""),"幼稚園WARS")</f>
        <v/>
      </c>
      <c r="C234" s="334">
        <f>IFERROR(__xludf.DUMMYFUNCTION("""COMPUTED_VALUE"""),"memory_chara")</f>
        <v/>
      </c>
      <c r="D234" s="408">
        <f>IFERROR(__xludf.DUMMYFUNCTION("""COMPUTED_VALUE"""),"00301")</f>
        <v/>
      </c>
      <c r="E234" s="334">
        <f>IFERROR(__xludf.DUMMYFUNCTION("""COMPUTED_VALUE"""),"memory_chara_you_00301")</f>
        <v/>
      </c>
      <c r="F234" s="334">
        <f>IFERROR(__xludf.DUMMYFUNCTION("""COMPUTED_VALUE"""),"memory_chara_you_00301")</f>
        <v/>
      </c>
      <c r="G234" s="334">
        <f>IFERROR(__xludf.DUMMYFUNCTION("""COMPUTED_VALUE"""),"item_icon_memory_chara_you_00301")</f>
        <v/>
      </c>
      <c r="H234" s="334">
        <f>IFERROR(__xludf.DUMMYFUNCTION("""COMPUTED_VALUE"""),"ハナのメモリー")</f>
        <v/>
      </c>
      <c r="I234" s="334">
        <f>IFERROR(__xludf.DUMMYFUNCTION("""COMPUTED_VALUE"""),"SR")</f>
        <v/>
      </c>
      <c r="J234" s="409">
        <f>IFERROR(__xludf.DUMMYFUNCTION("""COMPUTED_VALUE"""),9.99999999E8)</f>
        <v/>
      </c>
      <c r="K234" s="409">
        <f>IFERROR(__xludf.DUMMYFUNCTION("""COMPUTED_VALUE"""),9.99999999E8)</f>
        <v/>
      </c>
      <c r="L234" s="334">
        <f>IFERROR(__xludf.DUMMYFUNCTION("""COMPUTED_VALUE"""),"ハナのLv.上限開放に使用するアイテム")</f>
        <v/>
      </c>
      <c r="M234" s="334" t="n"/>
      <c r="N234" s="410">
        <f>IFERROR(__xludf.DUMMYFUNCTION("""COMPUTED_VALUE"""),"2026-02-02 15:00:00")</f>
        <v/>
      </c>
      <c r="O234" s="368" t="n"/>
      <c r="P234" s="334" t="n"/>
    </row>
    <row r="235">
      <c r="A235" s="334" t="n"/>
      <c r="B235" s="334" t="n"/>
      <c r="C235" s="334" t="n"/>
      <c r="D235" s="334" t="n"/>
      <c r="E235" s="334" t="n"/>
      <c r="F235" s="334" t="n"/>
      <c r="G235" s="334" t="n"/>
      <c r="H235" s="334" t="n"/>
      <c r="I235" s="334" t="n"/>
      <c r="J235" s="334" t="n"/>
      <c r="K235" s="334" t="n"/>
      <c r="L235" s="334" t="n"/>
      <c r="M235" s="334" t="n"/>
      <c r="N235" s="339" t="n"/>
      <c r="O235" s="368" t="n"/>
      <c r="P235" s="334" t="n"/>
    </row>
    <row r="236">
      <c r="A236" s="334">
        <f>IFERROR(__xludf.DUMMYFUNCTION("""COMPUTED_VALUE"""),"hut")</f>
        <v/>
      </c>
      <c r="B236" s="334">
        <f>IFERROR(__xludf.DUMMYFUNCTION("""COMPUTED_VALUE"""),"ふつうの軽音部")</f>
        <v/>
      </c>
      <c r="C236" s="334">
        <f>IFERROR(__xludf.DUMMYFUNCTION("""COMPUTED_VALUE"""),"memory_chara")</f>
        <v/>
      </c>
      <c r="D236" s="408">
        <f>IFERROR(__xludf.DUMMYFUNCTION("""COMPUTED_VALUE"""),"00201")</f>
        <v/>
      </c>
      <c r="E236" s="334">
        <f>IFERROR(__xludf.DUMMYFUNCTION("""COMPUTED_VALUE"""),"memory_chara_hut_00201")</f>
        <v/>
      </c>
      <c r="F236" s="334">
        <f>IFERROR(__xludf.DUMMYFUNCTION("""COMPUTED_VALUE"""),"memory_chara_hut_00201")</f>
        <v/>
      </c>
      <c r="G236" s="334">
        <f>IFERROR(__xludf.DUMMYFUNCTION("""COMPUTED_VALUE"""),"item_icon_memory_chara_hut_00201")</f>
        <v/>
      </c>
      <c r="H236" s="334">
        <f>IFERROR(__xludf.DUMMYFUNCTION("""COMPUTED_VALUE"""),"内田 桃のメモリー")</f>
        <v/>
      </c>
      <c r="I236" s="334">
        <f>IFERROR(__xludf.DUMMYFUNCTION("""COMPUTED_VALUE"""),"SR")</f>
        <v/>
      </c>
      <c r="J236" s="409">
        <f>IFERROR(__xludf.DUMMYFUNCTION("""COMPUTED_VALUE"""),9.99999999E8)</f>
        <v/>
      </c>
      <c r="K236" s="409">
        <f>IFERROR(__xludf.DUMMYFUNCTION("""COMPUTED_VALUE"""),9.99999999E8)</f>
        <v/>
      </c>
      <c r="L236" s="334">
        <f>IFERROR(__xludf.DUMMYFUNCTION("""COMPUTED_VALUE"""),"内田 桃のLv.上限開放に使用するアイテム")</f>
        <v/>
      </c>
      <c r="M236" s="334" t="n"/>
      <c r="N236" s="410">
        <f>IFERROR(__xludf.DUMMYFUNCTION("""COMPUTED_VALUE"""),"2026-03-02 15:00:00")</f>
        <v/>
      </c>
      <c r="O236" s="368" t="n"/>
      <c r="P236" s="334" t="n"/>
    </row>
    <row r="237">
      <c r="A237" s="334">
        <f>IFERROR(__xludf.DUMMYFUNCTION("""COMPUTED_VALUE"""),"hut")</f>
        <v/>
      </c>
      <c r="B237" s="334">
        <f>IFERROR(__xludf.DUMMYFUNCTION("""COMPUTED_VALUE"""),"ふつうの軽音部")</f>
        <v/>
      </c>
      <c r="C237" s="334">
        <f>IFERROR(__xludf.DUMMYFUNCTION("""COMPUTED_VALUE"""),"memory_chara")</f>
        <v/>
      </c>
      <c r="D237" s="408">
        <f>IFERROR(__xludf.DUMMYFUNCTION("""COMPUTED_VALUE"""),"00301")</f>
        <v/>
      </c>
      <c r="E237" s="334">
        <f>IFERROR(__xludf.DUMMYFUNCTION("""COMPUTED_VALUE"""),"memory_chara_hut_00301")</f>
        <v/>
      </c>
      <c r="F237" s="334">
        <f>IFERROR(__xludf.DUMMYFUNCTION("""COMPUTED_VALUE"""),"memory_chara_hut_00301")</f>
        <v/>
      </c>
      <c r="G237" s="334">
        <f>IFERROR(__xludf.DUMMYFUNCTION("""COMPUTED_VALUE"""),"item_icon_memory_chara_hut_00301")</f>
        <v/>
      </c>
      <c r="H237" s="334">
        <f>IFERROR(__xludf.DUMMYFUNCTION("""COMPUTED_VALUE"""),"藤井 彩目のメモリー")</f>
        <v/>
      </c>
      <c r="I237" s="334">
        <f>IFERROR(__xludf.DUMMYFUNCTION("""COMPUTED_VALUE"""),"SR")</f>
        <v/>
      </c>
      <c r="J237" s="409">
        <f>IFERROR(__xludf.DUMMYFUNCTION("""COMPUTED_VALUE"""),9.99999999E8)</f>
        <v/>
      </c>
      <c r="K237" s="409">
        <f>IFERROR(__xludf.DUMMYFUNCTION("""COMPUTED_VALUE"""),9.99999999E8)</f>
        <v/>
      </c>
      <c r="L237" s="334">
        <f>IFERROR(__xludf.DUMMYFUNCTION("""COMPUTED_VALUE"""),"藤井 彩目のLv.上限開放に使用するアイテム")</f>
        <v/>
      </c>
      <c r="M237" s="334" t="n"/>
      <c r="N237" s="410">
        <f>IFERROR(__xludf.DUMMYFUNCTION("""COMPUTED_VALUE"""),"2026-03-02 15:00:00")</f>
        <v/>
      </c>
      <c r="O237" s="368" t="n"/>
      <c r="P237" s="334" t="n"/>
    </row>
    <row r="238">
      <c r="A238" s="334" t="n"/>
      <c r="B238" s="334" t="n"/>
      <c r="C238" s="334" t="n"/>
      <c r="D238" s="334" t="n"/>
      <c r="E238" s="334" t="n"/>
      <c r="F238" s="334" t="n"/>
      <c r="G238" s="334" t="n"/>
      <c r="H238" s="334" t="n"/>
      <c r="I238" s="334" t="n"/>
      <c r="J238" s="334" t="n"/>
      <c r="K238" s="334" t="n"/>
      <c r="L238" s="334" t="n"/>
      <c r="M238" s="334" t="n"/>
      <c r="N238" s="339" t="n"/>
      <c r="O238" s="368" t="n"/>
      <c r="P238" s="334" t="n"/>
    </row>
    <row r="239">
      <c r="A239" s="334">
        <f>IFERROR(__xludf.DUMMYFUNCTION("""COMPUTED_VALUE"""),"aya")</f>
        <v/>
      </c>
      <c r="B239" s="334">
        <f>IFERROR(__xludf.DUMMYFUNCTION("""COMPUTED_VALUE"""),"あやかしトライアングル")</f>
        <v/>
      </c>
      <c r="C239" s="334">
        <f>IFERROR(__xludf.DUMMYFUNCTION("""COMPUTED_VALUE"""),"memory_chara")</f>
        <v/>
      </c>
      <c r="D239" s="408">
        <f>IFERROR(__xludf.DUMMYFUNCTION("""COMPUTED_VALUE"""),"00201")</f>
        <v/>
      </c>
      <c r="E239" s="334">
        <f>IFERROR(__xludf.DUMMYFUNCTION("""COMPUTED_VALUE"""),"memory_chara_aya_00201")</f>
        <v/>
      </c>
      <c r="F239" s="334">
        <f>IFERROR(__xludf.DUMMYFUNCTION("""COMPUTED_VALUE"""),"memory_chara_aya_00201")</f>
        <v/>
      </c>
      <c r="G239" s="334">
        <f>IFERROR(__xludf.DUMMYFUNCTION("""COMPUTED_VALUE"""),"item_icon_memory_chara_aya_00201")</f>
        <v/>
      </c>
      <c r="H239" s="334">
        <f>IFERROR(__xludf.DUMMYFUNCTION("""COMPUTED_VALUE"""),"香炉木 恋緒のメモリー")</f>
        <v/>
      </c>
      <c r="I239" s="334">
        <f>IFERROR(__xludf.DUMMYFUNCTION("""COMPUTED_VALUE"""),"SR")</f>
        <v/>
      </c>
      <c r="J239" s="409">
        <f>IFERROR(__xludf.DUMMYFUNCTION("""COMPUTED_VALUE"""),9.99999999E8)</f>
        <v/>
      </c>
      <c r="K239" s="409">
        <f>IFERROR(__xludf.DUMMYFUNCTION("""COMPUTED_VALUE"""),9.99999999E8)</f>
        <v/>
      </c>
      <c r="L239" s="334">
        <f>IFERROR(__xludf.DUMMYFUNCTION("""COMPUTED_VALUE"""),"香炉木 恋緒のLv.上限開放に使用するアイテム")</f>
        <v/>
      </c>
      <c r="M239" s="334" t="n"/>
      <c r="N239" s="410">
        <f>IFERROR(__xludf.DUMMYFUNCTION("""COMPUTED_VALUE"""),"2026-04-17 15:00:00")</f>
        <v/>
      </c>
      <c r="O239" s="368" t="n"/>
      <c r="P239" s="334" t="n"/>
    </row>
    <row r="240">
      <c r="A240" s="334">
        <f>IFERROR(__xludf.DUMMYFUNCTION("""COMPUTED_VALUE"""),"aya")</f>
        <v/>
      </c>
      <c r="B240" s="334">
        <f>IFERROR(__xludf.DUMMYFUNCTION("""COMPUTED_VALUE"""),"あやかしトライアングル")</f>
        <v/>
      </c>
      <c r="C240" s="334">
        <f>IFERROR(__xludf.DUMMYFUNCTION("""COMPUTED_VALUE"""),"memory_chara")</f>
        <v/>
      </c>
      <c r="D240" s="408">
        <f>IFERROR(__xludf.DUMMYFUNCTION("""COMPUTED_VALUE"""),"00301")</f>
        <v/>
      </c>
      <c r="E240" s="334">
        <f>IFERROR(__xludf.DUMMYFUNCTION("""COMPUTED_VALUE"""),"memory_chara_aya_00301")</f>
        <v/>
      </c>
      <c r="F240" s="334">
        <f>IFERROR(__xludf.DUMMYFUNCTION("""COMPUTED_VALUE"""),"memory_chara_aya_00301")</f>
        <v/>
      </c>
      <c r="G240" s="334">
        <f>IFERROR(__xludf.DUMMYFUNCTION("""COMPUTED_VALUE"""),"item_icon_memory_chara_aya_00301")</f>
        <v/>
      </c>
      <c r="H240" s="334">
        <f>IFERROR(__xludf.DUMMYFUNCTION("""COMPUTED_VALUE"""),"ニノ曲 宗牙のメモリー")</f>
        <v/>
      </c>
      <c r="I240" s="334">
        <f>IFERROR(__xludf.DUMMYFUNCTION("""COMPUTED_VALUE"""),"SR")</f>
        <v/>
      </c>
      <c r="J240" s="409">
        <f>IFERROR(__xludf.DUMMYFUNCTION("""COMPUTED_VALUE"""),9.99999999E8)</f>
        <v/>
      </c>
      <c r="K240" s="409">
        <f>IFERROR(__xludf.DUMMYFUNCTION("""COMPUTED_VALUE"""),9.99999999E8)</f>
        <v/>
      </c>
      <c r="L240" s="334">
        <f>IFERROR(__xludf.DUMMYFUNCTION("""COMPUTED_VALUE"""),"ニノ曲 宗牙のLv.上限開放に使用するアイテム")</f>
        <v/>
      </c>
      <c r="M240" s="334" t="n"/>
      <c r="N240" s="410">
        <f>IFERROR(__xludf.DUMMYFUNCTION("""COMPUTED_VALUE"""),"2026-04-17 15:00:00")</f>
        <v/>
      </c>
      <c r="O240" s="368" t="n"/>
      <c r="P240" s="334" t="n"/>
    </row>
    <row r="241">
      <c r="A241" s="334" t="n"/>
      <c r="B241" s="334" t="n"/>
      <c r="C241" s="334" t="n"/>
      <c r="D241" s="334" t="n"/>
      <c r="E241" s="334" t="n"/>
      <c r="F241" s="334" t="n"/>
      <c r="G241" s="334" t="n"/>
      <c r="H241" s="334" t="n"/>
      <c r="I241" s="334" t="n"/>
      <c r="J241" s="334" t="n"/>
      <c r="K241" s="334" t="n"/>
      <c r="L241" s="334" t="n"/>
      <c r="M241" s="334" t="n"/>
      <c r="N241" s="339" t="n"/>
      <c r="O241" s="368" t="n"/>
      <c r="P241" s="334" t="n"/>
    </row>
    <row r="242">
      <c r="A242" s="334">
        <f>IFERROR(__xludf.DUMMYFUNCTION("""COMPUTED_VALUE"""),"hyp")</f>
        <v/>
      </c>
      <c r="B242" s="334">
        <f>IFERROR(__xludf.DUMMYFUNCTION("""COMPUTED_VALUE"""),"ハイパーインフレーション")</f>
        <v/>
      </c>
      <c r="C242" s="334">
        <f>IFERROR(__xludf.DUMMYFUNCTION("""COMPUTED_VALUE"""),"memory_chara")</f>
        <v/>
      </c>
      <c r="D242" s="408">
        <f>IFERROR(__xludf.DUMMYFUNCTION("""COMPUTED_VALUE"""),"00001")</f>
        <v/>
      </c>
      <c r="E242" s="334">
        <f>IFERROR(__xludf.DUMMYFUNCTION("""COMPUTED_VALUE"""),"memory_chara_hyp_00001")</f>
        <v/>
      </c>
      <c r="F242" s="334">
        <f>IFERROR(__xludf.DUMMYFUNCTION("""COMPUTED_VALUE"""),"memory_chara_hyp_00001")</f>
        <v/>
      </c>
      <c r="G242" s="334">
        <f>IFERROR(__xludf.DUMMYFUNCTION("""COMPUTED_VALUE"""),"item_icon_memory_chara_hyp_00001")</f>
        <v/>
      </c>
      <c r="H242" s="334">
        <f>IFERROR(__xludf.DUMMYFUNCTION("""COMPUTED_VALUE"""),"ルークのメモリー")</f>
        <v/>
      </c>
      <c r="I242" s="334">
        <f>IFERROR(__xludf.DUMMYFUNCTION("""COMPUTED_VALUE"""),"SR")</f>
        <v/>
      </c>
      <c r="J242" s="409">
        <f>IFERROR(__xludf.DUMMYFUNCTION("""COMPUTED_VALUE"""),9.99999999E8)</f>
        <v/>
      </c>
      <c r="K242" s="409">
        <f>IFERROR(__xludf.DUMMYFUNCTION("""COMPUTED_VALUE"""),9.99999999E8)</f>
        <v/>
      </c>
      <c r="L242" s="334">
        <f>IFERROR(__xludf.DUMMYFUNCTION("""COMPUTED_VALUE"""),"ルークのLv.上限開放に使用するアイテム")</f>
        <v/>
      </c>
      <c r="M242" s="334" t="n"/>
      <c r="N242" s="339" t="n"/>
      <c r="O242" s="368" t="n"/>
      <c r="P242" s="334" t="n"/>
    </row>
    <row r="243">
      <c r="A243" s="334" t="n"/>
      <c r="B243" s="334" t="n"/>
      <c r="C243" s="334" t="n"/>
      <c r="D243" s="334" t="n"/>
      <c r="E243" s="334" t="n"/>
      <c r="F243" s="334" t="n"/>
      <c r="G243" s="334" t="n"/>
      <c r="H243" s="334" t="n"/>
      <c r="I243" s="334" t="n"/>
      <c r="J243" s="334" t="n"/>
      <c r="K243" s="334" t="n"/>
      <c r="L243" s="334" t="n"/>
      <c r="M243" s="334" t="n"/>
      <c r="N243" s="339" t="n"/>
      <c r="O243" s="368" t="n"/>
      <c r="P243" s="334" t="n"/>
    </row>
    <row r="244">
      <c r="A244" s="334">
        <f>IFERROR(__xludf.DUMMYFUNCTION("""COMPUTED_VALUE"""),"ara")</f>
        <v/>
      </c>
      <c r="B244" s="334">
        <f>IFERROR(__xludf.DUMMYFUNCTION("""COMPUTED_VALUE"""),"アラガネの子")</f>
        <v/>
      </c>
      <c r="C244" s="334">
        <f>IFERROR(__xludf.DUMMYFUNCTION("""COMPUTED_VALUE"""),"memory_chara")</f>
        <v/>
      </c>
      <c r="D244" s="408">
        <f>IFERROR(__xludf.DUMMYFUNCTION("""COMPUTED_VALUE"""),"00001")</f>
        <v/>
      </c>
      <c r="E244" s="334">
        <f>IFERROR(__xludf.DUMMYFUNCTION("""COMPUTED_VALUE"""),"memory_chara_ara_00001")</f>
        <v/>
      </c>
      <c r="F244" s="334">
        <f>IFERROR(__xludf.DUMMYFUNCTION("""COMPUTED_VALUE"""),"memory_chara_ara_00001")</f>
        <v/>
      </c>
      <c r="G244" s="334">
        <f>IFERROR(__xludf.DUMMYFUNCTION("""COMPUTED_VALUE"""),"item_icon_memory_chara_ara_00001")</f>
        <v/>
      </c>
      <c r="H244" s="334">
        <f>IFERROR(__xludf.DUMMYFUNCTION("""COMPUTED_VALUE"""),"灰のメモリー")</f>
        <v/>
      </c>
      <c r="I244" s="334">
        <f>IFERROR(__xludf.DUMMYFUNCTION("""COMPUTED_VALUE"""),"SR")</f>
        <v/>
      </c>
      <c r="J244" s="409">
        <f>IFERROR(__xludf.DUMMYFUNCTION("""COMPUTED_VALUE"""),9.99999999E8)</f>
        <v/>
      </c>
      <c r="K244" s="409">
        <f>IFERROR(__xludf.DUMMYFUNCTION("""COMPUTED_VALUE"""),9.99999999E8)</f>
        <v/>
      </c>
      <c r="L244" s="334">
        <f>IFERROR(__xludf.DUMMYFUNCTION("""COMPUTED_VALUE"""),"灰のLv.上限開放に使用するアイテム")</f>
        <v/>
      </c>
      <c r="M244" s="334" t="n"/>
      <c r="N244" s="339" t="n"/>
      <c r="O244" s="368" t="n"/>
      <c r="P244" s="334" t="n"/>
    </row>
    <row r="245">
      <c r="A245" s="334" t="n"/>
      <c r="B245" s="334" t="n"/>
      <c r="C245" s="334" t="n"/>
      <c r="D245" s="334" t="n"/>
      <c r="E245" s="334" t="n"/>
      <c r="F245" s="334" t="n"/>
      <c r="G245" s="334" t="n"/>
      <c r="H245" s="334" t="n"/>
      <c r="I245" s="334" t="n"/>
      <c r="J245" s="334" t="n"/>
      <c r="K245" s="334" t="n"/>
      <c r="L245" s="334" t="n"/>
      <c r="M245" s="334" t="n"/>
      <c r="N245" s="339" t="n"/>
      <c r="O245" s="368" t="n"/>
      <c r="P245" s="334" t="n"/>
    </row>
    <row r="246">
      <c r="A246" s="334">
        <f>IFERROR(__xludf.DUMMYFUNCTION("""COMPUTED_VALUE"""),"osh")</f>
        <v/>
      </c>
      <c r="B246" s="334">
        <f>IFERROR(__xludf.DUMMYFUNCTION("""COMPUTED_VALUE"""),"【推しの子】")</f>
        <v/>
      </c>
      <c r="C246" s="334">
        <f>IFERROR(__xludf.DUMMYFUNCTION("""COMPUTED_VALUE"""),"memory_chara")</f>
        <v/>
      </c>
      <c r="D246" s="408">
        <f>IFERROR(__xludf.DUMMYFUNCTION("""COMPUTED_VALUE"""),"00701")</f>
        <v/>
      </c>
      <c r="E246" s="334">
        <f>IFERROR(__xludf.DUMMYFUNCTION("""COMPUTED_VALUE"""),"memory_chara_osh_00701")</f>
        <v/>
      </c>
      <c r="F246" s="334">
        <f>IFERROR(__xludf.DUMMYFUNCTION("""COMPUTED_VALUE"""),"memory_chara_osh_00701")</f>
        <v/>
      </c>
      <c r="G246" s="334">
        <f>IFERROR(__xludf.DUMMYFUNCTION("""COMPUTED_VALUE"""),"item_icon_memory_chara_osh_00701")</f>
        <v/>
      </c>
      <c r="H246" s="334">
        <f>IFERROR(__xludf.DUMMYFUNCTION("""COMPUTED_VALUE"""),"雨宮 吾郎のメモリー")</f>
        <v/>
      </c>
      <c r="I246" s="334">
        <f>IFERROR(__xludf.DUMMYFUNCTION("""COMPUTED_VALUE"""),"SR")</f>
        <v/>
      </c>
      <c r="J246" s="409">
        <f>IFERROR(__xludf.DUMMYFUNCTION("""COMPUTED_VALUE"""),9.99999999E8)</f>
        <v/>
      </c>
      <c r="K246" s="409">
        <f>IFERROR(__xludf.DUMMYFUNCTION("""COMPUTED_VALUE"""),9.99999999E8)</f>
        <v/>
      </c>
      <c r="L246" s="334">
        <f>IFERROR(__xludf.DUMMYFUNCTION("""COMPUTED_VALUE"""),"雨宮 吾郎のLv.上限開放に使用するアイテム")</f>
        <v/>
      </c>
      <c r="M246" s="334" t="n"/>
      <c r="N246" s="339" t="n"/>
      <c r="O246" s="368" t="n"/>
      <c r="P246" s="334" t="n"/>
    </row>
    <row r="247">
      <c r="A247" s="334" t="n"/>
      <c r="B247" s="334" t="n"/>
      <c r="C247" s="334" t="n"/>
      <c r="D247" s="334" t="n"/>
      <c r="E247" s="334" t="n"/>
      <c r="F247" s="334" t="n"/>
      <c r="G247" s="334" t="n"/>
      <c r="H247" s="334" t="n"/>
      <c r="I247" s="334" t="n"/>
      <c r="J247" s="334" t="n"/>
      <c r="K247" s="334" t="n"/>
      <c r="L247" s="334" t="n"/>
      <c r="M247" s="334" t="n"/>
      <c r="N247" s="339" t="n"/>
      <c r="O247" s="368" t="n"/>
      <c r="P247" s="334" t="n"/>
    </row>
    <row r="248">
      <c r="A248" s="334">
        <f>IFERROR(__xludf.DUMMYFUNCTION("""COMPUTED_VALUE"""),"gom")</f>
        <v/>
      </c>
      <c r="B248" s="334">
        <f>IFERROR(__xludf.DUMMYFUNCTION("""COMPUTED_VALUE"""),"姫様“拷問”の時間です")</f>
        <v/>
      </c>
      <c r="C248" s="334">
        <f>IFERROR(__xludf.DUMMYFUNCTION("""COMPUTED_VALUE"""),"memory_chara")</f>
        <v/>
      </c>
      <c r="D248" s="408">
        <f>IFERROR(__xludf.DUMMYFUNCTION("""COMPUTED_VALUE"""),"00701")</f>
        <v/>
      </c>
      <c r="E248" s="334">
        <f>IFERROR(__xludf.DUMMYFUNCTION("""COMPUTED_VALUE"""),"memory_chara_gom_00701")</f>
        <v/>
      </c>
      <c r="F248" s="334">
        <f>IFERROR(__xludf.DUMMYFUNCTION("""COMPUTED_VALUE"""),"memory_chara_gom_00701")</f>
        <v/>
      </c>
      <c r="G248" s="334">
        <f>IFERROR(__xludf.DUMMYFUNCTION("""COMPUTED_VALUE"""),"item_icon_memory_chara_gom_00701")</f>
        <v/>
      </c>
      <c r="H248" s="334">
        <f>IFERROR(__xludf.DUMMYFUNCTION("""COMPUTED_VALUE"""),"カナッジのメモリー")</f>
        <v/>
      </c>
      <c r="I248" s="334">
        <f>IFERROR(__xludf.DUMMYFUNCTION("""COMPUTED_VALUE"""),"SR")</f>
        <v/>
      </c>
      <c r="J248" s="409">
        <f>IFERROR(__xludf.DUMMYFUNCTION("""COMPUTED_VALUE"""),9.99999999E8)</f>
        <v/>
      </c>
      <c r="K248" s="409">
        <f>IFERROR(__xludf.DUMMYFUNCTION("""COMPUTED_VALUE"""),9.99999999E8)</f>
        <v/>
      </c>
      <c r="L248" s="334">
        <f>IFERROR(__xludf.DUMMYFUNCTION("""COMPUTED_VALUE"""),"カナッジのLv.上限開放に使用するアイテム")</f>
        <v/>
      </c>
      <c r="M248" s="334" t="n"/>
      <c r="N248" s="339" t="n"/>
      <c r="O248" s="368" t="n"/>
      <c r="P248" s="334" t="n"/>
    </row>
    <row r="249">
      <c r="A249" s="334" t="n"/>
      <c r="B249" s="334" t="n"/>
      <c r="C249" s="334" t="n"/>
      <c r="D249" s="334" t="n"/>
      <c r="E249" s="334" t="n"/>
      <c r="F249" s="334" t="n"/>
      <c r="G249" s="334" t="n"/>
      <c r="H249" s="334" t="n"/>
      <c r="I249" s="334" t="n"/>
      <c r="J249" s="334" t="n"/>
      <c r="K249" s="334" t="n"/>
      <c r="L249" s="334" t="n"/>
      <c r="M249" s="334" t="n"/>
      <c r="N249" s="339" t="n"/>
      <c r="O249" s="368" t="n"/>
      <c r="P249" s="334" t="n"/>
    </row>
    <row r="250">
      <c r="A250" s="334">
        <f>IFERROR(__xludf.DUMMYFUNCTION("""COMPUTED_VALUE"""),"mar")</f>
        <v/>
      </c>
      <c r="B250" s="334">
        <f>IFERROR(__xludf.DUMMYFUNCTION("""COMPUTED_VALUE"""),"マリッジトキシン")</f>
        <v/>
      </c>
      <c r="C250" s="334">
        <f>IFERROR(__xludf.DUMMYFUNCTION("""COMPUTED_VALUE"""),"memory_chara")</f>
        <v/>
      </c>
      <c r="D250" s="408">
        <f>IFERROR(__xludf.DUMMYFUNCTION("""COMPUTED_VALUE"""),"00201")</f>
        <v/>
      </c>
      <c r="E250" s="334">
        <f>IFERROR(__xludf.DUMMYFUNCTION("""COMPUTED_VALUE"""),"memory_chara_mar_00201")</f>
        <v/>
      </c>
      <c r="F250" s="334">
        <f>IFERROR(__xludf.DUMMYFUNCTION("""COMPUTED_VALUE"""),"memory_chara_mar_00201")</f>
        <v/>
      </c>
      <c r="G250" s="334">
        <f>IFERROR(__xludf.DUMMYFUNCTION("""COMPUTED_VALUE"""),"item_icon_memory_chara_mar_00201")</f>
        <v/>
      </c>
      <c r="H250" s="334">
        <f>IFERROR(__xludf.DUMMYFUNCTION("""COMPUTED_VALUE"""),"姫川 杏子のメモリー")</f>
        <v/>
      </c>
      <c r="I250" s="334">
        <f>IFERROR(__xludf.DUMMYFUNCTION("""COMPUTED_VALUE"""),"SR")</f>
        <v/>
      </c>
      <c r="J250" s="409">
        <f>IFERROR(__xludf.DUMMYFUNCTION("""COMPUTED_VALUE"""),9.99999999E8)</f>
        <v/>
      </c>
      <c r="K250" s="409">
        <f>IFERROR(__xludf.DUMMYFUNCTION("""COMPUTED_VALUE"""),9.99999999E8)</f>
        <v/>
      </c>
      <c r="L250" s="334">
        <f>IFERROR(__xludf.DUMMYFUNCTION("""COMPUTED_VALUE"""),"姫川 杏子のLv.上限開放に使用するアイテム")</f>
        <v/>
      </c>
      <c r="M250" s="334" t="n"/>
      <c r="N250" s="339" t="n"/>
      <c r="O250" s="368" t="n"/>
      <c r="P250" s="334" t="n"/>
    </row>
    <row r="251">
      <c r="A251" s="334">
        <f>IFERROR(__xludf.DUMMYFUNCTION("""COMPUTED_VALUE"""),"mar")</f>
        <v/>
      </c>
      <c r="B251" s="334">
        <f>IFERROR(__xludf.DUMMYFUNCTION("""COMPUTED_VALUE"""),"マリッジトキシン")</f>
        <v/>
      </c>
      <c r="C251" s="334">
        <f>IFERROR(__xludf.DUMMYFUNCTION("""COMPUTED_VALUE"""),"memory_chara")</f>
        <v/>
      </c>
      <c r="D251" s="408">
        <f>IFERROR(__xludf.DUMMYFUNCTION("""COMPUTED_VALUE"""),"00401")</f>
        <v/>
      </c>
      <c r="E251" s="334">
        <f>IFERROR(__xludf.DUMMYFUNCTION("""COMPUTED_VALUE"""),"memory_chara_mar_00401")</f>
        <v/>
      </c>
      <c r="F251" s="334">
        <f>IFERROR(__xludf.DUMMYFUNCTION("""COMPUTED_VALUE"""),"memory_chara_mar_00401")</f>
        <v/>
      </c>
      <c r="G251" s="334">
        <f>IFERROR(__xludf.DUMMYFUNCTION("""COMPUTED_VALUE"""),"item_icon_memory_chara_mar_00401")</f>
        <v/>
      </c>
      <c r="H251" s="334">
        <f>IFERROR(__xludf.DUMMYFUNCTION("""COMPUTED_VALUE"""),"音使い 鳴子のメモリー")</f>
        <v/>
      </c>
      <c r="I251" s="334">
        <f>IFERROR(__xludf.DUMMYFUNCTION("""COMPUTED_VALUE"""),"SR")</f>
        <v/>
      </c>
      <c r="J251" s="409">
        <f>IFERROR(__xludf.DUMMYFUNCTION("""COMPUTED_VALUE"""),9.99999999E8)</f>
        <v/>
      </c>
      <c r="K251" s="409">
        <f>IFERROR(__xludf.DUMMYFUNCTION("""COMPUTED_VALUE"""),9.99999999E8)</f>
        <v/>
      </c>
      <c r="L251" s="334">
        <f>IFERROR(__xludf.DUMMYFUNCTION("""COMPUTED_VALUE"""),"音使い 鳴子のLv.上限開放に使用するアイテム")</f>
        <v/>
      </c>
      <c r="M251" s="334" t="n"/>
      <c r="N251" s="339" t="n"/>
      <c r="O251" s="368" t="n"/>
      <c r="P251" s="334" t="n"/>
    </row>
    <row r="252">
      <c r="A252" s="334" t="n"/>
      <c r="B252" s="334" t="n"/>
      <c r="C252" s="334" t="n"/>
      <c r="D252" s="334" t="n"/>
      <c r="E252" s="334" t="n"/>
      <c r="F252" s="334" t="n"/>
      <c r="G252" s="334" t="n"/>
      <c r="H252" s="334" t="n"/>
      <c r="I252" s="334" t="n"/>
      <c r="J252" s="334" t="n"/>
      <c r="K252" s="334" t="n"/>
      <c r="L252" s="334" t="n"/>
      <c r="M252" s="334" t="n"/>
      <c r="N252" s="339" t="n"/>
      <c r="O252" s="368" t="n"/>
      <c r="P252" s="334" t="n"/>
    </row>
    <row r="253">
      <c r="A253" s="334" t="n"/>
      <c r="B253" s="334" t="n"/>
      <c r="C253" s="334" t="n"/>
      <c r="D253" s="334" t="n"/>
      <c r="E253" s="334" t="n"/>
      <c r="F253" s="334" t="n"/>
      <c r="G253" s="334" t="n"/>
      <c r="H253" s="334" t="n"/>
      <c r="I253" s="334" t="n"/>
      <c r="J253" s="334" t="n"/>
      <c r="K253" s="334" t="n"/>
      <c r="L253" s="334" t="n"/>
      <c r="M253" s="334" t="n"/>
      <c r="N253" s="339" t="n"/>
      <c r="O253" s="368" t="n"/>
      <c r="P253" s="334" t="n"/>
    </row>
    <row r="254">
      <c r="A254" s="334" t="n"/>
      <c r="B254" s="334" t="n"/>
      <c r="C254" s="334" t="n"/>
      <c r="D254" s="334" t="n"/>
      <c r="E254" s="334" t="n"/>
      <c r="F254" s="334" t="n"/>
      <c r="G254" s="334" t="n"/>
      <c r="H254" s="334" t="n"/>
      <c r="I254" s="334" t="n"/>
      <c r="J254" s="334" t="n"/>
      <c r="K254" s="334" t="n"/>
      <c r="L254" s="334" t="n"/>
      <c r="M254" s="334" t="n"/>
      <c r="N254" s="339" t="n"/>
      <c r="O254" s="368" t="n"/>
      <c r="P254" s="334" t="n"/>
    </row>
    <row r="255">
      <c r="A255" s="334">
        <f>IFERROR(__xludf.DUMMYFUNCTION("""COMPUTED_VALUE"""),"▼原画強化アイテム")</f>
        <v/>
      </c>
      <c r="B255" s="334" t="n"/>
      <c r="C255" s="334" t="n"/>
      <c r="D255" s="334" t="n"/>
      <c r="E255" s="334" t="n"/>
      <c r="F255" s="334" t="n"/>
      <c r="G255" s="334" t="n"/>
      <c r="H255" s="334" t="n"/>
      <c r="I255" s="334" t="n"/>
      <c r="J255" s="334" t="n"/>
      <c r="K255" s="334" t="n"/>
      <c r="L255" s="334" t="n"/>
      <c r="M255" s="334" t="n"/>
      <c r="N255" s="339" t="n"/>
      <c r="O255" s="368" t="n"/>
      <c r="P255" s="334" t="n"/>
    </row>
    <row r="256">
      <c r="A256" s="334">
        <f>IFERROR(__xludf.DUMMYFUNCTION("""COMPUTED_VALUE"""),"glo")</f>
        <v/>
      </c>
      <c r="B256" s="334">
        <f>IFERROR(__xludf.DUMMYFUNCTION("""COMPUTED_VALUE"""),"GLOW")</f>
        <v/>
      </c>
      <c r="C256" s="334">
        <f>IFERROR(__xludf.DUMMYFUNCTION("""COMPUTED_VALUE"""),"artwork_enhance")</f>
        <v/>
      </c>
      <c r="D256" s="408">
        <f>IFERROR(__xludf.DUMMYFUNCTION("""COMPUTED_VALUE"""),"00001")</f>
        <v/>
      </c>
      <c r="E256" s="334">
        <f>IFERROR(__xludf.DUMMYFUNCTION("""COMPUTED_VALUE"""),"artwork_enhance_glo_00001")</f>
        <v/>
      </c>
      <c r="F256" s="334">
        <f>IFERROR(__xludf.DUMMYFUNCTION("""COMPUTED_VALUE"""),"artwork_enhance_glo_00001")</f>
        <v/>
      </c>
      <c r="G256" s="334">
        <f>IFERROR(__xludf.DUMMYFUNCTION("""COMPUTED_VALUE"""),"item_icon_artwork_enhance_glo_00001")</f>
        <v/>
      </c>
      <c r="H256" s="334">
        <f>IFERROR(__xludf.DUMMYFUNCTION("""COMPUTED_VALUE"""),"普通の原稿用紙")</f>
        <v/>
      </c>
      <c r="I256" s="334">
        <f>IFERROR(__xludf.DUMMYFUNCTION("""COMPUTED_VALUE"""),"R")</f>
        <v/>
      </c>
      <c r="J256" s="409">
        <f>IFERROR(__xludf.DUMMYFUNCTION("""COMPUTED_VALUE"""),9.99999999E8)</f>
        <v/>
      </c>
      <c r="K256" s="409">
        <f>IFERROR(__xludf.DUMMYFUNCTION("""COMPUTED_VALUE"""),9.99999999E8)</f>
        <v/>
      </c>
      <c r="L256" s="334">
        <f>IFERROR(__xludf.DUMMYFUNCTION("""COMPUTED_VALUE""")," 原画のグレードアップに使用するアイテム")</f>
        <v/>
      </c>
      <c r="M256" s="334" t="n"/>
      <c r="N256" s="410">
        <f>IFERROR(__xludf.DUMMYFUNCTION("""COMPUTED_VALUE"""),"2026-03-16 15:00:00")</f>
        <v/>
      </c>
      <c r="O256" s="368" t="n"/>
      <c r="P256" s="334" t="n"/>
    </row>
    <row r="257">
      <c r="A257" s="334">
        <f>IFERROR(__xludf.DUMMYFUNCTION("""COMPUTED_VALUE"""),"glo")</f>
        <v/>
      </c>
      <c r="B257" s="334">
        <f>IFERROR(__xludf.DUMMYFUNCTION("""COMPUTED_VALUE"""),"GLOW")</f>
        <v/>
      </c>
      <c r="C257" s="334">
        <f>IFERROR(__xludf.DUMMYFUNCTION("""COMPUTED_VALUE"""),"artwork_enhance")</f>
        <v/>
      </c>
      <c r="D257" s="408">
        <f>IFERROR(__xludf.DUMMYFUNCTION("""COMPUTED_VALUE"""),"00002")</f>
        <v/>
      </c>
      <c r="E257" s="334">
        <f>IFERROR(__xludf.DUMMYFUNCTION("""COMPUTED_VALUE"""),"artwork_enhance_glo_00002")</f>
        <v/>
      </c>
      <c r="F257" s="334">
        <f>IFERROR(__xludf.DUMMYFUNCTION("""COMPUTED_VALUE"""),"artwork_enhance_glo_00002")</f>
        <v/>
      </c>
      <c r="G257" s="334">
        <f>IFERROR(__xludf.DUMMYFUNCTION("""COMPUTED_VALUE"""),"item_icon_artwork_enhance_glo_00002")</f>
        <v/>
      </c>
      <c r="H257" s="334">
        <f>IFERROR(__xludf.DUMMYFUNCTION("""COMPUTED_VALUE"""),"魂のインク")</f>
        <v/>
      </c>
      <c r="I257" s="334">
        <f>IFERROR(__xludf.DUMMYFUNCTION("""COMPUTED_VALUE"""),"SR")</f>
        <v/>
      </c>
      <c r="J257" s="409">
        <f>IFERROR(__xludf.DUMMYFUNCTION("""COMPUTED_VALUE"""),9.99999999E8)</f>
        <v/>
      </c>
      <c r="K257" s="409">
        <f>IFERROR(__xludf.DUMMYFUNCTION("""COMPUTED_VALUE"""),9.99999999E8)</f>
        <v/>
      </c>
      <c r="L257" s="334">
        <f>IFERROR(__xludf.DUMMYFUNCTION("""COMPUTED_VALUE""")," 原画のグレードアップに使用するアイテム")</f>
        <v/>
      </c>
      <c r="M257" s="334" t="n"/>
      <c r="N257" s="410">
        <f>IFERROR(__xludf.DUMMYFUNCTION("""COMPUTED_VALUE"""),"2026-03-16 15:00:00")</f>
        <v/>
      </c>
      <c r="O257" s="368" t="n"/>
      <c r="P257" s="334" t="n"/>
    </row>
    <row r="258">
      <c r="A258" s="334">
        <f>IFERROR(__xludf.DUMMYFUNCTION("""COMPUTED_VALUE"""),"glo")</f>
        <v/>
      </c>
      <c r="B258" s="334">
        <f>IFERROR(__xludf.DUMMYFUNCTION("""COMPUTED_VALUE"""),"GLOW")</f>
        <v/>
      </c>
      <c r="C258" s="334">
        <f>IFERROR(__xludf.DUMMYFUNCTION("""COMPUTED_VALUE"""),"artwork_enhance")</f>
        <v/>
      </c>
      <c r="D258" s="408">
        <f>IFERROR(__xludf.DUMMYFUNCTION("""COMPUTED_VALUE"""),"00003")</f>
        <v/>
      </c>
      <c r="E258" s="334">
        <f>IFERROR(__xludf.DUMMYFUNCTION("""COMPUTED_VALUE"""),"artwork_enhance_glo_00003")</f>
        <v/>
      </c>
      <c r="F258" s="334">
        <f>IFERROR(__xludf.DUMMYFUNCTION("""COMPUTED_VALUE"""),"artwork_enhance_glo_00003")</f>
        <v/>
      </c>
      <c r="G258" s="334">
        <f>IFERROR(__xludf.DUMMYFUNCTION("""COMPUTED_VALUE"""),"item_icon_artwork_enhance_glo_00003")</f>
        <v/>
      </c>
      <c r="H258" s="334">
        <f>IFERROR(__xludf.DUMMYFUNCTION("""COMPUTED_VALUE"""),"伝説のペン")</f>
        <v/>
      </c>
      <c r="I258" s="334">
        <f>IFERROR(__xludf.DUMMYFUNCTION("""COMPUTED_VALUE"""),"SSR")</f>
        <v/>
      </c>
      <c r="J258" s="409">
        <f>IFERROR(__xludf.DUMMYFUNCTION("""COMPUTED_VALUE"""),9.99999999E8)</f>
        <v/>
      </c>
      <c r="K258" s="409">
        <f>IFERROR(__xludf.DUMMYFUNCTION("""COMPUTED_VALUE"""),9.99999999E8)</f>
        <v/>
      </c>
      <c r="L258" s="334">
        <f>IFERROR(__xludf.DUMMYFUNCTION("""COMPUTED_VALUE""")," 原画のグレードアップに使用するアイテム")</f>
        <v/>
      </c>
      <c r="M258" s="334" t="n"/>
      <c r="N258" s="410">
        <f>IFERROR(__xludf.DUMMYFUNCTION("""COMPUTED_VALUE"""),"2026-03-16 15:00:00")</f>
        <v/>
      </c>
      <c r="O258" s="368" t="n"/>
      <c r="P258" s="334" t="n"/>
    </row>
    <row r="259">
      <c r="A259" s="334">
        <f>IFERROR(__xludf.DUMMYFUNCTION("""COMPUTED_VALUE"""),"spy")</f>
        <v/>
      </c>
      <c r="B259" s="334">
        <f>IFERROR(__xludf.DUMMYFUNCTION("""COMPUTED_VALUE"""),"SPY×FAMILY")</f>
        <v/>
      </c>
      <c r="C259" s="334">
        <f>IFERROR(__xludf.DUMMYFUNCTION("""COMPUTED_VALUE"""),"artwork_enhance")</f>
        <v/>
      </c>
      <c r="D259" s="408">
        <f>IFERROR(__xludf.DUMMYFUNCTION("""COMPUTED_VALUE"""),"00001")</f>
        <v/>
      </c>
      <c r="E259" s="334">
        <f>IFERROR(__xludf.DUMMYFUNCTION("""COMPUTED_VALUE"""),"artwork_enhance_spy_00001")</f>
        <v/>
      </c>
      <c r="F259" s="334">
        <f>IFERROR(__xludf.DUMMYFUNCTION("""COMPUTED_VALUE"""),"artwork_enhance_spy_00001")</f>
        <v/>
      </c>
      <c r="G259" s="334">
        <f>IFERROR(__xludf.DUMMYFUNCTION("""COMPUTED_VALUE"""),"item_icon_artwork_enhance_spy_00001")</f>
        <v/>
      </c>
      <c r="H259" s="334">
        <f>IFERROR(__xludf.DUMMYFUNCTION("""COMPUTED_VALUE"""),"『SPY×FAMILY』の表紙")</f>
        <v/>
      </c>
      <c r="I259" s="334">
        <f>IFERROR(__xludf.DUMMYFUNCTION("""COMPUTED_VALUE"""),"UR")</f>
        <v/>
      </c>
      <c r="J259" s="409">
        <f>IFERROR(__xludf.DUMMYFUNCTION("""COMPUTED_VALUE"""),9.99999999E8)</f>
        <v/>
      </c>
      <c r="K259" s="409">
        <f>IFERROR(__xludf.DUMMYFUNCTION("""COMPUTED_VALUE"""),9.99999999E8)</f>
        <v/>
      </c>
      <c r="L259" s="334">
        <f>IFERROR(__xludf.DUMMYFUNCTION("""COMPUTED_VALUE"""),"「SPY×FAMILY」の原画のグレードアップに使用するアイテム")</f>
        <v/>
      </c>
      <c r="M259" s="334" t="n"/>
      <c r="N259" s="410">
        <f>IFERROR(__xludf.DUMMYFUNCTION("""COMPUTED_VALUE"""),"2026-03-16 15:00:00")</f>
        <v/>
      </c>
      <c r="O259" s="368" t="n"/>
      <c r="P259" s="334" t="n"/>
    </row>
    <row r="260">
      <c r="A260" s="334">
        <f>IFERROR(__xludf.DUMMYFUNCTION("""COMPUTED_VALUE"""),"aka")</f>
        <v/>
      </c>
      <c r="B260" s="334">
        <f>IFERROR(__xludf.DUMMYFUNCTION("""COMPUTED_VALUE"""),"ラーメン赤猫")</f>
        <v/>
      </c>
      <c r="C260" s="334">
        <f>IFERROR(__xludf.DUMMYFUNCTION("""COMPUTED_VALUE"""),"artwork_enhance")</f>
        <v/>
      </c>
      <c r="D260" s="408">
        <f>IFERROR(__xludf.DUMMYFUNCTION("""COMPUTED_VALUE"""),"00001")</f>
        <v/>
      </c>
      <c r="E260" s="334">
        <f>IFERROR(__xludf.DUMMYFUNCTION("""COMPUTED_VALUE"""),"artwork_enhance_aka_00001")</f>
        <v/>
      </c>
      <c r="F260" s="334">
        <f>IFERROR(__xludf.DUMMYFUNCTION("""COMPUTED_VALUE"""),"artwork_enhance_aka_00001")</f>
        <v/>
      </c>
      <c r="G260" s="334">
        <f>IFERROR(__xludf.DUMMYFUNCTION("""COMPUTED_VALUE"""),"item_icon_artwork_enhance_aka_00001")</f>
        <v/>
      </c>
      <c r="H260" s="334">
        <f>IFERROR(__xludf.DUMMYFUNCTION("""COMPUTED_VALUE"""),"『ラーメン赤猫』の表紙")</f>
        <v/>
      </c>
      <c r="I260" s="334">
        <f>IFERROR(__xludf.DUMMYFUNCTION("""COMPUTED_VALUE"""),"UR")</f>
        <v/>
      </c>
      <c r="J260" s="409">
        <f>IFERROR(__xludf.DUMMYFUNCTION("""COMPUTED_VALUE"""),9.99999999E8)</f>
        <v/>
      </c>
      <c r="K260" s="409">
        <f>IFERROR(__xludf.DUMMYFUNCTION("""COMPUTED_VALUE"""),9.99999999E8)</f>
        <v/>
      </c>
      <c r="L260" s="334">
        <f>IFERROR(__xludf.DUMMYFUNCTION("""COMPUTED_VALUE"""),"「ラーメン赤猫」の原画のグレードアップに使用するアイテム")</f>
        <v/>
      </c>
      <c r="M260" s="334" t="n"/>
      <c r="N260" s="339" t="n"/>
      <c r="O260" s="368" t="n"/>
      <c r="P260" s="334" t="n"/>
    </row>
    <row r="261">
      <c r="A261" s="334">
        <f>IFERROR(__xludf.DUMMYFUNCTION("""COMPUTED_VALUE"""),"rik")</f>
        <v/>
      </c>
      <c r="B261" s="334">
        <f>IFERROR(__xludf.DUMMYFUNCTION("""COMPUTED_VALUE"""),"トマトイプーのリコピン")</f>
        <v/>
      </c>
      <c r="C261" s="334">
        <f>IFERROR(__xludf.DUMMYFUNCTION("""COMPUTED_VALUE"""),"artwork_enhance")</f>
        <v/>
      </c>
      <c r="D261" s="408">
        <f>IFERROR(__xludf.DUMMYFUNCTION("""COMPUTED_VALUE"""),"00001")</f>
        <v/>
      </c>
      <c r="E261" s="334">
        <f>IFERROR(__xludf.DUMMYFUNCTION("""COMPUTED_VALUE"""),"artwork_enhance_rik_00001")</f>
        <v/>
      </c>
      <c r="F261" s="334">
        <f>IFERROR(__xludf.DUMMYFUNCTION("""COMPUTED_VALUE"""),"artwork_enhance_rik_00001")</f>
        <v/>
      </c>
      <c r="G261" s="334">
        <f>IFERROR(__xludf.DUMMYFUNCTION("""COMPUTED_VALUE"""),"item_icon_artwork_enhance_rik_00001")</f>
        <v/>
      </c>
      <c r="H261" s="334">
        <f>IFERROR(__xludf.DUMMYFUNCTION("""COMPUTED_VALUE"""),"『トマトイプーのリコピン』の表紙")</f>
        <v/>
      </c>
      <c r="I261" s="334">
        <f>IFERROR(__xludf.DUMMYFUNCTION("""COMPUTED_VALUE"""),"UR")</f>
        <v/>
      </c>
      <c r="J261" s="409">
        <f>IFERROR(__xludf.DUMMYFUNCTION("""COMPUTED_VALUE"""),9.99999999E8)</f>
        <v/>
      </c>
      <c r="K261" s="409">
        <f>IFERROR(__xludf.DUMMYFUNCTION("""COMPUTED_VALUE"""),9.99999999E8)</f>
        <v/>
      </c>
      <c r="L261" s="334">
        <f>IFERROR(__xludf.DUMMYFUNCTION("""COMPUTED_VALUE"""),"「トマトイプーのリコピン」の原画のグレードアップに使用するアイテム")</f>
        <v/>
      </c>
      <c r="M261" s="334" t="n"/>
      <c r="N261" s="339" t="n"/>
      <c r="O261" s="368" t="n"/>
      <c r="P261" s="334" t="n"/>
    </row>
    <row r="262">
      <c r="A262" s="334">
        <f>IFERROR(__xludf.DUMMYFUNCTION("""COMPUTED_VALUE"""),"dan")</f>
        <v/>
      </c>
      <c r="B262" s="334">
        <f>IFERROR(__xludf.DUMMYFUNCTION("""COMPUTED_VALUE"""),"ダンダダン")</f>
        <v/>
      </c>
      <c r="C262" s="334">
        <f>IFERROR(__xludf.DUMMYFUNCTION("""COMPUTED_VALUE"""),"artwork_enhance")</f>
        <v/>
      </c>
      <c r="D262" s="408">
        <f>IFERROR(__xludf.DUMMYFUNCTION("""COMPUTED_VALUE"""),"00001")</f>
        <v/>
      </c>
      <c r="E262" s="334">
        <f>IFERROR(__xludf.DUMMYFUNCTION("""COMPUTED_VALUE"""),"artwork_enhance_dan_00001")</f>
        <v/>
      </c>
      <c r="F262" s="334">
        <f>IFERROR(__xludf.DUMMYFUNCTION("""COMPUTED_VALUE"""),"artwork_enhance_dan_00001")</f>
        <v/>
      </c>
      <c r="G262" s="334">
        <f>IFERROR(__xludf.DUMMYFUNCTION("""COMPUTED_VALUE"""),"item_icon_artwork_enhance_dan_00001")</f>
        <v/>
      </c>
      <c r="H262" s="334">
        <f>IFERROR(__xludf.DUMMYFUNCTION("""COMPUTED_VALUE"""),"『ダンダダン』の表紙")</f>
        <v/>
      </c>
      <c r="I262" s="334">
        <f>IFERROR(__xludf.DUMMYFUNCTION("""COMPUTED_VALUE"""),"UR")</f>
        <v/>
      </c>
      <c r="J262" s="409">
        <f>IFERROR(__xludf.DUMMYFUNCTION("""COMPUTED_VALUE"""),9.99999999E8)</f>
        <v/>
      </c>
      <c r="K262" s="409">
        <f>IFERROR(__xludf.DUMMYFUNCTION("""COMPUTED_VALUE"""),9.99999999E8)</f>
        <v/>
      </c>
      <c r="L262" s="334">
        <f>IFERROR(__xludf.DUMMYFUNCTION("""COMPUTED_VALUE"""),"「ダンダダン」の原画のグレードアップに使用するアイテム")</f>
        <v/>
      </c>
      <c r="M262" s="334" t="n"/>
      <c r="N262" s="410">
        <f>IFERROR(__xludf.DUMMYFUNCTION("""COMPUTED_VALUE"""),"2026-03-16 15:00:00")</f>
        <v/>
      </c>
      <c r="O262" s="368" t="n"/>
      <c r="P262" s="334" t="n"/>
    </row>
    <row r="263">
      <c r="A263" s="334">
        <f>IFERROR(__xludf.DUMMYFUNCTION("""COMPUTED_VALUE"""),"gom")</f>
        <v/>
      </c>
      <c r="B263" s="334">
        <f>IFERROR(__xludf.DUMMYFUNCTION("""COMPUTED_VALUE"""),"姫様“拷問”の時間です")</f>
        <v/>
      </c>
      <c r="C263" s="334">
        <f>IFERROR(__xludf.DUMMYFUNCTION("""COMPUTED_VALUE"""),"artwork_enhance")</f>
        <v/>
      </c>
      <c r="D263" s="408">
        <f>IFERROR(__xludf.DUMMYFUNCTION("""COMPUTED_VALUE"""),"00001")</f>
        <v/>
      </c>
      <c r="E263" s="334">
        <f>IFERROR(__xludf.DUMMYFUNCTION("""COMPUTED_VALUE"""),"artwork_enhance_gom_00001")</f>
        <v/>
      </c>
      <c r="F263" s="334">
        <f>IFERROR(__xludf.DUMMYFUNCTION("""COMPUTED_VALUE"""),"artwork_enhance_gom_00001")</f>
        <v/>
      </c>
      <c r="G263" s="334">
        <f>IFERROR(__xludf.DUMMYFUNCTION("""COMPUTED_VALUE"""),"item_icon_artwork_enhance_gom_00001")</f>
        <v/>
      </c>
      <c r="H263" s="334">
        <f>IFERROR(__xludf.DUMMYFUNCTION("""COMPUTED_VALUE"""),"『姫様“拷問”の時間です』の表紙")</f>
        <v/>
      </c>
      <c r="I263" s="334">
        <f>IFERROR(__xludf.DUMMYFUNCTION("""COMPUTED_VALUE"""),"UR")</f>
        <v/>
      </c>
      <c r="J263" s="409">
        <f>IFERROR(__xludf.DUMMYFUNCTION("""COMPUTED_VALUE"""),9.99999999E8)</f>
        <v/>
      </c>
      <c r="K263" s="409">
        <f>IFERROR(__xludf.DUMMYFUNCTION("""COMPUTED_VALUE"""),9.99999999E8)</f>
        <v/>
      </c>
      <c r="L263" s="334">
        <f>IFERROR(__xludf.DUMMYFUNCTION("""COMPUTED_VALUE"""),"「姫様“拷問”の時間です」の原画のグレードアップに使用するアイテム")</f>
        <v/>
      </c>
      <c r="M263" s="334" t="n"/>
      <c r="N263" s="410">
        <f>IFERROR(__xludf.DUMMYFUNCTION("""COMPUTED_VALUE"""),"2026-03-16 15:00:00")</f>
        <v/>
      </c>
      <c r="O263" s="368" t="n"/>
      <c r="P263" s="334" t="n"/>
    </row>
    <row r="264">
      <c r="A264" s="334">
        <f>IFERROR(__xludf.DUMMYFUNCTION("""COMPUTED_VALUE"""),"chi")</f>
        <v/>
      </c>
      <c r="B264" s="334">
        <f>IFERROR(__xludf.DUMMYFUNCTION("""COMPUTED_VALUE"""),"チェンソーマン")</f>
        <v/>
      </c>
      <c r="C264" s="334">
        <f>IFERROR(__xludf.DUMMYFUNCTION("""COMPUTED_VALUE"""),"artwork_enhance")</f>
        <v/>
      </c>
      <c r="D264" s="408">
        <f>IFERROR(__xludf.DUMMYFUNCTION("""COMPUTED_VALUE"""),"00001")</f>
        <v/>
      </c>
      <c r="E264" s="334">
        <f>IFERROR(__xludf.DUMMYFUNCTION("""COMPUTED_VALUE"""),"artwork_enhance_chi_00001")</f>
        <v/>
      </c>
      <c r="F264" s="334">
        <f>IFERROR(__xludf.DUMMYFUNCTION("""COMPUTED_VALUE"""),"artwork_enhance_chi_00001")</f>
        <v/>
      </c>
      <c r="G264" s="334">
        <f>IFERROR(__xludf.DUMMYFUNCTION("""COMPUTED_VALUE"""),"item_icon_artwork_enhance_chi_00001")</f>
        <v/>
      </c>
      <c r="H264" s="334">
        <f>IFERROR(__xludf.DUMMYFUNCTION("""COMPUTED_VALUE"""),"『チェンソーマン』の表紙")</f>
        <v/>
      </c>
      <c r="I264" s="334">
        <f>IFERROR(__xludf.DUMMYFUNCTION("""COMPUTED_VALUE"""),"UR")</f>
        <v/>
      </c>
      <c r="J264" s="409">
        <f>IFERROR(__xludf.DUMMYFUNCTION("""COMPUTED_VALUE"""),9.99999999E8)</f>
        <v/>
      </c>
      <c r="K264" s="409">
        <f>IFERROR(__xludf.DUMMYFUNCTION("""COMPUTED_VALUE"""),9.99999999E8)</f>
        <v/>
      </c>
      <c r="L264" s="334">
        <f>IFERROR(__xludf.DUMMYFUNCTION("""COMPUTED_VALUE"""),"「チェンソーマン」の原画のグレードアップに使用するアイテム")</f>
        <v/>
      </c>
      <c r="M264" s="334" t="n"/>
      <c r="N264" s="410">
        <f>IFERROR(__xludf.DUMMYFUNCTION("""COMPUTED_VALUE"""),"2026-03-16 15:00:00")</f>
        <v/>
      </c>
      <c r="O264" s="368" t="n"/>
      <c r="P264" s="334" t="n"/>
    </row>
    <row r="265">
      <c r="A265" s="334">
        <f>IFERROR(__xludf.DUMMYFUNCTION("""COMPUTED_VALUE"""),"chi2")</f>
        <v/>
      </c>
      <c r="B265" s="334">
        <f>IFERROR(__xludf.DUMMYFUNCTION("""COMPUTED_VALUE"""),"チェンソーマン 第二部")</f>
        <v/>
      </c>
      <c r="C265" s="334">
        <f>IFERROR(__xludf.DUMMYFUNCTION("""COMPUTED_VALUE"""),"artwork_enhance")</f>
        <v/>
      </c>
      <c r="D265" s="408">
        <f>IFERROR(__xludf.DUMMYFUNCTION("""COMPUTED_VALUE"""),"00001")</f>
        <v/>
      </c>
      <c r="E265" s="334">
        <f>IFERROR(__xludf.DUMMYFUNCTION("""COMPUTED_VALUE"""),"artwork_enhance_chi2_00001")</f>
        <v/>
      </c>
      <c r="F265" s="334">
        <f>IFERROR(__xludf.DUMMYFUNCTION("""COMPUTED_VALUE"""),"artwork_enhance_chi2_00001")</f>
        <v/>
      </c>
      <c r="G265" s="334">
        <f>IFERROR(__xludf.DUMMYFUNCTION("""COMPUTED_VALUE"""),"item_icon_artwork_enhance_chi2_00001")</f>
        <v/>
      </c>
      <c r="H265" s="334">
        <f>IFERROR(__xludf.DUMMYFUNCTION("""COMPUTED_VALUE"""),"『チェンソーマン 第二部』の表紙")</f>
        <v/>
      </c>
      <c r="I265" s="334">
        <f>IFERROR(__xludf.DUMMYFUNCTION("""COMPUTED_VALUE"""),"UR")</f>
        <v/>
      </c>
      <c r="J265" s="409">
        <f>IFERROR(__xludf.DUMMYFUNCTION("""COMPUTED_VALUE"""),9.99999999E8)</f>
        <v/>
      </c>
      <c r="K265" s="409">
        <f>IFERROR(__xludf.DUMMYFUNCTION("""COMPUTED_VALUE"""),9.99999999E8)</f>
        <v/>
      </c>
      <c r="L265" s="334">
        <f>IFERROR(__xludf.DUMMYFUNCTION("""COMPUTED_VALUE"""),"「チェンソーマン 第二部」の原画のグレードアップに使用するアイテム")</f>
        <v/>
      </c>
      <c r="M265" s="334" t="n"/>
      <c r="N265" s="339" t="n"/>
      <c r="O265" s="368" t="n"/>
      <c r="P265" s="334" t="n"/>
    </row>
    <row r="266">
      <c r="A266" s="334">
        <f>IFERROR(__xludf.DUMMYFUNCTION("""COMPUTED_VALUE"""),"mag")</f>
        <v/>
      </c>
      <c r="B266" s="334">
        <f>IFERROR(__xludf.DUMMYFUNCTION("""COMPUTED_VALUE"""),"株式会社マジルミエ")</f>
        <v/>
      </c>
      <c r="C266" s="334">
        <f>IFERROR(__xludf.DUMMYFUNCTION("""COMPUTED_VALUE"""),"artwork_enhance")</f>
        <v/>
      </c>
      <c r="D266" s="408">
        <f>IFERROR(__xludf.DUMMYFUNCTION("""COMPUTED_VALUE"""),"00001")</f>
        <v/>
      </c>
      <c r="E266" s="334">
        <f>IFERROR(__xludf.DUMMYFUNCTION("""COMPUTED_VALUE"""),"artwork_enhance_mag_00001")</f>
        <v/>
      </c>
      <c r="F266" s="334">
        <f>IFERROR(__xludf.DUMMYFUNCTION("""COMPUTED_VALUE"""),"artwork_enhance_mag_00001")</f>
        <v/>
      </c>
      <c r="G266" s="334">
        <f>IFERROR(__xludf.DUMMYFUNCTION("""COMPUTED_VALUE"""),"item_icon_artwork_enhance_mag_00001")</f>
        <v/>
      </c>
      <c r="H266" s="334">
        <f>IFERROR(__xludf.DUMMYFUNCTION("""COMPUTED_VALUE"""),"『株式会社マジルミエ』の表紙")</f>
        <v/>
      </c>
      <c r="I266" s="334">
        <f>IFERROR(__xludf.DUMMYFUNCTION("""COMPUTED_VALUE"""),"UR")</f>
        <v/>
      </c>
      <c r="J266" s="409">
        <f>IFERROR(__xludf.DUMMYFUNCTION("""COMPUTED_VALUE"""),9.99999999E8)</f>
        <v/>
      </c>
      <c r="K266" s="409">
        <f>IFERROR(__xludf.DUMMYFUNCTION("""COMPUTED_VALUE"""),9.99999999E8)</f>
        <v/>
      </c>
      <c r="L266" s="334">
        <f>IFERROR(__xludf.DUMMYFUNCTION("""COMPUTED_VALUE"""),"「株式会社マジルミエ」の原画のグレードアップに使用するアイテム")</f>
        <v/>
      </c>
      <c r="M266" s="334" t="n"/>
      <c r="N266" s="410">
        <f>IFERROR(__xludf.DUMMYFUNCTION("""COMPUTED_VALUE"""),"2026-03-16 15:00:00")</f>
        <v/>
      </c>
      <c r="O266" s="368" t="n"/>
      <c r="P266" s="334" t="n"/>
    </row>
    <row r="267">
      <c r="A267" s="334">
        <f>IFERROR(__xludf.DUMMYFUNCTION("""COMPUTED_VALUE"""),"dos")</f>
        <v/>
      </c>
      <c r="B267" s="334">
        <f>IFERROR(__xludf.DUMMYFUNCTION("""COMPUTED_VALUE"""),"道産子ギャルはなまらめんこい")</f>
        <v/>
      </c>
      <c r="C267" s="334">
        <f>IFERROR(__xludf.DUMMYFUNCTION("""COMPUTED_VALUE"""),"artwork_enhance")</f>
        <v/>
      </c>
      <c r="D267" s="408">
        <f>IFERROR(__xludf.DUMMYFUNCTION("""COMPUTED_VALUE"""),"00001")</f>
        <v/>
      </c>
      <c r="E267" s="334">
        <f>IFERROR(__xludf.DUMMYFUNCTION("""COMPUTED_VALUE"""),"artwork_enhance_dos_00001")</f>
        <v/>
      </c>
      <c r="F267" s="334">
        <f>IFERROR(__xludf.DUMMYFUNCTION("""COMPUTED_VALUE"""),"artwork_enhance_dos_00001")</f>
        <v/>
      </c>
      <c r="G267" s="334">
        <f>IFERROR(__xludf.DUMMYFUNCTION("""COMPUTED_VALUE"""),"item_icon_artwork_enhance_dos_00001")</f>
        <v/>
      </c>
      <c r="H267" s="334">
        <f>IFERROR(__xludf.DUMMYFUNCTION("""COMPUTED_VALUE"""),"『道産子ギャル』の表紙")</f>
        <v/>
      </c>
      <c r="I267" s="334">
        <f>IFERROR(__xludf.DUMMYFUNCTION("""COMPUTED_VALUE"""),"UR")</f>
        <v/>
      </c>
      <c r="J267" s="409">
        <f>IFERROR(__xludf.DUMMYFUNCTION("""COMPUTED_VALUE"""),9.99999999E8)</f>
        <v/>
      </c>
      <c r="K267" s="409">
        <f>IFERROR(__xludf.DUMMYFUNCTION("""COMPUTED_VALUE"""),9.99999999E8)</f>
        <v/>
      </c>
      <c r="L267" s="334">
        <f>IFERROR(__xludf.DUMMYFUNCTION("""COMPUTED_VALUE"""),"「道産子ギャルはなまらめんこい」の原画のグレードアップに使用するアイテム")</f>
        <v/>
      </c>
      <c r="M267" s="334" t="n"/>
      <c r="N267" s="339" t="n"/>
      <c r="O267" s="368" t="n"/>
      <c r="P267" s="334" t="n"/>
    </row>
    <row r="268">
      <c r="A268" s="334">
        <f>IFERROR(__xludf.DUMMYFUNCTION("""COMPUTED_VALUE"""),"bat")</f>
        <v/>
      </c>
      <c r="B268" s="334">
        <f>IFERROR(__xludf.DUMMYFUNCTION("""COMPUTED_VALUE"""),"忘却バッテリー")</f>
        <v/>
      </c>
      <c r="C268" s="334">
        <f>IFERROR(__xludf.DUMMYFUNCTION("""COMPUTED_VALUE"""),"artwork_enhance")</f>
        <v/>
      </c>
      <c r="D268" s="408">
        <f>IFERROR(__xludf.DUMMYFUNCTION("""COMPUTED_VALUE"""),"00001")</f>
        <v/>
      </c>
      <c r="E268" s="334">
        <f>IFERROR(__xludf.DUMMYFUNCTION("""COMPUTED_VALUE"""),"artwork_enhance_bat_00001")</f>
        <v/>
      </c>
      <c r="F268" s="334">
        <f>IFERROR(__xludf.DUMMYFUNCTION("""COMPUTED_VALUE"""),"artwork_enhance_bat_00001")</f>
        <v/>
      </c>
      <c r="G268" s="334">
        <f>IFERROR(__xludf.DUMMYFUNCTION("""COMPUTED_VALUE"""),"item_icon_artwork_enhance_bat_00001")</f>
        <v/>
      </c>
      <c r="H268" s="334">
        <f>IFERROR(__xludf.DUMMYFUNCTION("""COMPUTED_VALUE"""),"『忘却バッテリー』の表紙")</f>
        <v/>
      </c>
      <c r="I268" s="334">
        <f>IFERROR(__xludf.DUMMYFUNCTION("""COMPUTED_VALUE"""),"UR")</f>
        <v/>
      </c>
      <c r="J268" s="409">
        <f>IFERROR(__xludf.DUMMYFUNCTION("""COMPUTED_VALUE"""),9.99999999E8)</f>
        <v/>
      </c>
      <c r="K268" s="409">
        <f>IFERROR(__xludf.DUMMYFUNCTION("""COMPUTED_VALUE"""),9.99999999E8)</f>
        <v/>
      </c>
      <c r="L268" s="334">
        <f>IFERROR(__xludf.DUMMYFUNCTION("""COMPUTED_VALUE"""),"「忘却バッテリー」の原画のグレードアップに使用するアイテム")</f>
        <v/>
      </c>
      <c r="M268" s="334" t="n"/>
      <c r="N268" s="339" t="n"/>
      <c r="O268" s="368" t="n"/>
      <c r="P268" s="334" t="n"/>
    </row>
    <row r="269">
      <c r="A269" s="334">
        <f>IFERROR(__xludf.DUMMYFUNCTION("""COMPUTED_VALUE"""),"kai")</f>
        <v/>
      </c>
      <c r="B269" s="334">
        <f>IFERROR(__xludf.DUMMYFUNCTION("""COMPUTED_VALUE"""),"怪獣８号")</f>
        <v/>
      </c>
      <c r="C269" s="334">
        <f>IFERROR(__xludf.DUMMYFUNCTION("""COMPUTED_VALUE"""),"artwork_enhance")</f>
        <v/>
      </c>
      <c r="D269" s="408">
        <f>IFERROR(__xludf.DUMMYFUNCTION("""COMPUTED_VALUE"""),"00001")</f>
        <v/>
      </c>
      <c r="E269" s="334">
        <f>IFERROR(__xludf.DUMMYFUNCTION("""COMPUTED_VALUE"""),"artwork_enhance_kai_00001")</f>
        <v/>
      </c>
      <c r="F269" s="334">
        <f>IFERROR(__xludf.DUMMYFUNCTION("""COMPUTED_VALUE"""),"artwork_enhance_kai_00001")</f>
        <v/>
      </c>
      <c r="G269" s="334">
        <f>IFERROR(__xludf.DUMMYFUNCTION("""COMPUTED_VALUE"""),"item_icon_artwork_enhance_kai_00001")</f>
        <v/>
      </c>
      <c r="H269" s="334">
        <f>IFERROR(__xludf.DUMMYFUNCTION("""COMPUTED_VALUE"""),"『怪獣８号』の表紙")</f>
        <v/>
      </c>
      <c r="I269" s="334">
        <f>IFERROR(__xludf.DUMMYFUNCTION("""COMPUTED_VALUE"""),"UR")</f>
        <v/>
      </c>
      <c r="J269" s="409">
        <f>IFERROR(__xludf.DUMMYFUNCTION("""COMPUTED_VALUE"""),9.99999999E8)</f>
        <v/>
      </c>
      <c r="K269" s="409">
        <f>IFERROR(__xludf.DUMMYFUNCTION("""COMPUTED_VALUE"""),9.99999999E8)</f>
        <v/>
      </c>
      <c r="L269" s="334">
        <f>IFERROR(__xludf.DUMMYFUNCTION("""COMPUTED_VALUE"""),"「怪獣８号」の原画のグレードアップに使用するアイテム")</f>
        <v/>
      </c>
      <c r="M269" s="334" t="n"/>
      <c r="N269" s="410">
        <f>IFERROR(__xludf.DUMMYFUNCTION("""COMPUTED_VALUE"""),"2026-03-16 15:00:00")</f>
        <v/>
      </c>
      <c r="O269" s="368" t="n"/>
      <c r="P269" s="334" t="n"/>
    </row>
    <row r="270">
      <c r="A270" s="334">
        <f>IFERROR(__xludf.DUMMYFUNCTION("""COMPUTED_VALUE"""),"yuw")</f>
        <v/>
      </c>
      <c r="B270" s="334">
        <f>IFERROR(__xludf.DUMMYFUNCTION("""COMPUTED_VALUE"""),"2.5次元の誘惑")</f>
        <v/>
      </c>
      <c r="C270" s="334">
        <f>IFERROR(__xludf.DUMMYFUNCTION("""COMPUTED_VALUE"""),"artwork_enhance")</f>
        <v/>
      </c>
      <c r="D270" s="408">
        <f>IFERROR(__xludf.DUMMYFUNCTION("""COMPUTED_VALUE"""),"00001")</f>
        <v/>
      </c>
      <c r="E270" s="334">
        <f>IFERROR(__xludf.DUMMYFUNCTION("""COMPUTED_VALUE"""),"artwork_enhance_yuw_00001")</f>
        <v/>
      </c>
      <c r="F270" s="334">
        <f>IFERROR(__xludf.DUMMYFUNCTION("""COMPUTED_VALUE"""),"artwork_enhance_yuw_00001")</f>
        <v/>
      </c>
      <c r="G270" s="334">
        <f>IFERROR(__xludf.DUMMYFUNCTION("""COMPUTED_VALUE"""),"item_icon_artwork_enhance_yuw_00001")</f>
        <v/>
      </c>
      <c r="H270" s="334">
        <f>IFERROR(__xludf.DUMMYFUNCTION("""COMPUTED_VALUE"""),"『2.5次元の誘惑』の表紙")</f>
        <v/>
      </c>
      <c r="I270" s="334">
        <f>IFERROR(__xludf.DUMMYFUNCTION("""COMPUTED_VALUE"""),"UR")</f>
        <v/>
      </c>
      <c r="J270" s="409">
        <f>IFERROR(__xludf.DUMMYFUNCTION("""COMPUTED_VALUE"""),9.99999999E8)</f>
        <v/>
      </c>
      <c r="K270" s="409">
        <f>IFERROR(__xludf.DUMMYFUNCTION("""COMPUTED_VALUE"""),9.99999999E8)</f>
        <v/>
      </c>
      <c r="L270" s="334">
        <f>IFERROR(__xludf.DUMMYFUNCTION("""COMPUTED_VALUE"""),"「2.5次元の誘惑」の原画のグレードアップに使用するアイテム")</f>
        <v/>
      </c>
      <c r="M270" s="334" t="n"/>
      <c r="N270" s="410">
        <f>IFERROR(__xludf.DUMMYFUNCTION("""COMPUTED_VALUE"""),"2026-03-16 15:00:00")</f>
        <v/>
      </c>
      <c r="O270" s="368" t="n"/>
      <c r="P270" s="334" t="n"/>
    </row>
    <row r="271">
      <c r="A271" s="334">
        <f>IFERROR(__xludf.DUMMYFUNCTION("""COMPUTED_VALUE"""),"sur")</f>
        <v/>
      </c>
      <c r="B271" s="334">
        <f>IFERROR(__xludf.DUMMYFUNCTION("""COMPUTED_VALUE"""),"魔都精兵のスレイブ")</f>
        <v/>
      </c>
      <c r="C271" s="334">
        <f>IFERROR(__xludf.DUMMYFUNCTION("""COMPUTED_VALUE"""),"artwork_enhance")</f>
        <v/>
      </c>
      <c r="D271" s="408">
        <f>IFERROR(__xludf.DUMMYFUNCTION("""COMPUTED_VALUE"""),"00001")</f>
        <v/>
      </c>
      <c r="E271" s="334">
        <f>IFERROR(__xludf.DUMMYFUNCTION("""COMPUTED_VALUE"""),"artwork_enhance_sur_00001")</f>
        <v/>
      </c>
      <c r="F271" s="334">
        <f>IFERROR(__xludf.DUMMYFUNCTION("""COMPUTED_VALUE"""),"artwork_enhance_sur_00001")</f>
        <v/>
      </c>
      <c r="G271" s="334">
        <f>IFERROR(__xludf.DUMMYFUNCTION("""COMPUTED_VALUE"""),"item_icon_artwork_enhance_sur_00001")</f>
        <v/>
      </c>
      <c r="H271" s="334">
        <f>IFERROR(__xludf.DUMMYFUNCTION("""COMPUTED_VALUE"""),"『魔都精兵のスレイブ』の表紙")</f>
        <v/>
      </c>
      <c r="I271" s="334">
        <f>IFERROR(__xludf.DUMMYFUNCTION("""COMPUTED_VALUE"""),"UR")</f>
        <v/>
      </c>
      <c r="J271" s="409">
        <f>IFERROR(__xludf.DUMMYFUNCTION("""COMPUTED_VALUE"""),9.99999999E8)</f>
        <v/>
      </c>
      <c r="K271" s="409">
        <f>IFERROR(__xludf.DUMMYFUNCTION("""COMPUTED_VALUE"""),9.99999999E8)</f>
        <v/>
      </c>
      <c r="L271" s="334">
        <f>IFERROR(__xludf.DUMMYFUNCTION("""COMPUTED_VALUE"""),"「魔都精兵のスレイブ」の原画のグレードアップに使用するアイテム")</f>
        <v/>
      </c>
      <c r="M271" s="334" t="n"/>
      <c r="N271" s="410">
        <f>IFERROR(__xludf.DUMMYFUNCTION("""COMPUTED_VALUE"""),"2026-03-16 15:00:00")</f>
        <v/>
      </c>
      <c r="O271" s="368" t="n"/>
      <c r="P271" s="334" t="n"/>
    </row>
    <row r="272">
      <c r="A272" s="334">
        <f>IFERROR(__xludf.DUMMYFUNCTION("""COMPUTED_VALUE"""),"ron")</f>
        <v/>
      </c>
      <c r="B272" s="334">
        <f>IFERROR(__xludf.DUMMYFUNCTION("""COMPUTED_VALUE"""),"鴨乃橋ロンの禁断推理")</f>
        <v/>
      </c>
      <c r="C272" s="334">
        <f>IFERROR(__xludf.DUMMYFUNCTION("""COMPUTED_VALUE"""),"artwork_enhance")</f>
        <v/>
      </c>
      <c r="D272" s="408">
        <f>IFERROR(__xludf.DUMMYFUNCTION("""COMPUTED_VALUE"""),"00001")</f>
        <v/>
      </c>
      <c r="E272" s="334">
        <f>IFERROR(__xludf.DUMMYFUNCTION("""COMPUTED_VALUE"""),"artwork_enhance_ron_00001")</f>
        <v/>
      </c>
      <c r="F272" s="334">
        <f>IFERROR(__xludf.DUMMYFUNCTION("""COMPUTED_VALUE"""),"artwork_enhance_ron_00001")</f>
        <v/>
      </c>
      <c r="G272" s="334">
        <f>IFERROR(__xludf.DUMMYFUNCTION("""COMPUTED_VALUE"""),"item_icon_artwork_enhance_ron_00001")</f>
        <v/>
      </c>
      <c r="H272" s="334">
        <f>IFERROR(__xludf.DUMMYFUNCTION("""COMPUTED_VALUE"""),"『鴨乃橋ロンの禁断推理』の表紙")</f>
        <v/>
      </c>
      <c r="I272" s="334">
        <f>IFERROR(__xludf.DUMMYFUNCTION("""COMPUTED_VALUE"""),"UR")</f>
        <v/>
      </c>
      <c r="J272" s="409">
        <f>IFERROR(__xludf.DUMMYFUNCTION("""COMPUTED_VALUE"""),9.99999999E8)</f>
        <v/>
      </c>
      <c r="K272" s="409">
        <f>IFERROR(__xludf.DUMMYFUNCTION("""COMPUTED_VALUE"""),9.99999999E8)</f>
        <v/>
      </c>
      <c r="L272" s="334">
        <f>IFERROR(__xludf.DUMMYFUNCTION("""COMPUTED_VALUE"""),"「鴨乃橋ロンの禁断推理」の原画のグレードアップに使用するアイテム")</f>
        <v/>
      </c>
      <c r="M272" s="334" t="n"/>
      <c r="N272" s="339" t="n"/>
      <c r="O272" s="368" t="n"/>
      <c r="P272" s="334" t="n"/>
    </row>
    <row r="273">
      <c r="A273" s="334">
        <f>IFERROR(__xludf.DUMMYFUNCTION("""COMPUTED_VALUE"""),"aha")</f>
        <v/>
      </c>
      <c r="B273" s="334">
        <f>IFERROR(__xludf.DUMMYFUNCTION("""COMPUTED_VALUE"""),"阿波連さんははかれない")</f>
        <v/>
      </c>
      <c r="C273" s="334">
        <f>IFERROR(__xludf.DUMMYFUNCTION("""COMPUTED_VALUE"""),"artwork_enhance")</f>
        <v/>
      </c>
      <c r="D273" s="408">
        <f>IFERROR(__xludf.DUMMYFUNCTION("""COMPUTED_VALUE"""),"00001")</f>
        <v/>
      </c>
      <c r="E273" s="334">
        <f>IFERROR(__xludf.DUMMYFUNCTION("""COMPUTED_VALUE"""),"artwork_enhance_aha_00001")</f>
        <v/>
      </c>
      <c r="F273" s="334">
        <f>IFERROR(__xludf.DUMMYFUNCTION("""COMPUTED_VALUE"""),"artwork_enhance_aha_00001")</f>
        <v/>
      </c>
      <c r="G273" s="334">
        <f>IFERROR(__xludf.DUMMYFUNCTION("""COMPUTED_VALUE"""),"item_icon_artwork_enhance_aha_00001")</f>
        <v/>
      </c>
      <c r="H273" s="334">
        <f>IFERROR(__xludf.DUMMYFUNCTION("""COMPUTED_VALUE"""),"『阿波連さんははかれない』の表紙")</f>
        <v/>
      </c>
      <c r="I273" s="334">
        <f>IFERROR(__xludf.DUMMYFUNCTION("""COMPUTED_VALUE"""),"UR")</f>
        <v/>
      </c>
      <c r="J273" s="409">
        <f>IFERROR(__xludf.DUMMYFUNCTION("""COMPUTED_VALUE"""),9.99999999E8)</f>
        <v/>
      </c>
      <c r="K273" s="409">
        <f>IFERROR(__xludf.DUMMYFUNCTION("""COMPUTED_VALUE"""),9.99999999E8)</f>
        <v/>
      </c>
      <c r="L273" s="334">
        <f>IFERROR(__xludf.DUMMYFUNCTION("""COMPUTED_VALUE"""),"「阿波連さんははかれない」の原画のグレードアップに使用するアイテム")</f>
        <v/>
      </c>
      <c r="M273" s="334" t="n"/>
      <c r="N273" s="339" t="n"/>
      <c r="O273" s="368" t="n"/>
      <c r="P273" s="334" t="n"/>
    </row>
    <row r="274">
      <c r="A274" s="334">
        <f>IFERROR(__xludf.DUMMYFUNCTION("""COMPUTED_VALUE"""),"sum")</f>
        <v/>
      </c>
      <c r="B274" s="334">
        <f>IFERROR(__xludf.DUMMYFUNCTION("""COMPUTED_VALUE"""),"サマータイムレンダ")</f>
        <v/>
      </c>
      <c r="C274" s="334">
        <f>IFERROR(__xludf.DUMMYFUNCTION("""COMPUTED_VALUE"""),"artwork_enhance")</f>
        <v/>
      </c>
      <c r="D274" s="408">
        <f>IFERROR(__xludf.DUMMYFUNCTION("""COMPUTED_VALUE"""),"00001")</f>
        <v/>
      </c>
      <c r="E274" s="334">
        <f>IFERROR(__xludf.DUMMYFUNCTION("""COMPUTED_VALUE"""),"artwork_enhance_sum_00001")</f>
        <v/>
      </c>
      <c r="F274" s="334">
        <f>IFERROR(__xludf.DUMMYFUNCTION("""COMPUTED_VALUE"""),"artwork_enhance_sum_00001")</f>
        <v/>
      </c>
      <c r="G274" s="334">
        <f>IFERROR(__xludf.DUMMYFUNCTION("""COMPUTED_VALUE"""),"item_icon_artwork_enhance_sum_00001")</f>
        <v/>
      </c>
      <c r="H274" s="334">
        <f>IFERROR(__xludf.DUMMYFUNCTION("""COMPUTED_VALUE"""),"『サマータイムレンダ』の表紙")</f>
        <v/>
      </c>
      <c r="I274" s="334">
        <f>IFERROR(__xludf.DUMMYFUNCTION("""COMPUTED_VALUE"""),"UR")</f>
        <v/>
      </c>
      <c r="J274" s="409">
        <f>IFERROR(__xludf.DUMMYFUNCTION("""COMPUTED_VALUE"""),9.99999999E8)</f>
        <v/>
      </c>
      <c r="K274" s="409">
        <f>IFERROR(__xludf.DUMMYFUNCTION("""COMPUTED_VALUE"""),9.99999999E8)</f>
        <v/>
      </c>
      <c r="L274" s="334">
        <f>IFERROR(__xludf.DUMMYFUNCTION("""COMPUTED_VALUE"""),"「サマータイムレンダ」の原画のグレードアップに使用するアイテム")</f>
        <v/>
      </c>
      <c r="M274" s="334" t="n"/>
      <c r="N274" s="410">
        <f>IFERROR(__xludf.DUMMYFUNCTION("""COMPUTED_VALUE"""),"2026-03-16 15:00:00")</f>
        <v/>
      </c>
      <c r="O274" s="368" t="n"/>
      <c r="P274" s="334" t="n"/>
    </row>
    <row r="275">
      <c r="A275" s="334">
        <f>IFERROR(__xludf.DUMMYFUNCTION("""COMPUTED_VALUE"""),"jig")</f>
        <v/>
      </c>
      <c r="B275" s="334">
        <f>IFERROR(__xludf.DUMMYFUNCTION("""COMPUTED_VALUE"""),"地獄楽")</f>
        <v/>
      </c>
      <c r="C275" s="334">
        <f>IFERROR(__xludf.DUMMYFUNCTION("""COMPUTED_VALUE"""),"artwork_enhance")</f>
        <v/>
      </c>
      <c r="D275" s="408">
        <f>IFERROR(__xludf.DUMMYFUNCTION("""COMPUTED_VALUE"""),"00001")</f>
        <v/>
      </c>
      <c r="E275" s="334">
        <f>IFERROR(__xludf.DUMMYFUNCTION("""COMPUTED_VALUE"""),"artwork_enhance_jig_00001")</f>
        <v/>
      </c>
      <c r="F275" s="334">
        <f>IFERROR(__xludf.DUMMYFUNCTION("""COMPUTED_VALUE"""),"artwork_enhance_jig_00001")</f>
        <v/>
      </c>
      <c r="G275" s="334">
        <f>IFERROR(__xludf.DUMMYFUNCTION("""COMPUTED_VALUE"""),"item_icon_artwork_enhance_jig_00001")</f>
        <v/>
      </c>
      <c r="H275" s="334">
        <f>IFERROR(__xludf.DUMMYFUNCTION("""COMPUTED_VALUE"""),"『地獄楽』の表紙")</f>
        <v/>
      </c>
      <c r="I275" s="334">
        <f>IFERROR(__xludf.DUMMYFUNCTION("""COMPUTED_VALUE"""),"UR")</f>
        <v/>
      </c>
      <c r="J275" s="409">
        <f>IFERROR(__xludf.DUMMYFUNCTION("""COMPUTED_VALUE"""),9.99999999E8)</f>
        <v/>
      </c>
      <c r="K275" s="409">
        <f>IFERROR(__xludf.DUMMYFUNCTION("""COMPUTED_VALUE"""),9.99999999E8)</f>
        <v/>
      </c>
      <c r="L275" s="334">
        <f>IFERROR(__xludf.DUMMYFUNCTION("""COMPUTED_VALUE"""),"「地獄楽」の原画のグレードアップに使用するアイテム")</f>
        <v/>
      </c>
      <c r="M275" s="334" t="n"/>
      <c r="N275" s="410">
        <f>IFERROR(__xludf.DUMMYFUNCTION("""COMPUTED_VALUE"""),"2026-03-16 15:00:00")</f>
        <v/>
      </c>
      <c r="O275" s="368" t="n"/>
      <c r="P275" s="334" t="n"/>
    </row>
    <row r="276">
      <c r="A276" s="334">
        <f>IFERROR(__xludf.DUMMYFUNCTION("""COMPUTED_VALUE"""),"tak")</f>
        <v/>
      </c>
      <c r="B276" s="334">
        <f>IFERROR(__xludf.DUMMYFUNCTION("""COMPUTED_VALUE"""),"タコピーの原罪")</f>
        <v/>
      </c>
      <c r="C276" s="334">
        <f>IFERROR(__xludf.DUMMYFUNCTION("""COMPUTED_VALUE"""),"artwork_enhance")</f>
        <v/>
      </c>
      <c r="D276" s="408">
        <f>IFERROR(__xludf.DUMMYFUNCTION("""COMPUTED_VALUE"""),"00001")</f>
        <v/>
      </c>
      <c r="E276" s="334">
        <f>IFERROR(__xludf.DUMMYFUNCTION("""COMPUTED_VALUE"""),"artwork_enhance_tak_00001")</f>
        <v/>
      </c>
      <c r="F276" s="334">
        <f>IFERROR(__xludf.DUMMYFUNCTION("""COMPUTED_VALUE"""),"artwork_enhance_tak_00001")</f>
        <v/>
      </c>
      <c r="G276" s="334">
        <f>IFERROR(__xludf.DUMMYFUNCTION("""COMPUTED_VALUE"""),"item_icon_artwork_enhance_tak_00001")</f>
        <v/>
      </c>
      <c r="H276" s="334">
        <f>IFERROR(__xludf.DUMMYFUNCTION("""COMPUTED_VALUE"""),"『タコピーの原罪』の表紙")</f>
        <v/>
      </c>
      <c r="I276" s="334">
        <f>IFERROR(__xludf.DUMMYFUNCTION("""COMPUTED_VALUE"""),"UR")</f>
        <v/>
      </c>
      <c r="J276" s="409">
        <f>IFERROR(__xludf.DUMMYFUNCTION("""COMPUTED_VALUE"""),9.99999999E8)</f>
        <v/>
      </c>
      <c r="K276" s="409">
        <f>IFERROR(__xludf.DUMMYFUNCTION("""COMPUTED_VALUE"""),9.99999999E8)</f>
        <v/>
      </c>
      <c r="L276" s="334">
        <f>IFERROR(__xludf.DUMMYFUNCTION("""COMPUTED_VALUE"""),"「タコピーの原罪」の原画のグレードアップに使用するアイテム")</f>
        <v/>
      </c>
      <c r="M276" s="334" t="n"/>
      <c r="N276" s="410">
        <f>IFERROR(__xludf.DUMMYFUNCTION("""COMPUTED_VALUE"""),"2026-03-16 15:00:00")</f>
        <v/>
      </c>
      <c r="O276" s="368" t="n"/>
      <c r="P276" s="334" t="n"/>
    </row>
    <row r="277">
      <c r="A277" s="334">
        <f>IFERROR(__xludf.DUMMYFUNCTION("""COMPUTED_VALUE"""),"osh")</f>
        <v/>
      </c>
      <c r="B277" s="334">
        <f>IFERROR(__xludf.DUMMYFUNCTION("""COMPUTED_VALUE"""),"【推しの子】")</f>
        <v/>
      </c>
      <c r="C277" s="334">
        <f>IFERROR(__xludf.DUMMYFUNCTION("""COMPUTED_VALUE"""),"artwork_enhance")</f>
        <v/>
      </c>
      <c r="D277" s="408">
        <f>IFERROR(__xludf.DUMMYFUNCTION("""COMPUTED_VALUE"""),"00001")</f>
        <v/>
      </c>
      <c r="E277" s="334">
        <f>IFERROR(__xludf.DUMMYFUNCTION("""COMPUTED_VALUE"""),"artwork_enhance_osh_00001")</f>
        <v/>
      </c>
      <c r="F277" s="334">
        <f>IFERROR(__xludf.DUMMYFUNCTION("""COMPUTED_VALUE"""),"artwork_enhance_osh_00001")</f>
        <v/>
      </c>
      <c r="G277" s="334">
        <f>IFERROR(__xludf.DUMMYFUNCTION("""COMPUTED_VALUE"""),"item_icon_artwork_enhance_osh_00001")</f>
        <v/>
      </c>
      <c r="H277" s="334">
        <f>IFERROR(__xludf.DUMMYFUNCTION("""COMPUTED_VALUE"""),"『【推しの子】』の表紙")</f>
        <v/>
      </c>
      <c r="I277" s="334">
        <f>IFERROR(__xludf.DUMMYFUNCTION("""COMPUTED_VALUE"""),"UR")</f>
        <v/>
      </c>
      <c r="J277" s="409">
        <f>IFERROR(__xludf.DUMMYFUNCTION("""COMPUTED_VALUE"""),9.99999999E8)</f>
        <v/>
      </c>
      <c r="K277" s="409">
        <f>IFERROR(__xludf.DUMMYFUNCTION("""COMPUTED_VALUE"""),9.99999999E8)</f>
        <v/>
      </c>
      <c r="L277" s="334">
        <f>IFERROR(__xludf.DUMMYFUNCTION("""COMPUTED_VALUE"""),"「【推しの子】」の原画のグレードアップに使用するアイテム")</f>
        <v/>
      </c>
      <c r="M277" s="334" t="n"/>
      <c r="N277" s="410">
        <f>IFERROR(__xludf.DUMMYFUNCTION("""COMPUTED_VALUE"""),"2026-03-16 15:00:00")</f>
        <v/>
      </c>
      <c r="O277" s="368" t="n"/>
      <c r="P277" s="334" t="n"/>
    </row>
    <row r="278">
      <c r="A278" s="334">
        <f>IFERROR(__xludf.DUMMYFUNCTION("""COMPUTED_VALUE"""),"you")</f>
        <v/>
      </c>
      <c r="B278" s="334">
        <f>IFERROR(__xludf.DUMMYFUNCTION("""COMPUTED_VALUE"""),"幼稚園WARS")</f>
        <v/>
      </c>
      <c r="C278" s="334">
        <f>IFERROR(__xludf.DUMMYFUNCTION("""COMPUTED_VALUE"""),"artwork_enhance")</f>
        <v/>
      </c>
      <c r="D278" s="408">
        <f>IFERROR(__xludf.DUMMYFUNCTION("""COMPUTED_VALUE"""),"00001")</f>
        <v/>
      </c>
      <c r="E278" s="334">
        <f>IFERROR(__xludf.DUMMYFUNCTION("""COMPUTED_VALUE"""),"artwork_enhance_you_00001")</f>
        <v/>
      </c>
      <c r="F278" s="334">
        <f>IFERROR(__xludf.DUMMYFUNCTION("""COMPUTED_VALUE"""),"artwork_enhance_you_00001")</f>
        <v/>
      </c>
      <c r="G278" s="334">
        <f>IFERROR(__xludf.DUMMYFUNCTION("""COMPUTED_VALUE"""),"item_icon_artwork_enhance_you_00001")</f>
        <v/>
      </c>
      <c r="H278" s="334">
        <f>IFERROR(__xludf.DUMMYFUNCTION("""COMPUTED_VALUE"""),"『幼稚園WARS』の表紙")</f>
        <v/>
      </c>
      <c r="I278" s="334">
        <f>IFERROR(__xludf.DUMMYFUNCTION("""COMPUTED_VALUE"""),"UR")</f>
        <v/>
      </c>
      <c r="J278" s="409">
        <f>IFERROR(__xludf.DUMMYFUNCTION("""COMPUTED_VALUE"""),9.99999999E8)</f>
        <v/>
      </c>
      <c r="K278" s="409">
        <f>IFERROR(__xludf.DUMMYFUNCTION("""COMPUTED_VALUE"""),9.99999999E8)</f>
        <v/>
      </c>
      <c r="L278" s="334">
        <f>IFERROR(__xludf.DUMMYFUNCTION("""COMPUTED_VALUE"""),"「幼稚園WARS」の原画のグレードアップに使用するアイテム")</f>
        <v/>
      </c>
      <c r="M278" s="334" t="n"/>
      <c r="N278" s="410">
        <f>IFERROR(__xludf.DUMMYFUNCTION("""COMPUTED_VALUE"""),"2026-03-16 15:00:00")</f>
        <v/>
      </c>
      <c r="O278" s="368" t="n"/>
      <c r="P278" s="334" t="n"/>
    </row>
    <row r="279">
      <c r="A279" s="334">
        <f>IFERROR(__xludf.DUMMYFUNCTION("""COMPUTED_VALUE"""),"kim")</f>
        <v/>
      </c>
      <c r="B279" s="334">
        <f>IFERROR(__xludf.DUMMYFUNCTION("""COMPUTED_VALUE"""),"君のことが大大大大大好きな100人の彼女")</f>
        <v/>
      </c>
      <c r="C279" s="334">
        <f>IFERROR(__xludf.DUMMYFUNCTION("""COMPUTED_VALUE"""),"artwork_enhance")</f>
        <v/>
      </c>
      <c r="D279" s="408">
        <f>IFERROR(__xludf.DUMMYFUNCTION("""COMPUTED_VALUE"""),"00001")</f>
        <v/>
      </c>
      <c r="E279" s="334">
        <f>IFERROR(__xludf.DUMMYFUNCTION("""COMPUTED_VALUE"""),"artwork_enhance_kim_00001")</f>
        <v/>
      </c>
      <c r="F279" s="334">
        <f>IFERROR(__xludf.DUMMYFUNCTION("""COMPUTED_VALUE"""),"artwork_enhance_kim_00001")</f>
        <v/>
      </c>
      <c r="G279" s="334">
        <f>IFERROR(__xludf.DUMMYFUNCTION("""COMPUTED_VALUE"""),"item_icon_artwork_enhance_kim_00001")</f>
        <v/>
      </c>
      <c r="H279" s="334">
        <f>IFERROR(__xludf.DUMMYFUNCTION("""COMPUTED_VALUE"""),"『100カノ』の表紙")</f>
        <v/>
      </c>
      <c r="I279" s="334">
        <f>IFERROR(__xludf.DUMMYFUNCTION("""COMPUTED_VALUE"""),"UR")</f>
        <v/>
      </c>
      <c r="J279" s="409">
        <f>IFERROR(__xludf.DUMMYFUNCTION("""COMPUTED_VALUE"""),9.99999999E8)</f>
        <v/>
      </c>
      <c r="K279" s="409">
        <f>IFERROR(__xludf.DUMMYFUNCTION("""COMPUTED_VALUE"""),9.99999999E8)</f>
        <v/>
      </c>
      <c r="L279" s="334">
        <f>IFERROR(__xludf.DUMMYFUNCTION("""COMPUTED_VALUE"""),"「君のことが大大大大大好きな100人の彼女」の原画のグレードアップに使用するアイテム")</f>
        <v/>
      </c>
      <c r="M279" s="334" t="n"/>
      <c r="N279" s="410">
        <f>IFERROR(__xludf.DUMMYFUNCTION("""COMPUTED_VALUE"""),"2026-03-16 15:00:00")</f>
        <v/>
      </c>
      <c r="O279" s="368" t="n"/>
      <c r="P279" s="334" t="n"/>
    </row>
    <row r="280">
      <c r="A280" s="334">
        <f>IFERROR(__xludf.DUMMYFUNCTION("""COMPUTED_VALUE"""),"hut")</f>
        <v/>
      </c>
      <c r="B280" s="334">
        <f>IFERROR(__xludf.DUMMYFUNCTION("""COMPUTED_VALUE"""),"ふつうの軽音部")</f>
        <v/>
      </c>
      <c r="C280" s="334">
        <f>IFERROR(__xludf.DUMMYFUNCTION("""COMPUTED_VALUE"""),"artwork_enhance")</f>
        <v/>
      </c>
      <c r="D280" s="408">
        <f>IFERROR(__xludf.DUMMYFUNCTION("""COMPUTED_VALUE"""),"00001")</f>
        <v/>
      </c>
      <c r="E280" s="334">
        <f>IFERROR(__xludf.DUMMYFUNCTION("""COMPUTED_VALUE"""),"artwork_enhance_hut_00001")</f>
        <v/>
      </c>
      <c r="F280" s="334">
        <f>IFERROR(__xludf.DUMMYFUNCTION("""COMPUTED_VALUE"""),"artwork_enhance_hut_00001")</f>
        <v/>
      </c>
      <c r="G280" s="334">
        <f>IFERROR(__xludf.DUMMYFUNCTION("""COMPUTED_VALUE"""),"item_icon_artwork_enhance_hut_00001")</f>
        <v/>
      </c>
      <c r="H280" s="334">
        <f>IFERROR(__xludf.DUMMYFUNCTION("""COMPUTED_VALUE"""),"『ふつうの軽音部』の表紙")</f>
        <v/>
      </c>
      <c r="I280" s="334">
        <f>IFERROR(__xludf.DUMMYFUNCTION("""COMPUTED_VALUE"""),"UR")</f>
        <v/>
      </c>
      <c r="J280" s="409">
        <f>IFERROR(__xludf.DUMMYFUNCTION("""COMPUTED_VALUE"""),9.99999999E8)</f>
        <v/>
      </c>
      <c r="K280" s="409">
        <f>IFERROR(__xludf.DUMMYFUNCTION("""COMPUTED_VALUE"""),9.99999999E8)</f>
        <v/>
      </c>
      <c r="L280" s="334">
        <f>IFERROR(__xludf.DUMMYFUNCTION("""COMPUTED_VALUE"""),"「ふつうの軽音部」の原画のグレードアップに使用するアイテム")</f>
        <v/>
      </c>
      <c r="M280" s="334" t="n"/>
      <c r="N280" s="410">
        <f>IFERROR(__xludf.DUMMYFUNCTION("""COMPUTED_VALUE"""),"2026-03-16 15:00:00")</f>
        <v/>
      </c>
      <c r="O280" s="368" t="n"/>
      <c r="P280" s="334" t="n"/>
    </row>
    <row r="281">
      <c r="A281" s="334">
        <f>IFERROR(__xludf.DUMMYFUNCTION("""COMPUTED_VALUE"""),"rur")</f>
        <v/>
      </c>
      <c r="B281" s="334">
        <f>IFERROR(__xludf.DUMMYFUNCTION("""COMPUTED_VALUE"""),"ルリドラゴン")</f>
        <v/>
      </c>
      <c r="C281" s="334">
        <f>IFERROR(__xludf.DUMMYFUNCTION("""COMPUTED_VALUE"""),"artwork_enhance")</f>
        <v/>
      </c>
      <c r="D281" s="408">
        <f>IFERROR(__xludf.DUMMYFUNCTION("""COMPUTED_VALUE"""),"00001")</f>
        <v/>
      </c>
      <c r="E281" s="334">
        <f>IFERROR(__xludf.DUMMYFUNCTION("""COMPUTED_VALUE"""),"artwork_enhance_rur_00001")</f>
        <v/>
      </c>
      <c r="F281" s="334">
        <f>IFERROR(__xludf.DUMMYFUNCTION("""COMPUTED_VALUE"""),"artwork_enhance_rur_00001")</f>
        <v/>
      </c>
      <c r="G281" s="334">
        <f>IFERROR(__xludf.DUMMYFUNCTION("""COMPUTED_VALUE"""),"item_icon_artwork_enhance_rur_00001")</f>
        <v/>
      </c>
      <c r="H281" s="334">
        <f>IFERROR(__xludf.DUMMYFUNCTION("""COMPUTED_VALUE"""),"『ルリドラゴン』の表紙")</f>
        <v/>
      </c>
      <c r="I281" s="334">
        <f>IFERROR(__xludf.DUMMYFUNCTION("""COMPUTED_VALUE"""),"UR")</f>
        <v/>
      </c>
      <c r="J281" s="409">
        <f>IFERROR(__xludf.DUMMYFUNCTION("""COMPUTED_VALUE"""),9.99999999E8)</f>
        <v/>
      </c>
      <c r="K281" s="409">
        <f>IFERROR(__xludf.DUMMYFUNCTION("""COMPUTED_VALUE"""),9.99999999E8)</f>
        <v/>
      </c>
      <c r="L281" s="334">
        <f>IFERROR(__xludf.DUMMYFUNCTION("""COMPUTED_VALUE"""),"「ルリドラゴン」の原画のグレードアップに使用するアイテム")</f>
        <v/>
      </c>
      <c r="M281" s="334" t="n"/>
      <c r="N281" s="339" t="n"/>
      <c r="O281" s="368" t="n"/>
      <c r="P281" s="334" t="n"/>
    </row>
    <row r="282">
      <c r="A282" s="334">
        <f>IFERROR(__xludf.DUMMYFUNCTION("""COMPUTED_VALUE"""),"hyp")</f>
        <v/>
      </c>
      <c r="B282" s="334">
        <f>IFERROR(__xludf.DUMMYFUNCTION("""COMPUTED_VALUE"""),"ハイパーインフレーション")</f>
        <v/>
      </c>
      <c r="C282" s="334">
        <f>IFERROR(__xludf.DUMMYFUNCTION("""COMPUTED_VALUE"""),"artwork_enhance")</f>
        <v/>
      </c>
      <c r="D282" s="408">
        <f>IFERROR(__xludf.DUMMYFUNCTION("""COMPUTED_VALUE"""),"00001")</f>
        <v/>
      </c>
      <c r="E282" s="334">
        <f>IFERROR(__xludf.DUMMYFUNCTION("""COMPUTED_VALUE"""),"artwork_enhance_hyp_00001")</f>
        <v/>
      </c>
      <c r="F282" s="334">
        <f>IFERROR(__xludf.DUMMYFUNCTION("""COMPUTED_VALUE"""),"artwork_enhance_hyp_00001")</f>
        <v/>
      </c>
      <c r="G282" s="334">
        <f>IFERROR(__xludf.DUMMYFUNCTION("""COMPUTED_VALUE"""),"item_icon_artwork_enhance_hyp_00001")</f>
        <v/>
      </c>
      <c r="H282" s="334">
        <f>IFERROR(__xludf.DUMMYFUNCTION("""COMPUTED_VALUE"""),"『ハイパーインフレーション』の表紙")</f>
        <v/>
      </c>
      <c r="I282" s="334">
        <f>IFERROR(__xludf.DUMMYFUNCTION("""COMPUTED_VALUE"""),"UR")</f>
        <v/>
      </c>
      <c r="J282" s="409">
        <f>IFERROR(__xludf.DUMMYFUNCTION("""COMPUTED_VALUE"""),9.99999999E8)</f>
        <v/>
      </c>
      <c r="K282" s="409">
        <f>IFERROR(__xludf.DUMMYFUNCTION("""COMPUTED_VALUE"""),9.99999999E8)</f>
        <v/>
      </c>
      <c r="L282" s="334">
        <f>IFERROR(__xludf.DUMMYFUNCTION("""COMPUTED_VALUE"""),"「ハイパーインフレーション」の原画のグレードアップに使用するアイテム")</f>
        <v/>
      </c>
      <c r="M282" s="334" t="n"/>
      <c r="N282" s="339" t="n"/>
      <c r="O282" s="368" t="n"/>
      <c r="P282" s="334" t="n"/>
    </row>
    <row r="283">
      <c r="A283" s="334">
        <f>IFERROR(__xludf.DUMMYFUNCTION("""COMPUTED_VALUE"""),"gam")</f>
        <v/>
      </c>
      <c r="B283" s="334">
        <f>IFERROR(__xludf.DUMMYFUNCTION("""COMPUTED_VALUE"""),"ゲーミングお嬢様")</f>
        <v/>
      </c>
      <c r="C283" s="334">
        <f>IFERROR(__xludf.DUMMYFUNCTION("""COMPUTED_VALUE"""),"artwork_enhance")</f>
        <v/>
      </c>
      <c r="D283" s="408">
        <f>IFERROR(__xludf.DUMMYFUNCTION("""COMPUTED_VALUE"""),"00001")</f>
        <v/>
      </c>
      <c r="E283" s="334">
        <f>IFERROR(__xludf.DUMMYFUNCTION("""COMPUTED_VALUE"""),"artwork_enhance_gam_00001")</f>
        <v/>
      </c>
      <c r="F283" s="334">
        <f>IFERROR(__xludf.DUMMYFUNCTION("""COMPUTED_VALUE"""),"artwork_enhance_gam_00001")</f>
        <v/>
      </c>
      <c r="G283" s="334">
        <f>IFERROR(__xludf.DUMMYFUNCTION("""COMPUTED_VALUE"""),"item_icon_artwork_enhance_gam_00001")</f>
        <v/>
      </c>
      <c r="H283" s="334">
        <f>IFERROR(__xludf.DUMMYFUNCTION("""COMPUTED_VALUE"""),"『ゲーミングお嬢様』の表紙")</f>
        <v/>
      </c>
      <c r="I283" s="334">
        <f>IFERROR(__xludf.DUMMYFUNCTION("""COMPUTED_VALUE"""),"UR")</f>
        <v/>
      </c>
      <c r="J283" s="409">
        <f>IFERROR(__xludf.DUMMYFUNCTION("""COMPUTED_VALUE"""),9.99999999E8)</f>
        <v/>
      </c>
      <c r="K283" s="409">
        <f>IFERROR(__xludf.DUMMYFUNCTION("""COMPUTED_VALUE"""),9.99999999E8)</f>
        <v/>
      </c>
      <c r="L283" s="334">
        <f>IFERROR(__xludf.DUMMYFUNCTION("""COMPUTED_VALUE"""),"「ゲーミングお嬢様」の原画のグレードアップに使用するアイテム")</f>
        <v/>
      </c>
      <c r="M283" s="334" t="n"/>
      <c r="N283" s="339" t="n"/>
      <c r="O283" s="368" t="n"/>
      <c r="P283" s="334" t="n"/>
    </row>
    <row r="284">
      <c r="A284" s="334">
        <f>IFERROR(__xludf.DUMMYFUNCTION("""COMPUTED_VALUE"""),"ara")</f>
        <v/>
      </c>
      <c r="B284" s="334">
        <f>IFERROR(__xludf.DUMMYFUNCTION("""COMPUTED_VALUE"""),"アラガネの子")</f>
        <v/>
      </c>
      <c r="C284" s="334">
        <f>IFERROR(__xludf.DUMMYFUNCTION("""COMPUTED_VALUE"""),"artwork_enhance")</f>
        <v/>
      </c>
      <c r="D284" s="408">
        <f>IFERROR(__xludf.DUMMYFUNCTION("""COMPUTED_VALUE"""),"00001")</f>
        <v/>
      </c>
      <c r="E284" s="334">
        <f>IFERROR(__xludf.DUMMYFUNCTION("""COMPUTED_VALUE"""),"artwork_enhance_ara_00001")</f>
        <v/>
      </c>
      <c r="F284" s="334">
        <f>IFERROR(__xludf.DUMMYFUNCTION("""COMPUTED_VALUE"""),"artwork_enhance_ara_00001")</f>
        <v/>
      </c>
      <c r="G284" s="334">
        <f>IFERROR(__xludf.DUMMYFUNCTION("""COMPUTED_VALUE"""),"item_icon_artwork_enhance_ara_00001")</f>
        <v/>
      </c>
      <c r="H284" s="334">
        <f>IFERROR(__xludf.DUMMYFUNCTION("""COMPUTED_VALUE"""),"『アラガネの子』の表紙")</f>
        <v/>
      </c>
      <c r="I284" s="334">
        <f>IFERROR(__xludf.DUMMYFUNCTION("""COMPUTED_VALUE"""),"UR")</f>
        <v/>
      </c>
      <c r="J284" s="409">
        <f>IFERROR(__xludf.DUMMYFUNCTION("""COMPUTED_VALUE"""),9.99999999E8)</f>
        <v/>
      </c>
      <c r="K284" s="409">
        <f>IFERROR(__xludf.DUMMYFUNCTION("""COMPUTED_VALUE"""),9.99999999E8)</f>
        <v/>
      </c>
      <c r="L284" s="334">
        <f>IFERROR(__xludf.DUMMYFUNCTION("""COMPUTED_VALUE"""),"「アラガネの子」の原画のグレードアップに使用するアイテム")</f>
        <v/>
      </c>
      <c r="M284" s="334" t="n"/>
      <c r="N284" s="339" t="n"/>
      <c r="O284" s="368" t="n"/>
      <c r="P284" s="334" t="n"/>
    </row>
    <row r="285">
      <c r="A285" s="334">
        <f>IFERROR(__xludf.DUMMYFUNCTION("""COMPUTED_VALUE"""),"aya")</f>
        <v/>
      </c>
      <c r="B285" s="334">
        <f>IFERROR(__xludf.DUMMYFUNCTION("""COMPUTED_VALUE"""),"あやかしトライアングル")</f>
        <v/>
      </c>
      <c r="C285" s="334">
        <f>IFERROR(__xludf.DUMMYFUNCTION("""COMPUTED_VALUE"""),"artwork_enhance")</f>
        <v/>
      </c>
      <c r="D285" s="408">
        <f>IFERROR(__xludf.DUMMYFUNCTION("""COMPUTED_VALUE"""),"00001")</f>
        <v/>
      </c>
      <c r="E285" s="334">
        <f>IFERROR(__xludf.DUMMYFUNCTION("""COMPUTED_VALUE"""),"artwork_enhance_aya_00001")</f>
        <v/>
      </c>
      <c r="F285" s="334">
        <f>IFERROR(__xludf.DUMMYFUNCTION("""COMPUTED_VALUE"""),"artwork_enhance_aya_00001")</f>
        <v/>
      </c>
      <c r="G285" s="334">
        <f>IFERROR(__xludf.DUMMYFUNCTION("""COMPUTED_VALUE"""),"item_icon_artwork_enhance_aya_00001")</f>
        <v/>
      </c>
      <c r="H285" s="334">
        <f>IFERROR(__xludf.DUMMYFUNCTION("""COMPUTED_VALUE"""),"『あやかしトライアングル』の表紙")</f>
        <v/>
      </c>
      <c r="I285" s="334">
        <f>IFERROR(__xludf.DUMMYFUNCTION("""COMPUTED_VALUE"""),"UR")</f>
        <v/>
      </c>
      <c r="J285" s="409">
        <f>IFERROR(__xludf.DUMMYFUNCTION("""COMPUTED_VALUE"""),9.99999999E8)</f>
        <v/>
      </c>
      <c r="K285" s="409">
        <f>IFERROR(__xludf.DUMMYFUNCTION("""COMPUTED_VALUE"""),9.99999999E8)</f>
        <v/>
      </c>
      <c r="L285" s="334">
        <f>IFERROR(__xludf.DUMMYFUNCTION("""COMPUTED_VALUE"""),"「あやかしトライアングル」の原画のグレードアップに使用するアイテム")</f>
        <v/>
      </c>
      <c r="M285" s="334" t="n"/>
      <c r="N285" s="339" t="n"/>
      <c r="O285" s="368" t="n"/>
      <c r="P285" s="334" t="n"/>
    </row>
    <row r="286">
      <c r="A286" s="334">
        <f>IFERROR(__xludf.DUMMYFUNCTION("""COMPUTED_VALUE"""),"mar")</f>
        <v/>
      </c>
      <c r="B286" s="334">
        <f>IFERROR(__xludf.DUMMYFUNCTION("""COMPUTED_VALUE"""),"マリッジトキシン")</f>
        <v/>
      </c>
      <c r="C286" s="334">
        <f>IFERROR(__xludf.DUMMYFUNCTION("""COMPUTED_VALUE"""),"artwork_enhance")</f>
        <v/>
      </c>
      <c r="D286" s="408">
        <f>IFERROR(__xludf.DUMMYFUNCTION("""COMPUTED_VALUE"""),"00001")</f>
        <v/>
      </c>
      <c r="E286" s="334">
        <f>IFERROR(__xludf.DUMMYFUNCTION("""COMPUTED_VALUE"""),"artwork_enhance_mar_00001")</f>
        <v/>
      </c>
      <c r="F286" s="334">
        <f>IFERROR(__xludf.DUMMYFUNCTION("""COMPUTED_VALUE"""),"artwork_enhance_mar_00001")</f>
        <v/>
      </c>
      <c r="G286" s="334">
        <f>IFERROR(__xludf.DUMMYFUNCTION("""COMPUTED_VALUE"""),"item_icon_artwork_enhance_mar_00001")</f>
        <v/>
      </c>
      <c r="H286" s="334">
        <f>IFERROR(__xludf.DUMMYFUNCTION("""COMPUTED_VALUE"""),"『マリッジトキシン』の表紙")</f>
        <v/>
      </c>
      <c r="I286" s="334">
        <f>IFERROR(__xludf.DUMMYFUNCTION("""COMPUTED_VALUE"""),"UR")</f>
        <v/>
      </c>
      <c r="J286" s="409">
        <f>IFERROR(__xludf.DUMMYFUNCTION("""COMPUTED_VALUE"""),9.99999999E8)</f>
        <v/>
      </c>
      <c r="K286" s="409">
        <f>IFERROR(__xludf.DUMMYFUNCTION("""COMPUTED_VALUE"""),9.99999999E8)</f>
        <v/>
      </c>
      <c r="L286" s="334">
        <f>IFERROR(__xludf.DUMMYFUNCTION("""COMPUTED_VALUE"""),"「マリッジトキシン」の原画のグレードアップに使用するアイテム")</f>
        <v/>
      </c>
      <c r="M286" s="334" t="n"/>
      <c r="N286" s="339" t="n"/>
      <c r="O286" s="368" t="n"/>
      <c r="P286" s="334" t="n"/>
    </row>
    <row r="287">
      <c r="A287" s="334">
        <f>IFERROR(__xludf.DUMMYFUNCTION("""COMPUTED_VALUE"""),"sib")</f>
        <v/>
      </c>
      <c r="B287" s="334">
        <f>IFERROR(__xludf.DUMMYFUNCTION("""COMPUTED_VALUE"""),"シバつき物件")</f>
        <v/>
      </c>
      <c r="C287" s="334">
        <f>IFERROR(__xludf.DUMMYFUNCTION("""COMPUTED_VALUE"""),"artwork_enhance")</f>
        <v/>
      </c>
      <c r="D287" s="408">
        <f>IFERROR(__xludf.DUMMYFUNCTION("""COMPUTED_VALUE"""),"00001")</f>
        <v/>
      </c>
      <c r="E287" s="334">
        <f>IFERROR(__xludf.DUMMYFUNCTION("""COMPUTED_VALUE"""),"artwork_enhance_sib_00001")</f>
        <v/>
      </c>
      <c r="F287" s="334">
        <f>IFERROR(__xludf.DUMMYFUNCTION("""COMPUTED_VALUE"""),"artwork_enhance_sib_00001")</f>
        <v/>
      </c>
      <c r="G287" s="334">
        <f>IFERROR(__xludf.DUMMYFUNCTION("""COMPUTED_VALUE"""),"item_icon_artwork_enhance_sib_00001")</f>
        <v/>
      </c>
      <c r="H287" s="334">
        <f>IFERROR(__xludf.DUMMYFUNCTION("""COMPUTED_VALUE"""),"『シバつき物件』の表紙")</f>
        <v/>
      </c>
      <c r="I287" s="334">
        <f>IFERROR(__xludf.DUMMYFUNCTION("""COMPUTED_VALUE"""),"UR")</f>
        <v/>
      </c>
      <c r="J287" s="409">
        <f>IFERROR(__xludf.DUMMYFUNCTION("""COMPUTED_VALUE"""),9.99999999E8)</f>
        <v/>
      </c>
      <c r="K287" s="409">
        <f>IFERROR(__xludf.DUMMYFUNCTION("""COMPUTED_VALUE"""),9.99999999E8)</f>
        <v/>
      </c>
      <c r="L287" s="334">
        <f>IFERROR(__xludf.DUMMYFUNCTION("""COMPUTED_VALUE"""),"「シバつき物件」の原画のグレードアップに使用するアイテム")</f>
        <v/>
      </c>
      <c r="M287" s="334" t="n"/>
      <c r="N287" s="339" t="n"/>
      <c r="O287" s="368" t="n"/>
      <c r="P287" s="334" t="n"/>
    </row>
    <row r="288">
      <c r="A288" s="334">
        <f>IFERROR(__xludf.DUMMYFUNCTION("""COMPUTED_VALUE"""),"nek")</f>
        <v/>
      </c>
      <c r="B288" s="334">
        <f>IFERROR(__xludf.DUMMYFUNCTION("""COMPUTED_VALUE"""),"猫田びより")</f>
        <v/>
      </c>
      <c r="C288" s="334">
        <f>IFERROR(__xludf.DUMMYFUNCTION("""COMPUTED_VALUE"""),"artwork_enhance")</f>
        <v/>
      </c>
      <c r="D288" s="408">
        <f>IFERROR(__xludf.DUMMYFUNCTION("""COMPUTED_VALUE"""),"00001")</f>
        <v/>
      </c>
      <c r="E288" s="334">
        <f>IFERROR(__xludf.DUMMYFUNCTION("""COMPUTED_VALUE"""),"artwork_enhance_nek_00001")</f>
        <v/>
      </c>
      <c r="F288" s="334">
        <f>IFERROR(__xludf.DUMMYFUNCTION("""COMPUTED_VALUE"""),"artwork_enhance_nek_00001")</f>
        <v/>
      </c>
      <c r="G288" s="334">
        <f>IFERROR(__xludf.DUMMYFUNCTION("""COMPUTED_VALUE"""),"item_icon_artwork_enhance_nek_00001")</f>
        <v/>
      </c>
      <c r="H288" s="334">
        <f>IFERROR(__xludf.DUMMYFUNCTION("""COMPUTED_VALUE"""),"『猫田びより』の表紙")</f>
        <v/>
      </c>
      <c r="I288" s="334">
        <f>IFERROR(__xludf.DUMMYFUNCTION("""COMPUTED_VALUE"""),"UR")</f>
        <v/>
      </c>
      <c r="J288" s="409">
        <f>IFERROR(__xludf.DUMMYFUNCTION("""COMPUTED_VALUE"""),9.99999999E8)</f>
        <v/>
      </c>
      <c r="K288" s="409">
        <f>IFERROR(__xludf.DUMMYFUNCTION("""COMPUTED_VALUE"""),9.99999999E8)</f>
        <v/>
      </c>
      <c r="L288" s="334">
        <f>IFERROR(__xludf.DUMMYFUNCTION("""COMPUTED_VALUE"""),"「猫田びより」の原画のグレードアップに使用するアイテム")</f>
        <v/>
      </c>
      <c r="M288" s="334" t="n"/>
      <c r="N288" s="339" t="n"/>
      <c r="O288" s="368" t="n"/>
      <c r="P288" s="334" t="n"/>
    </row>
    <row r="289">
      <c r="A289" s="334">
        <f>IFERROR(__xludf.DUMMYFUNCTION("""COMPUTED_VALUE"""),"mad")</f>
        <v/>
      </c>
      <c r="B289" s="334">
        <f>IFERROR(__xludf.DUMMYFUNCTION("""COMPUTED_VALUE"""),"MAD")</f>
        <v/>
      </c>
      <c r="C289" s="334">
        <f>IFERROR(__xludf.DUMMYFUNCTION("""COMPUTED_VALUE"""),"artwork_enhance")</f>
        <v/>
      </c>
      <c r="D289" s="408">
        <f>IFERROR(__xludf.DUMMYFUNCTION("""COMPUTED_VALUE"""),"00001")</f>
        <v/>
      </c>
      <c r="E289" s="334">
        <f>IFERROR(__xludf.DUMMYFUNCTION("""COMPUTED_VALUE"""),"artwork_enhance_mad_00001")</f>
        <v/>
      </c>
      <c r="F289" s="334">
        <f>IFERROR(__xludf.DUMMYFUNCTION("""COMPUTED_VALUE"""),"artwork_enhance_mad_00001")</f>
        <v/>
      </c>
      <c r="G289" s="334">
        <f>IFERROR(__xludf.DUMMYFUNCTION("""COMPUTED_VALUE"""),"item_icon_artwork_enhance_mad_00001")</f>
        <v/>
      </c>
      <c r="H289" s="334">
        <f>IFERROR(__xludf.DUMMYFUNCTION("""COMPUTED_VALUE"""),"『MAD』の表紙")</f>
        <v/>
      </c>
      <c r="I289" s="334">
        <f>IFERROR(__xludf.DUMMYFUNCTION("""COMPUTED_VALUE"""),"UR")</f>
        <v/>
      </c>
      <c r="J289" s="409">
        <f>IFERROR(__xludf.DUMMYFUNCTION("""COMPUTED_VALUE"""),9.99999999E8)</f>
        <v/>
      </c>
      <c r="K289" s="409">
        <f>IFERROR(__xludf.DUMMYFUNCTION("""COMPUTED_VALUE"""),9.99999999E8)</f>
        <v/>
      </c>
      <c r="L289" s="334">
        <f>IFERROR(__xludf.DUMMYFUNCTION("""COMPUTED_VALUE"""),"「MAD」の原画のグレードアップに使用するアイテム")</f>
        <v/>
      </c>
      <c r="M289" s="334" t="n"/>
      <c r="N289" s="339" t="n"/>
      <c r="O289" s="368" t="n"/>
      <c r="P289" s="334" t="n"/>
    </row>
    <row r="290">
      <c r="A290" s="334">
        <f>IFERROR(__xludf.DUMMYFUNCTION("""COMPUTED_VALUE"""),"syu")</f>
        <v/>
      </c>
      <c r="B290" s="334">
        <f>IFERROR(__xludf.DUMMYFUNCTION("""COMPUTED_VALUE"""),"終末のハーレム")</f>
        <v/>
      </c>
      <c r="C290" s="334">
        <f>IFERROR(__xludf.DUMMYFUNCTION("""COMPUTED_VALUE"""),"artwork_enhance")</f>
        <v/>
      </c>
      <c r="D290" s="408">
        <f>IFERROR(__xludf.DUMMYFUNCTION("""COMPUTED_VALUE"""),"00001")</f>
        <v/>
      </c>
      <c r="E290" s="334">
        <f>IFERROR(__xludf.DUMMYFUNCTION("""COMPUTED_VALUE"""),"artwork_enhance_syu_00001")</f>
        <v/>
      </c>
      <c r="F290" s="334">
        <f>IFERROR(__xludf.DUMMYFUNCTION("""COMPUTED_VALUE"""),"artwork_enhance_syu_00001")</f>
        <v/>
      </c>
      <c r="G290" s="334">
        <f>IFERROR(__xludf.DUMMYFUNCTION("""COMPUTED_VALUE"""),"item_icon_artwork_enhance_syu_00001")</f>
        <v/>
      </c>
      <c r="H290" s="334">
        <f>IFERROR(__xludf.DUMMYFUNCTION("""COMPUTED_VALUE"""),"『終末のハーレム』の表紙")</f>
        <v/>
      </c>
      <c r="I290" s="334">
        <f>IFERROR(__xludf.DUMMYFUNCTION("""COMPUTED_VALUE"""),"UR")</f>
        <v/>
      </c>
      <c r="J290" s="409">
        <f>IFERROR(__xludf.DUMMYFUNCTION("""COMPUTED_VALUE"""),9.99999999E8)</f>
        <v/>
      </c>
      <c r="K290" s="409">
        <f>IFERROR(__xludf.DUMMYFUNCTION("""COMPUTED_VALUE"""),9.99999999E8)</f>
        <v/>
      </c>
      <c r="L290" s="334">
        <f>IFERROR(__xludf.DUMMYFUNCTION("""COMPUTED_VALUE"""),"「終末のハーレム」の原画のグレードアップに使用するアイテム")</f>
        <v/>
      </c>
      <c r="M290" s="334" t="n"/>
      <c r="N290" s="339" t="n"/>
      <c r="O290" s="368" t="n"/>
      <c r="P290" s="334" t="n"/>
    </row>
    <row r="291">
      <c r="A291" s="334">
        <f>IFERROR(__xludf.DUMMYFUNCTION("""COMPUTED_VALUE"""),"aft")</f>
        <v/>
      </c>
      <c r="B291" s="334">
        <f>IFERROR(__xludf.DUMMYFUNCTION("""COMPUTED_VALUE"""),"終末のハーレム After World")</f>
        <v/>
      </c>
      <c r="C291" s="334">
        <f>IFERROR(__xludf.DUMMYFUNCTION("""COMPUTED_VALUE"""),"artwork_enhance")</f>
        <v/>
      </c>
      <c r="D291" s="408">
        <f>IFERROR(__xludf.DUMMYFUNCTION("""COMPUTED_VALUE"""),"00001")</f>
        <v/>
      </c>
      <c r="E291" s="334">
        <f>IFERROR(__xludf.DUMMYFUNCTION("""COMPUTED_VALUE"""),"artwork_enhance_aft_00001")</f>
        <v/>
      </c>
      <c r="F291" s="334">
        <f>IFERROR(__xludf.DUMMYFUNCTION("""COMPUTED_VALUE"""),"artwork_enhance_aft_00001")</f>
        <v/>
      </c>
      <c r="G291" s="334">
        <f>IFERROR(__xludf.DUMMYFUNCTION("""COMPUTED_VALUE"""),"item_icon_artwork_enhance_aft_00001")</f>
        <v/>
      </c>
      <c r="H291" s="334">
        <f>IFERROR(__xludf.DUMMYFUNCTION("""COMPUTED_VALUE"""),"『終末のハーレム After World』の表紙")</f>
        <v/>
      </c>
      <c r="I291" s="334">
        <f>IFERROR(__xludf.DUMMYFUNCTION("""COMPUTED_VALUE"""),"UR")</f>
        <v/>
      </c>
      <c r="J291" s="409">
        <f>IFERROR(__xludf.DUMMYFUNCTION("""COMPUTED_VALUE"""),9.99999999E8)</f>
        <v/>
      </c>
      <c r="K291" s="409">
        <f>IFERROR(__xludf.DUMMYFUNCTION("""COMPUTED_VALUE"""),9.99999999E8)</f>
        <v/>
      </c>
      <c r="L291" s="334">
        <f>IFERROR(__xludf.DUMMYFUNCTION("""COMPUTED_VALUE"""),"「終末のハーレム After World」の原画のグレードアップに使用するアイテム")</f>
        <v/>
      </c>
      <c r="M291" s="334" t="n"/>
      <c r="N291" s="339" t="n"/>
      <c r="O291" s="368" t="n"/>
      <c r="P291" s="334" t="n"/>
    </row>
    <row r="292">
      <c r="A292" s="334">
        <f>IFERROR(__xludf.DUMMYFUNCTION("""COMPUTED_VALUE"""),"fan")</f>
        <v/>
      </c>
      <c r="B292" s="334">
        <f>IFERROR(__xludf.DUMMYFUNCTION("""COMPUTED_VALUE"""),"終末のハーレム ファンタジア")</f>
        <v/>
      </c>
      <c r="C292" s="334">
        <f>IFERROR(__xludf.DUMMYFUNCTION("""COMPUTED_VALUE"""),"artwork_enhance")</f>
        <v/>
      </c>
      <c r="D292" s="408">
        <f>IFERROR(__xludf.DUMMYFUNCTION("""COMPUTED_VALUE"""),"00001")</f>
        <v/>
      </c>
      <c r="E292" s="334">
        <f>IFERROR(__xludf.DUMMYFUNCTION("""COMPUTED_VALUE"""),"artwork_enhance_fan_00001")</f>
        <v/>
      </c>
      <c r="F292" s="334">
        <f>IFERROR(__xludf.DUMMYFUNCTION("""COMPUTED_VALUE"""),"artwork_enhance_fan_00001")</f>
        <v/>
      </c>
      <c r="G292" s="334">
        <f>IFERROR(__xludf.DUMMYFUNCTION("""COMPUTED_VALUE"""),"item_icon_artwork_enhance_fan_00001")</f>
        <v/>
      </c>
      <c r="H292" s="334">
        <f>IFERROR(__xludf.DUMMYFUNCTION("""COMPUTED_VALUE"""),"『終末のハーレム ファンタジア』の表紙")</f>
        <v/>
      </c>
      <c r="I292" s="334">
        <f>IFERROR(__xludf.DUMMYFUNCTION("""COMPUTED_VALUE"""),"UR")</f>
        <v/>
      </c>
      <c r="J292" s="409">
        <f>IFERROR(__xludf.DUMMYFUNCTION("""COMPUTED_VALUE"""),9.99999999E8)</f>
        <v/>
      </c>
      <c r="K292" s="409">
        <f>IFERROR(__xludf.DUMMYFUNCTION("""COMPUTED_VALUE"""),9.99999999E8)</f>
        <v/>
      </c>
      <c r="L292" s="334">
        <f>IFERROR(__xludf.DUMMYFUNCTION("""COMPUTED_VALUE"""),"「終末のハーレム ファンタジア」の原画のグレードアップに使用するアイテム")</f>
        <v/>
      </c>
      <c r="M292" s="334" t="n"/>
      <c r="N292" s="339" t="n"/>
      <c r="O292" s="368" t="n"/>
      <c r="P292" s="334" t="n"/>
    </row>
    <row r="293">
      <c r="A293" s="334">
        <f>IFERROR(__xludf.DUMMYFUNCTION("""COMPUTED_VALUE"""),"kut")</f>
        <v/>
      </c>
      <c r="B293" s="334">
        <f>IFERROR(__xludf.DUMMYFUNCTION("""COMPUTED_VALUE"""),"口が裂けても君には")</f>
        <v/>
      </c>
      <c r="C293" s="334">
        <f>IFERROR(__xludf.DUMMYFUNCTION("""COMPUTED_VALUE"""),"artwork_enhance")</f>
        <v/>
      </c>
      <c r="D293" s="408">
        <f>IFERROR(__xludf.DUMMYFUNCTION("""COMPUTED_VALUE"""),"00001")</f>
        <v/>
      </c>
      <c r="E293" s="334">
        <f>IFERROR(__xludf.DUMMYFUNCTION("""COMPUTED_VALUE"""),"artwork_enhance_kut_00001")</f>
        <v/>
      </c>
      <c r="F293" s="334">
        <f>IFERROR(__xludf.DUMMYFUNCTION("""COMPUTED_VALUE"""),"artwork_enhance_kut_00001")</f>
        <v/>
      </c>
      <c r="G293" s="334">
        <f>IFERROR(__xludf.DUMMYFUNCTION("""COMPUTED_VALUE"""),"item_icon_artwork_enhance_kut_00001")</f>
        <v/>
      </c>
      <c r="H293" s="334">
        <f>IFERROR(__xludf.DUMMYFUNCTION("""COMPUTED_VALUE"""),"『口が裂けても君には』の表紙")</f>
        <v/>
      </c>
      <c r="I293" s="334">
        <f>IFERROR(__xludf.DUMMYFUNCTION("""COMPUTED_VALUE"""),"UR")</f>
        <v/>
      </c>
      <c r="J293" s="409">
        <f>IFERROR(__xludf.DUMMYFUNCTION("""COMPUTED_VALUE"""),9.99999999E8)</f>
        <v/>
      </c>
      <c r="K293" s="409">
        <f>IFERROR(__xludf.DUMMYFUNCTION("""COMPUTED_VALUE"""),9.99999999E8)</f>
        <v/>
      </c>
      <c r="L293" s="334">
        <f>IFERROR(__xludf.DUMMYFUNCTION("""COMPUTED_VALUE"""),"「口が裂けても君には」の原画のグレードアップに使用するアイテム")</f>
        <v/>
      </c>
      <c r="M293" s="334" t="n"/>
      <c r="N293" s="339" t="n"/>
      <c r="O293" s="368" t="n"/>
      <c r="P293" s="334" t="n"/>
    </row>
    <row r="294">
      <c r="A294" s="334">
        <f>IFERROR(__xludf.DUMMYFUNCTION("""COMPUTED_VALUE"""),"san")</f>
        <v/>
      </c>
      <c r="B294" s="334">
        <f>IFERROR(__xludf.DUMMYFUNCTION("""COMPUTED_VALUE"""),"サンキューピッチ")</f>
        <v/>
      </c>
      <c r="C294" s="334">
        <f>IFERROR(__xludf.DUMMYFUNCTION("""COMPUTED_VALUE"""),"artwork_enhance")</f>
        <v/>
      </c>
      <c r="D294" s="408">
        <f>IFERROR(__xludf.DUMMYFUNCTION("""COMPUTED_VALUE"""),"00001")</f>
        <v/>
      </c>
      <c r="E294" s="334">
        <f>IFERROR(__xludf.DUMMYFUNCTION("""COMPUTED_VALUE"""),"artwork_enhance_san_00001")</f>
        <v/>
      </c>
      <c r="F294" s="334">
        <f>IFERROR(__xludf.DUMMYFUNCTION("""COMPUTED_VALUE"""),"artwork_enhance_san_00001")</f>
        <v/>
      </c>
      <c r="G294" s="334">
        <f>IFERROR(__xludf.DUMMYFUNCTION("""COMPUTED_VALUE"""),"item_icon_artwork_enhance_san_00001")</f>
        <v/>
      </c>
      <c r="H294" s="334">
        <f>IFERROR(__xludf.DUMMYFUNCTION("""COMPUTED_VALUE"""),"『サンキューピッチ』の表紙")</f>
        <v/>
      </c>
      <c r="I294" s="334">
        <f>IFERROR(__xludf.DUMMYFUNCTION("""COMPUTED_VALUE"""),"UR")</f>
        <v/>
      </c>
      <c r="J294" s="409">
        <f>IFERROR(__xludf.DUMMYFUNCTION("""COMPUTED_VALUE"""),9.99999999E8)</f>
        <v/>
      </c>
      <c r="K294" s="409">
        <f>IFERROR(__xludf.DUMMYFUNCTION("""COMPUTED_VALUE"""),9.99999999E8)</f>
        <v/>
      </c>
      <c r="L294" s="334">
        <f>IFERROR(__xludf.DUMMYFUNCTION("""COMPUTED_VALUE"""),"「サンキューピッチ」の原画のグレードアップに使用するアイテム")</f>
        <v/>
      </c>
      <c r="M294" s="334" t="n"/>
      <c r="N294" s="339" t="n"/>
      <c r="O294" s="368" t="n"/>
      <c r="P294" s="334" t="n"/>
    </row>
    <row r="295">
      <c r="A295" s="334">
        <f>IFERROR(__xludf.DUMMYFUNCTION("""COMPUTED_VALUE"""),"kus")</f>
        <v/>
      </c>
      <c r="B295" s="334">
        <f>IFERROR(__xludf.DUMMYFUNCTION("""COMPUTED_VALUE"""),"クソ女に幸あれ")</f>
        <v/>
      </c>
      <c r="C295" s="334">
        <f>IFERROR(__xludf.DUMMYFUNCTION("""COMPUTED_VALUE"""),"artwork_enhance")</f>
        <v/>
      </c>
      <c r="D295" s="408">
        <f>IFERROR(__xludf.DUMMYFUNCTION("""COMPUTED_VALUE"""),"00001")</f>
        <v/>
      </c>
      <c r="E295" s="334">
        <f>IFERROR(__xludf.DUMMYFUNCTION("""COMPUTED_VALUE"""),"artwork_enhance_kus_00001")</f>
        <v/>
      </c>
      <c r="F295" s="334">
        <f>IFERROR(__xludf.DUMMYFUNCTION("""COMPUTED_VALUE"""),"artwork_enhance_kus_00001")</f>
        <v/>
      </c>
      <c r="G295" s="334">
        <f>IFERROR(__xludf.DUMMYFUNCTION("""COMPUTED_VALUE"""),"item_icon_artwork_enhance_kus_00001")</f>
        <v/>
      </c>
      <c r="H295" s="334">
        <f>IFERROR(__xludf.DUMMYFUNCTION("""COMPUTED_VALUE"""),"『クソ女に幸あれ』の表紙")</f>
        <v/>
      </c>
      <c r="I295" s="334">
        <f>IFERROR(__xludf.DUMMYFUNCTION("""COMPUTED_VALUE"""),"UR")</f>
        <v/>
      </c>
      <c r="J295" s="409">
        <f>IFERROR(__xludf.DUMMYFUNCTION("""COMPUTED_VALUE"""),9.99999999E8)</f>
        <v/>
      </c>
      <c r="K295" s="409">
        <f>IFERROR(__xludf.DUMMYFUNCTION("""COMPUTED_VALUE"""),9.99999999E8)</f>
        <v/>
      </c>
      <c r="L295" s="334">
        <f>IFERROR(__xludf.DUMMYFUNCTION("""COMPUTED_VALUE"""),"「クソ女に幸あれ」の原画のグレードアップに使用するアイテム")</f>
        <v/>
      </c>
      <c r="M295" s="334" t="n"/>
      <c r="N295" s="339" t="n"/>
      <c r="O295" s="368" t="n"/>
      <c r="P295" s="334" t="n"/>
    </row>
    <row r="296">
      <c r="A296" s="334">
        <f>IFERROR(__xludf.DUMMYFUNCTION("""COMPUTED_VALUE"""),"han")</f>
        <v/>
      </c>
      <c r="B296" s="334">
        <f>IFERROR(__xludf.DUMMYFUNCTION("""COMPUTED_VALUE"""),"半人前の恋人")</f>
        <v/>
      </c>
      <c r="C296" s="334">
        <f>IFERROR(__xludf.DUMMYFUNCTION("""COMPUTED_VALUE"""),"artwork_enhance")</f>
        <v/>
      </c>
      <c r="D296" s="408">
        <f>IFERROR(__xludf.DUMMYFUNCTION("""COMPUTED_VALUE"""),"00001")</f>
        <v/>
      </c>
      <c r="E296" s="334">
        <f>IFERROR(__xludf.DUMMYFUNCTION("""COMPUTED_VALUE"""),"artwork_enhance_han_00001")</f>
        <v/>
      </c>
      <c r="F296" s="334">
        <f>IFERROR(__xludf.DUMMYFUNCTION("""COMPUTED_VALUE"""),"artwork_enhance_han_00001")</f>
        <v/>
      </c>
      <c r="G296" s="334">
        <f>IFERROR(__xludf.DUMMYFUNCTION("""COMPUTED_VALUE"""),"item_icon_artwork_enhance_han_00001")</f>
        <v/>
      </c>
      <c r="H296" s="334">
        <f>IFERROR(__xludf.DUMMYFUNCTION("""COMPUTED_VALUE"""),"『半人前の恋人』の表紙")</f>
        <v/>
      </c>
      <c r="I296" s="334">
        <f>IFERROR(__xludf.DUMMYFUNCTION("""COMPUTED_VALUE"""),"UR")</f>
        <v/>
      </c>
      <c r="J296" s="409">
        <f>IFERROR(__xludf.DUMMYFUNCTION("""COMPUTED_VALUE"""),9.99999999E8)</f>
        <v/>
      </c>
      <c r="K296" s="409">
        <f>IFERROR(__xludf.DUMMYFUNCTION("""COMPUTED_VALUE"""),9.99999999E8)</f>
        <v/>
      </c>
      <c r="L296" s="334">
        <f>IFERROR(__xludf.DUMMYFUNCTION("""COMPUTED_VALUE"""),"「半人前の恋人」の原画のグレードアップに使用するアイテム")</f>
        <v/>
      </c>
      <c r="M296" s="334" t="n"/>
      <c r="N296" s="339" t="n"/>
      <c r="O296" s="368" t="n"/>
      <c r="P296" s="334" t="n"/>
    </row>
    <row r="297">
      <c r="A297" s="334">
        <f>IFERROR(__xludf.DUMMYFUNCTION("""COMPUTED_VALUE"""),"kub")</f>
        <v/>
      </c>
      <c r="B297" s="334">
        <f>IFERROR(__xludf.DUMMYFUNCTION("""COMPUTED_VALUE"""),"久保さんは僕を許さない")</f>
        <v/>
      </c>
      <c r="C297" s="334">
        <f>IFERROR(__xludf.DUMMYFUNCTION("""COMPUTED_VALUE"""),"artwork_enhance")</f>
        <v/>
      </c>
      <c r="D297" s="408">
        <f>IFERROR(__xludf.DUMMYFUNCTION("""COMPUTED_VALUE"""),"00001")</f>
        <v/>
      </c>
      <c r="E297" s="334">
        <f>IFERROR(__xludf.DUMMYFUNCTION("""COMPUTED_VALUE"""),"artwork_enhance_kub_00001")</f>
        <v/>
      </c>
      <c r="F297" s="334">
        <f>IFERROR(__xludf.DUMMYFUNCTION("""COMPUTED_VALUE"""),"artwork_enhance_kub_00001")</f>
        <v/>
      </c>
      <c r="G297" s="334">
        <f>IFERROR(__xludf.DUMMYFUNCTION("""COMPUTED_VALUE"""),"item_icon_artwork_enhance_kub_00001")</f>
        <v/>
      </c>
      <c r="H297" s="334">
        <f>IFERROR(__xludf.DUMMYFUNCTION("""COMPUTED_VALUE"""),"『久保さんは僕を許さない』の表紙")</f>
        <v/>
      </c>
      <c r="I297" s="334">
        <f>IFERROR(__xludf.DUMMYFUNCTION("""COMPUTED_VALUE"""),"UR")</f>
        <v/>
      </c>
      <c r="J297" s="409">
        <f>IFERROR(__xludf.DUMMYFUNCTION("""COMPUTED_VALUE"""),9.99999999E8)</f>
        <v/>
      </c>
      <c r="K297" s="409">
        <f>IFERROR(__xludf.DUMMYFUNCTION("""COMPUTED_VALUE"""),9.99999999E8)</f>
        <v/>
      </c>
      <c r="L297" s="334">
        <f>IFERROR(__xludf.DUMMYFUNCTION("""COMPUTED_VALUE"""),"「久保さんは僕を許さない」の原画のグレードアップに使用するアイテム")</f>
        <v/>
      </c>
      <c r="M297" s="334" t="n"/>
      <c r="N297" s="339" t="n"/>
      <c r="O297" s="368" t="n"/>
      <c r="P297" s="334" t="n"/>
    </row>
    <row r="298">
      <c r="A298" s="334">
        <f>IFERROR(__xludf.DUMMYFUNCTION("""COMPUTED_VALUE"""),"sei")</f>
        <v/>
      </c>
      <c r="B298" s="334">
        <f>IFERROR(__xludf.DUMMYFUNCTION("""COMPUTED_VALUE"""),"正反対な君と僕")</f>
        <v/>
      </c>
      <c r="C298" s="334">
        <f>IFERROR(__xludf.DUMMYFUNCTION("""COMPUTED_VALUE"""),"artwork_enhance")</f>
        <v/>
      </c>
      <c r="D298" s="408">
        <f>IFERROR(__xludf.DUMMYFUNCTION("""COMPUTED_VALUE"""),"00001")</f>
        <v/>
      </c>
      <c r="E298" s="334">
        <f>IFERROR(__xludf.DUMMYFUNCTION("""COMPUTED_VALUE"""),"artwork_enhance_sei_00001")</f>
        <v/>
      </c>
      <c r="F298" s="334">
        <f>IFERROR(__xludf.DUMMYFUNCTION("""COMPUTED_VALUE"""),"artwork_enhance_sei_00001")</f>
        <v/>
      </c>
      <c r="G298" s="334">
        <f>IFERROR(__xludf.DUMMYFUNCTION("""COMPUTED_VALUE"""),"item_icon_artwork_enhance_sei_00001")</f>
        <v/>
      </c>
      <c r="H298" s="334">
        <f>IFERROR(__xludf.DUMMYFUNCTION("""COMPUTED_VALUE"""),"『正反対な君と僕』の表紙")</f>
        <v/>
      </c>
      <c r="I298" s="334">
        <f>IFERROR(__xludf.DUMMYFUNCTION("""COMPUTED_VALUE"""),"UR")</f>
        <v/>
      </c>
      <c r="J298" s="409">
        <f>IFERROR(__xludf.DUMMYFUNCTION("""COMPUTED_VALUE"""),9.99999999E8)</f>
        <v/>
      </c>
      <c r="K298" s="409">
        <f>IFERROR(__xludf.DUMMYFUNCTION("""COMPUTED_VALUE"""),9.99999999E8)</f>
        <v/>
      </c>
      <c r="L298" s="334">
        <f>IFERROR(__xludf.DUMMYFUNCTION("""COMPUTED_VALUE"""),"「正反対な君と僕」の原画のグレードアップに使用するアイテム")</f>
        <v/>
      </c>
      <c r="M298" s="334" t="n"/>
      <c r="N298" s="339" t="n"/>
      <c r="O298" s="368" t="n"/>
      <c r="P298" s="334" t="n"/>
    </row>
    <row r="299">
      <c r="A299" s="334">
        <f>IFERROR(__xludf.DUMMYFUNCTION("""COMPUTED_VALUE"""),"kaw")</f>
        <v/>
      </c>
      <c r="B299" s="334">
        <f>IFERROR(__xludf.DUMMYFUNCTION("""COMPUTED_VALUE"""),"カワイスギクライシス")</f>
        <v/>
      </c>
      <c r="C299" s="334">
        <f>IFERROR(__xludf.DUMMYFUNCTION("""COMPUTED_VALUE"""),"artwork_enhance")</f>
        <v/>
      </c>
      <c r="D299" s="408">
        <f>IFERROR(__xludf.DUMMYFUNCTION("""COMPUTED_VALUE"""),"00001")</f>
        <v/>
      </c>
      <c r="E299" s="334">
        <f>IFERROR(__xludf.DUMMYFUNCTION("""COMPUTED_VALUE"""),"artwork_enhance_kaw_00001")</f>
        <v/>
      </c>
      <c r="F299" s="334">
        <f>IFERROR(__xludf.DUMMYFUNCTION("""COMPUTED_VALUE"""),"artwork_enhance_kaw_00001")</f>
        <v/>
      </c>
      <c r="G299" s="334">
        <f>IFERROR(__xludf.DUMMYFUNCTION("""COMPUTED_VALUE"""),"item_icon_artwork_enhance_kaw_00001")</f>
        <v/>
      </c>
      <c r="H299" s="334">
        <f>IFERROR(__xludf.DUMMYFUNCTION("""COMPUTED_VALUE"""),"『カワイスギクライシス』の表紙")</f>
        <v/>
      </c>
      <c r="I299" s="334">
        <f>IFERROR(__xludf.DUMMYFUNCTION("""COMPUTED_VALUE"""),"UR")</f>
        <v/>
      </c>
      <c r="J299" s="409">
        <f>IFERROR(__xludf.DUMMYFUNCTION("""COMPUTED_VALUE"""),9.99999999E8)</f>
        <v/>
      </c>
      <c r="K299" s="409">
        <f>IFERROR(__xludf.DUMMYFUNCTION("""COMPUTED_VALUE"""),9.99999999E8)</f>
        <v/>
      </c>
      <c r="L299" s="334">
        <f>IFERROR(__xludf.DUMMYFUNCTION("""COMPUTED_VALUE"""),"「カワイスギクライシス」の原画のグレードアップに使用するアイテム")</f>
        <v/>
      </c>
      <c r="M299" s="334" t="n"/>
      <c r="N299" s="339" t="n"/>
      <c r="O299" s="368" t="n"/>
      <c r="P299" s="334" t="n"/>
    </row>
    <row r="300">
      <c r="A300" s="334">
        <f>IFERROR(__xludf.DUMMYFUNCTION("""COMPUTED_VALUE"""),"c8m")</f>
        <v/>
      </c>
      <c r="B300" s="334">
        <f>IFERROR(__xludf.DUMMYFUNCTION("""COMPUTED_VALUE"""),"ちえりの恋は8メートル")</f>
        <v/>
      </c>
      <c r="C300" s="334">
        <f>IFERROR(__xludf.DUMMYFUNCTION("""COMPUTED_VALUE"""),"artwork_enhance")</f>
        <v/>
      </c>
      <c r="D300" s="408">
        <f>IFERROR(__xludf.DUMMYFUNCTION("""COMPUTED_VALUE"""),"00001")</f>
        <v/>
      </c>
      <c r="E300" s="334">
        <f>IFERROR(__xludf.DUMMYFUNCTION("""COMPUTED_VALUE"""),"artwork_enhance_c8m_00001")</f>
        <v/>
      </c>
      <c r="F300" s="334">
        <f>IFERROR(__xludf.DUMMYFUNCTION("""COMPUTED_VALUE"""),"artwork_enhance_c8m_00001")</f>
        <v/>
      </c>
      <c r="G300" s="334">
        <f>IFERROR(__xludf.DUMMYFUNCTION("""COMPUTED_VALUE"""),"item_icon_artwork_enhance_c8m_00001")</f>
        <v/>
      </c>
      <c r="H300" s="334">
        <f>IFERROR(__xludf.DUMMYFUNCTION("""COMPUTED_VALUE"""),"『ちえりの恋は8メートル』の表紙")</f>
        <v/>
      </c>
      <c r="I300" s="334">
        <f>IFERROR(__xludf.DUMMYFUNCTION("""COMPUTED_VALUE"""),"UR")</f>
        <v/>
      </c>
      <c r="J300" s="409">
        <f>IFERROR(__xludf.DUMMYFUNCTION("""COMPUTED_VALUE"""),9.99999999E8)</f>
        <v/>
      </c>
      <c r="K300" s="409">
        <f>IFERROR(__xludf.DUMMYFUNCTION("""COMPUTED_VALUE"""),9.99999999E8)</f>
        <v/>
      </c>
      <c r="L300" s="334">
        <f>IFERROR(__xludf.DUMMYFUNCTION("""COMPUTED_VALUE"""),"「ちえりの恋は8メートル」の原画のグレードアップに使用するアイテム")</f>
        <v/>
      </c>
      <c r="M300" s="334" t="n"/>
      <c r="N300" s="339" t="n"/>
      <c r="O300" s="368" t="n"/>
      <c r="P300" s="334" t="n"/>
    </row>
    <row r="301">
      <c r="A301" s="334">
        <f>IFERROR(__xludf.DUMMYFUNCTION("""COMPUTED_VALUE"""),"vig")</f>
        <v/>
      </c>
      <c r="B301" s="334">
        <f>IFERROR(__xludf.DUMMYFUNCTION("""COMPUTED_VALUE"""),"ヴィジランテ-僕のヒーローアカデミア ILLEGALS-")</f>
        <v/>
      </c>
      <c r="C301" s="334">
        <f>IFERROR(__xludf.DUMMYFUNCTION("""COMPUTED_VALUE"""),"artwork_enhance")</f>
        <v/>
      </c>
      <c r="D301" s="408">
        <f>IFERROR(__xludf.DUMMYFUNCTION("""COMPUTED_VALUE"""),"00001")</f>
        <v/>
      </c>
      <c r="E301" s="334">
        <f>IFERROR(__xludf.DUMMYFUNCTION("""COMPUTED_VALUE"""),"artwork_enhance_vig_00001")</f>
        <v/>
      </c>
      <c r="F301" s="334">
        <f>IFERROR(__xludf.DUMMYFUNCTION("""COMPUTED_VALUE"""),"artwork_enhance_vig_00001")</f>
        <v/>
      </c>
      <c r="G301" s="334">
        <f>IFERROR(__xludf.DUMMYFUNCTION("""COMPUTED_VALUE"""),"item_icon_artwork_enhance_vig_00001")</f>
        <v/>
      </c>
      <c r="H301" s="334">
        <f>IFERROR(__xludf.DUMMYFUNCTION("""COMPUTED_VALUE"""),"『ヴィジランテ』の表紙")</f>
        <v/>
      </c>
      <c r="I301" s="334">
        <f>IFERROR(__xludf.DUMMYFUNCTION("""COMPUTED_VALUE"""),"UR")</f>
        <v/>
      </c>
      <c r="J301" s="409">
        <f>IFERROR(__xludf.DUMMYFUNCTION("""COMPUTED_VALUE"""),9.99999999E8)</f>
        <v/>
      </c>
      <c r="K301" s="409">
        <f>IFERROR(__xludf.DUMMYFUNCTION("""COMPUTED_VALUE"""),9.99999999E8)</f>
        <v/>
      </c>
      <c r="L301" s="334">
        <f>IFERROR(__xludf.DUMMYFUNCTION("""COMPUTED_VALUE"""),"「ヴィジランテ-僕のヒーローアカデミア ILLEGALS-」の原画のグレードアップに使用するアイテム")</f>
        <v/>
      </c>
      <c r="M301" s="334" t="n"/>
      <c r="N301" s="339" t="n"/>
      <c r="O301" s="368" t="n"/>
      <c r="P301" s="334" t="n"/>
    </row>
    <row r="302">
      <c r="A302" s="334">
        <f>IFERROR(__xludf.DUMMYFUNCTION("""COMPUTED_VALUE"""),"ssm")</f>
        <v/>
      </c>
      <c r="B302" s="334">
        <f>IFERROR(__xludf.DUMMYFUNCTION("""COMPUTED_VALUE"""),"すすめ！ジャンプへっぽこ探検隊！")</f>
        <v/>
      </c>
      <c r="C302" s="334">
        <f>IFERROR(__xludf.DUMMYFUNCTION("""COMPUTED_VALUE"""),"artwork_enhance")</f>
        <v/>
      </c>
      <c r="D302" s="408">
        <f>IFERROR(__xludf.DUMMYFUNCTION("""COMPUTED_VALUE"""),"00001")</f>
        <v/>
      </c>
      <c r="E302" s="334">
        <f>IFERROR(__xludf.DUMMYFUNCTION("""COMPUTED_VALUE"""),"artwork_enhance_ssm_00001")</f>
        <v/>
      </c>
      <c r="F302" s="334">
        <f>IFERROR(__xludf.DUMMYFUNCTION("""COMPUTED_VALUE"""),"artwork_enhance_ssm_00001")</f>
        <v/>
      </c>
      <c r="G302" s="334">
        <f>IFERROR(__xludf.DUMMYFUNCTION("""COMPUTED_VALUE"""),"item_icon_artwork_enhance_ssm_00001")</f>
        <v/>
      </c>
      <c r="H302" s="334">
        <f>IFERROR(__xludf.DUMMYFUNCTION("""COMPUTED_VALUE"""),"『すすめ！ジャンプへっぽこ探検隊！』の表紙")</f>
        <v/>
      </c>
      <c r="I302" s="334">
        <f>IFERROR(__xludf.DUMMYFUNCTION("""COMPUTED_VALUE"""),"UR")</f>
        <v/>
      </c>
      <c r="J302" s="409">
        <f>IFERROR(__xludf.DUMMYFUNCTION("""COMPUTED_VALUE"""),9.99999999E8)</f>
        <v/>
      </c>
      <c r="K302" s="409">
        <f>IFERROR(__xludf.DUMMYFUNCTION("""COMPUTED_VALUE"""),9.99999999E8)</f>
        <v/>
      </c>
      <c r="L302" s="334">
        <f>IFERROR(__xludf.DUMMYFUNCTION("""COMPUTED_VALUE"""),"「すすめ！ジャンプへっぽこ探検隊！」の原画のグレードアップに使用するアイテム")</f>
        <v/>
      </c>
      <c r="M302" s="334" t="n"/>
      <c r="N302" s="339" t="n"/>
      <c r="O302" s="368" t="n"/>
      <c r="P302" s="334" t="n"/>
    </row>
    <row r="303">
      <c r="A303" s="334">
        <f>IFERROR(__xludf.DUMMYFUNCTION("""COMPUTED_VALUE"""),"eiu")</f>
        <v/>
      </c>
      <c r="B303" s="334">
        <f>IFERROR(__xludf.DUMMYFUNCTION("""COMPUTED_VALUE"""),"英雄機関")</f>
        <v/>
      </c>
      <c r="C303" s="334">
        <f>IFERROR(__xludf.DUMMYFUNCTION("""COMPUTED_VALUE"""),"artwork_enhance")</f>
        <v/>
      </c>
      <c r="D303" s="408">
        <f>IFERROR(__xludf.DUMMYFUNCTION("""COMPUTED_VALUE"""),"00001")</f>
        <v/>
      </c>
      <c r="E303" s="334">
        <f>IFERROR(__xludf.DUMMYFUNCTION("""COMPUTED_VALUE"""),"artwork_enhance_eiu_00001")</f>
        <v/>
      </c>
      <c r="F303" s="334">
        <f>IFERROR(__xludf.DUMMYFUNCTION("""COMPUTED_VALUE"""),"artwork_enhance_eiu_00001")</f>
        <v/>
      </c>
      <c r="G303" s="334">
        <f>IFERROR(__xludf.DUMMYFUNCTION("""COMPUTED_VALUE"""),"item_icon_artwork_enhance_eiu_00001")</f>
        <v/>
      </c>
      <c r="H303" s="334">
        <f>IFERROR(__xludf.DUMMYFUNCTION("""COMPUTED_VALUE"""),"『英雄機関』の表紙")</f>
        <v/>
      </c>
      <c r="I303" s="334">
        <f>IFERROR(__xludf.DUMMYFUNCTION("""COMPUTED_VALUE"""),"UR")</f>
        <v/>
      </c>
      <c r="J303" s="409">
        <f>IFERROR(__xludf.DUMMYFUNCTION("""COMPUTED_VALUE"""),9.99999999E8)</f>
        <v/>
      </c>
      <c r="K303" s="409">
        <f>IFERROR(__xludf.DUMMYFUNCTION("""COMPUTED_VALUE"""),9.99999999E8)</f>
        <v/>
      </c>
      <c r="L303" s="334">
        <f>IFERROR(__xludf.DUMMYFUNCTION("""COMPUTED_VALUE"""),"「英雄機関」の原画のグレードアップに使用するアイテム")</f>
        <v/>
      </c>
      <c r="M303" s="334" t="n"/>
      <c r="N303" s="339" t="n"/>
      <c r="O303" s="368" t="n"/>
      <c r="P303" s="334" t="n"/>
    </row>
    <row r="304">
      <c r="A304" s="334">
        <f>IFERROR(__xludf.DUMMYFUNCTION("""COMPUTED_VALUE"""),"exo")</f>
        <v/>
      </c>
      <c r="B304" s="334">
        <f>IFERROR(__xludf.DUMMYFUNCTION("""COMPUTED_VALUE"""),"エクソシストを堕とせない")</f>
        <v/>
      </c>
      <c r="C304" s="334">
        <f>IFERROR(__xludf.DUMMYFUNCTION("""COMPUTED_VALUE"""),"artwork_enhance")</f>
        <v/>
      </c>
      <c r="D304" s="408">
        <f>IFERROR(__xludf.DUMMYFUNCTION("""COMPUTED_VALUE"""),"00001")</f>
        <v/>
      </c>
      <c r="E304" s="334">
        <f>IFERROR(__xludf.DUMMYFUNCTION("""COMPUTED_VALUE"""),"artwork_enhance_exo_00001")</f>
        <v/>
      </c>
      <c r="F304" s="334">
        <f>IFERROR(__xludf.DUMMYFUNCTION("""COMPUTED_VALUE"""),"artwork_enhance_exo_00001")</f>
        <v/>
      </c>
      <c r="G304" s="334">
        <f>IFERROR(__xludf.DUMMYFUNCTION("""COMPUTED_VALUE"""),"item_icon_artwork_enhance_exo_00001")</f>
        <v/>
      </c>
      <c r="H304" s="334">
        <f>IFERROR(__xludf.DUMMYFUNCTION("""COMPUTED_VALUE"""),"『エクソシストを堕とせない』の表紙")</f>
        <v/>
      </c>
      <c r="I304" s="334">
        <f>IFERROR(__xludf.DUMMYFUNCTION("""COMPUTED_VALUE"""),"UR")</f>
        <v/>
      </c>
      <c r="J304" s="409">
        <f>IFERROR(__xludf.DUMMYFUNCTION("""COMPUTED_VALUE"""),9.99999999E8)</f>
        <v/>
      </c>
      <c r="K304" s="409">
        <f>IFERROR(__xludf.DUMMYFUNCTION("""COMPUTED_VALUE"""),9.99999999E8)</f>
        <v/>
      </c>
      <c r="L304" s="334">
        <f>IFERROR(__xludf.DUMMYFUNCTION("""COMPUTED_VALUE"""),"「エクソシストを堕とせない」の原画のグレードアップに使用するアイテム")</f>
        <v/>
      </c>
      <c r="M304" s="334" t="n"/>
      <c r="N304" s="339" t="n"/>
      <c r="O304" s="368" t="n"/>
      <c r="P304" s="334" t="n"/>
    </row>
    <row r="305">
      <c r="A305" s="334">
        <f>IFERROR(__xludf.DUMMYFUNCTION("""COMPUTED_VALUE"""),"oto")</f>
        <v/>
      </c>
      <c r="B305" s="334">
        <f>IFERROR(__xludf.DUMMYFUNCTION("""COMPUTED_VALUE"""),"大人大戦")</f>
        <v/>
      </c>
      <c r="C305" s="334">
        <f>IFERROR(__xludf.DUMMYFUNCTION("""COMPUTED_VALUE"""),"artwork_enhance")</f>
        <v/>
      </c>
      <c r="D305" s="408">
        <f>IFERROR(__xludf.DUMMYFUNCTION("""COMPUTED_VALUE"""),"00001")</f>
        <v/>
      </c>
      <c r="E305" s="334">
        <f>IFERROR(__xludf.DUMMYFUNCTION("""COMPUTED_VALUE"""),"artwork_enhance_oto_00001")</f>
        <v/>
      </c>
      <c r="F305" s="334">
        <f>IFERROR(__xludf.DUMMYFUNCTION("""COMPUTED_VALUE"""),"artwork_enhance_oto_00001")</f>
        <v/>
      </c>
      <c r="G305" s="334">
        <f>IFERROR(__xludf.DUMMYFUNCTION("""COMPUTED_VALUE"""),"item_icon_artwork_enhance_oto_00001")</f>
        <v/>
      </c>
      <c r="H305" s="334">
        <f>IFERROR(__xludf.DUMMYFUNCTION("""COMPUTED_VALUE"""),"『大人大戦』の表紙")</f>
        <v/>
      </c>
      <c r="I305" s="334">
        <f>IFERROR(__xludf.DUMMYFUNCTION("""COMPUTED_VALUE"""),"UR")</f>
        <v/>
      </c>
      <c r="J305" s="409">
        <f>IFERROR(__xludf.DUMMYFUNCTION("""COMPUTED_VALUE"""),9.99999999E8)</f>
        <v/>
      </c>
      <c r="K305" s="409">
        <f>IFERROR(__xludf.DUMMYFUNCTION("""COMPUTED_VALUE"""),9.99999999E8)</f>
        <v/>
      </c>
      <c r="L305" s="334">
        <f>IFERROR(__xludf.DUMMYFUNCTION("""COMPUTED_VALUE"""),"「大人大戦」の原画のグレードアップに使用するアイテム")</f>
        <v/>
      </c>
      <c r="M305" s="334" t="n"/>
      <c r="N305" s="339" t="n"/>
      <c r="O305" s="368" t="n"/>
      <c r="P305" s="334" t="n"/>
    </row>
    <row r="306">
      <c r="A306" s="334" t="n"/>
      <c r="B306" s="334" t="n"/>
      <c r="C306" s="334" t="n"/>
      <c r="D306" s="334" t="n"/>
      <c r="E306" s="334" t="n"/>
      <c r="F306" s="334" t="n"/>
      <c r="G306" s="334" t="n"/>
      <c r="H306" s="334" t="n"/>
      <c r="I306" s="334" t="n"/>
      <c r="J306" s="334" t="n"/>
      <c r="K306" s="334" t="n"/>
      <c r="L306" s="334" t="n"/>
      <c r="M306" s="334" t="n"/>
      <c r="N306" s="339" t="n"/>
      <c r="O306" s="368" t="n"/>
      <c r="P306" s="334" t="n"/>
    </row>
    <row r="307">
      <c r="A307" s="334" t="n"/>
      <c r="B307" s="334" t="n"/>
      <c r="C307" s="334" t="n"/>
      <c r="D307" s="334" t="n"/>
      <c r="E307" s="334" t="n"/>
      <c r="F307" s="334" t="n"/>
      <c r="G307" s="334" t="n"/>
      <c r="H307" s="334" t="n"/>
      <c r="I307" s="334" t="n"/>
      <c r="J307" s="334" t="n"/>
      <c r="K307" s="334" t="n"/>
      <c r="L307" s="334" t="n"/>
      <c r="M307" s="334" t="n"/>
      <c r="N307" s="339" t="n"/>
      <c r="O307" s="368" t="n"/>
      <c r="P307" s="334" t="n"/>
    </row>
    <row r="308">
      <c r="A308" s="334" t="n"/>
      <c r="B308" s="334" t="n"/>
      <c r="C308" s="334" t="n"/>
      <c r="D308" s="334" t="n"/>
      <c r="E308" s="334" t="n"/>
      <c r="F308" s="334" t="n"/>
      <c r="G308" s="334" t="n"/>
      <c r="H308" s="334" t="n"/>
      <c r="I308" s="334" t="n"/>
      <c r="J308" s="334" t="n"/>
      <c r="K308" s="334" t="n"/>
      <c r="L308" s="334" t="n"/>
      <c r="M308" s="334" t="n"/>
      <c r="N308" s="339" t="n"/>
      <c r="O308" s="368" t="n"/>
      <c r="P308" s="334" t="n"/>
    </row>
    <row r="309">
      <c r="A309" s="334" t="n"/>
      <c r="B309" s="334" t="n"/>
      <c r="C309" s="334" t="n"/>
      <c r="D309" s="334" t="n"/>
      <c r="E309" s="334" t="n"/>
      <c r="F309" s="334" t="n"/>
      <c r="G309" s="334" t="n"/>
      <c r="H309" s="334" t="n"/>
      <c r="I309" s="334" t="n"/>
      <c r="J309" s="334" t="n"/>
      <c r="K309" s="334" t="n"/>
      <c r="L309" s="334" t="n"/>
      <c r="M309" s="334" t="n"/>
      <c r="N309" s="339" t="n"/>
      <c r="O309" s="368" t="n"/>
      <c r="P309" s="334" t="n"/>
    </row>
    <row r="310">
      <c r="A310" s="334" t="n"/>
      <c r="B310" s="334" t="n"/>
      <c r="C310" s="334" t="n"/>
      <c r="D310" s="334" t="n"/>
      <c r="E310" s="334" t="n"/>
      <c r="F310" s="334" t="n"/>
      <c r="G310" s="334" t="n"/>
      <c r="H310" s="334" t="n"/>
      <c r="I310" s="334" t="n"/>
      <c r="J310" s="334" t="n"/>
      <c r="K310" s="334" t="n"/>
      <c r="L310" s="334" t="n"/>
      <c r="M310" s="334" t="n"/>
      <c r="N310" s="339" t="n"/>
      <c r="O310" s="368" t="n"/>
      <c r="P310" s="334" t="n"/>
    </row>
    <row r="311">
      <c r="A311" s="334" t="n"/>
      <c r="B311" s="334" t="n"/>
      <c r="C311" s="334" t="n"/>
      <c r="D311" s="334" t="n"/>
      <c r="E311" s="334" t="n"/>
      <c r="F311" s="334" t="n"/>
      <c r="G311" s="334" t="n"/>
      <c r="H311" s="334" t="n"/>
      <c r="I311" s="334" t="n"/>
      <c r="J311" s="334" t="n"/>
      <c r="K311" s="334" t="n"/>
      <c r="L311" s="334" t="n"/>
      <c r="M311" s="334" t="n"/>
      <c r="N311" s="339" t="n"/>
      <c r="O311" s="368" t="n"/>
      <c r="P311" s="334" t="n"/>
    </row>
    <row r="312">
      <c r="A312" s="334">
        <f>IFERROR(__xludf.DUMMYFUNCTION("""COMPUTED_VALUE"""),"▼いいジャンくじ（BOXガシャ）専用リソースアイテム（end_dateの記載を忘れないように）
※その都度、ID切り直し名称も少し変更しますが、画像は共通のものを使用してください")</f>
        <v/>
      </c>
      <c r="B312" s="334" t="n"/>
      <c r="C312" s="334" t="n"/>
      <c r="D312" s="334" t="n"/>
      <c r="E312" s="334" t="n"/>
      <c r="F312" s="334" t="n"/>
      <c r="G312" s="334" t="n"/>
      <c r="H312" s="334" t="n"/>
      <c r="I312" s="334" t="n"/>
      <c r="J312" s="334" t="n"/>
      <c r="K312" s="334" t="n"/>
      <c r="L312" s="334" t="n"/>
      <c r="M312" s="334" t="n"/>
      <c r="N312" s="339" t="n"/>
      <c r="O312" s="368" t="n"/>
      <c r="P312" s="334" t="n"/>
    </row>
    <row r="313">
      <c r="A313" s="334">
        <f>IFERROR(__xludf.DUMMYFUNCTION("""COMPUTED_VALUE"""),"glo")</f>
        <v/>
      </c>
      <c r="B313" s="334">
        <f>IFERROR(__xludf.DUMMYFUNCTION("""COMPUTED_VALUE"""),"GLOW")</f>
        <v/>
      </c>
      <c r="C313" s="334">
        <f>IFERROR(__xludf.DUMMYFUNCTION("""COMPUTED_VALUE"""),"box_item")</f>
        <v/>
      </c>
      <c r="D313" s="408">
        <f>IFERROR(__xludf.DUMMYFUNCTION("""COMPUTED_VALUE"""),"00001")</f>
        <v/>
      </c>
      <c r="E313" s="334">
        <f>IFERROR(__xludf.DUMMYFUNCTION("""COMPUTED_VALUE"""),"box_item_glo_00001")</f>
        <v/>
      </c>
      <c r="F313" s="334">
        <f>IFERROR(__xludf.DUMMYFUNCTION("""COMPUTED_VALUE"""),"box_item_glo_00001")</f>
        <v/>
      </c>
      <c r="G313" s="334">
        <f>IFERROR(__xludf.DUMMYFUNCTION("""COMPUTED_VALUE"""),"item_icon_box_item_glo_00001")</f>
        <v/>
      </c>
      <c r="H313" s="334">
        <f>IFERROR(__xludf.DUMMYFUNCTION("""COMPUTED_VALUE"""),"100カノ いいジャンくじ券")</f>
        <v/>
      </c>
      <c r="I313" s="334">
        <f>IFERROR(__xludf.DUMMYFUNCTION("""COMPUTED_VALUE"""),"R")</f>
        <v/>
      </c>
      <c r="J313" s="409">
        <f>IFERROR(__xludf.DUMMYFUNCTION("""COMPUTED_VALUE"""),9.99999999E8)</f>
        <v/>
      </c>
      <c r="K313" s="409">
        <f>IFERROR(__xludf.DUMMYFUNCTION("""COMPUTED_VALUE"""),9.99999999E8)</f>
        <v/>
      </c>
      <c r="L313" s="334">
        <f>IFERROR(__xludf.DUMMYFUNCTION("""COMPUTED_VALUE"""),"100カノ いいジャンくじ券引換所で使用するアイテム")</f>
        <v/>
      </c>
      <c r="M313" s="334">
        <f>IFERROR(__xludf.DUMMYFUNCTION("""COMPUTED_VALUE"""),"画像デザインは全て同じものを使用するので、アセットキーや画像ファイルIDは固定とする
アイテム名称は施策名+いいジャンくじ券
とする
識別IDは連番で使用する
施策終了に合わせて非表示になるようにする")</f>
        <v/>
      </c>
      <c r="N313" s="410">
        <f>IFERROR(__xludf.DUMMYFUNCTION("""COMPUTED_VALUE"""),"2026-02-16 15:00:00")</f>
        <v/>
      </c>
      <c r="O313" s="368" t="n"/>
      <c r="P313" s="334" t="n"/>
    </row>
    <row r="314">
      <c r="A314" s="334">
        <f>IFERROR(__xludf.DUMMYFUNCTION("""COMPUTED_VALUE"""),"l05anniv")</f>
        <v/>
      </c>
      <c r="B314" s="334">
        <f>IFERROR(__xludf.DUMMYFUNCTION("""COMPUTED_VALUE"""),"ハーフアニバーサリー 感謝祭！後半")</f>
        <v/>
      </c>
      <c r="C314" s="334">
        <f>IFERROR(__xludf.DUMMYFUNCTION("""COMPUTED_VALUE"""),"box_item")</f>
        <v/>
      </c>
      <c r="D314" s="408">
        <f>IFERROR(__xludf.DUMMYFUNCTION("""COMPUTED_VALUE"""),"00001")</f>
        <v/>
      </c>
      <c r="E314" s="334">
        <f>IFERROR(__xludf.DUMMYFUNCTION("""COMPUTED_VALUE"""),"box_item_l05anniv_00001")</f>
        <v/>
      </c>
      <c r="F314" s="334">
        <f>IFERROR(__xludf.DUMMYFUNCTION("""COMPUTED_VALUE"""),"box_item_l05anniv_00001")</f>
        <v/>
      </c>
      <c r="G314" s="334">
        <f>IFERROR(__xludf.DUMMYFUNCTION("""COMPUTED_VALUE"""),"item_icon_box_item_glo_00001")</f>
        <v/>
      </c>
      <c r="H314" s="334">
        <f>IFERROR(__xludf.DUMMYFUNCTION("""COMPUTED_VALUE"""),"ハーフアニバーサリー いいジャンくじ券")</f>
        <v/>
      </c>
      <c r="I314" s="334">
        <f>IFERROR(__xludf.DUMMYFUNCTION("""COMPUTED_VALUE"""),"R")</f>
        <v/>
      </c>
      <c r="J314" s="409">
        <f>IFERROR(__xludf.DUMMYFUNCTION("""COMPUTED_VALUE"""),9.99999999E8)</f>
        <v/>
      </c>
      <c r="K314" s="409">
        <f>IFERROR(__xludf.DUMMYFUNCTION("""COMPUTED_VALUE"""),9.99999999E8)</f>
        <v/>
      </c>
      <c r="L314" s="334">
        <f>IFERROR(__xludf.DUMMYFUNCTION("""COMPUTED_VALUE"""),"ハーフアニバーサリー いいジャンくじ引換所で使用するアイテム")</f>
        <v/>
      </c>
      <c r="M314" s="334" t="n"/>
      <c r="N314" s="410">
        <f>IFERROR(__xludf.DUMMYFUNCTION("""COMPUTED_VALUE"""),"2026-03-30 15:00:00")</f>
        <v/>
      </c>
      <c r="O314" s="368" t="n"/>
      <c r="P314" s="334" t="n"/>
    </row>
    <row r="315">
      <c r="A315" s="334" t="n"/>
      <c r="B315" s="334" t="n"/>
      <c r="C315" s="334" t="n"/>
      <c r="D315" s="334" t="n"/>
      <c r="E315" s="334" t="n"/>
      <c r="F315" s="334" t="n"/>
      <c r="G315" s="334" t="n"/>
      <c r="H315" s="334" t="n"/>
      <c r="I315" s="334" t="n"/>
      <c r="J315" s="334" t="n"/>
      <c r="K315" s="334" t="n"/>
      <c r="L315" s="334" t="n"/>
      <c r="M315" s="334" t="n"/>
      <c r="N315" s="339" t="n"/>
      <c r="O315" s="368" t="n"/>
      <c r="P315" s="334" t="n"/>
    </row>
    <row r="316">
      <c r="A316" s="334">
        <f>IFERROR(__xludf.DUMMYFUNCTION("""COMPUTED_VALUE"""),"▼収集アイテム（交換所で使用できるアイテム）（end_dateの記載を忘れないように）")</f>
        <v/>
      </c>
      <c r="B316" s="334" t="n"/>
      <c r="C316" s="334" t="n"/>
      <c r="D316" s="334" t="n"/>
      <c r="E316" s="334" t="n"/>
      <c r="F316" s="334" t="n"/>
      <c r="G316" s="334" t="n"/>
      <c r="H316" s="334" t="n"/>
      <c r="I316" s="334" t="n"/>
      <c r="J316" s="334" t="n"/>
      <c r="K316" s="334" t="n"/>
      <c r="L316" s="334" t="n"/>
      <c r="M316" s="334" t="n"/>
      <c r="N316" s="339" t="n"/>
      <c r="O316" s="368" t="n"/>
      <c r="P316" s="334" t="n"/>
    </row>
    <row r="317">
      <c r="A317" s="334">
        <f>IFERROR(__xludf.DUMMYFUNCTION("""COMPUTED_VALUE"""),"glo")</f>
        <v/>
      </c>
      <c r="B317" s="334">
        <f>IFERROR(__xludf.DUMMYFUNCTION("""COMPUTED_VALUE"""),"GLOW")</f>
        <v/>
      </c>
      <c r="C317" s="334">
        <f>IFERROR(__xludf.DUMMYFUNCTION("""COMPUTED_VALUE"""),"item")</f>
        <v/>
      </c>
      <c r="D317" s="408">
        <f>IFERROR(__xludf.DUMMYFUNCTION("""COMPUTED_VALUE"""),"00001")</f>
        <v/>
      </c>
      <c r="E317" s="334">
        <f>IFERROR(__xludf.DUMMYFUNCTION("""COMPUTED_VALUE"""),"item_glo_00001")</f>
        <v/>
      </c>
      <c r="F317" s="334">
        <f>IFERROR(__xludf.DUMMYFUNCTION("""COMPUTED_VALUE"""),"item_glo_00001")</f>
        <v/>
      </c>
      <c r="G317" s="334">
        <f>IFERROR(__xludf.DUMMYFUNCTION("""COMPUTED_VALUE"""),"item_icon_item_glo_00001")</f>
        <v/>
      </c>
      <c r="H317" s="334">
        <f>IFERROR(__xludf.DUMMYFUNCTION("""COMPUTED_VALUE"""),"いいジャン祭メダル【赤】")</f>
        <v/>
      </c>
      <c r="I317" s="334">
        <f>IFERROR(__xludf.DUMMYFUNCTION("""COMPUTED_VALUE"""),"R")</f>
        <v/>
      </c>
      <c r="J317" s="409">
        <f>IFERROR(__xludf.DUMMYFUNCTION("""COMPUTED_VALUE"""),9.99999999E8)</f>
        <v/>
      </c>
      <c r="K317" s="409">
        <f>IFERROR(__xludf.DUMMYFUNCTION("""COMPUTED_VALUE"""),9.99999999E8)</f>
        <v/>
      </c>
      <c r="L317" s="334">
        <f>IFERROR(__xludf.DUMMYFUNCTION("""COMPUTED_VALUE"""),"交換所で使用するメダル")</f>
        <v/>
      </c>
      <c r="M317" s="334" t="n"/>
      <c r="N317" s="410">
        <f>IFERROR(__xludf.DUMMYFUNCTION("""COMPUTED_VALUE"""),"2026-01-01 00:00:00")</f>
        <v/>
      </c>
      <c r="O317" s="368" t="n"/>
      <c r="P317" s="334" t="n"/>
    </row>
    <row r="318">
      <c r="A318" s="334">
        <f>IFERROR(__xludf.DUMMYFUNCTION("""COMPUTED_VALUE"""),"glo")</f>
        <v/>
      </c>
      <c r="B318" s="334">
        <f>IFERROR(__xludf.DUMMYFUNCTION("""COMPUTED_VALUE"""),"GLOW")</f>
        <v/>
      </c>
      <c r="C318" s="334">
        <f>IFERROR(__xludf.DUMMYFUNCTION("""COMPUTED_VALUE"""),"item")</f>
        <v/>
      </c>
      <c r="D318" s="408">
        <f>IFERROR(__xludf.DUMMYFUNCTION("""COMPUTED_VALUE"""),"00002")</f>
        <v/>
      </c>
      <c r="E318" s="334">
        <f>IFERROR(__xludf.DUMMYFUNCTION("""COMPUTED_VALUE"""),"item_glo_00002")</f>
        <v/>
      </c>
      <c r="F318" s="334">
        <f>IFERROR(__xludf.DUMMYFUNCTION("""COMPUTED_VALUE"""),"item_glo_00002")</f>
        <v/>
      </c>
      <c r="G318" s="334">
        <f>IFERROR(__xludf.DUMMYFUNCTION("""COMPUTED_VALUE"""),"item_icon_item_glo_00002")</f>
        <v/>
      </c>
      <c r="H318" s="334">
        <f>IFERROR(__xludf.DUMMYFUNCTION("""COMPUTED_VALUE"""),"いいジャン祭メダル【青】")</f>
        <v/>
      </c>
      <c r="I318" s="334">
        <f>IFERROR(__xludf.DUMMYFUNCTION("""COMPUTED_VALUE"""),"R")</f>
        <v/>
      </c>
      <c r="J318" s="409">
        <f>IFERROR(__xludf.DUMMYFUNCTION("""COMPUTED_VALUE"""),9.99999999E8)</f>
        <v/>
      </c>
      <c r="K318" s="409">
        <f>IFERROR(__xludf.DUMMYFUNCTION("""COMPUTED_VALUE"""),9.99999999E8)</f>
        <v/>
      </c>
      <c r="L318" s="334">
        <f>IFERROR(__xludf.DUMMYFUNCTION("""COMPUTED_VALUE"""),"交換所で使用するメダル")</f>
        <v/>
      </c>
      <c r="M318" s="334" t="n"/>
      <c r="N318" s="410">
        <f>IFERROR(__xludf.DUMMYFUNCTION("""COMPUTED_VALUE"""),"2026-01-01 00:00:00")</f>
        <v/>
      </c>
      <c r="O318" s="368" t="n"/>
      <c r="P318" s="334" t="n"/>
    </row>
    <row r="319">
      <c r="A319" s="334">
        <f>IFERROR(__xludf.DUMMYFUNCTION("""COMPUTED_VALUE"""),"glo")</f>
        <v/>
      </c>
      <c r="B319" s="334">
        <f>IFERROR(__xludf.DUMMYFUNCTION("""COMPUTED_VALUE"""),"GLOW")</f>
        <v/>
      </c>
      <c r="C319" s="334">
        <f>IFERROR(__xludf.DUMMYFUNCTION("""COMPUTED_VALUE"""),"item")</f>
        <v/>
      </c>
      <c r="D319" s="408">
        <f>IFERROR(__xludf.DUMMYFUNCTION("""COMPUTED_VALUE"""),"00003")</f>
        <v/>
      </c>
      <c r="E319" s="334">
        <f>IFERROR(__xludf.DUMMYFUNCTION("""COMPUTED_VALUE"""),"item_glo_00003")</f>
        <v/>
      </c>
      <c r="F319" s="334">
        <f>IFERROR(__xludf.DUMMYFUNCTION("""COMPUTED_VALUE"""),"item_glo_00003")</f>
        <v/>
      </c>
      <c r="G319" s="334">
        <f>IFERROR(__xludf.DUMMYFUNCTION("""COMPUTED_VALUE"""),"item_icon_item_glo_00003")</f>
        <v/>
      </c>
      <c r="H319" s="334">
        <f>IFERROR(__xludf.DUMMYFUNCTION("""COMPUTED_VALUE"""),"いいジャン祭メダル【緑】")</f>
        <v/>
      </c>
      <c r="I319" s="334">
        <f>IFERROR(__xludf.DUMMYFUNCTION("""COMPUTED_VALUE"""),"R")</f>
        <v/>
      </c>
      <c r="J319" s="409">
        <f>IFERROR(__xludf.DUMMYFUNCTION("""COMPUTED_VALUE"""),9.99999999E8)</f>
        <v/>
      </c>
      <c r="K319" s="409">
        <f>IFERROR(__xludf.DUMMYFUNCTION("""COMPUTED_VALUE"""),9.99999999E8)</f>
        <v/>
      </c>
      <c r="L319" s="334">
        <f>IFERROR(__xludf.DUMMYFUNCTION("""COMPUTED_VALUE"""),"交換所で使用するメダル")</f>
        <v/>
      </c>
      <c r="M319" s="334" t="n"/>
      <c r="N319" s="410">
        <f>IFERROR(__xludf.DUMMYFUNCTION("""COMPUTED_VALUE"""),"2026-01-01 00:00:00")</f>
        <v/>
      </c>
      <c r="O319" s="368" t="n"/>
      <c r="P319" s="334" t="n"/>
    </row>
    <row r="320">
      <c r="A320" s="334">
        <f>IFERROR(__xludf.DUMMYFUNCTION("""COMPUTED_VALUE"""),"glo")</f>
        <v/>
      </c>
      <c r="B320" s="334">
        <f>IFERROR(__xludf.DUMMYFUNCTION("""COMPUTED_VALUE"""),"GLOW")</f>
        <v/>
      </c>
      <c r="C320" s="334">
        <f>IFERROR(__xludf.DUMMYFUNCTION("""COMPUTED_VALUE"""),"item")</f>
        <v/>
      </c>
      <c r="D320" s="408">
        <f>IFERROR(__xludf.DUMMYFUNCTION("""COMPUTED_VALUE"""),"00004")</f>
        <v/>
      </c>
      <c r="E320" s="334">
        <f>IFERROR(__xludf.DUMMYFUNCTION("""COMPUTED_VALUE"""),"item_glo_00004")</f>
        <v/>
      </c>
      <c r="F320" s="334">
        <f>IFERROR(__xludf.DUMMYFUNCTION("""COMPUTED_VALUE"""),"item_glo_00004")</f>
        <v/>
      </c>
      <c r="G320" s="334">
        <f>IFERROR(__xludf.DUMMYFUNCTION("""COMPUTED_VALUE"""),"item_icon_item_glo_00004")</f>
        <v/>
      </c>
      <c r="H320" s="334">
        <f>IFERROR(__xludf.DUMMYFUNCTION("""COMPUTED_VALUE"""),"いいジャン祭メダル【黄】")</f>
        <v/>
      </c>
      <c r="I320" s="334">
        <f>IFERROR(__xludf.DUMMYFUNCTION("""COMPUTED_VALUE"""),"R")</f>
        <v/>
      </c>
      <c r="J320" s="409">
        <f>IFERROR(__xludf.DUMMYFUNCTION("""COMPUTED_VALUE"""),9.99999999E8)</f>
        <v/>
      </c>
      <c r="K320" s="409">
        <f>IFERROR(__xludf.DUMMYFUNCTION("""COMPUTED_VALUE"""),9.99999999E8)</f>
        <v/>
      </c>
      <c r="L320" s="334">
        <f>IFERROR(__xludf.DUMMYFUNCTION("""COMPUTED_VALUE"""),"交換所で使用するメダル")</f>
        <v/>
      </c>
      <c r="M320" s="334" t="n"/>
      <c r="N320" s="410">
        <f>IFERROR(__xludf.DUMMYFUNCTION("""COMPUTED_VALUE"""),"2026-01-01 00:00:00")</f>
        <v/>
      </c>
      <c r="O320" s="368" t="n"/>
      <c r="P320" s="334" t="n"/>
    </row>
    <row r="321">
      <c r="A321" s="334">
        <f>IFERROR(__xludf.DUMMYFUNCTION("""COMPUTED_VALUE"""),"kim")</f>
        <v/>
      </c>
      <c r="B321" s="334">
        <f>IFERROR(__xludf.DUMMYFUNCTION("""COMPUTED_VALUE"""),"君のことが大大大大大好きな100人の彼女")</f>
        <v/>
      </c>
      <c r="C321" s="334">
        <f>IFERROR(__xludf.DUMMYFUNCTION("""COMPUTED_VALUE"""),"item")</f>
        <v/>
      </c>
      <c r="D321" s="408">
        <f>IFERROR(__xludf.DUMMYFUNCTION("""COMPUTED_VALUE"""),"00001")</f>
        <v/>
      </c>
      <c r="E321" s="334">
        <f>IFERROR(__xludf.DUMMYFUNCTION("""COMPUTED_VALUE"""),"item_kim_00001")</f>
        <v/>
      </c>
      <c r="F321" s="334">
        <f>IFERROR(__xludf.DUMMYFUNCTION("""COMPUTED_VALUE"""),"item_kim_00001")</f>
        <v/>
      </c>
      <c r="G321" s="334">
        <f>IFERROR(__xludf.DUMMYFUNCTION("""COMPUTED_VALUE"""),"item_icon_item_kim_00001")</f>
        <v/>
      </c>
      <c r="H321" s="334">
        <f>IFERROR(__xludf.DUMMYFUNCTION("""COMPUTED_VALUE"""),"打ち消しの薬")</f>
        <v/>
      </c>
      <c r="I321" s="334">
        <f>IFERROR(__xludf.DUMMYFUNCTION("""COMPUTED_VALUE"""),"R")</f>
        <v/>
      </c>
      <c r="J321" s="409">
        <f>IFERROR(__xludf.DUMMYFUNCTION("""COMPUTED_VALUE"""),9.99999999E8)</f>
        <v/>
      </c>
      <c r="K321" s="409">
        <f>IFERROR(__xludf.DUMMYFUNCTION("""COMPUTED_VALUE"""),9.99999999E8)</f>
        <v/>
      </c>
      <c r="L321" s="334">
        <f>IFERROR(__xludf.DUMMYFUNCTION("""COMPUTED_VALUE"""),"君のことが大大大大大好きな100人の彼女交換所で使用するアイテム")</f>
        <v/>
      </c>
      <c r="M321" s="334">
        <f>IFERROR(__xludf.DUMMYFUNCTION("""COMPUTED_VALUE"""),"BOXガシャへ変更のため、不使用")</f>
        <v/>
      </c>
      <c r="N321" s="410">
        <f>IFERROR(__xludf.DUMMYFUNCTION("""COMPUTED_VALUE"""),"不使用")</f>
        <v/>
      </c>
      <c r="O321" s="368" t="n"/>
      <c r="P321" s="334" t="n"/>
    </row>
    <row r="322">
      <c r="A322" s="334">
        <f>IFERROR(__xludf.DUMMYFUNCTION("""COMPUTED_VALUE"""),"hut")</f>
        <v/>
      </c>
      <c r="B322" s="334">
        <f>IFERROR(__xludf.DUMMYFUNCTION("""COMPUTED_VALUE"""),"ふつうの軽音部")</f>
        <v/>
      </c>
      <c r="C322" s="334">
        <f>IFERROR(__xludf.DUMMYFUNCTION("""COMPUTED_VALUE"""),"item")</f>
        <v/>
      </c>
      <c r="D322" s="408">
        <f>IFERROR(__xludf.DUMMYFUNCTION("""COMPUTED_VALUE"""),"00001")</f>
        <v/>
      </c>
      <c r="E322" s="334">
        <f>IFERROR(__xludf.DUMMYFUNCTION("""COMPUTED_VALUE"""),"item_hut_00001")</f>
        <v/>
      </c>
      <c r="F322" s="334">
        <f>IFERROR(__xludf.DUMMYFUNCTION("""COMPUTED_VALUE"""),"item_hut_00001")</f>
        <v/>
      </c>
      <c r="G322" s="334">
        <f>IFERROR(__xludf.DUMMYFUNCTION("""COMPUTED_VALUE"""),"item_icon_item_hut_00001")</f>
        <v/>
      </c>
      <c r="H322" s="334">
        <f>IFERROR(__xludf.DUMMYFUNCTION("""COMPUTED_VALUE"""),"ギターピック")</f>
        <v/>
      </c>
      <c r="I322" s="334">
        <f>IFERROR(__xludf.DUMMYFUNCTION("""COMPUTED_VALUE"""),"R")</f>
        <v/>
      </c>
      <c r="J322" s="409">
        <f>IFERROR(__xludf.DUMMYFUNCTION("""COMPUTED_VALUE"""),9.99999999E8)</f>
        <v/>
      </c>
      <c r="K322" s="409">
        <f>IFERROR(__xludf.DUMMYFUNCTION("""COMPUTED_VALUE"""),9.99999999E8)</f>
        <v/>
      </c>
      <c r="L322" s="334">
        <f>IFERROR(__xludf.DUMMYFUNCTION("""COMPUTED_VALUE"""),"いいジャン祭交換所で使用するアイテム")</f>
        <v/>
      </c>
      <c r="M322" s="334" t="n"/>
      <c r="N322" s="410">
        <f>IFERROR(__xludf.DUMMYFUNCTION("""COMPUTED_VALUE"""),"2026-03-02 15:00:00")</f>
        <v/>
      </c>
      <c r="O322" s="368" t="n"/>
      <c r="P322" s="334" t="n"/>
    </row>
    <row r="323">
      <c r="A323" s="334">
        <f>IFERROR(__xludf.DUMMYFUNCTION("""COMPUTED_VALUE"""),"aya")</f>
        <v/>
      </c>
      <c r="B323" s="334">
        <f>IFERROR(__xludf.DUMMYFUNCTION("""COMPUTED_VALUE"""),"あやかしトライアングル")</f>
        <v/>
      </c>
      <c r="C323" s="334">
        <f>IFERROR(__xludf.DUMMYFUNCTION("""COMPUTED_VALUE"""),"item")</f>
        <v/>
      </c>
      <c r="D323" s="408">
        <f>IFERROR(__xludf.DUMMYFUNCTION("""COMPUTED_VALUE"""),"00001")</f>
        <v/>
      </c>
      <c r="E323" s="334">
        <f>IFERROR(__xludf.DUMMYFUNCTION("""COMPUTED_VALUE"""),"item_aya_00001")</f>
        <v/>
      </c>
      <c r="F323" s="334">
        <f>IFERROR(__xludf.DUMMYFUNCTION("""COMPUTED_VALUE"""),"item_aya_00001")</f>
        <v/>
      </c>
      <c r="G323" s="334">
        <f>IFERROR(__xludf.DUMMYFUNCTION("""COMPUTED_VALUE"""),"item_icon_item_aya_00001")</f>
        <v/>
      </c>
      <c r="H323" s="334">
        <f>IFERROR(__xludf.DUMMYFUNCTION("""COMPUTED_VALUE"""),"風車")</f>
        <v/>
      </c>
      <c r="I323" s="334">
        <f>IFERROR(__xludf.DUMMYFUNCTION("""COMPUTED_VALUE"""),"R")</f>
        <v/>
      </c>
      <c r="J323" s="409">
        <f>IFERROR(__xludf.DUMMYFUNCTION("""COMPUTED_VALUE"""),9.99999999E8)</f>
        <v/>
      </c>
      <c r="K323" s="409">
        <f>IFERROR(__xludf.DUMMYFUNCTION("""COMPUTED_VALUE"""),9.99999999E8)</f>
        <v/>
      </c>
      <c r="L323" s="334">
        <f>IFERROR(__xludf.DUMMYFUNCTION("""COMPUTED_VALUE"""),"いいジャン祭交換所で使用するアイテム")</f>
        <v/>
      </c>
      <c r="M323" s="334" t="n"/>
      <c r="N323" s="410">
        <f>IFERROR(__xludf.DUMMYFUNCTION("""COMPUTED_VALUE"""),"2026-04-17 15:00:00")</f>
        <v/>
      </c>
      <c r="O323" s="368" t="n"/>
      <c r="P323" s="334" t="n"/>
    </row>
    <row r="324">
      <c r="A324" s="334" t="n"/>
      <c r="B324" s="334">
        <f>IFERROR(__xludf.DUMMYFUNCTION("""COMPUTED_VALUE"""),"error")</f>
        <v/>
      </c>
      <c r="C324" s="334">
        <f>IFERROR(__xludf.DUMMYFUNCTION("""COMPUTED_VALUE"""),"item")</f>
        <v/>
      </c>
      <c r="D324" s="408">
        <f>IFERROR(__xludf.DUMMYFUNCTION("""COMPUTED_VALUE"""),"00005")</f>
        <v/>
      </c>
      <c r="E324" s="334">
        <f>IFERROR(__xludf.DUMMYFUNCTION("""COMPUTED_VALUE"""),"item__00005")</f>
        <v/>
      </c>
      <c r="F324" s="334">
        <f>IFERROR(__xludf.DUMMYFUNCTION("""COMPUTED_VALUE"""),"item__00005")</f>
        <v/>
      </c>
      <c r="G324" s="334">
        <f>IFERROR(__xludf.DUMMYFUNCTION("""COMPUTED_VALUE"""),"item_icon_item__00005")</f>
        <v/>
      </c>
      <c r="H324" s="334" t="n"/>
      <c r="I324" s="334">
        <f>IFERROR(__xludf.DUMMYFUNCTION("""COMPUTED_VALUE"""),"R")</f>
        <v/>
      </c>
      <c r="J324" s="409">
        <f>IFERROR(__xludf.DUMMYFUNCTION("""COMPUTED_VALUE"""),9.99999999E8)</f>
        <v/>
      </c>
      <c r="K324" s="409">
        <f>IFERROR(__xludf.DUMMYFUNCTION("""COMPUTED_VALUE"""),9.99999999E8)</f>
        <v/>
      </c>
      <c r="L324" s="334">
        <f>IFERROR(__xludf.DUMMYFUNCTION("""COMPUTED_VALUE"""),"交換所で使用するメダル")</f>
        <v/>
      </c>
      <c r="M324" s="334" t="n"/>
      <c r="N324" s="410">
        <f>IFERROR(__xludf.DUMMYFUNCTION("""COMPUTED_VALUE"""),"2026-05-01 15:00:00")</f>
        <v/>
      </c>
      <c r="O324" s="368" t="n"/>
      <c r="P324" s="334" t="n"/>
    </row>
    <row r="325">
      <c r="A325" s="334" t="n"/>
      <c r="B325" s="334" t="n"/>
      <c r="C325" s="334" t="n"/>
      <c r="D325" s="334" t="n"/>
      <c r="E325" s="334" t="n"/>
      <c r="F325" s="334" t="n"/>
      <c r="G325" s="334" t="n"/>
      <c r="H325" s="334" t="n"/>
      <c r="I325" s="334" t="n"/>
      <c r="J325" s="334" t="n"/>
      <c r="K325" s="334" t="n"/>
      <c r="L325" s="334" t="n"/>
      <c r="M325" s="334" t="n"/>
      <c r="N325" s="339" t="n"/>
      <c r="O325" s="368" t="n"/>
      <c r="P325" s="334" t="n"/>
    </row>
    <row r="326">
      <c r="A326" s="334" t="n"/>
      <c r="B326" s="334" t="n"/>
      <c r="C326" s="334" t="n"/>
      <c r="D326" s="334" t="n"/>
      <c r="E326" s="334" t="n"/>
      <c r="F326" s="334" t="n"/>
      <c r="G326" s="334" t="n"/>
      <c r="H326" s="334" t="n"/>
      <c r="I326" s="334" t="n"/>
      <c r="J326" s="334" t="n"/>
      <c r="K326" s="334" t="n"/>
      <c r="L326" s="334" t="n"/>
      <c r="M326" s="334" t="n"/>
      <c r="N326" s="339" t="n"/>
      <c r="O326" s="368" t="n"/>
      <c r="P326" s="334" t="n"/>
    </row>
    <row r="327">
      <c r="A327" s="334">
        <f>IFERROR(__xludf.DUMMYFUNCTION("""COMPUTED_VALUE"""),"▼限界チャレンジ専用アイテム（限界チャレンジ交換所で使用できるポイント）")</f>
        <v/>
      </c>
      <c r="B327" s="334" t="n"/>
      <c r="C327" s="334" t="n"/>
      <c r="D327" s="334" t="n"/>
      <c r="E327" s="334" t="n"/>
      <c r="F327" s="334" t="n"/>
      <c r="G327" s="334" t="n"/>
      <c r="H327" s="334" t="n"/>
      <c r="I327" s="334" t="n"/>
      <c r="J327" s="334" t="n"/>
      <c r="K327" s="334" t="n"/>
      <c r="L327" s="334" t="n"/>
      <c r="M327" s="334" t="n"/>
      <c r="N327" s="339" t="n"/>
      <c r="O327" s="368" t="n"/>
      <c r="P327" s="334" t="n"/>
    </row>
    <row r="328">
      <c r="A328" s="334">
        <f>IFERROR(__xludf.DUMMYFUNCTION("""COMPUTED_VALUE"""),"spy")</f>
        <v/>
      </c>
      <c r="B328" s="334">
        <f>IFERROR(__xludf.DUMMYFUNCTION("""COMPUTED_VALUE"""),"SPY×FAMILY")</f>
        <v/>
      </c>
      <c r="C328" s="334">
        <f>IFERROR(__xludf.DUMMYFUNCTION("""COMPUTED_VALUE"""),"item_point")</f>
        <v/>
      </c>
      <c r="D328" s="408">
        <f>IFERROR(__xludf.DUMMYFUNCTION("""COMPUTED_VALUE"""),"00001")</f>
        <v/>
      </c>
      <c r="E328" s="334">
        <f>IFERROR(__xludf.DUMMYFUNCTION("""COMPUTED_VALUE"""),"item_point_spy_00001")</f>
        <v/>
      </c>
      <c r="F328" s="334">
        <f>IFERROR(__xludf.DUMMYFUNCTION("""COMPUTED_VALUE"""),"item_point_spy_00001")</f>
        <v/>
      </c>
      <c r="G328" s="334">
        <f>IFERROR(__xludf.DUMMYFUNCTION("""COMPUTED_VALUE"""),"アイテム画像はなし")</f>
        <v/>
      </c>
      <c r="H328" s="408">
        <f>IFERROR(__xludf.DUMMYFUNCTION("""COMPUTED_VALUE"""),"『SPY×FAMILY』 の作品ポイント")</f>
        <v/>
      </c>
      <c r="I328" s="334">
        <f>IFERROR(__xludf.DUMMYFUNCTION("""COMPUTED_VALUE"""),"R")</f>
        <v/>
      </c>
      <c r="J328" s="409">
        <f>IFERROR(__xludf.DUMMYFUNCTION("""COMPUTED_VALUE"""),9.99999999E8)</f>
        <v/>
      </c>
      <c r="K328" s="409">
        <f>IFERROR(__xludf.DUMMYFUNCTION("""COMPUTED_VALUE"""),9.99999999E8)</f>
        <v/>
      </c>
      <c r="L328" s="334">
        <f>IFERROR(__xludf.DUMMYFUNCTION("""COMPUTED_VALUE"""),"フレーバーテキストなし")</f>
        <v/>
      </c>
      <c r="M328" s="334">
        <f>IFERROR(__xludf.DUMMYFUNCTION("""COMPUTED_VALUE"""),"アイテム画像とフレーバーテキストの表示箇所はなし")</f>
        <v/>
      </c>
      <c r="N328" s="410">
        <f>IFERROR(__xludf.DUMMYFUNCTION("""COMPUTED_VALUE"""),"2026-03-01 00:00:00")</f>
        <v/>
      </c>
      <c r="O328" s="368" t="n"/>
      <c r="P328" s="334" t="n"/>
    </row>
    <row r="329">
      <c r="A329" s="334">
        <f>IFERROR(__xludf.DUMMYFUNCTION("""COMPUTED_VALUE"""),"aka")</f>
        <v/>
      </c>
      <c r="B329" s="334">
        <f>IFERROR(__xludf.DUMMYFUNCTION("""COMPUTED_VALUE"""),"ラーメン赤猫")</f>
        <v/>
      </c>
      <c r="C329" s="334">
        <f>IFERROR(__xludf.DUMMYFUNCTION("""COMPUTED_VALUE"""),"item_point")</f>
        <v/>
      </c>
      <c r="D329" s="408">
        <f>IFERROR(__xludf.DUMMYFUNCTION("""COMPUTED_VALUE"""),"00001")</f>
        <v/>
      </c>
      <c r="E329" s="334">
        <f>IFERROR(__xludf.DUMMYFUNCTION("""COMPUTED_VALUE"""),"item_point_aka_00001")</f>
        <v/>
      </c>
      <c r="F329" s="334">
        <f>IFERROR(__xludf.DUMMYFUNCTION("""COMPUTED_VALUE"""),"item_point_aka_00001")</f>
        <v/>
      </c>
      <c r="G329" s="334">
        <f>IFERROR(__xludf.DUMMYFUNCTION("""COMPUTED_VALUE"""),"アイテム画像はなし")</f>
        <v/>
      </c>
      <c r="H329" s="408">
        <f>IFERROR(__xludf.DUMMYFUNCTION("""COMPUTED_VALUE"""),"『ラーメン赤猫』 の作品ポイント")</f>
        <v/>
      </c>
      <c r="I329" s="334">
        <f>IFERROR(__xludf.DUMMYFUNCTION("""COMPUTED_VALUE"""),"R")</f>
        <v/>
      </c>
      <c r="J329" s="409">
        <f>IFERROR(__xludf.DUMMYFUNCTION("""COMPUTED_VALUE"""),9.99999999E8)</f>
        <v/>
      </c>
      <c r="K329" s="409">
        <f>IFERROR(__xludf.DUMMYFUNCTION("""COMPUTED_VALUE"""),9.99999999E8)</f>
        <v/>
      </c>
      <c r="L329" s="334">
        <f>IFERROR(__xludf.DUMMYFUNCTION("""COMPUTED_VALUE"""),"フレーバーテキストなし")</f>
        <v/>
      </c>
      <c r="M329" s="334">
        <f>IFERROR(__xludf.DUMMYFUNCTION("""COMPUTED_VALUE"""),"アイテム画像とフレーバーテキストの表示箇所はなし")</f>
        <v/>
      </c>
      <c r="N329" s="339" t="n"/>
      <c r="O329" s="368" t="n"/>
      <c r="P329" s="334" t="n"/>
    </row>
    <row r="330">
      <c r="A330" s="334">
        <f>IFERROR(__xludf.DUMMYFUNCTION("""COMPUTED_VALUE"""),"rik")</f>
        <v/>
      </c>
      <c r="B330" s="334">
        <f>IFERROR(__xludf.DUMMYFUNCTION("""COMPUTED_VALUE"""),"トマトイプーのリコピン")</f>
        <v/>
      </c>
      <c r="C330" s="334">
        <f>IFERROR(__xludf.DUMMYFUNCTION("""COMPUTED_VALUE"""),"item_point")</f>
        <v/>
      </c>
      <c r="D330" s="408">
        <f>IFERROR(__xludf.DUMMYFUNCTION("""COMPUTED_VALUE"""),"00001")</f>
        <v/>
      </c>
      <c r="E330" s="334">
        <f>IFERROR(__xludf.DUMMYFUNCTION("""COMPUTED_VALUE"""),"item_point_rik_00001")</f>
        <v/>
      </c>
      <c r="F330" s="334">
        <f>IFERROR(__xludf.DUMMYFUNCTION("""COMPUTED_VALUE"""),"item_point_rik_00001")</f>
        <v/>
      </c>
      <c r="G330" s="334">
        <f>IFERROR(__xludf.DUMMYFUNCTION("""COMPUTED_VALUE"""),"アイテム画像はなし")</f>
        <v/>
      </c>
      <c r="H330" s="408">
        <f>IFERROR(__xludf.DUMMYFUNCTION("""COMPUTED_VALUE"""),"『トマトイプーのリコピン』 の作品ポイント")</f>
        <v/>
      </c>
      <c r="I330" s="334">
        <f>IFERROR(__xludf.DUMMYFUNCTION("""COMPUTED_VALUE"""),"R")</f>
        <v/>
      </c>
      <c r="J330" s="409">
        <f>IFERROR(__xludf.DUMMYFUNCTION("""COMPUTED_VALUE"""),9.99999999E8)</f>
        <v/>
      </c>
      <c r="K330" s="409">
        <f>IFERROR(__xludf.DUMMYFUNCTION("""COMPUTED_VALUE"""),9.99999999E8)</f>
        <v/>
      </c>
      <c r="L330" s="334">
        <f>IFERROR(__xludf.DUMMYFUNCTION("""COMPUTED_VALUE"""),"フレーバーテキストなし")</f>
        <v/>
      </c>
      <c r="M330" s="334">
        <f>IFERROR(__xludf.DUMMYFUNCTION("""COMPUTED_VALUE"""),"アイテム画像とフレーバーテキストの表示箇所はなし")</f>
        <v/>
      </c>
      <c r="N330" s="339" t="n"/>
      <c r="O330" s="368" t="n"/>
      <c r="P330" s="334" t="n"/>
    </row>
    <row r="331">
      <c r="A331" s="334">
        <f>IFERROR(__xludf.DUMMYFUNCTION("""COMPUTED_VALUE"""),"dan")</f>
        <v/>
      </c>
      <c r="B331" s="334">
        <f>IFERROR(__xludf.DUMMYFUNCTION("""COMPUTED_VALUE"""),"ダンダダン")</f>
        <v/>
      </c>
      <c r="C331" s="334">
        <f>IFERROR(__xludf.DUMMYFUNCTION("""COMPUTED_VALUE"""),"item_point")</f>
        <v/>
      </c>
      <c r="D331" s="408">
        <f>IFERROR(__xludf.DUMMYFUNCTION("""COMPUTED_VALUE"""),"00001")</f>
        <v/>
      </c>
      <c r="E331" s="334">
        <f>IFERROR(__xludf.DUMMYFUNCTION("""COMPUTED_VALUE"""),"item_point_dan_00001")</f>
        <v/>
      </c>
      <c r="F331" s="334">
        <f>IFERROR(__xludf.DUMMYFUNCTION("""COMPUTED_VALUE"""),"item_point_dan_00001")</f>
        <v/>
      </c>
      <c r="G331" s="334">
        <f>IFERROR(__xludf.DUMMYFUNCTION("""COMPUTED_VALUE"""),"アイテム画像はなし")</f>
        <v/>
      </c>
      <c r="H331" s="408">
        <f>IFERROR(__xludf.DUMMYFUNCTION("""COMPUTED_VALUE"""),"『ダンダダン』 の作品ポイント")</f>
        <v/>
      </c>
      <c r="I331" s="334">
        <f>IFERROR(__xludf.DUMMYFUNCTION("""COMPUTED_VALUE"""),"R")</f>
        <v/>
      </c>
      <c r="J331" s="409">
        <f>IFERROR(__xludf.DUMMYFUNCTION("""COMPUTED_VALUE"""),9.99999999E8)</f>
        <v/>
      </c>
      <c r="K331" s="409">
        <f>IFERROR(__xludf.DUMMYFUNCTION("""COMPUTED_VALUE"""),9.99999999E8)</f>
        <v/>
      </c>
      <c r="L331" s="334">
        <f>IFERROR(__xludf.DUMMYFUNCTION("""COMPUTED_VALUE"""),"フレーバーテキストなし")</f>
        <v/>
      </c>
      <c r="M331" s="334">
        <f>IFERROR(__xludf.DUMMYFUNCTION("""COMPUTED_VALUE"""),"アイテム画像とフレーバーテキストの表示箇所はなし")</f>
        <v/>
      </c>
      <c r="N331" s="410">
        <f>IFERROR(__xludf.DUMMYFUNCTION("""COMPUTED_VALUE"""),"2026-03-01 00:00:00")</f>
        <v/>
      </c>
      <c r="O331" s="368" t="n"/>
      <c r="P331" s="334" t="n"/>
    </row>
    <row r="332">
      <c r="A332" s="334">
        <f>IFERROR(__xludf.DUMMYFUNCTION("""COMPUTED_VALUE"""),"gom")</f>
        <v/>
      </c>
      <c r="B332" s="334">
        <f>IFERROR(__xludf.DUMMYFUNCTION("""COMPUTED_VALUE"""),"姫様“拷問”の時間です")</f>
        <v/>
      </c>
      <c r="C332" s="334">
        <f>IFERROR(__xludf.DUMMYFUNCTION("""COMPUTED_VALUE"""),"item_point")</f>
        <v/>
      </c>
      <c r="D332" s="408">
        <f>IFERROR(__xludf.DUMMYFUNCTION("""COMPUTED_VALUE"""),"00001")</f>
        <v/>
      </c>
      <c r="E332" s="334">
        <f>IFERROR(__xludf.DUMMYFUNCTION("""COMPUTED_VALUE"""),"item_point_gom_00001")</f>
        <v/>
      </c>
      <c r="F332" s="334">
        <f>IFERROR(__xludf.DUMMYFUNCTION("""COMPUTED_VALUE"""),"item_point_gom_00001")</f>
        <v/>
      </c>
      <c r="G332" s="334">
        <f>IFERROR(__xludf.DUMMYFUNCTION("""COMPUTED_VALUE"""),"アイテム画像はなし")</f>
        <v/>
      </c>
      <c r="H332" s="408">
        <f>IFERROR(__xludf.DUMMYFUNCTION("""COMPUTED_VALUE"""),"『姫様“拷問”の時間です』 の作品ポイント")</f>
        <v/>
      </c>
      <c r="I332" s="334">
        <f>IFERROR(__xludf.DUMMYFUNCTION("""COMPUTED_VALUE"""),"R")</f>
        <v/>
      </c>
      <c r="J332" s="409">
        <f>IFERROR(__xludf.DUMMYFUNCTION("""COMPUTED_VALUE"""),9.99999999E8)</f>
        <v/>
      </c>
      <c r="K332" s="409">
        <f>IFERROR(__xludf.DUMMYFUNCTION("""COMPUTED_VALUE"""),9.99999999E8)</f>
        <v/>
      </c>
      <c r="L332" s="334">
        <f>IFERROR(__xludf.DUMMYFUNCTION("""COMPUTED_VALUE"""),"フレーバーテキストなし")</f>
        <v/>
      </c>
      <c r="M332" s="334">
        <f>IFERROR(__xludf.DUMMYFUNCTION("""COMPUTED_VALUE"""),"アイテム画像とフレーバーテキストの表示箇所はなし")</f>
        <v/>
      </c>
      <c r="N332" s="410">
        <f>IFERROR(__xludf.DUMMYFUNCTION("""COMPUTED_VALUE"""),"2026-03-01 00:00:00")</f>
        <v/>
      </c>
      <c r="O332" s="368" t="n"/>
      <c r="P332" s="334" t="n"/>
    </row>
    <row r="333">
      <c r="A333" s="334">
        <f>IFERROR(__xludf.DUMMYFUNCTION("""COMPUTED_VALUE"""),"chi")</f>
        <v/>
      </c>
      <c r="B333" s="334">
        <f>IFERROR(__xludf.DUMMYFUNCTION("""COMPUTED_VALUE"""),"チェンソーマン")</f>
        <v/>
      </c>
      <c r="C333" s="334">
        <f>IFERROR(__xludf.DUMMYFUNCTION("""COMPUTED_VALUE"""),"item_point")</f>
        <v/>
      </c>
      <c r="D333" s="408">
        <f>IFERROR(__xludf.DUMMYFUNCTION("""COMPUTED_VALUE"""),"00001")</f>
        <v/>
      </c>
      <c r="E333" s="334">
        <f>IFERROR(__xludf.DUMMYFUNCTION("""COMPUTED_VALUE"""),"item_point_chi_00001")</f>
        <v/>
      </c>
      <c r="F333" s="334">
        <f>IFERROR(__xludf.DUMMYFUNCTION("""COMPUTED_VALUE"""),"item_point_chi_00001")</f>
        <v/>
      </c>
      <c r="G333" s="334">
        <f>IFERROR(__xludf.DUMMYFUNCTION("""COMPUTED_VALUE"""),"アイテム画像はなし")</f>
        <v/>
      </c>
      <c r="H333" s="408">
        <f>IFERROR(__xludf.DUMMYFUNCTION("""COMPUTED_VALUE"""),"『チェンソーマン』 の作品ポイント")</f>
        <v/>
      </c>
      <c r="I333" s="334">
        <f>IFERROR(__xludf.DUMMYFUNCTION("""COMPUTED_VALUE"""),"R")</f>
        <v/>
      </c>
      <c r="J333" s="409">
        <f>IFERROR(__xludf.DUMMYFUNCTION("""COMPUTED_VALUE"""),9.99999999E8)</f>
        <v/>
      </c>
      <c r="K333" s="409">
        <f>IFERROR(__xludf.DUMMYFUNCTION("""COMPUTED_VALUE"""),9.99999999E8)</f>
        <v/>
      </c>
      <c r="L333" s="334">
        <f>IFERROR(__xludf.DUMMYFUNCTION("""COMPUTED_VALUE"""),"フレーバーテキストなし")</f>
        <v/>
      </c>
      <c r="M333" s="334">
        <f>IFERROR(__xludf.DUMMYFUNCTION("""COMPUTED_VALUE"""),"アイテム画像とフレーバーテキストの表示箇所はなし")</f>
        <v/>
      </c>
      <c r="N333" s="410">
        <f>IFERROR(__xludf.DUMMYFUNCTION("""COMPUTED_VALUE"""),"2026-03-01 00:00:00")</f>
        <v/>
      </c>
      <c r="O333" s="368" t="n"/>
      <c r="P333" s="334" t="n"/>
    </row>
    <row r="334">
      <c r="A334" s="334">
        <f>IFERROR(__xludf.DUMMYFUNCTION("""COMPUTED_VALUE"""),"chi2")</f>
        <v/>
      </c>
      <c r="B334" s="334">
        <f>IFERROR(__xludf.DUMMYFUNCTION("""COMPUTED_VALUE"""),"チェンソーマン 第二部")</f>
        <v/>
      </c>
      <c r="C334" s="334">
        <f>IFERROR(__xludf.DUMMYFUNCTION("""COMPUTED_VALUE"""),"item_point")</f>
        <v/>
      </c>
      <c r="D334" s="408">
        <f>IFERROR(__xludf.DUMMYFUNCTION("""COMPUTED_VALUE"""),"00001")</f>
        <v/>
      </c>
      <c r="E334" s="334">
        <f>IFERROR(__xludf.DUMMYFUNCTION("""COMPUTED_VALUE"""),"item_point_chi2_00001")</f>
        <v/>
      </c>
      <c r="F334" s="334">
        <f>IFERROR(__xludf.DUMMYFUNCTION("""COMPUTED_VALUE"""),"item_point_chi2_00001")</f>
        <v/>
      </c>
      <c r="G334" s="334">
        <f>IFERROR(__xludf.DUMMYFUNCTION("""COMPUTED_VALUE"""),"アイテム画像はなし")</f>
        <v/>
      </c>
      <c r="H334" s="408">
        <f>IFERROR(__xludf.DUMMYFUNCTION("""COMPUTED_VALUE"""),"『チェンソーマン 第二部』 の作品ポイント")</f>
        <v/>
      </c>
      <c r="I334" s="334">
        <f>IFERROR(__xludf.DUMMYFUNCTION("""COMPUTED_VALUE"""),"R")</f>
        <v/>
      </c>
      <c r="J334" s="409">
        <f>IFERROR(__xludf.DUMMYFUNCTION("""COMPUTED_VALUE"""),9.99999999E8)</f>
        <v/>
      </c>
      <c r="K334" s="409">
        <f>IFERROR(__xludf.DUMMYFUNCTION("""COMPUTED_VALUE"""),9.99999999E8)</f>
        <v/>
      </c>
      <c r="L334" s="334">
        <f>IFERROR(__xludf.DUMMYFUNCTION("""COMPUTED_VALUE"""),"フレーバーテキストなし")</f>
        <v/>
      </c>
      <c r="M334" s="334">
        <f>IFERROR(__xludf.DUMMYFUNCTION("""COMPUTED_VALUE"""),"アイテム画像とフレーバーテキストの表示箇所はなし")</f>
        <v/>
      </c>
      <c r="N334" s="339" t="n"/>
      <c r="O334" s="368" t="n"/>
      <c r="P334" s="334" t="n"/>
    </row>
    <row r="335">
      <c r="A335" s="334">
        <f>IFERROR(__xludf.DUMMYFUNCTION("""COMPUTED_VALUE"""),"mag")</f>
        <v/>
      </c>
      <c r="B335" s="334">
        <f>IFERROR(__xludf.DUMMYFUNCTION("""COMPUTED_VALUE"""),"株式会社マジルミエ")</f>
        <v/>
      </c>
      <c r="C335" s="334">
        <f>IFERROR(__xludf.DUMMYFUNCTION("""COMPUTED_VALUE"""),"item_point")</f>
        <v/>
      </c>
      <c r="D335" s="408">
        <f>IFERROR(__xludf.DUMMYFUNCTION("""COMPUTED_VALUE"""),"00001")</f>
        <v/>
      </c>
      <c r="E335" s="334">
        <f>IFERROR(__xludf.DUMMYFUNCTION("""COMPUTED_VALUE"""),"item_point_mag_00001")</f>
        <v/>
      </c>
      <c r="F335" s="334">
        <f>IFERROR(__xludf.DUMMYFUNCTION("""COMPUTED_VALUE"""),"item_point_mag_00001")</f>
        <v/>
      </c>
      <c r="G335" s="334">
        <f>IFERROR(__xludf.DUMMYFUNCTION("""COMPUTED_VALUE"""),"アイテム画像はなし")</f>
        <v/>
      </c>
      <c r="H335" s="408">
        <f>IFERROR(__xludf.DUMMYFUNCTION("""COMPUTED_VALUE"""),"『株式会社マジルミエ』 の作品ポイント")</f>
        <v/>
      </c>
      <c r="I335" s="334">
        <f>IFERROR(__xludf.DUMMYFUNCTION("""COMPUTED_VALUE"""),"R")</f>
        <v/>
      </c>
      <c r="J335" s="409">
        <f>IFERROR(__xludf.DUMMYFUNCTION("""COMPUTED_VALUE"""),9.99999999E8)</f>
        <v/>
      </c>
      <c r="K335" s="409">
        <f>IFERROR(__xludf.DUMMYFUNCTION("""COMPUTED_VALUE"""),9.99999999E8)</f>
        <v/>
      </c>
      <c r="L335" s="334">
        <f>IFERROR(__xludf.DUMMYFUNCTION("""COMPUTED_VALUE"""),"フレーバーテキストなし")</f>
        <v/>
      </c>
      <c r="M335" s="334">
        <f>IFERROR(__xludf.DUMMYFUNCTION("""COMPUTED_VALUE"""),"アイテム画像とフレーバーテキストの表示箇所はなし")</f>
        <v/>
      </c>
      <c r="N335" s="410">
        <f>IFERROR(__xludf.DUMMYFUNCTION("""COMPUTED_VALUE"""),"2026-03-01 00:00:00")</f>
        <v/>
      </c>
      <c r="O335" s="368" t="n"/>
      <c r="P335" s="334" t="n"/>
    </row>
    <row r="336">
      <c r="A336" s="334">
        <f>IFERROR(__xludf.DUMMYFUNCTION("""COMPUTED_VALUE"""),"dos")</f>
        <v/>
      </c>
      <c r="B336" s="334">
        <f>IFERROR(__xludf.DUMMYFUNCTION("""COMPUTED_VALUE"""),"道産子ギャルはなまらめんこい")</f>
        <v/>
      </c>
      <c r="C336" s="334">
        <f>IFERROR(__xludf.DUMMYFUNCTION("""COMPUTED_VALUE"""),"item_point")</f>
        <v/>
      </c>
      <c r="D336" s="408">
        <f>IFERROR(__xludf.DUMMYFUNCTION("""COMPUTED_VALUE"""),"00001")</f>
        <v/>
      </c>
      <c r="E336" s="334">
        <f>IFERROR(__xludf.DUMMYFUNCTION("""COMPUTED_VALUE"""),"item_point_dos_00001")</f>
        <v/>
      </c>
      <c r="F336" s="334">
        <f>IFERROR(__xludf.DUMMYFUNCTION("""COMPUTED_VALUE"""),"item_point_dos_00001")</f>
        <v/>
      </c>
      <c r="G336" s="334">
        <f>IFERROR(__xludf.DUMMYFUNCTION("""COMPUTED_VALUE"""),"アイテム画像はなし")</f>
        <v/>
      </c>
      <c r="H336" s="408">
        <f>IFERROR(__xludf.DUMMYFUNCTION("""COMPUTED_VALUE"""),"『道産子ギャルはなまらめんこい』 の作品ポイント")</f>
        <v/>
      </c>
      <c r="I336" s="334">
        <f>IFERROR(__xludf.DUMMYFUNCTION("""COMPUTED_VALUE"""),"R")</f>
        <v/>
      </c>
      <c r="J336" s="409">
        <f>IFERROR(__xludf.DUMMYFUNCTION("""COMPUTED_VALUE"""),9.99999999E8)</f>
        <v/>
      </c>
      <c r="K336" s="409">
        <f>IFERROR(__xludf.DUMMYFUNCTION("""COMPUTED_VALUE"""),9.99999999E8)</f>
        <v/>
      </c>
      <c r="L336" s="334">
        <f>IFERROR(__xludf.DUMMYFUNCTION("""COMPUTED_VALUE"""),"フレーバーテキストなし")</f>
        <v/>
      </c>
      <c r="M336" s="334">
        <f>IFERROR(__xludf.DUMMYFUNCTION("""COMPUTED_VALUE"""),"アイテム画像とフレーバーテキストの表示箇所はなし")</f>
        <v/>
      </c>
      <c r="N336" s="339" t="n"/>
      <c r="O336" s="368" t="n"/>
      <c r="P336" s="334" t="n"/>
    </row>
    <row r="337">
      <c r="A337" s="334">
        <f>IFERROR(__xludf.DUMMYFUNCTION("""COMPUTED_VALUE"""),"bat")</f>
        <v/>
      </c>
      <c r="B337" s="334">
        <f>IFERROR(__xludf.DUMMYFUNCTION("""COMPUTED_VALUE"""),"忘却バッテリー")</f>
        <v/>
      </c>
      <c r="C337" s="334">
        <f>IFERROR(__xludf.DUMMYFUNCTION("""COMPUTED_VALUE"""),"item_point")</f>
        <v/>
      </c>
      <c r="D337" s="408">
        <f>IFERROR(__xludf.DUMMYFUNCTION("""COMPUTED_VALUE"""),"00001")</f>
        <v/>
      </c>
      <c r="E337" s="334">
        <f>IFERROR(__xludf.DUMMYFUNCTION("""COMPUTED_VALUE"""),"item_point_bat_00001")</f>
        <v/>
      </c>
      <c r="F337" s="334">
        <f>IFERROR(__xludf.DUMMYFUNCTION("""COMPUTED_VALUE"""),"item_point_bat_00001")</f>
        <v/>
      </c>
      <c r="G337" s="334">
        <f>IFERROR(__xludf.DUMMYFUNCTION("""COMPUTED_VALUE"""),"アイテム画像はなし")</f>
        <v/>
      </c>
      <c r="H337" s="408">
        <f>IFERROR(__xludf.DUMMYFUNCTION("""COMPUTED_VALUE"""),"『忘却バッテリー』 の作品ポイント")</f>
        <v/>
      </c>
      <c r="I337" s="334">
        <f>IFERROR(__xludf.DUMMYFUNCTION("""COMPUTED_VALUE"""),"R")</f>
        <v/>
      </c>
      <c r="J337" s="409">
        <f>IFERROR(__xludf.DUMMYFUNCTION("""COMPUTED_VALUE"""),9.99999999E8)</f>
        <v/>
      </c>
      <c r="K337" s="409">
        <f>IFERROR(__xludf.DUMMYFUNCTION("""COMPUTED_VALUE"""),9.99999999E8)</f>
        <v/>
      </c>
      <c r="L337" s="334">
        <f>IFERROR(__xludf.DUMMYFUNCTION("""COMPUTED_VALUE"""),"フレーバーテキストなし")</f>
        <v/>
      </c>
      <c r="M337" s="334">
        <f>IFERROR(__xludf.DUMMYFUNCTION("""COMPUTED_VALUE"""),"アイテム画像とフレーバーテキストの表示箇所はなし")</f>
        <v/>
      </c>
      <c r="N337" s="339" t="n"/>
      <c r="O337" s="368" t="n"/>
      <c r="P337" s="334" t="n"/>
    </row>
    <row r="338">
      <c r="A338" s="334">
        <f>IFERROR(__xludf.DUMMYFUNCTION("""COMPUTED_VALUE"""),"kai")</f>
        <v/>
      </c>
      <c r="B338" s="334">
        <f>IFERROR(__xludf.DUMMYFUNCTION("""COMPUTED_VALUE"""),"怪獣８号")</f>
        <v/>
      </c>
      <c r="C338" s="334">
        <f>IFERROR(__xludf.DUMMYFUNCTION("""COMPUTED_VALUE"""),"item_point")</f>
        <v/>
      </c>
      <c r="D338" s="408">
        <f>IFERROR(__xludf.DUMMYFUNCTION("""COMPUTED_VALUE"""),"00001")</f>
        <v/>
      </c>
      <c r="E338" s="334">
        <f>IFERROR(__xludf.DUMMYFUNCTION("""COMPUTED_VALUE"""),"item_point_kai_00001")</f>
        <v/>
      </c>
      <c r="F338" s="334">
        <f>IFERROR(__xludf.DUMMYFUNCTION("""COMPUTED_VALUE"""),"item_point_kai_00001")</f>
        <v/>
      </c>
      <c r="G338" s="334">
        <f>IFERROR(__xludf.DUMMYFUNCTION("""COMPUTED_VALUE"""),"アイテム画像はなし")</f>
        <v/>
      </c>
      <c r="H338" s="408">
        <f>IFERROR(__xludf.DUMMYFUNCTION("""COMPUTED_VALUE"""),"『怪獣８号』 の作品ポイント")</f>
        <v/>
      </c>
      <c r="I338" s="334">
        <f>IFERROR(__xludf.DUMMYFUNCTION("""COMPUTED_VALUE"""),"R")</f>
        <v/>
      </c>
      <c r="J338" s="409">
        <f>IFERROR(__xludf.DUMMYFUNCTION("""COMPUTED_VALUE"""),9.99999999E8)</f>
        <v/>
      </c>
      <c r="K338" s="409">
        <f>IFERROR(__xludf.DUMMYFUNCTION("""COMPUTED_VALUE"""),9.99999999E8)</f>
        <v/>
      </c>
      <c r="L338" s="334">
        <f>IFERROR(__xludf.DUMMYFUNCTION("""COMPUTED_VALUE"""),"フレーバーテキストなし")</f>
        <v/>
      </c>
      <c r="M338" s="334">
        <f>IFERROR(__xludf.DUMMYFUNCTION("""COMPUTED_VALUE"""),"アイテム画像とフレーバーテキストの表示箇所はなし")</f>
        <v/>
      </c>
      <c r="N338" s="410">
        <f>IFERROR(__xludf.DUMMYFUNCTION("""COMPUTED_VALUE"""),"2026-03-01 00:00:00")</f>
        <v/>
      </c>
      <c r="O338" s="368" t="n"/>
      <c r="P338" s="334" t="n"/>
    </row>
    <row r="339">
      <c r="A339" s="334">
        <f>IFERROR(__xludf.DUMMYFUNCTION("""COMPUTED_VALUE"""),"yuw")</f>
        <v/>
      </c>
      <c r="B339" s="334">
        <f>IFERROR(__xludf.DUMMYFUNCTION("""COMPUTED_VALUE"""),"2.5次元の誘惑")</f>
        <v/>
      </c>
      <c r="C339" s="334">
        <f>IFERROR(__xludf.DUMMYFUNCTION("""COMPUTED_VALUE"""),"item_point")</f>
        <v/>
      </c>
      <c r="D339" s="408">
        <f>IFERROR(__xludf.DUMMYFUNCTION("""COMPUTED_VALUE"""),"00001")</f>
        <v/>
      </c>
      <c r="E339" s="334">
        <f>IFERROR(__xludf.DUMMYFUNCTION("""COMPUTED_VALUE"""),"item_point_yuw_00001")</f>
        <v/>
      </c>
      <c r="F339" s="334">
        <f>IFERROR(__xludf.DUMMYFUNCTION("""COMPUTED_VALUE"""),"item_point_yuw_00001")</f>
        <v/>
      </c>
      <c r="G339" s="334">
        <f>IFERROR(__xludf.DUMMYFUNCTION("""COMPUTED_VALUE"""),"アイテム画像はなし")</f>
        <v/>
      </c>
      <c r="H339" s="408">
        <f>IFERROR(__xludf.DUMMYFUNCTION("""COMPUTED_VALUE"""),"『2.5次元の誘惑』 の作品ポイント")</f>
        <v/>
      </c>
      <c r="I339" s="334">
        <f>IFERROR(__xludf.DUMMYFUNCTION("""COMPUTED_VALUE"""),"R")</f>
        <v/>
      </c>
      <c r="J339" s="409">
        <f>IFERROR(__xludf.DUMMYFUNCTION("""COMPUTED_VALUE"""),9.99999999E8)</f>
        <v/>
      </c>
      <c r="K339" s="409">
        <f>IFERROR(__xludf.DUMMYFUNCTION("""COMPUTED_VALUE"""),9.99999999E8)</f>
        <v/>
      </c>
      <c r="L339" s="334">
        <f>IFERROR(__xludf.DUMMYFUNCTION("""COMPUTED_VALUE"""),"フレーバーテキストなし")</f>
        <v/>
      </c>
      <c r="M339" s="334">
        <f>IFERROR(__xludf.DUMMYFUNCTION("""COMPUTED_VALUE"""),"アイテム画像とフレーバーテキストの表示箇所はなし")</f>
        <v/>
      </c>
      <c r="N339" s="410">
        <f>IFERROR(__xludf.DUMMYFUNCTION("""COMPUTED_VALUE"""),"2026-03-01 00:00:00")</f>
        <v/>
      </c>
      <c r="O339" s="368" t="n"/>
      <c r="P339" s="334" t="n"/>
    </row>
    <row r="340">
      <c r="A340" s="334">
        <f>IFERROR(__xludf.DUMMYFUNCTION("""COMPUTED_VALUE"""),"sur")</f>
        <v/>
      </c>
      <c r="B340" s="334">
        <f>IFERROR(__xludf.DUMMYFUNCTION("""COMPUTED_VALUE"""),"魔都精兵のスレイブ")</f>
        <v/>
      </c>
      <c r="C340" s="334">
        <f>IFERROR(__xludf.DUMMYFUNCTION("""COMPUTED_VALUE"""),"item_point")</f>
        <v/>
      </c>
      <c r="D340" s="408">
        <f>IFERROR(__xludf.DUMMYFUNCTION("""COMPUTED_VALUE"""),"00001")</f>
        <v/>
      </c>
      <c r="E340" s="334">
        <f>IFERROR(__xludf.DUMMYFUNCTION("""COMPUTED_VALUE"""),"item_point_sur_00001")</f>
        <v/>
      </c>
      <c r="F340" s="334">
        <f>IFERROR(__xludf.DUMMYFUNCTION("""COMPUTED_VALUE"""),"item_point_sur_00001")</f>
        <v/>
      </c>
      <c r="G340" s="334">
        <f>IFERROR(__xludf.DUMMYFUNCTION("""COMPUTED_VALUE"""),"アイテム画像はなし")</f>
        <v/>
      </c>
      <c r="H340" s="408">
        <f>IFERROR(__xludf.DUMMYFUNCTION("""COMPUTED_VALUE"""),"『魔都精兵のスレイブ』 の作品ポイント")</f>
        <v/>
      </c>
      <c r="I340" s="334">
        <f>IFERROR(__xludf.DUMMYFUNCTION("""COMPUTED_VALUE"""),"R")</f>
        <v/>
      </c>
      <c r="J340" s="409">
        <f>IFERROR(__xludf.DUMMYFUNCTION("""COMPUTED_VALUE"""),9.99999999E8)</f>
        <v/>
      </c>
      <c r="K340" s="409">
        <f>IFERROR(__xludf.DUMMYFUNCTION("""COMPUTED_VALUE"""),9.99999999E8)</f>
        <v/>
      </c>
      <c r="L340" s="334">
        <f>IFERROR(__xludf.DUMMYFUNCTION("""COMPUTED_VALUE"""),"フレーバーテキストなし")</f>
        <v/>
      </c>
      <c r="M340" s="334">
        <f>IFERROR(__xludf.DUMMYFUNCTION("""COMPUTED_VALUE"""),"アイテム画像とフレーバーテキストの表示箇所はなし")</f>
        <v/>
      </c>
      <c r="N340" s="410">
        <f>IFERROR(__xludf.DUMMYFUNCTION("""COMPUTED_VALUE"""),"2026-03-01 00:00:00")</f>
        <v/>
      </c>
      <c r="O340" s="368" t="n"/>
      <c r="P340" s="334" t="n"/>
    </row>
    <row r="341">
      <c r="A341" s="334">
        <f>IFERROR(__xludf.DUMMYFUNCTION("""COMPUTED_VALUE"""),"ron")</f>
        <v/>
      </c>
      <c r="B341" s="334">
        <f>IFERROR(__xludf.DUMMYFUNCTION("""COMPUTED_VALUE"""),"鴨乃橋ロンの禁断推理")</f>
        <v/>
      </c>
      <c r="C341" s="334">
        <f>IFERROR(__xludf.DUMMYFUNCTION("""COMPUTED_VALUE"""),"item_point")</f>
        <v/>
      </c>
      <c r="D341" s="408">
        <f>IFERROR(__xludf.DUMMYFUNCTION("""COMPUTED_VALUE"""),"00001")</f>
        <v/>
      </c>
      <c r="E341" s="334">
        <f>IFERROR(__xludf.DUMMYFUNCTION("""COMPUTED_VALUE"""),"item_point_ron_00001")</f>
        <v/>
      </c>
      <c r="F341" s="334">
        <f>IFERROR(__xludf.DUMMYFUNCTION("""COMPUTED_VALUE"""),"item_point_ron_00001")</f>
        <v/>
      </c>
      <c r="G341" s="334">
        <f>IFERROR(__xludf.DUMMYFUNCTION("""COMPUTED_VALUE"""),"アイテム画像はなし")</f>
        <v/>
      </c>
      <c r="H341" s="408">
        <f>IFERROR(__xludf.DUMMYFUNCTION("""COMPUTED_VALUE"""),"『鴨乃橋ロンの禁断推理』 の作品ポイント")</f>
        <v/>
      </c>
      <c r="I341" s="334">
        <f>IFERROR(__xludf.DUMMYFUNCTION("""COMPUTED_VALUE"""),"R")</f>
        <v/>
      </c>
      <c r="J341" s="409">
        <f>IFERROR(__xludf.DUMMYFUNCTION("""COMPUTED_VALUE"""),9.99999999E8)</f>
        <v/>
      </c>
      <c r="K341" s="409">
        <f>IFERROR(__xludf.DUMMYFUNCTION("""COMPUTED_VALUE"""),9.99999999E8)</f>
        <v/>
      </c>
      <c r="L341" s="334">
        <f>IFERROR(__xludf.DUMMYFUNCTION("""COMPUTED_VALUE"""),"フレーバーテキストなし")</f>
        <v/>
      </c>
      <c r="M341" s="334">
        <f>IFERROR(__xludf.DUMMYFUNCTION("""COMPUTED_VALUE"""),"アイテム画像とフレーバーテキストの表示箇所はなし")</f>
        <v/>
      </c>
      <c r="N341" s="339" t="n"/>
      <c r="O341" s="368" t="n"/>
      <c r="P341" s="334" t="n"/>
    </row>
    <row r="342">
      <c r="A342" s="334">
        <f>IFERROR(__xludf.DUMMYFUNCTION("""COMPUTED_VALUE"""),"aha")</f>
        <v/>
      </c>
      <c r="B342" s="334">
        <f>IFERROR(__xludf.DUMMYFUNCTION("""COMPUTED_VALUE"""),"阿波連さんははかれない")</f>
        <v/>
      </c>
      <c r="C342" s="334">
        <f>IFERROR(__xludf.DUMMYFUNCTION("""COMPUTED_VALUE"""),"item_point")</f>
        <v/>
      </c>
      <c r="D342" s="408">
        <f>IFERROR(__xludf.DUMMYFUNCTION("""COMPUTED_VALUE"""),"00001")</f>
        <v/>
      </c>
      <c r="E342" s="334">
        <f>IFERROR(__xludf.DUMMYFUNCTION("""COMPUTED_VALUE"""),"item_point_aha_00001")</f>
        <v/>
      </c>
      <c r="F342" s="334">
        <f>IFERROR(__xludf.DUMMYFUNCTION("""COMPUTED_VALUE"""),"item_point_aha_00001")</f>
        <v/>
      </c>
      <c r="G342" s="334">
        <f>IFERROR(__xludf.DUMMYFUNCTION("""COMPUTED_VALUE"""),"アイテム画像はなし")</f>
        <v/>
      </c>
      <c r="H342" s="408">
        <f>IFERROR(__xludf.DUMMYFUNCTION("""COMPUTED_VALUE"""),"『阿波連さんははかれない』 の作品ポイント")</f>
        <v/>
      </c>
      <c r="I342" s="334">
        <f>IFERROR(__xludf.DUMMYFUNCTION("""COMPUTED_VALUE"""),"R")</f>
        <v/>
      </c>
      <c r="J342" s="409">
        <f>IFERROR(__xludf.DUMMYFUNCTION("""COMPUTED_VALUE"""),9.99999999E8)</f>
        <v/>
      </c>
      <c r="K342" s="409">
        <f>IFERROR(__xludf.DUMMYFUNCTION("""COMPUTED_VALUE"""),9.99999999E8)</f>
        <v/>
      </c>
      <c r="L342" s="334">
        <f>IFERROR(__xludf.DUMMYFUNCTION("""COMPUTED_VALUE"""),"フレーバーテキストなし")</f>
        <v/>
      </c>
      <c r="M342" s="334">
        <f>IFERROR(__xludf.DUMMYFUNCTION("""COMPUTED_VALUE"""),"アイテム画像とフレーバーテキストの表示箇所はなし")</f>
        <v/>
      </c>
      <c r="N342" s="339" t="n"/>
      <c r="O342" s="368" t="n"/>
      <c r="P342" s="334" t="n"/>
    </row>
    <row r="343">
      <c r="A343" s="334">
        <f>IFERROR(__xludf.DUMMYFUNCTION("""COMPUTED_VALUE"""),"sum")</f>
        <v/>
      </c>
      <c r="B343" s="334">
        <f>IFERROR(__xludf.DUMMYFUNCTION("""COMPUTED_VALUE"""),"サマータイムレンダ")</f>
        <v/>
      </c>
      <c r="C343" s="334">
        <f>IFERROR(__xludf.DUMMYFUNCTION("""COMPUTED_VALUE"""),"item_point")</f>
        <v/>
      </c>
      <c r="D343" s="408">
        <f>IFERROR(__xludf.DUMMYFUNCTION("""COMPUTED_VALUE"""),"00001")</f>
        <v/>
      </c>
      <c r="E343" s="334">
        <f>IFERROR(__xludf.DUMMYFUNCTION("""COMPUTED_VALUE"""),"item_point_sum_00001")</f>
        <v/>
      </c>
      <c r="F343" s="334">
        <f>IFERROR(__xludf.DUMMYFUNCTION("""COMPUTED_VALUE"""),"item_point_sum_00001")</f>
        <v/>
      </c>
      <c r="G343" s="334">
        <f>IFERROR(__xludf.DUMMYFUNCTION("""COMPUTED_VALUE"""),"アイテム画像はなし")</f>
        <v/>
      </c>
      <c r="H343" s="408">
        <f>IFERROR(__xludf.DUMMYFUNCTION("""COMPUTED_VALUE"""),"『サマータイムレンダ』 の作品ポイント")</f>
        <v/>
      </c>
      <c r="I343" s="334">
        <f>IFERROR(__xludf.DUMMYFUNCTION("""COMPUTED_VALUE"""),"R")</f>
        <v/>
      </c>
      <c r="J343" s="409">
        <f>IFERROR(__xludf.DUMMYFUNCTION("""COMPUTED_VALUE"""),9.99999999E8)</f>
        <v/>
      </c>
      <c r="K343" s="409">
        <f>IFERROR(__xludf.DUMMYFUNCTION("""COMPUTED_VALUE"""),9.99999999E8)</f>
        <v/>
      </c>
      <c r="L343" s="334">
        <f>IFERROR(__xludf.DUMMYFUNCTION("""COMPUTED_VALUE"""),"フレーバーテキストなし")</f>
        <v/>
      </c>
      <c r="M343" s="334">
        <f>IFERROR(__xludf.DUMMYFUNCTION("""COMPUTED_VALUE"""),"アイテム画像とフレーバーテキストの表示箇所はなし")</f>
        <v/>
      </c>
      <c r="N343" s="410">
        <f>IFERROR(__xludf.DUMMYFUNCTION("""COMPUTED_VALUE"""),"2026-03-01 00:00:00")</f>
        <v/>
      </c>
      <c r="O343" s="368" t="n"/>
      <c r="P343" s="334" t="n"/>
    </row>
    <row r="344">
      <c r="A344" s="334">
        <f>IFERROR(__xludf.DUMMYFUNCTION("""COMPUTED_VALUE"""),"jig")</f>
        <v/>
      </c>
      <c r="B344" s="334">
        <f>IFERROR(__xludf.DUMMYFUNCTION("""COMPUTED_VALUE"""),"地獄楽")</f>
        <v/>
      </c>
      <c r="C344" s="334">
        <f>IFERROR(__xludf.DUMMYFUNCTION("""COMPUTED_VALUE"""),"item_point")</f>
        <v/>
      </c>
      <c r="D344" s="408">
        <f>IFERROR(__xludf.DUMMYFUNCTION("""COMPUTED_VALUE"""),"00001")</f>
        <v/>
      </c>
      <c r="E344" s="334">
        <f>IFERROR(__xludf.DUMMYFUNCTION("""COMPUTED_VALUE"""),"item_point_jig_00001")</f>
        <v/>
      </c>
      <c r="F344" s="334">
        <f>IFERROR(__xludf.DUMMYFUNCTION("""COMPUTED_VALUE"""),"item_point_jig_00001")</f>
        <v/>
      </c>
      <c r="G344" s="334">
        <f>IFERROR(__xludf.DUMMYFUNCTION("""COMPUTED_VALUE"""),"アイテム画像はなし")</f>
        <v/>
      </c>
      <c r="H344" s="408">
        <f>IFERROR(__xludf.DUMMYFUNCTION("""COMPUTED_VALUE"""),"『地獄楽』 の作品ポイント")</f>
        <v/>
      </c>
      <c r="I344" s="334">
        <f>IFERROR(__xludf.DUMMYFUNCTION("""COMPUTED_VALUE"""),"R")</f>
        <v/>
      </c>
      <c r="J344" s="409">
        <f>IFERROR(__xludf.DUMMYFUNCTION("""COMPUTED_VALUE"""),9.99999999E8)</f>
        <v/>
      </c>
      <c r="K344" s="409">
        <f>IFERROR(__xludf.DUMMYFUNCTION("""COMPUTED_VALUE"""),9.99999999E8)</f>
        <v/>
      </c>
      <c r="L344" s="334">
        <f>IFERROR(__xludf.DUMMYFUNCTION("""COMPUTED_VALUE"""),"フレーバーテキストなし")</f>
        <v/>
      </c>
      <c r="M344" s="334">
        <f>IFERROR(__xludf.DUMMYFUNCTION("""COMPUTED_VALUE"""),"アイテム画像とフレーバーテキストの表示箇所はなし")</f>
        <v/>
      </c>
      <c r="N344" s="410">
        <f>IFERROR(__xludf.DUMMYFUNCTION("""COMPUTED_VALUE"""),"2026-03-01 00:00:00")</f>
        <v/>
      </c>
      <c r="O344" s="368" t="n"/>
      <c r="P344" s="334" t="n"/>
    </row>
    <row r="345">
      <c r="A345" s="334">
        <f>IFERROR(__xludf.DUMMYFUNCTION("""COMPUTED_VALUE"""),"tak")</f>
        <v/>
      </c>
      <c r="B345" s="334">
        <f>IFERROR(__xludf.DUMMYFUNCTION("""COMPUTED_VALUE"""),"タコピーの原罪")</f>
        <v/>
      </c>
      <c r="C345" s="334">
        <f>IFERROR(__xludf.DUMMYFUNCTION("""COMPUTED_VALUE"""),"item_point")</f>
        <v/>
      </c>
      <c r="D345" s="408">
        <f>IFERROR(__xludf.DUMMYFUNCTION("""COMPUTED_VALUE"""),"00001")</f>
        <v/>
      </c>
      <c r="E345" s="334">
        <f>IFERROR(__xludf.DUMMYFUNCTION("""COMPUTED_VALUE"""),"item_point_tak_00001")</f>
        <v/>
      </c>
      <c r="F345" s="334">
        <f>IFERROR(__xludf.DUMMYFUNCTION("""COMPUTED_VALUE"""),"item_point_tak_00001")</f>
        <v/>
      </c>
      <c r="G345" s="334">
        <f>IFERROR(__xludf.DUMMYFUNCTION("""COMPUTED_VALUE"""),"アイテム画像はなし")</f>
        <v/>
      </c>
      <c r="H345" s="408">
        <f>IFERROR(__xludf.DUMMYFUNCTION("""COMPUTED_VALUE"""),"『タコピーの原罪』 の作品ポイント")</f>
        <v/>
      </c>
      <c r="I345" s="334">
        <f>IFERROR(__xludf.DUMMYFUNCTION("""COMPUTED_VALUE"""),"R")</f>
        <v/>
      </c>
      <c r="J345" s="409">
        <f>IFERROR(__xludf.DUMMYFUNCTION("""COMPUTED_VALUE"""),9.99999999E8)</f>
        <v/>
      </c>
      <c r="K345" s="409">
        <f>IFERROR(__xludf.DUMMYFUNCTION("""COMPUTED_VALUE"""),9.99999999E8)</f>
        <v/>
      </c>
      <c r="L345" s="334">
        <f>IFERROR(__xludf.DUMMYFUNCTION("""COMPUTED_VALUE"""),"フレーバーテキストなし")</f>
        <v/>
      </c>
      <c r="M345" s="334">
        <f>IFERROR(__xludf.DUMMYFUNCTION("""COMPUTED_VALUE"""),"アイテム画像とフレーバーテキストの表示箇所はなし")</f>
        <v/>
      </c>
      <c r="N345" s="410">
        <f>IFERROR(__xludf.DUMMYFUNCTION("""COMPUTED_VALUE"""),"2026-03-01 00:00:00")</f>
        <v/>
      </c>
      <c r="O345" s="368" t="n"/>
      <c r="P345" s="334" t="n"/>
    </row>
    <row r="346">
      <c r="A346" s="334">
        <f>IFERROR(__xludf.DUMMYFUNCTION("""COMPUTED_VALUE"""),"osh")</f>
        <v/>
      </c>
      <c r="B346" s="334">
        <f>IFERROR(__xludf.DUMMYFUNCTION("""COMPUTED_VALUE"""),"【推しの子】")</f>
        <v/>
      </c>
      <c r="C346" s="334">
        <f>IFERROR(__xludf.DUMMYFUNCTION("""COMPUTED_VALUE"""),"item_point")</f>
        <v/>
      </c>
      <c r="D346" s="408">
        <f>IFERROR(__xludf.DUMMYFUNCTION("""COMPUTED_VALUE"""),"00001")</f>
        <v/>
      </c>
      <c r="E346" s="334">
        <f>IFERROR(__xludf.DUMMYFUNCTION("""COMPUTED_VALUE"""),"item_point_osh_00001")</f>
        <v/>
      </c>
      <c r="F346" s="334">
        <f>IFERROR(__xludf.DUMMYFUNCTION("""COMPUTED_VALUE"""),"item_point_osh_00001")</f>
        <v/>
      </c>
      <c r="G346" s="334">
        <f>IFERROR(__xludf.DUMMYFUNCTION("""COMPUTED_VALUE"""),"アイテム画像はなし")</f>
        <v/>
      </c>
      <c r="H346" s="408">
        <f>IFERROR(__xludf.DUMMYFUNCTION("""COMPUTED_VALUE"""),"『【推しの子】』 の作品ポイント")</f>
        <v/>
      </c>
      <c r="I346" s="334">
        <f>IFERROR(__xludf.DUMMYFUNCTION("""COMPUTED_VALUE"""),"R")</f>
        <v/>
      </c>
      <c r="J346" s="409">
        <f>IFERROR(__xludf.DUMMYFUNCTION("""COMPUTED_VALUE"""),9.99999999E8)</f>
        <v/>
      </c>
      <c r="K346" s="409">
        <f>IFERROR(__xludf.DUMMYFUNCTION("""COMPUTED_VALUE"""),9.99999999E8)</f>
        <v/>
      </c>
      <c r="L346" s="334">
        <f>IFERROR(__xludf.DUMMYFUNCTION("""COMPUTED_VALUE"""),"フレーバーテキストなし")</f>
        <v/>
      </c>
      <c r="M346" s="334">
        <f>IFERROR(__xludf.DUMMYFUNCTION("""COMPUTED_VALUE"""),"アイテム画像とフレーバーテキストの表示箇所はなし")</f>
        <v/>
      </c>
      <c r="N346" s="410">
        <f>IFERROR(__xludf.DUMMYFUNCTION("""COMPUTED_VALUE"""),"2026-03-01 00:00:00")</f>
        <v/>
      </c>
      <c r="O346" s="368" t="n"/>
      <c r="P346" s="334" t="n"/>
    </row>
    <row r="347">
      <c r="A347" s="334">
        <f>IFERROR(__xludf.DUMMYFUNCTION("""COMPUTED_VALUE"""),"you")</f>
        <v/>
      </c>
      <c r="B347" s="334">
        <f>IFERROR(__xludf.DUMMYFUNCTION("""COMPUTED_VALUE"""),"幼稚園WARS")</f>
        <v/>
      </c>
      <c r="C347" s="334">
        <f>IFERROR(__xludf.DUMMYFUNCTION("""COMPUTED_VALUE"""),"item_point")</f>
        <v/>
      </c>
      <c r="D347" s="408">
        <f>IFERROR(__xludf.DUMMYFUNCTION("""COMPUTED_VALUE"""),"00001")</f>
        <v/>
      </c>
      <c r="E347" s="334">
        <f>IFERROR(__xludf.DUMMYFUNCTION("""COMPUTED_VALUE"""),"item_point_you_00001")</f>
        <v/>
      </c>
      <c r="F347" s="334">
        <f>IFERROR(__xludf.DUMMYFUNCTION("""COMPUTED_VALUE"""),"item_point_you_00001")</f>
        <v/>
      </c>
      <c r="G347" s="334">
        <f>IFERROR(__xludf.DUMMYFUNCTION("""COMPUTED_VALUE"""),"アイテム画像はなし")</f>
        <v/>
      </c>
      <c r="H347" s="408">
        <f>IFERROR(__xludf.DUMMYFUNCTION("""COMPUTED_VALUE"""),"『幼稚園WARS』 の作品ポイント")</f>
        <v/>
      </c>
      <c r="I347" s="334">
        <f>IFERROR(__xludf.DUMMYFUNCTION("""COMPUTED_VALUE"""),"R")</f>
        <v/>
      </c>
      <c r="J347" s="409">
        <f>IFERROR(__xludf.DUMMYFUNCTION("""COMPUTED_VALUE"""),9.99999999E8)</f>
        <v/>
      </c>
      <c r="K347" s="409">
        <f>IFERROR(__xludf.DUMMYFUNCTION("""COMPUTED_VALUE"""),9.99999999E8)</f>
        <v/>
      </c>
      <c r="L347" s="334">
        <f>IFERROR(__xludf.DUMMYFUNCTION("""COMPUTED_VALUE"""),"フレーバーテキストなし")</f>
        <v/>
      </c>
      <c r="M347" s="334">
        <f>IFERROR(__xludf.DUMMYFUNCTION("""COMPUTED_VALUE"""),"アイテム画像とフレーバーテキストの表示箇所はなし")</f>
        <v/>
      </c>
      <c r="N347" s="410">
        <f>IFERROR(__xludf.DUMMYFUNCTION("""COMPUTED_VALUE"""),"2026-03-01 00:00:00")</f>
        <v/>
      </c>
      <c r="O347" s="368" t="n"/>
      <c r="P347" s="334" t="n"/>
    </row>
    <row r="348">
      <c r="A348" s="334">
        <f>IFERROR(__xludf.DUMMYFUNCTION("""COMPUTED_VALUE"""),"kim")</f>
        <v/>
      </c>
      <c r="B348" s="334">
        <f>IFERROR(__xludf.DUMMYFUNCTION("""COMPUTED_VALUE"""),"君のことが大大大大大好きな100人の彼女")</f>
        <v/>
      </c>
      <c r="C348" s="334">
        <f>IFERROR(__xludf.DUMMYFUNCTION("""COMPUTED_VALUE"""),"item_point")</f>
        <v/>
      </c>
      <c r="D348" s="408">
        <f>IFERROR(__xludf.DUMMYFUNCTION("""COMPUTED_VALUE"""),"00001")</f>
        <v/>
      </c>
      <c r="E348" s="334">
        <f>IFERROR(__xludf.DUMMYFUNCTION("""COMPUTED_VALUE"""),"item_point_kim_00001")</f>
        <v/>
      </c>
      <c r="F348" s="334">
        <f>IFERROR(__xludf.DUMMYFUNCTION("""COMPUTED_VALUE"""),"item_point_kim_00001")</f>
        <v/>
      </c>
      <c r="G348" s="334">
        <f>IFERROR(__xludf.DUMMYFUNCTION("""COMPUTED_VALUE"""),"アイテム画像はなし")</f>
        <v/>
      </c>
      <c r="H348" s="408">
        <f>IFERROR(__xludf.DUMMYFUNCTION("""COMPUTED_VALUE"""),"『君のことが大大大大大好きな100人の彼女』 の作品ポイント")</f>
        <v/>
      </c>
      <c r="I348" s="334">
        <f>IFERROR(__xludf.DUMMYFUNCTION("""COMPUTED_VALUE"""),"R")</f>
        <v/>
      </c>
      <c r="J348" s="409">
        <f>IFERROR(__xludf.DUMMYFUNCTION("""COMPUTED_VALUE"""),9.99999999E8)</f>
        <v/>
      </c>
      <c r="K348" s="409">
        <f>IFERROR(__xludf.DUMMYFUNCTION("""COMPUTED_VALUE"""),9.99999999E8)</f>
        <v/>
      </c>
      <c r="L348" s="334">
        <f>IFERROR(__xludf.DUMMYFUNCTION("""COMPUTED_VALUE"""),"フレーバーテキストなし")</f>
        <v/>
      </c>
      <c r="M348" s="334">
        <f>IFERROR(__xludf.DUMMYFUNCTION("""COMPUTED_VALUE"""),"アイテム画像とフレーバーテキストの表示箇所はなし")</f>
        <v/>
      </c>
      <c r="N348" s="410">
        <f>IFERROR(__xludf.DUMMYFUNCTION("""COMPUTED_VALUE"""),"2026-03-01 00:00:00")</f>
        <v/>
      </c>
      <c r="O348" s="368" t="n"/>
      <c r="P348" s="334" t="n"/>
    </row>
    <row r="349">
      <c r="A349" s="334">
        <f>IFERROR(__xludf.DUMMYFUNCTION("""COMPUTED_VALUE"""),"hut")</f>
        <v/>
      </c>
      <c r="B349" s="334">
        <f>IFERROR(__xludf.DUMMYFUNCTION("""COMPUTED_VALUE"""),"ふつうの軽音部")</f>
        <v/>
      </c>
      <c r="C349" s="334">
        <f>IFERROR(__xludf.DUMMYFUNCTION("""COMPUTED_VALUE"""),"item_point")</f>
        <v/>
      </c>
      <c r="D349" s="408">
        <f>IFERROR(__xludf.DUMMYFUNCTION("""COMPUTED_VALUE"""),"00001")</f>
        <v/>
      </c>
      <c r="E349" s="334">
        <f>IFERROR(__xludf.DUMMYFUNCTION("""COMPUTED_VALUE"""),"item_point_hut_00001")</f>
        <v/>
      </c>
      <c r="F349" s="334">
        <f>IFERROR(__xludf.DUMMYFUNCTION("""COMPUTED_VALUE"""),"item_point_hut_00001")</f>
        <v/>
      </c>
      <c r="G349" s="334">
        <f>IFERROR(__xludf.DUMMYFUNCTION("""COMPUTED_VALUE"""),"アイテム画像はなし")</f>
        <v/>
      </c>
      <c r="H349" s="408">
        <f>IFERROR(__xludf.DUMMYFUNCTION("""COMPUTED_VALUE"""),"『ふつうの軽音部』 の作品ポイント")</f>
        <v/>
      </c>
      <c r="I349" s="334">
        <f>IFERROR(__xludf.DUMMYFUNCTION("""COMPUTED_VALUE"""),"R")</f>
        <v/>
      </c>
      <c r="J349" s="409">
        <f>IFERROR(__xludf.DUMMYFUNCTION("""COMPUTED_VALUE"""),9.99999999E8)</f>
        <v/>
      </c>
      <c r="K349" s="409">
        <f>IFERROR(__xludf.DUMMYFUNCTION("""COMPUTED_VALUE"""),9.99999999E8)</f>
        <v/>
      </c>
      <c r="L349" s="334">
        <f>IFERROR(__xludf.DUMMYFUNCTION("""COMPUTED_VALUE"""),"フレーバーテキストなし")</f>
        <v/>
      </c>
      <c r="M349" s="334">
        <f>IFERROR(__xludf.DUMMYFUNCTION("""COMPUTED_VALUE"""),"アイテム画像とフレーバーテキストの表示箇所はなし")</f>
        <v/>
      </c>
      <c r="N349" s="410">
        <f>IFERROR(__xludf.DUMMYFUNCTION("""COMPUTED_VALUE"""),"2026-03-01 00:00:00")</f>
        <v/>
      </c>
      <c r="O349" s="368" t="n"/>
      <c r="P349" s="334" t="n"/>
    </row>
    <row r="350">
      <c r="A350" s="334">
        <f>IFERROR(__xludf.DUMMYFUNCTION("""COMPUTED_VALUE"""),"hyp")</f>
        <v/>
      </c>
      <c r="B350" s="334">
        <f>IFERROR(__xludf.DUMMYFUNCTION("""COMPUTED_VALUE"""),"ハイパーインフレーション")</f>
        <v/>
      </c>
      <c r="C350" s="334">
        <f>IFERROR(__xludf.DUMMYFUNCTION("""COMPUTED_VALUE"""),"item_point")</f>
        <v/>
      </c>
      <c r="D350" s="408">
        <f>IFERROR(__xludf.DUMMYFUNCTION("""COMPUTED_VALUE"""),"00001")</f>
        <v/>
      </c>
      <c r="E350" s="334">
        <f>IFERROR(__xludf.DUMMYFUNCTION("""COMPUTED_VALUE"""),"item_point_hyp_00001")</f>
        <v/>
      </c>
      <c r="F350" s="334">
        <f>IFERROR(__xludf.DUMMYFUNCTION("""COMPUTED_VALUE"""),"item_point_hyp_00001")</f>
        <v/>
      </c>
      <c r="G350" s="334">
        <f>IFERROR(__xludf.DUMMYFUNCTION("""COMPUTED_VALUE"""),"アイテム画像はなし")</f>
        <v/>
      </c>
      <c r="H350" s="408">
        <f>IFERROR(__xludf.DUMMYFUNCTION("""COMPUTED_VALUE"""),"『ハイパーインフレーション』 の作品ポイント")</f>
        <v/>
      </c>
      <c r="I350" s="334">
        <f>IFERROR(__xludf.DUMMYFUNCTION("""COMPUTED_VALUE"""),"R")</f>
        <v/>
      </c>
      <c r="J350" s="409">
        <f>IFERROR(__xludf.DUMMYFUNCTION("""COMPUTED_VALUE"""),9.99999999E8)</f>
        <v/>
      </c>
      <c r="K350" s="409">
        <f>IFERROR(__xludf.DUMMYFUNCTION("""COMPUTED_VALUE"""),9.99999999E8)</f>
        <v/>
      </c>
      <c r="L350" s="334">
        <f>IFERROR(__xludf.DUMMYFUNCTION("""COMPUTED_VALUE"""),"フレーバーテキストなし")</f>
        <v/>
      </c>
      <c r="M350" s="334">
        <f>IFERROR(__xludf.DUMMYFUNCTION("""COMPUTED_VALUE"""),"アイテム画像とフレーバーテキストの表示箇所はなし")</f>
        <v/>
      </c>
      <c r="N350" s="339" t="n"/>
      <c r="O350" s="368" t="n"/>
      <c r="P350" s="334" t="n"/>
    </row>
    <row r="351">
      <c r="A351" s="334">
        <f>IFERROR(__xludf.DUMMYFUNCTION("""COMPUTED_VALUE"""),"gam")</f>
        <v/>
      </c>
      <c r="B351" s="334">
        <f>IFERROR(__xludf.DUMMYFUNCTION("""COMPUTED_VALUE"""),"ゲーミングお嬢様")</f>
        <v/>
      </c>
      <c r="C351" s="334">
        <f>IFERROR(__xludf.DUMMYFUNCTION("""COMPUTED_VALUE"""),"item_point")</f>
        <v/>
      </c>
      <c r="D351" s="408">
        <f>IFERROR(__xludf.DUMMYFUNCTION("""COMPUTED_VALUE"""),"00001")</f>
        <v/>
      </c>
      <c r="E351" s="334">
        <f>IFERROR(__xludf.DUMMYFUNCTION("""COMPUTED_VALUE"""),"item_point_gam_00001")</f>
        <v/>
      </c>
      <c r="F351" s="334">
        <f>IFERROR(__xludf.DUMMYFUNCTION("""COMPUTED_VALUE"""),"item_point_gam_00001")</f>
        <v/>
      </c>
      <c r="G351" s="334">
        <f>IFERROR(__xludf.DUMMYFUNCTION("""COMPUTED_VALUE"""),"アイテム画像はなし")</f>
        <v/>
      </c>
      <c r="H351" s="408">
        <f>IFERROR(__xludf.DUMMYFUNCTION("""COMPUTED_VALUE"""),"『ゲーミングお嬢様』 の作品ポイント")</f>
        <v/>
      </c>
      <c r="I351" s="334">
        <f>IFERROR(__xludf.DUMMYFUNCTION("""COMPUTED_VALUE"""),"R")</f>
        <v/>
      </c>
      <c r="J351" s="409">
        <f>IFERROR(__xludf.DUMMYFUNCTION("""COMPUTED_VALUE"""),9.99999999E8)</f>
        <v/>
      </c>
      <c r="K351" s="409">
        <f>IFERROR(__xludf.DUMMYFUNCTION("""COMPUTED_VALUE"""),9.99999999E8)</f>
        <v/>
      </c>
      <c r="L351" s="334">
        <f>IFERROR(__xludf.DUMMYFUNCTION("""COMPUTED_VALUE"""),"フレーバーテキストなし")</f>
        <v/>
      </c>
      <c r="M351" s="334">
        <f>IFERROR(__xludf.DUMMYFUNCTION("""COMPUTED_VALUE"""),"アイテム画像とフレーバーテキストの表示箇所はなし")</f>
        <v/>
      </c>
      <c r="N351" s="339" t="n"/>
      <c r="O351" s="368" t="n"/>
      <c r="P351" s="334" t="n"/>
    </row>
    <row r="352">
      <c r="A352" s="334">
        <f>IFERROR(__xludf.DUMMYFUNCTION("""COMPUTED_VALUE"""),"ara")</f>
        <v/>
      </c>
      <c r="B352" s="334">
        <f>IFERROR(__xludf.DUMMYFUNCTION("""COMPUTED_VALUE"""),"アラガネの子")</f>
        <v/>
      </c>
      <c r="C352" s="334">
        <f>IFERROR(__xludf.DUMMYFUNCTION("""COMPUTED_VALUE"""),"item_point")</f>
        <v/>
      </c>
      <c r="D352" s="408">
        <f>IFERROR(__xludf.DUMMYFUNCTION("""COMPUTED_VALUE"""),"00001")</f>
        <v/>
      </c>
      <c r="E352" s="334">
        <f>IFERROR(__xludf.DUMMYFUNCTION("""COMPUTED_VALUE"""),"item_point_ara_00001")</f>
        <v/>
      </c>
      <c r="F352" s="334">
        <f>IFERROR(__xludf.DUMMYFUNCTION("""COMPUTED_VALUE"""),"item_point_ara_00001")</f>
        <v/>
      </c>
      <c r="G352" s="334">
        <f>IFERROR(__xludf.DUMMYFUNCTION("""COMPUTED_VALUE"""),"アイテム画像はなし")</f>
        <v/>
      </c>
      <c r="H352" s="408">
        <f>IFERROR(__xludf.DUMMYFUNCTION("""COMPUTED_VALUE"""),"『アラガネの子』 の作品ポイント")</f>
        <v/>
      </c>
      <c r="I352" s="334">
        <f>IFERROR(__xludf.DUMMYFUNCTION("""COMPUTED_VALUE"""),"R")</f>
        <v/>
      </c>
      <c r="J352" s="409">
        <f>IFERROR(__xludf.DUMMYFUNCTION("""COMPUTED_VALUE"""),9.99999999E8)</f>
        <v/>
      </c>
      <c r="K352" s="409">
        <f>IFERROR(__xludf.DUMMYFUNCTION("""COMPUTED_VALUE"""),9.99999999E8)</f>
        <v/>
      </c>
      <c r="L352" s="334">
        <f>IFERROR(__xludf.DUMMYFUNCTION("""COMPUTED_VALUE"""),"フレーバーテキストなし")</f>
        <v/>
      </c>
      <c r="M352" s="334">
        <f>IFERROR(__xludf.DUMMYFUNCTION("""COMPUTED_VALUE"""),"アイテム画像とフレーバーテキストの表示箇所はなし")</f>
        <v/>
      </c>
      <c r="N352" s="339" t="n"/>
      <c r="O352" s="368" t="n"/>
      <c r="P352" s="334" t="n"/>
    </row>
    <row r="353">
      <c r="A353" s="334">
        <f>IFERROR(__xludf.DUMMYFUNCTION("""COMPUTED_VALUE"""),"aya")</f>
        <v/>
      </c>
      <c r="B353" s="334">
        <f>IFERROR(__xludf.DUMMYFUNCTION("""COMPUTED_VALUE"""),"あやかしトライアングル")</f>
        <v/>
      </c>
      <c r="C353" s="334">
        <f>IFERROR(__xludf.DUMMYFUNCTION("""COMPUTED_VALUE"""),"item_point")</f>
        <v/>
      </c>
      <c r="D353" s="408">
        <f>IFERROR(__xludf.DUMMYFUNCTION("""COMPUTED_VALUE"""),"00001")</f>
        <v/>
      </c>
      <c r="E353" s="334">
        <f>IFERROR(__xludf.DUMMYFUNCTION("""COMPUTED_VALUE"""),"item_point_aya_00001")</f>
        <v/>
      </c>
      <c r="F353" s="334">
        <f>IFERROR(__xludf.DUMMYFUNCTION("""COMPUTED_VALUE"""),"item_point_aya_00001")</f>
        <v/>
      </c>
      <c r="G353" s="334">
        <f>IFERROR(__xludf.DUMMYFUNCTION("""COMPUTED_VALUE"""),"アイテム画像はなし")</f>
        <v/>
      </c>
      <c r="H353" s="408">
        <f>IFERROR(__xludf.DUMMYFUNCTION("""COMPUTED_VALUE"""),"『あやかしトライアングル』 の作品ポイント")</f>
        <v/>
      </c>
      <c r="I353" s="334">
        <f>IFERROR(__xludf.DUMMYFUNCTION("""COMPUTED_VALUE"""),"R")</f>
        <v/>
      </c>
      <c r="J353" s="409">
        <f>IFERROR(__xludf.DUMMYFUNCTION("""COMPUTED_VALUE"""),9.99999999E8)</f>
        <v/>
      </c>
      <c r="K353" s="409">
        <f>IFERROR(__xludf.DUMMYFUNCTION("""COMPUTED_VALUE"""),9.99999999E8)</f>
        <v/>
      </c>
      <c r="L353" s="334">
        <f>IFERROR(__xludf.DUMMYFUNCTION("""COMPUTED_VALUE"""),"フレーバーテキストなし")</f>
        <v/>
      </c>
      <c r="M353" s="334">
        <f>IFERROR(__xludf.DUMMYFUNCTION("""COMPUTED_VALUE"""),"アイテム画像とフレーバーテキストの表示箇所はなし")</f>
        <v/>
      </c>
      <c r="N353" s="410">
        <f>IFERROR(__xludf.DUMMYFUNCTION("""COMPUTED_VALUE"""),"2026-03-01 00:00:00")</f>
        <v/>
      </c>
      <c r="O353" s="368" t="n"/>
      <c r="P353" s="334" t="n"/>
    </row>
    <row r="354">
      <c r="A354" s="334">
        <f>IFERROR(__xludf.DUMMYFUNCTION("""COMPUTED_VALUE"""),"mar")</f>
        <v/>
      </c>
      <c r="B354" s="334">
        <f>IFERROR(__xludf.DUMMYFUNCTION("""COMPUTED_VALUE"""),"マリッジトキシン")</f>
        <v/>
      </c>
      <c r="C354" s="334">
        <f>IFERROR(__xludf.DUMMYFUNCTION("""COMPUTED_VALUE"""),"item_point")</f>
        <v/>
      </c>
      <c r="D354" s="408">
        <f>IFERROR(__xludf.DUMMYFUNCTION("""COMPUTED_VALUE"""),"00001")</f>
        <v/>
      </c>
      <c r="E354" s="334">
        <f>IFERROR(__xludf.DUMMYFUNCTION("""COMPUTED_VALUE"""),"item_point_mar_00001")</f>
        <v/>
      </c>
      <c r="F354" s="334">
        <f>IFERROR(__xludf.DUMMYFUNCTION("""COMPUTED_VALUE"""),"item_point_mar_00001")</f>
        <v/>
      </c>
      <c r="G354" s="334">
        <f>IFERROR(__xludf.DUMMYFUNCTION("""COMPUTED_VALUE"""),"アイテム画像はなし")</f>
        <v/>
      </c>
      <c r="H354" s="408">
        <f>IFERROR(__xludf.DUMMYFUNCTION("""COMPUTED_VALUE"""),"『マリッジトキシン』 の作品ポイント")</f>
        <v/>
      </c>
      <c r="I354" s="334">
        <f>IFERROR(__xludf.DUMMYFUNCTION("""COMPUTED_VALUE"""),"R")</f>
        <v/>
      </c>
      <c r="J354" s="409">
        <f>IFERROR(__xludf.DUMMYFUNCTION("""COMPUTED_VALUE"""),9.99999999E8)</f>
        <v/>
      </c>
      <c r="K354" s="409">
        <f>IFERROR(__xludf.DUMMYFUNCTION("""COMPUTED_VALUE"""),9.99999999E8)</f>
        <v/>
      </c>
      <c r="L354" s="334">
        <f>IFERROR(__xludf.DUMMYFUNCTION("""COMPUTED_VALUE"""),"フレーバーテキストなし")</f>
        <v/>
      </c>
      <c r="M354" s="334">
        <f>IFERROR(__xludf.DUMMYFUNCTION("""COMPUTED_VALUE"""),"アイテム画像とフレーバーテキストの表示箇所はなし")</f>
        <v/>
      </c>
      <c r="N354" s="339" t="n"/>
      <c r="O354" s="368" t="n"/>
      <c r="P354" s="334" t="n"/>
    </row>
    <row r="355">
      <c r="A355" s="334">
        <f>IFERROR(__xludf.DUMMYFUNCTION("""COMPUTED_VALUE"""),"sib")</f>
        <v/>
      </c>
      <c r="B355" s="334">
        <f>IFERROR(__xludf.DUMMYFUNCTION("""COMPUTED_VALUE"""),"シバつき物件")</f>
        <v/>
      </c>
      <c r="C355" s="334">
        <f>IFERROR(__xludf.DUMMYFUNCTION("""COMPUTED_VALUE"""),"item_point")</f>
        <v/>
      </c>
      <c r="D355" s="408">
        <f>IFERROR(__xludf.DUMMYFUNCTION("""COMPUTED_VALUE"""),"00001")</f>
        <v/>
      </c>
      <c r="E355" s="334">
        <f>IFERROR(__xludf.DUMMYFUNCTION("""COMPUTED_VALUE"""),"item_point_sib_00001")</f>
        <v/>
      </c>
      <c r="F355" s="334">
        <f>IFERROR(__xludf.DUMMYFUNCTION("""COMPUTED_VALUE"""),"item_point_sib_00001")</f>
        <v/>
      </c>
      <c r="G355" s="334">
        <f>IFERROR(__xludf.DUMMYFUNCTION("""COMPUTED_VALUE"""),"アイテム画像はなし")</f>
        <v/>
      </c>
      <c r="H355" s="408">
        <f>IFERROR(__xludf.DUMMYFUNCTION("""COMPUTED_VALUE"""),"『シバつき物件』 の作品ポイント")</f>
        <v/>
      </c>
      <c r="I355" s="334">
        <f>IFERROR(__xludf.DUMMYFUNCTION("""COMPUTED_VALUE"""),"R")</f>
        <v/>
      </c>
      <c r="J355" s="409">
        <f>IFERROR(__xludf.DUMMYFUNCTION("""COMPUTED_VALUE"""),9.99999999E8)</f>
        <v/>
      </c>
      <c r="K355" s="409">
        <f>IFERROR(__xludf.DUMMYFUNCTION("""COMPUTED_VALUE"""),9.99999999E8)</f>
        <v/>
      </c>
      <c r="L355" s="334">
        <f>IFERROR(__xludf.DUMMYFUNCTION("""COMPUTED_VALUE"""),"フレーバーテキストなし")</f>
        <v/>
      </c>
      <c r="M355" s="334">
        <f>IFERROR(__xludf.DUMMYFUNCTION("""COMPUTED_VALUE"""),"アイテム画像とフレーバーテキストの表示箇所はなし")</f>
        <v/>
      </c>
      <c r="N355" s="339" t="n"/>
      <c r="O355" s="368" t="n"/>
      <c r="P355" s="334" t="n"/>
    </row>
    <row r="356">
      <c r="A356" s="334">
        <f>IFERROR(__xludf.DUMMYFUNCTION("""COMPUTED_VALUE"""),"nek")</f>
        <v/>
      </c>
      <c r="B356" s="334">
        <f>IFERROR(__xludf.DUMMYFUNCTION("""COMPUTED_VALUE"""),"猫田びより")</f>
        <v/>
      </c>
      <c r="C356" s="334">
        <f>IFERROR(__xludf.DUMMYFUNCTION("""COMPUTED_VALUE"""),"item_point")</f>
        <v/>
      </c>
      <c r="D356" s="408">
        <f>IFERROR(__xludf.DUMMYFUNCTION("""COMPUTED_VALUE"""),"00001")</f>
        <v/>
      </c>
      <c r="E356" s="334">
        <f>IFERROR(__xludf.DUMMYFUNCTION("""COMPUTED_VALUE"""),"item_point_nek_00001")</f>
        <v/>
      </c>
      <c r="F356" s="334">
        <f>IFERROR(__xludf.DUMMYFUNCTION("""COMPUTED_VALUE"""),"item_point_nek_00001")</f>
        <v/>
      </c>
      <c r="G356" s="334">
        <f>IFERROR(__xludf.DUMMYFUNCTION("""COMPUTED_VALUE"""),"アイテム画像はなし")</f>
        <v/>
      </c>
      <c r="H356" s="408">
        <f>IFERROR(__xludf.DUMMYFUNCTION("""COMPUTED_VALUE"""),"『猫田びより』 の作品ポイント")</f>
        <v/>
      </c>
      <c r="I356" s="334">
        <f>IFERROR(__xludf.DUMMYFUNCTION("""COMPUTED_VALUE"""),"R")</f>
        <v/>
      </c>
      <c r="J356" s="409">
        <f>IFERROR(__xludf.DUMMYFUNCTION("""COMPUTED_VALUE"""),9.99999999E8)</f>
        <v/>
      </c>
      <c r="K356" s="409">
        <f>IFERROR(__xludf.DUMMYFUNCTION("""COMPUTED_VALUE"""),9.99999999E8)</f>
        <v/>
      </c>
      <c r="L356" s="334">
        <f>IFERROR(__xludf.DUMMYFUNCTION("""COMPUTED_VALUE"""),"フレーバーテキストなし")</f>
        <v/>
      </c>
      <c r="M356" s="334">
        <f>IFERROR(__xludf.DUMMYFUNCTION("""COMPUTED_VALUE"""),"アイテム画像とフレーバーテキストの表示箇所はなし")</f>
        <v/>
      </c>
      <c r="N356" s="339" t="n"/>
      <c r="O356" s="368" t="n"/>
      <c r="P356" s="334" t="n"/>
    </row>
    <row r="357">
      <c r="A357" s="334">
        <f>IFERROR(__xludf.DUMMYFUNCTION("""COMPUTED_VALUE"""),"mad")</f>
        <v/>
      </c>
      <c r="B357" s="334">
        <f>IFERROR(__xludf.DUMMYFUNCTION("""COMPUTED_VALUE"""),"MAD")</f>
        <v/>
      </c>
      <c r="C357" s="334">
        <f>IFERROR(__xludf.DUMMYFUNCTION("""COMPUTED_VALUE"""),"item_point")</f>
        <v/>
      </c>
      <c r="D357" s="408">
        <f>IFERROR(__xludf.DUMMYFUNCTION("""COMPUTED_VALUE"""),"00001")</f>
        <v/>
      </c>
      <c r="E357" s="334">
        <f>IFERROR(__xludf.DUMMYFUNCTION("""COMPUTED_VALUE"""),"item_point_mad_00001")</f>
        <v/>
      </c>
      <c r="F357" s="334">
        <f>IFERROR(__xludf.DUMMYFUNCTION("""COMPUTED_VALUE"""),"item_point_mad_00001")</f>
        <v/>
      </c>
      <c r="G357" s="334">
        <f>IFERROR(__xludf.DUMMYFUNCTION("""COMPUTED_VALUE"""),"アイテム画像はなし")</f>
        <v/>
      </c>
      <c r="H357" s="408">
        <f>IFERROR(__xludf.DUMMYFUNCTION("""COMPUTED_VALUE"""),"『MAD』 の作品ポイント")</f>
        <v/>
      </c>
      <c r="I357" s="334">
        <f>IFERROR(__xludf.DUMMYFUNCTION("""COMPUTED_VALUE"""),"R")</f>
        <v/>
      </c>
      <c r="J357" s="409">
        <f>IFERROR(__xludf.DUMMYFUNCTION("""COMPUTED_VALUE"""),9.99999999E8)</f>
        <v/>
      </c>
      <c r="K357" s="409">
        <f>IFERROR(__xludf.DUMMYFUNCTION("""COMPUTED_VALUE"""),9.99999999E8)</f>
        <v/>
      </c>
      <c r="L357" s="334">
        <f>IFERROR(__xludf.DUMMYFUNCTION("""COMPUTED_VALUE"""),"フレーバーテキストなし")</f>
        <v/>
      </c>
      <c r="M357" s="334">
        <f>IFERROR(__xludf.DUMMYFUNCTION("""COMPUTED_VALUE"""),"アイテム画像とフレーバーテキストの表示箇所はなし")</f>
        <v/>
      </c>
      <c r="N357" s="339" t="n"/>
      <c r="O357" s="368" t="n"/>
      <c r="P357" s="334" t="n"/>
    </row>
    <row r="358">
      <c r="A358" s="334">
        <f>IFERROR(__xludf.DUMMYFUNCTION("""COMPUTED_VALUE"""),"syu")</f>
        <v/>
      </c>
      <c r="B358" s="334">
        <f>IFERROR(__xludf.DUMMYFUNCTION("""COMPUTED_VALUE"""),"終末のハーレム")</f>
        <v/>
      </c>
      <c r="C358" s="334">
        <f>IFERROR(__xludf.DUMMYFUNCTION("""COMPUTED_VALUE"""),"item_point")</f>
        <v/>
      </c>
      <c r="D358" s="408">
        <f>IFERROR(__xludf.DUMMYFUNCTION("""COMPUTED_VALUE"""),"00001")</f>
        <v/>
      </c>
      <c r="E358" s="334">
        <f>IFERROR(__xludf.DUMMYFUNCTION("""COMPUTED_VALUE"""),"item_point_syu_00001")</f>
        <v/>
      </c>
      <c r="F358" s="334">
        <f>IFERROR(__xludf.DUMMYFUNCTION("""COMPUTED_VALUE"""),"item_point_syu_00001")</f>
        <v/>
      </c>
      <c r="G358" s="334">
        <f>IFERROR(__xludf.DUMMYFUNCTION("""COMPUTED_VALUE"""),"アイテム画像はなし")</f>
        <v/>
      </c>
      <c r="H358" s="408">
        <f>IFERROR(__xludf.DUMMYFUNCTION("""COMPUTED_VALUE"""),"『終末のハーレム』 の作品ポイント")</f>
        <v/>
      </c>
      <c r="I358" s="334">
        <f>IFERROR(__xludf.DUMMYFUNCTION("""COMPUTED_VALUE"""),"R")</f>
        <v/>
      </c>
      <c r="J358" s="409">
        <f>IFERROR(__xludf.DUMMYFUNCTION("""COMPUTED_VALUE"""),9.99999999E8)</f>
        <v/>
      </c>
      <c r="K358" s="409">
        <f>IFERROR(__xludf.DUMMYFUNCTION("""COMPUTED_VALUE"""),9.99999999E8)</f>
        <v/>
      </c>
      <c r="L358" s="334">
        <f>IFERROR(__xludf.DUMMYFUNCTION("""COMPUTED_VALUE"""),"フレーバーテキストなし")</f>
        <v/>
      </c>
      <c r="M358" s="334">
        <f>IFERROR(__xludf.DUMMYFUNCTION("""COMPUTED_VALUE"""),"アイテム画像とフレーバーテキストの表示箇所はなし")</f>
        <v/>
      </c>
      <c r="N358" s="339" t="n"/>
      <c r="O358" s="368" t="n"/>
      <c r="P358" s="334" t="n"/>
    </row>
    <row r="359">
      <c r="A359" s="334">
        <f>IFERROR(__xludf.DUMMYFUNCTION("""COMPUTED_VALUE"""),"aft")</f>
        <v/>
      </c>
      <c r="B359" s="334">
        <f>IFERROR(__xludf.DUMMYFUNCTION("""COMPUTED_VALUE"""),"終末のハーレム After World")</f>
        <v/>
      </c>
      <c r="C359" s="334">
        <f>IFERROR(__xludf.DUMMYFUNCTION("""COMPUTED_VALUE"""),"item_point")</f>
        <v/>
      </c>
      <c r="D359" s="408">
        <f>IFERROR(__xludf.DUMMYFUNCTION("""COMPUTED_VALUE"""),"00001")</f>
        <v/>
      </c>
      <c r="E359" s="334">
        <f>IFERROR(__xludf.DUMMYFUNCTION("""COMPUTED_VALUE"""),"item_point_aft_00001")</f>
        <v/>
      </c>
      <c r="F359" s="334">
        <f>IFERROR(__xludf.DUMMYFUNCTION("""COMPUTED_VALUE"""),"item_point_aft_00001")</f>
        <v/>
      </c>
      <c r="G359" s="334">
        <f>IFERROR(__xludf.DUMMYFUNCTION("""COMPUTED_VALUE"""),"アイテム画像はなし")</f>
        <v/>
      </c>
      <c r="H359" s="408">
        <f>IFERROR(__xludf.DUMMYFUNCTION("""COMPUTED_VALUE"""),"『終末のハーレム After World』 の作品ポイント")</f>
        <v/>
      </c>
      <c r="I359" s="334">
        <f>IFERROR(__xludf.DUMMYFUNCTION("""COMPUTED_VALUE"""),"R")</f>
        <v/>
      </c>
      <c r="J359" s="409">
        <f>IFERROR(__xludf.DUMMYFUNCTION("""COMPUTED_VALUE"""),9.99999999E8)</f>
        <v/>
      </c>
      <c r="K359" s="409">
        <f>IFERROR(__xludf.DUMMYFUNCTION("""COMPUTED_VALUE"""),9.99999999E8)</f>
        <v/>
      </c>
      <c r="L359" s="334">
        <f>IFERROR(__xludf.DUMMYFUNCTION("""COMPUTED_VALUE"""),"フレーバーテキストなし")</f>
        <v/>
      </c>
      <c r="M359" s="334">
        <f>IFERROR(__xludf.DUMMYFUNCTION("""COMPUTED_VALUE"""),"アイテム画像とフレーバーテキストの表示箇所はなし")</f>
        <v/>
      </c>
      <c r="N359" s="339" t="n"/>
      <c r="O359" s="368" t="n"/>
      <c r="P359" s="334" t="n"/>
    </row>
    <row r="360">
      <c r="A360" s="334">
        <f>IFERROR(__xludf.DUMMYFUNCTION("""COMPUTED_VALUE"""),"fan")</f>
        <v/>
      </c>
      <c r="B360" s="334">
        <f>IFERROR(__xludf.DUMMYFUNCTION("""COMPUTED_VALUE"""),"終末のハーレム ファンタジア")</f>
        <v/>
      </c>
      <c r="C360" s="334">
        <f>IFERROR(__xludf.DUMMYFUNCTION("""COMPUTED_VALUE"""),"item_point")</f>
        <v/>
      </c>
      <c r="D360" s="408">
        <f>IFERROR(__xludf.DUMMYFUNCTION("""COMPUTED_VALUE"""),"00001")</f>
        <v/>
      </c>
      <c r="E360" s="334">
        <f>IFERROR(__xludf.DUMMYFUNCTION("""COMPUTED_VALUE"""),"item_point_fan_00001")</f>
        <v/>
      </c>
      <c r="F360" s="334">
        <f>IFERROR(__xludf.DUMMYFUNCTION("""COMPUTED_VALUE"""),"item_point_fan_00001")</f>
        <v/>
      </c>
      <c r="G360" s="334">
        <f>IFERROR(__xludf.DUMMYFUNCTION("""COMPUTED_VALUE"""),"アイテム画像はなし")</f>
        <v/>
      </c>
      <c r="H360" s="408">
        <f>IFERROR(__xludf.DUMMYFUNCTION("""COMPUTED_VALUE"""),"『終末のハーレム ファンタジア』 の作品ポイント")</f>
        <v/>
      </c>
      <c r="I360" s="334">
        <f>IFERROR(__xludf.DUMMYFUNCTION("""COMPUTED_VALUE"""),"R")</f>
        <v/>
      </c>
      <c r="J360" s="409">
        <f>IFERROR(__xludf.DUMMYFUNCTION("""COMPUTED_VALUE"""),9.99999999E8)</f>
        <v/>
      </c>
      <c r="K360" s="409">
        <f>IFERROR(__xludf.DUMMYFUNCTION("""COMPUTED_VALUE"""),9.99999999E8)</f>
        <v/>
      </c>
      <c r="L360" s="334">
        <f>IFERROR(__xludf.DUMMYFUNCTION("""COMPUTED_VALUE"""),"フレーバーテキストなし")</f>
        <v/>
      </c>
      <c r="M360" s="334">
        <f>IFERROR(__xludf.DUMMYFUNCTION("""COMPUTED_VALUE"""),"アイテム画像とフレーバーテキストの表示箇所はなし")</f>
        <v/>
      </c>
      <c r="N360" s="339" t="n"/>
      <c r="O360" s="368" t="n"/>
      <c r="P360" s="334" t="n"/>
    </row>
    <row r="361">
      <c r="A361" s="334">
        <f>IFERROR(__xludf.DUMMYFUNCTION("""COMPUTED_VALUE"""),"kut")</f>
        <v/>
      </c>
      <c r="B361" s="334">
        <f>IFERROR(__xludf.DUMMYFUNCTION("""COMPUTED_VALUE"""),"口が裂けても君には")</f>
        <v/>
      </c>
      <c r="C361" s="334">
        <f>IFERROR(__xludf.DUMMYFUNCTION("""COMPUTED_VALUE"""),"item_point")</f>
        <v/>
      </c>
      <c r="D361" s="408">
        <f>IFERROR(__xludf.DUMMYFUNCTION("""COMPUTED_VALUE"""),"00001")</f>
        <v/>
      </c>
      <c r="E361" s="334">
        <f>IFERROR(__xludf.DUMMYFUNCTION("""COMPUTED_VALUE"""),"item_point_kut_00001")</f>
        <v/>
      </c>
      <c r="F361" s="334">
        <f>IFERROR(__xludf.DUMMYFUNCTION("""COMPUTED_VALUE"""),"item_point_kut_00001")</f>
        <v/>
      </c>
      <c r="G361" s="334">
        <f>IFERROR(__xludf.DUMMYFUNCTION("""COMPUTED_VALUE"""),"アイテム画像はなし")</f>
        <v/>
      </c>
      <c r="H361" s="408">
        <f>IFERROR(__xludf.DUMMYFUNCTION("""COMPUTED_VALUE"""),"『口が裂けても君には』 の作品ポイント")</f>
        <v/>
      </c>
      <c r="I361" s="334">
        <f>IFERROR(__xludf.DUMMYFUNCTION("""COMPUTED_VALUE"""),"R")</f>
        <v/>
      </c>
      <c r="J361" s="409">
        <f>IFERROR(__xludf.DUMMYFUNCTION("""COMPUTED_VALUE"""),9.99999999E8)</f>
        <v/>
      </c>
      <c r="K361" s="409">
        <f>IFERROR(__xludf.DUMMYFUNCTION("""COMPUTED_VALUE"""),9.99999999E8)</f>
        <v/>
      </c>
      <c r="L361" s="334">
        <f>IFERROR(__xludf.DUMMYFUNCTION("""COMPUTED_VALUE"""),"フレーバーテキストなし")</f>
        <v/>
      </c>
      <c r="M361" s="334">
        <f>IFERROR(__xludf.DUMMYFUNCTION("""COMPUTED_VALUE"""),"アイテム画像とフレーバーテキストの表示箇所はなし")</f>
        <v/>
      </c>
      <c r="N361" s="339" t="n"/>
      <c r="O361" s="368" t="n"/>
      <c r="P361" s="334" t="n"/>
    </row>
    <row r="362">
      <c r="A362" s="334">
        <f>IFERROR(__xludf.DUMMYFUNCTION("""COMPUTED_VALUE"""),"san")</f>
        <v/>
      </c>
      <c r="B362" s="334">
        <f>IFERROR(__xludf.DUMMYFUNCTION("""COMPUTED_VALUE"""),"サンキューピッチ")</f>
        <v/>
      </c>
      <c r="C362" s="334">
        <f>IFERROR(__xludf.DUMMYFUNCTION("""COMPUTED_VALUE"""),"item_point")</f>
        <v/>
      </c>
      <c r="D362" s="408">
        <f>IFERROR(__xludf.DUMMYFUNCTION("""COMPUTED_VALUE"""),"00001")</f>
        <v/>
      </c>
      <c r="E362" s="334">
        <f>IFERROR(__xludf.DUMMYFUNCTION("""COMPUTED_VALUE"""),"item_point_san_00001")</f>
        <v/>
      </c>
      <c r="F362" s="334">
        <f>IFERROR(__xludf.DUMMYFUNCTION("""COMPUTED_VALUE"""),"item_point_san_00001")</f>
        <v/>
      </c>
      <c r="G362" s="334">
        <f>IFERROR(__xludf.DUMMYFUNCTION("""COMPUTED_VALUE"""),"アイテム画像はなし")</f>
        <v/>
      </c>
      <c r="H362" s="408">
        <f>IFERROR(__xludf.DUMMYFUNCTION("""COMPUTED_VALUE"""),"『サンキューピッチ』 の作品ポイント")</f>
        <v/>
      </c>
      <c r="I362" s="334">
        <f>IFERROR(__xludf.DUMMYFUNCTION("""COMPUTED_VALUE"""),"R")</f>
        <v/>
      </c>
      <c r="J362" s="409">
        <f>IFERROR(__xludf.DUMMYFUNCTION("""COMPUTED_VALUE"""),9.99999999E8)</f>
        <v/>
      </c>
      <c r="K362" s="409">
        <f>IFERROR(__xludf.DUMMYFUNCTION("""COMPUTED_VALUE"""),9.99999999E8)</f>
        <v/>
      </c>
      <c r="L362" s="334">
        <f>IFERROR(__xludf.DUMMYFUNCTION("""COMPUTED_VALUE"""),"フレーバーテキストなし")</f>
        <v/>
      </c>
      <c r="M362" s="334">
        <f>IFERROR(__xludf.DUMMYFUNCTION("""COMPUTED_VALUE"""),"アイテム画像とフレーバーテキストの表示箇所はなし")</f>
        <v/>
      </c>
      <c r="N362" s="339" t="n"/>
      <c r="O362" s="368" t="n"/>
      <c r="P362" s="334" t="n"/>
    </row>
    <row r="363">
      <c r="A363" s="334">
        <f>IFERROR(__xludf.DUMMYFUNCTION("""COMPUTED_VALUE"""),"kus")</f>
        <v/>
      </c>
      <c r="B363" s="334">
        <f>IFERROR(__xludf.DUMMYFUNCTION("""COMPUTED_VALUE"""),"クソ女に幸あれ")</f>
        <v/>
      </c>
      <c r="C363" s="334">
        <f>IFERROR(__xludf.DUMMYFUNCTION("""COMPUTED_VALUE"""),"item_point")</f>
        <v/>
      </c>
      <c r="D363" s="408">
        <f>IFERROR(__xludf.DUMMYFUNCTION("""COMPUTED_VALUE"""),"00001")</f>
        <v/>
      </c>
      <c r="E363" s="334">
        <f>IFERROR(__xludf.DUMMYFUNCTION("""COMPUTED_VALUE"""),"item_point_kus_00001")</f>
        <v/>
      </c>
      <c r="F363" s="334">
        <f>IFERROR(__xludf.DUMMYFUNCTION("""COMPUTED_VALUE"""),"item_point_kus_00001")</f>
        <v/>
      </c>
      <c r="G363" s="334">
        <f>IFERROR(__xludf.DUMMYFUNCTION("""COMPUTED_VALUE"""),"アイテム画像はなし")</f>
        <v/>
      </c>
      <c r="H363" s="408">
        <f>IFERROR(__xludf.DUMMYFUNCTION("""COMPUTED_VALUE"""),"『クソ女に幸あれ』 の作品ポイント")</f>
        <v/>
      </c>
      <c r="I363" s="334">
        <f>IFERROR(__xludf.DUMMYFUNCTION("""COMPUTED_VALUE"""),"R")</f>
        <v/>
      </c>
      <c r="J363" s="409">
        <f>IFERROR(__xludf.DUMMYFUNCTION("""COMPUTED_VALUE"""),9.99999999E8)</f>
        <v/>
      </c>
      <c r="K363" s="409">
        <f>IFERROR(__xludf.DUMMYFUNCTION("""COMPUTED_VALUE"""),9.99999999E8)</f>
        <v/>
      </c>
      <c r="L363" s="334">
        <f>IFERROR(__xludf.DUMMYFUNCTION("""COMPUTED_VALUE"""),"フレーバーテキストなし")</f>
        <v/>
      </c>
      <c r="M363" s="334">
        <f>IFERROR(__xludf.DUMMYFUNCTION("""COMPUTED_VALUE"""),"アイテム画像とフレーバーテキストの表示箇所はなし")</f>
        <v/>
      </c>
      <c r="N363" s="339" t="n"/>
      <c r="O363" s="368" t="n"/>
      <c r="P363" s="334" t="n"/>
    </row>
    <row r="364">
      <c r="A364" s="334">
        <f>IFERROR(__xludf.DUMMYFUNCTION("""COMPUTED_VALUE"""),"han")</f>
        <v/>
      </c>
      <c r="B364" s="334">
        <f>IFERROR(__xludf.DUMMYFUNCTION("""COMPUTED_VALUE"""),"半人前の恋人")</f>
        <v/>
      </c>
      <c r="C364" s="334">
        <f>IFERROR(__xludf.DUMMYFUNCTION("""COMPUTED_VALUE"""),"item_point")</f>
        <v/>
      </c>
      <c r="D364" s="408">
        <f>IFERROR(__xludf.DUMMYFUNCTION("""COMPUTED_VALUE"""),"00001")</f>
        <v/>
      </c>
      <c r="E364" s="334">
        <f>IFERROR(__xludf.DUMMYFUNCTION("""COMPUTED_VALUE"""),"item_point_han_00001")</f>
        <v/>
      </c>
      <c r="F364" s="334">
        <f>IFERROR(__xludf.DUMMYFUNCTION("""COMPUTED_VALUE"""),"item_point_han_00001")</f>
        <v/>
      </c>
      <c r="G364" s="334">
        <f>IFERROR(__xludf.DUMMYFUNCTION("""COMPUTED_VALUE"""),"アイテム画像はなし")</f>
        <v/>
      </c>
      <c r="H364" s="408">
        <f>IFERROR(__xludf.DUMMYFUNCTION("""COMPUTED_VALUE"""),"『半人前の恋人』 の作品ポイント")</f>
        <v/>
      </c>
      <c r="I364" s="334">
        <f>IFERROR(__xludf.DUMMYFUNCTION("""COMPUTED_VALUE"""),"R")</f>
        <v/>
      </c>
      <c r="J364" s="409">
        <f>IFERROR(__xludf.DUMMYFUNCTION("""COMPUTED_VALUE"""),9.99999999E8)</f>
        <v/>
      </c>
      <c r="K364" s="409">
        <f>IFERROR(__xludf.DUMMYFUNCTION("""COMPUTED_VALUE"""),9.99999999E8)</f>
        <v/>
      </c>
      <c r="L364" s="334">
        <f>IFERROR(__xludf.DUMMYFUNCTION("""COMPUTED_VALUE"""),"フレーバーテキストなし")</f>
        <v/>
      </c>
      <c r="M364" s="334">
        <f>IFERROR(__xludf.DUMMYFUNCTION("""COMPUTED_VALUE"""),"アイテム画像とフレーバーテキストの表示箇所はなし")</f>
        <v/>
      </c>
      <c r="N364" s="339" t="n"/>
      <c r="O364" s="368" t="n"/>
      <c r="P364" s="334" t="n"/>
    </row>
    <row r="365">
      <c r="A365" s="334">
        <f>IFERROR(__xludf.DUMMYFUNCTION("""COMPUTED_VALUE"""),"kub")</f>
        <v/>
      </c>
      <c r="B365" s="334">
        <f>IFERROR(__xludf.DUMMYFUNCTION("""COMPUTED_VALUE"""),"久保さんは僕を許さない")</f>
        <v/>
      </c>
      <c r="C365" s="334">
        <f>IFERROR(__xludf.DUMMYFUNCTION("""COMPUTED_VALUE"""),"item_point")</f>
        <v/>
      </c>
      <c r="D365" s="408">
        <f>IFERROR(__xludf.DUMMYFUNCTION("""COMPUTED_VALUE"""),"00001")</f>
        <v/>
      </c>
      <c r="E365" s="334">
        <f>IFERROR(__xludf.DUMMYFUNCTION("""COMPUTED_VALUE"""),"item_point_kub_00001")</f>
        <v/>
      </c>
      <c r="F365" s="334">
        <f>IFERROR(__xludf.DUMMYFUNCTION("""COMPUTED_VALUE"""),"item_point_kub_00001")</f>
        <v/>
      </c>
      <c r="G365" s="334">
        <f>IFERROR(__xludf.DUMMYFUNCTION("""COMPUTED_VALUE"""),"アイテム画像はなし")</f>
        <v/>
      </c>
      <c r="H365" s="408">
        <f>IFERROR(__xludf.DUMMYFUNCTION("""COMPUTED_VALUE"""),"『久保さんは僕を許さない』 の作品ポイント")</f>
        <v/>
      </c>
      <c r="I365" s="334">
        <f>IFERROR(__xludf.DUMMYFUNCTION("""COMPUTED_VALUE"""),"R")</f>
        <v/>
      </c>
      <c r="J365" s="409">
        <f>IFERROR(__xludf.DUMMYFUNCTION("""COMPUTED_VALUE"""),9.99999999E8)</f>
        <v/>
      </c>
      <c r="K365" s="409">
        <f>IFERROR(__xludf.DUMMYFUNCTION("""COMPUTED_VALUE"""),9.99999999E8)</f>
        <v/>
      </c>
      <c r="L365" s="334">
        <f>IFERROR(__xludf.DUMMYFUNCTION("""COMPUTED_VALUE"""),"フレーバーテキストなし")</f>
        <v/>
      </c>
      <c r="M365" s="334">
        <f>IFERROR(__xludf.DUMMYFUNCTION("""COMPUTED_VALUE"""),"アイテム画像とフレーバーテキストの表示箇所はなし")</f>
        <v/>
      </c>
      <c r="N365" s="339" t="n"/>
      <c r="O365" s="368" t="n"/>
      <c r="P365" s="334" t="n"/>
    </row>
    <row r="366">
      <c r="A366" s="334">
        <f>IFERROR(__xludf.DUMMYFUNCTION("""COMPUTED_VALUE"""),"sei")</f>
        <v/>
      </c>
      <c r="B366" s="334">
        <f>IFERROR(__xludf.DUMMYFUNCTION("""COMPUTED_VALUE"""),"正反対な君と僕")</f>
        <v/>
      </c>
      <c r="C366" s="334">
        <f>IFERROR(__xludf.DUMMYFUNCTION("""COMPUTED_VALUE"""),"item_point")</f>
        <v/>
      </c>
      <c r="D366" s="408">
        <f>IFERROR(__xludf.DUMMYFUNCTION("""COMPUTED_VALUE"""),"00001")</f>
        <v/>
      </c>
      <c r="E366" s="334">
        <f>IFERROR(__xludf.DUMMYFUNCTION("""COMPUTED_VALUE"""),"item_point_sei_00001")</f>
        <v/>
      </c>
      <c r="F366" s="334">
        <f>IFERROR(__xludf.DUMMYFUNCTION("""COMPUTED_VALUE"""),"item_point_sei_00001")</f>
        <v/>
      </c>
      <c r="G366" s="334">
        <f>IFERROR(__xludf.DUMMYFUNCTION("""COMPUTED_VALUE"""),"アイテム画像はなし")</f>
        <v/>
      </c>
      <c r="H366" s="408">
        <f>IFERROR(__xludf.DUMMYFUNCTION("""COMPUTED_VALUE"""),"『正反対な君と僕』 の作品ポイント")</f>
        <v/>
      </c>
      <c r="I366" s="334">
        <f>IFERROR(__xludf.DUMMYFUNCTION("""COMPUTED_VALUE"""),"R")</f>
        <v/>
      </c>
      <c r="J366" s="409">
        <f>IFERROR(__xludf.DUMMYFUNCTION("""COMPUTED_VALUE"""),9.99999999E8)</f>
        <v/>
      </c>
      <c r="K366" s="409">
        <f>IFERROR(__xludf.DUMMYFUNCTION("""COMPUTED_VALUE"""),9.99999999E8)</f>
        <v/>
      </c>
      <c r="L366" s="334">
        <f>IFERROR(__xludf.DUMMYFUNCTION("""COMPUTED_VALUE"""),"フレーバーテキストなし")</f>
        <v/>
      </c>
      <c r="M366" s="334">
        <f>IFERROR(__xludf.DUMMYFUNCTION("""COMPUTED_VALUE"""),"アイテム画像とフレーバーテキストの表示箇所はなし")</f>
        <v/>
      </c>
      <c r="N366" s="339" t="n"/>
      <c r="O366" s="368" t="n"/>
      <c r="P366" s="334" t="n"/>
    </row>
    <row r="367">
      <c r="A367" s="334">
        <f>IFERROR(__xludf.DUMMYFUNCTION("""COMPUTED_VALUE"""),"kaw")</f>
        <v/>
      </c>
      <c r="B367" s="334">
        <f>IFERROR(__xludf.DUMMYFUNCTION("""COMPUTED_VALUE"""),"カワイスギクライシス")</f>
        <v/>
      </c>
      <c r="C367" s="334">
        <f>IFERROR(__xludf.DUMMYFUNCTION("""COMPUTED_VALUE"""),"item_point")</f>
        <v/>
      </c>
      <c r="D367" s="408">
        <f>IFERROR(__xludf.DUMMYFUNCTION("""COMPUTED_VALUE"""),"00001")</f>
        <v/>
      </c>
      <c r="E367" s="334">
        <f>IFERROR(__xludf.DUMMYFUNCTION("""COMPUTED_VALUE"""),"item_point_kaw_00001")</f>
        <v/>
      </c>
      <c r="F367" s="334">
        <f>IFERROR(__xludf.DUMMYFUNCTION("""COMPUTED_VALUE"""),"item_point_kaw_00001")</f>
        <v/>
      </c>
      <c r="G367" s="334">
        <f>IFERROR(__xludf.DUMMYFUNCTION("""COMPUTED_VALUE"""),"アイテム画像はなし")</f>
        <v/>
      </c>
      <c r="H367" s="408">
        <f>IFERROR(__xludf.DUMMYFUNCTION("""COMPUTED_VALUE"""),"『カワイスギクライシス』 の作品ポイント")</f>
        <v/>
      </c>
      <c r="I367" s="334">
        <f>IFERROR(__xludf.DUMMYFUNCTION("""COMPUTED_VALUE"""),"R")</f>
        <v/>
      </c>
      <c r="J367" s="409">
        <f>IFERROR(__xludf.DUMMYFUNCTION("""COMPUTED_VALUE"""),9.99999999E8)</f>
        <v/>
      </c>
      <c r="K367" s="409">
        <f>IFERROR(__xludf.DUMMYFUNCTION("""COMPUTED_VALUE"""),9.99999999E8)</f>
        <v/>
      </c>
      <c r="L367" s="334">
        <f>IFERROR(__xludf.DUMMYFUNCTION("""COMPUTED_VALUE"""),"フレーバーテキストなし")</f>
        <v/>
      </c>
      <c r="M367" s="334">
        <f>IFERROR(__xludf.DUMMYFUNCTION("""COMPUTED_VALUE"""),"アイテム画像とフレーバーテキストの表示箇所はなし")</f>
        <v/>
      </c>
      <c r="N367" s="339" t="n"/>
      <c r="O367" s="368" t="n"/>
      <c r="P367" s="334" t="n"/>
    </row>
    <row r="368">
      <c r="A368" s="334">
        <f>IFERROR(__xludf.DUMMYFUNCTION("""COMPUTED_VALUE"""),"c8m")</f>
        <v/>
      </c>
      <c r="B368" s="334">
        <f>IFERROR(__xludf.DUMMYFUNCTION("""COMPUTED_VALUE"""),"ちえりの恋は8メートル")</f>
        <v/>
      </c>
      <c r="C368" s="334">
        <f>IFERROR(__xludf.DUMMYFUNCTION("""COMPUTED_VALUE"""),"item_point")</f>
        <v/>
      </c>
      <c r="D368" s="408">
        <f>IFERROR(__xludf.DUMMYFUNCTION("""COMPUTED_VALUE"""),"00001")</f>
        <v/>
      </c>
      <c r="E368" s="334">
        <f>IFERROR(__xludf.DUMMYFUNCTION("""COMPUTED_VALUE"""),"item_point_c8m_00001")</f>
        <v/>
      </c>
      <c r="F368" s="334">
        <f>IFERROR(__xludf.DUMMYFUNCTION("""COMPUTED_VALUE"""),"item_point_c8m_00001")</f>
        <v/>
      </c>
      <c r="G368" s="334">
        <f>IFERROR(__xludf.DUMMYFUNCTION("""COMPUTED_VALUE"""),"アイテム画像はなし")</f>
        <v/>
      </c>
      <c r="H368" s="408">
        <f>IFERROR(__xludf.DUMMYFUNCTION("""COMPUTED_VALUE"""),"『ちえりの恋は8メートル』 の作品ポイント")</f>
        <v/>
      </c>
      <c r="I368" s="334">
        <f>IFERROR(__xludf.DUMMYFUNCTION("""COMPUTED_VALUE"""),"R")</f>
        <v/>
      </c>
      <c r="J368" s="409">
        <f>IFERROR(__xludf.DUMMYFUNCTION("""COMPUTED_VALUE"""),9.99999999E8)</f>
        <v/>
      </c>
      <c r="K368" s="409">
        <f>IFERROR(__xludf.DUMMYFUNCTION("""COMPUTED_VALUE"""),9.99999999E8)</f>
        <v/>
      </c>
      <c r="L368" s="334">
        <f>IFERROR(__xludf.DUMMYFUNCTION("""COMPUTED_VALUE"""),"フレーバーテキストなし")</f>
        <v/>
      </c>
      <c r="M368" s="334">
        <f>IFERROR(__xludf.DUMMYFUNCTION("""COMPUTED_VALUE"""),"アイテム画像とフレーバーテキストの表示箇所はなし")</f>
        <v/>
      </c>
      <c r="N368" s="339" t="n"/>
      <c r="O368" s="368" t="n"/>
      <c r="P368" s="334" t="n"/>
    </row>
    <row r="369">
      <c r="A369" s="334">
        <f>IFERROR(__xludf.DUMMYFUNCTION("""COMPUTED_VALUE"""),"vig")</f>
        <v/>
      </c>
      <c r="B369" s="334">
        <f>IFERROR(__xludf.DUMMYFUNCTION("""COMPUTED_VALUE"""),"ヴィジランテ-僕のヒーローアカデミア ILLEGALS-")</f>
        <v/>
      </c>
      <c r="C369" s="334">
        <f>IFERROR(__xludf.DUMMYFUNCTION("""COMPUTED_VALUE"""),"item_point")</f>
        <v/>
      </c>
      <c r="D369" s="408">
        <f>IFERROR(__xludf.DUMMYFUNCTION("""COMPUTED_VALUE"""),"00001")</f>
        <v/>
      </c>
      <c r="E369" s="334">
        <f>IFERROR(__xludf.DUMMYFUNCTION("""COMPUTED_VALUE"""),"item_point_vig_00001")</f>
        <v/>
      </c>
      <c r="F369" s="334">
        <f>IFERROR(__xludf.DUMMYFUNCTION("""COMPUTED_VALUE"""),"item_point_vig_00001")</f>
        <v/>
      </c>
      <c r="G369" s="334">
        <f>IFERROR(__xludf.DUMMYFUNCTION("""COMPUTED_VALUE"""),"アイテム画像はなし")</f>
        <v/>
      </c>
      <c r="H369" s="408">
        <f>IFERROR(__xludf.DUMMYFUNCTION("""COMPUTED_VALUE"""),"『ヴィジランテ-僕のヒーローアカデミア ILLEGALS-』 の作品ポイント")</f>
        <v/>
      </c>
      <c r="I369" s="334">
        <f>IFERROR(__xludf.DUMMYFUNCTION("""COMPUTED_VALUE"""),"R")</f>
        <v/>
      </c>
      <c r="J369" s="409">
        <f>IFERROR(__xludf.DUMMYFUNCTION("""COMPUTED_VALUE"""),9.99999999E8)</f>
        <v/>
      </c>
      <c r="K369" s="409">
        <f>IFERROR(__xludf.DUMMYFUNCTION("""COMPUTED_VALUE"""),9.99999999E8)</f>
        <v/>
      </c>
      <c r="L369" s="334">
        <f>IFERROR(__xludf.DUMMYFUNCTION("""COMPUTED_VALUE"""),"フレーバーテキストなし")</f>
        <v/>
      </c>
      <c r="M369" s="334">
        <f>IFERROR(__xludf.DUMMYFUNCTION("""COMPUTED_VALUE"""),"アイテム画像とフレーバーテキストの表示箇所はなし")</f>
        <v/>
      </c>
      <c r="N369" s="339" t="n"/>
      <c r="O369" s="368" t="n"/>
      <c r="P369" s="334" t="n"/>
    </row>
    <row r="370">
      <c r="A370" s="334">
        <f>IFERROR(__xludf.DUMMYFUNCTION("""COMPUTED_VALUE"""),"ssm")</f>
        <v/>
      </c>
      <c r="B370" s="334">
        <f>IFERROR(__xludf.DUMMYFUNCTION("""COMPUTED_VALUE"""),"すすめ！ジャンプへっぽこ探検隊！")</f>
        <v/>
      </c>
      <c r="C370" s="334">
        <f>IFERROR(__xludf.DUMMYFUNCTION("""COMPUTED_VALUE"""),"item_point")</f>
        <v/>
      </c>
      <c r="D370" s="408">
        <f>IFERROR(__xludf.DUMMYFUNCTION("""COMPUTED_VALUE"""),"00001")</f>
        <v/>
      </c>
      <c r="E370" s="334">
        <f>IFERROR(__xludf.DUMMYFUNCTION("""COMPUTED_VALUE"""),"item_point_ssm_00001")</f>
        <v/>
      </c>
      <c r="F370" s="334">
        <f>IFERROR(__xludf.DUMMYFUNCTION("""COMPUTED_VALUE"""),"item_point_ssm_00001")</f>
        <v/>
      </c>
      <c r="G370" s="334">
        <f>IFERROR(__xludf.DUMMYFUNCTION("""COMPUTED_VALUE"""),"アイテム画像はなし")</f>
        <v/>
      </c>
      <c r="H370" s="408">
        <f>IFERROR(__xludf.DUMMYFUNCTION("""COMPUTED_VALUE"""),"『すすめ！ジャンプへっぽこ探検隊！』 の作品ポイント")</f>
        <v/>
      </c>
      <c r="I370" s="334">
        <f>IFERROR(__xludf.DUMMYFUNCTION("""COMPUTED_VALUE"""),"R")</f>
        <v/>
      </c>
      <c r="J370" s="409">
        <f>IFERROR(__xludf.DUMMYFUNCTION("""COMPUTED_VALUE"""),9.99999999E8)</f>
        <v/>
      </c>
      <c r="K370" s="409">
        <f>IFERROR(__xludf.DUMMYFUNCTION("""COMPUTED_VALUE"""),9.99999999E8)</f>
        <v/>
      </c>
      <c r="L370" s="334">
        <f>IFERROR(__xludf.DUMMYFUNCTION("""COMPUTED_VALUE"""),"フレーバーテキストなし")</f>
        <v/>
      </c>
      <c r="M370" s="334">
        <f>IFERROR(__xludf.DUMMYFUNCTION("""COMPUTED_VALUE"""),"アイテム画像とフレーバーテキストの表示箇所はなし")</f>
        <v/>
      </c>
      <c r="N370" s="339" t="n"/>
      <c r="O370" s="368" t="n"/>
      <c r="P370" s="334" t="n"/>
    </row>
    <row r="371">
      <c r="A371" s="334">
        <f>IFERROR(__xludf.DUMMYFUNCTION("""COMPUTED_VALUE"""),"eiu")</f>
        <v/>
      </c>
      <c r="B371" s="334">
        <f>IFERROR(__xludf.DUMMYFUNCTION("""COMPUTED_VALUE"""),"英雄機関")</f>
        <v/>
      </c>
      <c r="C371" s="334">
        <f>IFERROR(__xludf.DUMMYFUNCTION("""COMPUTED_VALUE"""),"item_point")</f>
        <v/>
      </c>
      <c r="D371" s="408">
        <f>IFERROR(__xludf.DUMMYFUNCTION("""COMPUTED_VALUE"""),"00001")</f>
        <v/>
      </c>
      <c r="E371" s="334">
        <f>IFERROR(__xludf.DUMMYFUNCTION("""COMPUTED_VALUE"""),"item_point_eiu_00001")</f>
        <v/>
      </c>
      <c r="F371" s="334">
        <f>IFERROR(__xludf.DUMMYFUNCTION("""COMPUTED_VALUE"""),"item_point_eiu_00001")</f>
        <v/>
      </c>
      <c r="G371" s="334">
        <f>IFERROR(__xludf.DUMMYFUNCTION("""COMPUTED_VALUE"""),"アイテム画像はなし")</f>
        <v/>
      </c>
      <c r="H371" s="408">
        <f>IFERROR(__xludf.DUMMYFUNCTION("""COMPUTED_VALUE"""),"『英雄機関』 の作品ポイント")</f>
        <v/>
      </c>
      <c r="I371" s="334">
        <f>IFERROR(__xludf.DUMMYFUNCTION("""COMPUTED_VALUE"""),"R")</f>
        <v/>
      </c>
      <c r="J371" s="409">
        <f>IFERROR(__xludf.DUMMYFUNCTION("""COMPUTED_VALUE"""),9.99999999E8)</f>
        <v/>
      </c>
      <c r="K371" s="409">
        <f>IFERROR(__xludf.DUMMYFUNCTION("""COMPUTED_VALUE"""),9.99999999E8)</f>
        <v/>
      </c>
      <c r="L371" s="334">
        <f>IFERROR(__xludf.DUMMYFUNCTION("""COMPUTED_VALUE"""),"フレーバーテキストなし")</f>
        <v/>
      </c>
      <c r="M371" s="334">
        <f>IFERROR(__xludf.DUMMYFUNCTION("""COMPUTED_VALUE"""),"アイテム画像とフレーバーテキストの表示箇所はなし")</f>
        <v/>
      </c>
      <c r="N371" s="339" t="n"/>
      <c r="O371" s="368" t="n"/>
      <c r="P371" s="334" t="n"/>
    </row>
    <row r="372">
      <c r="A372" s="334">
        <f>IFERROR(__xludf.DUMMYFUNCTION("""COMPUTED_VALUE"""),"exo")</f>
        <v/>
      </c>
      <c r="B372" s="334">
        <f>IFERROR(__xludf.DUMMYFUNCTION("""COMPUTED_VALUE"""),"エクソシストを堕とせない")</f>
        <v/>
      </c>
      <c r="C372" s="334">
        <f>IFERROR(__xludf.DUMMYFUNCTION("""COMPUTED_VALUE"""),"item_point")</f>
        <v/>
      </c>
      <c r="D372" s="408">
        <f>IFERROR(__xludf.DUMMYFUNCTION("""COMPUTED_VALUE"""),"00001")</f>
        <v/>
      </c>
      <c r="E372" s="334">
        <f>IFERROR(__xludf.DUMMYFUNCTION("""COMPUTED_VALUE"""),"item_point_exo_00001")</f>
        <v/>
      </c>
      <c r="F372" s="334">
        <f>IFERROR(__xludf.DUMMYFUNCTION("""COMPUTED_VALUE"""),"item_point_exo_00001")</f>
        <v/>
      </c>
      <c r="G372" s="334">
        <f>IFERROR(__xludf.DUMMYFUNCTION("""COMPUTED_VALUE"""),"アイテム画像はなし")</f>
        <v/>
      </c>
      <c r="H372" s="408">
        <f>IFERROR(__xludf.DUMMYFUNCTION("""COMPUTED_VALUE"""),"『エクソシストを堕とせない』 の作品ポイント")</f>
        <v/>
      </c>
      <c r="I372" s="334">
        <f>IFERROR(__xludf.DUMMYFUNCTION("""COMPUTED_VALUE"""),"R")</f>
        <v/>
      </c>
      <c r="J372" s="409">
        <f>IFERROR(__xludf.DUMMYFUNCTION("""COMPUTED_VALUE"""),9.99999999E8)</f>
        <v/>
      </c>
      <c r="K372" s="409">
        <f>IFERROR(__xludf.DUMMYFUNCTION("""COMPUTED_VALUE"""),9.99999999E8)</f>
        <v/>
      </c>
      <c r="L372" s="334">
        <f>IFERROR(__xludf.DUMMYFUNCTION("""COMPUTED_VALUE"""),"フレーバーテキストなし")</f>
        <v/>
      </c>
      <c r="M372" s="334">
        <f>IFERROR(__xludf.DUMMYFUNCTION("""COMPUTED_VALUE"""),"アイテム画像とフレーバーテキストの表示箇所はなし")</f>
        <v/>
      </c>
      <c r="N372" s="339" t="n"/>
      <c r="O372" s="368" t="n"/>
      <c r="P372" s="334" t="n"/>
    </row>
    <row r="373">
      <c r="A373" s="334">
        <f>IFERROR(__xludf.DUMMYFUNCTION("""COMPUTED_VALUE"""),"oto")</f>
        <v/>
      </c>
      <c r="B373" s="334">
        <f>IFERROR(__xludf.DUMMYFUNCTION("""COMPUTED_VALUE"""),"大人大戦")</f>
        <v/>
      </c>
      <c r="C373" s="334">
        <f>IFERROR(__xludf.DUMMYFUNCTION("""COMPUTED_VALUE"""),"item_point")</f>
        <v/>
      </c>
      <c r="D373" s="408">
        <f>IFERROR(__xludf.DUMMYFUNCTION("""COMPUTED_VALUE"""),"00001")</f>
        <v/>
      </c>
      <c r="E373" s="334">
        <f>IFERROR(__xludf.DUMMYFUNCTION("""COMPUTED_VALUE"""),"item_point_oto_00001")</f>
        <v/>
      </c>
      <c r="F373" s="334">
        <f>IFERROR(__xludf.DUMMYFUNCTION("""COMPUTED_VALUE"""),"item_point_oto_00001")</f>
        <v/>
      </c>
      <c r="G373" s="334">
        <f>IFERROR(__xludf.DUMMYFUNCTION("""COMPUTED_VALUE"""),"アイテム画像はなし")</f>
        <v/>
      </c>
      <c r="H373" s="408">
        <f>IFERROR(__xludf.DUMMYFUNCTION("""COMPUTED_VALUE"""),"『大人大戦』 の作品ポイント")</f>
        <v/>
      </c>
      <c r="I373" s="334">
        <f>IFERROR(__xludf.DUMMYFUNCTION("""COMPUTED_VALUE"""),"R")</f>
        <v/>
      </c>
      <c r="J373" s="409">
        <f>IFERROR(__xludf.DUMMYFUNCTION("""COMPUTED_VALUE"""),9.99999999E8)</f>
        <v/>
      </c>
      <c r="K373" s="409">
        <f>IFERROR(__xludf.DUMMYFUNCTION("""COMPUTED_VALUE"""),9.99999999E8)</f>
        <v/>
      </c>
      <c r="L373" s="334">
        <f>IFERROR(__xludf.DUMMYFUNCTION("""COMPUTED_VALUE"""),"フレーバーテキストなし")</f>
        <v/>
      </c>
      <c r="M373" s="334">
        <f>IFERROR(__xludf.DUMMYFUNCTION("""COMPUTED_VALUE"""),"アイテム画像とフレーバーテキストの表示箇所はなし")</f>
        <v/>
      </c>
      <c r="N373" s="339" t="n"/>
      <c r="O373" s="368" t="n"/>
      <c r="P373" s="334" t="n"/>
    </row>
    <row r="374">
      <c r="A374" s="334" t="n"/>
      <c r="B374" s="334" t="n"/>
      <c r="C374" s="334" t="n"/>
      <c r="D374" s="334" t="n"/>
      <c r="E374" s="334" t="n"/>
      <c r="F374" s="334" t="n"/>
      <c r="G374" s="334" t="n"/>
      <c r="H374" s="334" t="n"/>
      <c r="I374" s="334" t="n"/>
      <c r="J374" s="334" t="n"/>
      <c r="K374" s="334" t="n"/>
      <c r="L374" s="334" t="n"/>
      <c r="M374" s="334" t="n"/>
      <c r="N374" s="339" t="n"/>
      <c r="O374" s="368" t="n"/>
      <c r="P374" s="334" t="n"/>
    </row>
    <row r="375">
      <c r="A375" s="334" t="n"/>
      <c r="B375" s="334" t="n"/>
      <c r="C375" s="334" t="n"/>
      <c r="D375" s="334" t="n"/>
      <c r="E375" s="334" t="n"/>
      <c r="F375" s="334" t="n"/>
      <c r="G375" s="334" t="n"/>
      <c r="H375" s="334" t="n"/>
      <c r="I375" s="334" t="n"/>
      <c r="J375" s="334" t="n"/>
      <c r="K375" s="334" t="n"/>
      <c r="L375" s="334" t="n"/>
      <c r="M375" s="334" t="n"/>
      <c r="N375" s="339" t="n"/>
      <c r="O375" s="368" t="n"/>
      <c r="P375" s="334" t="n"/>
    </row>
    <row r="376">
      <c r="A376" s="334">
        <f>IFERROR(__xludf.DUMMYFUNCTION("""COMPUTED_VALUE"""),"▼原画（アイコン用のIDとして発行）")</f>
        <v/>
      </c>
      <c r="B376" s="334" t="n"/>
      <c r="C376" s="334" t="n"/>
      <c r="D376" s="334" t="n"/>
      <c r="E376" s="334" t="n"/>
      <c r="F376" s="334" t="n"/>
      <c r="G376" s="334" t="n"/>
      <c r="H376" s="334" t="n"/>
      <c r="I376" s="334" t="n"/>
      <c r="J376" s="334" t="n"/>
      <c r="K376" s="334" t="n"/>
      <c r="L376" s="334" t="n"/>
      <c r="M376" s="334" t="n"/>
      <c r="N376" s="339" t="n"/>
      <c r="O376" s="368" t="n"/>
      <c r="P376" s="334" t="n"/>
    </row>
    <row r="377">
      <c r="A377" s="334">
        <f>IFERROR(__xludf.DUMMYFUNCTION("""COMPUTED_VALUE"""),"glo")</f>
        <v/>
      </c>
      <c r="B377" s="334">
        <f>IFERROR(__xludf.DUMMYFUNCTION("""COMPUTED_VALUE"""),"GLOW")</f>
        <v/>
      </c>
      <c r="C377" s="334">
        <f>IFERROR(__xludf.DUMMYFUNCTION("""COMPUTED_VALUE"""),"item")</f>
        <v/>
      </c>
      <c r="D377" s="408">
        <f>IFERROR(__xludf.DUMMYFUNCTION("""COMPUTED_VALUE"""),"90000")</f>
        <v/>
      </c>
      <c r="E377" s="334">
        <f>IFERROR(__xludf.DUMMYFUNCTION("""COMPUTED_VALUE"""),"item_glo_90000")</f>
        <v/>
      </c>
      <c r="F377" s="334">
        <f>IFERROR(__xludf.DUMMYFUNCTION("""COMPUTED_VALUE"""),"item_glo_90000")</f>
        <v/>
      </c>
      <c r="G377" s="334">
        <f>IFERROR(__xludf.DUMMYFUNCTION("""COMPUTED_VALUE"""),"item_icon_item_glo_90000")</f>
        <v/>
      </c>
      <c r="H377" s="334">
        <f>IFERROR(__xludf.DUMMYFUNCTION("""COMPUTED_VALUE"""),"原画")</f>
        <v/>
      </c>
      <c r="I377" s="334">
        <f>IFERROR(__xludf.DUMMYFUNCTION("""COMPUTED_VALUE"""),"UR")</f>
        <v/>
      </c>
      <c r="J377" s="409">
        <f>IFERROR(__xludf.DUMMYFUNCTION("""COMPUTED_VALUE"""),"　1")</f>
        <v/>
      </c>
      <c r="K377" s="409">
        <f>IFERROR(__xludf.DUMMYFUNCTION("""COMPUTED_VALUE"""),1.0)</f>
        <v/>
      </c>
      <c r="L377" s="334" t="n"/>
      <c r="M377" s="334">
        <f>IFERROR(__xludf.DUMMYFUNCTION("""COMPUTED_VALUE"""),"原画そのものを報酬に置いたときに共通で表示する際のアイコン")</f>
        <v/>
      </c>
      <c r="N377" s="339" t="n"/>
      <c r="O377" s="368" t="n"/>
      <c r="P377" s="334" t="n"/>
    </row>
    <row r="378">
      <c r="A378" s="334" t="n"/>
      <c r="B378" s="334" t="n"/>
      <c r="C378" s="334" t="n"/>
      <c r="D378" s="334" t="n"/>
      <c r="E378" s="334" t="n"/>
      <c r="F378" s="334" t="n"/>
      <c r="G378" s="334" t="n"/>
      <c r="H378" s="334" t="n"/>
      <c r="I378" s="334" t="n"/>
      <c r="J378" s="334" t="n"/>
      <c r="K378" s="334" t="n"/>
      <c r="L378" s="334" t="n"/>
      <c r="M378" s="334" t="n"/>
      <c r="N378" s="339" t="n"/>
      <c r="O378" s="368" t="n"/>
      <c r="P378" s="334" t="n"/>
    </row>
    <row r="379">
      <c r="A379" s="334">
        <f>IFERROR(__xludf.DUMMYFUNCTION("""COMPUTED_VALUE"""),"▼ランクマッチ専用アイテム")</f>
        <v/>
      </c>
      <c r="B379" s="334" t="n"/>
      <c r="C379" s="334" t="n"/>
      <c r="D379" s="334" t="n"/>
      <c r="E379" s="334" t="n"/>
      <c r="F379" s="334" t="n"/>
      <c r="G379" s="334" t="n"/>
      <c r="H379" s="334" t="n"/>
      <c r="I379" s="334" t="n"/>
      <c r="J379" s="334" t="n"/>
      <c r="K379" s="334" t="n"/>
      <c r="L379" s="334" t="n"/>
      <c r="M379" s="334" t="n"/>
      <c r="N379" s="339" t="n"/>
      <c r="O379" s="368" t="n"/>
      <c r="P379" s="334" t="n"/>
    </row>
    <row r="380">
      <c r="A380" s="334">
        <f>IFERROR(__xludf.DUMMYFUNCTION("""COMPUTED_VALUE"""),"glo")</f>
        <v/>
      </c>
      <c r="B380" s="334">
        <f>IFERROR(__xludf.DUMMYFUNCTION("""COMPUTED_VALUE"""),"GLOW")</f>
        <v/>
      </c>
      <c r="C380" s="334">
        <f>IFERROR(__xludf.DUMMYFUNCTION("""COMPUTED_VALUE"""),"entry_item")</f>
        <v/>
      </c>
      <c r="D380" s="408">
        <f>IFERROR(__xludf.DUMMYFUNCTION("""COMPUTED_VALUE"""),"00001")</f>
        <v/>
      </c>
      <c r="E380" s="334">
        <f>IFERROR(__xludf.DUMMYFUNCTION("""COMPUTED_VALUE"""),"entry_item_glo_00001")</f>
        <v/>
      </c>
      <c r="F380" s="334">
        <f>IFERROR(__xludf.DUMMYFUNCTION("""COMPUTED_VALUE"""),"entry_item_glo_00001")</f>
        <v/>
      </c>
      <c r="G380" s="334">
        <f>IFERROR(__xludf.DUMMYFUNCTION("""COMPUTED_VALUE"""),"item_icon_entry_item_glo_00001")</f>
        <v/>
      </c>
      <c r="H380" s="334">
        <f>IFERROR(__xludf.DUMMYFUNCTION("""COMPUTED_VALUE"""),"ランクマッチチケット")</f>
        <v/>
      </c>
      <c r="I380" s="334">
        <f>IFERROR(__xludf.DUMMYFUNCTION("""COMPUTED_VALUE"""),"UR")</f>
        <v/>
      </c>
      <c r="J380" s="409">
        <f>IFERROR(__xludf.DUMMYFUNCTION("""COMPUTED_VALUE"""),9.99999999E8)</f>
        <v/>
      </c>
      <c r="K380" s="409">
        <f>IFERROR(__xludf.DUMMYFUNCTION("""COMPUTED_VALUE"""),9.99999999E8)</f>
        <v/>
      </c>
      <c r="L380" s="334">
        <f>IFERROR(__xludf.DUMMYFUNCTION("""COMPUTED_VALUE"""),"ランクマッチに挑戦するためのアイテム")</f>
        <v/>
      </c>
      <c r="M380" s="334">
        <f>IFERROR(__xludf.DUMMYFUNCTION("""COMPUTED_VALUE"""),"ランクマッチの挑戦回数を回復する")</f>
        <v/>
      </c>
      <c r="N380" s="410">
        <f>IFERROR(__xludf.DUMMYFUNCTION("""COMPUTED_VALUE"""),"2024-01-01 00:00:00")</f>
        <v/>
      </c>
      <c r="O380" s="368" t="n"/>
      <c r="P380" s="334" t="n"/>
    </row>
    <row r="381">
      <c r="A381" s="334" t="n"/>
      <c r="B381" s="334" t="n"/>
      <c r="C381" s="334" t="n"/>
      <c r="D381" s="334" t="n"/>
      <c r="E381" s="334" t="n"/>
      <c r="F381" s="334" t="n"/>
      <c r="G381" s="334" t="n"/>
      <c r="H381" s="334" t="n"/>
      <c r="I381" s="334" t="n"/>
      <c r="J381" s="334" t="n"/>
      <c r="K381" s="334" t="n"/>
      <c r="L381" s="334" t="n"/>
      <c r="M381" s="334" t="n"/>
      <c r="N381" s="339" t="n"/>
      <c r="O381" s="368" t="n"/>
      <c r="P381" s="334" t="n"/>
    </row>
    <row r="382">
      <c r="A382" s="334" t="n"/>
      <c r="B382" s="334" t="n"/>
      <c r="C382" s="334" t="n"/>
      <c r="D382" s="334" t="n"/>
      <c r="E382" s="334" t="n"/>
      <c r="F382" s="334" t="n"/>
      <c r="G382" s="334" t="n"/>
      <c r="H382" s="334" t="n"/>
      <c r="I382" s="334" t="n"/>
      <c r="J382" s="334" t="n"/>
      <c r="K382" s="334" t="n"/>
      <c r="L382" s="334" t="n"/>
      <c r="M382" s="334" t="n"/>
      <c r="N382" s="339" t="n"/>
      <c r="O382" s="368" t="n"/>
      <c r="P382" s="334" t="n"/>
    </row>
    <row r="383">
      <c r="A383" s="334" t="n"/>
      <c r="B383" s="334" t="n"/>
      <c r="C383" s="334" t="n"/>
      <c r="D383" s="334" t="n"/>
      <c r="E383" s="334" t="n"/>
      <c r="F383" s="334" t="n"/>
      <c r="G383" s="334" t="n"/>
      <c r="H383" s="334" t="n"/>
      <c r="I383" s="334" t="n"/>
      <c r="J383" s="334" t="n"/>
      <c r="K383" s="334" t="n"/>
      <c r="L383" s="334" t="n"/>
      <c r="M383" s="334" t="n"/>
      <c r="N383" s="339" t="n"/>
      <c r="O383" s="368" t="n"/>
      <c r="P383" s="334" t="n"/>
    </row>
    <row r="384">
      <c r="A384" s="334" t="n"/>
      <c r="B384" s="334" t="n"/>
      <c r="C384" s="334" t="n"/>
      <c r="D384" s="334" t="n"/>
      <c r="E384" s="334" t="n"/>
      <c r="F384" s="334" t="n"/>
      <c r="G384" s="334" t="n"/>
      <c r="H384" s="334" t="n"/>
      <c r="I384" s="334" t="n"/>
      <c r="J384" s="334" t="n"/>
      <c r="K384" s="334" t="n"/>
      <c r="L384" s="334" t="n"/>
      <c r="M384" s="334" t="n"/>
      <c r="N384" s="339" t="n"/>
      <c r="O384" s="368" t="n"/>
      <c r="P384" s="334" t="n"/>
    </row>
    <row r="385">
      <c r="A385" s="334" t="n"/>
      <c r="B385" s="334" t="n"/>
      <c r="C385" s="334" t="n"/>
      <c r="D385" s="334" t="n"/>
      <c r="E385" s="334" t="n"/>
      <c r="F385" s="334" t="n"/>
      <c r="G385" s="334" t="n"/>
      <c r="H385" s="334" t="n"/>
      <c r="I385" s="334" t="n"/>
      <c r="J385" s="334" t="n"/>
      <c r="K385" s="334" t="n"/>
      <c r="L385" s="334" t="n"/>
      <c r="M385" s="334" t="n"/>
      <c r="N385" s="339" t="n"/>
      <c r="O385" s="368" t="n"/>
      <c r="P385" s="334" t="n"/>
    </row>
    <row r="386">
      <c r="A386" s="334" t="n"/>
      <c r="B386" s="334" t="n"/>
      <c r="C386" s="334" t="n"/>
      <c r="D386" s="334" t="n"/>
      <c r="E386" s="334" t="n"/>
      <c r="F386" s="334" t="n"/>
      <c r="G386" s="334" t="n"/>
      <c r="H386" s="334" t="n"/>
      <c r="I386" s="334" t="n"/>
      <c r="J386" s="334" t="n"/>
      <c r="K386" s="334" t="n"/>
      <c r="L386" s="334" t="n"/>
      <c r="M386" s="334" t="n"/>
      <c r="N386" s="339" t="n"/>
      <c r="O386" s="368" t="n"/>
      <c r="P386" s="334" t="n"/>
    </row>
    <row r="387">
      <c r="A387" s="334" t="n"/>
      <c r="B387" s="334" t="n"/>
      <c r="C387" s="334" t="n"/>
      <c r="D387" s="334" t="n"/>
      <c r="E387" s="334" t="n"/>
      <c r="F387" s="334" t="n"/>
      <c r="G387" s="334" t="n"/>
      <c r="H387" s="334" t="n"/>
      <c r="I387" s="334" t="n"/>
      <c r="J387" s="334" t="n"/>
      <c r="K387" s="334" t="n"/>
      <c r="L387" s="334" t="n"/>
      <c r="M387" s="334" t="n"/>
      <c r="N387" s="339" t="n"/>
      <c r="O387" s="368" t="n"/>
      <c r="P387" s="334" t="n"/>
    </row>
    <row r="388">
      <c r="A388" s="334" t="n"/>
      <c r="B388" s="334" t="n"/>
      <c r="C388" s="334" t="n"/>
      <c r="D388" s="334" t="n"/>
      <c r="E388" s="334" t="n"/>
      <c r="F388" s="334" t="n"/>
      <c r="G388" s="334" t="n"/>
      <c r="H388" s="334" t="n"/>
      <c r="I388" s="334" t="n"/>
      <c r="J388" s="334" t="n"/>
      <c r="K388" s="334" t="n"/>
      <c r="L388" s="334" t="n"/>
      <c r="M388" s="334" t="n"/>
      <c r="N388" s="339" t="n"/>
      <c r="O388" s="368" t="n"/>
      <c r="P388" s="334" t="n"/>
    </row>
    <row r="389">
      <c r="A389" s="334" t="n"/>
      <c r="B389" s="334" t="n"/>
      <c r="C389" s="334" t="n"/>
      <c r="D389" s="334" t="n"/>
      <c r="E389" s="334" t="n"/>
      <c r="F389" s="334" t="n"/>
      <c r="G389" s="334" t="n"/>
      <c r="H389" s="334" t="n"/>
      <c r="I389" s="334" t="n"/>
      <c r="J389" s="334" t="n"/>
      <c r="K389" s="334" t="n"/>
      <c r="L389" s="334" t="n"/>
      <c r="M389" s="334" t="n"/>
      <c r="N389" s="339" t="n"/>
      <c r="O389" s="368" t="n"/>
      <c r="P389" s="334" t="n"/>
    </row>
    <row r="390">
      <c r="A390" s="334" t="n"/>
      <c r="B390" s="334" t="n"/>
      <c r="C390" s="334" t="n"/>
      <c r="D390" s="334" t="n"/>
      <c r="E390" s="334" t="n"/>
      <c r="F390" s="334" t="n"/>
      <c r="G390" s="334" t="n"/>
      <c r="H390" s="334" t="n"/>
      <c r="I390" s="334" t="n"/>
      <c r="J390" s="334" t="n"/>
      <c r="K390" s="334" t="n"/>
      <c r="L390" s="334" t="n"/>
      <c r="M390" s="334" t="n"/>
      <c r="N390" s="339" t="n"/>
      <c r="O390" s="368" t="n"/>
      <c r="P390" s="334" t="n"/>
    </row>
    <row r="391">
      <c r="A391" s="334" t="n"/>
      <c r="B391" s="334" t="n"/>
      <c r="C391" s="334" t="n"/>
      <c r="D391" s="334" t="n"/>
      <c r="E391" s="334" t="n"/>
      <c r="F391" s="334" t="n"/>
      <c r="G391" s="334" t="n"/>
      <c r="H391" s="334" t="n"/>
      <c r="I391" s="334" t="n"/>
      <c r="J391" s="334" t="n"/>
      <c r="K391" s="334" t="n"/>
      <c r="L391" s="334" t="n"/>
      <c r="M391" s="334" t="n"/>
      <c r="N391" s="339" t="n"/>
      <c r="O391" s="368" t="n"/>
      <c r="P391" s="334" t="n"/>
    </row>
    <row r="392">
      <c r="A392" s="334" t="n"/>
      <c r="B392" s="334" t="n"/>
      <c r="C392" s="334" t="n"/>
      <c r="D392" s="334" t="n"/>
      <c r="E392" s="334" t="n"/>
      <c r="F392" s="334" t="n"/>
      <c r="G392" s="334" t="n"/>
      <c r="H392" s="334" t="n"/>
      <c r="I392" s="334" t="n"/>
      <c r="J392" s="334" t="n"/>
      <c r="K392" s="334" t="n"/>
      <c r="L392" s="334" t="n"/>
      <c r="M392" s="334" t="n"/>
      <c r="N392" s="339" t="n"/>
      <c r="O392" s="368" t="n"/>
      <c r="P392" s="334" t="n"/>
    </row>
    <row r="393">
      <c r="A393" s="334" t="n"/>
      <c r="B393" s="334" t="n"/>
      <c r="C393" s="334" t="n"/>
      <c r="D393" s="334" t="n"/>
      <c r="E393" s="334" t="n"/>
      <c r="F393" s="334" t="n"/>
      <c r="G393" s="334" t="n"/>
      <c r="H393" s="334" t="n"/>
      <c r="I393" s="334" t="n"/>
      <c r="J393" s="334" t="n"/>
      <c r="K393" s="334" t="n"/>
      <c r="L393" s="334" t="n"/>
      <c r="M393" s="334" t="n"/>
      <c r="N393" s="339" t="n"/>
      <c r="O393" s="368" t="n"/>
      <c r="P393" s="334" t="n"/>
    </row>
    <row r="394">
      <c r="A394" s="334" t="n"/>
      <c r="B394" s="334" t="n"/>
      <c r="C394" s="334" t="n"/>
      <c r="D394" s="334" t="n"/>
      <c r="E394" s="334" t="n"/>
      <c r="F394" s="334" t="n"/>
      <c r="G394" s="334" t="n"/>
      <c r="H394" s="334" t="n"/>
      <c r="I394" s="334" t="n"/>
      <c r="J394" s="334" t="n"/>
      <c r="K394" s="334" t="n"/>
      <c r="L394" s="334" t="n"/>
      <c r="M394" s="334" t="n"/>
      <c r="N394" s="339" t="n"/>
      <c r="O394" s="368" t="n"/>
      <c r="P394" s="334" t="n"/>
    </row>
    <row r="395">
      <c r="A395" s="334" t="n"/>
      <c r="B395" s="334" t="n"/>
      <c r="C395" s="334" t="n"/>
      <c r="D395" s="334" t="n"/>
      <c r="E395" s="334" t="n"/>
      <c r="F395" s="334" t="n"/>
      <c r="G395" s="334" t="n"/>
      <c r="H395" s="334" t="n"/>
      <c r="I395" s="334" t="n"/>
      <c r="J395" s="334" t="n"/>
      <c r="K395" s="334" t="n"/>
      <c r="L395" s="334" t="n"/>
      <c r="M395" s="334" t="n"/>
      <c r="N395" s="339" t="n"/>
      <c r="O395" s="368" t="n"/>
      <c r="P395" s="334" t="n"/>
    </row>
    <row r="396">
      <c r="A396" s="334" t="n"/>
      <c r="B396" s="334" t="n"/>
      <c r="C396" s="334" t="n"/>
      <c r="D396" s="334" t="n"/>
      <c r="E396" s="334" t="n"/>
      <c r="F396" s="334" t="n"/>
      <c r="G396" s="334" t="n"/>
      <c r="H396" s="334" t="n"/>
      <c r="I396" s="334" t="n"/>
      <c r="J396" s="334" t="n"/>
      <c r="K396" s="334" t="n"/>
      <c r="L396" s="334" t="n"/>
      <c r="M396" s="334" t="n"/>
      <c r="N396" s="339" t="n"/>
      <c r="O396" s="368" t="n"/>
      <c r="P396" s="334" t="n"/>
    </row>
    <row r="397">
      <c r="A397" s="334" t="n"/>
      <c r="B397" s="334" t="n"/>
      <c r="C397" s="334" t="n"/>
      <c r="D397" s="334" t="n"/>
      <c r="E397" s="334" t="n"/>
      <c r="F397" s="334" t="n"/>
      <c r="G397" s="334" t="n"/>
      <c r="H397" s="334" t="n"/>
      <c r="I397" s="334" t="n"/>
      <c r="J397" s="334" t="n"/>
      <c r="K397" s="334" t="n"/>
      <c r="L397" s="334" t="n"/>
      <c r="M397" s="334" t="n"/>
      <c r="N397" s="339" t="n"/>
      <c r="O397" s="368" t="n"/>
      <c r="P397" s="334" t="n"/>
    </row>
    <row r="398">
      <c r="A398" s="334" t="n"/>
      <c r="B398" s="334" t="n"/>
      <c r="C398" s="334" t="n"/>
      <c r="D398" s="334" t="n"/>
      <c r="E398" s="334" t="n"/>
      <c r="F398" s="334" t="n"/>
      <c r="G398" s="334" t="n"/>
      <c r="H398" s="334" t="n"/>
      <c r="I398" s="334" t="n"/>
      <c r="J398" s="334" t="n"/>
      <c r="K398" s="334" t="n"/>
      <c r="L398" s="334" t="n"/>
      <c r="M398" s="334" t="n"/>
      <c r="N398" s="339" t="n"/>
      <c r="O398" s="368" t="n"/>
      <c r="P398" s="334" t="n"/>
    </row>
    <row r="399">
      <c r="A399" s="334" t="n"/>
      <c r="B399" s="334" t="n"/>
      <c r="C399" s="334" t="n"/>
      <c r="D399" s="334" t="n"/>
      <c r="E399" s="334" t="n"/>
      <c r="F399" s="334" t="n"/>
      <c r="G399" s="334" t="n"/>
      <c r="H399" s="334" t="n"/>
      <c r="I399" s="334" t="n"/>
      <c r="J399" s="334" t="n"/>
      <c r="K399" s="334" t="n"/>
      <c r="L399" s="334" t="n"/>
      <c r="M399" s="334" t="n"/>
      <c r="N399" s="339" t="n"/>
      <c r="O399" s="368" t="n"/>
      <c r="P399" s="334" t="n"/>
    </row>
    <row r="400">
      <c r="A400" s="334" t="n"/>
      <c r="B400" s="334" t="n"/>
      <c r="C400" s="334" t="n"/>
      <c r="D400" s="334" t="n"/>
      <c r="E400" s="334" t="n"/>
      <c r="F400" s="334" t="n"/>
      <c r="G400" s="334" t="n"/>
      <c r="H400" s="334" t="n"/>
      <c r="I400" s="334" t="n"/>
      <c r="J400" s="334" t="n"/>
      <c r="K400" s="334" t="n"/>
      <c r="L400" s="334" t="n"/>
      <c r="M400" s="334" t="n"/>
      <c r="N400" s="339" t="n"/>
      <c r="O400" s="368" t="n"/>
      <c r="P400" s="334" t="n"/>
    </row>
    <row r="401">
      <c r="A401" s="334" t="n"/>
      <c r="B401" s="334" t="n"/>
      <c r="C401" s="334" t="n"/>
      <c r="D401" s="334" t="n"/>
      <c r="E401" s="334" t="n"/>
      <c r="F401" s="334" t="n"/>
      <c r="G401" s="334" t="n"/>
      <c r="H401" s="334" t="n"/>
      <c r="I401" s="334" t="n"/>
      <c r="J401" s="334" t="n"/>
      <c r="K401" s="334" t="n"/>
      <c r="L401" s="334" t="n"/>
      <c r="M401" s="334" t="n"/>
      <c r="N401" s="339" t="n"/>
      <c r="O401" s="368" t="n"/>
      <c r="P401" s="334" t="n"/>
    </row>
    <row r="402">
      <c r="A402" s="334" t="n"/>
      <c r="B402" s="334" t="n"/>
      <c r="C402" s="334" t="n"/>
      <c r="D402" s="334" t="n"/>
      <c r="E402" s="334" t="n"/>
      <c r="F402" s="334" t="n"/>
      <c r="G402" s="334" t="n"/>
      <c r="H402" s="334" t="n"/>
      <c r="I402" s="334" t="n"/>
      <c r="J402" s="334" t="n"/>
      <c r="K402" s="334" t="n"/>
      <c r="L402" s="334" t="n"/>
      <c r="M402" s="334" t="n"/>
      <c r="N402" s="339" t="n"/>
      <c r="O402" s="368" t="n"/>
      <c r="P402" s="334" t="n"/>
    </row>
    <row r="403">
      <c r="A403" s="334" t="n"/>
      <c r="B403" s="334" t="n"/>
      <c r="C403" s="334" t="n"/>
      <c r="D403" s="334" t="n"/>
      <c r="E403" s="334" t="n"/>
      <c r="F403" s="334" t="n"/>
      <c r="G403" s="334" t="n"/>
      <c r="H403" s="334" t="n"/>
      <c r="I403" s="334" t="n"/>
      <c r="J403" s="334" t="n"/>
      <c r="K403" s="334" t="n"/>
      <c r="L403" s="334" t="n"/>
      <c r="M403" s="334" t="n"/>
      <c r="N403" s="339" t="n"/>
      <c r="O403" s="368" t="n"/>
      <c r="P403" s="334" t="n"/>
    </row>
    <row r="404">
      <c r="A404" s="334" t="n"/>
      <c r="B404" s="334" t="n"/>
      <c r="C404" s="334" t="n"/>
      <c r="D404" s="334" t="n"/>
      <c r="E404" s="334" t="n"/>
      <c r="F404" s="334" t="n"/>
      <c r="G404" s="334" t="n"/>
      <c r="H404" s="334" t="n"/>
      <c r="I404" s="334" t="n"/>
      <c r="J404" s="334" t="n"/>
      <c r="K404" s="334" t="n"/>
      <c r="L404" s="334" t="n"/>
      <c r="M404" s="334" t="n"/>
      <c r="N404" s="339" t="n"/>
      <c r="O404" s="368" t="n"/>
      <c r="P404" s="334" t="n"/>
    </row>
    <row r="405">
      <c r="A405" s="334" t="n"/>
      <c r="B405" s="334" t="n"/>
      <c r="C405" s="334" t="n"/>
      <c r="D405" s="334" t="n"/>
      <c r="E405" s="334" t="n"/>
      <c r="F405" s="334" t="n"/>
      <c r="G405" s="334" t="n"/>
      <c r="H405" s="334" t="n"/>
      <c r="I405" s="334" t="n"/>
      <c r="J405" s="334" t="n"/>
      <c r="K405" s="334" t="n"/>
      <c r="L405" s="334" t="n"/>
      <c r="M405" s="334" t="n"/>
      <c r="N405" s="339" t="n"/>
      <c r="O405" s="368" t="n"/>
      <c r="P405" s="334" t="n"/>
    </row>
    <row r="406">
      <c r="A406" s="334" t="n"/>
      <c r="B406" s="334" t="n"/>
      <c r="C406" s="334" t="n"/>
      <c r="D406" s="334" t="n"/>
      <c r="E406" s="334" t="n"/>
      <c r="F406" s="334" t="n"/>
      <c r="G406" s="334" t="n"/>
      <c r="H406" s="334" t="n"/>
      <c r="I406" s="334" t="n"/>
      <c r="J406" s="334" t="n"/>
      <c r="K406" s="334" t="n"/>
      <c r="L406" s="334" t="n"/>
      <c r="M406" s="334" t="n"/>
      <c r="N406" s="339" t="n"/>
      <c r="O406" s="368" t="n"/>
      <c r="P406" s="334" t="n"/>
    </row>
    <row r="407">
      <c r="A407" s="334" t="n"/>
      <c r="B407" s="334" t="n"/>
      <c r="C407" s="334" t="n"/>
      <c r="D407" s="334" t="n"/>
      <c r="E407" s="334" t="n"/>
      <c r="F407" s="334" t="n"/>
      <c r="G407" s="334" t="n"/>
      <c r="H407" s="334" t="n"/>
      <c r="I407" s="334" t="n"/>
      <c r="J407" s="334" t="n"/>
      <c r="K407" s="334" t="n"/>
      <c r="L407" s="334" t="n"/>
      <c r="M407" s="334" t="n"/>
      <c r="N407" s="339" t="n"/>
      <c r="O407" s="368" t="n"/>
      <c r="P407" s="334" t="n"/>
    </row>
    <row r="408">
      <c r="A408" s="334" t="n"/>
      <c r="B408" s="334" t="n"/>
      <c r="C408" s="334" t="n"/>
      <c r="D408" s="334" t="n"/>
      <c r="E408" s="334" t="n"/>
      <c r="F408" s="334" t="n"/>
      <c r="G408" s="334" t="n"/>
      <c r="H408" s="334" t="n"/>
      <c r="I408" s="334" t="n"/>
      <c r="J408" s="334" t="n"/>
      <c r="K408" s="334" t="n"/>
      <c r="L408" s="334" t="n"/>
      <c r="M408" s="334" t="n"/>
      <c r="N408" s="339" t="n"/>
      <c r="O408" s="368" t="n"/>
      <c r="P408" s="334" t="n"/>
    </row>
    <row r="409">
      <c r="A409" s="334" t="n"/>
      <c r="B409" s="334" t="n"/>
      <c r="C409" s="334" t="n"/>
      <c r="D409" s="334" t="n"/>
      <c r="E409" s="334" t="n"/>
      <c r="F409" s="334" t="n"/>
      <c r="G409" s="334" t="n"/>
      <c r="H409" s="334" t="n"/>
      <c r="I409" s="334" t="n"/>
      <c r="J409" s="334" t="n"/>
      <c r="K409" s="334" t="n"/>
      <c r="L409" s="334" t="n"/>
      <c r="M409" s="334" t="n"/>
      <c r="N409" s="339" t="n"/>
      <c r="O409" s="368" t="n"/>
      <c r="P409" s="334" t="n"/>
    </row>
    <row r="410">
      <c r="A410" s="334" t="n"/>
      <c r="B410" s="334" t="n"/>
      <c r="C410" s="334" t="n"/>
      <c r="D410" s="334" t="n"/>
      <c r="E410" s="334" t="n"/>
      <c r="F410" s="334" t="n"/>
      <c r="G410" s="334" t="n"/>
      <c r="H410" s="334" t="n"/>
      <c r="I410" s="334" t="n"/>
      <c r="J410" s="334" t="n"/>
      <c r="K410" s="334" t="n"/>
      <c r="L410" s="334" t="n"/>
      <c r="M410" s="334" t="n"/>
      <c r="N410" s="339" t="n"/>
      <c r="O410" s="368" t="n"/>
      <c r="P410" s="334" t="n"/>
    </row>
    <row r="411">
      <c r="A411" s="334" t="n"/>
      <c r="B411" s="334" t="n"/>
      <c r="C411" s="334" t="n"/>
      <c r="D411" s="334" t="n"/>
      <c r="E411" s="334" t="n"/>
      <c r="F411" s="334" t="n"/>
      <c r="G411" s="334" t="n"/>
      <c r="H411" s="334" t="n"/>
      <c r="I411" s="334" t="n"/>
      <c r="J411" s="334" t="n"/>
      <c r="K411" s="334" t="n"/>
      <c r="L411" s="334" t="n"/>
      <c r="M411" s="334" t="n"/>
      <c r="N411" s="339" t="n"/>
      <c r="O411" s="368" t="n"/>
      <c r="P411" s="334" t="n"/>
    </row>
    <row r="412">
      <c r="A412" s="334" t="n"/>
      <c r="B412" s="334" t="n"/>
      <c r="C412" s="334" t="n"/>
      <c r="D412" s="334" t="n"/>
      <c r="E412" s="334" t="n"/>
      <c r="F412" s="334" t="n"/>
      <c r="G412" s="334" t="n"/>
      <c r="H412" s="334" t="n"/>
      <c r="I412" s="334" t="n"/>
      <c r="J412" s="334" t="n"/>
      <c r="K412" s="334" t="n"/>
      <c r="L412" s="334" t="n"/>
      <c r="M412" s="334" t="n"/>
      <c r="N412" s="339" t="n"/>
      <c r="O412" s="368" t="n"/>
      <c r="P412" s="334" t="n"/>
    </row>
    <row r="413">
      <c r="A413" s="334" t="n"/>
      <c r="B413" s="334" t="n"/>
      <c r="C413" s="334" t="n"/>
      <c r="D413" s="334" t="n"/>
      <c r="E413" s="334" t="n"/>
      <c r="F413" s="334" t="n"/>
      <c r="G413" s="334" t="n"/>
      <c r="H413" s="334" t="n"/>
      <c r="I413" s="334" t="n"/>
      <c r="J413" s="334" t="n"/>
      <c r="K413" s="334" t="n"/>
      <c r="L413" s="334" t="n"/>
      <c r="M413" s="334" t="n"/>
      <c r="N413" s="339" t="n"/>
      <c r="O413" s="368" t="n"/>
      <c r="P413" s="334" t="n"/>
    </row>
    <row r="414">
      <c r="A414" s="334" t="n"/>
      <c r="B414" s="334" t="n"/>
      <c r="C414" s="334" t="n"/>
      <c r="D414" s="334" t="n"/>
      <c r="E414" s="334" t="n"/>
      <c r="F414" s="334" t="n"/>
      <c r="G414" s="334" t="n"/>
      <c r="H414" s="334" t="n"/>
      <c r="I414" s="334" t="n"/>
      <c r="J414" s="334" t="n"/>
      <c r="K414" s="334" t="n"/>
      <c r="L414" s="334" t="n"/>
      <c r="M414" s="334" t="n"/>
      <c r="N414" s="339" t="n"/>
      <c r="O414" s="368" t="n"/>
      <c r="P414" s="334" t="n"/>
    </row>
    <row r="415">
      <c r="A415" s="334" t="n"/>
      <c r="B415" s="334" t="n"/>
      <c r="C415" s="334" t="n"/>
      <c r="D415" s="334" t="n"/>
      <c r="E415" s="334" t="n"/>
      <c r="F415" s="334" t="n"/>
      <c r="G415" s="334" t="n"/>
      <c r="H415" s="334" t="n"/>
      <c r="I415" s="334" t="n"/>
      <c r="J415" s="334" t="n"/>
      <c r="K415" s="334" t="n"/>
      <c r="L415" s="334" t="n"/>
      <c r="M415" s="334" t="n"/>
      <c r="N415" s="339" t="n"/>
      <c r="O415" s="368" t="n"/>
      <c r="P415" s="334" t="n"/>
    </row>
    <row r="416">
      <c r="A416" s="334" t="n"/>
      <c r="B416" s="334" t="n"/>
      <c r="C416" s="334" t="n"/>
      <c r="D416" s="334" t="n"/>
      <c r="E416" s="334" t="n"/>
      <c r="F416" s="334" t="n"/>
      <c r="G416" s="334" t="n"/>
      <c r="H416" s="334" t="n"/>
      <c r="I416" s="334" t="n"/>
      <c r="J416" s="334" t="n"/>
      <c r="K416" s="334" t="n"/>
      <c r="L416" s="334" t="n"/>
      <c r="M416" s="334" t="n"/>
      <c r="N416" s="339" t="n"/>
      <c r="O416" s="368" t="n"/>
      <c r="P416" s="334" t="n"/>
    </row>
    <row r="417">
      <c r="A417" s="334" t="n"/>
      <c r="B417" s="334" t="n"/>
      <c r="C417" s="334" t="n"/>
      <c r="D417" s="334" t="n"/>
      <c r="E417" s="334" t="n"/>
      <c r="F417" s="334" t="n"/>
      <c r="G417" s="334" t="n"/>
      <c r="H417" s="334" t="n"/>
      <c r="I417" s="334" t="n"/>
      <c r="J417" s="334" t="n"/>
      <c r="K417" s="334" t="n"/>
      <c r="L417" s="334" t="n"/>
      <c r="M417" s="334" t="n"/>
      <c r="N417" s="339" t="n"/>
      <c r="O417" s="368" t="n"/>
      <c r="P417" s="334" t="n"/>
    </row>
    <row r="418">
      <c r="A418" s="334" t="n"/>
      <c r="B418" s="334" t="n"/>
      <c r="C418" s="334" t="n"/>
      <c r="D418" s="334" t="n"/>
      <c r="E418" s="334" t="n"/>
      <c r="F418" s="334" t="n"/>
      <c r="G418" s="334" t="n"/>
      <c r="H418" s="334" t="n"/>
      <c r="I418" s="334" t="n"/>
      <c r="J418" s="334" t="n"/>
      <c r="K418" s="334" t="n"/>
      <c r="L418" s="334" t="n"/>
      <c r="M418" s="334" t="n"/>
      <c r="N418" s="339" t="n"/>
      <c r="O418" s="368" t="n"/>
      <c r="P418" s="334" t="n"/>
    </row>
    <row r="419">
      <c r="A419" s="334" t="n"/>
      <c r="B419" s="334" t="n"/>
      <c r="C419" s="334" t="n"/>
      <c r="D419" s="334" t="n"/>
      <c r="E419" s="334" t="n"/>
      <c r="F419" s="334" t="n"/>
      <c r="G419" s="334" t="n"/>
      <c r="H419" s="334" t="n"/>
      <c r="I419" s="334" t="n"/>
      <c r="J419" s="334" t="n"/>
      <c r="K419" s="334" t="n"/>
      <c r="L419" s="334" t="n"/>
      <c r="M419" s="334" t="n"/>
      <c r="N419" s="339" t="n"/>
      <c r="O419" s="368" t="n"/>
      <c r="P419" s="334" t="n"/>
    </row>
    <row r="420">
      <c r="A420" s="334" t="n"/>
      <c r="B420" s="334" t="n"/>
      <c r="C420" s="334" t="n"/>
      <c r="D420" s="334" t="n"/>
      <c r="E420" s="334" t="n"/>
      <c r="F420" s="334" t="n"/>
      <c r="G420" s="334" t="n"/>
      <c r="H420" s="334" t="n"/>
      <c r="I420" s="334" t="n"/>
      <c r="J420" s="334" t="n"/>
      <c r="K420" s="334" t="n"/>
      <c r="L420" s="334" t="n"/>
      <c r="M420" s="334" t="n"/>
      <c r="N420" s="339" t="n"/>
      <c r="O420" s="368" t="n"/>
      <c r="P420" s="334" t="n"/>
    </row>
    <row r="421">
      <c r="A421" s="334" t="n"/>
      <c r="B421" s="334" t="n"/>
      <c r="C421" s="334" t="n"/>
      <c r="D421" s="334" t="n"/>
      <c r="E421" s="334" t="n"/>
      <c r="F421" s="334" t="n"/>
      <c r="G421" s="334" t="n"/>
      <c r="H421" s="334" t="n"/>
      <c r="I421" s="334" t="n"/>
      <c r="J421" s="334" t="n"/>
      <c r="K421" s="334" t="n"/>
      <c r="L421" s="334" t="n"/>
      <c r="M421" s="334" t="n"/>
      <c r="N421" s="339" t="n"/>
      <c r="O421" s="368" t="n"/>
      <c r="P421" s="334" t="n"/>
    </row>
    <row r="422">
      <c r="A422" s="334" t="n"/>
      <c r="B422" s="334" t="n"/>
      <c r="C422" s="334" t="n"/>
      <c r="D422" s="334" t="n"/>
      <c r="E422" s="334" t="n"/>
      <c r="F422" s="334" t="n"/>
      <c r="G422" s="334" t="n"/>
      <c r="H422" s="334" t="n"/>
      <c r="I422" s="334" t="n"/>
      <c r="J422" s="334" t="n"/>
      <c r="K422" s="334" t="n"/>
      <c r="L422" s="334" t="n"/>
      <c r="M422" s="334" t="n"/>
      <c r="N422" s="339" t="n"/>
      <c r="O422" s="368" t="n"/>
      <c r="P422" s="334" t="n"/>
    </row>
    <row r="423">
      <c r="A423" s="334" t="n"/>
      <c r="B423" s="334" t="n"/>
      <c r="C423" s="334" t="n"/>
      <c r="D423" s="334" t="n"/>
      <c r="E423" s="334" t="n"/>
      <c r="F423" s="334" t="n"/>
      <c r="G423" s="334" t="n"/>
      <c r="H423" s="334" t="n"/>
      <c r="I423" s="334" t="n"/>
      <c r="J423" s="334" t="n"/>
      <c r="K423" s="334" t="n"/>
      <c r="L423" s="334" t="n"/>
      <c r="M423" s="334" t="n"/>
      <c r="N423" s="339" t="n"/>
      <c r="O423" s="368" t="n"/>
      <c r="P423" s="334" t="n"/>
    </row>
    <row r="424">
      <c r="A424" s="334" t="n"/>
      <c r="B424" s="334" t="n"/>
      <c r="C424" s="334" t="n"/>
      <c r="D424" s="334" t="n"/>
      <c r="E424" s="334" t="n"/>
      <c r="F424" s="334" t="n"/>
      <c r="G424" s="334" t="n"/>
      <c r="H424" s="334" t="n"/>
      <c r="I424" s="334" t="n"/>
      <c r="J424" s="334" t="n"/>
      <c r="K424" s="334" t="n"/>
      <c r="L424" s="334" t="n"/>
      <c r="M424" s="334" t="n"/>
      <c r="N424" s="339" t="n"/>
      <c r="O424" s="368" t="n"/>
      <c r="P424" s="334" t="n"/>
    </row>
    <row r="425">
      <c r="A425" s="334" t="n"/>
      <c r="B425" s="334" t="n"/>
      <c r="C425" s="334" t="n"/>
      <c r="D425" s="334" t="n"/>
      <c r="E425" s="334" t="n"/>
      <c r="F425" s="334" t="n"/>
      <c r="G425" s="334" t="n"/>
      <c r="H425" s="334" t="n"/>
      <c r="I425" s="334" t="n"/>
      <c r="J425" s="334" t="n"/>
      <c r="K425" s="334" t="n"/>
      <c r="L425" s="334" t="n"/>
      <c r="M425" s="334" t="n"/>
      <c r="N425" s="339" t="n"/>
      <c r="O425" s="368" t="n"/>
      <c r="P425" s="334" t="n"/>
    </row>
    <row r="426">
      <c r="A426" s="334" t="n"/>
      <c r="B426" s="334" t="n"/>
      <c r="C426" s="334" t="n"/>
      <c r="D426" s="334" t="n"/>
      <c r="E426" s="334" t="n"/>
      <c r="F426" s="334" t="n"/>
      <c r="G426" s="334" t="n"/>
      <c r="H426" s="334" t="n"/>
      <c r="I426" s="334" t="n"/>
      <c r="J426" s="334" t="n"/>
      <c r="K426" s="334" t="n"/>
      <c r="L426" s="334" t="n"/>
      <c r="M426" s="334" t="n"/>
      <c r="N426" s="339" t="n"/>
      <c r="O426" s="368" t="n"/>
      <c r="P426" s="334" t="n"/>
    </row>
    <row r="427">
      <c r="A427" s="334" t="n"/>
      <c r="B427" s="334" t="n"/>
      <c r="C427" s="334" t="n"/>
      <c r="D427" s="334" t="n"/>
      <c r="E427" s="334" t="n"/>
      <c r="F427" s="334" t="n"/>
      <c r="G427" s="334" t="n"/>
      <c r="H427" s="334" t="n"/>
      <c r="I427" s="334" t="n"/>
      <c r="J427" s="334" t="n"/>
      <c r="K427" s="334" t="n"/>
      <c r="L427" s="334" t="n"/>
      <c r="M427" s="334" t="n"/>
      <c r="N427" s="339" t="n"/>
      <c r="O427" s="368" t="n"/>
      <c r="P427" s="334" t="n"/>
    </row>
    <row r="428">
      <c r="A428" s="334" t="n"/>
      <c r="B428" s="334" t="n"/>
      <c r="C428" s="334" t="n"/>
      <c r="D428" s="334" t="n"/>
      <c r="E428" s="334" t="n"/>
      <c r="F428" s="334" t="n"/>
      <c r="G428" s="334" t="n"/>
      <c r="H428" s="334" t="n"/>
      <c r="I428" s="334" t="n"/>
      <c r="J428" s="334" t="n"/>
      <c r="K428" s="334" t="n"/>
      <c r="L428" s="334" t="n"/>
      <c r="M428" s="334" t="n"/>
      <c r="N428" s="339" t="n"/>
      <c r="O428" s="368" t="n"/>
      <c r="P428" s="334" t="n"/>
    </row>
    <row r="429">
      <c r="A429" s="334" t="n"/>
      <c r="B429" s="334" t="n"/>
      <c r="C429" s="334" t="n"/>
      <c r="D429" s="334" t="n"/>
      <c r="E429" s="334" t="n"/>
      <c r="F429" s="334" t="n"/>
      <c r="G429" s="334" t="n"/>
      <c r="H429" s="334" t="n"/>
      <c r="I429" s="334" t="n"/>
      <c r="J429" s="334" t="n"/>
      <c r="K429" s="334" t="n"/>
      <c r="L429" s="334" t="n"/>
      <c r="M429" s="334" t="n"/>
      <c r="N429" s="339" t="n"/>
      <c r="O429" s="368" t="n"/>
      <c r="P429" s="334" t="n"/>
    </row>
    <row r="430">
      <c r="A430" s="334" t="n"/>
      <c r="B430" s="334" t="n"/>
      <c r="C430" s="334" t="n"/>
      <c r="D430" s="334" t="n"/>
      <c r="E430" s="334" t="n"/>
      <c r="F430" s="334" t="n"/>
      <c r="G430" s="334" t="n"/>
      <c r="H430" s="334" t="n"/>
      <c r="I430" s="334" t="n"/>
      <c r="J430" s="334" t="n"/>
      <c r="K430" s="334" t="n"/>
      <c r="L430" s="334" t="n"/>
      <c r="M430" s="334" t="n"/>
      <c r="N430" s="339" t="n"/>
      <c r="O430" s="368" t="n"/>
      <c r="P430" s="334" t="n"/>
    </row>
    <row r="431">
      <c r="A431" s="334" t="n"/>
      <c r="B431" s="334" t="n"/>
      <c r="C431" s="334" t="n"/>
      <c r="D431" s="334" t="n"/>
      <c r="E431" s="334" t="n"/>
      <c r="F431" s="334" t="n"/>
      <c r="G431" s="334" t="n"/>
      <c r="H431" s="334" t="n"/>
      <c r="I431" s="334" t="n"/>
      <c r="J431" s="334" t="n"/>
      <c r="K431" s="334" t="n"/>
      <c r="L431" s="334" t="n"/>
      <c r="M431" s="334" t="n"/>
      <c r="N431" s="339" t="n"/>
      <c r="O431" s="368" t="n"/>
      <c r="P431" s="334" t="n"/>
    </row>
    <row r="432">
      <c r="A432" s="334" t="n"/>
      <c r="B432" s="334" t="n"/>
      <c r="C432" s="334" t="n"/>
      <c r="D432" s="334" t="n"/>
      <c r="E432" s="334" t="n"/>
      <c r="F432" s="334" t="n"/>
      <c r="G432" s="334" t="n"/>
      <c r="H432" s="334" t="n"/>
      <c r="I432" s="334" t="n"/>
      <c r="J432" s="334" t="n"/>
      <c r="K432" s="334" t="n"/>
      <c r="L432" s="334" t="n"/>
      <c r="M432" s="334" t="n"/>
      <c r="N432" s="339" t="n"/>
      <c r="O432" s="368" t="n"/>
      <c r="P432" s="334" t="n"/>
    </row>
    <row r="433">
      <c r="A433" s="334" t="n"/>
      <c r="B433" s="334" t="n"/>
      <c r="C433" s="334" t="n"/>
      <c r="D433" s="334" t="n"/>
      <c r="E433" s="334" t="n"/>
      <c r="F433" s="334" t="n"/>
      <c r="G433" s="334" t="n"/>
      <c r="H433" s="334" t="n"/>
      <c r="I433" s="334" t="n"/>
      <c r="J433" s="334" t="n"/>
      <c r="K433" s="334" t="n"/>
      <c r="L433" s="334" t="n"/>
      <c r="M433" s="334" t="n"/>
      <c r="N433" s="339" t="n"/>
      <c r="O433" s="368" t="n"/>
      <c r="P433" s="334" t="n"/>
    </row>
    <row r="434">
      <c r="A434" s="334" t="n"/>
      <c r="B434" s="334" t="n"/>
      <c r="C434" s="334" t="n"/>
      <c r="D434" s="334" t="n"/>
      <c r="E434" s="334" t="n"/>
      <c r="F434" s="334" t="n"/>
      <c r="G434" s="334" t="n"/>
      <c r="H434" s="334" t="n"/>
      <c r="I434" s="334" t="n"/>
      <c r="J434" s="334" t="n"/>
      <c r="K434" s="334" t="n"/>
      <c r="L434" s="334" t="n"/>
      <c r="M434" s="334" t="n"/>
      <c r="N434" s="339" t="n"/>
      <c r="O434" s="368" t="n"/>
      <c r="P434" s="334" t="n"/>
    </row>
    <row r="435">
      <c r="A435" s="334" t="n"/>
      <c r="B435" s="334" t="n"/>
      <c r="C435" s="334" t="n"/>
      <c r="D435" s="334" t="n"/>
      <c r="E435" s="334" t="n"/>
      <c r="F435" s="334" t="n"/>
      <c r="G435" s="334" t="n"/>
      <c r="H435" s="334" t="n"/>
      <c r="I435" s="334" t="n"/>
      <c r="J435" s="334" t="n"/>
      <c r="K435" s="334" t="n"/>
      <c r="L435" s="334" t="n"/>
      <c r="M435" s="334" t="n"/>
      <c r="N435" s="339" t="n"/>
      <c r="O435" s="368" t="n"/>
      <c r="P435" s="334" t="n"/>
    </row>
    <row r="436">
      <c r="A436" s="334" t="n"/>
      <c r="B436" s="334" t="n"/>
      <c r="C436" s="334" t="n"/>
      <c r="D436" s="334" t="n"/>
      <c r="E436" s="334" t="n"/>
      <c r="F436" s="334" t="n"/>
      <c r="G436" s="334" t="n"/>
      <c r="H436" s="334" t="n"/>
      <c r="I436" s="334" t="n"/>
      <c r="J436" s="334" t="n"/>
      <c r="K436" s="334" t="n"/>
      <c r="L436" s="334" t="n"/>
      <c r="M436" s="334" t="n"/>
      <c r="N436" s="339" t="n"/>
      <c r="O436" s="368" t="n"/>
      <c r="P436" s="334" t="n"/>
    </row>
    <row r="437">
      <c r="A437" s="334" t="n"/>
      <c r="B437" s="334" t="n"/>
      <c r="C437" s="334" t="n"/>
      <c r="D437" s="334" t="n"/>
      <c r="E437" s="334" t="n"/>
      <c r="F437" s="334" t="n"/>
      <c r="G437" s="334" t="n"/>
      <c r="H437" s="334" t="n"/>
      <c r="I437" s="334" t="n"/>
      <c r="J437" s="334" t="n"/>
      <c r="K437" s="334" t="n"/>
      <c r="L437" s="334" t="n"/>
      <c r="M437" s="334" t="n"/>
      <c r="N437" s="339" t="n"/>
      <c r="O437" s="368" t="n"/>
      <c r="P437" s="334" t="n"/>
    </row>
    <row r="438">
      <c r="A438" s="334" t="n"/>
      <c r="B438" s="334" t="n"/>
      <c r="C438" s="334" t="n"/>
      <c r="D438" s="334" t="n"/>
      <c r="E438" s="334" t="n"/>
      <c r="F438" s="334" t="n"/>
      <c r="G438" s="334" t="n"/>
      <c r="H438" s="334" t="n"/>
      <c r="I438" s="334" t="n"/>
      <c r="J438" s="334" t="n"/>
      <c r="K438" s="334" t="n"/>
      <c r="L438" s="334" t="n"/>
      <c r="M438" s="334" t="n"/>
      <c r="N438" s="339" t="n"/>
      <c r="O438" s="368" t="n"/>
      <c r="P438" s="334" t="n"/>
    </row>
    <row r="439">
      <c r="A439" s="334" t="n"/>
      <c r="B439" s="334" t="n"/>
      <c r="C439" s="334" t="n"/>
      <c r="D439" s="334" t="n"/>
      <c r="E439" s="334" t="n"/>
      <c r="F439" s="334" t="n"/>
      <c r="G439" s="334" t="n"/>
      <c r="H439" s="334" t="n"/>
      <c r="I439" s="334" t="n"/>
      <c r="J439" s="334" t="n"/>
      <c r="K439" s="334" t="n"/>
      <c r="L439" s="334" t="n"/>
      <c r="M439" s="334" t="n"/>
      <c r="N439" s="339" t="n"/>
      <c r="O439" s="368" t="n"/>
      <c r="P439" s="334" t="n"/>
    </row>
    <row r="440">
      <c r="A440" s="334" t="n"/>
      <c r="B440" s="334" t="n"/>
      <c r="C440" s="334" t="n"/>
      <c r="D440" s="334" t="n"/>
      <c r="E440" s="334" t="n"/>
      <c r="F440" s="334" t="n"/>
      <c r="G440" s="334" t="n"/>
      <c r="H440" s="334" t="n"/>
      <c r="I440" s="334" t="n"/>
      <c r="J440" s="334" t="n"/>
      <c r="K440" s="334" t="n"/>
      <c r="L440" s="334" t="n"/>
      <c r="M440" s="334" t="n"/>
      <c r="N440" s="339" t="n"/>
      <c r="O440" s="368" t="n"/>
      <c r="P440" s="334" t="n"/>
    </row>
    <row r="441">
      <c r="A441" s="334" t="n"/>
      <c r="B441" s="334" t="n"/>
      <c r="C441" s="334" t="n"/>
      <c r="D441" s="334" t="n"/>
      <c r="E441" s="334" t="n"/>
      <c r="F441" s="334" t="n"/>
      <c r="G441" s="334" t="n"/>
      <c r="H441" s="334" t="n"/>
      <c r="I441" s="334" t="n"/>
      <c r="J441" s="334" t="n"/>
      <c r="K441" s="334" t="n"/>
      <c r="L441" s="334" t="n"/>
      <c r="M441" s="334" t="n"/>
      <c r="N441" s="339" t="n"/>
      <c r="O441" s="368" t="n"/>
      <c r="P441" s="334" t="n"/>
    </row>
    <row r="442">
      <c r="A442" s="334" t="n"/>
      <c r="B442" s="334" t="n"/>
      <c r="C442" s="334" t="n"/>
      <c r="D442" s="334" t="n"/>
      <c r="E442" s="334" t="n"/>
      <c r="F442" s="334" t="n"/>
      <c r="G442" s="334" t="n"/>
      <c r="H442" s="334" t="n"/>
      <c r="I442" s="334" t="n"/>
      <c r="J442" s="334" t="n"/>
      <c r="K442" s="334" t="n"/>
      <c r="L442" s="334" t="n"/>
      <c r="M442" s="334" t="n"/>
      <c r="N442" s="339" t="n"/>
      <c r="O442" s="368" t="n"/>
      <c r="P442" s="334" t="n"/>
    </row>
    <row r="443">
      <c r="A443" s="334" t="n"/>
      <c r="B443" s="334" t="n"/>
      <c r="C443" s="334" t="n"/>
      <c r="D443" s="334" t="n"/>
      <c r="E443" s="334" t="n"/>
      <c r="F443" s="334" t="n"/>
      <c r="G443" s="334" t="n"/>
      <c r="H443" s="334" t="n"/>
      <c r="I443" s="334" t="n"/>
      <c r="J443" s="334" t="n"/>
      <c r="K443" s="334" t="n"/>
      <c r="L443" s="334" t="n"/>
      <c r="M443" s="334" t="n"/>
      <c r="N443" s="339" t="n"/>
      <c r="O443" s="368" t="n"/>
      <c r="P443" s="334" t="n"/>
    </row>
    <row r="444">
      <c r="A444" s="334" t="n"/>
      <c r="B444" s="334" t="n"/>
      <c r="C444" s="334" t="n"/>
      <c r="D444" s="334" t="n"/>
      <c r="E444" s="334" t="n"/>
      <c r="F444" s="334" t="n"/>
      <c r="G444" s="334" t="n"/>
      <c r="H444" s="334" t="n"/>
      <c r="I444" s="334" t="n"/>
      <c r="J444" s="334" t="n"/>
      <c r="K444" s="334" t="n"/>
      <c r="L444" s="334" t="n"/>
      <c r="M444" s="334" t="n"/>
      <c r="N444" s="339" t="n"/>
      <c r="O444" s="368" t="n"/>
      <c r="P444" s="334" t="n"/>
    </row>
    <row r="445">
      <c r="A445" s="334" t="n"/>
      <c r="B445" s="334" t="n"/>
      <c r="C445" s="334" t="n"/>
      <c r="D445" s="334" t="n"/>
      <c r="E445" s="334" t="n"/>
      <c r="F445" s="334" t="n"/>
      <c r="G445" s="334" t="n"/>
      <c r="H445" s="334" t="n"/>
      <c r="I445" s="334" t="n"/>
      <c r="J445" s="334" t="n"/>
      <c r="K445" s="334" t="n"/>
      <c r="L445" s="334" t="n"/>
      <c r="M445" s="334" t="n"/>
      <c r="N445" s="339" t="n"/>
      <c r="O445" s="368" t="n"/>
      <c r="P445" s="334" t="n"/>
    </row>
    <row r="446">
      <c r="A446" s="334" t="n"/>
      <c r="B446" s="334" t="n"/>
      <c r="C446" s="334" t="n"/>
      <c r="D446" s="334" t="n"/>
      <c r="E446" s="334" t="n"/>
      <c r="F446" s="334" t="n"/>
      <c r="G446" s="334" t="n"/>
      <c r="H446" s="334" t="n"/>
      <c r="I446" s="334" t="n"/>
      <c r="J446" s="334" t="n"/>
      <c r="K446" s="334" t="n"/>
      <c r="L446" s="334" t="n"/>
      <c r="M446" s="334" t="n"/>
      <c r="N446" s="339" t="n"/>
      <c r="O446" s="368" t="n"/>
      <c r="P446" s="334" t="n"/>
    </row>
    <row r="447">
      <c r="A447" s="334" t="n"/>
      <c r="B447" s="334" t="n"/>
      <c r="C447" s="334" t="n"/>
      <c r="D447" s="334" t="n"/>
      <c r="E447" s="334" t="n"/>
      <c r="F447" s="334" t="n"/>
      <c r="G447" s="334" t="n"/>
      <c r="H447" s="334" t="n"/>
      <c r="I447" s="334" t="n"/>
      <c r="J447" s="334" t="n"/>
      <c r="K447" s="334" t="n"/>
      <c r="L447" s="334" t="n"/>
      <c r="M447" s="334" t="n"/>
      <c r="N447" s="339" t="n"/>
      <c r="O447" s="368" t="n"/>
      <c r="P447" s="334" t="n"/>
    </row>
    <row r="448">
      <c r="A448" s="334" t="n"/>
      <c r="B448" s="334" t="n"/>
      <c r="C448" s="334" t="n"/>
      <c r="D448" s="334" t="n"/>
      <c r="E448" s="334" t="n"/>
      <c r="F448" s="334" t="n"/>
      <c r="G448" s="334" t="n"/>
      <c r="H448" s="334" t="n"/>
      <c r="I448" s="334" t="n"/>
      <c r="J448" s="334" t="n"/>
      <c r="K448" s="334" t="n"/>
      <c r="L448" s="334" t="n"/>
      <c r="M448" s="334" t="n"/>
      <c r="N448" s="339" t="n"/>
      <c r="O448" s="368" t="n"/>
      <c r="P448" s="334" t="n"/>
    </row>
    <row r="449">
      <c r="A449" s="334" t="n"/>
      <c r="B449" s="334" t="n"/>
      <c r="C449" s="334" t="n"/>
      <c r="D449" s="334" t="n"/>
      <c r="E449" s="334" t="n"/>
      <c r="F449" s="334" t="n"/>
      <c r="G449" s="334" t="n"/>
      <c r="H449" s="334" t="n"/>
      <c r="I449" s="334" t="n"/>
      <c r="J449" s="334" t="n"/>
      <c r="K449" s="334" t="n"/>
      <c r="L449" s="334" t="n"/>
      <c r="M449" s="334" t="n"/>
      <c r="N449" s="339" t="n"/>
      <c r="O449" s="368" t="n"/>
      <c r="P449" s="334" t="n"/>
    </row>
    <row r="450">
      <c r="A450" s="334" t="n"/>
      <c r="B450" s="334" t="n"/>
      <c r="C450" s="334" t="n"/>
      <c r="D450" s="334" t="n"/>
      <c r="E450" s="334" t="n"/>
      <c r="F450" s="334" t="n"/>
      <c r="G450" s="334" t="n"/>
      <c r="H450" s="334" t="n"/>
      <c r="I450" s="334" t="n"/>
      <c r="J450" s="334" t="n"/>
      <c r="K450" s="334" t="n"/>
      <c r="L450" s="334" t="n"/>
      <c r="M450" s="334" t="n"/>
      <c r="N450" s="339" t="n"/>
      <c r="O450" s="368" t="n"/>
      <c r="P450" s="334" t="n"/>
    </row>
    <row r="451">
      <c r="A451" s="334" t="n"/>
      <c r="B451" s="334" t="n"/>
      <c r="C451" s="334" t="n"/>
      <c r="D451" s="334" t="n"/>
      <c r="E451" s="334" t="n"/>
      <c r="F451" s="334" t="n"/>
      <c r="G451" s="334" t="n"/>
      <c r="H451" s="334" t="n"/>
      <c r="I451" s="334" t="n"/>
      <c r="J451" s="334" t="n"/>
      <c r="K451" s="334" t="n"/>
      <c r="L451" s="334" t="n"/>
      <c r="M451" s="334" t="n"/>
      <c r="N451" s="339" t="n"/>
      <c r="O451" s="368" t="n"/>
      <c r="P451" s="334" t="n"/>
    </row>
    <row r="452">
      <c r="A452" s="334" t="n"/>
      <c r="B452" s="334" t="n"/>
      <c r="C452" s="334" t="n"/>
      <c r="D452" s="334" t="n"/>
      <c r="E452" s="334" t="n"/>
      <c r="F452" s="334" t="n"/>
      <c r="G452" s="334" t="n"/>
      <c r="H452" s="334" t="n"/>
      <c r="I452" s="334" t="n"/>
      <c r="J452" s="334" t="n"/>
      <c r="K452" s="334" t="n"/>
      <c r="L452" s="334" t="n"/>
      <c r="M452" s="334" t="n"/>
      <c r="N452" s="339" t="n"/>
      <c r="O452" s="368" t="n"/>
      <c r="P452" s="334" t="n"/>
    </row>
    <row r="453">
      <c r="A453" s="334" t="n"/>
      <c r="B453" s="334" t="n"/>
      <c r="C453" s="334" t="n"/>
      <c r="D453" s="334" t="n"/>
      <c r="E453" s="334" t="n"/>
      <c r="F453" s="334" t="n"/>
      <c r="G453" s="334" t="n"/>
      <c r="H453" s="334" t="n"/>
      <c r="I453" s="334" t="n"/>
      <c r="J453" s="334" t="n"/>
      <c r="K453" s="334" t="n"/>
      <c r="L453" s="334" t="n"/>
      <c r="M453" s="334" t="n"/>
      <c r="N453" s="339" t="n"/>
      <c r="O453" s="368" t="n"/>
      <c r="P453" s="334" t="n"/>
    </row>
    <row r="454">
      <c r="A454" s="334" t="n"/>
      <c r="B454" s="334" t="n"/>
      <c r="C454" s="334" t="n"/>
      <c r="D454" s="334" t="n"/>
      <c r="E454" s="334" t="n"/>
      <c r="F454" s="334" t="n"/>
      <c r="G454" s="334" t="n"/>
      <c r="H454" s="334" t="n"/>
      <c r="I454" s="334" t="n"/>
      <c r="J454" s="334" t="n"/>
      <c r="K454" s="334" t="n"/>
      <c r="L454" s="334" t="n"/>
      <c r="M454" s="334" t="n"/>
      <c r="N454" s="339" t="n"/>
      <c r="O454" s="368" t="n"/>
      <c r="P454" s="334" t="n"/>
    </row>
    <row r="455">
      <c r="A455" s="334" t="n"/>
      <c r="B455" s="334" t="n"/>
      <c r="C455" s="334" t="n"/>
      <c r="D455" s="334" t="n"/>
      <c r="E455" s="334" t="n"/>
      <c r="F455" s="334" t="n"/>
      <c r="G455" s="334" t="n"/>
      <c r="H455" s="334" t="n"/>
      <c r="I455" s="334" t="n"/>
      <c r="J455" s="334" t="n"/>
      <c r="K455" s="334" t="n"/>
      <c r="L455" s="334" t="n"/>
      <c r="M455" s="334" t="n"/>
      <c r="N455" s="339" t="n"/>
      <c r="O455" s="368" t="n"/>
      <c r="P455" s="334" t="n"/>
    </row>
    <row r="456">
      <c r="A456" s="334" t="n"/>
      <c r="B456" s="334" t="n"/>
      <c r="C456" s="334" t="n"/>
      <c r="D456" s="334" t="n"/>
      <c r="E456" s="334" t="n"/>
      <c r="F456" s="334" t="n"/>
      <c r="G456" s="334" t="n"/>
      <c r="H456" s="334" t="n"/>
      <c r="I456" s="334" t="n"/>
      <c r="J456" s="334" t="n"/>
      <c r="K456" s="334" t="n"/>
      <c r="L456" s="334" t="n"/>
      <c r="M456" s="334" t="n"/>
      <c r="N456" s="339" t="n"/>
      <c r="O456" s="368" t="n"/>
      <c r="P456" s="334" t="n"/>
    </row>
    <row r="457">
      <c r="A457" s="334" t="n"/>
      <c r="B457" s="334" t="n"/>
      <c r="C457" s="334" t="n"/>
      <c r="D457" s="334" t="n"/>
      <c r="E457" s="334" t="n"/>
      <c r="F457" s="334" t="n"/>
      <c r="G457" s="334" t="n"/>
      <c r="H457" s="334" t="n"/>
      <c r="I457" s="334" t="n"/>
      <c r="J457" s="334" t="n"/>
      <c r="K457" s="334" t="n"/>
      <c r="L457" s="334" t="n"/>
      <c r="M457" s="334" t="n"/>
      <c r="N457" s="339" t="n"/>
      <c r="O457" s="368" t="n"/>
      <c r="P457" s="334" t="n"/>
    </row>
    <row r="458">
      <c r="A458" s="334" t="n"/>
      <c r="B458" s="334" t="n"/>
      <c r="C458" s="334" t="n"/>
      <c r="D458" s="334" t="n"/>
      <c r="E458" s="334" t="n"/>
      <c r="F458" s="334" t="n"/>
      <c r="G458" s="334" t="n"/>
      <c r="H458" s="334" t="n"/>
      <c r="I458" s="334" t="n"/>
      <c r="J458" s="334" t="n"/>
      <c r="K458" s="334" t="n"/>
      <c r="L458" s="334" t="n"/>
      <c r="M458" s="334" t="n"/>
      <c r="N458" s="339" t="n"/>
      <c r="O458" s="368" t="n"/>
      <c r="P458" s="334" t="n"/>
    </row>
    <row r="459">
      <c r="A459" s="334" t="n"/>
      <c r="B459" s="334" t="n"/>
      <c r="C459" s="334" t="n"/>
      <c r="D459" s="334" t="n"/>
      <c r="E459" s="334" t="n"/>
      <c r="F459" s="334" t="n"/>
      <c r="G459" s="334" t="n"/>
      <c r="H459" s="334" t="n"/>
      <c r="I459" s="334" t="n"/>
      <c r="J459" s="334" t="n"/>
      <c r="K459" s="334" t="n"/>
      <c r="L459" s="334" t="n"/>
      <c r="M459" s="334" t="n"/>
      <c r="N459" s="339" t="n"/>
      <c r="O459" s="368" t="n"/>
      <c r="P459" s="334" t="n"/>
    </row>
    <row r="460">
      <c r="A460" s="334" t="n"/>
      <c r="B460" s="334" t="n"/>
      <c r="C460" s="334" t="n"/>
      <c r="D460" s="334" t="n"/>
      <c r="E460" s="334" t="n"/>
      <c r="F460" s="334" t="n"/>
      <c r="G460" s="334" t="n"/>
      <c r="H460" s="334" t="n"/>
      <c r="I460" s="334" t="n"/>
      <c r="J460" s="334" t="n"/>
      <c r="K460" s="334" t="n"/>
      <c r="L460" s="334" t="n"/>
      <c r="M460" s="334" t="n"/>
      <c r="N460" s="339" t="n"/>
      <c r="O460" s="368" t="n"/>
      <c r="P460" s="334" t="n"/>
    </row>
    <row r="461">
      <c r="A461" s="334" t="n"/>
      <c r="B461" s="334" t="n"/>
      <c r="C461" s="334" t="n"/>
      <c r="D461" s="334" t="n"/>
      <c r="E461" s="334" t="n"/>
      <c r="F461" s="334" t="n"/>
      <c r="G461" s="334" t="n"/>
      <c r="H461" s="334" t="n"/>
      <c r="I461" s="334" t="n"/>
      <c r="J461" s="334" t="n"/>
      <c r="K461" s="334" t="n"/>
      <c r="L461" s="334" t="n"/>
      <c r="M461" s="334" t="n"/>
      <c r="N461" s="339" t="n"/>
      <c r="O461" s="368" t="n"/>
      <c r="P461" s="334" t="n"/>
    </row>
    <row r="462">
      <c r="A462" s="334" t="n"/>
      <c r="B462" s="334" t="n"/>
      <c r="C462" s="334" t="n"/>
      <c r="D462" s="334" t="n"/>
      <c r="E462" s="334" t="n"/>
      <c r="F462" s="334" t="n"/>
      <c r="G462" s="334" t="n"/>
      <c r="H462" s="334" t="n"/>
      <c r="I462" s="334" t="n"/>
      <c r="J462" s="334" t="n"/>
      <c r="K462" s="334" t="n"/>
      <c r="L462" s="334" t="n"/>
      <c r="M462" s="334" t="n"/>
      <c r="N462" s="339" t="n"/>
      <c r="O462" s="368" t="n"/>
      <c r="P462" s="334" t="n"/>
    </row>
    <row r="463">
      <c r="A463" s="334" t="n"/>
      <c r="B463" s="334" t="n"/>
      <c r="C463" s="334" t="n"/>
      <c r="D463" s="334" t="n"/>
      <c r="E463" s="334" t="n"/>
      <c r="F463" s="334" t="n"/>
      <c r="G463" s="334" t="n"/>
      <c r="H463" s="334" t="n"/>
      <c r="I463" s="334" t="n"/>
      <c r="J463" s="334" t="n"/>
      <c r="K463" s="334" t="n"/>
      <c r="L463" s="334" t="n"/>
      <c r="M463" s="334" t="n"/>
      <c r="N463" s="339" t="n"/>
      <c r="O463" s="368" t="n"/>
      <c r="P463" s="334" t="n"/>
    </row>
    <row r="464">
      <c r="A464" s="334" t="n"/>
      <c r="B464" s="334" t="n"/>
      <c r="C464" s="334" t="n"/>
      <c r="D464" s="334" t="n"/>
      <c r="E464" s="334" t="n"/>
      <c r="F464" s="334" t="n"/>
      <c r="G464" s="334" t="n"/>
      <c r="H464" s="334" t="n"/>
      <c r="I464" s="334" t="n"/>
      <c r="J464" s="334" t="n"/>
      <c r="K464" s="334" t="n"/>
      <c r="L464" s="334" t="n"/>
      <c r="M464" s="334" t="n"/>
      <c r="N464" s="339" t="n"/>
      <c r="O464" s="368" t="n"/>
      <c r="P464" s="334" t="n"/>
    </row>
    <row r="465">
      <c r="A465" s="334" t="n"/>
      <c r="B465" s="334" t="n"/>
      <c r="C465" s="334" t="n"/>
      <c r="D465" s="334" t="n"/>
      <c r="E465" s="334" t="n"/>
      <c r="F465" s="334" t="n"/>
      <c r="G465" s="334" t="n"/>
      <c r="H465" s="334" t="n"/>
      <c r="I465" s="334" t="n"/>
      <c r="J465" s="334" t="n"/>
      <c r="K465" s="334" t="n"/>
      <c r="L465" s="334" t="n"/>
      <c r="M465" s="334" t="n"/>
      <c r="N465" s="339" t="n"/>
      <c r="O465" s="368" t="n"/>
      <c r="P465" s="334" t="n"/>
    </row>
    <row r="466">
      <c r="A466" s="334" t="n"/>
      <c r="B466" s="334" t="n"/>
      <c r="C466" s="334" t="n"/>
      <c r="D466" s="334" t="n"/>
      <c r="E466" s="334" t="n"/>
      <c r="F466" s="334" t="n"/>
      <c r="G466" s="334" t="n"/>
      <c r="H466" s="334" t="n"/>
      <c r="I466" s="334" t="n"/>
      <c r="J466" s="334" t="n"/>
      <c r="K466" s="334" t="n"/>
      <c r="L466" s="334" t="n"/>
      <c r="M466" s="334" t="n"/>
      <c r="N466" s="339" t="n"/>
      <c r="O466" s="368" t="n"/>
      <c r="P466" s="334" t="n"/>
    </row>
    <row r="467">
      <c r="A467" s="334" t="n"/>
      <c r="B467" s="334" t="n"/>
      <c r="C467" s="334" t="n"/>
      <c r="D467" s="334" t="n"/>
      <c r="E467" s="334" t="n"/>
      <c r="F467" s="334" t="n"/>
      <c r="G467" s="334" t="n"/>
      <c r="H467" s="334" t="n"/>
      <c r="I467" s="334" t="n"/>
      <c r="J467" s="334" t="n"/>
      <c r="K467" s="334" t="n"/>
      <c r="L467" s="334" t="n"/>
      <c r="M467" s="334" t="n"/>
      <c r="N467" s="339" t="n"/>
      <c r="O467" s="368" t="n"/>
      <c r="P467" s="334" t="n"/>
    </row>
    <row r="468">
      <c r="A468" s="334" t="n"/>
      <c r="B468" s="334" t="n"/>
      <c r="C468" s="334" t="n"/>
      <c r="D468" s="334" t="n"/>
      <c r="E468" s="334" t="n"/>
      <c r="F468" s="334" t="n"/>
      <c r="G468" s="334" t="n"/>
      <c r="H468" s="334" t="n"/>
      <c r="I468" s="334" t="n"/>
      <c r="J468" s="334" t="n"/>
      <c r="K468" s="334" t="n"/>
      <c r="L468" s="334" t="n"/>
      <c r="M468" s="334" t="n"/>
      <c r="N468" s="339" t="n"/>
      <c r="O468" s="368" t="n"/>
      <c r="P468" s="334" t="n"/>
    </row>
    <row r="469">
      <c r="A469" s="334" t="n"/>
      <c r="B469" s="334" t="n"/>
      <c r="C469" s="334" t="n"/>
      <c r="D469" s="334" t="n"/>
      <c r="E469" s="334" t="n"/>
      <c r="F469" s="334" t="n"/>
      <c r="G469" s="334" t="n"/>
      <c r="H469" s="334" t="n"/>
      <c r="I469" s="334" t="n"/>
      <c r="J469" s="334" t="n"/>
      <c r="K469" s="334" t="n"/>
      <c r="L469" s="334" t="n"/>
      <c r="M469" s="334" t="n"/>
      <c r="N469" s="339" t="n"/>
      <c r="O469" s="368" t="n"/>
      <c r="P469" s="334" t="n"/>
    </row>
    <row r="470">
      <c r="A470" s="334" t="n"/>
      <c r="B470" s="334" t="n"/>
      <c r="C470" s="334" t="n"/>
      <c r="D470" s="334" t="n"/>
      <c r="E470" s="334" t="n"/>
      <c r="F470" s="334" t="n"/>
      <c r="G470" s="334" t="n"/>
      <c r="H470" s="334" t="n"/>
      <c r="I470" s="334" t="n"/>
      <c r="J470" s="334" t="n"/>
      <c r="K470" s="334" t="n"/>
      <c r="L470" s="334" t="n"/>
      <c r="M470" s="334" t="n"/>
      <c r="N470" s="339" t="n"/>
      <c r="O470" s="368" t="n"/>
      <c r="P470" s="334" t="n"/>
    </row>
    <row r="471">
      <c r="A471" s="334" t="n"/>
      <c r="B471" s="334" t="n"/>
      <c r="C471" s="334" t="n"/>
      <c r="D471" s="334" t="n"/>
      <c r="E471" s="334" t="n"/>
      <c r="F471" s="334" t="n"/>
      <c r="G471" s="334" t="n"/>
      <c r="H471" s="334" t="n"/>
      <c r="I471" s="334" t="n"/>
      <c r="J471" s="334" t="n"/>
      <c r="K471" s="334" t="n"/>
      <c r="L471" s="334" t="n"/>
      <c r="M471" s="334" t="n"/>
      <c r="N471" s="339" t="n"/>
      <c r="O471" s="368" t="n"/>
      <c r="P471" s="334" t="n"/>
    </row>
    <row r="472">
      <c r="A472" s="334" t="n"/>
      <c r="B472" s="334" t="n"/>
      <c r="C472" s="334" t="n"/>
      <c r="D472" s="334" t="n"/>
      <c r="E472" s="334" t="n"/>
      <c r="F472" s="334" t="n"/>
      <c r="G472" s="334" t="n"/>
      <c r="H472" s="334" t="n"/>
      <c r="I472" s="334" t="n"/>
      <c r="J472" s="334" t="n"/>
      <c r="K472" s="334" t="n"/>
      <c r="L472" s="334" t="n"/>
      <c r="M472" s="334" t="n"/>
      <c r="N472" s="339" t="n"/>
      <c r="O472" s="368" t="n"/>
      <c r="P472" s="334" t="n"/>
    </row>
    <row r="473">
      <c r="A473" s="334" t="n"/>
      <c r="B473" s="334" t="n"/>
      <c r="C473" s="334" t="n"/>
      <c r="D473" s="334" t="n"/>
      <c r="E473" s="334" t="n"/>
      <c r="F473" s="334" t="n"/>
      <c r="G473" s="334" t="n"/>
      <c r="H473" s="334" t="n"/>
      <c r="I473" s="334" t="n"/>
      <c r="J473" s="334" t="n"/>
      <c r="K473" s="334" t="n"/>
      <c r="L473" s="334" t="n"/>
      <c r="M473" s="334" t="n"/>
      <c r="N473" s="339" t="n"/>
      <c r="O473" s="368" t="n"/>
      <c r="P473" s="334" t="n"/>
    </row>
    <row r="474">
      <c r="A474" s="334" t="n"/>
      <c r="B474" s="334" t="n"/>
      <c r="C474" s="334" t="n"/>
      <c r="D474" s="334" t="n"/>
      <c r="E474" s="334" t="n"/>
      <c r="F474" s="334" t="n"/>
      <c r="G474" s="334" t="n"/>
      <c r="H474" s="334" t="n"/>
      <c r="I474" s="334" t="n"/>
      <c r="J474" s="334" t="n"/>
      <c r="K474" s="334" t="n"/>
      <c r="L474" s="334" t="n"/>
      <c r="M474" s="334" t="n"/>
      <c r="N474" s="339" t="n"/>
      <c r="O474" s="368" t="n"/>
      <c r="P474" s="334" t="n"/>
    </row>
    <row r="475">
      <c r="A475" s="334" t="n"/>
      <c r="B475" s="334" t="n"/>
      <c r="C475" s="334" t="n"/>
      <c r="D475" s="334" t="n"/>
      <c r="E475" s="334" t="n"/>
      <c r="F475" s="334" t="n"/>
      <c r="G475" s="334" t="n"/>
      <c r="H475" s="334" t="n"/>
      <c r="I475" s="334" t="n"/>
      <c r="J475" s="334" t="n"/>
      <c r="K475" s="334" t="n"/>
      <c r="L475" s="334" t="n"/>
      <c r="M475" s="334" t="n"/>
      <c r="N475" s="339" t="n"/>
      <c r="O475" s="368" t="n"/>
      <c r="P475" s="334" t="n"/>
    </row>
    <row r="476">
      <c r="A476" s="334" t="n"/>
      <c r="B476" s="334" t="n"/>
      <c r="C476" s="334" t="n"/>
      <c r="D476" s="334" t="n"/>
      <c r="E476" s="334" t="n"/>
      <c r="F476" s="334" t="n"/>
      <c r="G476" s="334" t="n"/>
      <c r="H476" s="334" t="n"/>
      <c r="I476" s="334" t="n"/>
      <c r="J476" s="334" t="n"/>
      <c r="K476" s="334" t="n"/>
      <c r="L476" s="334" t="n"/>
      <c r="M476" s="334" t="n"/>
      <c r="N476" s="339" t="n"/>
      <c r="O476" s="368" t="n"/>
      <c r="P476" s="334" t="n"/>
    </row>
    <row r="477">
      <c r="A477" s="334" t="n"/>
      <c r="B477" s="334" t="n"/>
      <c r="C477" s="334" t="n"/>
      <c r="D477" s="334" t="n"/>
      <c r="E477" s="334" t="n"/>
      <c r="F477" s="334" t="n"/>
      <c r="G477" s="334" t="n"/>
      <c r="H477" s="334" t="n"/>
      <c r="I477" s="334" t="n"/>
      <c r="J477" s="334" t="n"/>
      <c r="K477" s="334" t="n"/>
      <c r="L477" s="334" t="n"/>
      <c r="M477" s="334" t="n"/>
      <c r="N477" s="339" t="n"/>
      <c r="O477" s="368" t="n"/>
      <c r="P477" s="334" t="n"/>
    </row>
    <row r="478">
      <c r="A478" s="334" t="n"/>
      <c r="B478" s="334" t="n"/>
      <c r="C478" s="334" t="n"/>
      <c r="D478" s="334" t="n"/>
      <c r="E478" s="334" t="n"/>
      <c r="F478" s="334" t="n"/>
      <c r="G478" s="334" t="n"/>
      <c r="H478" s="334" t="n"/>
      <c r="I478" s="334" t="n"/>
      <c r="J478" s="334" t="n"/>
      <c r="K478" s="334" t="n"/>
      <c r="L478" s="334" t="n"/>
      <c r="M478" s="334" t="n"/>
      <c r="N478" s="339" t="n"/>
      <c r="O478" s="368" t="n"/>
      <c r="P478" s="334" t="n"/>
    </row>
    <row r="479">
      <c r="A479" s="334" t="n"/>
      <c r="B479" s="334" t="n"/>
      <c r="C479" s="334" t="n"/>
      <c r="D479" s="334" t="n"/>
      <c r="E479" s="334" t="n"/>
      <c r="F479" s="334" t="n"/>
      <c r="G479" s="334" t="n"/>
      <c r="H479" s="334" t="n"/>
      <c r="I479" s="334" t="n"/>
      <c r="J479" s="334" t="n"/>
      <c r="K479" s="334" t="n"/>
      <c r="L479" s="334" t="n"/>
      <c r="M479" s="334" t="n"/>
      <c r="N479" s="339" t="n"/>
      <c r="O479" s="368" t="n"/>
      <c r="P479" s="334" t="n"/>
    </row>
    <row r="480">
      <c r="A480" s="334" t="n"/>
      <c r="B480" s="334" t="n"/>
      <c r="C480" s="334" t="n"/>
      <c r="D480" s="334" t="n"/>
      <c r="E480" s="334" t="n"/>
      <c r="F480" s="334" t="n"/>
      <c r="G480" s="334" t="n"/>
      <c r="H480" s="334" t="n"/>
      <c r="I480" s="334" t="n"/>
      <c r="J480" s="334" t="n"/>
      <c r="K480" s="334" t="n"/>
      <c r="L480" s="334" t="n"/>
      <c r="M480" s="334" t="n"/>
      <c r="N480" s="339" t="n"/>
      <c r="O480" s="368" t="n"/>
      <c r="P480" s="334" t="n"/>
    </row>
    <row r="481">
      <c r="A481" s="334" t="n"/>
      <c r="B481" s="334" t="n"/>
      <c r="C481" s="334" t="n"/>
      <c r="D481" s="334" t="n"/>
      <c r="E481" s="334" t="n"/>
      <c r="F481" s="334" t="n"/>
      <c r="G481" s="334" t="n"/>
      <c r="H481" s="334" t="n"/>
      <c r="I481" s="334" t="n"/>
      <c r="J481" s="334" t="n"/>
      <c r="K481" s="334" t="n"/>
      <c r="L481" s="334" t="n"/>
      <c r="M481" s="334" t="n"/>
      <c r="N481" s="339" t="n"/>
      <c r="O481" s="368" t="n"/>
      <c r="P481" s="334" t="n"/>
    </row>
    <row r="482">
      <c r="A482" s="334" t="n"/>
      <c r="B482" s="334" t="n"/>
      <c r="C482" s="334" t="n"/>
      <c r="D482" s="334" t="n"/>
      <c r="E482" s="334" t="n"/>
      <c r="F482" s="334" t="n"/>
      <c r="G482" s="334" t="n"/>
      <c r="H482" s="334" t="n"/>
      <c r="I482" s="334" t="n"/>
      <c r="J482" s="334" t="n"/>
      <c r="K482" s="334" t="n"/>
      <c r="L482" s="334" t="n"/>
      <c r="M482" s="334" t="n"/>
      <c r="N482" s="339" t="n"/>
      <c r="O482" s="368" t="n"/>
      <c r="P482" s="334" t="n"/>
    </row>
    <row r="483">
      <c r="A483" s="334" t="n"/>
      <c r="B483" s="334" t="n"/>
      <c r="C483" s="334" t="n"/>
      <c r="D483" s="334" t="n"/>
      <c r="E483" s="334" t="n"/>
      <c r="F483" s="334" t="n"/>
      <c r="G483" s="334" t="n"/>
      <c r="H483" s="334" t="n"/>
      <c r="I483" s="334" t="n"/>
      <c r="J483" s="334" t="n"/>
      <c r="K483" s="334" t="n"/>
      <c r="L483" s="334" t="n"/>
      <c r="M483" s="334" t="n"/>
      <c r="N483" s="339" t="n"/>
      <c r="O483" s="368" t="n"/>
      <c r="P483" s="334" t="n"/>
    </row>
    <row r="484">
      <c r="A484" s="334" t="n"/>
      <c r="B484" s="334" t="n"/>
      <c r="C484" s="334" t="n"/>
      <c r="D484" s="334" t="n"/>
      <c r="E484" s="334" t="n"/>
      <c r="F484" s="334" t="n"/>
      <c r="G484" s="334" t="n"/>
      <c r="H484" s="334" t="n"/>
      <c r="I484" s="334" t="n"/>
      <c r="J484" s="334" t="n"/>
      <c r="K484" s="334" t="n"/>
      <c r="L484" s="334" t="n"/>
      <c r="M484" s="334" t="n"/>
      <c r="N484" s="339" t="n"/>
      <c r="O484" s="368" t="n"/>
      <c r="P484" s="334" t="n"/>
    </row>
    <row r="485">
      <c r="A485" s="334" t="n"/>
      <c r="B485" s="334" t="n"/>
      <c r="C485" s="334" t="n"/>
      <c r="D485" s="334" t="n"/>
      <c r="E485" s="334" t="n"/>
      <c r="F485" s="334" t="n"/>
      <c r="G485" s="334" t="n"/>
      <c r="H485" s="334" t="n"/>
      <c r="I485" s="334" t="n"/>
      <c r="J485" s="334" t="n"/>
      <c r="K485" s="334" t="n"/>
      <c r="L485" s="334" t="n"/>
      <c r="M485" s="334" t="n"/>
      <c r="N485" s="339" t="n"/>
      <c r="O485" s="368" t="n"/>
      <c r="P485" s="334" t="n"/>
    </row>
    <row r="486">
      <c r="A486" s="334" t="n"/>
      <c r="B486" s="334" t="n"/>
      <c r="C486" s="334" t="n"/>
      <c r="D486" s="334" t="n"/>
      <c r="E486" s="334" t="n"/>
      <c r="F486" s="334" t="n"/>
      <c r="G486" s="334" t="n"/>
      <c r="H486" s="334" t="n"/>
      <c r="I486" s="334" t="n"/>
      <c r="J486" s="334" t="n"/>
      <c r="K486" s="334" t="n"/>
      <c r="L486" s="334" t="n"/>
      <c r="M486" s="334" t="n"/>
      <c r="N486" s="339" t="n"/>
      <c r="O486" s="368" t="n"/>
      <c r="P486" s="334" t="n"/>
    </row>
    <row r="487">
      <c r="A487" s="334" t="n"/>
      <c r="B487" s="334" t="n"/>
      <c r="C487" s="334" t="n"/>
      <c r="D487" s="334" t="n"/>
      <c r="E487" s="334" t="n"/>
      <c r="F487" s="334" t="n"/>
      <c r="G487" s="334" t="n"/>
      <c r="H487" s="334" t="n"/>
      <c r="I487" s="334" t="n"/>
      <c r="J487" s="334" t="n"/>
      <c r="K487" s="334" t="n"/>
      <c r="L487" s="334" t="n"/>
      <c r="M487" s="334" t="n"/>
      <c r="N487" s="339" t="n"/>
      <c r="O487" s="368" t="n"/>
      <c r="P487" s="334" t="n"/>
    </row>
    <row r="488">
      <c r="A488" s="334" t="n"/>
      <c r="B488" s="334" t="n"/>
      <c r="C488" s="334" t="n"/>
      <c r="D488" s="334" t="n"/>
      <c r="E488" s="334" t="n"/>
      <c r="F488" s="334" t="n"/>
      <c r="G488" s="334" t="n"/>
      <c r="H488" s="334" t="n"/>
      <c r="I488" s="334" t="n"/>
      <c r="J488" s="334" t="n"/>
      <c r="K488" s="334" t="n"/>
      <c r="L488" s="334" t="n"/>
      <c r="M488" s="334" t="n"/>
      <c r="N488" s="339" t="n"/>
      <c r="O488" s="368" t="n"/>
      <c r="P488" s="334" t="n"/>
    </row>
    <row r="489">
      <c r="A489" s="334" t="n"/>
      <c r="B489" s="334" t="n"/>
      <c r="C489" s="334" t="n"/>
      <c r="D489" s="334" t="n"/>
      <c r="E489" s="334" t="n"/>
      <c r="F489" s="334" t="n"/>
      <c r="G489" s="334" t="n"/>
      <c r="H489" s="334" t="n"/>
      <c r="I489" s="334" t="n"/>
      <c r="J489" s="334" t="n"/>
      <c r="K489" s="334" t="n"/>
      <c r="L489" s="334" t="n"/>
      <c r="M489" s="334" t="n"/>
      <c r="N489" s="339" t="n"/>
      <c r="O489" s="368" t="n"/>
      <c r="P489" s="334" t="n"/>
    </row>
    <row r="490">
      <c r="A490" s="334" t="n"/>
      <c r="B490" s="334" t="n"/>
      <c r="C490" s="334" t="n"/>
      <c r="D490" s="334" t="n"/>
      <c r="E490" s="334" t="n"/>
      <c r="F490" s="334" t="n"/>
      <c r="G490" s="334" t="n"/>
      <c r="H490" s="334" t="n"/>
      <c r="I490" s="334" t="n"/>
      <c r="J490" s="334" t="n"/>
      <c r="K490" s="334" t="n"/>
      <c r="L490" s="334" t="n"/>
      <c r="M490" s="334" t="n"/>
      <c r="N490" s="339" t="n"/>
      <c r="O490" s="368" t="n"/>
      <c r="P490" s="334" t="n"/>
    </row>
    <row r="491">
      <c r="A491" s="334" t="n"/>
      <c r="B491" s="334" t="n"/>
      <c r="C491" s="334" t="n"/>
      <c r="D491" s="334" t="n"/>
      <c r="E491" s="334" t="n"/>
      <c r="F491" s="334" t="n"/>
      <c r="G491" s="334" t="n"/>
      <c r="H491" s="334" t="n"/>
      <c r="I491" s="334" t="n"/>
      <c r="J491" s="334" t="n"/>
      <c r="K491" s="334" t="n"/>
      <c r="L491" s="334" t="n"/>
      <c r="M491" s="334" t="n"/>
      <c r="N491" s="339" t="n"/>
      <c r="O491" s="368" t="n"/>
      <c r="P491" s="334" t="n"/>
    </row>
    <row r="492">
      <c r="A492" s="334" t="n"/>
      <c r="B492" s="334" t="n"/>
      <c r="C492" s="334" t="n"/>
      <c r="D492" s="334" t="n"/>
      <c r="E492" s="334" t="n"/>
      <c r="F492" s="334" t="n"/>
      <c r="G492" s="334" t="n"/>
      <c r="H492" s="334" t="n"/>
      <c r="I492" s="334" t="n"/>
      <c r="J492" s="334" t="n"/>
      <c r="K492" s="334" t="n"/>
      <c r="L492" s="334" t="n"/>
      <c r="M492" s="334" t="n"/>
      <c r="N492" s="339" t="n"/>
      <c r="O492" s="368" t="n"/>
      <c r="P492" s="334" t="n"/>
    </row>
    <row r="493">
      <c r="A493" s="334" t="n"/>
      <c r="B493" s="334" t="n"/>
      <c r="C493" s="334" t="n"/>
      <c r="D493" s="334" t="n"/>
      <c r="E493" s="334" t="n"/>
      <c r="F493" s="334" t="n"/>
      <c r="G493" s="334" t="n"/>
      <c r="H493" s="334" t="n"/>
      <c r="I493" s="334" t="n"/>
      <c r="J493" s="334" t="n"/>
      <c r="K493" s="334" t="n"/>
      <c r="L493" s="334" t="n"/>
      <c r="M493" s="334" t="n"/>
      <c r="N493" s="339" t="n"/>
      <c r="O493" s="368" t="n"/>
      <c r="P493" s="334" t="n"/>
    </row>
    <row r="494">
      <c r="A494" s="334" t="n"/>
      <c r="B494" s="334" t="n"/>
      <c r="C494" s="334" t="n"/>
      <c r="D494" s="334" t="n"/>
      <c r="E494" s="334" t="n"/>
      <c r="F494" s="334" t="n"/>
      <c r="G494" s="334" t="n"/>
      <c r="H494" s="334" t="n"/>
      <c r="I494" s="334" t="n"/>
      <c r="J494" s="334" t="n"/>
      <c r="K494" s="334" t="n"/>
      <c r="L494" s="334" t="n"/>
      <c r="M494" s="334" t="n"/>
      <c r="N494" s="339" t="n"/>
      <c r="O494" s="368" t="n"/>
      <c r="P494" s="334" t="n"/>
    </row>
    <row r="495">
      <c r="A495" s="334" t="n"/>
      <c r="B495" s="334" t="n"/>
      <c r="C495" s="334" t="n"/>
      <c r="D495" s="334" t="n"/>
      <c r="E495" s="334" t="n"/>
      <c r="F495" s="334" t="n"/>
      <c r="G495" s="334" t="n"/>
      <c r="H495" s="334" t="n"/>
      <c r="I495" s="334" t="n"/>
      <c r="J495" s="334" t="n"/>
      <c r="K495" s="334" t="n"/>
      <c r="L495" s="334" t="n"/>
      <c r="M495" s="334" t="n"/>
      <c r="N495" s="339" t="n"/>
      <c r="O495" s="368" t="n"/>
      <c r="P495" s="334" t="n"/>
    </row>
    <row r="496">
      <c r="A496" s="334" t="n"/>
      <c r="B496" s="334" t="n"/>
      <c r="C496" s="334" t="n"/>
      <c r="D496" s="334" t="n"/>
      <c r="E496" s="334" t="n"/>
      <c r="F496" s="334" t="n"/>
      <c r="G496" s="334" t="n"/>
      <c r="H496" s="334" t="n"/>
      <c r="I496" s="334" t="n"/>
      <c r="J496" s="334" t="n"/>
      <c r="K496" s="334" t="n"/>
      <c r="L496" s="334" t="n"/>
      <c r="M496" s="334" t="n"/>
      <c r="N496" s="339" t="n"/>
      <c r="O496" s="368" t="n"/>
      <c r="P496" s="334" t="n"/>
    </row>
    <row r="497">
      <c r="A497" s="334" t="n"/>
      <c r="B497" s="334" t="n"/>
      <c r="C497" s="334" t="n"/>
      <c r="D497" s="334" t="n"/>
      <c r="E497" s="334" t="n"/>
      <c r="F497" s="334" t="n"/>
      <c r="G497" s="334" t="n"/>
      <c r="H497" s="334" t="n"/>
      <c r="I497" s="334" t="n"/>
      <c r="J497" s="334" t="n"/>
      <c r="K497" s="334" t="n"/>
      <c r="L497" s="334" t="n"/>
      <c r="M497" s="334" t="n"/>
      <c r="N497" s="339" t="n"/>
      <c r="O497" s="368" t="n"/>
      <c r="P497" s="334" t="n"/>
    </row>
    <row r="498">
      <c r="A498" s="334" t="n"/>
      <c r="B498" s="334" t="n"/>
      <c r="C498" s="334" t="n"/>
      <c r="D498" s="334" t="n"/>
      <c r="E498" s="334" t="n"/>
      <c r="F498" s="334" t="n"/>
      <c r="G498" s="334" t="n"/>
      <c r="H498" s="334" t="n"/>
      <c r="I498" s="334" t="n"/>
      <c r="J498" s="334" t="n"/>
      <c r="K498" s="334" t="n"/>
      <c r="L498" s="334" t="n"/>
      <c r="M498" s="334" t="n"/>
      <c r="N498" s="339" t="n"/>
      <c r="O498" s="368" t="n"/>
      <c r="P498" s="334" t="n"/>
    </row>
    <row r="499">
      <c r="A499" s="334" t="n"/>
      <c r="B499" s="334" t="n"/>
      <c r="C499" s="334" t="n"/>
      <c r="D499" s="334" t="n"/>
      <c r="E499" s="334" t="n"/>
      <c r="F499" s="334" t="n"/>
      <c r="G499" s="334" t="n"/>
      <c r="H499" s="334" t="n"/>
      <c r="I499" s="334" t="n"/>
      <c r="J499" s="334" t="n"/>
      <c r="K499" s="334" t="n"/>
      <c r="L499" s="334" t="n"/>
      <c r="M499" s="334" t="n"/>
      <c r="N499" s="339" t="n"/>
      <c r="O499" s="368" t="n"/>
      <c r="P499" s="334" t="n"/>
    </row>
    <row r="500">
      <c r="A500" s="334" t="n"/>
      <c r="B500" s="334" t="n"/>
      <c r="C500" s="334" t="n"/>
      <c r="D500" s="334" t="n"/>
      <c r="E500" s="334" t="n"/>
      <c r="F500" s="334" t="n"/>
      <c r="G500" s="334" t="n"/>
      <c r="H500" s="334" t="n"/>
      <c r="I500" s="334" t="n"/>
      <c r="J500" s="334" t="n"/>
      <c r="K500" s="334" t="n"/>
      <c r="L500" s="334" t="n"/>
      <c r="M500" s="334" t="n"/>
      <c r="N500" s="339" t="n"/>
      <c r="O500" s="368" t="n"/>
      <c r="P500" s="334" t="n"/>
    </row>
    <row r="501">
      <c r="A501" s="334" t="n"/>
      <c r="B501" s="334" t="n"/>
      <c r="C501" s="334" t="n"/>
      <c r="D501" s="334" t="n"/>
      <c r="E501" s="334" t="n"/>
      <c r="F501" s="334" t="n"/>
      <c r="G501" s="334" t="n"/>
      <c r="H501" s="334" t="n"/>
      <c r="I501" s="334" t="n"/>
      <c r="J501" s="334" t="n"/>
      <c r="K501" s="334" t="n"/>
      <c r="L501" s="334" t="n"/>
      <c r="M501" s="334" t="n"/>
      <c r="N501" s="339" t="n"/>
      <c r="O501" s="368" t="n"/>
      <c r="P501" s="334" t="n"/>
    </row>
    <row r="502">
      <c r="A502" s="334" t="n"/>
      <c r="B502" s="334" t="n"/>
      <c r="C502" s="334" t="n"/>
      <c r="D502" s="334" t="n"/>
      <c r="E502" s="334" t="n"/>
      <c r="F502" s="334" t="n"/>
      <c r="G502" s="334" t="n"/>
      <c r="H502" s="334" t="n"/>
      <c r="I502" s="334" t="n"/>
      <c r="J502" s="334" t="n"/>
      <c r="K502" s="334" t="n"/>
      <c r="L502" s="334" t="n"/>
      <c r="M502" s="334" t="n"/>
      <c r="N502" s="339" t="n"/>
      <c r="O502" s="368" t="n"/>
      <c r="P502" s="334" t="n"/>
    </row>
    <row r="503">
      <c r="A503" s="334" t="n"/>
      <c r="B503" s="334" t="n"/>
      <c r="C503" s="334" t="n"/>
      <c r="D503" s="334" t="n"/>
      <c r="E503" s="334" t="n"/>
      <c r="F503" s="334" t="n"/>
      <c r="G503" s="334" t="n"/>
      <c r="H503" s="334" t="n"/>
      <c r="I503" s="334" t="n"/>
      <c r="J503" s="334" t="n"/>
      <c r="K503" s="334" t="n"/>
      <c r="L503" s="334" t="n"/>
      <c r="M503" s="334" t="n"/>
      <c r="N503" s="339" t="n"/>
      <c r="O503" s="368" t="n"/>
      <c r="P503" s="334" t="n"/>
    </row>
    <row r="504">
      <c r="A504" s="334" t="n"/>
      <c r="B504" s="334" t="n"/>
      <c r="C504" s="334" t="n"/>
      <c r="D504" s="334" t="n"/>
      <c r="E504" s="334" t="n"/>
      <c r="F504" s="334" t="n"/>
      <c r="G504" s="334" t="n"/>
      <c r="H504" s="334" t="n"/>
      <c r="I504" s="334" t="n"/>
      <c r="J504" s="334" t="n"/>
      <c r="K504" s="334" t="n"/>
      <c r="L504" s="334" t="n"/>
      <c r="M504" s="334" t="n"/>
      <c r="N504" s="339" t="n"/>
      <c r="O504" s="368" t="n"/>
      <c r="P504" s="334" t="n"/>
    </row>
    <row r="505">
      <c r="A505" s="334" t="n"/>
      <c r="B505" s="334" t="n"/>
      <c r="C505" s="334" t="n"/>
      <c r="D505" s="334" t="n"/>
      <c r="E505" s="334" t="n"/>
      <c r="F505" s="334" t="n"/>
      <c r="G505" s="334" t="n"/>
      <c r="H505" s="334" t="n"/>
      <c r="I505" s="334" t="n"/>
      <c r="J505" s="334" t="n"/>
      <c r="K505" s="334" t="n"/>
      <c r="L505" s="334" t="n"/>
      <c r="M505" s="334" t="n"/>
      <c r="N505" s="339" t="n"/>
      <c r="O505" s="368" t="n"/>
      <c r="P505" s="334" t="n"/>
    </row>
    <row r="506">
      <c r="A506" s="334" t="n"/>
      <c r="B506" s="334" t="n"/>
      <c r="C506" s="334" t="n"/>
      <c r="D506" s="334" t="n"/>
      <c r="E506" s="334" t="n"/>
      <c r="F506" s="334" t="n"/>
      <c r="G506" s="334" t="n"/>
      <c r="H506" s="334" t="n"/>
      <c r="I506" s="334" t="n"/>
      <c r="J506" s="334" t="n"/>
      <c r="K506" s="334" t="n"/>
      <c r="L506" s="334" t="n"/>
      <c r="M506" s="334" t="n"/>
      <c r="N506" s="339" t="n"/>
      <c r="O506" s="368" t="n"/>
      <c r="P506" s="334" t="n"/>
    </row>
    <row r="507">
      <c r="A507" s="334" t="n"/>
      <c r="B507" s="334" t="n"/>
      <c r="C507" s="334" t="n"/>
      <c r="D507" s="334" t="n"/>
      <c r="E507" s="334" t="n"/>
      <c r="F507" s="334" t="n"/>
      <c r="G507" s="334" t="n"/>
      <c r="H507" s="334" t="n"/>
      <c r="I507" s="334" t="n"/>
      <c r="J507" s="334" t="n"/>
      <c r="K507" s="334" t="n"/>
      <c r="L507" s="334" t="n"/>
      <c r="M507" s="334" t="n"/>
      <c r="N507" s="339" t="n"/>
      <c r="O507" s="368" t="n"/>
      <c r="P507" s="334" t="n"/>
    </row>
    <row r="508">
      <c r="A508" s="334" t="n"/>
      <c r="B508" s="334" t="n"/>
      <c r="C508" s="334" t="n"/>
      <c r="D508" s="334" t="n"/>
      <c r="E508" s="334" t="n"/>
      <c r="F508" s="334" t="n"/>
      <c r="G508" s="334" t="n"/>
      <c r="H508" s="334" t="n"/>
      <c r="I508" s="334" t="n"/>
      <c r="J508" s="334" t="n"/>
      <c r="K508" s="334" t="n"/>
      <c r="L508" s="334" t="n"/>
      <c r="M508" s="334" t="n"/>
      <c r="N508" s="339" t="n"/>
      <c r="O508" s="368" t="n"/>
      <c r="P508" s="334" t="n"/>
    </row>
    <row r="509">
      <c r="A509" s="334" t="n"/>
      <c r="B509" s="334" t="n"/>
      <c r="C509" s="334" t="n"/>
      <c r="D509" s="334" t="n"/>
      <c r="E509" s="334" t="n"/>
      <c r="F509" s="334" t="n"/>
      <c r="G509" s="334" t="n"/>
      <c r="H509" s="334" t="n"/>
      <c r="I509" s="334" t="n"/>
      <c r="J509" s="334" t="n"/>
      <c r="K509" s="334" t="n"/>
      <c r="L509" s="334" t="n"/>
      <c r="M509" s="334" t="n"/>
      <c r="N509" s="339" t="n"/>
      <c r="O509" s="368" t="n"/>
      <c r="P509" s="334" t="n"/>
    </row>
    <row r="510">
      <c r="A510" s="334" t="n"/>
      <c r="B510" s="334" t="n"/>
      <c r="C510" s="334" t="n"/>
      <c r="D510" s="334" t="n"/>
      <c r="E510" s="334" t="n"/>
      <c r="F510" s="334" t="n"/>
      <c r="G510" s="334" t="n"/>
      <c r="H510" s="334" t="n"/>
      <c r="I510" s="334" t="n"/>
      <c r="J510" s="334" t="n"/>
      <c r="K510" s="334" t="n"/>
      <c r="L510" s="334" t="n"/>
      <c r="M510" s="334" t="n"/>
      <c r="N510" s="339" t="n"/>
      <c r="O510" s="368" t="n"/>
      <c r="P510" s="334" t="n"/>
    </row>
    <row r="511">
      <c r="A511" s="334" t="n"/>
      <c r="B511" s="334" t="n"/>
      <c r="C511" s="334" t="n"/>
      <c r="D511" s="334" t="n"/>
      <c r="E511" s="334" t="n"/>
      <c r="F511" s="334" t="n"/>
      <c r="G511" s="334" t="n"/>
      <c r="H511" s="334" t="n"/>
      <c r="I511" s="334" t="n"/>
      <c r="J511" s="334" t="n"/>
      <c r="K511" s="334" t="n"/>
      <c r="L511" s="334" t="n"/>
      <c r="M511" s="334" t="n"/>
      <c r="N511" s="339" t="n"/>
      <c r="O511" s="368" t="n"/>
      <c r="P511" s="334" t="n"/>
    </row>
    <row r="512">
      <c r="A512" s="334" t="n"/>
      <c r="B512" s="334" t="n"/>
      <c r="C512" s="334" t="n"/>
      <c r="D512" s="334" t="n"/>
      <c r="E512" s="334" t="n"/>
      <c r="F512" s="334" t="n"/>
      <c r="G512" s="334" t="n"/>
      <c r="H512" s="334" t="n"/>
      <c r="I512" s="334" t="n"/>
      <c r="J512" s="334" t="n"/>
      <c r="K512" s="334" t="n"/>
      <c r="L512" s="334" t="n"/>
      <c r="M512" s="334" t="n"/>
      <c r="N512" s="339" t="n"/>
      <c r="O512" s="368" t="n"/>
      <c r="P512" s="334" t="n"/>
    </row>
    <row r="513">
      <c r="A513" s="334" t="n"/>
      <c r="B513" s="334" t="n"/>
      <c r="C513" s="334" t="n"/>
      <c r="D513" s="334" t="n"/>
      <c r="E513" s="334" t="n"/>
      <c r="F513" s="334" t="n"/>
      <c r="G513" s="334" t="n"/>
      <c r="H513" s="334" t="n"/>
      <c r="I513" s="334" t="n"/>
      <c r="J513" s="334" t="n"/>
      <c r="K513" s="334" t="n"/>
      <c r="L513" s="334" t="n"/>
      <c r="M513" s="334" t="n"/>
      <c r="N513" s="339" t="n"/>
      <c r="O513" s="368" t="n"/>
      <c r="P513" s="334" t="n"/>
    </row>
    <row r="514">
      <c r="A514" s="334" t="n"/>
      <c r="B514" s="334" t="n"/>
      <c r="C514" s="334" t="n"/>
      <c r="D514" s="334" t="n"/>
      <c r="E514" s="334" t="n"/>
      <c r="F514" s="334" t="n"/>
      <c r="G514" s="334" t="n"/>
      <c r="H514" s="334" t="n"/>
      <c r="I514" s="334" t="n"/>
      <c r="J514" s="334" t="n"/>
      <c r="K514" s="334" t="n"/>
      <c r="L514" s="334" t="n"/>
      <c r="M514" s="334" t="n"/>
      <c r="N514" s="339" t="n"/>
      <c r="O514" s="368" t="n"/>
      <c r="P514" s="334" t="n"/>
    </row>
    <row r="515">
      <c r="A515" s="334" t="n"/>
      <c r="B515" s="334" t="n"/>
      <c r="C515" s="334" t="n"/>
      <c r="D515" s="334" t="n"/>
      <c r="E515" s="334" t="n"/>
      <c r="F515" s="334" t="n"/>
      <c r="G515" s="334" t="n"/>
      <c r="H515" s="334" t="n"/>
      <c r="I515" s="334" t="n"/>
      <c r="J515" s="334" t="n"/>
      <c r="K515" s="334" t="n"/>
      <c r="L515" s="334" t="n"/>
      <c r="M515" s="334" t="n"/>
      <c r="N515" s="339" t="n"/>
      <c r="O515" s="368" t="n"/>
      <c r="P515" s="334" t="n"/>
    </row>
    <row r="516">
      <c r="A516" s="334" t="n"/>
      <c r="B516" s="334" t="n"/>
      <c r="C516" s="334" t="n"/>
      <c r="D516" s="334" t="n"/>
      <c r="E516" s="334" t="n"/>
      <c r="F516" s="334" t="n"/>
      <c r="G516" s="334" t="n"/>
      <c r="H516" s="334" t="n"/>
      <c r="I516" s="334" t="n"/>
      <c r="J516" s="334" t="n"/>
      <c r="K516" s="334" t="n"/>
      <c r="L516" s="334" t="n"/>
      <c r="M516" s="334" t="n"/>
      <c r="N516" s="339" t="n"/>
      <c r="O516" s="368" t="n"/>
      <c r="P516" s="334" t="n"/>
    </row>
    <row r="517">
      <c r="A517" s="334" t="n"/>
      <c r="B517" s="334" t="n"/>
      <c r="C517" s="334" t="n"/>
      <c r="D517" s="334" t="n"/>
      <c r="E517" s="334" t="n"/>
      <c r="F517" s="334" t="n"/>
      <c r="G517" s="334" t="n"/>
      <c r="H517" s="334" t="n"/>
      <c r="I517" s="334" t="n"/>
      <c r="J517" s="334" t="n"/>
      <c r="K517" s="334" t="n"/>
      <c r="L517" s="334" t="n"/>
      <c r="M517" s="334" t="n"/>
      <c r="N517" s="339" t="n"/>
      <c r="O517" s="368" t="n"/>
      <c r="P517" s="334" t="n"/>
    </row>
    <row r="518">
      <c r="A518" s="334" t="n"/>
      <c r="B518" s="334" t="n"/>
      <c r="C518" s="334" t="n"/>
      <c r="D518" s="334" t="n"/>
      <c r="E518" s="334" t="n"/>
      <c r="F518" s="334" t="n"/>
      <c r="G518" s="334" t="n"/>
      <c r="H518" s="334" t="n"/>
      <c r="I518" s="334" t="n"/>
      <c r="J518" s="334" t="n"/>
      <c r="K518" s="334" t="n"/>
      <c r="L518" s="334" t="n"/>
      <c r="M518" s="334" t="n"/>
      <c r="N518" s="339" t="n"/>
      <c r="O518" s="368" t="n"/>
      <c r="P518" s="334" t="n"/>
    </row>
    <row r="519">
      <c r="A519" s="334" t="n"/>
      <c r="B519" s="334" t="n"/>
      <c r="C519" s="334" t="n"/>
      <c r="D519" s="334" t="n"/>
      <c r="E519" s="334" t="n"/>
      <c r="F519" s="334" t="n"/>
      <c r="G519" s="334" t="n"/>
      <c r="H519" s="334" t="n"/>
      <c r="I519" s="334" t="n"/>
      <c r="J519" s="334" t="n"/>
      <c r="K519" s="334" t="n"/>
      <c r="L519" s="334" t="n"/>
      <c r="M519" s="334" t="n"/>
      <c r="N519" s="339" t="n"/>
      <c r="O519" s="368" t="n"/>
      <c r="P519" s="334" t="n"/>
    </row>
    <row r="520">
      <c r="A520" s="334" t="n"/>
      <c r="B520" s="334" t="n"/>
      <c r="C520" s="334" t="n"/>
      <c r="D520" s="334" t="n"/>
      <c r="E520" s="334" t="n"/>
      <c r="F520" s="334" t="n"/>
      <c r="G520" s="334" t="n"/>
      <c r="H520" s="334" t="n"/>
      <c r="I520" s="334" t="n"/>
      <c r="J520" s="334" t="n"/>
      <c r="K520" s="334" t="n"/>
      <c r="L520" s="334" t="n"/>
      <c r="M520" s="334" t="n"/>
      <c r="N520" s="339" t="n"/>
      <c r="O520" s="368" t="n"/>
      <c r="P520" s="334" t="n"/>
    </row>
    <row r="521">
      <c r="A521" s="334" t="n"/>
      <c r="B521" s="334" t="n"/>
      <c r="C521" s="334" t="n"/>
      <c r="D521" s="334" t="n"/>
      <c r="E521" s="334" t="n"/>
      <c r="F521" s="334" t="n"/>
      <c r="G521" s="334" t="n"/>
      <c r="H521" s="334" t="n"/>
      <c r="I521" s="334" t="n"/>
      <c r="J521" s="334" t="n"/>
      <c r="K521" s="334" t="n"/>
      <c r="L521" s="334" t="n"/>
      <c r="M521" s="334" t="n"/>
      <c r="N521" s="339" t="n"/>
      <c r="O521" s="368" t="n"/>
      <c r="P521" s="334" t="n"/>
    </row>
    <row r="522">
      <c r="A522" s="334" t="n"/>
      <c r="B522" s="334" t="n"/>
      <c r="C522" s="334" t="n"/>
      <c r="D522" s="334" t="n"/>
      <c r="E522" s="334" t="n"/>
      <c r="F522" s="334" t="n"/>
      <c r="G522" s="334" t="n"/>
      <c r="H522" s="334" t="n"/>
      <c r="I522" s="334" t="n"/>
      <c r="J522" s="334" t="n"/>
      <c r="K522" s="334" t="n"/>
      <c r="L522" s="334" t="n"/>
      <c r="M522" s="334" t="n"/>
      <c r="N522" s="339" t="n"/>
      <c r="O522" s="368" t="n"/>
      <c r="P522" s="334" t="n"/>
    </row>
    <row r="523">
      <c r="A523" s="334" t="n"/>
      <c r="B523" s="334" t="n"/>
      <c r="C523" s="334" t="n"/>
      <c r="D523" s="334" t="n"/>
      <c r="E523" s="334" t="n"/>
      <c r="F523" s="334" t="n"/>
      <c r="G523" s="334" t="n"/>
      <c r="H523" s="334" t="n"/>
      <c r="I523" s="334" t="n"/>
      <c r="J523" s="334" t="n"/>
      <c r="K523" s="334" t="n"/>
      <c r="L523" s="334" t="n"/>
      <c r="M523" s="334" t="n"/>
      <c r="N523" s="339" t="n"/>
      <c r="O523" s="368" t="n"/>
      <c r="P523" s="334" t="n"/>
    </row>
    <row r="524">
      <c r="A524" s="334" t="n"/>
      <c r="B524" s="334" t="n"/>
      <c r="C524" s="334" t="n"/>
      <c r="D524" s="334" t="n"/>
      <c r="E524" s="334" t="n"/>
      <c r="F524" s="334" t="n"/>
      <c r="G524" s="334" t="n"/>
      <c r="H524" s="334" t="n"/>
      <c r="I524" s="334" t="n"/>
      <c r="J524" s="334" t="n"/>
      <c r="K524" s="334" t="n"/>
      <c r="L524" s="334" t="n"/>
      <c r="M524" s="334" t="n"/>
      <c r="N524" s="339" t="n"/>
      <c r="O524" s="368" t="n"/>
      <c r="P524" s="334" t="n"/>
    </row>
    <row r="525">
      <c r="A525" s="334" t="n"/>
      <c r="B525" s="334" t="n"/>
      <c r="C525" s="334" t="n"/>
      <c r="D525" s="334" t="n"/>
      <c r="E525" s="334" t="n"/>
      <c r="F525" s="334" t="n"/>
      <c r="G525" s="334" t="n"/>
      <c r="H525" s="334" t="n"/>
      <c r="I525" s="334" t="n"/>
      <c r="J525" s="334" t="n"/>
      <c r="K525" s="334" t="n"/>
      <c r="L525" s="334" t="n"/>
      <c r="M525" s="334" t="n"/>
      <c r="N525" s="339" t="n"/>
      <c r="O525" s="368" t="n"/>
      <c r="P525" s="334" t="n"/>
    </row>
    <row r="526">
      <c r="A526" s="334" t="n"/>
      <c r="B526" s="334" t="n"/>
      <c r="C526" s="334" t="n"/>
      <c r="D526" s="334" t="n"/>
      <c r="E526" s="334" t="n"/>
      <c r="F526" s="334" t="n"/>
      <c r="G526" s="334" t="n"/>
      <c r="H526" s="334" t="n"/>
      <c r="I526" s="334" t="n"/>
      <c r="J526" s="334" t="n"/>
      <c r="K526" s="334" t="n"/>
      <c r="L526" s="334" t="n"/>
      <c r="M526" s="334" t="n"/>
      <c r="N526" s="339" t="n"/>
      <c r="O526" s="368" t="n"/>
      <c r="P526" s="334" t="n"/>
    </row>
    <row r="527">
      <c r="A527" s="334" t="n"/>
      <c r="B527" s="334" t="n"/>
      <c r="C527" s="334" t="n"/>
      <c r="D527" s="334" t="n"/>
      <c r="E527" s="334" t="n"/>
      <c r="F527" s="334" t="n"/>
      <c r="G527" s="334" t="n"/>
      <c r="H527" s="334" t="n"/>
      <c r="I527" s="334" t="n"/>
      <c r="J527" s="334" t="n"/>
      <c r="K527" s="334" t="n"/>
      <c r="L527" s="334" t="n"/>
      <c r="M527" s="334" t="n"/>
      <c r="N527" s="339" t="n"/>
      <c r="O527" s="368" t="n"/>
      <c r="P527" s="334" t="n"/>
    </row>
    <row r="528">
      <c r="A528" s="334" t="n"/>
      <c r="B528" s="334" t="n"/>
      <c r="C528" s="334" t="n"/>
      <c r="D528" s="334" t="n"/>
      <c r="E528" s="334" t="n"/>
      <c r="F528" s="334" t="n"/>
      <c r="G528" s="334" t="n"/>
      <c r="H528" s="334" t="n"/>
      <c r="I528" s="334" t="n"/>
      <c r="J528" s="334" t="n"/>
      <c r="K528" s="334" t="n"/>
      <c r="L528" s="334" t="n"/>
      <c r="M528" s="334" t="n"/>
      <c r="N528" s="339" t="n"/>
      <c r="O528" s="368" t="n"/>
      <c r="P528" s="334" t="n"/>
    </row>
    <row r="529">
      <c r="A529" s="334" t="n"/>
      <c r="B529" s="334" t="n"/>
      <c r="C529" s="334" t="n"/>
      <c r="D529" s="334" t="n"/>
      <c r="E529" s="334" t="n"/>
      <c r="F529" s="334" t="n"/>
      <c r="G529" s="334" t="n"/>
      <c r="H529" s="334" t="n"/>
      <c r="I529" s="334" t="n"/>
      <c r="J529" s="334" t="n"/>
      <c r="K529" s="334" t="n"/>
      <c r="L529" s="334" t="n"/>
      <c r="M529" s="334" t="n"/>
      <c r="N529" s="339" t="n"/>
      <c r="O529" s="368" t="n"/>
      <c r="P529" s="334" t="n"/>
    </row>
    <row r="530">
      <c r="A530" s="334" t="n"/>
      <c r="B530" s="334" t="n"/>
      <c r="C530" s="334" t="n"/>
      <c r="D530" s="334" t="n"/>
      <c r="E530" s="334" t="n"/>
      <c r="F530" s="334" t="n"/>
      <c r="G530" s="334" t="n"/>
      <c r="H530" s="334" t="n"/>
      <c r="I530" s="334" t="n"/>
      <c r="J530" s="334" t="n"/>
      <c r="K530" s="334" t="n"/>
      <c r="L530" s="334" t="n"/>
      <c r="M530" s="334" t="n"/>
      <c r="N530" s="339" t="n"/>
      <c r="O530" s="368" t="n"/>
      <c r="P530" s="334" t="n"/>
    </row>
    <row r="531">
      <c r="A531" s="334" t="n"/>
      <c r="B531" s="334" t="n"/>
      <c r="C531" s="334" t="n"/>
      <c r="D531" s="334" t="n"/>
      <c r="E531" s="334" t="n"/>
      <c r="F531" s="334" t="n"/>
      <c r="G531" s="334" t="n"/>
      <c r="H531" s="334" t="n"/>
      <c r="I531" s="334" t="n"/>
      <c r="J531" s="334" t="n"/>
      <c r="K531" s="334" t="n"/>
      <c r="L531" s="334" t="n"/>
      <c r="M531" s="334" t="n"/>
      <c r="N531" s="339" t="n"/>
      <c r="O531" s="368" t="n"/>
      <c r="P531" s="334" t="n"/>
    </row>
    <row r="532">
      <c r="A532" s="334" t="n"/>
      <c r="B532" s="334" t="n"/>
      <c r="C532" s="334" t="n"/>
      <c r="D532" s="334" t="n"/>
      <c r="E532" s="334" t="n"/>
      <c r="F532" s="334" t="n"/>
      <c r="G532" s="334" t="n"/>
      <c r="H532" s="334" t="n"/>
      <c r="I532" s="334" t="n"/>
      <c r="J532" s="334" t="n"/>
      <c r="K532" s="334" t="n"/>
      <c r="L532" s="334" t="n"/>
      <c r="M532" s="334" t="n"/>
      <c r="N532" s="339" t="n"/>
      <c r="O532" s="368" t="n"/>
      <c r="P532" s="334" t="n"/>
    </row>
    <row r="533">
      <c r="A533" s="334" t="n"/>
      <c r="B533" s="334" t="n"/>
      <c r="C533" s="334" t="n"/>
      <c r="D533" s="334" t="n"/>
      <c r="E533" s="334" t="n"/>
      <c r="F533" s="334" t="n"/>
      <c r="G533" s="334" t="n"/>
      <c r="H533" s="334" t="n"/>
      <c r="I533" s="334" t="n"/>
      <c r="J533" s="334" t="n"/>
      <c r="K533" s="334" t="n"/>
      <c r="L533" s="334" t="n"/>
      <c r="M533" s="334" t="n"/>
      <c r="N533" s="339" t="n"/>
      <c r="O533" s="368" t="n"/>
      <c r="P533" s="334" t="n"/>
    </row>
    <row r="534">
      <c r="A534" s="334" t="n"/>
      <c r="B534" s="334" t="n"/>
      <c r="C534" s="334" t="n"/>
      <c r="D534" s="334" t="n"/>
      <c r="E534" s="334" t="n"/>
      <c r="F534" s="334" t="n"/>
      <c r="G534" s="334" t="n"/>
      <c r="H534" s="334" t="n"/>
      <c r="I534" s="334" t="n"/>
      <c r="J534" s="334" t="n"/>
      <c r="K534" s="334" t="n"/>
      <c r="L534" s="334" t="n"/>
      <c r="M534" s="334" t="n"/>
      <c r="N534" s="339" t="n"/>
      <c r="O534" s="368" t="n"/>
      <c r="P534" s="334" t="n"/>
    </row>
    <row r="535">
      <c r="A535" s="334" t="n"/>
      <c r="B535" s="334" t="n"/>
      <c r="C535" s="334" t="n"/>
      <c r="D535" s="334" t="n"/>
      <c r="E535" s="334" t="n"/>
      <c r="F535" s="334" t="n"/>
      <c r="G535" s="334" t="n"/>
      <c r="H535" s="334" t="n"/>
      <c r="I535" s="334" t="n"/>
      <c r="J535" s="334" t="n"/>
      <c r="K535" s="334" t="n"/>
      <c r="L535" s="334" t="n"/>
      <c r="M535" s="334" t="n"/>
      <c r="N535" s="339" t="n"/>
      <c r="O535" s="368" t="n"/>
      <c r="P535" s="334" t="n"/>
    </row>
    <row r="536">
      <c r="A536" s="334" t="n"/>
      <c r="B536" s="334" t="n"/>
      <c r="C536" s="334" t="n"/>
      <c r="D536" s="334" t="n"/>
      <c r="E536" s="334" t="n"/>
      <c r="F536" s="334" t="n"/>
      <c r="G536" s="334" t="n"/>
      <c r="H536" s="334" t="n"/>
      <c r="I536" s="334" t="n"/>
      <c r="J536" s="334" t="n"/>
      <c r="K536" s="334" t="n"/>
      <c r="L536" s="334" t="n"/>
      <c r="M536" s="334" t="n"/>
      <c r="N536" s="339" t="n"/>
      <c r="O536" s="368" t="n"/>
      <c r="P536" s="334" t="n"/>
    </row>
    <row r="537">
      <c r="A537" s="334" t="n"/>
      <c r="B537" s="334" t="n"/>
      <c r="C537" s="334" t="n"/>
      <c r="D537" s="334" t="n"/>
      <c r="E537" s="334" t="n"/>
      <c r="F537" s="334" t="n"/>
      <c r="G537" s="334" t="n"/>
      <c r="H537" s="334" t="n"/>
      <c r="I537" s="334" t="n"/>
      <c r="J537" s="334" t="n"/>
      <c r="K537" s="334" t="n"/>
      <c r="L537" s="334" t="n"/>
      <c r="M537" s="334" t="n"/>
      <c r="N537" s="339" t="n"/>
      <c r="O537" s="368" t="n"/>
      <c r="P537" s="334" t="n"/>
    </row>
    <row r="538">
      <c r="A538" s="334" t="n"/>
      <c r="B538" s="334" t="n"/>
      <c r="C538" s="334" t="n"/>
      <c r="D538" s="334" t="n"/>
      <c r="E538" s="334" t="n"/>
      <c r="F538" s="334" t="n"/>
      <c r="G538" s="334" t="n"/>
      <c r="H538" s="334" t="n"/>
      <c r="I538" s="334" t="n"/>
      <c r="J538" s="334" t="n"/>
      <c r="K538" s="334" t="n"/>
      <c r="L538" s="334" t="n"/>
      <c r="M538" s="334" t="n"/>
      <c r="N538" s="339" t="n"/>
      <c r="O538" s="368" t="n"/>
      <c r="P538" s="334" t="n"/>
    </row>
    <row r="539">
      <c r="A539" s="334" t="n"/>
      <c r="B539" s="334" t="n"/>
      <c r="C539" s="334" t="n"/>
      <c r="D539" s="334" t="n"/>
      <c r="E539" s="334" t="n"/>
      <c r="F539" s="334" t="n"/>
      <c r="G539" s="334" t="n"/>
      <c r="H539" s="334" t="n"/>
      <c r="I539" s="334" t="n"/>
      <c r="J539" s="334" t="n"/>
      <c r="K539" s="334" t="n"/>
      <c r="L539" s="334" t="n"/>
      <c r="M539" s="334" t="n"/>
      <c r="N539" s="339" t="n"/>
      <c r="O539" s="368" t="n"/>
      <c r="P539" s="334" t="n"/>
    </row>
    <row r="540">
      <c r="A540" s="334" t="n"/>
      <c r="B540" s="334" t="n"/>
      <c r="C540" s="334" t="n"/>
      <c r="D540" s="334" t="n"/>
      <c r="E540" s="334" t="n"/>
      <c r="F540" s="334" t="n"/>
      <c r="G540" s="334" t="n"/>
      <c r="H540" s="334" t="n"/>
      <c r="I540" s="334" t="n"/>
      <c r="J540" s="334" t="n"/>
      <c r="K540" s="334" t="n"/>
      <c r="L540" s="334" t="n"/>
      <c r="M540" s="334" t="n"/>
      <c r="N540" s="339" t="n"/>
      <c r="O540" s="368" t="n"/>
      <c r="P540" s="334" t="n"/>
    </row>
    <row r="541">
      <c r="A541" s="334" t="n"/>
      <c r="B541" s="334" t="n"/>
      <c r="C541" s="334" t="n"/>
      <c r="D541" s="334" t="n"/>
      <c r="E541" s="334" t="n"/>
      <c r="F541" s="334" t="n"/>
      <c r="G541" s="334" t="n"/>
      <c r="H541" s="334" t="n"/>
      <c r="I541" s="334" t="n"/>
      <c r="J541" s="334" t="n"/>
      <c r="K541" s="334" t="n"/>
      <c r="L541" s="334" t="n"/>
      <c r="M541" s="334" t="n"/>
      <c r="N541" s="339" t="n"/>
      <c r="O541" s="368" t="n"/>
      <c r="P541" s="334" t="n"/>
    </row>
    <row r="542">
      <c r="A542" s="334" t="n"/>
      <c r="B542" s="334" t="n"/>
      <c r="C542" s="334" t="n"/>
      <c r="D542" s="334" t="n"/>
      <c r="E542" s="334" t="n"/>
      <c r="F542" s="334" t="n"/>
      <c r="G542" s="334" t="n"/>
      <c r="H542" s="334" t="n"/>
      <c r="I542" s="334" t="n"/>
      <c r="J542" s="334" t="n"/>
      <c r="K542" s="334" t="n"/>
      <c r="L542" s="334" t="n"/>
      <c r="M542" s="334" t="n"/>
      <c r="N542" s="339" t="n"/>
      <c r="O542" s="368" t="n"/>
      <c r="P542" s="334" t="n"/>
    </row>
    <row r="543">
      <c r="A543" s="334" t="n"/>
      <c r="B543" s="334" t="n"/>
      <c r="C543" s="334" t="n"/>
      <c r="D543" s="334" t="n"/>
      <c r="E543" s="334" t="n"/>
      <c r="F543" s="334" t="n"/>
      <c r="G543" s="334" t="n"/>
      <c r="H543" s="334" t="n"/>
      <c r="I543" s="334" t="n"/>
      <c r="J543" s="334" t="n"/>
      <c r="K543" s="334" t="n"/>
      <c r="L543" s="334" t="n"/>
      <c r="M543" s="334" t="n"/>
      <c r="N543" s="339" t="n"/>
      <c r="O543" s="368" t="n"/>
      <c r="P543" s="334" t="n"/>
    </row>
    <row r="544">
      <c r="A544" s="334" t="n"/>
      <c r="B544" s="334" t="n"/>
      <c r="C544" s="334" t="n"/>
      <c r="D544" s="334" t="n"/>
      <c r="E544" s="334" t="n"/>
      <c r="F544" s="334" t="n"/>
      <c r="G544" s="334" t="n"/>
      <c r="H544" s="334" t="n"/>
      <c r="I544" s="334" t="n"/>
      <c r="J544" s="334" t="n"/>
      <c r="K544" s="334" t="n"/>
      <c r="L544" s="334" t="n"/>
      <c r="M544" s="334" t="n"/>
      <c r="N544" s="339" t="n"/>
      <c r="O544" s="368" t="n"/>
      <c r="P544" s="334" t="n"/>
    </row>
    <row r="545">
      <c r="A545" s="334" t="n"/>
      <c r="B545" s="334" t="n"/>
      <c r="C545" s="334" t="n"/>
      <c r="D545" s="334" t="n"/>
      <c r="E545" s="334" t="n"/>
      <c r="F545" s="334" t="n"/>
      <c r="G545" s="334" t="n"/>
      <c r="H545" s="334" t="n"/>
      <c r="I545" s="334" t="n"/>
      <c r="J545" s="334" t="n"/>
      <c r="K545" s="334" t="n"/>
      <c r="L545" s="334" t="n"/>
      <c r="M545" s="334" t="n"/>
      <c r="N545" s="339" t="n"/>
      <c r="O545" s="368" t="n"/>
      <c r="P545" s="334" t="n"/>
    </row>
    <row r="546">
      <c r="A546" s="334" t="n"/>
      <c r="B546" s="334" t="n"/>
      <c r="C546" s="334" t="n"/>
      <c r="D546" s="334" t="n"/>
      <c r="E546" s="334" t="n"/>
      <c r="F546" s="334" t="n"/>
      <c r="G546" s="334" t="n"/>
      <c r="H546" s="334" t="n"/>
      <c r="I546" s="334" t="n"/>
      <c r="J546" s="334" t="n"/>
      <c r="K546" s="334" t="n"/>
      <c r="L546" s="334" t="n"/>
      <c r="M546" s="334" t="n"/>
      <c r="N546" s="339" t="n"/>
      <c r="O546" s="368" t="n"/>
      <c r="P546" s="334" t="n"/>
    </row>
    <row r="547">
      <c r="A547" s="334" t="n"/>
      <c r="B547" s="334" t="n"/>
      <c r="C547" s="334" t="n"/>
      <c r="D547" s="334" t="n"/>
      <c r="E547" s="334" t="n"/>
      <c r="F547" s="334" t="n"/>
      <c r="G547" s="334" t="n"/>
      <c r="H547" s="334" t="n"/>
      <c r="I547" s="334" t="n"/>
      <c r="J547" s="334" t="n"/>
      <c r="K547" s="334" t="n"/>
      <c r="L547" s="334" t="n"/>
      <c r="M547" s="334" t="n"/>
      <c r="N547" s="339" t="n"/>
      <c r="O547" s="368" t="n"/>
      <c r="P547" s="334" t="n"/>
    </row>
    <row r="548">
      <c r="A548" s="334" t="n"/>
      <c r="B548" s="334" t="n"/>
      <c r="C548" s="334" t="n"/>
      <c r="D548" s="334" t="n"/>
      <c r="E548" s="334" t="n"/>
      <c r="F548" s="334" t="n"/>
      <c r="G548" s="334" t="n"/>
      <c r="H548" s="334" t="n"/>
      <c r="I548" s="334" t="n"/>
      <c r="J548" s="334" t="n"/>
      <c r="K548" s="334" t="n"/>
      <c r="L548" s="334" t="n"/>
      <c r="M548" s="334" t="n"/>
      <c r="N548" s="339" t="n"/>
      <c r="O548" s="368" t="n"/>
      <c r="P548" s="334" t="n"/>
    </row>
    <row r="549">
      <c r="A549" s="334" t="n"/>
      <c r="B549" s="334" t="n"/>
      <c r="C549" s="334" t="n"/>
      <c r="D549" s="334" t="n"/>
      <c r="E549" s="334" t="n"/>
      <c r="F549" s="334" t="n"/>
      <c r="G549" s="334" t="n"/>
      <c r="H549" s="334" t="n"/>
      <c r="I549" s="334" t="n"/>
      <c r="J549" s="334" t="n"/>
      <c r="K549" s="334" t="n"/>
      <c r="L549" s="334" t="n"/>
      <c r="M549" s="334" t="n"/>
      <c r="N549" s="339" t="n"/>
      <c r="O549" s="368" t="n"/>
      <c r="P549" s="334" t="n"/>
    </row>
    <row r="550">
      <c r="A550" s="334" t="n"/>
      <c r="B550" s="334" t="n"/>
      <c r="C550" s="334" t="n"/>
      <c r="D550" s="334" t="n"/>
      <c r="E550" s="334" t="n"/>
      <c r="F550" s="334" t="n"/>
      <c r="G550" s="334" t="n"/>
      <c r="H550" s="334" t="n"/>
      <c r="I550" s="334" t="n"/>
      <c r="J550" s="334" t="n"/>
      <c r="K550" s="334" t="n"/>
      <c r="L550" s="334" t="n"/>
      <c r="M550" s="334" t="n"/>
      <c r="N550" s="339" t="n"/>
      <c r="O550" s="368" t="n"/>
      <c r="P550" s="334" t="n"/>
    </row>
    <row r="551">
      <c r="A551" s="334" t="n"/>
      <c r="B551" s="334" t="n"/>
      <c r="C551" s="334" t="n"/>
      <c r="D551" s="334" t="n"/>
      <c r="E551" s="334" t="n"/>
      <c r="F551" s="334" t="n"/>
      <c r="G551" s="334" t="n"/>
      <c r="H551" s="334" t="n"/>
      <c r="I551" s="334" t="n"/>
      <c r="J551" s="334" t="n"/>
      <c r="K551" s="334" t="n"/>
      <c r="L551" s="334" t="n"/>
      <c r="M551" s="334" t="n"/>
      <c r="N551" s="339" t="n"/>
      <c r="O551" s="368" t="n"/>
      <c r="P551" s="334" t="n"/>
    </row>
    <row r="552">
      <c r="A552" s="334" t="n"/>
      <c r="B552" s="334" t="n"/>
      <c r="C552" s="334" t="n"/>
      <c r="D552" s="334" t="n"/>
      <c r="E552" s="334" t="n"/>
      <c r="F552" s="334" t="n"/>
      <c r="G552" s="334" t="n"/>
      <c r="H552" s="334" t="n"/>
      <c r="I552" s="334" t="n"/>
      <c r="J552" s="334" t="n"/>
      <c r="K552" s="334" t="n"/>
      <c r="L552" s="334" t="n"/>
      <c r="M552" s="334" t="n"/>
      <c r="N552" s="339" t="n"/>
      <c r="O552" s="368" t="n"/>
      <c r="P552" s="334" t="n"/>
    </row>
    <row r="553">
      <c r="A553" s="334" t="n"/>
      <c r="B553" s="334" t="n"/>
      <c r="C553" s="334" t="n"/>
      <c r="D553" s="334" t="n"/>
      <c r="E553" s="334" t="n"/>
      <c r="F553" s="334" t="n"/>
      <c r="G553" s="334" t="n"/>
      <c r="H553" s="334" t="n"/>
      <c r="I553" s="334" t="n"/>
      <c r="J553" s="334" t="n"/>
      <c r="K553" s="334" t="n"/>
      <c r="L553" s="334" t="n"/>
      <c r="M553" s="334" t="n"/>
      <c r="N553" s="339" t="n"/>
      <c r="O553" s="368" t="n"/>
      <c r="P553" s="334" t="n"/>
    </row>
    <row r="554">
      <c r="A554" s="334" t="n"/>
      <c r="B554" s="334" t="n"/>
      <c r="C554" s="334" t="n"/>
      <c r="D554" s="334" t="n"/>
      <c r="E554" s="334" t="n"/>
      <c r="F554" s="334" t="n"/>
      <c r="G554" s="334" t="n"/>
      <c r="H554" s="334" t="n"/>
      <c r="I554" s="334" t="n"/>
      <c r="J554" s="334" t="n"/>
      <c r="K554" s="334" t="n"/>
      <c r="L554" s="334" t="n"/>
      <c r="M554" s="334" t="n"/>
      <c r="N554" s="339" t="n"/>
      <c r="O554" s="368" t="n"/>
      <c r="P554" s="334" t="n"/>
    </row>
    <row r="555">
      <c r="A555" s="334" t="n"/>
      <c r="B555" s="334" t="n"/>
      <c r="C555" s="334" t="n"/>
      <c r="D555" s="334" t="n"/>
      <c r="E555" s="334" t="n"/>
      <c r="F555" s="334" t="n"/>
      <c r="G555" s="334" t="n"/>
      <c r="H555" s="334" t="n"/>
      <c r="I555" s="334" t="n"/>
      <c r="J555" s="334" t="n"/>
      <c r="K555" s="334" t="n"/>
      <c r="L555" s="334" t="n"/>
      <c r="M555" s="334" t="n"/>
      <c r="N555" s="339" t="n"/>
      <c r="O555" s="368" t="n"/>
      <c r="P555" s="334" t="n"/>
    </row>
    <row r="556">
      <c r="A556" s="334" t="n"/>
      <c r="B556" s="334" t="n"/>
      <c r="C556" s="334" t="n"/>
      <c r="D556" s="334" t="n"/>
      <c r="E556" s="334" t="n"/>
      <c r="F556" s="334" t="n"/>
      <c r="G556" s="334" t="n"/>
      <c r="H556" s="334" t="n"/>
      <c r="I556" s="334" t="n"/>
      <c r="J556" s="334" t="n"/>
      <c r="K556" s="334" t="n"/>
      <c r="L556" s="334" t="n"/>
      <c r="M556" s="334" t="n"/>
      <c r="N556" s="339" t="n"/>
      <c r="O556" s="368" t="n"/>
      <c r="P556" s="334" t="n"/>
    </row>
    <row r="557">
      <c r="A557" s="334" t="n"/>
      <c r="B557" s="334" t="n"/>
      <c r="C557" s="334" t="n"/>
      <c r="D557" s="334" t="n"/>
      <c r="E557" s="334" t="n"/>
      <c r="F557" s="334" t="n"/>
      <c r="G557" s="334" t="n"/>
      <c r="H557" s="334" t="n"/>
      <c r="I557" s="334" t="n"/>
      <c r="J557" s="334" t="n"/>
      <c r="K557" s="334" t="n"/>
      <c r="L557" s="334" t="n"/>
      <c r="M557" s="334" t="n"/>
      <c r="N557" s="339" t="n"/>
      <c r="O557" s="368" t="n"/>
      <c r="P557" s="334" t="n"/>
    </row>
    <row r="558">
      <c r="A558" s="334" t="n"/>
      <c r="B558" s="334" t="n"/>
      <c r="C558" s="334" t="n"/>
      <c r="D558" s="334" t="n"/>
      <c r="E558" s="334" t="n"/>
      <c r="F558" s="334" t="n"/>
      <c r="G558" s="334" t="n"/>
      <c r="H558" s="334" t="n"/>
      <c r="I558" s="334" t="n"/>
      <c r="J558" s="334" t="n"/>
      <c r="K558" s="334" t="n"/>
      <c r="L558" s="334" t="n"/>
      <c r="M558" s="334" t="n"/>
      <c r="N558" s="339" t="n"/>
      <c r="O558" s="368" t="n"/>
      <c r="P558" s="334" t="n"/>
    </row>
    <row r="559">
      <c r="A559" s="334" t="n"/>
      <c r="B559" s="334" t="n"/>
      <c r="C559" s="334" t="n"/>
      <c r="D559" s="334" t="n"/>
      <c r="E559" s="334" t="n"/>
      <c r="F559" s="334" t="n"/>
      <c r="G559" s="334" t="n"/>
      <c r="H559" s="334" t="n"/>
      <c r="I559" s="334" t="n"/>
      <c r="J559" s="334" t="n"/>
      <c r="K559" s="334" t="n"/>
      <c r="L559" s="334" t="n"/>
      <c r="M559" s="334" t="n"/>
      <c r="N559" s="339" t="n"/>
      <c r="O559" s="368" t="n"/>
      <c r="P559" s="334" t="n"/>
    </row>
    <row r="560">
      <c r="A560" s="334" t="n"/>
      <c r="B560" s="334" t="n"/>
      <c r="C560" s="334" t="n"/>
      <c r="D560" s="334" t="n"/>
      <c r="E560" s="334" t="n"/>
      <c r="F560" s="334" t="n"/>
      <c r="G560" s="334" t="n"/>
      <c r="H560" s="334" t="n"/>
      <c r="I560" s="334" t="n"/>
      <c r="J560" s="334" t="n"/>
      <c r="K560" s="334" t="n"/>
      <c r="L560" s="334" t="n"/>
      <c r="M560" s="334" t="n"/>
      <c r="N560" s="339" t="n"/>
      <c r="O560" s="368" t="n"/>
      <c r="P560" s="334" t="n"/>
    </row>
    <row r="561">
      <c r="A561" s="334" t="n"/>
      <c r="B561" s="334" t="n"/>
      <c r="C561" s="334" t="n"/>
      <c r="D561" s="334" t="n"/>
      <c r="E561" s="334" t="n"/>
      <c r="F561" s="334" t="n"/>
      <c r="G561" s="334" t="n"/>
      <c r="H561" s="334" t="n"/>
      <c r="I561" s="334" t="n"/>
      <c r="J561" s="334" t="n"/>
      <c r="K561" s="334" t="n"/>
      <c r="L561" s="334" t="n"/>
      <c r="M561" s="334" t="n"/>
      <c r="N561" s="339" t="n"/>
      <c r="O561" s="368" t="n"/>
      <c r="P561" s="334" t="n"/>
    </row>
    <row r="562">
      <c r="A562" s="334" t="n"/>
      <c r="B562" s="334" t="n"/>
      <c r="C562" s="334" t="n"/>
      <c r="D562" s="334" t="n"/>
      <c r="E562" s="334" t="n"/>
      <c r="F562" s="334" t="n"/>
      <c r="G562" s="334" t="n"/>
      <c r="H562" s="334" t="n"/>
      <c r="I562" s="334" t="n"/>
      <c r="J562" s="334" t="n"/>
      <c r="K562" s="334" t="n"/>
      <c r="L562" s="334" t="n"/>
      <c r="M562" s="334" t="n"/>
      <c r="N562" s="339" t="n"/>
      <c r="O562" s="368" t="n"/>
      <c r="P562" s="334" t="n"/>
    </row>
    <row r="563">
      <c r="A563" s="334" t="n"/>
      <c r="B563" s="334" t="n"/>
      <c r="C563" s="334" t="n"/>
      <c r="D563" s="334" t="n"/>
      <c r="E563" s="334" t="n"/>
      <c r="F563" s="334" t="n"/>
      <c r="G563" s="334" t="n"/>
      <c r="H563" s="334" t="n"/>
      <c r="I563" s="334" t="n"/>
      <c r="J563" s="334" t="n"/>
      <c r="K563" s="334" t="n"/>
      <c r="L563" s="334" t="n"/>
      <c r="M563" s="334" t="n"/>
      <c r="N563" s="339" t="n"/>
      <c r="O563" s="368" t="n"/>
      <c r="P563" s="334" t="n"/>
    </row>
    <row r="564">
      <c r="A564" s="334" t="n"/>
      <c r="B564" s="334" t="n"/>
      <c r="C564" s="334" t="n"/>
      <c r="D564" s="334" t="n"/>
      <c r="E564" s="334" t="n"/>
      <c r="F564" s="334" t="n"/>
      <c r="G564" s="334" t="n"/>
      <c r="H564" s="334" t="n"/>
      <c r="I564" s="334" t="n"/>
      <c r="J564" s="334" t="n"/>
      <c r="K564" s="334" t="n"/>
      <c r="L564" s="334" t="n"/>
      <c r="M564" s="334" t="n"/>
      <c r="N564" s="339" t="n"/>
      <c r="O564" s="368" t="n"/>
      <c r="P564" s="334" t="n"/>
    </row>
    <row r="565">
      <c r="A565" s="334" t="n"/>
      <c r="B565" s="334" t="n"/>
      <c r="C565" s="334" t="n"/>
      <c r="D565" s="334" t="n"/>
      <c r="E565" s="334" t="n"/>
      <c r="F565" s="334" t="n"/>
      <c r="G565" s="334" t="n"/>
      <c r="H565" s="334" t="n"/>
      <c r="I565" s="334" t="n"/>
      <c r="J565" s="334" t="n"/>
      <c r="K565" s="334" t="n"/>
      <c r="L565" s="334" t="n"/>
      <c r="M565" s="334" t="n"/>
      <c r="N565" s="339" t="n"/>
      <c r="O565" s="368" t="n"/>
      <c r="P565" s="334" t="n"/>
    </row>
    <row r="566">
      <c r="A566" s="334" t="n"/>
      <c r="B566" s="334" t="n"/>
      <c r="C566" s="334" t="n"/>
      <c r="D566" s="334" t="n"/>
      <c r="E566" s="334" t="n"/>
      <c r="F566" s="334" t="n"/>
      <c r="G566" s="334" t="n"/>
      <c r="H566" s="334" t="n"/>
      <c r="I566" s="334" t="n"/>
      <c r="J566" s="334" t="n"/>
      <c r="K566" s="334" t="n"/>
      <c r="L566" s="334" t="n"/>
      <c r="M566" s="334" t="n"/>
      <c r="N566" s="339" t="n"/>
      <c r="O566" s="368" t="n"/>
      <c r="P566" s="334" t="n"/>
    </row>
    <row r="567">
      <c r="A567" s="334" t="n"/>
      <c r="B567" s="334" t="n"/>
      <c r="C567" s="334" t="n"/>
      <c r="D567" s="334" t="n"/>
      <c r="E567" s="334" t="n"/>
      <c r="F567" s="334" t="n"/>
      <c r="G567" s="334" t="n"/>
      <c r="H567" s="334" t="n"/>
      <c r="I567" s="334" t="n"/>
      <c r="J567" s="334" t="n"/>
      <c r="K567" s="334" t="n"/>
      <c r="L567" s="334" t="n"/>
      <c r="M567" s="334" t="n"/>
      <c r="N567" s="339" t="n"/>
      <c r="O567" s="368" t="n"/>
      <c r="P567" s="334" t="n"/>
    </row>
    <row r="568">
      <c r="A568" s="334" t="n"/>
      <c r="B568" s="334" t="n"/>
      <c r="C568" s="334" t="n"/>
      <c r="D568" s="334" t="n"/>
      <c r="E568" s="334" t="n"/>
      <c r="F568" s="334" t="n"/>
      <c r="G568" s="334" t="n"/>
      <c r="H568" s="334" t="n"/>
      <c r="I568" s="334" t="n"/>
      <c r="J568" s="334" t="n"/>
      <c r="K568" s="334" t="n"/>
      <c r="L568" s="334" t="n"/>
      <c r="M568" s="334" t="n"/>
      <c r="N568" s="339" t="n"/>
      <c r="O568" s="368" t="n"/>
      <c r="P568" s="334" t="n"/>
    </row>
    <row r="569">
      <c r="A569" s="334" t="n"/>
      <c r="B569" s="334" t="n"/>
      <c r="C569" s="334" t="n"/>
      <c r="D569" s="334" t="n"/>
      <c r="E569" s="334" t="n"/>
      <c r="F569" s="334" t="n"/>
      <c r="G569" s="334" t="n"/>
      <c r="H569" s="334" t="n"/>
      <c r="I569" s="334" t="n"/>
      <c r="J569" s="334" t="n"/>
      <c r="K569" s="334" t="n"/>
      <c r="L569" s="334" t="n"/>
      <c r="M569" s="334" t="n"/>
      <c r="N569" s="339" t="n"/>
      <c r="O569" s="368" t="n"/>
      <c r="P569" s="334" t="n"/>
    </row>
    <row r="570">
      <c r="A570" s="334" t="n"/>
      <c r="B570" s="334" t="n"/>
      <c r="C570" s="334" t="n"/>
      <c r="D570" s="334" t="n"/>
      <c r="E570" s="334" t="n"/>
      <c r="F570" s="334" t="n"/>
      <c r="G570" s="334" t="n"/>
      <c r="H570" s="334" t="n"/>
      <c r="I570" s="334" t="n"/>
      <c r="J570" s="334" t="n"/>
      <c r="K570" s="334" t="n"/>
      <c r="L570" s="334" t="n"/>
      <c r="M570" s="334" t="n"/>
      <c r="N570" s="339" t="n"/>
      <c r="O570" s="368" t="n"/>
      <c r="P570" s="334" t="n"/>
    </row>
    <row r="571">
      <c r="A571" s="334" t="n"/>
      <c r="B571" s="334" t="n"/>
      <c r="C571" s="334" t="n"/>
      <c r="D571" s="334" t="n"/>
      <c r="E571" s="334" t="n"/>
      <c r="F571" s="334" t="n"/>
      <c r="G571" s="334" t="n"/>
      <c r="H571" s="334" t="n"/>
      <c r="I571" s="334" t="n"/>
      <c r="J571" s="334" t="n"/>
      <c r="K571" s="334" t="n"/>
      <c r="L571" s="334" t="n"/>
      <c r="M571" s="334" t="n"/>
      <c r="N571" s="339" t="n"/>
      <c r="O571" s="368" t="n"/>
      <c r="P571" s="334" t="n"/>
    </row>
    <row r="572">
      <c r="A572" s="334" t="n"/>
      <c r="B572" s="334" t="n"/>
      <c r="C572" s="334" t="n"/>
      <c r="D572" s="334" t="n"/>
      <c r="E572" s="334" t="n"/>
      <c r="F572" s="334" t="n"/>
      <c r="G572" s="334" t="n"/>
      <c r="H572" s="334" t="n"/>
      <c r="I572" s="334" t="n"/>
      <c r="J572" s="334" t="n"/>
      <c r="K572" s="334" t="n"/>
      <c r="L572" s="334" t="n"/>
      <c r="M572" s="334" t="n"/>
      <c r="N572" s="339" t="n"/>
      <c r="O572" s="368" t="n"/>
      <c r="P572" s="334" t="n"/>
    </row>
    <row r="573">
      <c r="A573" s="334" t="n"/>
      <c r="B573" s="334" t="n"/>
      <c r="C573" s="334" t="n"/>
      <c r="D573" s="334" t="n"/>
      <c r="E573" s="334" t="n"/>
      <c r="F573" s="334" t="n"/>
      <c r="G573" s="334" t="n"/>
      <c r="H573" s="334" t="n"/>
      <c r="I573" s="334" t="n"/>
      <c r="J573" s="334" t="n"/>
      <c r="K573" s="334" t="n"/>
      <c r="L573" s="334" t="n"/>
      <c r="M573" s="334" t="n"/>
      <c r="N573" s="339" t="n"/>
      <c r="O573" s="368" t="n"/>
      <c r="P573" s="334" t="n"/>
    </row>
    <row r="574">
      <c r="A574" s="334" t="n"/>
      <c r="B574" s="334" t="n"/>
      <c r="C574" s="334" t="n"/>
      <c r="D574" s="334" t="n"/>
      <c r="E574" s="334" t="n"/>
      <c r="F574" s="334" t="n"/>
      <c r="G574" s="334" t="n"/>
      <c r="H574" s="334" t="n"/>
      <c r="I574" s="334" t="n"/>
      <c r="J574" s="334" t="n"/>
      <c r="K574" s="334" t="n"/>
      <c r="L574" s="334" t="n"/>
      <c r="M574" s="334" t="n"/>
      <c r="N574" s="339" t="n"/>
      <c r="O574" s="368" t="n"/>
      <c r="P574" s="334" t="n"/>
    </row>
    <row r="575">
      <c r="A575" s="334" t="n"/>
      <c r="B575" s="334" t="n"/>
      <c r="C575" s="334" t="n"/>
      <c r="D575" s="334" t="n"/>
      <c r="E575" s="334" t="n"/>
      <c r="F575" s="334" t="n"/>
      <c r="G575" s="334" t="n"/>
      <c r="H575" s="334" t="n"/>
      <c r="I575" s="334" t="n"/>
      <c r="J575" s="334" t="n"/>
      <c r="K575" s="334" t="n"/>
      <c r="L575" s="334" t="n"/>
      <c r="M575" s="334" t="n"/>
      <c r="N575" s="339" t="n"/>
      <c r="O575" s="368" t="n"/>
      <c r="P575" s="334" t="n"/>
    </row>
    <row r="576">
      <c r="A576" s="334" t="n"/>
      <c r="B576" s="334" t="n"/>
      <c r="C576" s="334" t="n"/>
      <c r="D576" s="334" t="n"/>
      <c r="E576" s="334" t="n"/>
      <c r="F576" s="334" t="n"/>
      <c r="G576" s="334" t="n"/>
      <c r="H576" s="334" t="n"/>
      <c r="I576" s="334" t="n"/>
      <c r="J576" s="334" t="n"/>
      <c r="K576" s="334" t="n"/>
      <c r="L576" s="334" t="n"/>
      <c r="M576" s="334" t="n"/>
      <c r="N576" s="339" t="n"/>
      <c r="O576" s="368" t="n"/>
      <c r="P576" s="334" t="n"/>
    </row>
    <row r="577">
      <c r="A577" s="334" t="n"/>
      <c r="B577" s="334" t="n"/>
      <c r="C577" s="334" t="n"/>
      <c r="D577" s="334" t="n"/>
      <c r="E577" s="334" t="n"/>
      <c r="F577" s="334" t="n"/>
      <c r="G577" s="334" t="n"/>
      <c r="H577" s="334" t="n"/>
      <c r="I577" s="334" t="n"/>
      <c r="J577" s="334" t="n"/>
      <c r="K577" s="334" t="n"/>
      <c r="L577" s="334" t="n"/>
      <c r="M577" s="334" t="n"/>
      <c r="N577" s="339" t="n"/>
      <c r="O577" s="368" t="n"/>
      <c r="P577" s="334" t="n"/>
    </row>
    <row r="578">
      <c r="A578" s="334" t="n"/>
      <c r="B578" s="334" t="n"/>
      <c r="C578" s="334" t="n"/>
      <c r="D578" s="334" t="n"/>
      <c r="E578" s="334" t="n"/>
      <c r="F578" s="334" t="n"/>
      <c r="G578" s="334" t="n"/>
      <c r="H578" s="334" t="n"/>
      <c r="I578" s="334" t="n"/>
      <c r="J578" s="334" t="n"/>
      <c r="K578" s="334" t="n"/>
      <c r="L578" s="334" t="n"/>
      <c r="M578" s="334" t="n"/>
      <c r="N578" s="339" t="n"/>
      <c r="O578" s="368" t="n"/>
      <c r="P578" s="334" t="n"/>
    </row>
    <row r="579">
      <c r="A579" s="334" t="n"/>
      <c r="B579" s="334" t="n"/>
      <c r="C579" s="334" t="n"/>
      <c r="D579" s="334" t="n"/>
      <c r="E579" s="334" t="n"/>
      <c r="F579" s="334" t="n"/>
      <c r="G579" s="334" t="n"/>
      <c r="H579" s="334" t="n"/>
      <c r="I579" s="334" t="n"/>
      <c r="J579" s="334" t="n"/>
      <c r="K579" s="334" t="n"/>
      <c r="L579" s="334" t="n"/>
      <c r="M579" s="334" t="n"/>
      <c r="N579" s="339" t="n"/>
      <c r="O579" s="368" t="n"/>
      <c r="P579" s="334" t="n"/>
    </row>
    <row r="580">
      <c r="A580" s="334" t="n"/>
      <c r="B580" s="334" t="n"/>
      <c r="C580" s="334" t="n"/>
      <c r="D580" s="334" t="n"/>
      <c r="E580" s="334" t="n"/>
      <c r="F580" s="334" t="n"/>
      <c r="G580" s="334" t="n"/>
      <c r="H580" s="334" t="n"/>
      <c r="I580" s="334" t="n"/>
      <c r="J580" s="334" t="n"/>
      <c r="K580" s="334" t="n"/>
      <c r="L580" s="334" t="n"/>
      <c r="M580" s="334" t="n"/>
      <c r="N580" s="339" t="n"/>
      <c r="O580" s="368" t="n"/>
      <c r="P580" s="334" t="n"/>
    </row>
    <row r="581">
      <c r="A581" s="334" t="n"/>
      <c r="B581" s="334" t="n"/>
      <c r="C581" s="334" t="n"/>
      <c r="D581" s="334" t="n"/>
      <c r="E581" s="334" t="n"/>
      <c r="F581" s="334" t="n"/>
      <c r="G581" s="334" t="n"/>
      <c r="H581" s="334" t="n"/>
      <c r="I581" s="334" t="n"/>
      <c r="J581" s="334" t="n"/>
      <c r="K581" s="334" t="n"/>
      <c r="L581" s="334" t="n"/>
      <c r="M581" s="334" t="n"/>
      <c r="N581" s="339" t="n"/>
      <c r="O581" s="368" t="n"/>
      <c r="P581" s="334" t="n"/>
    </row>
    <row r="582">
      <c r="A582" s="334" t="n"/>
      <c r="B582" s="334" t="n"/>
      <c r="C582" s="334" t="n"/>
      <c r="D582" s="334" t="n"/>
      <c r="E582" s="334" t="n"/>
      <c r="F582" s="334" t="n"/>
      <c r="G582" s="334" t="n"/>
      <c r="H582" s="334" t="n"/>
      <c r="I582" s="334" t="n"/>
      <c r="J582" s="334" t="n"/>
      <c r="K582" s="334" t="n"/>
      <c r="L582" s="334" t="n"/>
      <c r="M582" s="334" t="n"/>
      <c r="N582" s="339" t="n"/>
      <c r="O582" s="368" t="n"/>
      <c r="P582" s="334" t="n"/>
    </row>
    <row r="583">
      <c r="A583" s="334" t="n"/>
      <c r="B583" s="334" t="n"/>
      <c r="C583" s="334" t="n"/>
      <c r="D583" s="334" t="n"/>
      <c r="E583" s="334" t="n"/>
      <c r="F583" s="334" t="n"/>
      <c r="G583" s="334" t="n"/>
      <c r="H583" s="334" t="n"/>
      <c r="I583" s="334" t="n"/>
      <c r="J583" s="334" t="n"/>
      <c r="K583" s="334" t="n"/>
      <c r="L583" s="334" t="n"/>
      <c r="M583" s="334" t="n"/>
      <c r="N583" s="339" t="n"/>
      <c r="O583" s="368" t="n"/>
      <c r="P583" s="334" t="n"/>
    </row>
    <row r="584">
      <c r="A584" s="334" t="n"/>
      <c r="B584" s="334" t="n"/>
      <c r="C584" s="334" t="n"/>
      <c r="D584" s="334" t="n"/>
      <c r="E584" s="334" t="n"/>
      <c r="F584" s="334" t="n"/>
      <c r="G584" s="334" t="n"/>
      <c r="H584" s="334" t="n"/>
      <c r="I584" s="334" t="n"/>
      <c r="J584" s="334" t="n"/>
      <c r="K584" s="334" t="n"/>
      <c r="L584" s="334" t="n"/>
      <c r="M584" s="334" t="n"/>
      <c r="N584" s="339" t="n"/>
      <c r="O584" s="368" t="n"/>
      <c r="P584" s="334" t="n"/>
    </row>
    <row r="585">
      <c r="A585" s="334" t="n"/>
      <c r="B585" s="334" t="n"/>
      <c r="C585" s="334" t="n"/>
      <c r="D585" s="334" t="n"/>
      <c r="E585" s="334" t="n"/>
      <c r="F585" s="334" t="n"/>
      <c r="G585" s="334" t="n"/>
      <c r="H585" s="334" t="n"/>
      <c r="I585" s="334" t="n"/>
      <c r="J585" s="334" t="n"/>
      <c r="K585" s="334" t="n"/>
      <c r="L585" s="334" t="n"/>
      <c r="M585" s="334" t="n"/>
      <c r="N585" s="339" t="n"/>
      <c r="O585" s="368" t="n"/>
      <c r="P585" s="334" t="n"/>
    </row>
    <row r="586">
      <c r="A586" s="334" t="n"/>
      <c r="B586" s="334" t="n"/>
      <c r="C586" s="334" t="n"/>
      <c r="D586" s="334" t="n"/>
      <c r="E586" s="334" t="n"/>
      <c r="F586" s="334" t="n"/>
      <c r="G586" s="334" t="n"/>
      <c r="H586" s="334" t="n"/>
      <c r="I586" s="334" t="n"/>
      <c r="J586" s="334" t="n"/>
      <c r="K586" s="334" t="n"/>
      <c r="L586" s="334" t="n"/>
      <c r="M586" s="334" t="n"/>
      <c r="N586" s="339" t="n"/>
      <c r="O586" s="368" t="n"/>
      <c r="P586" s="334" t="n"/>
    </row>
    <row r="587">
      <c r="A587" s="334" t="n"/>
      <c r="B587" s="334" t="n"/>
      <c r="C587" s="334" t="n"/>
      <c r="D587" s="334" t="n"/>
      <c r="E587" s="334" t="n"/>
      <c r="F587" s="334" t="n"/>
      <c r="G587" s="334" t="n"/>
      <c r="H587" s="334" t="n"/>
      <c r="I587" s="334" t="n"/>
      <c r="J587" s="334" t="n"/>
      <c r="K587" s="334" t="n"/>
      <c r="L587" s="334" t="n"/>
      <c r="M587" s="334" t="n"/>
      <c r="N587" s="339" t="n"/>
      <c r="O587" s="368" t="n"/>
      <c r="P587" s="334" t="n"/>
    </row>
    <row r="588">
      <c r="A588" s="334" t="n"/>
      <c r="B588" s="334" t="n"/>
      <c r="C588" s="334" t="n"/>
      <c r="D588" s="334" t="n"/>
      <c r="E588" s="334" t="n"/>
      <c r="F588" s="334" t="n"/>
      <c r="G588" s="334" t="n"/>
      <c r="H588" s="334" t="n"/>
      <c r="I588" s="334" t="n"/>
      <c r="J588" s="334" t="n"/>
      <c r="K588" s="334" t="n"/>
      <c r="L588" s="334" t="n"/>
      <c r="M588" s="334" t="n"/>
      <c r="N588" s="339" t="n"/>
      <c r="O588" s="368" t="n"/>
      <c r="P588" s="334" t="n"/>
    </row>
    <row r="589">
      <c r="A589" s="334" t="n"/>
      <c r="B589" s="334" t="n"/>
      <c r="C589" s="334" t="n"/>
      <c r="D589" s="334" t="n"/>
      <c r="E589" s="334" t="n"/>
      <c r="F589" s="334" t="n"/>
      <c r="G589" s="334" t="n"/>
      <c r="H589" s="334" t="n"/>
      <c r="I589" s="334" t="n"/>
      <c r="J589" s="334" t="n"/>
      <c r="K589" s="334" t="n"/>
      <c r="L589" s="334" t="n"/>
      <c r="M589" s="334" t="n"/>
      <c r="N589" s="339" t="n"/>
      <c r="O589" s="368" t="n"/>
      <c r="P589" s="334" t="n"/>
    </row>
    <row r="590">
      <c r="A590" s="334" t="n"/>
      <c r="B590" s="334" t="n"/>
      <c r="C590" s="334" t="n"/>
      <c r="D590" s="334" t="n"/>
      <c r="E590" s="334" t="n"/>
      <c r="F590" s="334" t="n"/>
      <c r="G590" s="334" t="n"/>
      <c r="H590" s="334" t="n"/>
      <c r="I590" s="334" t="n"/>
      <c r="J590" s="334" t="n"/>
      <c r="K590" s="334" t="n"/>
      <c r="L590" s="334" t="n"/>
      <c r="M590" s="334" t="n"/>
      <c r="N590" s="339" t="n"/>
      <c r="O590" s="368" t="n"/>
      <c r="P590" s="334" t="n"/>
    </row>
    <row r="591">
      <c r="A591" s="334" t="n"/>
      <c r="B591" s="334" t="n"/>
      <c r="C591" s="334" t="n"/>
      <c r="D591" s="334" t="n"/>
      <c r="E591" s="334" t="n"/>
      <c r="F591" s="334" t="n"/>
      <c r="G591" s="334" t="n"/>
      <c r="H591" s="334" t="n"/>
      <c r="I591" s="334" t="n"/>
      <c r="J591" s="334" t="n"/>
      <c r="K591" s="334" t="n"/>
      <c r="L591" s="334" t="n"/>
      <c r="M591" s="334" t="n"/>
      <c r="N591" s="339" t="n"/>
      <c r="O591" s="368" t="n"/>
      <c r="P591" s="334" t="n"/>
    </row>
    <row r="592">
      <c r="A592" s="334" t="n"/>
      <c r="B592" s="334" t="n"/>
      <c r="C592" s="334" t="n"/>
      <c r="D592" s="334" t="n"/>
      <c r="E592" s="334" t="n"/>
      <c r="F592" s="334" t="n"/>
      <c r="G592" s="334" t="n"/>
      <c r="H592" s="334" t="n"/>
      <c r="I592" s="334" t="n"/>
      <c r="J592" s="334" t="n"/>
      <c r="K592" s="334" t="n"/>
      <c r="L592" s="334" t="n"/>
      <c r="M592" s="334" t="n"/>
      <c r="N592" s="339" t="n"/>
      <c r="O592" s="368" t="n"/>
      <c r="P592" s="334" t="n"/>
    </row>
    <row r="593">
      <c r="A593" s="334" t="n"/>
      <c r="B593" s="334" t="n"/>
      <c r="C593" s="334" t="n"/>
      <c r="D593" s="334" t="n"/>
      <c r="E593" s="334" t="n"/>
      <c r="F593" s="334" t="n"/>
      <c r="G593" s="334" t="n"/>
      <c r="H593" s="334" t="n"/>
      <c r="I593" s="334" t="n"/>
      <c r="J593" s="334" t="n"/>
      <c r="K593" s="334" t="n"/>
      <c r="L593" s="334" t="n"/>
      <c r="M593" s="334" t="n"/>
      <c r="N593" s="339" t="n"/>
      <c r="O593" s="368" t="n"/>
      <c r="P593" s="334" t="n"/>
    </row>
    <row r="594">
      <c r="A594" s="334" t="n"/>
      <c r="B594" s="334" t="n"/>
      <c r="C594" s="334" t="n"/>
      <c r="D594" s="334" t="n"/>
      <c r="E594" s="334" t="n"/>
      <c r="F594" s="334" t="n"/>
      <c r="G594" s="334" t="n"/>
      <c r="H594" s="334" t="n"/>
      <c r="I594" s="334" t="n"/>
      <c r="J594" s="334" t="n"/>
      <c r="K594" s="334" t="n"/>
      <c r="L594" s="334" t="n"/>
      <c r="M594" s="334" t="n"/>
      <c r="N594" s="339" t="n"/>
      <c r="O594" s="368" t="n"/>
      <c r="P594" s="334" t="n"/>
    </row>
    <row r="595">
      <c r="A595" s="334" t="n"/>
      <c r="B595" s="334" t="n"/>
      <c r="C595" s="334" t="n"/>
      <c r="D595" s="334" t="n"/>
      <c r="E595" s="334" t="n"/>
      <c r="F595" s="334" t="n"/>
      <c r="G595" s="334" t="n"/>
      <c r="H595" s="334" t="n"/>
      <c r="I595" s="334" t="n"/>
      <c r="J595" s="334" t="n"/>
      <c r="K595" s="334" t="n"/>
      <c r="L595" s="334" t="n"/>
      <c r="M595" s="334" t="n"/>
      <c r="N595" s="339" t="n"/>
      <c r="O595" s="368" t="n"/>
      <c r="P595" s="334" t="n"/>
    </row>
    <row r="596">
      <c r="A596" s="334" t="n"/>
      <c r="B596" s="334" t="n"/>
      <c r="C596" s="334" t="n"/>
      <c r="D596" s="334" t="n"/>
      <c r="E596" s="334" t="n"/>
      <c r="F596" s="334" t="n"/>
      <c r="G596" s="334" t="n"/>
      <c r="H596" s="334" t="n"/>
      <c r="I596" s="334" t="n"/>
      <c r="J596" s="334" t="n"/>
      <c r="K596" s="334" t="n"/>
      <c r="L596" s="334" t="n"/>
      <c r="M596" s="334" t="n"/>
      <c r="N596" s="339" t="n"/>
      <c r="O596" s="368" t="n"/>
      <c r="P596" s="334" t="n"/>
    </row>
    <row r="597">
      <c r="A597" s="334" t="n"/>
      <c r="B597" s="334" t="n"/>
      <c r="C597" s="334" t="n"/>
      <c r="D597" s="334" t="n"/>
      <c r="E597" s="334" t="n"/>
      <c r="F597" s="334" t="n"/>
      <c r="G597" s="334" t="n"/>
      <c r="H597" s="334" t="n"/>
      <c r="I597" s="334" t="n"/>
      <c r="J597" s="334" t="n"/>
      <c r="K597" s="334" t="n"/>
      <c r="L597" s="334" t="n"/>
      <c r="M597" s="334" t="n"/>
      <c r="N597" s="339" t="n"/>
      <c r="O597" s="368" t="n"/>
      <c r="P597" s="334" t="n"/>
    </row>
    <row r="598">
      <c r="A598" s="334" t="n"/>
      <c r="B598" s="334" t="n"/>
      <c r="C598" s="334" t="n"/>
      <c r="D598" s="334" t="n"/>
      <c r="E598" s="334" t="n"/>
      <c r="F598" s="334" t="n"/>
      <c r="G598" s="334" t="n"/>
      <c r="H598" s="334" t="n"/>
      <c r="I598" s="334" t="n"/>
      <c r="J598" s="334" t="n"/>
      <c r="K598" s="334" t="n"/>
      <c r="L598" s="334" t="n"/>
      <c r="M598" s="334" t="n"/>
      <c r="N598" s="339" t="n"/>
      <c r="O598" s="368" t="n"/>
      <c r="P598" s="334" t="n"/>
    </row>
    <row r="599">
      <c r="A599" s="334" t="n"/>
      <c r="B599" s="334" t="n"/>
      <c r="C599" s="334" t="n"/>
      <c r="D599" s="334" t="n"/>
      <c r="E599" s="334" t="n"/>
      <c r="F599" s="334" t="n"/>
      <c r="G599" s="334" t="n"/>
      <c r="H599" s="334" t="n"/>
      <c r="I599" s="334" t="n"/>
      <c r="J599" s="334" t="n"/>
      <c r="K599" s="334" t="n"/>
      <c r="L599" s="334" t="n"/>
      <c r="M599" s="334" t="n"/>
      <c r="N599" s="339" t="n"/>
      <c r="O599" s="368" t="n"/>
      <c r="P599" s="334" t="n"/>
    </row>
    <row r="600">
      <c r="A600" s="334" t="n"/>
      <c r="B600" s="334" t="n"/>
      <c r="C600" s="334" t="n"/>
      <c r="D600" s="334" t="n"/>
      <c r="E600" s="334" t="n"/>
      <c r="F600" s="334" t="n"/>
      <c r="G600" s="334" t="n"/>
      <c r="H600" s="334" t="n"/>
      <c r="I600" s="334" t="n"/>
      <c r="J600" s="334" t="n"/>
      <c r="K600" s="334" t="n"/>
      <c r="L600" s="334" t="n"/>
      <c r="M600" s="334" t="n"/>
      <c r="N600" s="339" t="n"/>
      <c r="O600" s="368" t="n"/>
      <c r="P600" s="334" t="n"/>
    </row>
    <row r="601">
      <c r="A601" s="334" t="n"/>
      <c r="B601" s="334" t="n"/>
      <c r="C601" s="334" t="n"/>
      <c r="D601" s="334" t="n"/>
      <c r="E601" s="334" t="n"/>
      <c r="F601" s="334" t="n"/>
      <c r="G601" s="334" t="n"/>
      <c r="H601" s="334" t="n"/>
      <c r="I601" s="334" t="n"/>
      <c r="J601" s="334" t="n"/>
      <c r="K601" s="334" t="n"/>
      <c r="L601" s="334" t="n"/>
      <c r="M601" s="334" t="n"/>
      <c r="N601" s="339" t="n"/>
      <c r="O601" s="368" t="n"/>
      <c r="P601" s="334" t="n"/>
    </row>
    <row r="602">
      <c r="A602" s="334" t="n"/>
      <c r="B602" s="334" t="n"/>
      <c r="C602" s="334" t="n"/>
      <c r="D602" s="334" t="n"/>
      <c r="E602" s="334" t="n"/>
      <c r="F602" s="334" t="n"/>
      <c r="G602" s="334" t="n"/>
      <c r="H602" s="334" t="n"/>
      <c r="I602" s="334" t="n"/>
      <c r="J602" s="334" t="n"/>
      <c r="K602" s="334" t="n"/>
      <c r="L602" s="334" t="n"/>
      <c r="M602" s="334" t="n"/>
      <c r="N602" s="339" t="n"/>
      <c r="O602" s="368" t="n"/>
      <c r="P602" s="334" t="n"/>
    </row>
    <row r="603">
      <c r="A603" s="334" t="n"/>
      <c r="B603" s="334" t="n"/>
      <c r="C603" s="334" t="n"/>
      <c r="D603" s="334" t="n"/>
      <c r="E603" s="334" t="n"/>
      <c r="F603" s="334" t="n"/>
      <c r="G603" s="334" t="n"/>
      <c r="H603" s="334" t="n"/>
      <c r="I603" s="334" t="n"/>
      <c r="J603" s="334" t="n"/>
      <c r="K603" s="334" t="n"/>
      <c r="L603" s="334" t="n"/>
      <c r="M603" s="334" t="n"/>
      <c r="N603" s="339" t="n"/>
      <c r="O603" s="368" t="n"/>
      <c r="P603" s="334" t="n"/>
    </row>
    <row r="604">
      <c r="A604" s="334" t="n"/>
      <c r="B604" s="334" t="n"/>
      <c r="C604" s="334" t="n"/>
      <c r="D604" s="334" t="n"/>
      <c r="E604" s="334" t="n"/>
      <c r="F604" s="334" t="n"/>
      <c r="G604" s="334" t="n"/>
      <c r="H604" s="334" t="n"/>
      <c r="I604" s="334" t="n"/>
      <c r="J604" s="334" t="n"/>
      <c r="K604" s="334" t="n"/>
      <c r="L604" s="334" t="n"/>
      <c r="M604" s="334" t="n"/>
      <c r="N604" s="339" t="n"/>
      <c r="O604" s="368" t="n"/>
      <c r="P604" s="334" t="n"/>
    </row>
    <row r="605">
      <c r="A605" s="334" t="n"/>
      <c r="B605" s="334" t="n"/>
      <c r="C605" s="334" t="n"/>
      <c r="D605" s="334" t="n"/>
      <c r="E605" s="334" t="n"/>
      <c r="F605" s="334" t="n"/>
      <c r="G605" s="334" t="n"/>
      <c r="H605" s="334" t="n"/>
      <c r="I605" s="334" t="n"/>
      <c r="J605" s="334" t="n"/>
      <c r="K605" s="334" t="n"/>
      <c r="L605" s="334" t="n"/>
      <c r="M605" s="334" t="n"/>
      <c r="N605" s="339" t="n"/>
      <c r="O605" s="368" t="n"/>
      <c r="P605" s="334" t="n"/>
    </row>
    <row r="606">
      <c r="A606" s="334" t="n"/>
      <c r="B606" s="334" t="n"/>
      <c r="C606" s="334" t="n"/>
      <c r="D606" s="334" t="n"/>
      <c r="E606" s="334" t="n"/>
      <c r="F606" s="334" t="n"/>
      <c r="G606" s="334" t="n"/>
      <c r="H606" s="334" t="n"/>
      <c r="I606" s="334" t="n"/>
      <c r="J606" s="334" t="n"/>
      <c r="K606" s="334" t="n"/>
      <c r="L606" s="334" t="n"/>
      <c r="M606" s="334" t="n"/>
      <c r="N606" s="339" t="n"/>
      <c r="O606" s="368" t="n"/>
      <c r="P606" s="334" t="n"/>
    </row>
    <row r="607">
      <c r="A607" s="334" t="n"/>
      <c r="B607" s="334" t="n"/>
      <c r="C607" s="334" t="n"/>
      <c r="D607" s="334" t="n"/>
      <c r="E607" s="334" t="n"/>
      <c r="F607" s="334" t="n"/>
      <c r="G607" s="334" t="n"/>
      <c r="H607" s="334" t="n"/>
      <c r="I607" s="334" t="n"/>
      <c r="J607" s="334" t="n"/>
      <c r="K607" s="334" t="n"/>
      <c r="L607" s="334" t="n"/>
      <c r="M607" s="334" t="n"/>
      <c r="N607" s="339" t="n"/>
      <c r="O607" s="368" t="n"/>
      <c r="P607" s="334" t="n"/>
    </row>
    <row r="608">
      <c r="A608" s="334" t="n"/>
      <c r="B608" s="334" t="n"/>
      <c r="C608" s="334" t="n"/>
      <c r="D608" s="334" t="n"/>
      <c r="E608" s="334" t="n"/>
      <c r="F608" s="334" t="n"/>
      <c r="G608" s="334" t="n"/>
      <c r="H608" s="334" t="n"/>
      <c r="I608" s="334" t="n"/>
      <c r="J608" s="334" t="n"/>
      <c r="K608" s="334" t="n"/>
      <c r="L608" s="334" t="n"/>
      <c r="M608" s="334" t="n"/>
      <c r="N608" s="339" t="n"/>
      <c r="O608" s="368" t="n"/>
      <c r="P608" s="334" t="n"/>
    </row>
    <row r="609">
      <c r="A609" s="334" t="n"/>
      <c r="B609" s="334" t="n"/>
      <c r="C609" s="334" t="n"/>
      <c r="D609" s="334" t="n"/>
      <c r="E609" s="334" t="n"/>
      <c r="F609" s="334" t="n"/>
      <c r="G609" s="334" t="n"/>
      <c r="H609" s="334" t="n"/>
      <c r="I609" s="334" t="n"/>
      <c r="J609" s="334" t="n"/>
      <c r="K609" s="334" t="n"/>
      <c r="L609" s="334" t="n"/>
      <c r="M609" s="334" t="n"/>
      <c r="N609" s="339" t="n"/>
      <c r="O609" s="368" t="n"/>
      <c r="P609" s="334" t="n"/>
    </row>
    <row r="610">
      <c r="A610" s="334" t="n"/>
      <c r="B610" s="334" t="n"/>
      <c r="C610" s="334" t="n"/>
      <c r="D610" s="334" t="n"/>
      <c r="E610" s="334" t="n"/>
      <c r="F610" s="334" t="n"/>
      <c r="G610" s="334" t="n"/>
      <c r="H610" s="334" t="n"/>
      <c r="I610" s="334" t="n"/>
      <c r="J610" s="334" t="n"/>
      <c r="K610" s="334" t="n"/>
      <c r="L610" s="334" t="n"/>
      <c r="M610" s="334" t="n"/>
      <c r="N610" s="339" t="n"/>
      <c r="O610" s="368" t="n"/>
      <c r="P610" s="334" t="n"/>
    </row>
    <row r="611">
      <c r="A611" s="334" t="n"/>
      <c r="B611" s="334" t="n"/>
      <c r="C611" s="334" t="n"/>
      <c r="D611" s="334" t="n"/>
      <c r="E611" s="334" t="n"/>
      <c r="F611" s="334" t="n"/>
      <c r="G611" s="334" t="n"/>
      <c r="H611" s="334" t="n"/>
      <c r="I611" s="334" t="n"/>
      <c r="J611" s="334" t="n"/>
      <c r="K611" s="334" t="n"/>
      <c r="L611" s="334" t="n"/>
      <c r="M611" s="334" t="n"/>
      <c r="N611" s="339" t="n"/>
      <c r="O611" s="368" t="n"/>
      <c r="P611" s="334" t="n"/>
    </row>
    <row r="612">
      <c r="A612" s="334" t="n"/>
      <c r="B612" s="334" t="n"/>
      <c r="C612" s="334" t="n"/>
      <c r="D612" s="334" t="n"/>
      <c r="E612" s="334" t="n"/>
      <c r="F612" s="334" t="n"/>
      <c r="G612" s="334" t="n"/>
      <c r="H612" s="334" t="n"/>
      <c r="I612" s="334" t="n"/>
      <c r="J612" s="334" t="n"/>
      <c r="K612" s="334" t="n"/>
      <c r="L612" s="334" t="n"/>
      <c r="M612" s="334" t="n"/>
      <c r="N612" s="339" t="n"/>
      <c r="O612" s="368" t="n"/>
      <c r="P612" s="334" t="n"/>
    </row>
    <row r="613">
      <c r="A613" s="334" t="n"/>
      <c r="B613" s="334" t="n"/>
      <c r="C613" s="334" t="n"/>
      <c r="D613" s="334" t="n"/>
      <c r="E613" s="334" t="n"/>
      <c r="F613" s="334" t="n"/>
      <c r="G613" s="334" t="n"/>
      <c r="H613" s="334" t="n"/>
      <c r="I613" s="334" t="n"/>
      <c r="J613" s="334" t="n"/>
      <c r="K613" s="334" t="n"/>
      <c r="L613" s="334" t="n"/>
      <c r="M613" s="334" t="n"/>
      <c r="N613" s="339" t="n"/>
      <c r="O613" s="368" t="n"/>
      <c r="P613" s="334" t="n"/>
    </row>
    <row r="614">
      <c r="A614" s="334" t="n"/>
      <c r="B614" s="334" t="n"/>
      <c r="C614" s="334" t="n"/>
      <c r="D614" s="334" t="n"/>
      <c r="E614" s="334" t="n"/>
      <c r="F614" s="334" t="n"/>
      <c r="G614" s="334" t="n"/>
      <c r="H614" s="334" t="n"/>
      <c r="I614" s="334" t="n"/>
      <c r="J614" s="334" t="n"/>
      <c r="K614" s="334" t="n"/>
      <c r="L614" s="334" t="n"/>
      <c r="M614" s="334" t="n"/>
      <c r="N614" s="339" t="n"/>
      <c r="O614" s="368" t="n"/>
      <c r="P614" s="334" t="n"/>
    </row>
    <row r="615">
      <c r="A615" s="334" t="n"/>
      <c r="B615" s="334" t="n"/>
      <c r="C615" s="334" t="n"/>
      <c r="D615" s="334" t="n"/>
      <c r="E615" s="334" t="n"/>
      <c r="F615" s="334" t="n"/>
      <c r="G615" s="334" t="n"/>
      <c r="H615" s="334" t="n"/>
      <c r="I615" s="334" t="n"/>
      <c r="J615" s="334" t="n"/>
      <c r="K615" s="334" t="n"/>
      <c r="L615" s="334" t="n"/>
      <c r="M615" s="334" t="n"/>
      <c r="N615" s="339" t="n"/>
      <c r="O615" s="368" t="n"/>
      <c r="P615" s="334" t="n"/>
    </row>
    <row r="616">
      <c r="A616" s="334" t="n"/>
      <c r="B616" s="334" t="n"/>
      <c r="C616" s="334" t="n"/>
      <c r="D616" s="334" t="n"/>
      <c r="E616" s="334" t="n"/>
      <c r="F616" s="334" t="n"/>
      <c r="G616" s="334" t="n"/>
      <c r="H616" s="334" t="n"/>
      <c r="I616" s="334" t="n"/>
      <c r="J616" s="334" t="n"/>
      <c r="K616" s="334" t="n"/>
      <c r="L616" s="334" t="n"/>
      <c r="M616" s="334" t="n"/>
      <c r="N616" s="339" t="n"/>
      <c r="O616" s="368" t="n"/>
      <c r="P616" s="334" t="n"/>
    </row>
    <row r="617">
      <c r="A617" s="334" t="n"/>
      <c r="B617" s="334" t="n"/>
      <c r="C617" s="334" t="n"/>
      <c r="D617" s="334" t="n"/>
      <c r="E617" s="334" t="n"/>
      <c r="F617" s="334" t="n"/>
      <c r="G617" s="334" t="n"/>
      <c r="H617" s="334" t="n"/>
      <c r="I617" s="334" t="n"/>
      <c r="J617" s="334" t="n"/>
      <c r="K617" s="334" t="n"/>
      <c r="L617" s="334" t="n"/>
      <c r="M617" s="334" t="n"/>
      <c r="N617" s="339" t="n"/>
      <c r="O617" s="368" t="n"/>
      <c r="P617" s="334" t="n"/>
    </row>
    <row r="618">
      <c r="A618" s="334" t="n"/>
      <c r="B618" s="334" t="n"/>
      <c r="C618" s="334" t="n"/>
      <c r="D618" s="334" t="n"/>
      <c r="E618" s="334" t="n"/>
      <c r="F618" s="334" t="n"/>
      <c r="G618" s="334" t="n"/>
      <c r="H618" s="334" t="n"/>
      <c r="I618" s="334" t="n"/>
      <c r="J618" s="334" t="n"/>
      <c r="K618" s="334" t="n"/>
      <c r="L618" s="334" t="n"/>
      <c r="M618" s="334" t="n"/>
      <c r="N618" s="339" t="n"/>
      <c r="O618" s="368" t="n"/>
      <c r="P618" s="334" t="n"/>
    </row>
    <row r="619">
      <c r="A619" s="334" t="n"/>
      <c r="B619" s="334" t="n"/>
      <c r="C619" s="334" t="n"/>
      <c r="D619" s="334" t="n"/>
      <c r="E619" s="334" t="n"/>
      <c r="F619" s="334" t="n"/>
      <c r="G619" s="334" t="n"/>
      <c r="H619" s="334" t="n"/>
      <c r="I619" s="334" t="n"/>
      <c r="J619" s="334" t="n"/>
      <c r="K619" s="334" t="n"/>
      <c r="L619" s="334" t="n"/>
      <c r="M619" s="334" t="n"/>
      <c r="N619" s="339" t="n"/>
      <c r="O619" s="368" t="n"/>
      <c r="P619" s="334" t="n"/>
    </row>
    <row r="620">
      <c r="A620" s="334" t="n"/>
      <c r="B620" s="334" t="n"/>
      <c r="C620" s="334" t="n"/>
      <c r="D620" s="334" t="n"/>
      <c r="E620" s="334" t="n"/>
      <c r="F620" s="334" t="n"/>
      <c r="G620" s="334" t="n"/>
      <c r="H620" s="334" t="n"/>
      <c r="I620" s="334" t="n"/>
      <c r="J620" s="334" t="n"/>
      <c r="K620" s="334" t="n"/>
      <c r="L620" s="334" t="n"/>
      <c r="M620" s="334" t="n"/>
      <c r="N620" s="339" t="n"/>
      <c r="O620" s="368" t="n"/>
      <c r="P620" s="334" t="n"/>
    </row>
    <row r="621">
      <c r="A621" s="334" t="n"/>
      <c r="B621" s="334" t="n"/>
      <c r="C621" s="334" t="n"/>
      <c r="D621" s="334" t="n"/>
      <c r="E621" s="334" t="n"/>
      <c r="F621" s="334" t="n"/>
      <c r="G621" s="334" t="n"/>
      <c r="H621" s="334" t="n"/>
      <c r="I621" s="334" t="n"/>
      <c r="J621" s="334" t="n"/>
      <c r="K621" s="334" t="n"/>
      <c r="L621" s="334" t="n"/>
      <c r="M621" s="334" t="n"/>
      <c r="N621" s="339" t="n"/>
      <c r="O621" s="368" t="n"/>
      <c r="P621" s="334" t="n"/>
    </row>
    <row r="622">
      <c r="A622" s="334" t="n"/>
      <c r="B622" s="334" t="n"/>
      <c r="C622" s="334" t="n"/>
      <c r="D622" s="334" t="n"/>
      <c r="E622" s="334" t="n"/>
      <c r="F622" s="334" t="n"/>
      <c r="G622" s="334" t="n"/>
      <c r="H622" s="334" t="n"/>
      <c r="I622" s="334" t="n"/>
      <c r="J622" s="334" t="n"/>
      <c r="K622" s="334" t="n"/>
      <c r="L622" s="334" t="n"/>
      <c r="M622" s="334" t="n"/>
      <c r="N622" s="339" t="n"/>
      <c r="O622" s="368" t="n"/>
      <c r="P622" s="334" t="n"/>
    </row>
    <row r="623">
      <c r="A623" s="334" t="n"/>
      <c r="B623" s="334" t="n"/>
      <c r="C623" s="334" t="n"/>
      <c r="D623" s="334" t="n"/>
      <c r="E623" s="334" t="n"/>
      <c r="F623" s="334" t="n"/>
      <c r="G623" s="334" t="n"/>
      <c r="H623" s="334" t="n"/>
      <c r="I623" s="334" t="n"/>
      <c r="J623" s="334" t="n"/>
      <c r="K623" s="334" t="n"/>
      <c r="L623" s="334" t="n"/>
      <c r="M623" s="334" t="n"/>
      <c r="N623" s="339" t="n"/>
      <c r="O623" s="368" t="n"/>
      <c r="P623" s="334" t="n"/>
    </row>
    <row r="624">
      <c r="A624" s="334" t="n"/>
      <c r="B624" s="334" t="n"/>
      <c r="C624" s="334" t="n"/>
      <c r="D624" s="334" t="n"/>
      <c r="E624" s="334" t="n"/>
      <c r="F624" s="334" t="n"/>
      <c r="G624" s="334" t="n"/>
      <c r="H624" s="334" t="n"/>
      <c r="I624" s="334" t="n"/>
      <c r="J624" s="334" t="n"/>
      <c r="K624" s="334" t="n"/>
      <c r="L624" s="334" t="n"/>
      <c r="M624" s="334" t="n"/>
      <c r="N624" s="339" t="n"/>
      <c r="O624" s="368" t="n"/>
      <c r="P624" s="334" t="n"/>
    </row>
    <row r="625">
      <c r="A625" s="334" t="n"/>
      <c r="B625" s="334" t="n"/>
      <c r="C625" s="334" t="n"/>
      <c r="D625" s="334" t="n"/>
      <c r="E625" s="334" t="n"/>
      <c r="F625" s="334" t="n"/>
      <c r="G625" s="334" t="n"/>
      <c r="H625" s="334" t="n"/>
      <c r="I625" s="334" t="n"/>
      <c r="J625" s="334" t="n"/>
      <c r="K625" s="334" t="n"/>
      <c r="L625" s="334" t="n"/>
      <c r="M625" s="334" t="n"/>
      <c r="N625" s="339" t="n"/>
      <c r="O625" s="368" t="n"/>
      <c r="P625" s="334" t="n"/>
    </row>
    <row r="626">
      <c r="A626" s="334" t="n"/>
      <c r="B626" s="334" t="n"/>
      <c r="C626" s="334" t="n"/>
      <c r="D626" s="334" t="n"/>
      <c r="E626" s="334" t="n"/>
      <c r="F626" s="334" t="n"/>
      <c r="G626" s="334" t="n"/>
      <c r="H626" s="334" t="n"/>
      <c r="I626" s="334" t="n"/>
      <c r="J626" s="334" t="n"/>
      <c r="K626" s="334" t="n"/>
      <c r="L626" s="334" t="n"/>
      <c r="M626" s="334" t="n"/>
      <c r="N626" s="339" t="n"/>
      <c r="O626" s="368" t="n"/>
      <c r="P626" s="334" t="n"/>
    </row>
    <row r="627">
      <c r="A627" s="334" t="n"/>
      <c r="B627" s="334" t="n"/>
      <c r="C627" s="334" t="n"/>
      <c r="D627" s="334" t="n"/>
      <c r="E627" s="334" t="n"/>
      <c r="F627" s="334" t="n"/>
      <c r="G627" s="334" t="n"/>
      <c r="H627" s="334" t="n"/>
      <c r="I627" s="334" t="n"/>
      <c r="J627" s="334" t="n"/>
      <c r="K627" s="334" t="n"/>
      <c r="L627" s="334" t="n"/>
      <c r="M627" s="334" t="n"/>
      <c r="N627" s="339" t="n"/>
      <c r="O627" s="368" t="n"/>
      <c r="P627" s="334" t="n"/>
    </row>
    <row r="628">
      <c r="A628" s="334" t="n"/>
      <c r="B628" s="334" t="n"/>
      <c r="C628" s="334" t="n"/>
      <c r="D628" s="334" t="n"/>
      <c r="E628" s="334" t="n"/>
      <c r="F628" s="334" t="n"/>
      <c r="G628" s="334" t="n"/>
      <c r="H628" s="334" t="n"/>
      <c r="I628" s="334" t="n"/>
      <c r="J628" s="334" t="n"/>
      <c r="K628" s="334" t="n"/>
      <c r="L628" s="334" t="n"/>
      <c r="M628" s="334" t="n"/>
      <c r="N628" s="339" t="n"/>
      <c r="O628" s="368" t="n"/>
      <c r="P628" s="334" t="n"/>
    </row>
    <row r="629">
      <c r="A629" s="334" t="n"/>
      <c r="B629" s="334" t="n"/>
      <c r="C629" s="334" t="n"/>
      <c r="D629" s="334" t="n"/>
      <c r="E629" s="334" t="n"/>
      <c r="F629" s="334" t="n"/>
      <c r="G629" s="334" t="n"/>
      <c r="H629" s="334" t="n"/>
      <c r="I629" s="334" t="n"/>
      <c r="J629" s="334" t="n"/>
      <c r="K629" s="334" t="n"/>
      <c r="L629" s="334" t="n"/>
      <c r="M629" s="334" t="n"/>
      <c r="N629" s="339" t="n"/>
      <c r="O629" s="368" t="n"/>
      <c r="P629" s="334" t="n"/>
    </row>
    <row r="630">
      <c r="A630" s="334" t="n"/>
      <c r="B630" s="334" t="n"/>
      <c r="C630" s="334" t="n"/>
      <c r="D630" s="334" t="n"/>
      <c r="E630" s="334" t="n"/>
      <c r="F630" s="334" t="n"/>
      <c r="G630" s="334" t="n"/>
      <c r="H630" s="334" t="n"/>
      <c r="I630" s="334" t="n"/>
      <c r="J630" s="334" t="n"/>
      <c r="K630" s="334" t="n"/>
      <c r="L630" s="334" t="n"/>
      <c r="M630" s="334" t="n"/>
      <c r="N630" s="339" t="n"/>
      <c r="O630" s="368" t="n"/>
      <c r="P630" s="334" t="n"/>
    </row>
    <row r="631">
      <c r="A631" s="334" t="n"/>
      <c r="B631" s="334" t="n"/>
      <c r="C631" s="334" t="n"/>
      <c r="D631" s="334" t="n"/>
      <c r="E631" s="334" t="n"/>
      <c r="F631" s="334" t="n"/>
      <c r="G631" s="334" t="n"/>
      <c r="H631" s="334" t="n"/>
      <c r="I631" s="334" t="n"/>
      <c r="J631" s="334" t="n"/>
      <c r="K631" s="334" t="n"/>
      <c r="L631" s="334" t="n"/>
      <c r="M631" s="334" t="n"/>
      <c r="N631" s="339" t="n"/>
      <c r="O631" s="368" t="n"/>
      <c r="P631" s="334" t="n"/>
    </row>
    <row r="632">
      <c r="A632" s="334" t="n"/>
      <c r="B632" s="334" t="n"/>
      <c r="C632" s="334" t="n"/>
      <c r="D632" s="334" t="n"/>
      <c r="E632" s="334" t="n"/>
      <c r="F632" s="334" t="n"/>
      <c r="G632" s="334" t="n"/>
      <c r="H632" s="334" t="n"/>
      <c r="I632" s="334" t="n"/>
      <c r="J632" s="334" t="n"/>
      <c r="K632" s="334" t="n"/>
      <c r="L632" s="334" t="n"/>
      <c r="M632" s="334" t="n"/>
      <c r="N632" s="339" t="n"/>
      <c r="O632" s="368" t="n"/>
      <c r="P632" s="334" t="n"/>
    </row>
    <row r="633">
      <c r="A633" s="334" t="n"/>
      <c r="B633" s="334" t="n"/>
      <c r="C633" s="334" t="n"/>
      <c r="D633" s="334" t="n"/>
      <c r="E633" s="334" t="n"/>
      <c r="F633" s="334" t="n"/>
      <c r="G633" s="334" t="n"/>
      <c r="H633" s="334" t="n"/>
      <c r="I633" s="334" t="n"/>
      <c r="J633" s="334" t="n"/>
      <c r="K633" s="334" t="n"/>
      <c r="L633" s="334" t="n"/>
      <c r="M633" s="334" t="n"/>
      <c r="N633" s="339" t="n"/>
      <c r="O633" s="368" t="n"/>
      <c r="P633" s="334" t="n"/>
    </row>
    <row r="634">
      <c r="A634" s="334" t="n"/>
      <c r="B634" s="334" t="n"/>
      <c r="C634" s="334" t="n"/>
      <c r="D634" s="334" t="n"/>
      <c r="E634" s="334" t="n"/>
      <c r="F634" s="334" t="n"/>
      <c r="G634" s="334" t="n"/>
      <c r="H634" s="334" t="n"/>
      <c r="I634" s="334" t="n"/>
      <c r="J634" s="334" t="n"/>
      <c r="K634" s="334" t="n"/>
      <c r="L634" s="334" t="n"/>
      <c r="M634" s="334" t="n"/>
      <c r="N634" s="339" t="n"/>
      <c r="O634" s="368" t="n"/>
      <c r="P634" s="334" t="n"/>
    </row>
    <row r="635">
      <c r="A635" s="334" t="n"/>
      <c r="B635" s="334" t="n"/>
      <c r="C635" s="334" t="n"/>
      <c r="D635" s="334" t="n"/>
      <c r="E635" s="334" t="n"/>
      <c r="F635" s="334" t="n"/>
      <c r="G635" s="334" t="n"/>
      <c r="H635" s="334" t="n"/>
      <c r="I635" s="334" t="n"/>
      <c r="J635" s="334" t="n"/>
      <c r="K635" s="334" t="n"/>
      <c r="L635" s="334" t="n"/>
      <c r="M635" s="334" t="n"/>
      <c r="N635" s="339" t="n"/>
      <c r="O635" s="368" t="n"/>
      <c r="P635" s="334" t="n"/>
    </row>
    <row r="636">
      <c r="A636" s="334" t="n"/>
      <c r="B636" s="334" t="n"/>
      <c r="C636" s="334" t="n"/>
      <c r="D636" s="334" t="n"/>
      <c r="E636" s="334" t="n"/>
      <c r="F636" s="334" t="n"/>
      <c r="G636" s="334" t="n"/>
      <c r="H636" s="334" t="n"/>
      <c r="I636" s="334" t="n"/>
      <c r="J636" s="334" t="n"/>
      <c r="K636" s="334" t="n"/>
      <c r="L636" s="334" t="n"/>
      <c r="M636" s="334" t="n"/>
      <c r="N636" s="339" t="n"/>
      <c r="O636" s="368" t="n"/>
      <c r="P636" s="334" t="n"/>
    </row>
    <row r="637">
      <c r="A637" s="334" t="n"/>
      <c r="B637" s="334" t="n"/>
      <c r="C637" s="334" t="n"/>
      <c r="D637" s="334" t="n"/>
      <c r="E637" s="334" t="n"/>
      <c r="F637" s="334" t="n"/>
      <c r="G637" s="334" t="n"/>
      <c r="H637" s="334" t="n"/>
      <c r="I637" s="334" t="n"/>
      <c r="J637" s="334" t="n"/>
      <c r="K637" s="334" t="n"/>
      <c r="L637" s="334" t="n"/>
      <c r="M637" s="334" t="n"/>
      <c r="N637" s="339" t="n"/>
      <c r="O637" s="368" t="n"/>
      <c r="P637" s="334" t="n"/>
    </row>
    <row r="638">
      <c r="A638" s="334" t="n"/>
      <c r="B638" s="334" t="n"/>
      <c r="C638" s="334" t="n"/>
      <c r="D638" s="334" t="n"/>
      <c r="E638" s="334" t="n"/>
      <c r="F638" s="334" t="n"/>
      <c r="G638" s="334" t="n"/>
      <c r="H638" s="334" t="n"/>
      <c r="I638" s="334" t="n"/>
      <c r="J638" s="334" t="n"/>
      <c r="K638" s="334" t="n"/>
      <c r="L638" s="334" t="n"/>
      <c r="M638" s="334" t="n"/>
      <c r="N638" s="339" t="n"/>
      <c r="O638" s="368" t="n"/>
      <c r="P638" s="334" t="n"/>
    </row>
    <row r="639">
      <c r="A639" s="334" t="n"/>
      <c r="B639" s="334" t="n"/>
      <c r="C639" s="334" t="n"/>
      <c r="D639" s="334" t="n"/>
      <c r="E639" s="334" t="n"/>
      <c r="F639" s="334" t="n"/>
      <c r="G639" s="334" t="n"/>
      <c r="H639" s="334" t="n"/>
      <c r="I639" s="334" t="n"/>
      <c r="J639" s="334" t="n"/>
      <c r="K639" s="334" t="n"/>
      <c r="L639" s="334" t="n"/>
      <c r="M639" s="334" t="n"/>
      <c r="N639" s="339" t="n"/>
      <c r="O639" s="368" t="n"/>
      <c r="P639" s="334" t="n"/>
    </row>
    <row r="640">
      <c r="A640" s="334" t="n"/>
      <c r="B640" s="334" t="n"/>
      <c r="C640" s="334" t="n"/>
      <c r="D640" s="334" t="n"/>
      <c r="E640" s="334" t="n"/>
      <c r="F640" s="334" t="n"/>
      <c r="G640" s="334" t="n"/>
      <c r="H640" s="334" t="n"/>
      <c r="I640" s="334" t="n"/>
      <c r="J640" s="334" t="n"/>
      <c r="K640" s="334" t="n"/>
      <c r="L640" s="334" t="n"/>
      <c r="M640" s="334" t="n"/>
      <c r="N640" s="339" t="n"/>
      <c r="O640" s="368" t="n"/>
      <c r="P640" s="334" t="n"/>
    </row>
    <row r="641">
      <c r="A641" s="334" t="n"/>
      <c r="B641" s="334" t="n"/>
      <c r="C641" s="334" t="n"/>
      <c r="D641" s="334" t="n"/>
      <c r="E641" s="334" t="n"/>
      <c r="F641" s="334" t="n"/>
      <c r="G641" s="334" t="n"/>
      <c r="H641" s="334" t="n"/>
      <c r="I641" s="334" t="n"/>
      <c r="J641" s="334" t="n"/>
      <c r="K641" s="334" t="n"/>
      <c r="L641" s="334" t="n"/>
      <c r="M641" s="334" t="n"/>
      <c r="N641" s="339" t="n"/>
      <c r="O641" s="368" t="n"/>
      <c r="P641" s="334" t="n"/>
    </row>
    <row r="642">
      <c r="A642" s="334" t="n"/>
      <c r="B642" s="334" t="n"/>
      <c r="C642" s="334" t="n"/>
      <c r="D642" s="334" t="n"/>
      <c r="E642" s="334" t="n"/>
      <c r="F642" s="334" t="n"/>
      <c r="G642" s="334" t="n"/>
      <c r="H642" s="334" t="n"/>
      <c r="I642" s="334" t="n"/>
      <c r="J642" s="334" t="n"/>
      <c r="K642" s="334" t="n"/>
      <c r="L642" s="334" t="n"/>
      <c r="M642" s="334" t="n"/>
      <c r="N642" s="339" t="n"/>
      <c r="O642" s="368" t="n"/>
      <c r="P642" s="334" t="n"/>
    </row>
    <row r="643">
      <c r="A643" s="334" t="n"/>
      <c r="B643" s="334" t="n"/>
      <c r="C643" s="334" t="n"/>
      <c r="D643" s="334" t="n"/>
      <c r="E643" s="334" t="n"/>
      <c r="F643" s="334" t="n"/>
      <c r="G643" s="334" t="n"/>
      <c r="H643" s="334" t="n"/>
      <c r="I643" s="334" t="n"/>
      <c r="J643" s="334" t="n"/>
      <c r="K643" s="334" t="n"/>
      <c r="L643" s="334" t="n"/>
      <c r="M643" s="334" t="n"/>
      <c r="N643" s="339" t="n"/>
      <c r="O643" s="368" t="n"/>
      <c r="P643" s="334" t="n"/>
    </row>
    <row r="644">
      <c r="A644" s="334" t="n"/>
      <c r="B644" s="334" t="n"/>
      <c r="C644" s="334" t="n"/>
      <c r="D644" s="334" t="n"/>
      <c r="E644" s="334" t="n"/>
      <c r="F644" s="334" t="n"/>
      <c r="G644" s="334" t="n"/>
      <c r="H644" s="334" t="n"/>
      <c r="I644" s="334" t="n"/>
      <c r="J644" s="334" t="n"/>
      <c r="K644" s="334" t="n"/>
      <c r="L644" s="334" t="n"/>
      <c r="M644" s="334" t="n"/>
      <c r="N644" s="339" t="n"/>
      <c r="O644" s="368" t="n"/>
      <c r="P644" s="334" t="n"/>
    </row>
    <row r="645">
      <c r="A645" s="334" t="n"/>
      <c r="B645" s="334" t="n"/>
      <c r="C645" s="334" t="n"/>
      <c r="D645" s="334" t="n"/>
      <c r="E645" s="334" t="n"/>
      <c r="F645" s="334" t="n"/>
      <c r="G645" s="334" t="n"/>
      <c r="H645" s="334" t="n"/>
      <c r="I645" s="334" t="n"/>
      <c r="J645" s="334" t="n"/>
      <c r="K645" s="334" t="n"/>
      <c r="L645" s="334" t="n"/>
      <c r="M645" s="334" t="n"/>
      <c r="N645" s="339" t="n"/>
      <c r="O645" s="368" t="n"/>
      <c r="P645" s="334" t="n"/>
    </row>
    <row r="646">
      <c r="A646" s="334" t="n"/>
      <c r="B646" s="334" t="n"/>
      <c r="C646" s="334" t="n"/>
      <c r="D646" s="334" t="n"/>
      <c r="E646" s="334" t="n"/>
      <c r="F646" s="334" t="n"/>
      <c r="G646" s="334" t="n"/>
      <c r="H646" s="334" t="n"/>
      <c r="I646" s="334" t="n"/>
      <c r="J646" s="334" t="n"/>
      <c r="K646" s="334" t="n"/>
      <c r="L646" s="334" t="n"/>
      <c r="M646" s="334" t="n"/>
      <c r="N646" s="339" t="n"/>
      <c r="O646" s="368" t="n"/>
      <c r="P646" s="334" t="n"/>
    </row>
    <row r="647">
      <c r="A647" s="334" t="n"/>
      <c r="B647" s="334" t="n"/>
      <c r="C647" s="334" t="n"/>
      <c r="D647" s="334" t="n"/>
      <c r="E647" s="334" t="n"/>
      <c r="F647" s="334" t="n"/>
      <c r="G647" s="334" t="n"/>
      <c r="H647" s="334" t="n"/>
      <c r="I647" s="334" t="n"/>
      <c r="J647" s="334" t="n"/>
      <c r="K647" s="334" t="n"/>
      <c r="L647" s="334" t="n"/>
      <c r="M647" s="334" t="n"/>
      <c r="N647" s="339" t="n"/>
      <c r="O647" s="368" t="n"/>
      <c r="P647" s="334" t="n"/>
    </row>
    <row r="648">
      <c r="A648" s="334" t="n"/>
      <c r="B648" s="334" t="n"/>
      <c r="C648" s="334" t="n"/>
      <c r="D648" s="334" t="n"/>
      <c r="E648" s="334" t="n"/>
      <c r="F648" s="334" t="n"/>
      <c r="G648" s="334" t="n"/>
      <c r="H648" s="334" t="n"/>
      <c r="I648" s="334" t="n"/>
      <c r="J648" s="334" t="n"/>
      <c r="K648" s="334" t="n"/>
      <c r="L648" s="334" t="n"/>
      <c r="M648" s="334" t="n"/>
      <c r="N648" s="339" t="n"/>
      <c r="O648" s="368" t="n"/>
      <c r="P648" s="334" t="n"/>
    </row>
    <row r="649">
      <c r="A649" s="334" t="n"/>
      <c r="B649" s="334" t="n"/>
      <c r="C649" s="334" t="n"/>
      <c r="D649" s="334" t="n"/>
      <c r="E649" s="334" t="n"/>
      <c r="F649" s="334" t="n"/>
      <c r="G649" s="334" t="n"/>
      <c r="H649" s="334" t="n"/>
      <c r="I649" s="334" t="n"/>
      <c r="J649" s="334" t="n"/>
      <c r="K649" s="334" t="n"/>
      <c r="L649" s="334" t="n"/>
      <c r="M649" s="334" t="n"/>
      <c r="N649" s="339" t="n"/>
      <c r="O649" s="368" t="n"/>
      <c r="P649" s="334" t="n"/>
    </row>
    <row r="650">
      <c r="A650" s="334" t="n"/>
      <c r="B650" s="334" t="n"/>
      <c r="C650" s="334" t="n"/>
      <c r="D650" s="334" t="n"/>
      <c r="E650" s="334" t="n"/>
      <c r="F650" s="334" t="n"/>
      <c r="G650" s="334" t="n"/>
      <c r="H650" s="334" t="n"/>
      <c r="I650" s="334" t="n"/>
      <c r="J650" s="334" t="n"/>
      <c r="K650" s="334" t="n"/>
      <c r="L650" s="334" t="n"/>
      <c r="M650" s="334" t="n"/>
      <c r="N650" s="339" t="n"/>
      <c r="O650" s="368" t="n"/>
      <c r="P650" s="334" t="n"/>
    </row>
    <row r="651">
      <c r="A651" s="334" t="n"/>
      <c r="B651" s="334" t="n"/>
      <c r="C651" s="334" t="n"/>
      <c r="D651" s="334" t="n"/>
      <c r="E651" s="334" t="n"/>
      <c r="F651" s="334" t="n"/>
      <c r="G651" s="334" t="n"/>
      <c r="H651" s="334" t="n"/>
      <c r="I651" s="334" t="n"/>
      <c r="J651" s="334" t="n"/>
      <c r="K651" s="334" t="n"/>
      <c r="L651" s="334" t="n"/>
      <c r="M651" s="334" t="n"/>
      <c r="N651" s="339" t="n"/>
      <c r="O651" s="368" t="n"/>
      <c r="P651" s="334" t="n"/>
    </row>
    <row r="652">
      <c r="A652" s="334" t="n"/>
      <c r="B652" s="334" t="n"/>
      <c r="C652" s="334" t="n"/>
      <c r="D652" s="334" t="n"/>
      <c r="E652" s="334" t="n"/>
      <c r="F652" s="334" t="n"/>
      <c r="G652" s="334" t="n"/>
      <c r="H652" s="334" t="n"/>
      <c r="I652" s="334" t="n"/>
      <c r="J652" s="334" t="n"/>
      <c r="K652" s="334" t="n"/>
      <c r="L652" s="334" t="n"/>
      <c r="M652" s="334" t="n"/>
      <c r="N652" s="339" t="n"/>
      <c r="O652" s="368" t="n"/>
      <c r="P652" s="334" t="n"/>
    </row>
    <row r="653">
      <c r="A653" s="334" t="n"/>
      <c r="B653" s="334" t="n"/>
      <c r="C653" s="334" t="n"/>
      <c r="D653" s="334" t="n"/>
      <c r="E653" s="334" t="n"/>
      <c r="F653" s="334" t="n"/>
      <c r="G653" s="334" t="n"/>
      <c r="H653" s="334" t="n"/>
      <c r="I653" s="334" t="n"/>
      <c r="J653" s="334" t="n"/>
      <c r="K653" s="334" t="n"/>
      <c r="L653" s="334" t="n"/>
      <c r="M653" s="334" t="n"/>
      <c r="N653" s="339" t="n"/>
      <c r="O653" s="368" t="n"/>
      <c r="P653" s="334" t="n"/>
    </row>
    <row r="654">
      <c r="A654" s="334" t="n"/>
      <c r="B654" s="334" t="n"/>
      <c r="C654" s="334" t="n"/>
      <c r="D654" s="334" t="n"/>
      <c r="E654" s="334" t="n"/>
      <c r="F654" s="334" t="n"/>
      <c r="G654" s="334" t="n"/>
      <c r="H654" s="334" t="n"/>
      <c r="I654" s="334" t="n"/>
      <c r="J654" s="334" t="n"/>
      <c r="K654" s="334" t="n"/>
      <c r="L654" s="334" t="n"/>
      <c r="M654" s="334" t="n"/>
      <c r="N654" s="339" t="n"/>
      <c r="O654" s="368" t="n"/>
      <c r="P654" s="334" t="n"/>
    </row>
    <row r="655">
      <c r="A655" s="334" t="n"/>
      <c r="B655" s="334" t="n"/>
      <c r="C655" s="334" t="n"/>
      <c r="D655" s="334" t="n"/>
      <c r="E655" s="334" t="n"/>
      <c r="F655" s="334" t="n"/>
      <c r="G655" s="334" t="n"/>
      <c r="H655" s="334" t="n"/>
      <c r="I655" s="334" t="n"/>
      <c r="J655" s="334" t="n"/>
      <c r="K655" s="334" t="n"/>
      <c r="L655" s="334" t="n"/>
      <c r="M655" s="334" t="n"/>
      <c r="N655" s="339" t="n"/>
      <c r="O655" s="368" t="n"/>
      <c r="P655" s="334" t="n"/>
    </row>
    <row r="656">
      <c r="A656" s="334" t="n"/>
      <c r="B656" s="334" t="n"/>
      <c r="C656" s="334" t="n"/>
      <c r="D656" s="334" t="n"/>
      <c r="E656" s="334" t="n"/>
      <c r="F656" s="334" t="n"/>
      <c r="G656" s="334" t="n"/>
      <c r="H656" s="334" t="n"/>
      <c r="I656" s="334" t="n"/>
      <c r="J656" s="334" t="n"/>
      <c r="K656" s="334" t="n"/>
      <c r="L656" s="334" t="n"/>
      <c r="M656" s="334" t="n"/>
      <c r="N656" s="339" t="n"/>
      <c r="O656" s="368" t="n"/>
      <c r="P656" s="334" t="n"/>
    </row>
    <row r="657">
      <c r="A657" s="334" t="n"/>
      <c r="B657" s="334" t="n"/>
      <c r="C657" s="334" t="n"/>
      <c r="D657" s="334" t="n"/>
      <c r="E657" s="334" t="n"/>
      <c r="F657" s="334" t="n"/>
      <c r="G657" s="334" t="n"/>
      <c r="H657" s="334" t="n"/>
      <c r="I657" s="334" t="n"/>
      <c r="J657" s="334" t="n"/>
      <c r="K657" s="334" t="n"/>
      <c r="L657" s="334" t="n"/>
      <c r="M657" s="334" t="n"/>
      <c r="N657" s="339" t="n"/>
      <c r="O657" s="368" t="n"/>
      <c r="P657" s="334" t="n"/>
    </row>
    <row r="658">
      <c r="A658" s="334" t="n"/>
      <c r="B658" s="334" t="n"/>
      <c r="C658" s="334" t="n"/>
      <c r="D658" s="334" t="n"/>
      <c r="E658" s="334" t="n"/>
      <c r="F658" s="334" t="n"/>
      <c r="G658" s="334" t="n"/>
      <c r="H658" s="334" t="n"/>
      <c r="I658" s="334" t="n"/>
      <c r="J658" s="334" t="n"/>
      <c r="K658" s="334" t="n"/>
      <c r="L658" s="334" t="n"/>
      <c r="M658" s="334" t="n"/>
      <c r="N658" s="339" t="n"/>
      <c r="O658" s="368" t="n"/>
      <c r="P658" s="334" t="n"/>
    </row>
    <row r="659">
      <c r="A659" s="334" t="n"/>
      <c r="B659" s="334" t="n"/>
      <c r="C659" s="334" t="n"/>
      <c r="D659" s="334" t="n"/>
      <c r="E659" s="334" t="n"/>
      <c r="F659" s="334" t="n"/>
      <c r="G659" s="334" t="n"/>
      <c r="H659" s="334" t="n"/>
      <c r="I659" s="334" t="n"/>
      <c r="J659" s="334" t="n"/>
      <c r="K659" s="334" t="n"/>
      <c r="L659" s="334" t="n"/>
      <c r="M659" s="334" t="n"/>
      <c r="N659" s="339" t="n"/>
      <c r="O659" s="368" t="n"/>
      <c r="P659" s="334" t="n"/>
    </row>
    <row r="660">
      <c r="A660" s="334" t="n"/>
      <c r="B660" s="334" t="n"/>
      <c r="C660" s="334" t="n"/>
      <c r="D660" s="334" t="n"/>
      <c r="E660" s="334" t="n"/>
      <c r="F660" s="334" t="n"/>
      <c r="G660" s="334" t="n"/>
      <c r="H660" s="334" t="n"/>
      <c r="I660" s="334" t="n"/>
      <c r="J660" s="334" t="n"/>
      <c r="K660" s="334" t="n"/>
      <c r="L660" s="334" t="n"/>
      <c r="M660" s="334" t="n"/>
      <c r="N660" s="339" t="n"/>
      <c r="O660" s="368" t="n"/>
      <c r="P660" s="334" t="n"/>
    </row>
    <row r="661">
      <c r="A661" s="334" t="n"/>
      <c r="B661" s="334" t="n"/>
      <c r="C661" s="334" t="n"/>
      <c r="D661" s="334" t="n"/>
      <c r="E661" s="334" t="n"/>
      <c r="F661" s="334" t="n"/>
      <c r="G661" s="334" t="n"/>
      <c r="H661" s="334" t="n"/>
      <c r="I661" s="334" t="n"/>
      <c r="J661" s="334" t="n"/>
      <c r="K661" s="334" t="n"/>
      <c r="L661" s="334" t="n"/>
      <c r="M661" s="334" t="n"/>
      <c r="N661" s="339" t="n"/>
      <c r="O661" s="368" t="n"/>
      <c r="P661" s="334" t="n"/>
    </row>
    <row r="662">
      <c r="A662" s="334" t="n"/>
      <c r="B662" s="334" t="n"/>
      <c r="C662" s="334" t="n"/>
      <c r="D662" s="334" t="n"/>
      <c r="E662" s="334" t="n"/>
      <c r="F662" s="334" t="n"/>
      <c r="G662" s="334" t="n"/>
      <c r="H662" s="334" t="n"/>
      <c r="I662" s="334" t="n"/>
      <c r="J662" s="334" t="n"/>
      <c r="K662" s="334" t="n"/>
      <c r="L662" s="334" t="n"/>
      <c r="M662" s="334" t="n"/>
      <c r="N662" s="339" t="n"/>
      <c r="O662" s="368" t="n"/>
      <c r="P662" s="334" t="n"/>
    </row>
    <row r="663">
      <c r="A663" s="334" t="n"/>
      <c r="B663" s="334" t="n"/>
      <c r="C663" s="334" t="n"/>
      <c r="D663" s="334" t="n"/>
      <c r="E663" s="334" t="n"/>
      <c r="F663" s="334" t="n"/>
      <c r="G663" s="334" t="n"/>
      <c r="H663" s="334" t="n"/>
      <c r="I663" s="334" t="n"/>
      <c r="J663" s="334" t="n"/>
      <c r="K663" s="334" t="n"/>
      <c r="L663" s="334" t="n"/>
      <c r="M663" s="334" t="n"/>
      <c r="N663" s="339" t="n"/>
      <c r="O663" s="368" t="n"/>
      <c r="P663" s="334" t="n"/>
    </row>
    <row r="664">
      <c r="A664" s="334" t="n"/>
      <c r="B664" s="334" t="n"/>
      <c r="C664" s="334" t="n"/>
      <c r="D664" s="334" t="n"/>
      <c r="E664" s="334" t="n"/>
      <c r="F664" s="334" t="n"/>
      <c r="G664" s="334" t="n"/>
      <c r="H664" s="334" t="n"/>
      <c r="I664" s="334" t="n"/>
      <c r="J664" s="334" t="n"/>
      <c r="K664" s="334" t="n"/>
      <c r="L664" s="334" t="n"/>
      <c r="M664" s="334" t="n"/>
      <c r="N664" s="339" t="n"/>
      <c r="O664" s="368" t="n"/>
      <c r="P664" s="334" t="n"/>
    </row>
    <row r="665">
      <c r="A665" s="334" t="n"/>
      <c r="B665" s="334" t="n"/>
      <c r="C665" s="334" t="n"/>
      <c r="D665" s="334" t="n"/>
      <c r="E665" s="334" t="n"/>
      <c r="F665" s="334" t="n"/>
      <c r="G665" s="334" t="n"/>
      <c r="H665" s="334" t="n"/>
      <c r="I665" s="334" t="n"/>
      <c r="J665" s="334" t="n"/>
      <c r="K665" s="334" t="n"/>
      <c r="L665" s="334" t="n"/>
      <c r="M665" s="334" t="n"/>
      <c r="N665" s="339" t="n"/>
      <c r="O665" s="368" t="n"/>
      <c r="P665" s="334" t="n"/>
    </row>
    <row r="666">
      <c r="A666" s="334" t="n"/>
      <c r="B666" s="334" t="n"/>
      <c r="C666" s="334" t="n"/>
      <c r="D666" s="334" t="n"/>
      <c r="E666" s="334" t="n"/>
      <c r="F666" s="334" t="n"/>
      <c r="G666" s="334" t="n"/>
      <c r="H666" s="334" t="n"/>
      <c r="I666" s="334" t="n"/>
      <c r="J666" s="334" t="n"/>
      <c r="K666" s="334" t="n"/>
      <c r="L666" s="334" t="n"/>
      <c r="M666" s="334" t="n"/>
      <c r="N666" s="339" t="n"/>
      <c r="O666" s="368" t="n"/>
      <c r="P666" s="334" t="n"/>
    </row>
    <row r="667">
      <c r="A667" s="334" t="n"/>
      <c r="B667" s="334" t="n"/>
      <c r="C667" s="334" t="n"/>
      <c r="D667" s="334" t="n"/>
      <c r="E667" s="334" t="n"/>
      <c r="F667" s="334" t="n"/>
      <c r="G667" s="334" t="n"/>
      <c r="H667" s="334" t="n"/>
      <c r="I667" s="334" t="n"/>
      <c r="J667" s="334" t="n"/>
      <c r="K667" s="334" t="n"/>
      <c r="L667" s="334" t="n"/>
      <c r="M667" s="334" t="n"/>
      <c r="N667" s="339" t="n"/>
      <c r="O667" s="368" t="n"/>
      <c r="P667" s="334" t="n"/>
    </row>
    <row r="668">
      <c r="A668" s="334" t="n"/>
      <c r="B668" s="334" t="n"/>
      <c r="C668" s="334" t="n"/>
      <c r="D668" s="334" t="n"/>
      <c r="E668" s="334" t="n"/>
      <c r="F668" s="334" t="n"/>
      <c r="G668" s="334" t="n"/>
      <c r="H668" s="334" t="n"/>
      <c r="I668" s="334" t="n"/>
      <c r="J668" s="334" t="n"/>
      <c r="K668" s="334" t="n"/>
      <c r="L668" s="334" t="n"/>
      <c r="M668" s="334" t="n"/>
      <c r="N668" s="339" t="n"/>
      <c r="O668" s="368" t="n"/>
      <c r="P668" s="334" t="n"/>
    </row>
    <row r="669">
      <c r="A669" s="334" t="n"/>
      <c r="B669" s="334" t="n"/>
      <c r="C669" s="334" t="n"/>
      <c r="D669" s="334" t="n"/>
      <c r="E669" s="334" t="n"/>
      <c r="F669" s="334" t="n"/>
      <c r="G669" s="334" t="n"/>
      <c r="H669" s="334" t="n"/>
      <c r="I669" s="334" t="n"/>
      <c r="J669" s="334" t="n"/>
      <c r="K669" s="334" t="n"/>
      <c r="L669" s="334" t="n"/>
      <c r="M669" s="334" t="n"/>
      <c r="N669" s="339" t="n"/>
      <c r="O669" s="368" t="n"/>
      <c r="P669" s="334" t="n"/>
    </row>
    <row r="670">
      <c r="A670" s="334" t="n"/>
      <c r="B670" s="334" t="n"/>
      <c r="C670" s="334" t="n"/>
      <c r="D670" s="334" t="n"/>
      <c r="E670" s="334" t="n"/>
      <c r="F670" s="334" t="n"/>
      <c r="G670" s="334" t="n"/>
      <c r="H670" s="334" t="n"/>
      <c r="I670" s="334" t="n"/>
      <c r="J670" s="334" t="n"/>
      <c r="K670" s="334" t="n"/>
      <c r="L670" s="334" t="n"/>
      <c r="M670" s="334" t="n"/>
      <c r="N670" s="339" t="n"/>
      <c r="O670" s="368" t="n"/>
      <c r="P670" s="334" t="n"/>
    </row>
    <row r="671">
      <c r="A671" s="334" t="n"/>
      <c r="B671" s="334" t="n"/>
      <c r="C671" s="334" t="n"/>
      <c r="D671" s="334" t="n"/>
      <c r="E671" s="334" t="n"/>
      <c r="F671" s="334" t="n"/>
      <c r="G671" s="334" t="n"/>
      <c r="H671" s="334" t="n"/>
      <c r="I671" s="334" t="n"/>
      <c r="J671" s="334" t="n"/>
      <c r="K671" s="334" t="n"/>
      <c r="L671" s="334" t="n"/>
      <c r="M671" s="334" t="n"/>
      <c r="N671" s="339" t="n"/>
      <c r="O671" s="368" t="n"/>
      <c r="P671" s="334" t="n"/>
    </row>
    <row r="672">
      <c r="A672" s="334" t="n"/>
      <c r="B672" s="334" t="n"/>
      <c r="C672" s="334" t="n"/>
      <c r="D672" s="334" t="n"/>
      <c r="E672" s="334" t="n"/>
      <c r="F672" s="334" t="n"/>
      <c r="G672" s="334" t="n"/>
      <c r="H672" s="334" t="n"/>
      <c r="I672" s="334" t="n"/>
      <c r="J672" s="334" t="n"/>
      <c r="K672" s="334" t="n"/>
      <c r="L672" s="334" t="n"/>
      <c r="M672" s="334" t="n"/>
      <c r="N672" s="339" t="n"/>
      <c r="O672" s="368" t="n"/>
      <c r="P672" s="334" t="n"/>
    </row>
    <row r="673">
      <c r="A673" s="334" t="n"/>
      <c r="B673" s="334" t="n"/>
      <c r="C673" s="334" t="n"/>
      <c r="D673" s="334" t="n"/>
      <c r="E673" s="334" t="n"/>
      <c r="F673" s="334" t="n"/>
      <c r="G673" s="334" t="n"/>
      <c r="H673" s="334" t="n"/>
      <c r="I673" s="334" t="n"/>
      <c r="J673" s="334" t="n"/>
      <c r="K673" s="334" t="n"/>
      <c r="L673" s="334" t="n"/>
      <c r="M673" s="334" t="n"/>
      <c r="N673" s="339" t="n"/>
      <c r="O673" s="368" t="n"/>
      <c r="P673" s="334" t="n"/>
    </row>
    <row r="674">
      <c r="A674" s="334" t="n"/>
      <c r="B674" s="334" t="n"/>
      <c r="C674" s="334" t="n"/>
      <c r="D674" s="334" t="n"/>
      <c r="E674" s="334" t="n"/>
      <c r="F674" s="334" t="n"/>
      <c r="G674" s="334" t="n"/>
      <c r="H674" s="334" t="n"/>
      <c r="I674" s="334" t="n"/>
      <c r="J674" s="334" t="n"/>
      <c r="K674" s="334" t="n"/>
      <c r="L674" s="334" t="n"/>
      <c r="M674" s="334" t="n"/>
      <c r="N674" s="339" t="n"/>
      <c r="O674" s="368" t="n"/>
      <c r="P674" s="334" t="n"/>
    </row>
    <row r="675">
      <c r="A675" s="334" t="n"/>
      <c r="B675" s="334" t="n"/>
      <c r="C675" s="334" t="n"/>
      <c r="D675" s="334" t="n"/>
      <c r="E675" s="334" t="n"/>
      <c r="F675" s="334" t="n"/>
      <c r="G675" s="334" t="n"/>
      <c r="H675" s="334" t="n"/>
      <c r="I675" s="334" t="n"/>
      <c r="J675" s="334" t="n"/>
      <c r="K675" s="334" t="n"/>
      <c r="L675" s="334" t="n"/>
      <c r="M675" s="334" t="n"/>
      <c r="N675" s="339" t="n"/>
      <c r="O675" s="368" t="n"/>
      <c r="P675" s="334" t="n"/>
    </row>
    <row r="676">
      <c r="A676" s="334" t="n"/>
      <c r="B676" s="334" t="n"/>
      <c r="C676" s="334" t="n"/>
      <c r="D676" s="334" t="n"/>
      <c r="E676" s="334" t="n"/>
      <c r="F676" s="334" t="n"/>
      <c r="G676" s="334" t="n"/>
      <c r="H676" s="334" t="n"/>
      <c r="I676" s="334" t="n"/>
      <c r="J676" s="334" t="n"/>
      <c r="K676" s="334" t="n"/>
      <c r="L676" s="334" t="n"/>
      <c r="M676" s="334" t="n"/>
      <c r="N676" s="339" t="n"/>
      <c r="O676" s="368" t="n"/>
      <c r="P676" s="334" t="n"/>
    </row>
    <row r="677">
      <c r="A677" s="334" t="n"/>
      <c r="B677" s="334" t="n"/>
      <c r="C677" s="334" t="n"/>
      <c r="D677" s="334" t="n"/>
      <c r="E677" s="334" t="n"/>
      <c r="F677" s="334" t="n"/>
      <c r="G677" s="334" t="n"/>
      <c r="H677" s="334" t="n"/>
      <c r="I677" s="334" t="n"/>
      <c r="J677" s="334" t="n"/>
      <c r="K677" s="334" t="n"/>
      <c r="L677" s="334" t="n"/>
      <c r="M677" s="334" t="n"/>
      <c r="N677" s="339" t="n"/>
      <c r="O677" s="368" t="n"/>
      <c r="P677" s="334" t="n"/>
    </row>
    <row r="678">
      <c r="A678" s="334" t="n"/>
      <c r="B678" s="334" t="n"/>
      <c r="C678" s="334" t="n"/>
      <c r="D678" s="334" t="n"/>
      <c r="E678" s="334" t="n"/>
      <c r="F678" s="334" t="n"/>
      <c r="G678" s="334" t="n"/>
      <c r="H678" s="334" t="n"/>
      <c r="I678" s="334" t="n"/>
      <c r="J678" s="334" t="n"/>
      <c r="K678" s="334" t="n"/>
      <c r="L678" s="334" t="n"/>
      <c r="M678" s="334" t="n"/>
      <c r="N678" s="339" t="n"/>
      <c r="O678" s="368" t="n"/>
      <c r="P678" s="334" t="n"/>
    </row>
    <row r="679">
      <c r="A679" s="334" t="n"/>
      <c r="B679" s="334" t="n"/>
      <c r="C679" s="334" t="n"/>
      <c r="D679" s="334" t="n"/>
      <c r="E679" s="334" t="n"/>
      <c r="F679" s="334" t="n"/>
      <c r="G679" s="334" t="n"/>
      <c r="H679" s="334" t="n"/>
      <c r="I679" s="334" t="n"/>
      <c r="J679" s="334" t="n"/>
      <c r="K679" s="334" t="n"/>
      <c r="L679" s="334" t="n"/>
      <c r="M679" s="334" t="n"/>
      <c r="N679" s="339" t="n"/>
      <c r="O679" s="368" t="n"/>
      <c r="P679" s="334" t="n"/>
    </row>
    <row r="680">
      <c r="A680" s="334" t="n"/>
      <c r="B680" s="334" t="n"/>
      <c r="C680" s="334" t="n"/>
      <c r="D680" s="334" t="n"/>
      <c r="E680" s="334" t="n"/>
      <c r="F680" s="334" t="n"/>
      <c r="G680" s="334" t="n"/>
      <c r="H680" s="334" t="n"/>
      <c r="I680" s="334" t="n"/>
      <c r="J680" s="334" t="n"/>
      <c r="K680" s="334" t="n"/>
      <c r="L680" s="334" t="n"/>
      <c r="M680" s="334" t="n"/>
      <c r="N680" s="339" t="n"/>
      <c r="O680" s="368" t="n"/>
      <c r="P680" s="334" t="n"/>
    </row>
    <row r="681">
      <c r="A681" s="334" t="n"/>
      <c r="B681" s="334" t="n"/>
      <c r="C681" s="334" t="n"/>
      <c r="D681" s="334" t="n"/>
      <c r="E681" s="334" t="n"/>
      <c r="F681" s="334" t="n"/>
      <c r="G681" s="334" t="n"/>
      <c r="H681" s="334" t="n"/>
      <c r="I681" s="334" t="n"/>
      <c r="J681" s="334" t="n"/>
      <c r="K681" s="334" t="n"/>
      <c r="L681" s="334" t="n"/>
      <c r="M681" s="334" t="n"/>
      <c r="N681" s="339" t="n"/>
      <c r="O681" s="368" t="n"/>
      <c r="P681" s="334" t="n"/>
    </row>
    <row r="682">
      <c r="A682" s="334" t="n"/>
      <c r="B682" s="334" t="n"/>
      <c r="C682" s="334" t="n"/>
      <c r="D682" s="334" t="n"/>
      <c r="E682" s="334" t="n"/>
      <c r="F682" s="334" t="n"/>
      <c r="G682" s="334" t="n"/>
      <c r="H682" s="334" t="n"/>
      <c r="I682" s="334" t="n"/>
      <c r="J682" s="334" t="n"/>
      <c r="K682" s="334" t="n"/>
      <c r="L682" s="334" t="n"/>
      <c r="M682" s="334" t="n"/>
      <c r="N682" s="339" t="n"/>
      <c r="O682" s="368" t="n"/>
      <c r="P682" s="334" t="n"/>
    </row>
    <row r="683">
      <c r="A683" s="334" t="n"/>
      <c r="B683" s="334" t="n"/>
      <c r="C683" s="334" t="n"/>
      <c r="D683" s="334" t="n"/>
      <c r="E683" s="334" t="n"/>
      <c r="F683" s="334" t="n"/>
      <c r="G683" s="334" t="n"/>
      <c r="H683" s="334" t="n"/>
      <c r="I683" s="334" t="n"/>
      <c r="J683" s="334" t="n"/>
      <c r="K683" s="334" t="n"/>
      <c r="L683" s="334" t="n"/>
      <c r="M683" s="334" t="n"/>
      <c r="N683" s="339" t="n"/>
      <c r="O683" s="368" t="n"/>
      <c r="P683" s="334" t="n"/>
    </row>
    <row r="684">
      <c r="A684" s="334" t="n"/>
      <c r="B684" s="334" t="n"/>
      <c r="C684" s="334" t="n"/>
      <c r="D684" s="334" t="n"/>
      <c r="E684" s="334" t="n"/>
      <c r="F684" s="334" t="n"/>
      <c r="G684" s="334" t="n"/>
      <c r="H684" s="334" t="n"/>
      <c r="I684" s="334" t="n"/>
      <c r="J684" s="334" t="n"/>
      <c r="K684" s="334" t="n"/>
      <c r="L684" s="334" t="n"/>
      <c r="M684" s="334" t="n"/>
      <c r="N684" s="339" t="n"/>
      <c r="O684" s="368" t="n"/>
      <c r="P684" s="334" t="n"/>
    </row>
    <row r="685">
      <c r="A685" s="334" t="n"/>
      <c r="B685" s="334" t="n"/>
      <c r="C685" s="334" t="n"/>
      <c r="D685" s="334" t="n"/>
      <c r="E685" s="334" t="n"/>
      <c r="F685" s="334" t="n"/>
      <c r="G685" s="334" t="n"/>
      <c r="H685" s="334" t="n"/>
      <c r="I685" s="334" t="n"/>
      <c r="J685" s="334" t="n"/>
      <c r="K685" s="334" t="n"/>
      <c r="L685" s="334" t="n"/>
      <c r="M685" s="334" t="n"/>
      <c r="N685" s="339" t="n"/>
      <c r="O685" s="368" t="n"/>
      <c r="P685" s="334" t="n"/>
    </row>
    <row r="686">
      <c r="A686" s="334" t="n"/>
      <c r="B686" s="334" t="n"/>
      <c r="C686" s="334" t="n"/>
      <c r="D686" s="334" t="n"/>
      <c r="E686" s="334" t="n"/>
      <c r="F686" s="334" t="n"/>
      <c r="G686" s="334" t="n"/>
      <c r="H686" s="334" t="n"/>
      <c r="I686" s="334" t="n"/>
      <c r="J686" s="334" t="n"/>
      <c r="K686" s="334" t="n"/>
      <c r="L686" s="334" t="n"/>
      <c r="M686" s="334" t="n"/>
      <c r="N686" s="339" t="n"/>
      <c r="O686" s="368" t="n"/>
      <c r="P686" s="334" t="n"/>
    </row>
    <row r="687">
      <c r="A687" s="334" t="n"/>
      <c r="B687" s="334" t="n"/>
      <c r="C687" s="334" t="n"/>
      <c r="D687" s="334" t="n"/>
      <c r="E687" s="334" t="n"/>
      <c r="F687" s="334" t="n"/>
      <c r="G687" s="334" t="n"/>
      <c r="H687" s="334" t="n"/>
      <c r="I687" s="334" t="n"/>
      <c r="J687" s="334" t="n"/>
      <c r="K687" s="334" t="n"/>
      <c r="L687" s="334" t="n"/>
      <c r="M687" s="334" t="n"/>
      <c r="N687" s="339" t="n"/>
      <c r="O687" s="368" t="n"/>
      <c r="P687" s="334" t="n"/>
    </row>
    <row r="688">
      <c r="A688" s="334" t="n"/>
      <c r="B688" s="334" t="n"/>
      <c r="C688" s="334" t="n"/>
      <c r="D688" s="334" t="n"/>
      <c r="E688" s="334" t="n"/>
      <c r="F688" s="334" t="n"/>
      <c r="G688" s="334" t="n"/>
      <c r="H688" s="334" t="n"/>
      <c r="I688" s="334" t="n"/>
      <c r="J688" s="334" t="n"/>
      <c r="K688" s="334" t="n"/>
      <c r="L688" s="334" t="n"/>
      <c r="M688" s="334" t="n"/>
      <c r="N688" s="339" t="n"/>
      <c r="O688" s="368" t="n"/>
      <c r="P688" s="334" t="n"/>
    </row>
    <row r="689">
      <c r="A689" s="334" t="n"/>
      <c r="B689" s="334" t="n"/>
      <c r="C689" s="334" t="n"/>
      <c r="D689" s="334" t="n"/>
      <c r="E689" s="334" t="n"/>
      <c r="F689" s="334" t="n"/>
      <c r="G689" s="334" t="n"/>
      <c r="H689" s="334" t="n"/>
      <c r="I689" s="334" t="n"/>
      <c r="J689" s="334" t="n"/>
      <c r="K689" s="334" t="n"/>
      <c r="L689" s="334" t="n"/>
      <c r="M689" s="334" t="n"/>
      <c r="N689" s="339" t="n"/>
      <c r="O689" s="368" t="n"/>
      <c r="P689" s="334" t="n"/>
    </row>
    <row r="690">
      <c r="A690" s="334" t="n"/>
      <c r="B690" s="334" t="n"/>
      <c r="C690" s="334" t="n"/>
      <c r="D690" s="334" t="n"/>
      <c r="E690" s="334" t="n"/>
      <c r="F690" s="334" t="n"/>
      <c r="G690" s="334" t="n"/>
      <c r="H690" s="334" t="n"/>
      <c r="I690" s="334" t="n"/>
      <c r="J690" s="334" t="n"/>
      <c r="K690" s="334" t="n"/>
      <c r="L690" s="334" t="n"/>
      <c r="M690" s="334" t="n"/>
      <c r="N690" s="339" t="n"/>
      <c r="O690" s="368" t="n"/>
      <c r="P690" s="334" t="n"/>
    </row>
    <row r="691">
      <c r="A691" s="334" t="n"/>
      <c r="B691" s="334" t="n"/>
      <c r="C691" s="334" t="n"/>
      <c r="D691" s="334" t="n"/>
      <c r="E691" s="334" t="n"/>
      <c r="F691" s="334" t="n"/>
      <c r="G691" s="334" t="n"/>
      <c r="H691" s="334" t="n"/>
      <c r="I691" s="334" t="n"/>
      <c r="J691" s="334" t="n"/>
      <c r="K691" s="334" t="n"/>
      <c r="L691" s="334" t="n"/>
      <c r="M691" s="334" t="n"/>
      <c r="N691" s="339" t="n"/>
      <c r="O691" s="368" t="n"/>
      <c r="P691" s="334" t="n"/>
    </row>
    <row r="692">
      <c r="A692" s="334" t="n"/>
      <c r="B692" s="334" t="n"/>
      <c r="C692" s="334" t="n"/>
      <c r="D692" s="334" t="n"/>
      <c r="E692" s="334" t="n"/>
      <c r="F692" s="334" t="n"/>
      <c r="G692" s="334" t="n"/>
      <c r="H692" s="334" t="n"/>
      <c r="I692" s="334" t="n"/>
      <c r="J692" s="334" t="n"/>
      <c r="K692" s="334" t="n"/>
      <c r="L692" s="334" t="n"/>
      <c r="M692" s="334" t="n"/>
      <c r="N692" s="339" t="n"/>
      <c r="O692" s="368" t="n"/>
      <c r="P692" s="334" t="n"/>
    </row>
    <row r="693">
      <c r="A693" s="334" t="n"/>
      <c r="B693" s="334" t="n"/>
      <c r="C693" s="334" t="n"/>
      <c r="D693" s="334" t="n"/>
      <c r="E693" s="334" t="n"/>
      <c r="F693" s="334" t="n"/>
      <c r="G693" s="334" t="n"/>
      <c r="H693" s="334" t="n"/>
      <c r="I693" s="334" t="n"/>
      <c r="J693" s="334" t="n"/>
      <c r="K693" s="334" t="n"/>
      <c r="L693" s="334" t="n"/>
      <c r="M693" s="334" t="n"/>
      <c r="N693" s="339" t="n"/>
      <c r="O693" s="368" t="n"/>
      <c r="P693" s="334" t="n"/>
    </row>
    <row r="694">
      <c r="A694" s="334" t="n"/>
      <c r="B694" s="334" t="n"/>
      <c r="C694" s="334" t="n"/>
      <c r="D694" s="334" t="n"/>
      <c r="E694" s="334" t="n"/>
      <c r="F694" s="334" t="n"/>
      <c r="G694" s="334" t="n"/>
      <c r="H694" s="334" t="n"/>
      <c r="I694" s="334" t="n"/>
      <c r="J694" s="334" t="n"/>
      <c r="K694" s="334" t="n"/>
      <c r="L694" s="334" t="n"/>
      <c r="M694" s="334" t="n"/>
      <c r="N694" s="339" t="n"/>
      <c r="O694" s="368" t="n"/>
      <c r="P694" s="334" t="n"/>
    </row>
    <row r="695">
      <c r="A695" s="334" t="n"/>
      <c r="B695" s="334" t="n"/>
      <c r="C695" s="334" t="n"/>
      <c r="D695" s="334" t="n"/>
      <c r="E695" s="334" t="n"/>
      <c r="F695" s="334" t="n"/>
      <c r="G695" s="334" t="n"/>
      <c r="H695" s="334" t="n"/>
      <c r="I695" s="334" t="n"/>
      <c r="J695" s="334" t="n"/>
      <c r="K695" s="334" t="n"/>
      <c r="L695" s="334" t="n"/>
      <c r="M695" s="334" t="n"/>
      <c r="N695" s="339" t="n"/>
      <c r="O695" s="368" t="n"/>
      <c r="P695" s="334" t="n"/>
    </row>
    <row r="696">
      <c r="A696" s="334" t="n"/>
      <c r="B696" s="334" t="n"/>
      <c r="C696" s="334" t="n"/>
      <c r="D696" s="334" t="n"/>
      <c r="E696" s="334" t="n"/>
      <c r="F696" s="334" t="n"/>
      <c r="G696" s="334" t="n"/>
      <c r="H696" s="334" t="n"/>
      <c r="I696" s="334" t="n"/>
      <c r="J696" s="334" t="n"/>
      <c r="K696" s="334" t="n"/>
      <c r="L696" s="334" t="n"/>
      <c r="M696" s="334" t="n"/>
      <c r="N696" s="339" t="n"/>
      <c r="O696" s="368" t="n"/>
      <c r="P696" s="334" t="n"/>
    </row>
    <row r="697">
      <c r="A697" s="334" t="n"/>
      <c r="B697" s="334" t="n"/>
      <c r="C697" s="334" t="n"/>
      <c r="D697" s="334" t="n"/>
      <c r="E697" s="334" t="n"/>
      <c r="F697" s="334" t="n"/>
      <c r="G697" s="334" t="n"/>
      <c r="H697" s="334" t="n"/>
      <c r="I697" s="334" t="n"/>
      <c r="J697" s="334" t="n"/>
      <c r="K697" s="334" t="n"/>
      <c r="L697" s="334" t="n"/>
      <c r="M697" s="334" t="n"/>
      <c r="N697" s="339" t="n"/>
      <c r="O697" s="368" t="n"/>
      <c r="P697" s="334" t="n"/>
    </row>
    <row r="698">
      <c r="A698" s="334" t="n"/>
      <c r="B698" s="334" t="n"/>
      <c r="C698" s="334" t="n"/>
      <c r="D698" s="334" t="n"/>
      <c r="E698" s="334" t="n"/>
      <c r="F698" s="334" t="n"/>
      <c r="G698" s="334" t="n"/>
      <c r="H698" s="334" t="n"/>
      <c r="I698" s="334" t="n"/>
      <c r="J698" s="334" t="n"/>
      <c r="K698" s="334" t="n"/>
      <c r="L698" s="334" t="n"/>
      <c r="M698" s="334" t="n"/>
      <c r="N698" s="339" t="n"/>
      <c r="O698" s="368" t="n"/>
      <c r="P698" s="334" t="n"/>
    </row>
    <row r="699">
      <c r="A699" s="334" t="n"/>
      <c r="B699" s="334" t="n"/>
      <c r="C699" s="334" t="n"/>
      <c r="D699" s="334" t="n"/>
      <c r="E699" s="334" t="n"/>
      <c r="F699" s="334" t="n"/>
      <c r="G699" s="334" t="n"/>
      <c r="H699" s="334" t="n"/>
      <c r="I699" s="334" t="n"/>
      <c r="J699" s="334" t="n"/>
      <c r="K699" s="334" t="n"/>
      <c r="L699" s="334" t="n"/>
      <c r="M699" s="334" t="n"/>
      <c r="N699" s="339" t="n"/>
      <c r="O699" s="368" t="n"/>
      <c r="P699" s="334" t="n"/>
    </row>
    <row r="700">
      <c r="A700" s="334" t="n"/>
      <c r="B700" s="334" t="n"/>
      <c r="C700" s="334" t="n"/>
      <c r="D700" s="334" t="n"/>
      <c r="E700" s="334" t="n"/>
      <c r="F700" s="334" t="n"/>
      <c r="G700" s="334" t="n"/>
      <c r="H700" s="334" t="n"/>
      <c r="I700" s="334" t="n"/>
      <c r="J700" s="334" t="n"/>
      <c r="K700" s="334" t="n"/>
      <c r="L700" s="334" t="n"/>
      <c r="M700" s="334" t="n"/>
      <c r="N700" s="339" t="n"/>
      <c r="O700" s="368" t="n"/>
      <c r="P700" s="334" t="n"/>
    </row>
    <row r="701">
      <c r="A701" s="334" t="n"/>
      <c r="B701" s="334" t="n"/>
      <c r="C701" s="334" t="n"/>
      <c r="D701" s="334" t="n"/>
      <c r="E701" s="334" t="n"/>
      <c r="F701" s="334" t="n"/>
      <c r="G701" s="334" t="n"/>
      <c r="H701" s="334" t="n"/>
      <c r="I701" s="334" t="n"/>
      <c r="J701" s="334" t="n"/>
      <c r="K701" s="334" t="n"/>
      <c r="L701" s="334" t="n"/>
      <c r="M701" s="334" t="n"/>
      <c r="N701" s="339" t="n"/>
      <c r="O701" s="368" t="n"/>
      <c r="P701" s="334" t="n"/>
    </row>
    <row r="702">
      <c r="A702" s="334" t="n"/>
      <c r="B702" s="334" t="n"/>
      <c r="C702" s="334" t="n"/>
      <c r="D702" s="334" t="n"/>
      <c r="E702" s="334" t="n"/>
      <c r="F702" s="334" t="n"/>
      <c r="G702" s="334" t="n"/>
      <c r="H702" s="334" t="n"/>
      <c r="I702" s="334" t="n"/>
      <c r="J702" s="334" t="n"/>
      <c r="K702" s="334" t="n"/>
      <c r="L702" s="334" t="n"/>
      <c r="M702" s="334" t="n"/>
      <c r="N702" s="339" t="n"/>
      <c r="O702" s="368" t="n"/>
      <c r="P702" s="334" t="n"/>
    </row>
    <row r="703">
      <c r="A703" s="334" t="n"/>
      <c r="B703" s="334" t="n"/>
      <c r="C703" s="334" t="n"/>
      <c r="D703" s="334" t="n"/>
      <c r="E703" s="334" t="n"/>
      <c r="F703" s="334" t="n"/>
      <c r="G703" s="334" t="n"/>
      <c r="H703" s="334" t="n"/>
      <c r="I703" s="334" t="n"/>
      <c r="J703" s="334" t="n"/>
      <c r="K703" s="334" t="n"/>
      <c r="L703" s="334" t="n"/>
      <c r="M703" s="334" t="n"/>
      <c r="N703" s="339" t="n"/>
      <c r="O703" s="368" t="n"/>
      <c r="P703" s="334" t="n"/>
    </row>
    <row r="704">
      <c r="A704" s="334" t="n"/>
      <c r="B704" s="334" t="n"/>
      <c r="C704" s="334" t="n"/>
      <c r="D704" s="334" t="n"/>
      <c r="E704" s="334" t="n"/>
      <c r="F704" s="334" t="n"/>
      <c r="G704" s="334" t="n"/>
      <c r="H704" s="334" t="n"/>
      <c r="I704" s="334" t="n"/>
      <c r="J704" s="334" t="n"/>
      <c r="K704" s="334" t="n"/>
      <c r="L704" s="334" t="n"/>
      <c r="M704" s="334" t="n"/>
      <c r="N704" s="339" t="n"/>
      <c r="O704" s="368" t="n"/>
      <c r="P704" s="334" t="n"/>
    </row>
    <row r="705">
      <c r="A705" s="334" t="n"/>
      <c r="B705" s="334" t="n"/>
      <c r="C705" s="334" t="n"/>
      <c r="D705" s="334" t="n"/>
      <c r="E705" s="334" t="n"/>
      <c r="F705" s="334" t="n"/>
      <c r="G705" s="334" t="n"/>
      <c r="H705" s="334" t="n"/>
      <c r="I705" s="334" t="n"/>
      <c r="J705" s="334" t="n"/>
      <c r="K705" s="334" t="n"/>
      <c r="L705" s="334" t="n"/>
      <c r="M705" s="334" t="n"/>
      <c r="N705" s="339" t="n"/>
      <c r="O705" s="368" t="n"/>
      <c r="P705" s="334" t="n"/>
    </row>
    <row r="706">
      <c r="A706" s="334" t="n"/>
      <c r="B706" s="334" t="n"/>
      <c r="C706" s="334" t="n"/>
      <c r="D706" s="334" t="n"/>
      <c r="E706" s="334" t="n"/>
      <c r="F706" s="334" t="n"/>
      <c r="G706" s="334" t="n"/>
      <c r="H706" s="334" t="n"/>
      <c r="I706" s="334" t="n"/>
      <c r="J706" s="334" t="n"/>
      <c r="K706" s="334" t="n"/>
      <c r="L706" s="334" t="n"/>
      <c r="M706" s="334" t="n"/>
      <c r="N706" s="339" t="n"/>
      <c r="O706" s="368" t="n"/>
      <c r="P706" s="334" t="n"/>
    </row>
    <row r="707">
      <c r="A707" s="334" t="n"/>
      <c r="B707" s="334" t="n"/>
      <c r="C707" s="334" t="n"/>
      <c r="D707" s="334" t="n"/>
      <c r="E707" s="334" t="n"/>
      <c r="F707" s="334" t="n"/>
      <c r="G707" s="334" t="n"/>
      <c r="H707" s="334" t="n"/>
      <c r="I707" s="334" t="n"/>
      <c r="J707" s="334" t="n"/>
      <c r="K707" s="334" t="n"/>
      <c r="L707" s="334" t="n"/>
      <c r="M707" s="334" t="n"/>
      <c r="N707" s="339" t="n"/>
      <c r="O707" s="368" t="n"/>
      <c r="P707" s="334" t="n"/>
    </row>
    <row r="708">
      <c r="A708" s="334" t="n"/>
      <c r="B708" s="334" t="n"/>
      <c r="C708" s="334" t="n"/>
      <c r="D708" s="334" t="n"/>
      <c r="E708" s="334" t="n"/>
      <c r="F708" s="334" t="n"/>
      <c r="G708" s="334" t="n"/>
      <c r="H708" s="334" t="n"/>
      <c r="I708" s="334" t="n"/>
      <c r="J708" s="334" t="n"/>
      <c r="K708" s="334" t="n"/>
      <c r="L708" s="334" t="n"/>
      <c r="M708" s="334" t="n"/>
      <c r="N708" s="339" t="n"/>
      <c r="O708" s="368" t="n"/>
      <c r="P708" s="334" t="n"/>
    </row>
    <row r="709">
      <c r="A709" s="334" t="n"/>
      <c r="B709" s="334" t="n"/>
      <c r="C709" s="334" t="n"/>
      <c r="D709" s="334" t="n"/>
      <c r="E709" s="334" t="n"/>
      <c r="F709" s="334" t="n"/>
      <c r="G709" s="334" t="n"/>
      <c r="H709" s="334" t="n"/>
      <c r="I709" s="334" t="n"/>
      <c r="J709" s="334" t="n"/>
      <c r="K709" s="334" t="n"/>
      <c r="L709" s="334" t="n"/>
      <c r="M709" s="334" t="n"/>
      <c r="N709" s="339" t="n"/>
      <c r="O709" s="368" t="n"/>
      <c r="P709" s="334" t="n"/>
    </row>
    <row r="710">
      <c r="A710" s="334" t="n"/>
      <c r="B710" s="334" t="n"/>
      <c r="C710" s="334" t="n"/>
      <c r="D710" s="334" t="n"/>
      <c r="E710" s="334" t="n"/>
      <c r="F710" s="334" t="n"/>
      <c r="G710" s="334" t="n"/>
      <c r="H710" s="334" t="n"/>
      <c r="I710" s="334" t="n"/>
      <c r="J710" s="334" t="n"/>
      <c r="K710" s="334" t="n"/>
      <c r="L710" s="334" t="n"/>
      <c r="M710" s="334" t="n"/>
      <c r="N710" s="339" t="n"/>
      <c r="O710" s="368" t="n"/>
      <c r="P710" s="334" t="n"/>
    </row>
    <row r="711">
      <c r="A711" s="334" t="n"/>
      <c r="B711" s="334" t="n"/>
      <c r="C711" s="334" t="n"/>
      <c r="D711" s="334" t="n"/>
      <c r="E711" s="334" t="n"/>
      <c r="F711" s="334" t="n"/>
      <c r="G711" s="334" t="n"/>
      <c r="H711" s="334" t="n"/>
      <c r="I711" s="334" t="n"/>
      <c r="J711" s="334" t="n"/>
      <c r="K711" s="334" t="n"/>
      <c r="L711" s="334" t="n"/>
      <c r="M711" s="334" t="n"/>
      <c r="N711" s="339" t="n"/>
      <c r="O711" s="368" t="n"/>
      <c r="P711" s="334" t="n"/>
    </row>
    <row r="712">
      <c r="A712" s="334" t="n"/>
      <c r="B712" s="334" t="n"/>
      <c r="C712" s="334" t="n"/>
      <c r="D712" s="334" t="n"/>
      <c r="E712" s="334" t="n"/>
      <c r="F712" s="334" t="n"/>
      <c r="G712" s="334" t="n"/>
      <c r="H712" s="334" t="n"/>
      <c r="I712" s="334" t="n"/>
      <c r="J712" s="334" t="n"/>
      <c r="K712" s="334" t="n"/>
      <c r="L712" s="334" t="n"/>
      <c r="M712" s="334" t="n"/>
      <c r="N712" s="339" t="n"/>
      <c r="O712" s="368" t="n"/>
      <c r="P712" s="334" t="n"/>
    </row>
    <row r="713">
      <c r="A713" s="334" t="n"/>
      <c r="B713" s="334" t="n"/>
      <c r="C713" s="334" t="n"/>
      <c r="D713" s="334" t="n"/>
      <c r="E713" s="334" t="n"/>
      <c r="F713" s="334" t="n"/>
      <c r="G713" s="334" t="n"/>
      <c r="H713" s="334" t="n"/>
      <c r="I713" s="334" t="n"/>
      <c r="J713" s="334" t="n"/>
      <c r="K713" s="334" t="n"/>
      <c r="L713" s="334" t="n"/>
      <c r="M713" s="334" t="n"/>
      <c r="N713" s="339" t="n"/>
      <c r="O713" s="368" t="n"/>
      <c r="P713" s="334" t="n"/>
    </row>
    <row r="714">
      <c r="A714" s="334" t="n"/>
      <c r="B714" s="334" t="n"/>
      <c r="C714" s="334" t="n"/>
      <c r="D714" s="334" t="n"/>
      <c r="E714" s="334" t="n"/>
      <c r="F714" s="334" t="n"/>
      <c r="G714" s="334" t="n"/>
      <c r="H714" s="334" t="n"/>
      <c r="I714" s="334" t="n"/>
      <c r="J714" s="334" t="n"/>
      <c r="K714" s="334" t="n"/>
      <c r="L714" s="334" t="n"/>
      <c r="M714" s="334" t="n"/>
      <c r="N714" s="339" t="n"/>
      <c r="O714" s="368" t="n"/>
      <c r="P714" s="334" t="n"/>
    </row>
    <row r="715">
      <c r="A715" s="334" t="n"/>
      <c r="B715" s="334" t="n"/>
      <c r="C715" s="334" t="n"/>
      <c r="D715" s="334" t="n"/>
      <c r="E715" s="334" t="n"/>
      <c r="F715" s="334" t="n"/>
      <c r="G715" s="334" t="n"/>
      <c r="H715" s="334" t="n"/>
      <c r="I715" s="334" t="n"/>
      <c r="J715" s="334" t="n"/>
      <c r="K715" s="334" t="n"/>
      <c r="L715" s="334" t="n"/>
      <c r="M715" s="334" t="n"/>
      <c r="N715" s="339" t="n"/>
      <c r="O715" s="368" t="n"/>
      <c r="P715" s="334" t="n"/>
    </row>
    <row r="716">
      <c r="A716" s="334" t="n"/>
      <c r="B716" s="334" t="n"/>
      <c r="C716" s="334" t="n"/>
      <c r="D716" s="334" t="n"/>
      <c r="E716" s="334" t="n"/>
      <c r="F716" s="334" t="n"/>
      <c r="G716" s="334" t="n"/>
      <c r="H716" s="334" t="n"/>
      <c r="I716" s="334" t="n"/>
      <c r="J716" s="334" t="n"/>
      <c r="K716" s="334" t="n"/>
      <c r="L716" s="334" t="n"/>
      <c r="M716" s="334" t="n"/>
      <c r="N716" s="339" t="n"/>
      <c r="O716" s="368" t="n"/>
      <c r="P716" s="334" t="n"/>
    </row>
    <row r="717">
      <c r="A717" s="334" t="n"/>
      <c r="B717" s="334" t="n"/>
      <c r="C717" s="334" t="n"/>
      <c r="D717" s="334" t="n"/>
      <c r="E717" s="334" t="n"/>
      <c r="F717" s="334" t="n"/>
      <c r="G717" s="334" t="n"/>
      <c r="H717" s="334" t="n"/>
      <c r="I717" s="334" t="n"/>
      <c r="J717" s="334" t="n"/>
      <c r="K717" s="334" t="n"/>
      <c r="L717" s="334" t="n"/>
      <c r="M717" s="334" t="n"/>
      <c r="N717" s="339" t="n"/>
      <c r="O717" s="368" t="n"/>
      <c r="P717" s="334" t="n"/>
    </row>
    <row r="718">
      <c r="A718" s="334" t="n"/>
      <c r="B718" s="334" t="n"/>
      <c r="C718" s="334" t="n"/>
      <c r="D718" s="334" t="n"/>
      <c r="E718" s="334" t="n"/>
      <c r="F718" s="334" t="n"/>
      <c r="G718" s="334" t="n"/>
      <c r="H718" s="334" t="n"/>
      <c r="I718" s="334" t="n"/>
      <c r="J718" s="334" t="n"/>
      <c r="K718" s="334" t="n"/>
      <c r="L718" s="334" t="n"/>
      <c r="M718" s="334" t="n"/>
      <c r="N718" s="339" t="n"/>
      <c r="O718" s="368" t="n"/>
      <c r="P718" s="334" t="n"/>
    </row>
    <row r="719">
      <c r="A719" s="334" t="n"/>
      <c r="B719" s="334" t="n"/>
      <c r="C719" s="334" t="n"/>
      <c r="D719" s="334" t="n"/>
      <c r="E719" s="334" t="n"/>
      <c r="F719" s="334" t="n"/>
      <c r="G719" s="334" t="n"/>
      <c r="H719" s="334" t="n"/>
      <c r="I719" s="334" t="n"/>
      <c r="J719" s="334" t="n"/>
      <c r="K719" s="334" t="n"/>
      <c r="L719" s="334" t="n"/>
      <c r="M719" s="334" t="n"/>
      <c r="N719" s="339" t="n"/>
      <c r="O719" s="368" t="n"/>
      <c r="P719" s="334" t="n"/>
    </row>
    <row r="720">
      <c r="A720" s="334" t="n"/>
      <c r="B720" s="334" t="n"/>
      <c r="C720" s="334" t="n"/>
      <c r="D720" s="334" t="n"/>
      <c r="E720" s="334" t="n"/>
      <c r="F720" s="334" t="n"/>
      <c r="G720" s="334" t="n"/>
      <c r="H720" s="334" t="n"/>
      <c r="I720" s="334" t="n"/>
      <c r="J720" s="334" t="n"/>
      <c r="K720" s="334" t="n"/>
      <c r="L720" s="334" t="n"/>
      <c r="M720" s="334" t="n"/>
      <c r="N720" s="339" t="n"/>
      <c r="O720" s="368" t="n"/>
      <c r="P720" s="334" t="n"/>
    </row>
    <row r="721">
      <c r="A721" s="334" t="n"/>
      <c r="B721" s="334" t="n"/>
      <c r="C721" s="334" t="n"/>
      <c r="D721" s="334" t="n"/>
      <c r="E721" s="334" t="n"/>
      <c r="F721" s="334" t="n"/>
      <c r="G721" s="334" t="n"/>
      <c r="H721" s="334" t="n"/>
      <c r="I721" s="334" t="n"/>
      <c r="J721" s="334" t="n"/>
      <c r="K721" s="334" t="n"/>
      <c r="L721" s="334" t="n"/>
      <c r="M721" s="334" t="n"/>
      <c r="N721" s="339" t="n"/>
      <c r="O721" s="368" t="n"/>
      <c r="P721" s="334" t="n"/>
    </row>
    <row r="722">
      <c r="A722" s="334" t="n"/>
      <c r="B722" s="334" t="n"/>
      <c r="C722" s="334" t="n"/>
      <c r="D722" s="334" t="n"/>
      <c r="E722" s="334" t="n"/>
      <c r="F722" s="334" t="n"/>
      <c r="G722" s="334" t="n"/>
      <c r="H722" s="334" t="n"/>
      <c r="I722" s="334" t="n"/>
      <c r="J722" s="334" t="n"/>
      <c r="K722" s="334" t="n"/>
      <c r="L722" s="334" t="n"/>
      <c r="M722" s="334" t="n"/>
      <c r="N722" s="339" t="n"/>
      <c r="O722" s="368" t="n"/>
      <c r="P722" s="334" t="n"/>
    </row>
    <row r="723">
      <c r="A723" s="334" t="n"/>
      <c r="B723" s="334" t="n"/>
      <c r="C723" s="334" t="n"/>
      <c r="D723" s="334" t="n"/>
      <c r="E723" s="334" t="n"/>
      <c r="F723" s="334" t="n"/>
      <c r="G723" s="334" t="n"/>
      <c r="H723" s="334" t="n"/>
      <c r="I723" s="334" t="n"/>
      <c r="J723" s="334" t="n"/>
      <c r="K723" s="334" t="n"/>
      <c r="L723" s="334" t="n"/>
      <c r="M723" s="334" t="n"/>
      <c r="N723" s="339" t="n"/>
      <c r="O723" s="368" t="n"/>
      <c r="P723" s="334" t="n"/>
    </row>
    <row r="724">
      <c r="A724" s="334" t="n"/>
      <c r="B724" s="334" t="n"/>
      <c r="C724" s="334" t="n"/>
      <c r="D724" s="334" t="n"/>
      <c r="E724" s="334" t="n"/>
      <c r="F724" s="334" t="n"/>
      <c r="G724" s="334" t="n"/>
      <c r="H724" s="334" t="n"/>
      <c r="I724" s="334" t="n"/>
      <c r="J724" s="334" t="n"/>
      <c r="K724" s="334" t="n"/>
      <c r="L724" s="334" t="n"/>
      <c r="M724" s="334" t="n"/>
      <c r="N724" s="339" t="n"/>
      <c r="O724" s="368" t="n"/>
      <c r="P724" s="334" t="n"/>
    </row>
    <row r="725">
      <c r="A725" s="334" t="n"/>
      <c r="B725" s="334" t="n"/>
      <c r="C725" s="334" t="n"/>
      <c r="D725" s="334" t="n"/>
      <c r="E725" s="334" t="n"/>
      <c r="F725" s="334" t="n"/>
      <c r="G725" s="334" t="n"/>
      <c r="H725" s="334" t="n"/>
      <c r="I725" s="334" t="n"/>
      <c r="J725" s="334" t="n"/>
      <c r="K725" s="334" t="n"/>
      <c r="L725" s="334" t="n"/>
      <c r="M725" s="334" t="n"/>
      <c r="N725" s="339" t="n"/>
      <c r="O725" s="368" t="n"/>
      <c r="P725" s="334" t="n"/>
    </row>
    <row r="726">
      <c r="A726" s="334" t="n"/>
      <c r="B726" s="334" t="n"/>
      <c r="C726" s="334" t="n"/>
      <c r="D726" s="334" t="n"/>
      <c r="E726" s="334" t="n"/>
      <c r="F726" s="334" t="n"/>
      <c r="G726" s="334" t="n"/>
      <c r="H726" s="334" t="n"/>
      <c r="I726" s="334" t="n"/>
      <c r="J726" s="334" t="n"/>
      <c r="K726" s="334" t="n"/>
      <c r="L726" s="334" t="n"/>
      <c r="M726" s="334" t="n"/>
      <c r="N726" s="339" t="n"/>
      <c r="O726" s="368" t="n"/>
      <c r="P726" s="334" t="n"/>
    </row>
    <row r="727">
      <c r="A727" s="334" t="n"/>
      <c r="B727" s="334" t="n"/>
      <c r="C727" s="334" t="n"/>
      <c r="D727" s="334" t="n"/>
      <c r="E727" s="334" t="n"/>
      <c r="F727" s="334" t="n"/>
      <c r="G727" s="334" t="n"/>
      <c r="H727" s="334" t="n"/>
      <c r="I727" s="334" t="n"/>
      <c r="J727" s="334" t="n"/>
      <c r="K727" s="334" t="n"/>
      <c r="L727" s="334" t="n"/>
      <c r="M727" s="334" t="n"/>
      <c r="N727" s="339" t="n"/>
      <c r="O727" s="368" t="n"/>
      <c r="P727" s="334" t="n"/>
    </row>
    <row r="728">
      <c r="A728" s="334" t="n"/>
      <c r="B728" s="334" t="n"/>
      <c r="C728" s="334" t="n"/>
      <c r="D728" s="334" t="n"/>
      <c r="E728" s="334" t="n"/>
      <c r="F728" s="334" t="n"/>
      <c r="G728" s="334" t="n"/>
      <c r="H728" s="334" t="n"/>
      <c r="I728" s="334" t="n"/>
      <c r="J728" s="334" t="n"/>
      <c r="K728" s="334" t="n"/>
      <c r="L728" s="334" t="n"/>
      <c r="M728" s="334" t="n"/>
      <c r="N728" s="339" t="n"/>
      <c r="O728" s="368" t="n"/>
      <c r="P728" s="334" t="n"/>
    </row>
    <row r="729">
      <c r="A729" s="334" t="n"/>
      <c r="B729" s="334" t="n"/>
      <c r="C729" s="334" t="n"/>
      <c r="D729" s="334" t="n"/>
      <c r="E729" s="334" t="n"/>
      <c r="F729" s="334" t="n"/>
      <c r="G729" s="334" t="n"/>
      <c r="H729" s="334" t="n"/>
      <c r="I729" s="334" t="n"/>
      <c r="J729" s="334" t="n"/>
      <c r="K729" s="334" t="n"/>
      <c r="L729" s="334" t="n"/>
      <c r="M729" s="334" t="n"/>
      <c r="N729" s="339" t="n"/>
      <c r="O729" s="368" t="n"/>
      <c r="P729" s="334" t="n"/>
    </row>
    <row r="730">
      <c r="A730" s="334" t="n"/>
      <c r="B730" s="334" t="n"/>
      <c r="C730" s="334" t="n"/>
      <c r="D730" s="334" t="n"/>
      <c r="E730" s="334" t="n"/>
      <c r="F730" s="334" t="n"/>
      <c r="G730" s="334" t="n"/>
      <c r="H730" s="334" t="n"/>
      <c r="I730" s="334" t="n"/>
      <c r="J730" s="334" t="n"/>
      <c r="K730" s="334" t="n"/>
      <c r="L730" s="334" t="n"/>
      <c r="M730" s="334" t="n"/>
      <c r="N730" s="339" t="n"/>
      <c r="O730" s="368" t="n"/>
      <c r="P730" s="334" t="n"/>
    </row>
    <row r="731">
      <c r="A731" s="334" t="n"/>
      <c r="B731" s="334" t="n"/>
      <c r="C731" s="334" t="n"/>
      <c r="D731" s="334" t="n"/>
      <c r="E731" s="334" t="n"/>
      <c r="F731" s="334" t="n"/>
      <c r="G731" s="334" t="n"/>
      <c r="H731" s="334" t="n"/>
      <c r="I731" s="334" t="n"/>
      <c r="J731" s="334" t="n"/>
      <c r="K731" s="334" t="n"/>
      <c r="L731" s="334" t="n"/>
      <c r="M731" s="334" t="n"/>
      <c r="N731" s="339" t="n"/>
      <c r="O731" s="368" t="n"/>
      <c r="P731" s="334" t="n"/>
    </row>
    <row r="732">
      <c r="A732" s="334" t="n"/>
      <c r="B732" s="334" t="n"/>
      <c r="C732" s="334" t="n"/>
      <c r="D732" s="334" t="n"/>
      <c r="E732" s="334" t="n"/>
      <c r="F732" s="334" t="n"/>
      <c r="G732" s="334" t="n"/>
      <c r="H732" s="334" t="n"/>
      <c r="I732" s="334" t="n"/>
      <c r="J732" s="334" t="n"/>
      <c r="K732" s="334" t="n"/>
      <c r="L732" s="334" t="n"/>
      <c r="M732" s="334" t="n"/>
      <c r="N732" s="339" t="n"/>
      <c r="O732" s="368" t="n"/>
      <c r="P732" s="334" t="n"/>
    </row>
    <row r="733">
      <c r="A733" s="334" t="n"/>
      <c r="B733" s="334" t="n"/>
      <c r="C733" s="334" t="n"/>
      <c r="D733" s="334" t="n"/>
      <c r="E733" s="334" t="n"/>
      <c r="F733" s="334" t="n"/>
      <c r="G733" s="334" t="n"/>
      <c r="H733" s="334" t="n"/>
      <c r="I733" s="334" t="n"/>
      <c r="J733" s="334" t="n"/>
      <c r="K733" s="334" t="n"/>
      <c r="L733" s="334" t="n"/>
      <c r="M733" s="334" t="n"/>
      <c r="N733" s="339" t="n"/>
      <c r="O733" s="368" t="n"/>
      <c r="P733" s="334" t="n"/>
    </row>
    <row r="734">
      <c r="A734" s="334" t="n"/>
      <c r="B734" s="334" t="n"/>
      <c r="C734" s="334" t="n"/>
      <c r="D734" s="334" t="n"/>
      <c r="E734" s="334" t="n"/>
      <c r="F734" s="334" t="n"/>
      <c r="G734" s="334" t="n"/>
      <c r="H734" s="334" t="n"/>
      <c r="I734" s="334" t="n"/>
      <c r="J734" s="334" t="n"/>
      <c r="K734" s="334" t="n"/>
      <c r="L734" s="334" t="n"/>
      <c r="M734" s="334" t="n"/>
      <c r="N734" s="339" t="n"/>
      <c r="O734" s="368" t="n"/>
      <c r="P734" s="334" t="n"/>
    </row>
    <row r="735">
      <c r="A735" s="334" t="n"/>
      <c r="B735" s="334" t="n"/>
      <c r="C735" s="334" t="n"/>
      <c r="D735" s="334" t="n"/>
      <c r="E735" s="334" t="n"/>
      <c r="F735" s="334" t="n"/>
      <c r="G735" s="334" t="n"/>
      <c r="H735" s="334" t="n"/>
      <c r="I735" s="334" t="n"/>
      <c r="J735" s="334" t="n"/>
      <c r="K735" s="334" t="n"/>
      <c r="L735" s="334" t="n"/>
      <c r="M735" s="334" t="n"/>
      <c r="N735" s="339" t="n"/>
      <c r="O735" s="368" t="n"/>
      <c r="P735" s="334" t="n"/>
    </row>
    <row r="736">
      <c r="A736" s="334" t="n"/>
      <c r="B736" s="334" t="n"/>
      <c r="C736" s="334" t="n"/>
      <c r="D736" s="334" t="n"/>
      <c r="E736" s="334" t="n"/>
      <c r="F736" s="334" t="n"/>
      <c r="G736" s="334" t="n"/>
      <c r="H736" s="334" t="n"/>
      <c r="I736" s="334" t="n"/>
      <c r="J736" s="334" t="n"/>
      <c r="K736" s="334" t="n"/>
      <c r="L736" s="334" t="n"/>
      <c r="M736" s="334" t="n"/>
      <c r="N736" s="339" t="n"/>
      <c r="O736" s="368" t="n"/>
      <c r="P736" s="334" t="n"/>
    </row>
    <row r="737">
      <c r="A737" s="334" t="n"/>
      <c r="B737" s="334" t="n"/>
      <c r="C737" s="334" t="n"/>
      <c r="D737" s="334" t="n"/>
      <c r="E737" s="334" t="n"/>
      <c r="F737" s="334" t="n"/>
      <c r="G737" s="334" t="n"/>
      <c r="H737" s="334" t="n"/>
      <c r="I737" s="334" t="n"/>
      <c r="J737" s="334" t="n"/>
      <c r="K737" s="334" t="n"/>
      <c r="L737" s="334" t="n"/>
      <c r="M737" s="334" t="n"/>
      <c r="N737" s="339" t="n"/>
      <c r="O737" s="368" t="n"/>
      <c r="P737" s="334" t="n"/>
    </row>
    <row r="738">
      <c r="A738" s="334" t="n"/>
      <c r="B738" s="334" t="n"/>
      <c r="C738" s="334" t="n"/>
      <c r="D738" s="334" t="n"/>
      <c r="E738" s="334" t="n"/>
      <c r="F738" s="334" t="n"/>
      <c r="G738" s="334" t="n"/>
      <c r="H738" s="334" t="n"/>
      <c r="I738" s="334" t="n"/>
      <c r="J738" s="334" t="n"/>
      <c r="K738" s="334" t="n"/>
      <c r="L738" s="334" t="n"/>
      <c r="M738" s="334" t="n"/>
      <c r="N738" s="339" t="n"/>
      <c r="O738" s="368" t="n"/>
      <c r="P738" s="334" t="n"/>
    </row>
    <row r="739">
      <c r="A739" s="334" t="n"/>
      <c r="B739" s="334" t="n"/>
      <c r="C739" s="334" t="n"/>
      <c r="D739" s="334" t="n"/>
      <c r="E739" s="334" t="n"/>
      <c r="F739" s="334" t="n"/>
      <c r="G739" s="334" t="n"/>
      <c r="H739" s="334" t="n"/>
      <c r="I739" s="334" t="n"/>
      <c r="J739" s="334" t="n"/>
      <c r="K739" s="334" t="n"/>
      <c r="L739" s="334" t="n"/>
      <c r="M739" s="334" t="n"/>
      <c r="N739" s="339" t="n"/>
      <c r="O739" s="368" t="n"/>
      <c r="P739" s="334" t="n"/>
    </row>
    <row r="740">
      <c r="A740" s="334" t="n"/>
      <c r="B740" s="334" t="n"/>
      <c r="C740" s="334" t="n"/>
      <c r="D740" s="334" t="n"/>
      <c r="E740" s="334" t="n"/>
      <c r="F740" s="334" t="n"/>
      <c r="G740" s="334" t="n"/>
      <c r="H740" s="334" t="n"/>
      <c r="I740" s="334" t="n"/>
      <c r="J740" s="334" t="n"/>
      <c r="K740" s="334" t="n"/>
      <c r="L740" s="334" t="n"/>
      <c r="M740" s="334" t="n"/>
      <c r="N740" s="339" t="n"/>
      <c r="O740" s="368" t="n"/>
      <c r="P740" s="334" t="n"/>
    </row>
    <row r="741">
      <c r="A741" s="334" t="n"/>
      <c r="B741" s="334" t="n"/>
      <c r="C741" s="334" t="n"/>
      <c r="D741" s="334" t="n"/>
      <c r="E741" s="334" t="n"/>
      <c r="F741" s="334" t="n"/>
      <c r="G741" s="334" t="n"/>
      <c r="H741" s="334" t="n"/>
      <c r="I741" s="334" t="n"/>
      <c r="J741" s="334" t="n"/>
      <c r="K741" s="334" t="n"/>
      <c r="L741" s="334" t="n"/>
      <c r="M741" s="334" t="n"/>
      <c r="N741" s="339" t="n"/>
      <c r="O741" s="368" t="n"/>
      <c r="P741" s="334" t="n"/>
    </row>
    <row r="742">
      <c r="A742" s="334" t="n"/>
      <c r="B742" s="334" t="n"/>
      <c r="C742" s="334" t="n"/>
      <c r="D742" s="334" t="n"/>
      <c r="E742" s="334" t="n"/>
      <c r="F742" s="334" t="n"/>
      <c r="G742" s="334" t="n"/>
      <c r="H742" s="334" t="n"/>
      <c r="I742" s="334" t="n"/>
      <c r="J742" s="334" t="n"/>
      <c r="K742" s="334" t="n"/>
      <c r="L742" s="334" t="n"/>
      <c r="M742" s="334" t="n"/>
      <c r="N742" s="339" t="n"/>
      <c r="O742" s="368" t="n"/>
      <c r="P742" s="334" t="n"/>
    </row>
    <row r="743">
      <c r="A743" s="334" t="n"/>
      <c r="B743" s="334" t="n"/>
      <c r="C743" s="334" t="n"/>
      <c r="D743" s="334" t="n"/>
      <c r="E743" s="334" t="n"/>
      <c r="F743" s="334" t="n"/>
      <c r="G743" s="334" t="n"/>
      <c r="H743" s="334" t="n"/>
      <c r="I743" s="334" t="n"/>
      <c r="J743" s="334" t="n"/>
      <c r="K743" s="334" t="n"/>
      <c r="L743" s="334" t="n"/>
      <c r="M743" s="334" t="n"/>
      <c r="N743" s="339" t="n"/>
      <c r="O743" s="368" t="n"/>
      <c r="P743" s="334" t="n"/>
    </row>
    <row r="744">
      <c r="A744" s="334" t="n"/>
      <c r="B744" s="334" t="n"/>
      <c r="C744" s="334" t="n"/>
      <c r="D744" s="334" t="n"/>
      <c r="E744" s="334" t="n"/>
      <c r="F744" s="334" t="n"/>
      <c r="G744" s="334" t="n"/>
      <c r="H744" s="334" t="n"/>
      <c r="I744" s="334" t="n"/>
      <c r="J744" s="334" t="n"/>
      <c r="K744" s="334" t="n"/>
      <c r="L744" s="334" t="n"/>
      <c r="M744" s="334" t="n"/>
      <c r="N744" s="339" t="n"/>
      <c r="O744" s="368" t="n"/>
      <c r="P744" s="334" t="n"/>
    </row>
    <row r="745">
      <c r="A745" s="334" t="n"/>
      <c r="B745" s="334" t="n"/>
      <c r="C745" s="334" t="n"/>
      <c r="D745" s="334" t="n"/>
      <c r="E745" s="334" t="n"/>
      <c r="F745" s="334" t="n"/>
      <c r="G745" s="334" t="n"/>
      <c r="H745" s="334" t="n"/>
      <c r="I745" s="334" t="n"/>
      <c r="J745" s="334" t="n"/>
      <c r="K745" s="334" t="n"/>
      <c r="L745" s="334" t="n"/>
      <c r="M745" s="334" t="n"/>
      <c r="N745" s="339" t="n"/>
      <c r="O745" s="368" t="n"/>
      <c r="P745" s="334" t="n"/>
    </row>
    <row r="746">
      <c r="A746" s="334" t="n"/>
      <c r="B746" s="334" t="n"/>
      <c r="C746" s="334" t="n"/>
      <c r="D746" s="334" t="n"/>
      <c r="E746" s="334" t="n"/>
      <c r="F746" s="334" t="n"/>
      <c r="G746" s="334" t="n"/>
      <c r="H746" s="334" t="n"/>
      <c r="I746" s="334" t="n"/>
      <c r="J746" s="334" t="n"/>
      <c r="K746" s="334" t="n"/>
      <c r="L746" s="334" t="n"/>
      <c r="M746" s="334" t="n"/>
      <c r="N746" s="339" t="n"/>
      <c r="O746" s="368" t="n"/>
      <c r="P746" s="334" t="n"/>
    </row>
    <row r="747">
      <c r="A747" s="334" t="n"/>
      <c r="B747" s="334" t="n"/>
      <c r="C747" s="334" t="n"/>
      <c r="D747" s="334" t="n"/>
      <c r="E747" s="334" t="n"/>
      <c r="F747" s="334" t="n"/>
      <c r="G747" s="334" t="n"/>
      <c r="H747" s="334" t="n"/>
      <c r="I747" s="334" t="n"/>
      <c r="J747" s="334" t="n"/>
      <c r="K747" s="334" t="n"/>
      <c r="L747" s="334" t="n"/>
      <c r="M747" s="334" t="n"/>
      <c r="N747" s="339" t="n"/>
      <c r="O747" s="368" t="n"/>
      <c r="P747" s="334" t="n"/>
    </row>
    <row r="748">
      <c r="A748" s="334" t="n"/>
      <c r="B748" s="334" t="n"/>
      <c r="C748" s="334" t="n"/>
      <c r="D748" s="334" t="n"/>
      <c r="E748" s="334" t="n"/>
      <c r="F748" s="334" t="n"/>
      <c r="G748" s="334" t="n"/>
      <c r="H748" s="334" t="n"/>
      <c r="I748" s="334" t="n"/>
      <c r="J748" s="334" t="n"/>
      <c r="K748" s="334" t="n"/>
      <c r="L748" s="334" t="n"/>
      <c r="M748" s="334" t="n"/>
      <c r="N748" s="339" t="n"/>
      <c r="O748" s="368" t="n"/>
      <c r="P748" s="334" t="n"/>
    </row>
    <row r="749">
      <c r="A749" s="334" t="n"/>
      <c r="B749" s="334" t="n"/>
      <c r="C749" s="334" t="n"/>
      <c r="D749" s="334" t="n"/>
      <c r="E749" s="334" t="n"/>
      <c r="F749" s="334" t="n"/>
      <c r="G749" s="334" t="n"/>
      <c r="H749" s="334" t="n"/>
      <c r="I749" s="334" t="n"/>
      <c r="J749" s="334" t="n"/>
      <c r="K749" s="334" t="n"/>
      <c r="L749" s="334" t="n"/>
      <c r="M749" s="334" t="n"/>
      <c r="N749" s="339" t="n"/>
      <c r="O749" s="368" t="n"/>
      <c r="P749" s="334" t="n"/>
    </row>
    <row r="750">
      <c r="A750" s="334" t="n"/>
      <c r="B750" s="334" t="n"/>
      <c r="C750" s="334" t="n"/>
      <c r="D750" s="334" t="n"/>
      <c r="E750" s="334" t="n"/>
      <c r="F750" s="334" t="n"/>
      <c r="G750" s="334" t="n"/>
      <c r="H750" s="334" t="n"/>
      <c r="I750" s="334" t="n"/>
      <c r="J750" s="334" t="n"/>
      <c r="K750" s="334" t="n"/>
      <c r="L750" s="334" t="n"/>
      <c r="M750" s="334" t="n"/>
      <c r="N750" s="339" t="n"/>
      <c r="O750" s="368" t="n"/>
      <c r="P750" s="334" t="n"/>
    </row>
    <row r="751">
      <c r="A751" s="334" t="n"/>
      <c r="B751" s="334" t="n"/>
      <c r="C751" s="334" t="n"/>
      <c r="D751" s="334" t="n"/>
      <c r="E751" s="334" t="n"/>
      <c r="F751" s="334" t="n"/>
      <c r="G751" s="334" t="n"/>
      <c r="H751" s="334" t="n"/>
      <c r="I751" s="334" t="n"/>
      <c r="J751" s="334" t="n"/>
      <c r="K751" s="334" t="n"/>
      <c r="L751" s="334" t="n"/>
      <c r="M751" s="334" t="n"/>
      <c r="N751" s="339" t="n"/>
      <c r="O751" s="368" t="n"/>
      <c r="P751" s="334" t="n"/>
    </row>
    <row r="752">
      <c r="A752" s="334" t="n"/>
      <c r="B752" s="334" t="n"/>
      <c r="C752" s="334" t="n"/>
      <c r="D752" s="334" t="n"/>
      <c r="E752" s="334" t="n"/>
      <c r="F752" s="334" t="n"/>
      <c r="G752" s="334" t="n"/>
      <c r="H752" s="334" t="n"/>
      <c r="I752" s="334" t="n"/>
      <c r="J752" s="334" t="n"/>
      <c r="K752" s="334" t="n"/>
      <c r="L752" s="334" t="n"/>
      <c r="M752" s="334" t="n"/>
      <c r="N752" s="339" t="n"/>
      <c r="O752" s="368" t="n"/>
      <c r="P752" s="334" t="n"/>
    </row>
    <row r="753">
      <c r="A753" s="334" t="n"/>
      <c r="B753" s="334" t="n"/>
      <c r="C753" s="334" t="n"/>
      <c r="D753" s="334" t="n"/>
      <c r="E753" s="334" t="n"/>
      <c r="F753" s="334" t="n"/>
      <c r="G753" s="334" t="n"/>
      <c r="H753" s="334" t="n"/>
      <c r="I753" s="334" t="n"/>
      <c r="J753" s="334" t="n"/>
      <c r="K753" s="334" t="n"/>
      <c r="L753" s="334" t="n"/>
      <c r="M753" s="334" t="n"/>
      <c r="N753" s="339" t="n"/>
      <c r="O753" s="368" t="n"/>
      <c r="P753" s="334" t="n"/>
    </row>
    <row r="754">
      <c r="A754" s="334" t="n"/>
      <c r="B754" s="334" t="n"/>
      <c r="C754" s="334" t="n"/>
      <c r="D754" s="334" t="n"/>
      <c r="E754" s="334" t="n"/>
      <c r="F754" s="334" t="n"/>
      <c r="G754" s="334" t="n"/>
      <c r="H754" s="334" t="n"/>
      <c r="I754" s="334" t="n"/>
      <c r="J754" s="334" t="n"/>
      <c r="K754" s="334" t="n"/>
      <c r="L754" s="334" t="n"/>
      <c r="M754" s="334" t="n"/>
      <c r="N754" s="339" t="n"/>
      <c r="O754" s="368" t="n"/>
      <c r="P754" s="334" t="n"/>
    </row>
    <row r="755">
      <c r="A755" s="334" t="n"/>
      <c r="B755" s="334" t="n"/>
      <c r="C755" s="334" t="n"/>
      <c r="D755" s="334" t="n"/>
      <c r="E755" s="334" t="n"/>
      <c r="F755" s="334" t="n"/>
      <c r="G755" s="334" t="n"/>
      <c r="H755" s="334" t="n"/>
      <c r="I755" s="334" t="n"/>
      <c r="J755" s="334" t="n"/>
      <c r="K755" s="334" t="n"/>
      <c r="L755" s="334" t="n"/>
      <c r="M755" s="334" t="n"/>
      <c r="N755" s="339" t="n"/>
      <c r="O755" s="368" t="n"/>
      <c r="P755" s="334" t="n"/>
    </row>
    <row r="756">
      <c r="A756" s="334" t="n"/>
      <c r="B756" s="334" t="n"/>
      <c r="C756" s="334" t="n"/>
      <c r="D756" s="334" t="n"/>
      <c r="E756" s="334" t="n"/>
      <c r="F756" s="334" t="n"/>
      <c r="G756" s="334" t="n"/>
      <c r="H756" s="334" t="n"/>
      <c r="I756" s="334" t="n"/>
      <c r="J756" s="334" t="n"/>
      <c r="K756" s="334" t="n"/>
      <c r="L756" s="334" t="n"/>
      <c r="M756" s="334" t="n"/>
      <c r="N756" s="339" t="n"/>
      <c r="O756" s="368" t="n"/>
      <c r="P756" s="334" t="n"/>
    </row>
    <row r="757">
      <c r="A757" s="334" t="n"/>
      <c r="B757" s="334" t="n"/>
      <c r="C757" s="334" t="n"/>
      <c r="D757" s="334" t="n"/>
      <c r="E757" s="334" t="n"/>
      <c r="F757" s="334" t="n"/>
      <c r="G757" s="334" t="n"/>
      <c r="H757" s="334" t="n"/>
      <c r="I757" s="334" t="n"/>
      <c r="J757" s="334" t="n"/>
      <c r="K757" s="334" t="n"/>
      <c r="L757" s="334" t="n"/>
      <c r="M757" s="334" t="n"/>
      <c r="N757" s="339" t="n"/>
      <c r="O757" s="368" t="n"/>
      <c r="P757" s="334" t="n"/>
    </row>
    <row r="758">
      <c r="A758" s="334" t="n"/>
      <c r="B758" s="334" t="n"/>
      <c r="C758" s="334" t="n"/>
      <c r="D758" s="334" t="n"/>
      <c r="E758" s="334" t="n"/>
      <c r="F758" s="334" t="n"/>
      <c r="G758" s="334" t="n"/>
      <c r="H758" s="334" t="n"/>
      <c r="I758" s="334" t="n"/>
      <c r="J758" s="334" t="n"/>
      <c r="K758" s="334" t="n"/>
      <c r="L758" s="334" t="n"/>
      <c r="M758" s="334" t="n"/>
      <c r="N758" s="339" t="n"/>
      <c r="O758" s="368" t="n"/>
      <c r="P758" s="334" t="n"/>
    </row>
    <row r="759">
      <c r="A759" s="334" t="n"/>
      <c r="B759" s="334" t="n"/>
      <c r="C759" s="334" t="n"/>
      <c r="D759" s="334" t="n"/>
      <c r="E759" s="334" t="n"/>
      <c r="F759" s="334" t="n"/>
      <c r="G759" s="334" t="n"/>
      <c r="H759" s="334" t="n"/>
      <c r="I759" s="334" t="n"/>
      <c r="J759" s="334" t="n"/>
      <c r="K759" s="334" t="n"/>
      <c r="L759" s="334" t="n"/>
      <c r="M759" s="334" t="n"/>
      <c r="N759" s="339" t="n"/>
      <c r="O759" s="368" t="n"/>
      <c r="P759" s="334" t="n"/>
    </row>
    <row r="760">
      <c r="A760" s="334" t="n"/>
      <c r="B760" s="334" t="n"/>
      <c r="C760" s="334" t="n"/>
      <c r="D760" s="334" t="n"/>
      <c r="E760" s="334" t="n"/>
      <c r="F760" s="334" t="n"/>
      <c r="G760" s="334" t="n"/>
      <c r="H760" s="334" t="n"/>
      <c r="I760" s="334" t="n"/>
      <c r="J760" s="334" t="n"/>
      <c r="K760" s="334" t="n"/>
      <c r="L760" s="334" t="n"/>
      <c r="M760" s="334" t="n"/>
      <c r="N760" s="339" t="n"/>
      <c r="O760" s="368" t="n"/>
      <c r="P760" s="334" t="n"/>
    </row>
    <row r="761">
      <c r="A761" s="334" t="n"/>
      <c r="B761" s="334" t="n"/>
      <c r="C761" s="334" t="n"/>
      <c r="D761" s="334" t="n"/>
      <c r="E761" s="334" t="n"/>
      <c r="F761" s="334" t="n"/>
      <c r="G761" s="334" t="n"/>
      <c r="H761" s="334" t="n"/>
      <c r="I761" s="334" t="n"/>
      <c r="J761" s="334" t="n"/>
      <c r="K761" s="334" t="n"/>
      <c r="L761" s="334" t="n"/>
      <c r="M761" s="334" t="n"/>
      <c r="N761" s="339" t="n"/>
      <c r="O761" s="368" t="n"/>
      <c r="P761" s="334" t="n"/>
    </row>
    <row r="762">
      <c r="A762" s="334" t="n"/>
      <c r="B762" s="334" t="n"/>
      <c r="C762" s="334" t="n"/>
      <c r="D762" s="334" t="n"/>
      <c r="E762" s="334" t="n"/>
      <c r="F762" s="334" t="n"/>
      <c r="G762" s="334" t="n"/>
      <c r="H762" s="334" t="n"/>
      <c r="I762" s="334" t="n"/>
      <c r="J762" s="334" t="n"/>
      <c r="K762" s="334" t="n"/>
      <c r="L762" s="334" t="n"/>
      <c r="M762" s="334" t="n"/>
      <c r="N762" s="339" t="n"/>
      <c r="O762" s="368" t="n"/>
      <c r="P762" s="334" t="n"/>
    </row>
    <row r="763">
      <c r="A763" s="334" t="n"/>
      <c r="B763" s="334" t="n"/>
      <c r="C763" s="334" t="n"/>
      <c r="D763" s="334" t="n"/>
      <c r="E763" s="334" t="n"/>
      <c r="F763" s="334" t="n"/>
      <c r="G763" s="334" t="n"/>
      <c r="H763" s="334" t="n"/>
      <c r="I763" s="334" t="n"/>
      <c r="J763" s="334" t="n"/>
      <c r="K763" s="334" t="n"/>
      <c r="L763" s="334" t="n"/>
      <c r="M763" s="334" t="n"/>
      <c r="N763" s="339" t="n"/>
      <c r="O763" s="368" t="n"/>
      <c r="P763" s="334" t="n"/>
    </row>
    <row r="764">
      <c r="A764" s="334" t="n"/>
      <c r="B764" s="334" t="n"/>
      <c r="C764" s="334" t="n"/>
      <c r="D764" s="334" t="n"/>
      <c r="E764" s="334" t="n"/>
      <c r="F764" s="334" t="n"/>
      <c r="G764" s="334" t="n"/>
      <c r="H764" s="334" t="n"/>
      <c r="I764" s="334" t="n"/>
      <c r="J764" s="334" t="n"/>
      <c r="K764" s="334" t="n"/>
      <c r="L764" s="334" t="n"/>
      <c r="M764" s="334" t="n"/>
      <c r="N764" s="339" t="n"/>
      <c r="O764" s="368" t="n"/>
      <c r="P764" s="334" t="n"/>
    </row>
    <row r="765">
      <c r="A765" s="334" t="n"/>
      <c r="B765" s="334" t="n"/>
      <c r="C765" s="334" t="n"/>
      <c r="D765" s="334" t="n"/>
      <c r="E765" s="334" t="n"/>
      <c r="F765" s="334" t="n"/>
      <c r="G765" s="334" t="n"/>
      <c r="H765" s="334" t="n"/>
      <c r="I765" s="334" t="n"/>
      <c r="J765" s="334" t="n"/>
      <c r="K765" s="334" t="n"/>
      <c r="L765" s="334" t="n"/>
      <c r="M765" s="334" t="n"/>
      <c r="N765" s="339" t="n"/>
      <c r="O765" s="368" t="n"/>
      <c r="P765" s="334" t="n"/>
    </row>
    <row r="766">
      <c r="A766" s="334" t="n"/>
      <c r="B766" s="334" t="n"/>
      <c r="C766" s="334" t="n"/>
      <c r="D766" s="334" t="n"/>
      <c r="E766" s="334" t="n"/>
      <c r="F766" s="334" t="n"/>
      <c r="G766" s="334" t="n"/>
      <c r="H766" s="334" t="n"/>
      <c r="I766" s="334" t="n"/>
      <c r="J766" s="334" t="n"/>
      <c r="K766" s="334" t="n"/>
      <c r="L766" s="334" t="n"/>
      <c r="M766" s="334" t="n"/>
      <c r="N766" s="339" t="n"/>
      <c r="O766" s="368" t="n"/>
      <c r="P766" s="334" t="n"/>
    </row>
    <row r="767">
      <c r="A767" s="334" t="n"/>
      <c r="B767" s="334" t="n"/>
      <c r="C767" s="334" t="n"/>
      <c r="D767" s="334" t="n"/>
      <c r="E767" s="334" t="n"/>
      <c r="F767" s="334" t="n"/>
      <c r="G767" s="334" t="n"/>
      <c r="H767" s="334" t="n"/>
      <c r="I767" s="334" t="n"/>
      <c r="J767" s="334" t="n"/>
      <c r="K767" s="334" t="n"/>
      <c r="L767" s="334" t="n"/>
      <c r="M767" s="334" t="n"/>
      <c r="N767" s="339" t="n"/>
      <c r="O767" s="368" t="n"/>
      <c r="P767" s="334" t="n"/>
    </row>
    <row r="768">
      <c r="A768" s="334" t="n"/>
      <c r="B768" s="334" t="n"/>
      <c r="C768" s="334" t="n"/>
      <c r="D768" s="334" t="n"/>
      <c r="E768" s="334" t="n"/>
      <c r="F768" s="334" t="n"/>
      <c r="G768" s="334" t="n"/>
      <c r="H768" s="334" t="n"/>
      <c r="I768" s="334" t="n"/>
      <c r="J768" s="334" t="n"/>
      <c r="K768" s="334" t="n"/>
      <c r="L768" s="334" t="n"/>
      <c r="M768" s="334" t="n"/>
      <c r="N768" s="339" t="n"/>
      <c r="O768" s="368" t="n"/>
      <c r="P768" s="334" t="n"/>
    </row>
    <row r="769">
      <c r="A769" s="334" t="n"/>
      <c r="B769" s="334" t="n"/>
      <c r="C769" s="334" t="n"/>
      <c r="D769" s="334" t="n"/>
      <c r="E769" s="334" t="n"/>
      <c r="F769" s="334" t="n"/>
      <c r="G769" s="334" t="n"/>
      <c r="H769" s="334" t="n"/>
      <c r="I769" s="334" t="n"/>
      <c r="J769" s="334" t="n"/>
      <c r="K769" s="334" t="n"/>
      <c r="L769" s="334" t="n"/>
      <c r="M769" s="334" t="n"/>
      <c r="N769" s="339" t="n"/>
      <c r="O769" s="368" t="n"/>
      <c r="P769" s="334" t="n"/>
    </row>
    <row r="770">
      <c r="A770" s="334" t="n"/>
      <c r="B770" s="334" t="n"/>
      <c r="C770" s="334" t="n"/>
      <c r="D770" s="334" t="n"/>
      <c r="E770" s="334" t="n"/>
      <c r="F770" s="334" t="n"/>
      <c r="G770" s="334" t="n"/>
      <c r="H770" s="334" t="n"/>
      <c r="I770" s="334" t="n"/>
      <c r="J770" s="334" t="n"/>
      <c r="K770" s="334" t="n"/>
      <c r="L770" s="334" t="n"/>
      <c r="M770" s="334" t="n"/>
      <c r="N770" s="339" t="n"/>
      <c r="O770" s="368" t="n"/>
      <c r="P770" s="334" t="n"/>
    </row>
    <row r="771">
      <c r="A771" s="334" t="n"/>
      <c r="B771" s="334" t="n"/>
      <c r="C771" s="334" t="n"/>
      <c r="D771" s="334" t="n"/>
      <c r="E771" s="334" t="n"/>
      <c r="F771" s="334" t="n"/>
      <c r="G771" s="334" t="n"/>
      <c r="H771" s="334" t="n"/>
      <c r="I771" s="334" t="n"/>
      <c r="J771" s="334" t="n"/>
      <c r="K771" s="334" t="n"/>
      <c r="L771" s="334" t="n"/>
      <c r="M771" s="334" t="n"/>
      <c r="N771" s="339" t="n"/>
      <c r="O771" s="368" t="n"/>
      <c r="P771" s="334" t="n"/>
    </row>
    <row r="772">
      <c r="A772" s="334" t="n"/>
      <c r="B772" s="334" t="n"/>
      <c r="C772" s="334" t="n"/>
      <c r="D772" s="334" t="n"/>
      <c r="E772" s="334" t="n"/>
      <c r="F772" s="334" t="n"/>
      <c r="G772" s="334" t="n"/>
      <c r="H772" s="334" t="n"/>
      <c r="I772" s="334" t="n"/>
      <c r="J772" s="334" t="n"/>
      <c r="K772" s="334" t="n"/>
      <c r="L772" s="334" t="n"/>
      <c r="M772" s="334" t="n"/>
      <c r="N772" s="339" t="n"/>
      <c r="O772" s="368" t="n"/>
      <c r="P772" s="334" t="n"/>
    </row>
    <row r="773">
      <c r="A773" s="334" t="n"/>
      <c r="B773" s="334" t="n"/>
      <c r="C773" s="334" t="n"/>
      <c r="D773" s="334" t="n"/>
      <c r="E773" s="334" t="n"/>
      <c r="F773" s="334" t="n"/>
      <c r="G773" s="334" t="n"/>
      <c r="H773" s="334" t="n"/>
      <c r="I773" s="334" t="n"/>
      <c r="J773" s="334" t="n"/>
      <c r="K773" s="334" t="n"/>
      <c r="L773" s="334" t="n"/>
      <c r="M773" s="334" t="n"/>
      <c r="N773" s="339" t="n"/>
      <c r="O773" s="368" t="n"/>
      <c r="P773" s="334" t="n"/>
    </row>
    <row r="774">
      <c r="A774" s="334" t="n"/>
      <c r="B774" s="334" t="n"/>
      <c r="C774" s="334" t="n"/>
      <c r="D774" s="334" t="n"/>
      <c r="E774" s="334" t="n"/>
      <c r="F774" s="334" t="n"/>
      <c r="G774" s="334" t="n"/>
      <c r="H774" s="334" t="n"/>
      <c r="I774" s="334" t="n"/>
      <c r="J774" s="334" t="n"/>
      <c r="K774" s="334" t="n"/>
      <c r="L774" s="334" t="n"/>
      <c r="M774" s="334" t="n"/>
      <c r="N774" s="339" t="n"/>
      <c r="O774" s="368" t="n"/>
      <c r="P774" s="334" t="n"/>
    </row>
    <row r="775">
      <c r="A775" s="334" t="n"/>
      <c r="B775" s="334" t="n"/>
      <c r="C775" s="334" t="n"/>
      <c r="D775" s="334" t="n"/>
      <c r="E775" s="334" t="n"/>
      <c r="F775" s="334" t="n"/>
      <c r="G775" s="334" t="n"/>
      <c r="H775" s="334" t="n"/>
      <c r="I775" s="334" t="n"/>
      <c r="J775" s="334" t="n"/>
      <c r="K775" s="334" t="n"/>
      <c r="L775" s="334" t="n"/>
      <c r="M775" s="334" t="n"/>
      <c r="N775" s="339" t="n"/>
      <c r="O775" s="368" t="n"/>
      <c r="P775" s="334" t="n"/>
    </row>
    <row r="776">
      <c r="A776" s="334" t="n"/>
      <c r="B776" s="334" t="n"/>
      <c r="C776" s="334" t="n"/>
      <c r="D776" s="334" t="n"/>
      <c r="E776" s="334" t="n"/>
      <c r="F776" s="334" t="n"/>
      <c r="G776" s="334" t="n"/>
      <c r="H776" s="334" t="n"/>
      <c r="I776" s="334" t="n"/>
      <c r="J776" s="334" t="n"/>
      <c r="K776" s="334" t="n"/>
      <c r="L776" s="334" t="n"/>
      <c r="M776" s="334" t="n"/>
      <c r="N776" s="339" t="n"/>
      <c r="O776" s="368" t="n"/>
      <c r="P776" s="334" t="n"/>
    </row>
    <row r="777">
      <c r="A777" s="334" t="n"/>
      <c r="B777" s="334" t="n"/>
      <c r="C777" s="334" t="n"/>
      <c r="D777" s="334" t="n"/>
      <c r="E777" s="334" t="n"/>
      <c r="F777" s="334" t="n"/>
      <c r="G777" s="334" t="n"/>
      <c r="H777" s="334" t="n"/>
      <c r="I777" s="334" t="n"/>
      <c r="J777" s="334" t="n"/>
      <c r="K777" s="334" t="n"/>
      <c r="L777" s="334" t="n"/>
      <c r="M777" s="334" t="n"/>
      <c r="N777" s="339" t="n"/>
      <c r="O777" s="368" t="n"/>
      <c r="P777" s="334" t="n"/>
    </row>
    <row r="778">
      <c r="A778" s="334" t="n"/>
      <c r="B778" s="334" t="n"/>
      <c r="C778" s="334" t="n"/>
      <c r="D778" s="334" t="n"/>
      <c r="E778" s="334" t="n"/>
      <c r="F778" s="334" t="n"/>
      <c r="G778" s="334" t="n"/>
      <c r="H778" s="334" t="n"/>
      <c r="I778" s="334" t="n"/>
      <c r="J778" s="334" t="n"/>
      <c r="K778" s="334" t="n"/>
      <c r="L778" s="334" t="n"/>
      <c r="M778" s="334" t="n"/>
      <c r="N778" s="339" t="n"/>
      <c r="O778" s="368" t="n"/>
      <c r="P778" s="334" t="n"/>
    </row>
    <row r="779">
      <c r="A779" s="334" t="n"/>
      <c r="B779" s="334" t="n"/>
      <c r="C779" s="334" t="n"/>
      <c r="D779" s="334" t="n"/>
      <c r="E779" s="334" t="n"/>
      <c r="F779" s="334" t="n"/>
      <c r="G779" s="334" t="n"/>
      <c r="H779" s="334" t="n"/>
      <c r="I779" s="334" t="n"/>
      <c r="J779" s="334" t="n"/>
      <c r="K779" s="334" t="n"/>
      <c r="L779" s="334" t="n"/>
      <c r="M779" s="334" t="n"/>
      <c r="N779" s="339" t="n"/>
      <c r="O779" s="368" t="n"/>
      <c r="P779" s="334" t="n"/>
    </row>
    <row r="780">
      <c r="A780" s="334" t="n"/>
      <c r="B780" s="334" t="n"/>
      <c r="C780" s="334" t="n"/>
      <c r="D780" s="334" t="n"/>
      <c r="E780" s="334" t="n"/>
      <c r="F780" s="334" t="n"/>
      <c r="G780" s="334" t="n"/>
      <c r="H780" s="334" t="n"/>
      <c r="I780" s="334" t="n"/>
      <c r="J780" s="334" t="n"/>
      <c r="K780" s="334" t="n"/>
      <c r="L780" s="334" t="n"/>
      <c r="M780" s="334" t="n"/>
      <c r="N780" s="339" t="n"/>
      <c r="O780" s="368" t="n"/>
      <c r="P780" s="334" t="n"/>
    </row>
    <row r="781">
      <c r="A781" s="334" t="n"/>
      <c r="B781" s="334" t="n"/>
      <c r="C781" s="334" t="n"/>
      <c r="D781" s="334" t="n"/>
      <c r="E781" s="334" t="n"/>
      <c r="F781" s="334" t="n"/>
      <c r="G781" s="334" t="n"/>
      <c r="H781" s="334" t="n"/>
      <c r="I781" s="334" t="n"/>
      <c r="J781" s="334" t="n"/>
      <c r="K781" s="334" t="n"/>
      <c r="L781" s="334" t="n"/>
      <c r="M781" s="334" t="n"/>
      <c r="N781" s="339" t="n"/>
      <c r="O781" s="368" t="n"/>
      <c r="P781" s="334" t="n"/>
    </row>
    <row r="782">
      <c r="A782" s="334" t="n"/>
      <c r="B782" s="334" t="n"/>
      <c r="C782" s="334" t="n"/>
      <c r="D782" s="334" t="n"/>
      <c r="E782" s="334" t="n"/>
      <c r="F782" s="334" t="n"/>
      <c r="G782" s="334" t="n"/>
      <c r="H782" s="334" t="n"/>
      <c r="I782" s="334" t="n"/>
      <c r="J782" s="334" t="n"/>
      <c r="K782" s="334" t="n"/>
      <c r="L782" s="334" t="n"/>
      <c r="M782" s="334" t="n"/>
      <c r="N782" s="339" t="n"/>
      <c r="O782" s="368" t="n"/>
      <c r="P782" s="334" t="n"/>
    </row>
    <row r="783">
      <c r="A783" s="334" t="n"/>
      <c r="B783" s="334" t="n"/>
      <c r="C783" s="334" t="n"/>
      <c r="D783" s="334" t="n"/>
      <c r="E783" s="334" t="n"/>
      <c r="F783" s="334" t="n"/>
      <c r="G783" s="334" t="n"/>
      <c r="H783" s="334" t="n"/>
      <c r="I783" s="334" t="n"/>
      <c r="J783" s="334" t="n"/>
      <c r="K783" s="334" t="n"/>
      <c r="L783" s="334" t="n"/>
      <c r="M783" s="334" t="n"/>
      <c r="N783" s="339" t="n"/>
      <c r="O783" s="368" t="n"/>
      <c r="P783" s="334" t="n"/>
    </row>
    <row r="784">
      <c r="A784" s="334" t="n"/>
      <c r="B784" s="334" t="n"/>
      <c r="C784" s="334" t="n"/>
      <c r="D784" s="334" t="n"/>
      <c r="E784" s="334" t="n"/>
      <c r="F784" s="334" t="n"/>
      <c r="G784" s="334" t="n"/>
      <c r="H784" s="334" t="n"/>
      <c r="I784" s="334" t="n"/>
      <c r="J784" s="334" t="n"/>
      <c r="K784" s="334" t="n"/>
      <c r="L784" s="334" t="n"/>
      <c r="M784" s="334" t="n"/>
      <c r="N784" s="339" t="n"/>
      <c r="O784" s="368" t="n"/>
      <c r="P784" s="334" t="n"/>
    </row>
    <row r="785">
      <c r="A785" s="334" t="n"/>
      <c r="B785" s="334" t="n"/>
      <c r="C785" s="334" t="n"/>
      <c r="D785" s="334" t="n"/>
      <c r="E785" s="334" t="n"/>
      <c r="F785" s="334" t="n"/>
      <c r="G785" s="334" t="n"/>
      <c r="H785" s="334" t="n"/>
      <c r="I785" s="334" t="n"/>
      <c r="J785" s="334" t="n"/>
      <c r="K785" s="334" t="n"/>
      <c r="L785" s="334" t="n"/>
      <c r="M785" s="334" t="n"/>
      <c r="N785" s="339" t="n"/>
      <c r="O785" s="368" t="n"/>
      <c r="P785" s="334" t="n"/>
    </row>
    <row r="786">
      <c r="A786" s="334" t="n"/>
      <c r="B786" s="334" t="n"/>
      <c r="C786" s="334" t="n"/>
      <c r="D786" s="334" t="n"/>
      <c r="E786" s="334" t="n"/>
      <c r="F786" s="334" t="n"/>
      <c r="G786" s="334" t="n"/>
      <c r="H786" s="334" t="n"/>
      <c r="I786" s="334" t="n"/>
      <c r="J786" s="334" t="n"/>
      <c r="K786" s="334" t="n"/>
      <c r="L786" s="334" t="n"/>
      <c r="M786" s="334" t="n"/>
      <c r="N786" s="339" t="n"/>
      <c r="O786" s="368" t="n"/>
      <c r="P786" s="334" t="n"/>
    </row>
    <row r="787">
      <c r="A787" s="334" t="n"/>
      <c r="B787" s="334" t="n"/>
      <c r="C787" s="334" t="n"/>
      <c r="D787" s="334" t="n"/>
      <c r="E787" s="334" t="n"/>
      <c r="F787" s="334" t="n"/>
      <c r="G787" s="334" t="n"/>
      <c r="H787" s="334" t="n"/>
      <c r="I787" s="334" t="n"/>
      <c r="J787" s="334" t="n"/>
      <c r="K787" s="334" t="n"/>
      <c r="L787" s="334" t="n"/>
      <c r="M787" s="334" t="n"/>
      <c r="N787" s="339" t="n"/>
      <c r="O787" s="368" t="n"/>
      <c r="P787" s="334" t="n"/>
    </row>
    <row r="788">
      <c r="A788" s="334" t="n"/>
      <c r="B788" s="334" t="n"/>
      <c r="C788" s="334" t="n"/>
      <c r="D788" s="334" t="n"/>
      <c r="E788" s="334" t="n"/>
      <c r="F788" s="334" t="n"/>
      <c r="G788" s="334" t="n"/>
      <c r="H788" s="334" t="n"/>
      <c r="I788" s="334" t="n"/>
      <c r="J788" s="334" t="n"/>
      <c r="K788" s="334" t="n"/>
      <c r="L788" s="334" t="n"/>
      <c r="M788" s="334" t="n"/>
      <c r="N788" s="339" t="n"/>
      <c r="O788" s="368" t="n"/>
      <c r="P788" s="334" t="n"/>
    </row>
    <row r="789">
      <c r="A789" s="334" t="n"/>
      <c r="B789" s="334" t="n"/>
      <c r="C789" s="334" t="n"/>
      <c r="D789" s="334" t="n"/>
      <c r="E789" s="334" t="n"/>
      <c r="F789" s="334" t="n"/>
      <c r="G789" s="334" t="n"/>
      <c r="H789" s="334" t="n"/>
      <c r="I789" s="334" t="n"/>
      <c r="J789" s="334" t="n"/>
      <c r="K789" s="334" t="n"/>
      <c r="L789" s="334" t="n"/>
      <c r="M789" s="334" t="n"/>
      <c r="N789" s="339" t="n"/>
      <c r="O789" s="368" t="n"/>
      <c r="P789" s="334" t="n"/>
    </row>
    <row r="790">
      <c r="A790" s="334" t="n"/>
      <c r="B790" s="334" t="n"/>
      <c r="C790" s="334" t="n"/>
      <c r="D790" s="334" t="n"/>
      <c r="E790" s="334" t="n"/>
      <c r="F790" s="334" t="n"/>
      <c r="G790" s="334" t="n"/>
      <c r="H790" s="334" t="n"/>
      <c r="I790" s="334" t="n"/>
      <c r="J790" s="334" t="n"/>
      <c r="K790" s="334" t="n"/>
      <c r="L790" s="334" t="n"/>
      <c r="M790" s="334" t="n"/>
      <c r="N790" s="339" t="n"/>
      <c r="O790" s="368" t="n"/>
      <c r="P790" s="334" t="n"/>
    </row>
    <row r="791">
      <c r="A791" s="334" t="n"/>
      <c r="B791" s="334" t="n"/>
      <c r="C791" s="334" t="n"/>
      <c r="D791" s="334" t="n"/>
      <c r="E791" s="334" t="n"/>
      <c r="F791" s="334" t="n"/>
      <c r="G791" s="334" t="n"/>
      <c r="H791" s="334" t="n"/>
      <c r="I791" s="334" t="n"/>
      <c r="J791" s="334" t="n"/>
      <c r="K791" s="334" t="n"/>
      <c r="L791" s="334" t="n"/>
      <c r="M791" s="334" t="n"/>
      <c r="N791" s="339" t="n"/>
      <c r="O791" s="368" t="n"/>
      <c r="P791" s="334" t="n"/>
    </row>
    <row r="792">
      <c r="A792" s="334" t="n"/>
      <c r="B792" s="334" t="n"/>
      <c r="C792" s="334" t="n"/>
      <c r="D792" s="334" t="n"/>
      <c r="E792" s="334" t="n"/>
      <c r="F792" s="334" t="n"/>
      <c r="G792" s="334" t="n"/>
      <c r="H792" s="334" t="n"/>
      <c r="I792" s="334" t="n"/>
      <c r="J792" s="334" t="n"/>
      <c r="K792" s="334" t="n"/>
      <c r="L792" s="334" t="n"/>
      <c r="M792" s="334" t="n"/>
      <c r="N792" s="339" t="n"/>
      <c r="O792" s="368" t="n"/>
      <c r="P792" s="334" t="n"/>
    </row>
    <row r="793">
      <c r="A793" s="334" t="n"/>
      <c r="B793" s="334" t="n"/>
      <c r="C793" s="334" t="n"/>
      <c r="D793" s="334" t="n"/>
      <c r="E793" s="334" t="n"/>
      <c r="F793" s="334" t="n"/>
      <c r="G793" s="334" t="n"/>
      <c r="H793" s="334" t="n"/>
      <c r="I793" s="334" t="n"/>
      <c r="J793" s="334" t="n"/>
      <c r="K793" s="334" t="n"/>
      <c r="L793" s="334" t="n"/>
      <c r="M793" s="334" t="n"/>
      <c r="N793" s="339" t="n"/>
      <c r="O793" s="368" t="n"/>
      <c r="P793" s="334" t="n"/>
    </row>
    <row r="794">
      <c r="A794" s="334" t="n"/>
      <c r="B794" s="334" t="n"/>
      <c r="C794" s="334" t="n"/>
      <c r="D794" s="334" t="n"/>
      <c r="E794" s="334" t="n"/>
      <c r="F794" s="334" t="n"/>
      <c r="G794" s="334" t="n"/>
      <c r="H794" s="334" t="n"/>
      <c r="I794" s="334" t="n"/>
      <c r="J794" s="334" t="n"/>
      <c r="K794" s="334" t="n"/>
      <c r="L794" s="334" t="n"/>
      <c r="M794" s="334" t="n"/>
      <c r="N794" s="339" t="n"/>
      <c r="O794" s="368" t="n"/>
      <c r="P794" s="334" t="n"/>
    </row>
    <row r="795">
      <c r="A795" s="334" t="n"/>
      <c r="B795" s="334" t="n"/>
      <c r="C795" s="334" t="n"/>
      <c r="D795" s="334" t="n"/>
      <c r="E795" s="334" t="n"/>
      <c r="F795" s="334" t="n"/>
      <c r="G795" s="334" t="n"/>
      <c r="H795" s="334" t="n"/>
      <c r="I795" s="334" t="n"/>
      <c r="J795" s="334" t="n"/>
      <c r="K795" s="334" t="n"/>
      <c r="L795" s="334" t="n"/>
      <c r="M795" s="334" t="n"/>
      <c r="N795" s="339" t="n"/>
      <c r="O795" s="368" t="n"/>
      <c r="P795" s="334" t="n"/>
    </row>
    <row r="796">
      <c r="A796" s="334" t="n"/>
      <c r="B796" s="334" t="n"/>
      <c r="C796" s="334" t="n"/>
      <c r="D796" s="334" t="n"/>
      <c r="E796" s="334" t="n"/>
      <c r="F796" s="334" t="n"/>
      <c r="G796" s="334" t="n"/>
      <c r="H796" s="334" t="n"/>
      <c r="I796" s="334" t="n"/>
      <c r="J796" s="334" t="n"/>
      <c r="K796" s="334" t="n"/>
      <c r="L796" s="334" t="n"/>
      <c r="M796" s="334" t="n"/>
      <c r="N796" s="339" t="n"/>
      <c r="O796" s="368" t="n"/>
      <c r="P796" s="334" t="n"/>
    </row>
    <row r="797">
      <c r="A797" s="334" t="n"/>
      <c r="B797" s="334" t="n"/>
      <c r="C797" s="334" t="n"/>
      <c r="D797" s="334" t="n"/>
      <c r="E797" s="334" t="n"/>
      <c r="F797" s="334" t="n"/>
      <c r="G797" s="334" t="n"/>
      <c r="H797" s="334" t="n"/>
      <c r="I797" s="334" t="n"/>
      <c r="J797" s="334" t="n"/>
      <c r="K797" s="334" t="n"/>
      <c r="L797" s="334" t="n"/>
      <c r="M797" s="334" t="n"/>
      <c r="N797" s="339" t="n"/>
      <c r="O797" s="368" t="n"/>
      <c r="P797" s="334" t="n"/>
    </row>
    <row r="798">
      <c r="A798" s="334" t="n"/>
      <c r="B798" s="334" t="n"/>
      <c r="C798" s="334" t="n"/>
      <c r="D798" s="334" t="n"/>
      <c r="E798" s="334" t="n"/>
      <c r="F798" s="334" t="n"/>
      <c r="G798" s="334" t="n"/>
      <c r="H798" s="334" t="n"/>
      <c r="I798" s="334" t="n"/>
      <c r="J798" s="334" t="n"/>
      <c r="K798" s="334" t="n"/>
      <c r="L798" s="334" t="n"/>
      <c r="M798" s="334" t="n"/>
      <c r="N798" s="339" t="n"/>
      <c r="O798" s="368" t="n"/>
      <c r="P798" s="334" t="n"/>
    </row>
    <row r="799">
      <c r="A799" s="334" t="n"/>
      <c r="B799" s="334" t="n"/>
      <c r="C799" s="334" t="n"/>
      <c r="D799" s="334" t="n"/>
      <c r="E799" s="334" t="n"/>
      <c r="F799" s="334" t="n"/>
      <c r="G799" s="334" t="n"/>
      <c r="H799" s="334" t="n"/>
      <c r="I799" s="334" t="n"/>
      <c r="J799" s="334" t="n"/>
      <c r="K799" s="334" t="n"/>
      <c r="L799" s="334" t="n"/>
      <c r="M799" s="334" t="n"/>
      <c r="N799" s="339" t="n"/>
      <c r="O799" s="368" t="n"/>
      <c r="P799" s="334" t="n"/>
    </row>
    <row r="800">
      <c r="A800" s="334" t="n"/>
      <c r="B800" s="334" t="n"/>
      <c r="C800" s="334" t="n"/>
      <c r="D800" s="334" t="n"/>
      <c r="E800" s="334" t="n"/>
      <c r="F800" s="334" t="n"/>
      <c r="G800" s="334" t="n"/>
      <c r="H800" s="334" t="n"/>
      <c r="I800" s="334" t="n"/>
      <c r="J800" s="334" t="n"/>
      <c r="K800" s="334" t="n"/>
      <c r="L800" s="334" t="n"/>
      <c r="M800" s="334" t="n"/>
      <c r="N800" s="339" t="n"/>
      <c r="O800" s="368" t="n"/>
      <c r="P800" s="334" t="n"/>
    </row>
    <row r="801">
      <c r="A801" s="334" t="n"/>
      <c r="B801" s="334" t="n"/>
      <c r="C801" s="334" t="n"/>
      <c r="D801" s="334" t="n"/>
      <c r="E801" s="334" t="n"/>
      <c r="F801" s="334" t="n"/>
      <c r="G801" s="334" t="n"/>
      <c r="H801" s="334" t="n"/>
      <c r="I801" s="334" t="n"/>
      <c r="J801" s="334" t="n"/>
      <c r="K801" s="334" t="n"/>
      <c r="L801" s="334" t="n"/>
      <c r="M801" s="334" t="n"/>
      <c r="N801" s="339" t="n"/>
      <c r="O801" s="368" t="n"/>
      <c r="P801" s="334" t="n"/>
    </row>
    <row r="802">
      <c r="A802" s="334" t="n"/>
      <c r="B802" s="334" t="n"/>
      <c r="C802" s="334" t="n"/>
      <c r="D802" s="334" t="n"/>
      <c r="E802" s="334" t="n"/>
      <c r="F802" s="334" t="n"/>
      <c r="G802" s="334" t="n"/>
      <c r="H802" s="334" t="n"/>
      <c r="I802" s="334" t="n"/>
      <c r="J802" s="334" t="n"/>
      <c r="K802" s="334" t="n"/>
      <c r="L802" s="334" t="n"/>
      <c r="M802" s="334" t="n"/>
      <c r="N802" s="339" t="n"/>
      <c r="O802" s="368" t="n"/>
      <c r="P802" s="334" t="n"/>
    </row>
    <row r="803">
      <c r="A803" s="334" t="n"/>
      <c r="B803" s="334" t="n"/>
      <c r="C803" s="334" t="n"/>
      <c r="D803" s="334" t="n"/>
      <c r="E803" s="334" t="n"/>
      <c r="F803" s="334" t="n"/>
      <c r="G803" s="334" t="n"/>
      <c r="H803" s="334" t="n"/>
      <c r="I803" s="334" t="n"/>
      <c r="J803" s="334" t="n"/>
      <c r="K803" s="334" t="n"/>
      <c r="L803" s="334" t="n"/>
      <c r="M803" s="334" t="n"/>
      <c r="N803" s="339" t="n"/>
      <c r="O803" s="368" t="n"/>
      <c r="P803" s="334" t="n"/>
    </row>
    <row r="804">
      <c r="A804" s="334" t="n"/>
      <c r="B804" s="334" t="n"/>
      <c r="C804" s="334" t="n"/>
      <c r="D804" s="334" t="n"/>
      <c r="E804" s="334" t="n"/>
      <c r="F804" s="334" t="n"/>
      <c r="G804" s="334" t="n"/>
      <c r="H804" s="334" t="n"/>
      <c r="I804" s="334" t="n"/>
      <c r="J804" s="334" t="n"/>
      <c r="K804" s="334" t="n"/>
      <c r="L804" s="334" t="n"/>
      <c r="M804" s="334" t="n"/>
      <c r="N804" s="339" t="n"/>
      <c r="O804" s="368" t="n"/>
      <c r="P804" s="334" t="n"/>
    </row>
    <row r="805">
      <c r="A805" s="334" t="n"/>
      <c r="B805" s="334" t="n"/>
      <c r="C805" s="334" t="n"/>
      <c r="D805" s="334" t="n"/>
      <c r="E805" s="334" t="n"/>
      <c r="F805" s="334" t="n"/>
      <c r="G805" s="334" t="n"/>
      <c r="H805" s="334" t="n"/>
      <c r="I805" s="334" t="n"/>
      <c r="J805" s="334" t="n"/>
      <c r="K805" s="334" t="n"/>
      <c r="L805" s="334" t="n"/>
      <c r="M805" s="334" t="n"/>
      <c r="N805" s="339" t="n"/>
      <c r="O805" s="368" t="n"/>
      <c r="P805" s="334" t="n"/>
    </row>
    <row r="806">
      <c r="A806" s="334" t="n"/>
      <c r="B806" s="334" t="n"/>
      <c r="C806" s="334" t="n"/>
      <c r="D806" s="334" t="n"/>
      <c r="E806" s="334" t="n"/>
      <c r="F806" s="334" t="n"/>
      <c r="G806" s="334" t="n"/>
      <c r="H806" s="334" t="n"/>
      <c r="I806" s="334" t="n"/>
      <c r="J806" s="334" t="n"/>
      <c r="K806" s="334" t="n"/>
      <c r="L806" s="334" t="n"/>
      <c r="M806" s="334" t="n"/>
      <c r="N806" s="339" t="n"/>
      <c r="O806" s="368" t="n"/>
      <c r="P806" s="334" t="n"/>
    </row>
    <row r="807">
      <c r="A807" s="334" t="n"/>
      <c r="B807" s="334" t="n"/>
      <c r="C807" s="334" t="n"/>
      <c r="D807" s="334" t="n"/>
      <c r="E807" s="334" t="n"/>
      <c r="F807" s="334" t="n"/>
      <c r="G807" s="334" t="n"/>
      <c r="H807" s="334" t="n"/>
      <c r="I807" s="334" t="n"/>
      <c r="J807" s="334" t="n"/>
      <c r="K807" s="334" t="n"/>
      <c r="L807" s="334" t="n"/>
      <c r="M807" s="334" t="n"/>
      <c r="N807" s="339" t="n"/>
      <c r="O807" s="368" t="n"/>
      <c r="P807" s="334" t="n"/>
    </row>
    <row r="808">
      <c r="A808" s="334" t="n"/>
      <c r="B808" s="334" t="n"/>
      <c r="C808" s="334" t="n"/>
      <c r="D808" s="334" t="n"/>
      <c r="E808" s="334" t="n"/>
      <c r="F808" s="334" t="n"/>
      <c r="G808" s="334" t="n"/>
      <c r="H808" s="334" t="n"/>
      <c r="I808" s="334" t="n"/>
      <c r="J808" s="334" t="n"/>
      <c r="K808" s="334" t="n"/>
      <c r="L808" s="334" t="n"/>
      <c r="M808" s="334" t="n"/>
      <c r="N808" s="339" t="n"/>
      <c r="O808" s="368" t="n"/>
      <c r="P808" s="334" t="n"/>
    </row>
    <row r="809">
      <c r="A809" s="334" t="n"/>
      <c r="B809" s="334" t="n"/>
      <c r="C809" s="334" t="n"/>
      <c r="D809" s="334" t="n"/>
      <c r="E809" s="334" t="n"/>
      <c r="F809" s="334" t="n"/>
      <c r="G809" s="334" t="n"/>
      <c r="H809" s="334" t="n"/>
      <c r="I809" s="334" t="n"/>
      <c r="J809" s="334" t="n"/>
      <c r="K809" s="334" t="n"/>
      <c r="L809" s="334" t="n"/>
      <c r="M809" s="334" t="n"/>
      <c r="N809" s="339" t="n"/>
      <c r="O809" s="368" t="n"/>
      <c r="P809" s="334" t="n"/>
    </row>
    <row r="810">
      <c r="A810" s="334" t="n"/>
      <c r="B810" s="334" t="n"/>
      <c r="C810" s="334" t="n"/>
      <c r="D810" s="334" t="n"/>
      <c r="E810" s="334" t="n"/>
      <c r="F810" s="334" t="n"/>
      <c r="G810" s="334" t="n"/>
      <c r="H810" s="334" t="n"/>
      <c r="I810" s="334" t="n"/>
      <c r="J810" s="334" t="n"/>
      <c r="K810" s="334" t="n"/>
      <c r="L810" s="334" t="n"/>
      <c r="M810" s="334" t="n"/>
      <c r="N810" s="339" t="n"/>
      <c r="O810" s="368" t="n"/>
      <c r="P810" s="334" t="n"/>
    </row>
    <row r="811">
      <c r="A811" s="334" t="n"/>
      <c r="B811" s="334" t="n"/>
      <c r="C811" s="334" t="n"/>
      <c r="D811" s="334" t="n"/>
      <c r="E811" s="334" t="n"/>
      <c r="F811" s="334" t="n"/>
      <c r="G811" s="334" t="n"/>
      <c r="H811" s="334" t="n"/>
      <c r="I811" s="334" t="n"/>
      <c r="J811" s="334" t="n"/>
      <c r="K811" s="334" t="n"/>
      <c r="L811" s="334" t="n"/>
      <c r="M811" s="334" t="n"/>
      <c r="N811" s="339" t="n"/>
      <c r="O811" s="368" t="n"/>
      <c r="P811" s="334" t="n"/>
    </row>
    <row r="812">
      <c r="A812" s="334" t="n"/>
      <c r="B812" s="334" t="n"/>
      <c r="C812" s="334" t="n"/>
      <c r="D812" s="334" t="n"/>
      <c r="E812" s="334" t="n"/>
      <c r="F812" s="334" t="n"/>
      <c r="G812" s="334" t="n"/>
      <c r="H812" s="334" t="n"/>
      <c r="I812" s="334" t="n"/>
      <c r="J812" s="334" t="n"/>
      <c r="K812" s="334" t="n"/>
      <c r="L812" s="334" t="n"/>
      <c r="M812" s="334" t="n"/>
      <c r="N812" s="339" t="n"/>
      <c r="O812" s="368" t="n"/>
      <c r="P812" s="334" t="n"/>
    </row>
    <row r="813">
      <c r="A813" s="334" t="n"/>
      <c r="B813" s="334" t="n"/>
      <c r="C813" s="334" t="n"/>
      <c r="D813" s="334" t="n"/>
      <c r="E813" s="334" t="n"/>
      <c r="F813" s="334" t="n"/>
      <c r="G813" s="334" t="n"/>
      <c r="H813" s="334" t="n"/>
      <c r="I813" s="334" t="n"/>
      <c r="J813" s="334" t="n"/>
      <c r="K813" s="334" t="n"/>
      <c r="L813" s="334" t="n"/>
      <c r="M813" s="334" t="n"/>
      <c r="N813" s="339" t="n"/>
      <c r="O813" s="368" t="n"/>
      <c r="P813" s="334" t="n"/>
    </row>
    <row r="814">
      <c r="A814" s="334" t="n"/>
      <c r="B814" s="334" t="n"/>
      <c r="C814" s="334" t="n"/>
      <c r="D814" s="334" t="n"/>
      <c r="E814" s="334" t="n"/>
      <c r="F814" s="334" t="n"/>
      <c r="G814" s="334" t="n"/>
      <c r="H814" s="334" t="n"/>
      <c r="I814" s="334" t="n"/>
      <c r="J814" s="334" t="n"/>
      <c r="K814" s="334" t="n"/>
      <c r="L814" s="334" t="n"/>
      <c r="M814" s="334" t="n"/>
      <c r="N814" s="339" t="n"/>
      <c r="O814" s="368" t="n"/>
      <c r="P814" s="334" t="n"/>
    </row>
    <row r="815">
      <c r="A815" s="334" t="n"/>
      <c r="B815" s="334" t="n"/>
      <c r="C815" s="334" t="n"/>
      <c r="D815" s="334" t="n"/>
      <c r="E815" s="334" t="n"/>
      <c r="F815" s="334" t="n"/>
      <c r="G815" s="334" t="n"/>
      <c r="H815" s="334" t="n"/>
      <c r="I815" s="334" t="n"/>
      <c r="J815" s="334" t="n"/>
      <c r="K815" s="334" t="n"/>
      <c r="L815" s="334" t="n"/>
      <c r="M815" s="334" t="n"/>
      <c r="N815" s="339" t="n"/>
      <c r="O815" s="368" t="n"/>
      <c r="P815" s="334" t="n"/>
    </row>
    <row r="816">
      <c r="A816" s="334" t="n"/>
      <c r="B816" s="334" t="n"/>
      <c r="C816" s="334" t="n"/>
      <c r="D816" s="334" t="n"/>
      <c r="E816" s="334" t="n"/>
      <c r="F816" s="334" t="n"/>
      <c r="G816" s="334" t="n"/>
      <c r="H816" s="334" t="n"/>
      <c r="I816" s="334" t="n"/>
      <c r="J816" s="334" t="n"/>
      <c r="K816" s="334" t="n"/>
      <c r="L816" s="334" t="n"/>
      <c r="M816" s="334" t="n"/>
      <c r="N816" s="339" t="n"/>
      <c r="O816" s="368" t="n"/>
      <c r="P816" s="334" t="n"/>
    </row>
    <row r="817">
      <c r="A817" s="334" t="n"/>
      <c r="B817" s="334" t="n"/>
      <c r="C817" s="334" t="n"/>
      <c r="D817" s="334" t="n"/>
      <c r="E817" s="334" t="n"/>
      <c r="F817" s="334" t="n"/>
      <c r="G817" s="334" t="n"/>
      <c r="H817" s="334" t="n"/>
      <c r="I817" s="334" t="n"/>
      <c r="J817" s="334" t="n"/>
      <c r="K817" s="334" t="n"/>
      <c r="L817" s="334" t="n"/>
      <c r="M817" s="334" t="n"/>
      <c r="N817" s="339" t="n"/>
      <c r="O817" s="368" t="n"/>
      <c r="P817" s="334" t="n"/>
    </row>
    <row r="818">
      <c r="A818" s="334" t="n"/>
      <c r="B818" s="334" t="n"/>
      <c r="C818" s="334" t="n"/>
      <c r="D818" s="334" t="n"/>
      <c r="E818" s="334" t="n"/>
      <c r="F818" s="334" t="n"/>
      <c r="G818" s="334" t="n"/>
      <c r="H818" s="334" t="n"/>
      <c r="I818" s="334" t="n"/>
      <c r="J818" s="334" t="n"/>
      <c r="K818" s="334" t="n"/>
      <c r="L818" s="334" t="n"/>
      <c r="M818" s="334" t="n"/>
      <c r="N818" s="339" t="n"/>
      <c r="O818" s="368" t="n"/>
      <c r="P818" s="334" t="n"/>
    </row>
    <row r="819">
      <c r="A819" s="334" t="n"/>
      <c r="B819" s="334" t="n"/>
      <c r="C819" s="334" t="n"/>
      <c r="D819" s="334" t="n"/>
      <c r="E819" s="334" t="n"/>
      <c r="F819" s="334" t="n"/>
      <c r="G819" s="334" t="n"/>
      <c r="H819" s="334" t="n"/>
      <c r="I819" s="334" t="n"/>
      <c r="J819" s="334" t="n"/>
      <c r="K819" s="334" t="n"/>
      <c r="L819" s="334" t="n"/>
      <c r="M819" s="334" t="n"/>
      <c r="N819" s="339" t="n"/>
      <c r="O819" s="368" t="n"/>
      <c r="P819" s="334" t="n"/>
    </row>
    <row r="820">
      <c r="A820" s="334" t="n"/>
      <c r="B820" s="334" t="n"/>
      <c r="C820" s="334" t="n"/>
      <c r="D820" s="334" t="n"/>
      <c r="E820" s="334" t="n"/>
      <c r="F820" s="334" t="n"/>
      <c r="G820" s="334" t="n"/>
      <c r="H820" s="334" t="n"/>
      <c r="I820" s="334" t="n"/>
      <c r="J820" s="334" t="n"/>
      <c r="K820" s="334" t="n"/>
      <c r="L820" s="334" t="n"/>
      <c r="M820" s="334" t="n"/>
      <c r="N820" s="339" t="n"/>
      <c r="O820" s="368" t="n"/>
      <c r="P820" s="334" t="n"/>
    </row>
    <row r="821">
      <c r="A821" s="334" t="n"/>
      <c r="B821" s="334" t="n"/>
      <c r="C821" s="334" t="n"/>
      <c r="D821" s="334" t="n"/>
      <c r="E821" s="334" t="n"/>
      <c r="F821" s="334" t="n"/>
      <c r="G821" s="334" t="n"/>
      <c r="H821" s="334" t="n"/>
      <c r="I821" s="334" t="n"/>
      <c r="J821" s="334" t="n"/>
      <c r="K821" s="334" t="n"/>
      <c r="L821" s="334" t="n"/>
      <c r="M821" s="334" t="n"/>
      <c r="N821" s="339" t="n"/>
      <c r="O821" s="368" t="n"/>
      <c r="P821" s="334" t="n"/>
    </row>
    <row r="822">
      <c r="A822" s="334" t="n"/>
      <c r="B822" s="334" t="n"/>
      <c r="C822" s="334" t="n"/>
      <c r="D822" s="334" t="n"/>
      <c r="E822" s="334" t="n"/>
      <c r="F822" s="334" t="n"/>
      <c r="G822" s="334" t="n"/>
      <c r="H822" s="334" t="n"/>
      <c r="I822" s="334" t="n"/>
      <c r="J822" s="334" t="n"/>
      <c r="K822" s="334" t="n"/>
      <c r="L822" s="334" t="n"/>
      <c r="M822" s="334" t="n"/>
      <c r="N822" s="339" t="n"/>
      <c r="O822" s="368" t="n"/>
      <c r="P822" s="334" t="n"/>
    </row>
    <row r="823">
      <c r="A823" s="334" t="n"/>
      <c r="B823" s="334" t="n"/>
      <c r="C823" s="334" t="n"/>
      <c r="D823" s="334" t="n"/>
      <c r="E823" s="334" t="n"/>
      <c r="F823" s="334" t="n"/>
      <c r="G823" s="334" t="n"/>
      <c r="H823" s="334" t="n"/>
      <c r="I823" s="334" t="n"/>
      <c r="J823" s="334" t="n"/>
      <c r="K823" s="334" t="n"/>
      <c r="L823" s="334" t="n"/>
      <c r="M823" s="334" t="n"/>
      <c r="N823" s="339" t="n"/>
      <c r="O823" s="368" t="n"/>
      <c r="P823" s="334" t="n"/>
    </row>
    <row r="824">
      <c r="A824" s="334" t="n"/>
      <c r="B824" s="334" t="n"/>
      <c r="C824" s="334" t="n"/>
      <c r="D824" s="334" t="n"/>
      <c r="E824" s="334" t="n"/>
      <c r="F824" s="334" t="n"/>
      <c r="G824" s="334" t="n"/>
      <c r="H824" s="334" t="n"/>
      <c r="I824" s="334" t="n"/>
      <c r="J824" s="334" t="n"/>
      <c r="K824" s="334" t="n"/>
      <c r="L824" s="334" t="n"/>
      <c r="M824" s="334" t="n"/>
      <c r="N824" s="339" t="n"/>
      <c r="O824" s="368" t="n"/>
      <c r="P824" s="334" t="n"/>
    </row>
    <row r="825">
      <c r="A825" s="334" t="n"/>
      <c r="B825" s="334" t="n"/>
      <c r="C825" s="334" t="n"/>
      <c r="D825" s="334" t="n"/>
      <c r="E825" s="334" t="n"/>
      <c r="F825" s="334" t="n"/>
      <c r="G825" s="334" t="n"/>
      <c r="H825" s="334" t="n"/>
      <c r="I825" s="334" t="n"/>
      <c r="J825" s="334" t="n"/>
      <c r="K825" s="334" t="n"/>
      <c r="L825" s="334" t="n"/>
      <c r="M825" s="334" t="n"/>
      <c r="N825" s="339" t="n"/>
      <c r="O825" s="368" t="n"/>
      <c r="P825" s="334" t="n"/>
    </row>
    <row r="826">
      <c r="A826" s="334" t="n"/>
      <c r="B826" s="334" t="n"/>
      <c r="C826" s="334" t="n"/>
      <c r="D826" s="334" t="n"/>
      <c r="E826" s="334" t="n"/>
      <c r="F826" s="334" t="n"/>
      <c r="G826" s="334" t="n"/>
      <c r="H826" s="334" t="n"/>
      <c r="I826" s="334" t="n"/>
      <c r="J826" s="334" t="n"/>
      <c r="K826" s="334" t="n"/>
      <c r="L826" s="334" t="n"/>
      <c r="M826" s="334" t="n"/>
      <c r="N826" s="339" t="n"/>
      <c r="O826" s="368" t="n"/>
      <c r="P826" s="334" t="n"/>
    </row>
    <row r="827">
      <c r="A827" s="334" t="n"/>
      <c r="B827" s="334" t="n"/>
      <c r="C827" s="334" t="n"/>
      <c r="D827" s="334" t="n"/>
      <c r="E827" s="334" t="n"/>
      <c r="F827" s="334" t="n"/>
      <c r="G827" s="334" t="n"/>
      <c r="H827" s="334" t="n"/>
      <c r="I827" s="334" t="n"/>
      <c r="J827" s="334" t="n"/>
      <c r="K827" s="334" t="n"/>
      <c r="L827" s="334" t="n"/>
      <c r="M827" s="334" t="n"/>
      <c r="N827" s="339" t="n"/>
      <c r="O827" s="368" t="n"/>
      <c r="P827" s="334" t="n"/>
    </row>
    <row r="828">
      <c r="A828" s="334" t="n"/>
      <c r="B828" s="334" t="n"/>
      <c r="C828" s="334" t="n"/>
      <c r="D828" s="334" t="n"/>
      <c r="E828" s="334" t="n"/>
      <c r="F828" s="334" t="n"/>
      <c r="G828" s="334" t="n"/>
      <c r="H828" s="334" t="n"/>
      <c r="I828" s="334" t="n"/>
      <c r="J828" s="334" t="n"/>
      <c r="K828" s="334" t="n"/>
      <c r="L828" s="334" t="n"/>
      <c r="M828" s="334" t="n"/>
      <c r="N828" s="339" t="n"/>
      <c r="O828" s="368" t="n"/>
      <c r="P828" s="334" t="n"/>
    </row>
    <row r="829">
      <c r="A829" s="334" t="n"/>
      <c r="B829" s="334" t="n"/>
      <c r="C829" s="334" t="n"/>
      <c r="D829" s="334" t="n"/>
      <c r="E829" s="334" t="n"/>
      <c r="F829" s="334" t="n"/>
      <c r="G829" s="334" t="n"/>
      <c r="H829" s="334" t="n"/>
      <c r="I829" s="334" t="n"/>
      <c r="J829" s="334" t="n"/>
      <c r="K829" s="334" t="n"/>
      <c r="L829" s="334" t="n"/>
      <c r="M829" s="334" t="n"/>
      <c r="N829" s="339" t="n"/>
      <c r="O829" s="368" t="n"/>
      <c r="P829" s="334" t="n"/>
    </row>
    <row r="830">
      <c r="A830" s="334" t="n"/>
      <c r="B830" s="334" t="n"/>
      <c r="C830" s="334" t="n"/>
      <c r="D830" s="334" t="n"/>
      <c r="E830" s="334" t="n"/>
      <c r="F830" s="334" t="n"/>
      <c r="G830" s="334" t="n"/>
      <c r="H830" s="334" t="n"/>
      <c r="I830" s="334" t="n"/>
      <c r="J830" s="334" t="n"/>
      <c r="K830" s="334" t="n"/>
      <c r="L830" s="334" t="n"/>
      <c r="M830" s="334" t="n"/>
      <c r="N830" s="339" t="n"/>
      <c r="O830" s="368" t="n"/>
      <c r="P830" s="334" t="n"/>
    </row>
    <row r="831">
      <c r="A831" s="334" t="n"/>
      <c r="B831" s="334" t="n"/>
      <c r="C831" s="334" t="n"/>
      <c r="D831" s="334" t="n"/>
      <c r="E831" s="334" t="n"/>
      <c r="F831" s="334" t="n"/>
      <c r="G831" s="334" t="n"/>
      <c r="H831" s="334" t="n"/>
      <c r="I831" s="334" t="n"/>
      <c r="J831" s="334" t="n"/>
      <c r="K831" s="334" t="n"/>
      <c r="L831" s="334" t="n"/>
      <c r="M831" s="334" t="n"/>
      <c r="N831" s="339" t="n"/>
      <c r="O831" s="368" t="n"/>
      <c r="P831" s="334" t="n"/>
    </row>
    <row r="832">
      <c r="A832" s="334" t="n"/>
      <c r="B832" s="334" t="n"/>
      <c r="C832" s="334" t="n"/>
      <c r="D832" s="334" t="n"/>
      <c r="E832" s="334" t="n"/>
      <c r="F832" s="334" t="n"/>
      <c r="G832" s="334" t="n"/>
      <c r="H832" s="334" t="n"/>
      <c r="I832" s="334" t="n"/>
      <c r="J832" s="334" t="n"/>
      <c r="K832" s="334" t="n"/>
      <c r="L832" s="334" t="n"/>
      <c r="M832" s="334" t="n"/>
      <c r="N832" s="339" t="n"/>
      <c r="O832" s="368" t="n"/>
      <c r="P832" s="334" t="n"/>
    </row>
    <row r="833">
      <c r="A833" s="334" t="n"/>
      <c r="B833" s="334" t="n"/>
      <c r="C833" s="334" t="n"/>
      <c r="D833" s="334" t="n"/>
      <c r="E833" s="334" t="n"/>
      <c r="F833" s="334" t="n"/>
      <c r="G833" s="334" t="n"/>
      <c r="H833" s="334" t="n"/>
      <c r="I833" s="334" t="n"/>
      <c r="J833" s="334" t="n"/>
      <c r="K833" s="334" t="n"/>
      <c r="L833" s="334" t="n"/>
      <c r="M833" s="334" t="n"/>
      <c r="N833" s="339" t="n"/>
      <c r="O833" s="368" t="n"/>
      <c r="P833" s="334" t="n"/>
    </row>
    <row r="834">
      <c r="A834" s="334" t="n"/>
      <c r="B834" s="334" t="n"/>
      <c r="C834" s="334" t="n"/>
      <c r="D834" s="334" t="n"/>
      <c r="E834" s="334" t="n"/>
      <c r="F834" s="334" t="n"/>
      <c r="G834" s="334" t="n"/>
      <c r="H834" s="334" t="n"/>
      <c r="I834" s="334" t="n"/>
      <c r="J834" s="334" t="n"/>
      <c r="K834" s="334" t="n"/>
      <c r="L834" s="334" t="n"/>
      <c r="M834" s="334" t="n"/>
      <c r="N834" s="339" t="n"/>
      <c r="O834" s="368" t="n"/>
      <c r="P834" s="334" t="n"/>
    </row>
    <row r="835">
      <c r="A835" s="334" t="n"/>
      <c r="B835" s="334" t="n"/>
      <c r="C835" s="334" t="n"/>
      <c r="D835" s="334" t="n"/>
      <c r="E835" s="334" t="n"/>
      <c r="F835" s="334" t="n"/>
      <c r="G835" s="334" t="n"/>
      <c r="H835" s="334" t="n"/>
      <c r="I835" s="334" t="n"/>
      <c r="J835" s="334" t="n"/>
      <c r="K835" s="334" t="n"/>
      <c r="L835" s="334" t="n"/>
      <c r="M835" s="334" t="n"/>
      <c r="N835" s="339" t="n"/>
      <c r="O835" s="368" t="n"/>
      <c r="P835" s="334" t="n"/>
    </row>
    <row r="836">
      <c r="A836" s="334" t="n"/>
      <c r="B836" s="334" t="n"/>
      <c r="C836" s="334" t="n"/>
      <c r="D836" s="334" t="n"/>
      <c r="E836" s="334" t="n"/>
      <c r="F836" s="334" t="n"/>
      <c r="G836" s="334" t="n"/>
      <c r="H836" s="334" t="n"/>
      <c r="I836" s="334" t="n"/>
      <c r="J836" s="334" t="n"/>
      <c r="K836" s="334" t="n"/>
      <c r="L836" s="334" t="n"/>
      <c r="M836" s="334" t="n"/>
      <c r="N836" s="339" t="n"/>
      <c r="O836" s="368" t="n"/>
      <c r="P836" s="334" t="n"/>
    </row>
    <row r="837">
      <c r="A837" s="334" t="n"/>
      <c r="B837" s="334" t="n"/>
      <c r="C837" s="334" t="n"/>
      <c r="D837" s="334" t="n"/>
      <c r="E837" s="334" t="n"/>
      <c r="F837" s="334" t="n"/>
      <c r="G837" s="334" t="n"/>
      <c r="H837" s="334" t="n"/>
      <c r="I837" s="334" t="n"/>
      <c r="J837" s="334" t="n"/>
      <c r="K837" s="334" t="n"/>
      <c r="L837" s="334" t="n"/>
      <c r="M837" s="334" t="n"/>
      <c r="N837" s="339" t="n"/>
      <c r="O837" s="368" t="n"/>
      <c r="P837" s="334" t="n"/>
    </row>
    <row r="838">
      <c r="A838" s="334" t="n"/>
      <c r="B838" s="334" t="n"/>
      <c r="C838" s="334" t="n"/>
      <c r="D838" s="334" t="n"/>
      <c r="E838" s="334" t="n"/>
      <c r="F838" s="334" t="n"/>
      <c r="G838" s="334" t="n"/>
      <c r="H838" s="334" t="n"/>
      <c r="I838" s="334" t="n"/>
      <c r="J838" s="334" t="n"/>
      <c r="K838" s="334" t="n"/>
      <c r="L838" s="334" t="n"/>
      <c r="M838" s="334" t="n"/>
      <c r="N838" s="339" t="n"/>
      <c r="O838" s="368" t="n"/>
      <c r="P838" s="334" t="n"/>
    </row>
    <row r="839">
      <c r="A839" s="334" t="n"/>
      <c r="B839" s="334" t="n"/>
      <c r="C839" s="334" t="n"/>
      <c r="D839" s="334" t="n"/>
      <c r="E839" s="334" t="n"/>
      <c r="F839" s="334" t="n"/>
      <c r="G839" s="334" t="n"/>
      <c r="H839" s="334" t="n"/>
      <c r="I839" s="334" t="n"/>
      <c r="J839" s="334" t="n"/>
      <c r="K839" s="334" t="n"/>
      <c r="L839" s="334" t="n"/>
      <c r="M839" s="334" t="n"/>
      <c r="N839" s="339" t="n"/>
      <c r="O839" s="368" t="n"/>
      <c r="P839" s="334" t="n"/>
    </row>
    <row r="840">
      <c r="A840" s="334" t="n"/>
      <c r="B840" s="334" t="n"/>
      <c r="C840" s="334" t="n"/>
      <c r="D840" s="334" t="n"/>
      <c r="E840" s="334" t="n"/>
      <c r="F840" s="334" t="n"/>
      <c r="G840" s="334" t="n"/>
      <c r="H840" s="334" t="n"/>
      <c r="I840" s="334" t="n"/>
      <c r="J840" s="334" t="n"/>
      <c r="K840" s="334" t="n"/>
      <c r="L840" s="334" t="n"/>
      <c r="M840" s="334" t="n"/>
      <c r="N840" s="339" t="n"/>
      <c r="O840" s="368" t="n"/>
      <c r="P840" s="334" t="n"/>
    </row>
    <row r="841">
      <c r="A841" s="334" t="n"/>
      <c r="B841" s="334" t="n"/>
      <c r="C841" s="334" t="n"/>
      <c r="D841" s="334" t="n"/>
      <c r="E841" s="334" t="n"/>
      <c r="F841" s="334" t="n"/>
      <c r="G841" s="334" t="n"/>
      <c r="H841" s="334" t="n"/>
      <c r="I841" s="334" t="n"/>
      <c r="J841" s="334" t="n"/>
      <c r="K841" s="334" t="n"/>
      <c r="L841" s="334" t="n"/>
      <c r="M841" s="334" t="n"/>
      <c r="N841" s="339" t="n"/>
      <c r="O841" s="368" t="n"/>
      <c r="P841" s="334" t="n"/>
    </row>
    <row r="842">
      <c r="A842" s="334" t="n"/>
      <c r="B842" s="334" t="n"/>
      <c r="C842" s="334" t="n"/>
      <c r="D842" s="334" t="n"/>
      <c r="E842" s="334" t="n"/>
      <c r="F842" s="334" t="n"/>
      <c r="G842" s="334" t="n"/>
      <c r="H842" s="334" t="n"/>
      <c r="I842" s="334" t="n"/>
      <c r="J842" s="334" t="n"/>
      <c r="K842" s="334" t="n"/>
      <c r="L842" s="334" t="n"/>
      <c r="M842" s="334" t="n"/>
      <c r="N842" s="339" t="n"/>
      <c r="O842" s="368" t="n"/>
      <c r="P842" s="334" t="n"/>
    </row>
    <row r="843">
      <c r="A843" s="334" t="n"/>
      <c r="B843" s="334" t="n"/>
      <c r="C843" s="334" t="n"/>
      <c r="D843" s="334" t="n"/>
      <c r="E843" s="334" t="n"/>
      <c r="F843" s="334" t="n"/>
      <c r="G843" s="334" t="n"/>
      <c r="H843" s="334" t="n"/>
      <c r="I843" s="334" t="n"/>
      <c r="J843" s="334" t="n"/>
      <c r="K843" s="334" t="n"/>
      <c r="L843" s="334" t="n"/>
      <c r="M843" s="334" t="n"/>
      <c r="N843" s="339" t="n"/>
      <c r="O843" s="368" t="n"/>
      <c r="P843" s="334" t="n"/>
    </row>
    <row r="844">
      <c r="A844" s="334" t="n"/>
      <c r="B844" s="334" t="n"/>
      <c r="C844" s="334" t="n"/>
      <c r="D844" s="334" t="n"/>
      <c r="E844" s="334" t="n"/>
      <c r="F844" s="334" t="n"/>
      <c r="G844" s="334" t="n"/>
      <c r="H844" s="334" t="n"/>
      <c r="I844" s="334" t="n"/>
      <c r="J844" s="334" t="n"/>
      <c r="K844" s="334" t="n"/>
      <c r="L844" s="334" t="n"/>
      <c r="M844" s="334" t="n"/>
      <c r="N844" s="339" t="n"/>
      <c r="O844" s="368" t="n"/>
      <c r="P844" s="334" t="n"/>
    </row>
    <row r="845">
      <c r="A845" s="334" t="n"/>
      <c r="B845" s="334" t="n"/>
      <c r="C845" s="334" t="n"/>
      <c r="D845" s="334" t="n"/>
      <c r="E845" s="334" t="n"/>
      <c r="F845" s="334" t="n"/>
      <c r="G845" s="334" t="n"/>
      <c r="H845" s="334" t="n"/>
      <c r="I845" s="334" t="n"/>
      <c r="J845" s="334" t="n"/>
      <c r="K845" s="334" t="n"/>
      <c r="L845" s="334" t="n"/>
      <c r="M845" s="334" t="n"/>
      <c r="N845" s="339" t="n"/>
      <c r="O845" s="368" t="n"/>
      <c r="P845" s="334" t="n"/>
    </row>
    <row r="846">
      <c r="A846" s="334" t="n"/>
      <c r="B846" s="334" t="n"/>
      <c r="C846" s="334" t="n"/>
      <c r="D846" s="334" t="n"/>
      <c r="E846" s="334" t="n"/>
      <c r="F846" s="334" t="n"/>
      <c r="G846" s="334" t="n"/>
      <c r="H846" s="334" t="n"/>
      <c r="I846" s="334" t="n"/>
      <c r="J846" s="334" t="n"/>
      <c r="K846" s="334" t="n"/>
      <c r="L846" s="334" t="n"/>
      <c r="M846" s="334" t="n"/>
      <c r="N846" s="339" t="n"/>
      <c r="O846" s="368" t="n"/>
      <c r="P846" s="334" t="n"/>
    </row>
    <row r="847">
      <c r="A847" s="334" t="n"/>
      <c r="B847" s="334" t="n"/>
      <c r="C847" s="334" t="n"/>
      <c r="D847" s="334" t="n"/>
      <c r="E847" s="334" t="n"/>
      <c r="F847" s="334" t="n"/>
      <c r="G847" s="334" t="n"/>
      <c r="H847" s="334" t="n"/>
      <c r="I847" s="334" t="n"/>
      <c r="J847" s="334" t="n"/>
      <c r="K847" s="334" t="n"/>
      <c r="L847" s="334" t="n"/>
      <c r="M847" s="334" t="n"/>
      <c r="N847" s="339" t="n"/>
      <c r="O847" s="368" t="n"/>
      <c r="P847" s="334" t="n"/>
    </row>
    <row r="848">
      <c r="A848" s="334" t="n"/>
      <c r="B848" s="334" t="n"/>
      <c r="C848" s="334" t="n"/>
      <c r="D848" s="334" t="n"/>
      <c r="E848" s="334" t="n"/>
      <c r="F848" s="334" t="n"/>
      <c r="G848" s="334" t="n"/>
      <c r="H848" s="334" t="n"/>
      <c r="I848" s="334" t="n"/>
      <c r="J848" s="334" t="n"/>
      <c r="K848" s="334" t="n"/>
      <c r="L848" s="334" t="n"/>
      <c r="M848" s="334" t="n"/>
      <c r="N848" s="339" t="n"/>
      <c r="O848" s="368" t="n"/>
      <c r="P848" s="334" t="n"/>
    </row>
    <row r="849">
      <c r="A849" s="334" t="n"/>
      <c r="B849" s="334" t="n"/>
      <c r="C849" s="334" t="n"/>
      <c r="D849" s="334" t="n"/>
      <c r="E849" s="334" t="n"/>
      <c r="F849" s="334" t="n"/>
      <c r="G849" s="334" t="n"/>
      <c r="H849" s="334" t="n"/>
      <c r="I849" s="334" t="n"/>
      <c r="J849" s="334" t="n"/>
      <c r="K849" s="334" t="n"/>
      <c r="L849" s="334" t="n"/>
      <c r="M849" s="334" t="n"/>
      <c r="N849" s="339" t="n"/>
      <c r="O849" s="368" t="n"/>
      <c r="P849" s="334" t="n"/>
    </row>
    <row r="850">
      <c r="A850" s="334" t="n"/>
      <c r="B850" s="334" t="n"/>
      <c r="C850" s="334" t="n"/>
      <c r="D850" s="334" t="n"/>
      <c r="E850" s="334" t="n"/>
      <c r="F850" s="334" t="n"/>
      <c r="G850" s="334" t="n"/>
      <c r="H850" s="334" t="n"/>
      <c r="I850" s="334" t="n"/>
      <c r="J850" s="334" t="n"/>
      <c r="K850" s="334" t="n"/>
      <c r="L850" s="334" t="n"/>
      <c r="M850" s="334" t="n"/>
      <c r="N850" s="339" t="n"/>
      <c r="O850" s="368" t="n"/>
      <c r="P850" s="334" t="n"/>
    </row>
    <row r="851">
      <c r="A851" s="334" t="n"/>
      <c r="B851" s="334" t="n"/>
      <c r="C851" s="334" t="n"/>
      <c r="D851" s="334" t="n"/>
      <c r="E851" s="334" t="n"/>
      <c r="F851" s="334" t="n"/>
      <c r="G851" s="334" t="n"/>
      <c r="H851" s="334" t="n"/>
      <c r="I851" s="334" t="n"/>
      <c r="J851" s="334" t="n"/>
      <c r="K851" s="334" t="n"/>
      <c r="L851" s="334" t="n"/>
      <c r="M851" s="334" t="n"/>
      <c r="N851" s="339" t="n"/>
      <c r="O851" s="368" t="n"/>
      <c r="P851" s="334" t="n"/>
    </row>
    <row r="852">
      <c r="A852" s="334" t="n"/>
      <c r="B852" s="334" t="n"/>
      <c r="C852" s="334" t="n"/>
      <c r="D852" s="334" t="n"/>
      <c r="E852" s="334" t="n"/>
      <c r="F852" s="334" t="n"/>
      <c r="G852" s="334" t="n"/>
      <c r="H852" s="334" t="n"/>
      <c r="I852" s="334" t="n"/>
      <c r="J852" s="334" t="n"/>
      <c r="K852" s="334" t="n"/>
      <c r="L852" s="334" t="n"/>
      <c r="M852" s="334" t="n"/>
      <c r="N852" s="339" t="n"/>
      <c r="O852" s="368" t="n"/>
      <c r="P852" s="334" t="n"/>
    </row>
    <row r="853">
      <c r="A853" s="334" t="n"/>
      <c r="B853" s="334" t="n"/>
      <c r="C853" s="334" t="n"/>
      <c r="D853" s="334" t="n"/>
      <c r="E853" s="334" t="n"/>
      <c r="F853" s="334" t="n"/>
      <c r="G853" s="334" t="n"/>
      <c r="H853" s="334" t="n"/>
      <c r="I853" s="334" t="n"/>
      <c r="J853" s="334" t="n"/>
      <c r="K853" s="334" t="n"/>
      <c r="L853" s="334" t="n"/>
      <c r="M853" s="334" t="n"/>
      <c r="N853" s="339" t="n"/>
      <c r="O853" s="368" t="n"/>
      <c r="P853" s="334" t="n"/>
    </row>
    <row r="854">
      <c r="A854" s="334" t="n"/>
      <c r="B854" s="334" t="n"/>
      <c r="C854" s="334" t="n"/>
      <c r="D854" s="334" t="n"/>
      <c r="E854" s="334" t="n"/>
      <c r="F854" s="334" t="n"/>
      <c r="G854" s="334" t="n"/>
      <c r="H854" s="334" t="n"/>
      <c r="I854" s="334" t="n"/>
      <c r="J854" s="334" t="n"/>
      <c r="K854" s="334" t="n"/>
      <c r="L854" s="334" t="n"/>
      <c r="M854" s="334" t="n"/>
      <c r="N854" s="339" t="n"/>
      <c r="O854" s="368" t="n"/>
      <c r="P854" s="334" t="n"/>
    </row>
    <row r="855">
      <c r="A855" s="334" t="n"/>
      <c r="B855" s="334" t="n"/>
      <c r="C855" s="334" t="n"/>
      <c r="D855" s="334" t="n"/>
      <c r="E855" s="334" t="n"/>
      <c r="F855" s="334" t="n"/>
      <c r="G855" s="334" t="n"/>
      <c r="H855" s="334" t="n"/>
      <c r="I855" s="334" t="n"/>
      <c r="J855" s="334" t="n"/>
      <c r="K855" s="334" t="n"/>
      <c r="L855" s="334" t="n"/>
      <c r="M855" s="334" t="n"/>
      <c r="N855" s="339" t="n"/>
      <c r="O855" s="368" t="n"/>
      <c r="P855" s="334" t="n"/>
    </row>
    <row r="856">
      <c r="A856" s="334" t="n"/>
      <c r="B856" s="334" t="n"/>
      <c r="C856" s="334" t="n"/>
      <c r="D856" s="334" t="n"/>
      <c r="E856" s="334" t="n"/>
      <c r="F856" s="334" t="n"/>
      <c r="G856" s="334" t="n"/>
      <c r="H856" s="334" t="n"/>
      <c r="I856" s="334" t="n"/>
      <c r="J856" s="334" t="n"/>
      <c r="K856" s="334" t="n"/>
      <c r="L856" s="334" t="n"/>
      <c r="M856" s="334" t="n"/>
      <c r="N856" s="339" t="n"/>
      <c r="O856" s="368" t="n"/>
      <c r="P856" s="334" t="n"/>
    </row>
    <row r="857">
      <c r="A857" s="334" t="n"/>
      <c r="B857" s="334" t="n"/>
      <c r="C857" s="334" t="n"/>
      <c r="D857" s="334" t="n"/>
      <c r="E857" s="334" t="n"/>
      <c r="F857" s="334" t="n"/>
      <c r="G857" s="334" t="n"/>
      <c r="H857" s="334" t="n"/>
      <c r="I857" s="334" t="n"/>
      <c r="J857" s="334" t="n"/>
      <c r="K857" s="334" t="n"/>
      <c r="L857" s="334" t="n"/>
      <c r="M857" s="334" t="n"/>
      <c r="N857" s="339" t="n"/>
      <c r="O857" s="368" t="n"/>
      <c r="P857" s="334" t="n"/>
    </row>
    <row r="858">
      <c r="A858" s="334" t="n"/>
      <c r="B858" s="334" t="n"/>
      <c r="C858" s="334" t="n"/>
      <c r="D858" s="334" t="n"/>
      <c r="E858" s="334" t="n"/>
      <c r="F858" s="334" t="n"/>
      <c r="G858" s="334" t="n"/>
      <c r="H858" s="334" t="n"/>
      <c r="I858" s="334" t="n"/>
      <c r="J858" s="334" t="n"/>
      <c r="K858" s="334" t="n"/>
      <c r="L858" s="334" t="n"/>
      <c r="M858" s="334" t="n"/>
      <c r="N858" s="339" t="n"/>
      <c r="O858" s="368" t="n"/>
      <c r="P858" s="334" t="n"/>
    </row>
    <row r="859">
      <c r="A859" s="334" t="n"/>
      <c r="B859" s="334" t="n"/>
      <c r="C859" s="334" t="n"/>
      <c r="D859" s="334" t="n"/>
      <c r="E859" s="334" t="n"/>
      <c r="F859" s="334" t="n"/>
      <c r="G859" s="334" t="n"/>
      <c r="H859" s="334" t="n"/>
      <c r="I859" s="334" t="n"/>
      <c r="J859" s="334" t="n"/>
      <c r="K859" s="334" t="n"/>
      <c r="L859" s="334" t="n"/>
      <c r="M859" s="334" t="n"/>
      <c r="N859" s="339" t="n"/>
      <c r="O859" s="368" t="n"/>
      <c r="P859" s="334" t="n"/>
    </row>
    <row r="860">
      <c r="A860" s="334" t="n"/>
      <c r="B860" s="334" t="n"/>
      <c r="C860" s="334" t="n"/>
      <c r="D860" s="334" t="n"/>
      <c r="E860" s="334" t="n"/>
      <c r="F860" s="334" t="n"/>
      <c r="G860" s="334" t="n"/>
      <c r="H860" s="334" t="n"/>
      <c r="I860" s="334" t="n"/>
      <c r="J860" s="334" t="n"/>
      <c r="K860" s="334" t="n"/>
      <c r="L860" s="334" t="n"/>
      <c r="M860" s="334" t="n"/>
      <c r="N860" s="339" t="n"/>
      <c r="O860" s="368" t="n"/>
      <c r="P860" s="334" t="n"/>
    </row>
    <row r="861">
      <c r="A861" s="334" t="n"/>
      <c r="B861" s="334" t="n"/>
      <c r="C861" s="334" t="n"/>
      <c r="D861" s="334" t="n"/>
      <c r="E861" s="334" t="n"/>
      <c r="F861" s="334" t="n"/>
      <c r="G861" s="334" t="n"/>
      <c r="H861" s="334" t="n"/>
      <c r="I861" s="334" t="n"/>
      <c r="J861" s="334" t="n"/>
      <c r="K861" s="334" t="n"/>
      <c r="L861" s="334" t="n"/>
      <c r="M861" s="334" t="n"/>
      <c r="N861" s="339" t="n"/>
      <c r="O861" s="368" t="n"/>
      <c r="P861" s="334" t="n"/>
    </row>
    <row r="862">
      <c r="A862" s="334" t="n"/>
      <c r="B862" s="334" t="n"/>
      <c r="C862" s="334" t="n"/>
      <c r="D862" s="334" t="n"/>
      <c r="E862" s="334" t="n"/>
      <c r="F862" s="334" t="n"/>
      <c r="G862" s="334" t="n"/>
      <c r="H862" s="334" t="n"/>
      <c r="I862" s="334" t="n"/>
      <c r="J862" s="334" t="n"/>
      <c r="K862" s="334" t="n"/>
      <c r="L862" s="334" t="n"/>
      <c r="M862" s="334" t="n"/>
      <c r="N862" s="339" t="n"/>
      <c r="O862" s="368" t="n"/>
      <c r="P862" s="334" t="n"/>
    </row>
    <row r="863">
      <c r="A863" s="334" t="n"/>
      <c r="B863" s="334" t="n"/>
      <c r="C863" s="334" t="n"/>
      <c r="D863" s="334" t="n"/>
      <c r="E863" s="334" t="n"/>
      <c r="F863" s="334" t="n"/>
      <c r="G863" s="334" t="n"/>
      <c r="H863" s="334" t="n"/>
      <c r="I863" s="334" t="n"/>
      <c r="J863" s="334" t="n"/>
      <c r="K863" s="334" t="n"/>
      <c r="L863" s="334" t="n"/>
      <c r="M863" s="334" t="n"/>
      <c r="N863" s="339" t="n"/>
      <c r="O863" s="368" t="n"/>
      <c r="P863" s="334" t="n"/>
    </row>
    <row r="864">
      <c r="A864" s="334" t="n"/>
      <c r="B864" s="334" t="n"/>
      <c r="C864" s="334" t="n"/>
      <c r="D864" s="334" t="n"/>
      <c r="E864" s="334" t="n"/>
      <c r="F864" s="334" t="n"/>
      <c r="G864" s="334" t="n"/>
      <c r="H864" s="334" t="n"/>
      <c r="I864" s="334" t="n"/>
      <c r="J864" s="334" t="n"/>
      <c r="K864" s="334" t="n"/>
      <c r="L864" s="334" t="n"/>
      <c r="M864" s="334" t="n"/>
      <c r="N864" s="339" t="n"/>
      <c r="O864" s="368" t="n"/>
      <c r="P864" s="334" t="n"/>
    </row>
    <row r="865">
      <c r="A865" s="334" t="n"/>
      <c r="B865" s="334" t="n"/>
      <c r="C865" s="334" t="n"/>
      <c r="D865" s="334" t="n"/>
      <c r="E865" s="334" t="n"/>
      <c r="F865" s="334" t="n"/>
      <c r="G865" s="334" t="n"/>
      <c r="H865" s="334" t="n"/>
      <c r="I865" s="334" t="n"/>
      <c r="J865" s="334" t="n"/>
      <c r="K865" s="334" t="n"/>
      <c r="L865" s="334" t="n"/>
      <c r="M865" s="334" t="n"/>
      <c r="N865" s="339" t="n"/>
      <c r="O865" s="368" t="n"/>
      <c r="P865" s="334" t="n"/>
    </row>
    <row r="866">
      <c r="A866" s="334" t="n"/>
      <c r="B866" s="334" t="n"/>
      <c r="C866" s="334" t="n"/>
      <c r="D866" s="334" t="n"/>
      <c r="E866" s="334" t="n"/>
      <c r="F866" s="334" t="n"/>
      <c r="G866" s="334" t="n"/>
      <c r="H866" s="334" t="n"/>
      <c r="I866" s="334" t="n"/>
      <c r="J866" s="334" t="n"/>
      <c r="K866" s="334" t="n"/>
      <c r="L866" s="334" t="n"/>
      <c r="M866" s="334" t="n"/>
      <c r="N866" s="339" t="n"/>
      <c r="O866" s="368" t="n"/>
      <c r="P866" s="334" t="n"/>
    </row>
    <row r="867">
      <c r="A867" s="334" t="n"/>
      <c r="B867" s="334" t="n"/>
      <c r="C867" s="334" t="n"/>
      <c r="D867" s="334" t="n"/>
      <c r="E867" s="334" t="n"/>
      <c r="F867" s="334" t="n"/>
      <c r="G867" s="334" t="n"/>
      <c r="H867" s="334" t="n"/>
      <c r="I867" s="334" t="n"/>
      <c r="J867" s="334" t="n"/>
      <c r="K867" s="334" t="n"/>
      <c r="L867" s="334" t="n"/>
      <c r="M867" s="334" t="n"/>
      <c r="N867" s="339" t="n"/>
      <c r="O867" s="368" t="n"/>
      <c r="P867" s="334" t="n"/>
    </row>
    <row r="868">
      <c r="A868" s="334" t="n"/>
      <c r="B868" s="334" t="n"/>
      <c r="C868" s="334" t="n"/>
      <c r="D868" s="334" t="n"/>
      <c r="E868" s="334" t="n"/>
      <c r="F868" s="334" t="n"/>
      <c r="G868" s="334" t="n"/>
      <c r="H868" s="334" t="n"/>
      <c r="I868" s="334" t="n"/>
      <c r="J868" s="334" t="n"/>
      <c r="K868" s="334" t="n"/>
      <c r="L868" s="334" t="n"/>
      <c r="M868" s="334" t="n"/>
      <c r="N868" s="339" t="n"/>
      <c r="O868" s="368" t="n"/>
      <c r="P868" s="334" t="n"/>
    </row>
    <row r="869">
      <c r="A869" s="334" t="n"/>
      <c r="B869" s="334" t="n"/>
      <c r="C869" s="334" t="n"/>
      <c r="D869" s="334" t="n"/>
      <c r="E869" s="334" t="n"/>
      <c r="F869" s="334" t="n"/>
      <c r="G869" s="334" t="n"/>
      <c r="H869" s="334" t="n"/>
      <c r="I869" s="334" t="n"/>
      <c r="J869" s="334" t="n"/>
      <c r="K869" s="334" t="n"/>
      <c r="L869" s="334" t="n"/>
      <c r="M869" s="334" t="n"/>
      <c r="N869" s="339" t="n"/>
      <c r="O869" s="368" t="n"/>
      <c r="P869" s="334" t="n"/>
    </row>
    <row r="870">
      <c r="A870" s="334" t="n"/>
      <c r="B870" s="334" t="n"/>
      <c r="C870" s="334" t="n"/>
      <c r="D870" s="334" t="n"/>
      <c r="E870" s="334" t="n"/>
      <c r="F870" s="334" t="n"/>
      <c r="G870" s="334" t="n"/>
      <c r="H870" s="334" t="n"/>
      <c r="I870" s="334" t="n"/>
      <c r="J870" s="334" t="n"/>
      <c r="K870" s="334" t="n"/>
      <c r="L870" s="334" t="n"/>
      <c r="M870" s="334" t="n"/>
      <c r="N870" s="339" t="n"/>
      <c r="O870" s="368" t="n"/>
      <c r="P870" s="334" t="n"/>
    </row>
    <row r="871">
      <c r="A871" s="334" t="n"/>
      <c r="B871" s="334" t="n"/>
      <c r="C871" s="334" t="n"/>
      <c r="D871" s="334" t="n"/>
      <c r="E871" s="334" t="n"/>
      <c r="F871" s="334" t="n"/>
      <c r="G871" s="334" t="n"/>
      <c r="H871" s="334" t="n"/>
      <c r="I871" s="334" t="n"/>
      <c r="J871" s="334" t="n"/>
      <c r="K871" s="334" t="n"/>
      <c r="L871" s="334" t="n"/>
      <c r="M871" s="334" t="n"/>
      <c r="N871" s="339" t="n"/>
      <c r="O871" s="368" t="n"/>
      <c r="P871" s="334" t="n"/>
    </row>
    <row r="872">
      <c r="A872" s="334" t="n"/>
      <c r="B872" s="334" t="n"/>
      <c r="C872" s="334" t="n"/>
      <c r="D872" s="334" t="n"/>
      <c r="E872" s="334" t="n"/>
      <c r="F872" s="334" t="n"/>
      <c r="G872" s="334" t="n"/>
      <c r="H872" s="334" t="n"/>
      <c r="I872" s="334" t="n"/>
      <c r="J872" s="334" t="n"/>
      <c r="K872" s="334" t="n"/>
      <c r="L872" s="334" t="n"/>
      <c r="M872" s="334" t="n"/>
      <c r="N872" s="339" t="n"/>
      <c r="O872" s="368" t="n"/>
      <c r="P872" s="334" t="n"/>
    </row>
    <row r="873">
      <c r="A873" s="334" t="n"/>
      <c r="B873" s="334" t="n"/>
      <c r="C873" s="334" t="n"/>
      <c r="D873" s="334" t="n"/>
      <c r="E873" s="334" t="n"/>
      <c r="F873" s="334" t="n"/>
      <c r="G873" s="334" t="n"/>
      <c r="H873" s="334" t="n"/>
      <c r="I873" s="334" t="n"/>
      <c r="J873" s="334" t="n"/>
      <c r="K873" s="334" t="n"/>
      <c r="L873" s="334" t="n"/>
      <c r="M873" s="334" t="n"/>
      <c r="N873" s="339" t="n"/>
      <c r="O873" s="368" t="n"/>
      <c r="P873" s="334" t="n"/>
    </row>
    <row r="874">
      <c r="A874" s="334" t="n"/>
      <c r="B874" s="334" t="n"/>
      <c r="C874" s="334" t="n"/>
      <c r="D874" s="334" t="n"/>
      <c r="E874" s="334" t="n"/>
      <c r="F874" s="334" t="n"/>
      <c r="G874" s="334" t="n"/>
      <c r="H874" s="334" t="n"/>
      <c r="I874" s="334" t="n"/>
      <c r="J874" s="334" t="n"/>
      <c r="K874" s="334" t="n"/>
      <c r="L874" s="334" t="n"/>
      <c r="M874" s="334" t="n"/>
      <c r="N874" s="339" t="n"/>
      <c r="O874" s="368" t="n"/>
      <c r="P874" s="334" t="n"/>
    </row>
    <row r="875">
      <c r="A875" s="334" t="n"/>
      <c r="B875" s="334" t="n"/>
      <c r="C875" s="334" t="n"/>
      <c r="D875" s="334" t="n"/>
      <c r="E875" s="334" t="n"/>
      <c r="F875" s="334" t="n"/>
      <c r="G875" s="334" t="n"/>
      <c r="H875" s="334" t="n"/>
      <c r="I875" s="334" t="n"/>
      <c r="J875" s="334" t="n"/>
      <c r="K875" s="334" t="n"/>
      <c r="L875" s="334" t="n"/>
      <c r="M875" s="334" t="n"/>
      <c r="N875" s="339" t="n"/>
      <c r="O875" s="368" t="n"/>
      <c r="P875" s="334" t="n"/>
    </row>
    <row r="876">
      <c r="A876" s="334" t="n"/>
      <c r="B876" s="334" t="n"/>
      <c r="C876" s="334" t="n"/>
      <c r="D876" s="334" t="n"/>
      <c r="E876" s="334" t="n"/>
      <c r="F876" s="334" t="n"/>
      <c r="G876" s="334" t="n"/>
      <c r="H876" s="334" t="n"/>
      <c r="I876" s="334" t="n"/>
      <c r="J876" s="334" t="n"/>
      <c r="K876" s="334" t="n"/>
      <c r="L876" s="334" t="n"/>
      <c r="M876" s="334" t="n"/>
      <c r="N876" s="339" t="n"/>
      <c r="O876" s="368" t="n"/>
      <c r="P876" s="334" t="n"/>
    </row>
    <row r="877">
      <c r="A877" s="334" t="n"/>
      <c r="B877" s="334" t="n"/>
      <c r="C877" s="334" t="n"/>
      <c r="D877" s="334" t="n"/>
      <c r="E877" s="334" t="n"/>
      <c r="F877" s="334" t="n"/>
      <c r="G877" s="334" t="n"/>
      <c r="H877" s="334" t="n"/>
      <c r="I877" s="334" t="n"/>
      <c r="J877" s="334" t="n"/>
      <c r="K877" s="334" t="n"/>
      <c r="L877" s="334" t="n"/>
      <c r="M877" s="334" t="n"/>
      <c r="N877" s="339" t="n"/>
      <c r="O877" s="368" t="n"/>
      <c r="P877" s="334" t="n"/>
    </row>
    <row r="878">
      <c r="A878" s="334" t="n"/>
      <c r="B878" s="334" t="n"/>
      <c r="C878" s="334" t="n"/>
      <c r="D878" s="334" t="n"/>
      <c r="E878" s="334" t="n"/>
      <c r="F878" s="334" t="n"/>
      <c r="G878" s="334" t="n"/>
      <c r="H878" s="334" t="n"/>
      <c r="I878" s="334" t="n"/>
      <c r="J878" s="334" t="n"/>
      <c r="K878" s="334" t="n"/>
      <c r="L878" s="334" t="n"/>
      <c r="M878" s="334" t="n"/>
      <c r="N878" s="339" t="n"/>
      <c r="O878" s="368" t="n"/>
      <c r="P878" s="334" t="n"/>
    </row>
    <row r="879">
      <c r="A879" s="334" t="n"/>
      <c r="B879" s="334" t="n"/>
      <c r="C879" s="334" t="n"/>
      <c r="D879" s="334" t="n"/>
      <c r="E879" s="334" t="n"/>
      <c r="F879" s="334" t="n"/>
      <c r="G879" s="334" t="n"/>
      <c r="H879" s="334" t="n"/>
      <c r="I879" s="334" t="n"/>
      <c r="J879" s="334" t="n"/>
      <c r="K879" s="334" t="n"/>
      <c r="L879" s="334" t="n"/>
      <c r="M879" s="334" t="n"/>
      <c r="N879" s="339" t="n"/>
      <c r="O879" s="368" t="n"/>
      <c r="P879" s="334" t="n"/>
    </row>
    <row r="880">
      <c r="A880" s="334" t="n"/>
      <c r="B880" s="334" t="n"/>
      <c r="C880" s="334" t="n"/>
      <c r="D880" s="334" t="n"/>
      <c r="E880" s="334" t="n"/>
      <c r="F880" s="334" t="n"/>
      <c r="G880" s="334" t="n"/>
      <c r="H880" s="334" t="n"/>
      <c r="I880" s="334" t="n"/>
      <c r="J880" s="334" t="n"/>
      <c r="K880" s="334" t="n"/>
      <c r="L880" s="334" t="n"/>
      <c r="M880" s="334" t="n"/>
      <c r="N880" s="339" t="n"/>
      <c r="O880" s="368" t="n"/>
      <c r="P880" s="334" t="n"/>
    </row>
    <row r="881">
      <c r="A881" s="334" t="n"/>
      <c r="B881" s="334" t="n"/>
      <c r="C881" s="334" t="n"/>
      <c r="D881" s="334" t="n"/>
      <c r="E881" s="334" t="n"/>
      <c r="F881" s="334" t="n"/>
      <c r="G881" s="334" t="n"/>
      <c r="H881" s="334" t="n"/>
      <c r="I881" s="334" t="n"/>
      <c r="J881" s="334" t="n"/>
      <c r="K881" s="334" t="n"/>
      <c r="L881" s="334" t="n"/>
      <c r="M881" s="334" t="n"/>
      <c r="N881" s="339" t="n"/>
      <c r="O881" s="368" t="n"/>
      <c r="P881" s="334" t="n"/>
    </row>
    <row r="882">
      <c r="A882" s="334" t="n"/>
      <c r="B882" s="334" t="n"/>
      <c r="C882" s="334" t="n"/>
      <c r="D882" s="334" t="n"/>
      <c r="E882" s="334" t="n"/>
      <c r="F882" s="334" t="n"/>
      <c r="G882" s="334" t="n"/>
      <c r="H882" s="334" t="n"/>
      <c r="I882" s="334" t="n"/>
      <c r="J882" s="334" t="n"/>
      <c r="K882" s="334" t="n"/>
      <c r="L882" s="334" t="n"/>
      <c r="M882" s="334" t="n"/>
      <c r="N882" s="339" t="n"/>
      <c r="O882" s="368" t="n"/>
      <c r="P882" s="334" t="n"/>
    </row>
    <row r="883">
      <c r="A883" s="334" t="n"/>
      <c r="B883" s="334" t="n"/>
      <c r="C883" s="334" t="n"/>
      <c r="D883" s="334" t="n"/>
      <c r="E883" s="334" t="n"/>
      <c r="F883" s="334" t="n"/>
      <c r="G883" s="334" t="n"/>
      <c r="H883" s="334" t="n"/>
      <c r="I883" s="334" t="n"/>
      <c r="J883" s="334" t="n"/>
      <c r="K883" s="334" t="n"/>
      <c r="L883" s="334" t="n"/>
      <c r="M883" s="334" t="n"/>
      <c r="N883" s="339" t="n"/>
      <c r="O883" s="368" t="n"/>
      <c r="P883" s="334" t="n"/>
    </row>
    <row r="884">
      <c r="A884" s="334" t="n"/>
      <c r="B884" s="334" t="n"/>
      <c r="C884" s="334" t="n"/>
      <c r="D884" s="334" t="n"/>
      <c r="E884" s="334" t="n"/>
      <c r="F884" s="334" t="n"/>
      <c r="G884" s="334" t="n"/>
      <c r="H884" s="334" t="n"/>
      <c r="I884" s="334" t="n"/>
      <c r="J884" s="334" t="n"/>
      <c r="K884" s="334" t="n"/>
      <c r="L884" s="334" t="n"/>
      <c r="M884" s="334" t="n"/>
      <c r="N884" s="339" t="n"/>
      <c r="O884" s="368" t="n"/>
      <c r="P884" s="334" t="n"/>
    </row>
    <row r="885">
      <c r="A885" s="334" t="n"/>
      <c r="B885" s="334" t="n"/>
      <c r="C885" s="334" t="n"/>
      <c r="D885" s="334" t="n"/>
      <c r="E885" s="334" t="n"/>
      <c r="F885" s="334" t="n"/>
      <c r="G885" s="334" t="n"/>
      <c r="H885" s="334" t="n"/>
      <c r="I885" s="334" t="n"/>
      <c r="J885" s="334" t="n"/>
      <c r="K885" s="334" t="n"/>
      <c r="L885" s="334" t="n"/>
      <c r="M885" s="334" t="n"/>
      <c r="N885" s="339" t="n"/>
      <c r="O885" s="368" t="n"/>
      <c r="P885" s="334" t="n"/>
    </row>
    <row r="886">
      <c r="A886" s="334" t="n"/>
      <c r="B886" s="334" t="n"/>
      <c r="C886" s="334" t="n"/>
      <c r="D886" s="334" t="n"/>
      <c r="E886" s="334" t="n"/>
      <c r="F886" s="334" t="n"/>
      <c r="G886" s="334" t="n"/>
      <c r="H886" s="334" t="n"/>
      <c r="I886" s="334" t="n"/>
      <c r="J886" s="334" t="n"/>
      <c r="K886" s="334" t="n"/>
      <c r="L886" s="334" t="n"/>
      <c r="M886" s="334" t="n"/>
      <c r="N886" s="339" t="n"/>
      <c r="O886" s="368" t="n"/>
      <c r="P886" s="334" t="n"/>
    </row>
    <row r="887">
      <c r="A887" s="334" t="n"/>
      <c r="B887" s="334" t="n"/>
      <c r="C887" s="334" t="n"/>
      <c r="D887" s="334" t="n"/>
      <c r="E887" s="334" t="n"/>
      <c r="F887" s="334" t="n"/>
      <c r="G887" s="334" t="n"/>
      <c r="H887" s="334" t="n"/>
      <c r="I887" s="334" t="n"/>
      <c r="J887" s="334" t="n"/>
      <c r="K887" s="334" t="n"/>
      <c r="L887" s="334" t="n"/>
      <c r="M887" s="334" t="n"/>
      <c r="N887" s="339" t="n"/>
      <c r="O887" s="368" t="n"/>
      <c r="P887" s="334" t="n"/>
    </row>
    <row r="888">
      <c r="A888" s="334" t="n"/>
      <c r="B888" s="334" t="n"/>
      <c r="C888" s="334" t="n"/>
      <c r="D888" s="334" t="n"/>
      <c r="E888" s="334" t="n"/>
      <c r="F888" s="334" t="n"/>
      <c r="G888" s="334" t="n"/>
      <c r="H888" s="334" t="n"/>
      <c r="I888" s="334" t="n"/>
      <c r="J888" s="334" t="n"/>
      <c r="K888" s="334" t="n"/>
      <c r="L888" s="334" t="n"/>
      <c r="M888" s="334" t="n"/>
      <c r="N888" s="339" t="n"/>
      <c r="O888" s="368" t="n"/>
      <c r="P888" s="334" t="n"/>
    </row>
    <row r="889">
      <c r="A889" s="334" t="n"/>
      <c r="B889" s="334" t="n"/>
      <c r="C889" s="334" t="n"/>
      <c r="D889" s="334" t="n"/>
      <c r="E889" s="334" t="n"/>
      <c r="F889" s="334" t="n"/>
      <c r="G889" s="334" t="n"/>
      <c r="H889" s="334" t="n"/>
      <c r="I889" s="334" t="n"/>
      <c r="J889" s="334" t="n"/>
      <c r="K889" s="334" t="n"/>
      <c r="L889" s="334" t="n"/>
      <c r="M889" s="334" t="n"/>
      <c r="N889" s="339" t="n"/>
      <c r="O889" s="368" t="n"/>
      <c r="P889" s="334" t="n"/>
    </row>
    <row r="890">
      <c r="A890" s="334" t="n"/>
      <c r="B890" s="334" t="n"/>
      <c r="C890" s="334" t="n"/>
      <c r="D890" s="334" t="n"/>
      <c r="E890" s="334" t="n"/>
      <c r="F890" s="334" t="n"/>
      <c r="G890" s="334" t="n"/>
      <c r="H890" s="334" t="n"/>
      <c r="I890" s="334" t="n"/>
      <c r="J890" s="334" t="n"/>
      <c r="K890" s="334" t="n"/>
      <c r="L890" s="334" t="n"/>
      <c r="M890" s="334" t="n"/>
      <c r="N890" s="339" t="n"/>
      <c r="O890" s="368" t="n"/>
      <c r="P890" s="334" t="n"/>
    </row>
    <row r="891">
      <c r="A891" s="334" t="n"/>
      <c r="B891" s="334" t="n"/>
      <c r="C891" s="334" t="n"/>
      <c r="D891" s="334" t="n"/>
      <c r="E891" s="334" t="n"/>
      <c r="F891" s="334" t="n"/>
      <c r="G891" s="334" t="n"/>
      <c r="H891" s="334" t="n"/>
      <c r="I891" s="334" t="n"/>
      <c r="J891" s="334" t="n"/>
      <c r="K891" s="334" t="n"/>
      <c r="L891" s="334" t="n"/>
      <c r="M891" s="334" t="n"/>
      <c r="N891" s="339" t="n"/>
      <c r="O891" s="368" t="n"/>
      <c r="P891" s="334" t="n"/>
    </row>
    <row r="892">
      <c r="A892" s="334" t="n"/>
      <c r="B892" s="334" t="n"/>
      <c r="C892" s="334" t="n"/>
      <c r="D892" s="334" t="n"/>
      <c r="E892" s="334" t="n"/>
      <c r="F892" s="334" t="n"/>
      <c r="G892" s="334" t="n"/>
      <c r="H892" s="334" t="n"/>
      <c r="I892" s="334" t="n"/>
      <c r="J892" s="334" t="n"/>
      <c r="K892" s="334" t="n"/>
      <c r="L892" s="334" t="n"/>
      <c r="M892" s="334" t="n"/>
      <c r="N892" s="339" t="n"/>
      <c r="O892" s="368" t="n"/>
      <c r="P892" s="334" t="n"/>
    </row>
    <row r="893">
      <c r="A893" s="334" t="n"/>
      <c r="B893" s="334" t="n"/>
      <c r="C893" s="334" t="n"/>
      <c r="D893" s="334" t="n"/>
      <c r="E893" s="334" t="n"/>
      <c r="F893" s="334" t="n"/>
      <c r="G893" s="334" t="n"/>
      <c r="H893" s="334" t="n"/>
      <c r="I893" s="334" t="n"/>
      <c r="J893" s="334" t="n"/>
      <c r="K893" s="334" t="n"/>
      <c r="L893" s="334" t="n"/>
      <c r="M893" s="334" t="n"/>
      <c r="N893" s="339" t="n"/>
      <c r="O893" s="368" t="n"/>
      <c r="P893" s="334" t="n"/>
    </row>
    <row r="894">
      <c r="A894" s="334" t="n"/>
      <c r="B894" s="334" t="n"/>
      <c r="C894" s="334" t="n"/>
      <c r="D894" s="334" t="n"/>
      <c r="E894" s="334" t="n"/>
      <c r="F894" s="334" t="n"/>
      <c r="G894" s="334" t="n"/>
      <c r="H894" s="334" t="n"/>
      <c r="I894" s="334" t="n"/>
      <c r="J894" s="334" t="n"/>
      <c r="K894" s="334" t="n"/>
      <c r="L894" s="334" t="n"/>
      <c r="M894" s="334" t="n"/>
      <c r="N894" s="339" t="n"/>
      <c r="O894" s="368" t="n"/>
      <c r="P894" s="334" t="n"/>
    </row>
    <row r="895">
      <c r="A895" s="334" t="n"/>
      <c r="B895" s="334" t="n"/>
      <c r="C895" s="334" t="n"/>
      <c r="D895" s="334" t="n"/>
      <c r="E895" s="334" t="n"/>
      <c r="F895" s="334" t="n"/>
      <c r="G895" s="334" t="n"/>
      <c r="H895" s="334" t="n"/>
      <c r="I895" s="334" t="n"/>
      <c r="J895" s="334" t="n"/>
      <c r="K895" s="334" t="n"/>
      <c r="L895" s="334" t="n"/>
      <c r="M895" s="334" t="n"/>
      <c r="N895" s="339" t="n"/>
      <c r="O895" s="368" t="n"/>
      <c r="P895" s="334" t="n"/>
    </row>
    <row r="896">
      <c r="A896" s="334" t="n"/>
      <c r="B896" s="334" t="n"/>
      <c r="C896" s="334" t="n"/>
      <c r="D896" s="334" t="n"/>
      <c r="E896" s="334" t="n"/>
      <c r="F896" s="334" t="n"/>
      <c r="G896" s="334" t="n"/>
      <c r="H896" s="334" t="n"/>
      <c r="I896" s="334" t="n"/>
      <c r="J896" s="334" t="n"/>
      <c r="K896" s="334" t="n"/>
      <c r="L896" s="334" t="n"/>
      <c r="M896" s="334" t="n"/>
      <c r="N896" s="339" t="n"/>
      <c r="O896" s="368" t="n"/>
      <c r="P896" s="334" t="n"/>
    </row>
    <row r="897">
      <c r="A897" s="334" t="n"/>
      <c r="B897" s="334" t="n"/>
      <c r="C897" s="334" t="n"/>
      <c r="D897" s="334" t="n"/>
      <c r="E897" s="334" t="n"/>
      <c r="F897" s="334" t="n"/>
      <c r="G897" s="334" t="n"/>
      <c r="H897" s="334" t="n"/>
      <c r="I897" s="334" t="n"/>
      <c r="J897" s="334" t="n"/>
      <c r="K897" s="334" t="n"/>
      <c r="L897" s="334" t="n"/>
      <c r="M897" s="334" t="n"/>
      <c r="N897" s="339" t="n"/>
      <c r="O897" s="368" t="n"/>
      <c r="P897" s="334" t="n"/>
    </row>
    <row r="898">
      <c r="A898" s="334" t="n"/>
      <c r="B898" s="334" t="n"/>
      <c r="C898" s="334" t="n"/>
      <c r="D898" s="334" t="n"/>
      <c r="E898" s="334" t="n"/>
      <c r="F898" s="334" t="n"/>
      <c r="G898" s="334" t="n"/>
      <c r="H898" s="334" t="n"/>
      <c r="I898" s="334" t="n"/>
      <c r="J898" s="334" t="n"/>
      <c r="K898" s="334" t="n"/>
      <c r="L898" s="334" t="n"/>
      <c r="M898" s="334" t="n"/>
      <c r="N898" s="339" t="n"/>
      <c r="O898" s="368" t="n"/>
      <c r="P898" s="334" t="n"/>
    </row>
    <row r="899">
      <c r="A899" s="334" t="n"/>
      <c r="B899" s="334" t="n"/>
      <c r="C899" s="334" t="n"/>
      <c r="D899" s="334" t="n"/>
      <c r="E899" s="334" t="n"/>
      <c r="F899" s="334" t="n"/>
      <c r="G899" s="334" t="n"/>
      <c r="H899" s="334" t="n"/>
      <c r="I899" s="334" t="n"/>
      <c r="J899" s="334" t="n"/>
      <c r="K899" s="334" t="n"/>
      <c r="L899" s="334" t="n"/>
      <c r="M899" s="334" t="n"/>
      <c r="N899" s="339" t="n"/>
      <c r="O899" s="368" t="n"/>
      <c r="P899" s="334" t="n"/>
    </row>
    <row r="900">
      <c r="A900" s="334" t="n"/>
      <c r="B900" s="334" t="n"/>
      <c r="C900" s="334" t="n"/>
      <c r="D900" s="334" t="n"/>
      <c r="E900" s="334" t="n"/>
      <c r="F900" s="334" t="n"/>
      <c r="G900" s="334" t="n"/>
      <c r="H900" s="334" t="n"/>
      <c r="I900" s="334" t="n"/>
      <c r="J900" s="334" t="n"/>
      <c r="K900" s="334" t="n"/>
      <c r="L900" s="334" t="n"/>
      <c r="M900" s="334" t="n"/>
      <c r="N900" s="339" t="n"/>
      <c r="O900" s="368" t="n"/>
      <c r="P900" s="334" t="n"/>
    </row>
    <row r="901">
      <c r="A901" s="334" t="n"/>
      <c r="B901" s="334" t="n"/>
      <c r="C901" s="334" t="n"/>
      <c r="D901" s="334" t="n"/>
      <c r="E901" s="334" t="n"/>
      <c r="F901" s="334" t="n"/>
      <c r="G901" s="334" t="n"/>
      <c r="H901" s="334" t="n"/>
      <c r="I901" s="334" t="n"/>
      <c r="J901" s="334" t="n"/>
      <c r="K901" s="334" t="n"/>
      <c r="L901" s="334" t="n"/>
      <c r="M901" s="334" t="n"/>
      <c r="N901" s="339" t="n"/>
      <c r="O901" s="368" t="n"/>
      <c r="P901" s="334" t="n"/>
    </row>
    <row r="902">
      <c r="A902" s="334" t="n"/>
      <c r="B902" s="334" t="n"/>
      <c r="C902" s="334" t="n"/>
      <c r="D902" s="334" t="n"/>
      <c r="E902" s="334" t="n"/>
      <c r="F902" s="334" t="n"/>
      <c r="G902" s="334" t="n"/>
      <c r="H902" s="334" t="n"/>
      <c r="I902" s="334" t="n"/>
      <c r="J902" s="334" t="n"/>
      <c r="K902" s="334" t="n"/>
      <c r="L902" s="334" t="n"/>
      <c r="M902" s="334" t="n"/>
      <c r="N902" s="339" t="n"/>
      <c r="O902" s="368" t="n"/>
      <c r="P902" s="334" t="n"/>
    </row>
    <row r="903">
      <c r="A903" s="334" t="n"/>
      <c r="B903" s="334" t="n"/>
      <c r="C903" s="334" t="n"/>
      <c r="D903" s="334" t="n"/>
      <c r="E903" s="334" t="n"/>
      <c r="F903" s="334" t="n"/>
      <c r="G903" s="334" t="n"/>
      <c r="H903" s="334" t="n"/>
      <c r="I903" s="334" t="n"/>
      <c r="J903" s="334" t="n"/>
      <c r="K903" s="334" t="n"/>
      <c r="L903" s="334" t="n"/>
      <c r="M903" s="334" t="n"/>
      <c r="N903" s="339" t="n"/>
      <c r="O903" s="368" t="n"/>
      <c r="P903" s="334" t="n"/>
    </row>
    <row r="904">
      <c r="A904" s="334" t="n"/>
      <c r="B904" s="334" t="n"/>
      <c r="C904" s="334" t="n"/>
      <c r="D904" s="334" t="n"/>
      <c r="E904" s="334" t="n"/>
      <c r="F904" s="334" t="n"/>
      <c r="G904" s="334" t="n"/>
      <c r="H904" s="334" t="n"/>
      <c r="I904" s="334" t="n"/>
      <c r="J904" s="334" t="n"/>
      <c r="K904" s="334" t="n"/>
      <c r="L904" s="334" t="n"/>
      <c r="M904" s="334" t="n"/>
      <c r="N904" s="339" t="n"/>
      <c r="O904" s="368" t="n"/>
      <c r="P904" s="334" t="n"/>
    </row>
    <row r="905">
      <c r="A905" s="334" t="n"/>
      <c r="B905" s="334" t="n"/>
      <c r="C905" s="334" t="n"/>
      <c r="D905" s="334" t="n"/>
      <c r="E905" s="334" t="n"/>
      <c r="F905" s="334" t="n"/>
      <c r="G905" s="334" t="n"/>
      <c r="H905" s="334" t="n"/>
      <c r="I905" s="334" t="n"/>
      <c r="J905" s="334" t="n"/>
      <c r="K905" s="334" t="n"/>
      <c r="L905" s="334" t="n"/>
      <c r="M905" s="334" t="n"/>
      <c r="N905" s="339" t="n"/>
      <c r="O905" s="368" t="n"/>
      <c r="P905" s="334" t="n"/>
    </row>
    <row r="906">
      <c r="A906" s="334" t="n"/>
      <c r="B906" s="334" t="n"/>
      <c r="C906" s="334" t="n"/>
      <c r="D906" s="334" t="n"/>
      <c r="E906" s="334" t="n"/>
      <c r="F906" s="334" t="n"/>
      <c r="G906" s="334" t="n"/>
      <c r="H906" s="334" t="n"/>
      <c r="I906" s="334" t="n"/>
      <c r="J906" s="334" t="n"/>
      <c r="K906" s="334" t="n"/>
      <c r="L906" s="334" t="n"/>
      <c r="M906" s="334" t="n"/>
      <c r="N906" s="339" t="n"/>
      <c r="O906" s="368" t="n"/>
      <c r="P906" s="334" t="n"/>
    </row>
    <row r="907">
      <c r="A907" s="334" t="n"/>
      <c r="B907" s="334" t="n"/>
      <c r="C907" s="334" t="n"/>
      <c r="D907" s="334" t="n"/>
      <c r="E907" s="334" t="n"/>
      <c r="F907" s="334" t="n"/>
      <c r="G907" s="334" t="n"/>
      <c r="H907" s="334" t="n"/>
      <c r="I907" s="334" t="n"/>
      <c r="J907" s="334" t="n"/>
      <c r="K907" s="334" t="n"/>
      <c r="L907" s="334" t="n"/>
      <c r="M907" s="334" t="n"/>
      <c r="N907" s="339" t="n"/>
      <c r="O907" s="368" t="n"/>
      <c r="P907" s="334" t="n"/>
    </row>
    <row r="908">
      <c r="A908" s="334" t="n"/>
      <c r="B908" s="334" t="n"/>
      <c r="C908" s="334" t="n"/>
      <c r="D908" s="334" t="n"/>
      <c r="E908" s="334" t="n"/>
      <c r="F908" s="334" t="n"/>
      <c r="G908" s="334" t="n"/>
      <c r="H908" s="334" t="n"/>
      <c r="I908" s="334" t="n"/>
      <c r="J908" s="334" t="n"/>
      <c r="K908" s="334" t="n"/>
      <c r="L908" s="334" t="n"/>
      <c r="M908" s="334" t="n"/>
      <c r="N908" s="339" t="n"/>
      <c r="O908" s="368" t="n"/>
      <c r="P908" s="334" t="n"/>
    </row>
    <row r="909">
      <c r="A909" s="334" t="n"/>
      <c r="B909" s="334" t="n"/>
      <c r="C909" s="334" t="n"/>
      <c r="D909" s="334" t="n"/>
      <c r="E909" s="334" t="n"/>
      <c r="F909" s="334" t="n"/>
      <c r="G909" s="334" t="n"/>
      <c r="H909" s="334" t="n"/>
      <c r="I909" s="334" t="n"/>
      <c r="J909" s="334" t="n"/>
      <c r="K909" s="334" t="n"/>
      <c r="L909" s="334" t="n"/>
      <c r="M909" s="334" t="n"/>
      <c r="N909" s="339" t="n"/>
      <c r="O909" s="368" t="n"/>
      <c r="P909" s="334" t="n"/>
    </row>
    <row r="910">
      <c r="A910" s="334" t="n"/>
      <c r="B910" s="334" t="n"/>
      <c r="C910" s="334" t="n"/>
      <c r="D910" s="334" t="n"/>
      <c r="E910" s="334" t="n"/>
      <c r="F910" s="334" t="n"/>
      <c r="G910" s="334" t="n"/>
      <c r="H910" s="334" t="n"/>
      <c r="I910" s="334" t="n"/>
      <c r="J910" s="334" t="n"/>
      <c r="K910" s="334" t="n"/>
      <c r="L910" s="334" t="n"/>
      <c r="M910" s="334" t="n"/>
      <c r="N910" s="339" t="n"/>
      <c r="O910" s="368" t="n"/>
      <c r="P910" s="334" t="n"/>
    </row>
    <row r="911">
      <c r="A911" s="334" t="n"/>
      <c r="B911" s="334" t="n"/>
      <c r="C911" s="334" t="n"/>
      <c r="D911" s="334" t="n"/>
      <c r="E911" s="334" t="n"/>
      <c r="F911" s="334" t="n"/>
      <c r="G911" s="334" t="n"/>
      <c r="H911" s="334" t="n"/>
      <c r="I911" s="334" t="n"/>
      <c r="J911" s="334" t="n"/>
      <c r="K911" s="334" t="n"/>
      <c r="L911" s="334" t="n"/>
      <c r="M911" s="334" t="n"/>
      <c r="N911" s="339" t="n"/>
      <c r="O911" s="368" t="n"/>
      <c r="P911" s="334" t="n"/>
    </row>
    <row r="912">
      <c r="A912" s="334" t="n"/>
      <c r="B912" s="334" t="n"/>
      <c r="C912" s="334" t="n"/>
      <c r="D912" s="334" t="n"/>
      <c r="E912" s="334" t="n"/>
      <c r="F912" s="334" t="n"/>
      <c r="G912" s="334" t="n"/>
      <c r="H912" s="334" t="n"/>
      <c r="I912" s="334" t="n"/>
      <c r="J912" s="334" t="n"/>
      <c r="K912" s="334" t="n"/>
      <c r="L912" s="334" t="n"/>
      <c r="M912" s="334" t="n"/>
      <c r="N912" s="339" t="n"/>
      <c r="O912" s="368" t="n"/>
      <c r="P912" s="334" t="n"/>
    </row>
    <row r="913">
      <c r="A913" s="334" t="n"/>
      <c r="B913" s="334" t="n"/>
      <c r="C913" s="334" t="n"/>
      <c r="D913" s="334" t="n"/>
      <c r="E913" s="334" t="n"/>
      <c r="F913" s="334" t="n"/>
      <c r="G913" s="334" t="n"/>
      <c r="H913" s="334" t="n"/>
      <c r="I913" s="334" t="n"/>
      <c r="J913" s="334" t="n"/>
      <c r="K913" s="334" t="n"/>
      <c r="L913" s="334" t="n"/>
      <c r="M913" s="334" t="n"/>
      <c r="N913" s="339" t="n"/>
      <c r="O913" s="368" t="n"/>
      <c r="P913" s="334" t="n"/>
    </row>
    <row r="914">
      <c r="A914" s="334" t="n"/>
      <c r="B914" s="334" t="n"/>
      <c r="C914" s="334" t="n"/>
      <c r="D914" s="334" t="n"/>
      <c r="E914" s="334" t="n"/>
      <c r="F914" s="334" t="n"/>
      <c r="G914" s="334" t="n"/>
      <c r="H914" s="334" t="n"/>
      <c r="I914" s="334" t="n"/>
      <c r="J914" s="334" t="n"/>
      <c r="K914" s="334" t="n"/>
      <c r="L914" s="334" t="n"/>
      <c r="M914" s="334" t="n"/>
      <c r="N914" s="339" t="n"/>
      <c r="O914" s="368" t="n"/>
      <c r="P914" s="334" t="n"/>
    </row>
    <row r="915">
      <c r="A915" s="334" t="n"/>
      <c r="B915" s="334" t="n"/>
      <c r="C915" s="334" t="n"/>
      <c r="D915" s="334" t="n"/>
      <c r="E915" s="334" t="n"/>
      <c r="F915" s="334" t="n"/>
      <c r="G915" s="334" t="n"/>
      <c r="H915" s="334" t="n"/>
      <c r="I915" s="334" t="n"/>
      <c r="J915" s="334" t="n"/>
      <c r="K915" s="334" t="n"/>
      <c r="L915" s="334" t="n"/>
      <c r="M915" s="334" t="n"/>
      <c r="N915" s="339" t="n"/>
      <c r="O915" s="368" t="n"/>
      <c r="P915" s="334" t="n"/>
    </row>
    <row r="916">
      <c r="A916" s="334" t="n"/>
      <c r="B916" s="334" t="n"/>
      <c r="C916" s="334" t="n"/>
      <c r="D916" s="334" t="n"/>
      <c r="E916" s="334" t="n"/>
      <c r="F916" s="334" t="n"/>
      <c r="G916" s="334" t="n"/>
      <c r="H916" s="334" t="n"/>
      <c r="I916" s="334" t="n"/>
      <c r="J916" s="334" t="n"/>
      <c r="K916" s="334" t="n"/>
      <c r="L916" s="334" t="n"/>
      <c r="M916" s="334" t="n"/>
      <c r="N916" s="339" t="n"/>
      <c r="O916" s="368" t="n"/>
      <c r="P916" s="334" t="n"/>
    </row>
    <row r="917">
      <c r="A917" s="334" t="n"/>
      <c r="B917" s="334" t="n"/>
      <c r="C917" s="334" t="n"/>
      <c r="D917" s="334" t="n"/>
      <c r="E917" s="334" t="n"/>
      <c r="F917" s="334" t="n"/>
      <c r="G917" s="334" t="n"/>
      <c r="H917" s="334" t="n"/>
      <c r="I917" s="334" t="n"/>
      <c r="J917" s="334" t="n"/>
      <c r="K917" s="334" t="n"/>
      <c r="L917" s="334" t="n"/>
      <c r="M917" s="334" t="n"/>
      <c r="N917" s="339" t="n"/>
      <c r="O917" s="368" t="n"/>
      <c r="P917" s="334" t="n"/>
    </row>
    <row r="918">
      <c r="A918" s="334" t="n"/>
      <c r="B918" s="334" t="n"/>
      <c r="C918" s="334" t="n"/>
      <c r="D918" s="334" t="n"/>
      <c r="E918" s="334" t="n"/>
      <c r="F918" s="334" t="n"/>
      <c r="G918" s="334" t="n"/>
      <c r="H918" s="334" t="n"/>
      <c r="I918" s="334" t="n"/>
      <c r="J918" s="334" t="n"/>
      <c r="K918" s="334" t="n"/>
      <c r="L918" s="334" t="n"/>
      <c r="M918" s="334" t="n"/>
      <c r="N918" s="339" t="n"/>
      <c r="O918" s="368" t="n"/>
      <c r="P918" s="334" t="n"/>
    </row>
    <row r="919">
      <c r="A919" s="334" t="n"/>
      <c r="B919" s="334" t="n"/>
      <c r="C919" s="334" t="n"/>
      <c r="D919" s="334" t="n"/>
      <c r="E919" s="334" t="n"/>
      <c r="F919" s="334" t="n"/>
      <c r="G919" s="334" t="n"/>
      <c r="H919" s="334" t="n"/>
      <c r="I919" s="334" t="n"/>
      <c r="J919" s="334" t="n"/>
      <c r="K919" s="334" t="n"/>
      <c r="L919" s="334" t="n"/>
      <c r="M919" s="334" t="n"/>
      <c r="N919" s="339" t="n"/>
      <c r="O919" s="368" t="n"/>
      <c r="P919" s="334" t="n"/>
    </row>
    <row r="920">
      <c r="A920" s="334" t="n"/>
      <c r="B920" s="334" t="n"/>
      <c r="C920" s="334" t="n"/>
      <c r="D920" s="334" t="n"/>
      <c r="E920" s="334" t="n"/>
      <c r="F920" s="334" t="n"/>
      <c r="G920" s="334" t="n"/>
      <c r="H920" s="334" t="n"/>
      <c r="I920" s="334" t="n"/>
      <c r="J920" s="334" t="n"/>
      <c r="K920" s="334" t="n"/>
      <c r="L920" s="334" t="n"/>
      <c r="M920" s="334" t="n"/>
      <c r="N920" s="339" t="n"/>
      <c r="O920" s="368" t="n"/>
      <c r="P920" s="334" t="n"/>
    </row>
    <row r="921">
      <c r="A921" s="334" t="n"/>
      <c r="B921" s="334" t="n"/>
      <c r="C921" s="334" t="n"/>
      <c r="D921" s="334" t="n"/>
      <c r="E921" s="334" t="n"/>
      <c r="F921" s="334" t="n"/>
      <c r="G921" s="334" t="n"/>
      <c r="H921" s="334" t="n"/>
      <c r="I921" s="334" t="n"/>
      <c r="J921" s="334" t="n"/>
      <c r="K921" s="334" t="n"/>
      <c r="L921" s="334" t="n"/>
      <c r="M921" s="334" t="n"/>
      <c r="N921" s="339" t="n"/>
      <c r="O921" s="368" t="n"/>
      <c r="P921" s="334" t="n"/>
    </row>
    <row r="922">
      <c r="A922" s="334" t="n"/>
      <c r="B922" s="334" t="n"/>
      <c r="C922" s="334" t="n"/>
      <c r="D922" s="334" t="n"/>
      <c r="E922" s="334" t="n"/>
      <c r="F922" s="334" t="n"/>
      <c r="G922" s="334" t="n"/>
      <c r="H922" s="334" t="n"/>
      <c r="I922" s="334" t="n"/>
      <c r="J922" s="334" t="n"/>
      <c r="K922" s="334" t="n"/>
      <c r="L922" s="334" t="n"/>
      <c r="M922" s="334" t="n"/>
      <c r="N922" s="339" t="n"/>
      <c r="O922" s="368" t="n"/>
      <c r="P922" s="334" t="n"/>
    </row>
    <row r="923">
      <c r="A923" s="334" t="n"/>
      <c r="B923" s="334" t="n"/>
      <c r="C923" s="334" t="n"/>
      <c r="D923" s="334" t="n"/>
      <c r="E923" s="334" t="n"/>
      <c r="F923" s="334" t="n"/>
      <c r="G923" s="334" t="n"/>
      <c r="H923" s="334" t="n"/>
      <c r="I923" s="334" t="n"/>
      <c r="J923" s="334" t="n"/>
      <c r="K923" s="334" t="n"/>
      <c r="L923" s="334" t="n"/>
      <c r="M923" s="334" t="n"/>
      <c r="N923" s="339" t="n"/>
      <c r="O923" s="368" t="n"/>
      <c r="P923" s="334" t="n"/>
    </row>
    <row r="924">
      <c r="A924" s="334" t="n"/>
      <c r="B924" s="334" t="n"/>
      <c r="C924" s="334" t="n"/>
      <c r="D924" s="334" t="n"/>
      <c r="E924" s="334" t="n"/>
      <c r="F924" s="334" t="n"/>
      <c r="G924" s="334" t="n"/>
      <c r="H924" s="334" t="n"/>
      <c r="I924" s="334" t="n"/>
      <c r="J924" s="334" t="n"/>
      <c r="K924" s="334" t="n"/>
      <c r="L924" s="334" t="n"/>
      <c r="M924" s="334" t="n"/>
      <c r="N924" s="339" t="n"/>
      <c r="O924" s="368" t="n"/>
      <c r="P924" s="334" t="n"/>
    </row>
    <row r="925">
      <c r="A925" s="334" t="n"/>
      <c r="B925" s="334" t="n"/>
      <c r="C925" s="334" t="n"/>
      <c r="D925" s="334" t="n"/>
      <c r="E925" s="334" t="n"/>
      <c r="F925" s="334" t="n"/>
      <c r="G925" s="334" t="n"/>
      <c r="H925" s="334" t="n"/>
      <c r="I925" s="334" t="n"/>
      <c r="J925" s="334" t="n"/>
      <c r="K925" s="334" t="n"/>
      <c r="L925" s="334" t="n"/>
      <c r="M925" s="334" t="n"/>
      <c r="N925" s="339" t="n"/>
      <c r="O925" s="368" t="n"/>
      <c r="P925" s="334" t="n"/>
    </row>
    <row r="926">
      <c r="A926" s="334" t="n"/>
      <c r="B926" s="334" t="n"/>
      <c r="C926" s="334" t="n"/>
      <c r="D926" s="334" t="n"/>
      <c r="E926" s="334" t="n"/>
      <c r="F926" s="334" t="n"/>
      <c r="G926" s="334" t="n"/>
      <c r="H926" s="334" t="n"/>
      <c r="I926" s="334" t="n"/>
      <c r="J926" s="334" t="n"/>
      <c r="K926" s="334" t="n"/>
      <c r="L926" s="334" t="n"/>
      <c r="M926" s="334" t="n"/>
      <c r="N926" s="339" t="n"/>
      <c r="O926" s="368" t="n"/>
      <c r="P926" s="334" t="n"/>
    </row>
    <row r="927">
      <c r="A927" s="334" t="n"/>
      <c r="B927" s="334" t="n"/>
      <c r="C927" s="334" t="n"/>
      <c r="D927" s="334" t="n"/>
      <c r="E927" s="334" t="n"/>
      <c r="F927" s="334" t="n"/>
      <c r="G927" s="334" t="n"/>
      <c r="H927" s="334" t="n"/>
      <c r="I927" s="334" t="n"/>
      <c r="J927" s="334" t="n"/>
      <c r="K927" s="334" t="n"/>
      <c r="L927" s="334" t="n"/>
      <c r="M927" s="334" t="n"/>
      <c r="N927" s="339" t="n"/>
      <c r="O927" s="368" t="n"/>
      <c r="P927" s="334" t="n"/>
    </row>
    <row r="928">
      <c r="A928" s="334" t="n"/>
      <c r="B928" s="334" t="n"/>
      <c r="C928" s="334" t="n"/>
      <c r="D928" s="334" t="n"/>
      <c r="E928" s="334" t="n"/>
      <c r="F928" s="334" t="n"/>
      <c r="G928" s="334" t="n"/>
      <c r="H928" s="334" t="n"/>
      <c r="I928" s="334" t="n"/>
      <c r="J928" s="334" t="n"/>
      <c r="K928" s="334" t="n"/>
      <c r="L928" s="334" t="n"/>
      <c r="M928" s="334" t="n"/>
      <c r="N928" s="339" t="n"/>
      <c r="O928" s="368" t="n"/>
      <c r="P928" s="334" t="n"/>
    </row>
    <row r="929">
      <c r="A929" s="334" t="n"/>
      <c r="B929" s="334" t="n"/>
      <c r="C929" s="334" t="n"/>
      <c r="D929" s="334" t="n"/>
      <c r="E929" s="334" t="n"/>
      <c r="F929" s="334" t="n"/>
      <c r="G929" s="334" t="n"/>
      <c r="H929" s="334" t="n"/>
      <c r="I929" s="334" t="n"/>
      <c r="J929" s="334" t="n"/>
      <c r="K929" s="334" t="n"/>
      <c r="L929" s="334" t="n"/>
      <c r="M929" s="334" t="n"/>
      <c r="N929" s="339" t="n"/>
      <c r="O929" s="368" t="n"/>
      <c r="P929" s="334" t="n"/>
    </row>
    <row r="930">
      <c r="A930" s="334" t="n"/>
      <c r="B930" s="334" t="n"/>
      <c r="C930" s="334" t="n"/>
      <c r="D930" s="334" t="n"/>
      <c r="E930" s="334" t="n"/>
      <c r="F930" s="334" t="n"/>
      <c r="G930" s="334" t="n"/>
      <c r="H930" s="334" t="n"/>
      <c r="I930" s="334" t="n"/>
      <c r="J930" s="334" t="n"/>
      <c r="K930" s="334" t="n"/>
      <c r="L930" s="334" t="n"/>
      <c r="M930" s="334" t="n"/>
      <c r="N930" s="339" t="n"/>
      <c r="O930" s="368" t="n"/>
      <c r="P930" s="334" t="n"/>
    </row>
    <row r="931">
      <c r="A931" s="334" t="n"/>
      <c r="B931" s="334" t="n"/>
      <c r="C931" s="334" t="n"/>
      <c r="D931" s="334" t="n"/>
      <c r="E931" s="334" t="n"/>
      <c r="F931" s="334" t="n"/>
      <c r="G931" s="334" t="n"/>
      <c r="H931" s="334" t="n"/>
      <c r="I931" s="334" t="n"/>
      <c r="J931" s="334" t="n"/>
      <c r="K931" s="334" t="n"/>
      <c r="L931" s="334" t="n"/>
      <c r="M931" s="334" t="n"/>
      <c r="N931" s="339" t="n"/>
      <c r="O931" s="368" t="n"/>
      <c r="P931" s="334" t="n"/>
    </row>
    <row r="932">
      <c r="A932" s="334" t="n"/>
      <c r="B932" s="334" t="n"/>
      <c r="C932" s="334" t="n"/>
      <c r="D932" s="334" t="n"/>
      <c r="E932" s="334" t="n"/>
      <c r="F932" s="334" t="n"/>
      <c r="G932" s="334" t="n"/>
      <c r="H932" s="334" t="n"/>
      <c r="I932" s="334" t="n"/>
      <c r="J932" s="334" t="n"/>
      <c r="K932" s="334" t="n"/>
      <c r="L932" s="334" t="n"/>
      <c r="M932" s="334" t="n"/>
      <c r="N932" s="339" t="n"/>
      <c r="O932" s="368" t="n"/>
      <c r="P932" s="334" t="n"/>
    </row>
    <row r="933">
      <c r="A933" s="334" t="n"/>
      <c r="B933" s="334" t="n"/>
      <c r="C933" s="334" t="n"/>
      <c r="D933" s="334" t="n"/>
      <c r="E933" s="334" t="n"/>
      <c r="F933" s="334" t="n"/>
      <c r="G933" s="334" t="n"/>
      <c r="H933" s="334" t="n"/>
      <c r="I933" s="334" t="n"/>
      <c r="J933" s="334" t="n"/>
      <c r="K933" s="334" t="n"/>
      <c r="L933" s="334" t="n"/>
      <c r="M933" s="334" t="n"/>
      <c r="N933" s="339" t="n"/>
      <c r="O933" s="368" t="n"/>
      <c r="P933" s="334" t="n"/>
    </row>
    <row r="934">
      <c r="A934" s="334" t="n"/>
      <c r="B934" s="334" t="n"/>
      <c r="C934" s="334" t="n"/>
      <c r="D934" s="334" t="n"/>
      <c r="E934" s="334" t="n"/>
      <c r="F934" s="334" t="n"/>
      <c r="G934" s="334" t="n"/>
      <c r="H934" s="334" t="n"/>
      <c r="I934" s="334" t="n"/>
      <c r="J934" s="334" t="n"/>
      <c r="K934" s="334" t="n"/>
      <c r="L934" s="334" t="n"/>
      <c r="M934" s="334" t="n"/>
      <c r="N934" s="339" t="n"/>
      <c r="O934" s="368" t="n"/>
      <c r="P934" s="334" t="n"/>
    </row>
    <row r="935">
      <c r="A935" s="334" t="n"/>
      <c r="B935" s="334" t="n"/>
      <c r="C935" s="334" t="n"/>
      <c r="D935" s="334" t="n"/>
      <c r="E935" s="334" t="n"/>
      <c r="F935" s="334" t="n"/>
      <c r="G935" s="334" t="n"/>
      <c r="H935" s="334" t="n"/>
      <c r="I935" s="334" t="n"/>
      <c r="J935" s="334" t="n"/>
      <c r="K935" s="334" t="n"/>
      <c r="L935" s="334" t="n"/>
      <c r="M935" s="334" t="n"/>
      <c r="N935" s="339" t="n"/>
      <c r="O935" s="368" t="n"/>
      <c r="P935" s="334" t="n"/>
    </row>
    <row r="936">
      <c r="A936" s="334" t="n"/>
      <c r="B936" s="334" t="n"/>
      <c r="C936" s="334" t="n"/>
      <c r="D936" s="334" t="n"/>
      <c r="E936" s="334" t="n"/>
      <c r="F936" s="334" t="n"/>
      <c r="G936" s="334" t="n"/>
      <c r="H936" s="334" t="n"/>
      <c r="I936" s="334" t="n"/>
      <c r="J936" s="334" t="n"/>
      <c r="K936" s="334" t="n"/>
      <c r="L936" s="334" t="n"/>
      <c r="M936" s="334" t="n"/>
      <c r="N936" s="339" t="n"/>
      <c r="O936" s="368" t="n"/>
      <c r="P936" s="334" t="n"/>
    </row>
    <row r="937">
      <c r="A937" s="334" t="n"/>
      <c r="B937" s="334" t="n"/>
      <c r="C937" s="334" t="n"/>
      <c r="D937" s="334" t="n"/>
      <c r="E937" s="334" t="n"/>
      <c r="F937" s="334" t="n"/>
      <c r="G937" s="334" t="n"/>
      <c r="H937" s="334" t="n"/>
      <c r="I937" s="334" t="n"/>
      <c r="J937" s="334" t="n"/>
      <c r="K937" s="334" t="n"/>
      <c r="L937" s="334" t="n"/>
      <c r="M937" s="334" t="n"/>
      <c r="N937" s="339" t="n"/>
      <c r="O937" s="368" t="n"/>
      <c r="P937" s="334" t="n"/>
    </row>
    <row r="938">
      <c r="A938" s="334" t="n"/>
      <c r="B938" s="334" t="n"/>
      <c r="C938" s="334" t="n"/>
      <c r="D938" s="334" t="n"/>
      <c r="E938" s="334" t="n"/>
      <c r="F938" s="334" t="n"/>
      <c r="G938" s="334" t="n"/>
      <c r="H938" s="334" t="n"/>
      <c r="I938" s="334" t="n"/>
      <c r="J938" s="334" t="n"/>
      <c r="K938" s="334" t="n"/>
      <c r="L938" s="334" t="n"/>
      <c r="M938" s="334" t="n"/>
      <c r="N938" s="339" t="n"/>
      <c r="O938" s="368" t="n"/>
      <c r="P938" s="334" t="n"/>
    </row>
    <row r="939">
      <c r="A939" s="334" t="n"/>
      <c r="B939" s="334" t="n"/>
      <c r="C939" s="334" t="n"/>
      <c r="D939" s="334" t="n"/>
      <c r="E939" s="334" t="n"/>
      <c r="F939" s="334" t="n"/>
      <c r="G939" s="334" t="n"/>
      <c r="H939" s="334" t="n"/>
      <c r="I939" s="334" t="n"/>
      <c r="J939" s="334" t="n"/>
      <c r="K939" s="334" t="n"/>
      <c r="L939" s="334" t="n"/>
      <c r="M939" s="334" t="n"/>
      <c r="N939" s="339" t="n"/>
      <c r="O939" s="368" t="n"/>
      <c r="P939" s="334" t="n"/>
    </row>
    <row r="940">
      <c r="A940" s="334" t="n"/>
      <c r="B940" s="334" t="n"/>
      <c r="C940" s="334" t="n"/>
      <c r="D940" s="334" t="n"/>
      <c r="E940" s="334" t="n"/>
      <c r="F940" s="334" t="n"/>
      <c r="G940" s="334" t="n"/>
      <c r="H940" s="334" t="n"/>
      <c r="I940" s="334" t="n"/>
      <c r="J940" s="334" t="n"/>
      <c r="K940" s="334" t="n"/>
      <c r="L940" s="334" t="n"/>
      <c r="M940" s="334" t="n"/>
      <c r="N940" s="339" t="n"/>
      <c r="O940" s="368" t="n"/>
      <c r="P940" s="334" t="n"/>
    </row>
    <row r="941">
      <c r="A941" s="334" t="n"/>
      <c r="B941" s="334" t="n"/>
      <c r="C941" s="334" t="n"/>
      <c r="D941" s="334" t="n"/>
      <c r="E941" s="334" t="n"/>
      <c r="F941" s="334" t="n"/>
      <c r="G941" s="334" t="n"/>
      <c r="H941" s="334" t="n"/>
      <c r="I941" s="334" t="n"/>
      <c r="J941" s="334" t="n"/>
      <c r="K941" s="334" t="n"/>
      <c r="L941" s="334" t="n"/>
      <c r="M941" s="334" t="n"/>
      <c r="N941" s="339" t="n"/>
      <c r="O941" s="368" t="n"/>
      <c r="P941" s="334" t="n"/>
    </row>
    <row r="942">
      <c r="A942" s="334" t="n"/>
      <c r="B942" s="334" t="n"/>
      <c r="C942" s="334" t="n"/>
      <c r="D942" s="334" t="n"/>
      <c r="E942" s="334" t="n"/>
      <c r="F942" s="334" t="n"/>
      <c r="G942" s="334" t="n"/>
      <c r="H942" s="334" t="n"/>
      <c r="I942" s="334" t="n"/>
      <c r="J942" s="334" t="n"/>
      <c r="K942" s="334" t="n"/>
      <c r="L942" s="334" t="n"/>
      <c r="M942" s="334" t="n"/>
      <c r="N942" s="339" t="n"/>
      <c r="O942" s="368" t="n"/>
      <c r="P942" s="334" t="n"/>
    </row>
    <row r="943">
      <c r="A943" s="334" t="n"/>
      <c r="B943" s="334" t="n"/>
      <c r="C943" s="334" t="n"/>
      <c r="D943" s="334" t="n"/>
      <c r="E943" s="334" t="n"/>
      <c r="F943" s="334" t="n"/>
      <c r="G943" s="334" t="n"/>
      <c r="H943" s="334" t="n"/>
      <c r="I943" s="334" t="n"/>
      <c r="J943" s="334" t="n"/>
      <c r="K943" s="334" t="n"/>
      <c r="L943" s="334" t="n"/>
      <c r="M943" s="334" t="n"/>
      <c r="N943" s="339" t="n"/>
      <c r="O943" s="368" t="n"/>
      <c r="P943" s="334" t="n"/>
    </row>
    <row r="944">
      <c r="A944" s="334" t="n"/>
      <c r="B944" s="334" t="n"/>
      <c r="C944" s="334" t="n"/>
      <c r="D944" s="334" t="n"/>
      <c r="E944" s="334" t="n"/>
      <c r="F944" s="334" t="n"/>
      <c r="G944" s="334" t="n"/>
      <c r="H944" s="334" t="n"/>
      <c r="I944" s="334" t="n"/>
      <c r="J944" s="334" t="n"/>
      <c r="K944" s="334" t="n"/>
      <c r="L944" s="334" t="n"/>
      <c r="M944" s="334" t="n"/>
      <c r="N944" s="339" t="n"/>
      <c r="O944" s="368" t="n"/>
      <c r="P944" s="334" t="n"/>
    </row>
    <row r="945">
      <c r="A945" s="334" t="n"/>
      <c r="B945" s="334" t="n"/>
      <c r="C945" s="334" t="n"/>
      <c r="D945" s="334" t="n"/>
      <c r="E945" s="334" t="n"/>
      <c r="F945" s="334" t="n"/>
      <c r="G945" s="334" t="n"/>
      <c r="H945" s="334" t="n"/>
      <c r="I945" s="334" t="n"/>
      <c r="J945" s="334" t="n"/>
      <c r="K945" s="334" t="n"/>
      <c r="L945" s="334" t="n"/>
      <c r="M945" s="334" t="n"/>
      <c r="N945" s="339" t="n"/>
      <c r="O945" s="368" t="n"/>
      <c r="P945" s="334" t="n"/>
    </row>
    <row r="946">
      <c r="A946" s="334" t="n"/>
      <c r="B946" s="334" t="n"/>
      <c r="C946" s="334" t="n"/>
      <c r="D946" s="334" t="n"/>
      <c r="E946" s="334" t="n"/>
      <c r="F946" s="334" t="n"/>
      <c r="G946" s="334" t="n"/>
      <c r="H946" s="334" t="n"/>
      <c r="I946" s="334" t="n"/>
      <c r="J946" s="334" t="n"/>
      <c r="K946" s="334" t="n"/>
      <c r="L946" s="334" t="n"/>
      <c r="M946" s="334" t="n"/>
      <c r="N946" s="339" t="n"/>
      <c r="O946" s="368" t="n"/>
      <c r="P946" s="334" t="n"/>
    </row>
    <row r="947">
      <c r="A947" s="334" t="n"/>
      <c r="B947" s="334" t="n"/>
      <c r="C947" s="334" t="n"/>
      <c r="D947" s="334" t="n"/>
      <c r="E947" s="334" t="n"/>
      <c r="F947" s="334" t="n"/>
      <c r="G947" s="334" t="n"/>
      <c r="H947" s="334" t="n"/>
      <c r="I947" s="334" t="n"/>
      <c r="J947" s="334" t="n"/>
      <c r="K947" s="334" t="n"/>
      <c r="L947" s="334" t="n"/>
      <c r="M947" s="334" t="n"/>
      <c r="N947" s="339" t="n"/>
      <c r="O947" s="368" t="n"/>
      <c r="P947" s="334" t="n"/>
    </row>
    <row r="948">
      <c r="A948" s="334" t="n"/>
      <c r="B948" s="334" t="n"/>
      <c r="C948" s="334" t="n"/>
      <c r="D948" s="334" t="n"/>
      <c r="E948" s="334" t="n"/>
      <c r="F948" s="334" t="n"/>
      <c r="G948" s="334" t="n"/>
      <c r="H948" s="334" t="n"/>
      <c r="I948" s="334" t="n"/>
      <c r="J948" s="334" t="n"/>
      <c r="K948" s="334" t="n"/>
      <c r="L948" s="334" t="n"/>
      <c r="M948" s="334" t="n"/>
      <c r="N948" s="339" t="n"/>
      <c r="O948" s="368" t="n"/>
      <c r="P948" s="334" t="n"/>
    </row>
    <row r="949">
      <c r="A949" s="334" t="n"/>
      <c r="B949" s="334" t="n"/>
      <c r="C949" s="334" t="n"/>
      <c r="D949" s="334" t="n"/>
      <c r="E949" s="334" t="n"/>
      <c r="F949" s="334" t="n"/>
      <c r="G949" s="334" t="n"/>
      <c r="H949" s="334" t="n"/>
      <c r="I949" s="334" t="n"/>
      <c r="J949" s="334" t="n"/>
      <c r="K949" s="334" t="n"/>
      <c r="L949" s="334" t="n"/>
      <c r="M949" s="334" t="n"/>
      <c r="N949" s="339" t="n"/>
      <c r="O949" s="368" t="n"/>
      <c r="P949" s="334" t="n"/>
    </row>
    <row r="950">
      <c r="A950" s="334" t="n"/>
      <c r="B950" s="334" t="n"/>
      <c r="C950" s="334" t="n"/>
      <c r="D950" s="334" t="n"/>
      <c r="E950" s="334" t="n"/>
      <c r="F950" s="334" t="n"/>
      <c r="G950" s="334" t="n"/>
      <c r="H950" s="334" t="n"/>
      <c r="I950" s="334" t="n"/>
      <c r="J950" s="334" t="n"/>
      <c r="K950" s="334" t="n"/>
      <c r="L950" s="334" t="n"/>
      <c r="M950" s="334" t="n"/>
      <c r="N950" s="339" t="n"/>
      <c r="O950" s="368" t="n"/>
      <c r="P950" s="334" t="n"/>
    </row>
    <row r="951">
      <c r="A951" s="334" t="n"/>
      <c r="B951" s="334" t="n"/>
      <c r="C951" s="334" t="n"/>
      <c r="D951" s="334" t="n"/>
      <c r="E951" s="334" t="n"/>
      <c r="F951" s="334" t="n"/>
      <c r="G951" s="334" t="n"/>
      <c r="H951" s="334" t="n"/>
      <c r="I951" s="334" t="n"/>
      <c r="J951" s="334" t="n"/>
      <c r="K951" s="334" t="n"/>
      <c r="L951" s="334" t="n"/>
      <c r="M951" s="334" t="n"/>
      <c r="N951" s="339" t="n"/>
      <c r="O951" s="368" t="n"/>
      <c r="P951" s="334" t="n"/>
    </row>
    <row r="952">
      <c r="A952" s="334" t="n"/>
      <c r="B952" s="334" t="n"/>
      <c r="C952" s="334" t="n"/>
      <c r="D952" s="334" t="n"/>
      <c r="E952" s="334" t="n"/>
      <c r="F952" s="334" t="n"/>
      <c r="G952" s="334" t="n"/>
      <c r="H952" s="334" t="n"/>
      <c r="I952" s="334" t="n"/>
      <c r="J952" s="334" t="n"/>
      <c r="K952" s="334" t="n"/>
      <c r="L952" s="334" t="n"/>
      <c r="M952" s="334" t="n"/>
      <c r="N952" s="339" t="n"/>
      <c r="O952" s="368" t="n"/>
      <c r="P952" s="334" t="n"/>
    </row>
    <row r="953">
      <c r="A953" s="334" t="n"/>
      <c r="B953" s="334" t="n"/>
      <c r="C953" s="334" t="n"/>
      <c r="D953" s="334" t="n"/>
      <c r="E953" s="334" t="n"/>
      <c r="F953" s="334" t="n"/>
      <c r="G953" s="334" t="n"/>
      <c r="H953" s="334" t="n"/>
      <c r="I953" s="334" t="n"/>
      <c r="J953" s="334" t="n"/>
      <c r="K953" s="334" t="n"/>
      <c r="L953" s="334" t="n"/>
      <c r="M953" s="334" t="n"/>
      <c r="N953" s="339" t="n"/>
      <c r="O953" s="368" t="n"/>
      <c r="P953" s="334" t="n"/>
    </row>
    <row r="954">
      <c r="A954" s="334" t="n"/>
      <c r="B954" s="334" t="n"/>
      <c r="C954" s="334" t="n"/>
      <c r="D954" s="334" t="n"/>
      <c r="E954" s="334" t="n"/>
      <c r="F954" s="334" t="n"/>
      <c r="G954" s="334" t="n"/>
      <c r="H954" s="334" t="n"/>
      <c r="I954" s="334" t="n"/>
      <c r="J954" s="334" t="n"/>
      <c r="K954" s="334" t="n"/>
      <c r="L954" s="334" t="n"/>
      <c r="M954" s="334" t="n"/>
      <c r="N954" s="339" t="n"/>
      <c r="O954" s="368" t="n"/>
      <c r="P954" s="334" t="n"/>
    </row>
    <row r="955">
      <c r="A955" s="334" t="n"/>
      <c r="B955" s="334" t="n"/>
      <c r="C955" s="334" t="n"/>
      <c r="D955" s="334" t="n"/>
      <c r="E955" s="334" t="n"/>
      <c r="F955" s="334" t="n"/>
      <c r="G955" s="334" t="n"/>
      <c r="H955" s="334" t="n"/>
      <c r="I955" s="334" t="n"/>
      <c r="J955" s="334" t="n"/>
      <c r="K955" s="334" t="n"/>
      <c r="L955" s="334" t="n"/>
      <c r="M955" s="334" t="n"/>
      <c r="N955" s="339" t="n"/>
      <c r="O955" s="368" t="n"/>
      <c r="P955" s="334" t="n"/>
    </row>
    <row r="956">
      <c r="A956" s="334" t="n"/>
      <c r="B956" s="334" t="n"/>
      <c r="C956" s="334" t="n"/>
      <c r="D956" s="334" t="n"/>
      <c r="E956" s="334" t="n"/>
      <c r="F956" s="334" t="n"/>
      <c r="G956" s="334" t="n"/>
      <c r="H956" s="334" t="n"/>
      <c r="I956" s="334" t="n"/>
      <c r="J956" s="334" t="n"/>
      <c r="K956" s="334" t="n"/>
      <c r="L956" s="334" t="n"/>
      <c r="M956" s="334" t="n"/>
      <c r="N956" s="339" t="n"/>
      <c r="O956" s="368" t="n"/>
      <c r="P956" s="334" t="n"/>
    </row>
    <row r="957">
      <c r="A957" s="334" t="n"/>
      <c r="B957" s="334" t="n"/>
      <c r="C957" s="334" t="n"/>
      <c r="D957" s="334" t="n"/>
      <c r="E957" s="334" t="n"/>
      <c r="F957" s="334" t="n"/>
      <c r="G957" s="334" t="n"/>
      <c r="H957" s="334" t="n"/>
      <c r="I957" s="334" t="n"/>
      <c r="J957" s="334" t="n"/>
      <c r="K957" s="334" t="n"/>
      <c r="L957" s="334" t="n"/>
      <c r="M957" s="334" t="n"/>
      <c r="N957" s="339" t="n"/>
      <c r="O957" s="368" t="n"/>
      <c r="P957" s="334" t="n"/>
    </row>
    <row r="958">
      <c r="A958" s="334" t="n"/>
      <c r="B958" s="334" t="n"/>
      <c r="C958" s="334" t="n"/>
      <c r="D958" s="334" t="n"/>
      <c r="E958" s="334" t="n"/>
      <c r="F958" s="334" t="n"/>
      <c r="G958" s="334" t="n"/>
      <c r="H958" s="334" t="n"/>
      <c r="I958" s="334" t="n"/>
      <c r="J958" s="334" t="n"/>
      <c r="K958" s="334" t="n"/>
      <c r="L958" s="334" t="n"/>
      <c r="M958" s="334" t="n"/>
      <c r="N958" s="339" t="n"/>
      <c r="O958" s="368" t="n"/>
      <c r="P958" s="334" t="n"/>
    </row>
    <row r="959">
      <c r="A959" s="334" t="n"/>
      <c r="B959" s="334" t="n"/>
      <c r="C959" s="334" t="n"/>
      <c r="D959" s="334" t="n"/>
      <c r="E959" s="334" t="n"/>
      <c r="F959" s="334" t="n"/>
      <c r="G959" s="334" t="n"/>
      <c r="H959" s="334" t="n"/>
      <c r="I959" s="334" t="n"/>
      <c r="J959" s="334" t="n"/>
      <c r="K959" s="334" t="n"/>
      <c r="L959" s="334" t="n"/>
      <c r="M959" s="334" t="n"/>
      <c r="N959" s="339" t="n"/>
      <c r="O959" s="368" t="n"/>
      <c r="P959" s="334" t="n"/>
    </row>
    <row r="960">
      <c r="A960" s="334" t="n"/>
      <c r="B960" s="334" t="n"/>
      <c r="C960" s="334" t="n"/>
      <c r="D960" s="334" t="n"/>
      <c r="E960" s="334" t="n"/>
      <c r="F960" s="334" t="n"/>
      <c r="G960" s="334" t="n"/>
      <c r="H960" s="334" t="n"/>
      <c r="I960" s="334" t="n"/>
      <c r="J960" s="334" t="n"/>
      <c r="K960" s="334" t="n"/>
      <c r="L960" s="334" t="n"/>
      <c r="M960" s="334" t="n"/>
      <c r="N960" s="339" t="n"/>
      <c r="O960" s="368" t="n"/>
      <c r="P960" s="334" t="n"/>
    </row>
    <row r="961">
      <c r="A961" s="334" t="n"/>
      <c r="B961" s="334" t="n"/>
      <c r="C961" s="334" t="n"/>
      <c r="D961" s="334" t="n"/>
      <c r="E961" s="334" t="n"/>
      <c r="F961" s="334" t="n"/>
      <c r="G961" s="334" t="n"/>
      <c r="H961" s="334" t="n"/>
      <c r="I961" s="334" t="n"/>
      <c r="J961" s="334" t="n"/>
      <c r="K961" s="334" t="n"/>
      <c r="L961" s="334" t="n"/>
      <c r="M961" s="334" t="n"/>
      <c r="N961" s="339" t="n"/>
      <c r="O961" s="368" t="n"/>
      <c r="P961" s="334" t="n"/>
    </row>
    <row r="962">
      <c r="A962" s="334" t="n"/>
      <c r="B962" s="334" t="n"/>
      <c r="C962" s="334" t="n"/>
      <c r="D962" s="334" t="n"/>
      <c r="E962" s="334" t="n"/>
      <c r="F962" s="334" t="n"/>
      <c r="G962" s="334" t="n"/>
      <c r="H962" s="334" t="n"/>
      <c r="I962" s="334" t="n"/>
      <c r="J962" s="334" t="n"/>
      <c r="K962" s="334" t="n"/>
      <c r="L962" s="334" t="n"/>
      <c r="M962" s="334" t="n"/>
      <c r="N962" s="339" t="n"/>
      <c r="O962" s="368" t="n"/>
      <c r="P962" s="334" t="n"/>
    </row>
    <row r="963">
      <c r="A963" s="334" t="n"/>
      <c r="B963" s="334" t="n"/>
      <c r="C963" s="334" t="n"/>
      <c r="D963" s="334" t="n"/>
      <c r="E963" s="334" t="n"/>
      <c r="F963" s="334" t="n"/>
      <c r="G963" s="334" t="n"/>
      <c r="H963" s="334" t="n"/>
      <c r="I963" s="334" t="n"/>
      <c r="J963" s="334" t="n"/>
      <c r="K963" s="334" t="n"/>
      <c r="L963" s="334" t="n"/>
      <c r="M963" s="334" t="n"/>
      <c r="N963" s="339" t="n"/>
      <c r="O963" s="368" t="n"/>
      <c r="P963" s="334" t="n"/>
    </row>
    <row r="964">
      <c r="A964" s="334" t="n"/>
      <c r="B964" s="334" t="n"/>
      <c r="C964" s="334" t="n"/>
      <c r="D964" s="334" t="n"/>
      <c r="E964" s="334" t="n"/>
      <c r="F964" s="334" t="n"/>
      <c r="G964" s="334" t="n"/>
      <c r="H964" s="334" t="n"/>
      <c r="I964" s="334" t="n"/>
      <c r="J964" s="334" t="n"/>
      <c r="K964" s="334" t="n"/>
      <c r="L964" s="334" t="n"/>
      <c r="M964" s="334" t="n"/>
      <c r="N964" s="339" t="n"/>
      <c r="O964" s="368" t="n"/>
      <c r="P964" s="334" t="n"/>
    </row>
    <row r="965">
      <c r="A965" s="334" t="n"/>
      <c r="B965" s="334" t="n"/>
      <c r="C965" s="334" t="n"/>
      <c r="D965" s="334" t="n"/>
      <c r="E965" s="334" t="n"/>
      <c r="F965" s="334" t="n"/>
      <c r="G965" s="334" t="n"/>
      <c r="H965" s="334" t="n"/>
      <c r="I965" s="334" t="n"/>
      <c r="J965" s="334" t="n"/>
      <c r="K965" s="334" t="n"/>
      <c r="L965" s="334" t="n"/>
      <c r="M965" s="334" t="n"/>
      <c r="N965" s="339" t="n"/>
      <c r="O965" s="368" t="n"/>
      <c r="P965" s="334" t="n"/>
    </row>
    <row r="966">
      <c r="A966" s="334" t="n"/>
      <c r="B966" s="334" t="n"/>
      <c r="C966" s="334" t="n"/>
      <c r="D966" s="334" t="n"/>
      <c r="E966" s="334" t="n"/>
      <c r="F966" s="334" t="n"/>
      <c r="G966" s="334" t="n"/>
      <c r="H966" s="334" t="n"/>
      <c r="I966" s="334" t="n"/>
      <c r="J966" s="334" t="n"/>
      <c r="K966" s="334" t="n"/>
      <c r="L966" s="334" t="n"/>
      <c r="M966" s="334" t="n"/>
      <c r="N966" s="339" t="n"/>
      <c r="O966" s="368" t="n"/>
      <c r="P966" s="334" t="n"/>
    </row>
    <row r="967">
      <c r="A967" s="334" t="n"/>
      <c r="B967" s="334" t="n"/>
      <c r="C967" s="334" t="n"/>
      <c r="D967" s="334" t="n"/>
      <c r="E967" s="334" t="n"/>
      <c r="F967" s="334" t="n"/>
      <c r="G967" s="334" t="n"/>
      <c r="H967" s="334" t="n"/>
      <c r="I967" s="334" t="n"/>
      <c r="J967" s="334" t="n"/>
      <c r="K967" s="334" t="n"/>
      <c r="L967" s="334" t="n"/>
      <c r="M967" s="334" t="n"/>
      <c r="N967" s="339" t="n"/>
      <c r="O967" s="368" t="n"/>
      <c r="P967" s="334" t="n"/>
    </row>
    <row r="968">
      <c r="A968" s="334" t="n"/>
      <c r="B968" s="334" t="n"/>
      <c r="C968" s="334" t="n"/>
      <c r="D968" s="334" t="n"/>
      <c r="E968" s="334" t="n"/>
      <c r="F968" s="334" t="n"/>
      <c r="G968" s="334" t="n"/>
      <c r="H968" s="334" t="n"/>
      <c r="I968" s="334" t="n"/>
      <c r="J968" s="334" t="n"/>
      <c r="K968" s="334" t="n"/>
      <c r="L968" s="334" t="n"/>
      <c r="M968" s="334" t="n"/>
      <c r="N968" s="339" t="n"/>
      <c r="O968" s="368" t="n"/>
      <c r="P968" s="334" t="n"/>
    </row>
    <row r="969">
      <c r="A969" s="334" t="n"/>
      <c r="B969" s="334" t="n"/>
      <c r="C969" s="334" t="n"/>
      <c r="D969" s="334" t="n"/>
      <c r="E969" s="334" t="n"/>
      <c r="F969" s="334" t="n"/>
      <c r="G969" s="334" t="n"/>
      <c r="H969" s="334" t="n"/>
      <c r="I969" s="334" t="n"/>
      <c r="J969" s="334" t="n"/>
      <c r="K969" s="334" t="n"/>
      <c r="L969" s="334" t="n"/>
      <c r="M969" s="334" t="n"/>
      <c r="N969" s="339" t="n"/>
      <c r="O969" s="368" t="n"/>
      <c r="P969" s="334" t="n"/>
    </row>
    <row r="970">
      <c r="A970" s="334" t="n"/>
      <c r="B970" s="334" t="n"/>
      <c r="C970" s="334" t="n"/>
      <c r="D970" s="334" t="n"/>
      <c r="E970" s="334" t="n"/>
      <c r="F970" s="334" t="n"/>
      <c r="G970" s="334" t="n"/>
      <c r="H970" s="334" t="n"/>
      <c r="I970" s="334" t="n"/>
      <c r="J970" s="334" t="n"/>
      <c r="K970" s="334" t="n"/>
      <c r="L970" s="334" t="n"/>
      <c r="M970" s="334" t="n"/>
      <c r="N970" s="339" t="n"/>
      <c r="O970" s="368" t="n"/>
      <c r="P970" s="334" t="n"/>
    </row>
    <row r="971">
      <c r="A971" s="334" t="n"/>
      <c r="B971" s="334" t="n"/>
      <c r="C971" s="334" t="n"/>
      <c r="D971" s="334" t="n"/>
      <c r="E971" s="334" t="n"/>
      <c r="F971" s="334" t="n"/>
      <c r="G971" s="334" t="n"/>
      <c r="H971" s="334" t="n"/>
      <c r="I971" s="334" t="n"/>
      <c r="J971" s="334" t="n"/>
      <c r="K971" s="334" t="n"/>
      <c r="L971" s="334" t="n"/>
      <c r="M971" s="334" t="n"/>
      <c r="N971" s="339" t="n"/>
      <c r="O971" s="368" t="n"/>
      <c r="P971" s="334" t="n"/>
    </row>
    <row r="972">
      <c r="A972" s="334" t="n"/>
      <c r="B972" s="334" t="n"/>
      <c r="C972" s="334" t="n"/>
      <c r="D972" s="334" t="n"/>
      <c r="E972" s="334" t="n"/>
      <c r="F972" s="334" t="n"/>
      <c r="G972" s="334" t="n"/>
      <c r="H972" s="334" t="n"/>
      <c r="I972" s="334" t="n"/>
      <c r="J972" s="334" t="n"/>
      <c r="K972" s="334" t="n"/>
      <c r="L972" s="334" t="n"/>
      <c r="M972" s="334" t="n"/>
      <c r="N972" s="339" t="n"/>
      <c r="O972" s="368" t="n"/>
      <c r="P972" s="334" t="n"/>
    </row>
    <row r="973">
      <c r="A973" s="334" t="n"/>
      <c r="B973" s="334" t="n"/>
      <c r="C973" s="334" t="n"/>
      <c r="D973" s="334" t="n"/>
      <c r="E973" s="334" t="n"/>
      <c r="F973" s="334" t="n"/>
      <c r="G973" s="334" t="n"/>
      <c r="H973" s="334" t="n"/>
      <c r="I973" s="334" t="n"/>
      <c r="J973" s="334" t="n"/>
      <c r="K973" s="334" t="n"/>
      <c r="L973" s="334" t="n"/>
      <c r="M973" s="334" t="n"/>
      <c r="N973" s="339" t="n"/>
      <c r="O973" s="368" t="n"/>
      <c r="P973" s="334" t="n"/>
    </row>
    <row r="974">
      <c r="A974" s="334" t="n"/>
      <c r="B974" s="334" t="n"/>
      <c r="C974" s="334" t="n"/>
      <c r="D974" s="334" t="n"/>
      <c r="E974" s="334" t="n"/>
      <c r="F974" s="334" t="n"/>
      <c r="G974" s="334" t="n"/>
      <c r="H974" s="334" t="n"/>
      <c r="I974" s="334" t="n"/>
      <c r="J974" s="334" t="n"/>
      <c r="K974" s="334" t="n"/>
      <c r="L974" s="334" t="n"/>
      <c r="M974" s="334" t="n"/>
      <c r="N974" s="339" t="n"/>
      <c r="O974" s="368" t="n"/>
      <c r="P974" s="334" t="n"/>
    </row>
    <row r="975">
      <c r="A975" s="334" t="n"/>
      <c r="B975" s="334" t="n"/>
      <c r="C975" s="334" t="n"/>
      <c r="D975" s="334" t="n"/>
      <c r="E975" s="334" t="n"/>
      <c r="F975" s="334" t="n"/>
      <c r="G975" s="334" t="n"/>
      <c r="H975" s="334" t="n"/>
      <c r="I975" s="334" t="n"/>
      <c r="J975" s="334" t="n"/>
      <c r="K975" s="334" t="n"/>
      <c r="L975" s="334" t="n"/>
      <c r="M975" s="334" t="n"/>
      <c r="N975" s="339" t="n"/>
      <c r="O975" s="368" t="n"/>
      <c r="P975" s="334" t="n"/>
    </row>
    <row r="976">
      <c r="A976" s="334" t="n"/>
      <c r="B976" s="334" t="n"/>
      <c r="C976" s="334" t="n"/>
      <c r="D976" s="334" t="n"/>
      <c r="E976" s="334" t="n"/>
      <c r="F976" s="334" t="n"/>
      <c r="G976" s="334" t="n"/>
      <c r="H976" s="334" t="n"/>
      <c r="I976" s="334" t="n"/>
      <c r="J976" s="334" t="n"/>
      <c r="K976" s="334" t="n"/>
      <c r="L976" s="334" t="n"/>
      <c r="M976" s="334" t="n"/>
      <c r="N976" s="339" t="n"/>
      <c r="O976" s="368" t="n"/>
      <c r="P976" s="334" t="n"/>
    </row>
    <row r="977">
      <c r="A977" s="334" t="n"/>
      <c r="B977" s="334" t="n"/>
      <c r="C977" s="334" t="n"/>
      <c r="D977" s="334" t="n"/>
      <c r="E977" s="334" t="n"/>
      <c r="F977" s="334" t="n"/>
      <c r="G977" s="334" t="n"/>
      <c r="H977" s="334" t="n"/>
      <c r="I977" s="334" t="n"/>
      <c r="J977" s="334" t="n"/>
      <c r="K977" s="334" t="n"/>
      <c r="L977" s="334" t="n"/>
      <c r="M977" s="334" t="n"/>
      <c r="N977" s="339" t="n"/>
      <c r="O977" s="368" t="n"/>
      <c r="P977" s="334" t="n"/>
    </row>
    <row r="978">
      <c r="A978" s="334" t="n"/>
      <c r="B978" s="334" t="n"/>
      <c r="C978" s="334" t="n"/>
      <c r="D978" s="334" t="n"/>
      <c r="E978" s="334" t="n"/>
      <c r="F978" s="334" t="n"/>
      <c r="G978" s="334" t="n"/>
      <c r="H978" s="334" t="n"/>
      <c r="I978" s="334" t="n"/>
      <c r="J978" s="334" t="n"/>
      <c r="K978" s="334" t="n"/>
      <c r="L978" s="334" t="n"/>
      <c r="M978" s="334" t="n"/>
      <c r="N978" s="339" t="n"/>
      <c r="O978" s="368" t="n"/>
      <c r="P978" s="334" t="n"/>
    </row>
    <row r="979">
      <c r="A979" s="334" t="n"/>
      <c r="B979" s="334" t="n"/>
      <c r="C979" s="334" t="n"/>
      <c r="D979" s="334" t="n"/>
      <c r="E979" s="334" t="n"/>
      <c r="F979" s="334" t="n"/>
      <c r="G979" s="334" t="n"/>
      <c r="H979" s="334" t="n"/>
      <c r="I979" s="334" t="n"/>
      <c r="J979" s="334" t="n"/>
      <c r="K979" s="334" t="n"/>
      <c r="L979" s="334" t="n"/>
      <c r="M979" s="334" t="n"/>
      <c r="N979" s="339" t="n"/>
      <c r="O979" s="368" t="n"/>
      <c r="P979" s="334" t="n"/>
    </row>
    <row r="980">
      <c r="A980" s="334" t="n"/>
      <c r="B980" s="334" t="n"/>
      <c r="C980" s="334" t="n"/>
      <c r="D980" s="334" t="n"/>
      <c r="E980" s="334" t="n"/>
      <c r="F980" s="334" t="n"/>
      <c r="G980" s="334" t="n"/>
      <c r="H980" s="334" t="n"/>
      <c r="I980" s="334" t="n"/>
      <c r="J980" s="334" t="n"/>
      <c r="K980" s="334" t="n"/>
      <c r="L980" s="334" t="n"/>
      <c r="M980" s="334" t="n"/>
      <c r="N980" s="339" t="n"/>
      <c r="O980" s="368" t="n"/>
      <c r="P980" s="334" t="n"/>
    </row>
    <row r="981">
      <c r="A981" s="334" t="n"/>
      <c r="B981" s="334" t="n"/>
      <c r="C981" s="334" t="n"/>
      <c r="D981" s="334" t="n"/>
      <c r="E981" s="334" t="n"/>
      <c r="F981" s="334" t="n"/>
      <c r="G981" s="334" t="n"/>
      <c r="H981" s="334" t="n"/>
      <c r="I981" s="334" t="n"/>
      <c r="J981" s="334" t="n"/>
      <c r="K981" s="334" t="n"/>
      <c r="L981" s="334" t="n"/>
      <c r="M981" s="334" t="n"/>
      <c r="N981" s="339" t="n"/>
      <c r="O981" s="368" t="n"/>
      <c r="P981" s="334" t="n"/>
    </row>
    <row r="982">
      <c r="A982" s="334" t="n"/>
      <c r="B982" s="334" t="n"/>
      <c r="C982" s="334" t="n"/>
      <c r="D982" s="334" t="n"/>
      <c r="E982" s="334" t="n"/>
      <c r="F982" s="334" t="n"/>
      <c r="G982" s="334" t="n"/>
      <c r="H982" s="334" t="n"/>
      <c r="I982" s="334" t="n"/>
      <c r="J982" s="334" t="n"/>
      <c r="K982" s="334" t="n"/>
      <c r="L982" s="334" t="n"/>
      <c r="M982" s="334" t="n"/>
      <c r="N982" s="339" t="n"/>
      <c r="O982" s="368" t="n"/>
      <c r="P982" s="334" t="n"/>
    </row>
    <row r="983">
      <c r="A983" s="334" t="n"/>
      <c r="B983" s="334" t="n"/>
      <c r="C983" s="334" t="n"/>
      <c r="D983" s="334" t="n"/>
      <c r="E983" s="334" t="n"/>
      <c r="F983" s="334" t="n"/>
      <c r="G983" s="334" t="n"/>
      <c r="H983" s="334" t="n"/>
      <c r="I983" s="334" t="n"/>
      <c r="J983" s="334" t="n"/>
      <c r="K983" s="334" t="n"/>
      <c r="L983" s="334" t="n"/>
      <c r="M983" s="334" t="n"/>
      <c r="N983" s="339" t="n"/>
      <c r="O983" s="368" t="n"/>
      <c r="P983" s="334" t="n"/>
    </row>
    <row r="984">
      <c r="A984" s="334" t="n"/>
      <c r="B984" s="334" t="n"/>
      <c r="C984" s="334" t="n"/>
      <c r="D984" s="334" t="n"/>
      <c r="E984" s="334" t="n"/>
      <c r="F984" s="334" t="n"/>
      <c r="G984" s="334" t="n"/>
      <c r="H984" s="334" t="n"/>
      <c r="I984" s="334" t="n"/>
      <c r="J984" s="334" t="n"/>
      <c r="K984" s="334" t="n"/>
      <c r="L984" s="334" t="n"/>
      <c r="M984" s="334" t="n"/>
      <c r="N984" s="339" t="n"/>
      <c r="O984" s="368" t="n"/>
      <c r="P984" s="334" t="n"/>
    </row>
    <row r="985">
      <c r="A985" s="334" t="n"/>
      <c r="B985" s="334" t="n"/>
      <c r="C985" s="334" t="n"/>
      <c r="D985" s="334" t="n"/>
      <c r="E985" s="334" t="n"/>
      <c r="F985" s="334" t="n"/>
      <c r="G985" s="334" t="n"/>
      <c r="H985" s="334" t="n"/>
      <c r="I985" s="334" t="n"/>
      <c r="J985" s="334" t="n"/>
      <c r="K985" s="334" t="n"/>
      <c r="L985" s="334" t="n"/>
      <c r="M985" s="334" t="n"/>
      <c r="N985" s="339" t="n"/>
      <c r="O985" s="368" t="n"/>
      <c r="P985" s="334" t="n"/>
    </row>
    <row r="986">
      <c r="A986" s="334" t="n"/>
      <c r="B986" s="334" t="n"/>
      <c r="C986" s="334" t="n"/>
      <c r="D986" s="334" t="n"/>
      <c r="E986" s="334" t="n"/>
      <c r="F986" s="334" t="n"/>
      <c r="G986" s="334" t="n"/>
      <c r="H986" s="334" t="n"/>
      <c r="I986" s="334" t="n"/>
      <c r="J986" s="334" t="n"/>
      <c r="K986" s="334" t="n"/>
      <c r="L986" s="334" t="n"/>
      <c r="M986" s="334" t="n"/>
      <c r="N986" s="339" t="n"/>
      <c r="O986" s="368" t="n"/>
      <c r="P986" s="334" t="n"/>
    </row>
    <row r="987">
      <c r="A987" s="334" t="n"/>
      <c r="B987" s="334" t="n"/>
      <c r="C987" s="334" t="n"/>
      <c r="D987" s="334" t="n"/>
      <c r="E987" s="334" t="n"/>
      <c r="F987" s="334" t="n"/>
      <c r="G987" s="334" t="n"/>
      <c r="H987" s="334" t="n"/>
      <c r="I987" s="334" t="n"/>
      <c r="J987" s="334" t="n"/>
      <c r="K987" s="334" t="n"/>
      <c r="L987" s="334" t="n"/>
      <c r="M987" s="334" t="n"/>
      <c r="N987" s="339" t="n"/>
      <c r="O987" s="368" t="n"/>
      <c r="P987" s="334" t="n"/>
    </row>
    <row r="988">
      <c r="A988" s="334" t="n"/>
      <c r="B988" s="334" t="n"/>
      <c r="C988" s="334" t="n"/>
      <c r="D988" s="334" t="n"/>
      <c r="E988" s="334" t="n"/>
      <c r="F988" s="334" t="n"/>
      <c r="G988" s="334" t="n"/>
      <c r="H988" s="334" t="n"/>
      <c r="I988" s="334" t="n"/>
      <c r="J988" s="334" t="n"/>
      <c r="K988" s="334" t="n"/>
      <c r="L988" s="334" t="n"/>
      <c r="M988" s="334" t="n"/>
      <c r="N988" s="339" t="n"/>
      <c r="O988" s="368" t="n"/>
      <c r="P988" s="334" t="n"/>
    </row>
    <row r="989">
      <c r="A989" s="334" t="n"/>
      <c r="B989" s="334" t="n"/>
      <c r="C989" s="334" t="n"/>
      <c r="D989" s="334" t="n"/>
      <c r="E989" s="334" t="n"/>
      <c r="F989" s="334" t="n"/>
      <c r="G989" s="334" t="n"/>
      <c r="H989" s="334" t="n"/>
      <c r="I989" s="334" t="n"/>
      <c r="J989" s="334" t="n"/>
      <c r="K989" s="334" t="n"/>
      <c r="L989" s="334" t="n"/>
      <c r="M989" s="334" t="n"/>
      <c r="N989" s="339" t="n"/>
      <c r="O989" s="368" t="n"/>
      <c r="P989" s="334" t="n"/>
    </row>
    <row r="990">
      <c r="A990" s="334" t="n"/>
      <c r="B990" s="334" t="n"/>
      <c r="C990" s="334" t="n"/>
      <c r="D990" s="334" t="n"/>
      <c r="E990" s="334" t="n"/>
      <c r="F990" s="334" t="n"/>
      <c r="G990" s="334" t="n"/>
      <c r="H990" s="334" t="n"/>
      <c r="I990" s="334" t="n"/>
      <c r="J990" s="334" t="n"/>
      <c r="K990" s="334" t="n"/>
      <c r="L990" s="334" t="n"/>
      <c r="M990" s="334" t="n"/>
      <c r="N990" s="339" t="n"/>
      <c r="O990" s="368" t="n"/>
      <c r="P990" s="334" t="n"/>
    </row>
    <row r="991">
      <c r="A991" s="334" t="n"/>
      <c r="B991" s="334" t="n"/>
      <c r="C991" s="334" t="n"/>
      <c r="D991" s="334" t="n"/>
      <c r="E991" s="334" t="n"/>
      <c r="F991" s="334" t="n"/>
      <c r="G991" s="334" t="n"/>
      <c r="H991" s="334" t="n"/>
      <c r="I991" s="334" t="n"/>
      <c r="J991" s="334" t="n"/>
      <c r="K991" s="334" t="n"/>
      <c r="L991" s="334" t="n"/>
      <c r="M991" s="334" t="n"/>
      <c r="N991" s="339" t="n"/>
      <c r="O991" s="368" t="n"/>
      <c r="P991" s="334" t="n"/>
    </row>
    <row r="992">
      <c r="A992" s="334" t="n"/>
      <c r="B992" s="334" t="n"/>
      <c r="C992" s="334" t="n"/>
      <c r="D992" s="334" t="n"/>
      <c r="E992" s="334" t="n"/>
      <c r="F992" s="334" t="n"/>
      <c r="G992" s="334" t="n"/>
      <c r="H992" s="334" t="n"/>
      <c r="I992" s="334" t="n"/>
      <c r="J992" s="334" t="n"/>
      <c r="K992" s="334" t="n"/>
      <c r="L992" s="334" t="n"/>
      <c r="M992" s="334" t="n"/>
      <c r="N992" s="339" t="n"/>
      <c r="O992" s="368" t="n"/>
      <c r="P992" s="334" t="n"/>
    </row>
    <row r="993">
      <c r="A993" s="334" t="n"/>
      <c r="B993" s="334" t="n"/>
      <c r="C993" s="334" t="n"/>
      <c r="D993" s="334" t="n"/>
      <c r="E993" s="334" t="n"/>
      <c r="F993" s="334" t="n"/>
      <c r="G993" s="334" t="n"/>
      <c r="H993" s="334" t="n"/>
      <c r="I993" s="334" t="n"/>
      <c r="J993" s="334" t="n"/>
      <c r="K993" s="334" t="n"/>
      <c r="L993" s="334" t="n"/>
      <c r="M993" s="334" t="n"/>
      <c r="N993" s="339" t="n"/>
      <c r="O993" s="368" t="n"/>
      <c r="P993" s="334" t="n"/>
    </row>
    <row r="994">
      <c r="A994" s="334" t="n"/>
      <c r="B994" s="334" t="n"/>
      <c r="C994" s="334" t="n"/>
      <c r="D994" s="334" t="n"/>
      <c r="E994" s="334" t="n"/>
      <c r="F994" s="334" t="n"/>
      <c r="G994" s="334" t="n"/>
      <c r="H994" s="334" t="n"/>
      <c r="I994" s="334" t="n"/>
      <c r="J994" s="334" t="n"/>
      <c r="K994" s="334" t="n"/>
      <c r="L994" s="334" t="n"/>
      <c r="M994" s="334" t="n"/>
      <c r="N994" s="339" t="n"/>
      <c r="O994" s="368" t="n"/>
      <c r="P994" s="334" t="n"/>
    </row>
    <row r="995">
      <c r="A995" s="334" t="n"/>
      <c r="B995" s="334" t="n"/>
      <c r="C995" s="334" t="n"/>
      <c r="D995" s="334" t="n"/>
      <c r="E995" s="334" t="n"/>
      <c r="F995" s="334" t="n"/>
      <c r="G995" s="334" t="n"/>
      <c r="H995" s="334" t="n"/>
      <c r="I995" s="334" t="n"/>
      <c r="J995" s="334" t="n"/>
      <c r="K995" s="334" t="n"/>
      <c r="L995" s="334" t="n"/>
      <c r="M995" s="334" t="n"/>
      <c r="N995" s="339" t="n"/>
      <c r="O995" s="368" t="n"/>
      <c r="P995" s="334" t="n"/>
    </row>
    <row r="996">
      <c r="A996" s="334" t="n"/>
      <c r="B996" s="334" t="n"/>
      <c r="C996" s="334" t="n"/>
      <c r="D996" s="334" t="n"/>
      <c r="E996" s="334" t="n"/>
      <c r="F996" s="334" t="n"/>
      <c r="G996" s="334" t="n"/>
      <c r="H996" s="334" t="n"/>
      <c r="I996" s="334" t="n"/>
      <c r="J996" s="334" t="n"/>
      <c r="K996" s="334" t="n"/>
      <c r="L996" s="334" t="n"/>
      <c r="M996" s="334" t="n"/>
      <c r="N996" s="339" t="n"/>
      <c r="O996" s="368" t="n"/>
      <c r="P996" s="334" t="n"/>
    </row>
    <row r="997">
      <c r="A997" s="334" t="n"/>
      <c r="B997" s="334" t="n"/>
      <c r="C997" s="334" t="n"/>
      <c r="D997" s="334" t="n"/>
      <c r="E997" s="334" t="n"/>
      <c r="F997" s="334" t="n"/>
      <c r="G997" s="334" t="n"/>
      <c r="H997" s="334" t="n"/>
      <c r="I997" s="334" t="n"/>
      <c r="J997" s="334" t="n"/>
      <c r="K997" s="334" t="n"/>
      <c r="L997" s="334" t="n"/>
      <c r="M997" s="334" t="n"/>
      <c r="N997" s="339" t="n"/>
      <c r="O997" s="368" t="n"/>
      <c r="P997" s="334" t="n"/>
    </row>
    <row r="998">
      <c r="A998" s="334" t="n"/>
      <c r="B998" s="334" t="n"/>
      <c r="C998" s="334" t="n"/>
      <c r="D998" s="334" t="n"/>
      <c r="E998" s="334" t="n"/>
      <c r="F998" s="334" t="n"/>
      <c r="G998" s="334" t="n"/>
      <c r="H998" s="334" t="n"/>
      <c r="I998" s="334" t="n"/>
      <c r="J998" s="334" t="n"/>
      <c r="K998" s="334" t="n"/>
      <c r="L998" s="334" t="n"/>
      <c r="M998" s="334" t="n"/>
      <c r="N998" s="339" t="n"/>
      <c r="O998" s="368" t="n"/>
      <c r="P998" s="334" t="n"/>
    </row>
    <row r="999">
      <c r="A999" s="334" t="n"/>
      <c r="B999" s="334" t="n"/>
      <c r="C999" s="334" t="n"/>
      <c r="D999" s="334" t="n"/>
      <c r="E999" s="334" t="n"/>
      <c r="F999" s="334" t="n"/>
      <c r="G999" s="334" t="n"/>
      <c r="H999" s="334" t="n"/>
      <c r="I999" s="334" t="n"/>
      <c r="J999" s="334" t="n"/>
      <c r="K999" s="334" t="n"/>
      <c r="L999" s="334" t="n"/>
      <c r="M999" s="334" t="n"/>
      <c r="N999" s="339" t="n"/>
      <c r="O999" s="368" t="n"/>
      <c r="P999" s="334" t="n"/>
    </row>
    <row r="1000">
      <c r="A1000" s="334" t="n"/>
      <c r="B1000" s="334" t="n"/>
      <c r="C1000" s="334" t="n"/>
      <c r="D1000" s="334" t="n"/>
      <c r="E1000" s="334" t="n"/>
      <c r="F1000" s="334" t="n"/>
      <c r="G1000" s="334" t="n"/>
      <c r="H1000" s="334" t="n"/>
      <c r="I1000" s="334" t="n"/>
      <c r="J1000" s="334" t="n"/>
      <c r="K1000" s="334" t="n"/>
      <c r="L1000" s="334" t="n"/>
      <c r="M1000" s="334" t="n"/>
      <c r="N1000" s="339" t="n"/>
      <c r="O1000" s="368" t="n"/>
      <c r="P1000" s="334" t="n"/>
    </row>
  </sheetData>
  <mergeCells count="1">
    <mergeCell ref="A127:N127"/>
  </mergeCells>
  <hyperlinks>
    <hyperlink xmlns:r="http://schemas.openxmlformats.org/officeDocument/2006/relationships" ref="M11"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P1000"/>
  <sheetViews>
    <sheetView workbookViewId="0">
      <selection activeCell="A1" sqref="A1"/>
    </sheetView>
  </sheetViews>
  <sheetFormatPr baseColWidth="8" defaultColWidth="12.63" defaultRowHeight="15.75" customHeight="1"/>
  <cols>
    <col width="9.5" customWidth="1" style="482" min="1" max="4"/>
    <col width="13.88" customWidth="1" style="482" min="5" max="6"/>
    <col width="18.38" customWidth="1" style="482" min="7" max="7"/>
    <col width="9.5" customWidth="1" style="482" min="8" max="15"/>
  </cols>
  <sheetData>
    <row r="1">
      <c r="A1" s="355">
        <f>IFERROR(__xludf.DUMMYFUNCTION("IMPORTRANGE(""https://docs.google.com/spreadsheets/d/1oJmkDK37Qizzdaxn4KCwh1BMwdNWuHCx3AGH8BC9yu0/edit?gid=0#gid=0"",""クエスト!A1:N1000"")"),"作品ID/イベント専用作品ID
※イベント、降臨バトルの場合は、作品ID末尾が過去に開催したものと同一の数字にならないように注意する
例えば既に「1」を使用していたら次は必ず連番で「2」を使用すること")</f>
        <v/>
      </c>
      <c r="B1" s="356">
        <f>IFERROR(__xludf.DUMMYFUNCTION("""COMPUTED_VALUE"""),"作品名")</f>
        <v/>
      </c>
      <c r="C1" s="356">
        <f>IFERROR(__xludf.DUMMYFUNCTION("""COMPUTED_VALUE"""),"クエスト難易度
or
種別")</f>
        <v/>
      </c>
      <c r="D1" s="357">
        <f>IFERROR(__xludf.DUMMYFUNCTION("""COMPUTED_VALUE"""),"クエストタイプ")</f>
        <v/>
      </c>
      <c r="E1" s="356">
        <f>IFERROR(__xludf.DUMMYFUNCTION("""COMPUTED_VALUE"""),"クエストカテゴリー")</f>
        <v/>
      </c>
      <c r="F1" s="356">
        <f>IFERROR(__xludf.DUMMYFUNCTION("""COMPUTED_VALUE"""),"クエスト_id")</f>
        <v/>
      </c>
      <c r="G1" s="356">
        <f>IFERROR(__xludf.DUMMYFUNCTION("""COMPUTED_VALUE"""),"クエスト名")</f>
        <v/>
      </c>
      <c r="H1" s="356">
        <f>IFERROR(__xludf.DUMMYFUNCTION("""COMPUTED_VALUE"""),"ステージ_id")</f>
        <v/>
      </c>
      <c r="I1" s="356">
        <f>IFERROR(__xludf.DUMMYFUNCTION("""COMPUTED_VALUE"""),"stage_id
※降臨バトルは不要")</f>
        <v/>
      </c>
      <c r="J1" s="359">
        <f>IFERROR(__xludf.DUMMYFUNCTION("""COMPUTED_VALUE"""),"ステージアイコン画像ID
※イベントや降臨バトルは不要")</f>
        <v/>
      </c>
      <c r="K1" s="359">
        <f>IFERROR(__xludf.DUMMYFUNCTION("""COMPUTED_VALUE"""),"quest_thumbnail_asset
メインクエスト毎の画像
及び
イベントクエスト毎の画像
※降臨バトルは不要")</f>
        <v/>
      </c>
      <c r="L1" s="359">
        <f>IFERROR(__xludf.DUMMYFUNCTION("""COMPUTED_VALUE"""),"リリースキー")</f>
        <v/>
      </c>
      <c r="M1" s="359">
        <f>IFERROR(__xludf.DUMMYFUNCTION("""COMPUTED_VALUE"""),"備考")</f>
        <v/>
      </c>
      <c r="N1" s="359" t="n"/>
      <c r="O1" s="360" t="n"/>
      <c r="P1" s="334" t="n"/>
    </row>
    <row r="2">
      <c r="A2" s="361">
        <f>IFERROR(__xludf.DUMMYFUNCTION("""COMPUTED_VALUE"""),"▼メインクエスト（ノーマル）")</f>
        <v/>
      </c>
      <c r="B2" s="403" t="n"/>
      <c r="C2" s="363" t="n"/>
      <c r="D2" s="413" t="n"/>
      <c r="E2" s="403" t="n"/>
      <c r="F2" s="403" t="n"/>
      <c r="G2" s="370" t="n"/>
      <c r="H2" s="377" t="n"/>
      <c r="I2" s="367" t="n"/>
      <c r="J2" s="367" t="n"/>
      <c r="K2" s="368" t="n"/>
      <c r="L2" s="369" t="n"/>
      <c r="M2" s="369" t="n"/>
      <c r="N2" s="369" t="n"/>
      <c r="O2" s="369" t="n"/>
      <c r="P2" s="334" t="n"/>
    </row>
    <row r="3">
      <c r="A3" s="361" t="n"/>
      <c r="B3" s="403" t="n"/>
      <c r="C3" s="370" t="n"/>
      <c r="D3" s="413" t="n"/>
      <c r="E3" s="403" t="n"/>
      <c r="F3" s="403" t="n"/>
      <c r="G3" s="370" t="n"/>
      <c r="H3" s="377" t="n"/>
      <c r="I3" s="367" t="n"/>
      <c r="J3" s="367" t="n"/>
      <c r="K3" s="368" t="n"/>
      <c r="L3" s="369" t="n"/>
      <c r="M3" s="369" t="n"/>
      <c r="N3" s="369" t="n"/>
      <c r="O3" s="369" t="n"/>
      <c r="P3" s="334" t="n"/>
    </row>
    <row r="4">
      <c r="A4" s="372">
        <f>IFERROR(__xludf.DUMMYFUNCTION("""COMPUTED_VALUE"""),"spy")</f>
        <v/>
      </c>
      <c r="B4" s="338">
        <f>IFERROR(__xludf.DUMMYFUNCTION("""COMPUTED_VALUE"""),"SPY×FAMILY")</f>
        <v/>
      </c>
      <c r="C4" s="373">
        <f>IFERROR(__xludf.DUMMYFUNCTION("""COMPUTED_VALUE"""),"normal")</f>
        <v/>
      </c>
      <c r="D4" s="373">
        <f>IFERROR(__xludf.DUMMYFUNCTION("""COMPUTED_VALUE"""),"main")</f>
        <v/>
      </c>
      <c r="E4" s="338">
        <f>IFERROR(__xludf.DUMMYFUNCTION("""COMPUTED_VALUE"""),"メインクエスト")</f>
        <v/>
      </c>
      <c r="F4" s="373">
        <f>IFERROR(__xludf.DUMMYFUNCTION("""COMPUTED_VALUE"""),"quest_main_spy_normal_1")</f>
        <v/>
      </c>
      <c r="G4" s="338">
        <f>IFERROR(__xludf.DUMMYFUNCTION("""COMPUTED_VALUE"""),"1.SPY FAMILY")</f>
        <v/>
      </c>
      <c r="H4" s="373">
        <f>IFERROR(__xludf.DUMMYFUNCTION("""COMPUTED_VALUE"""),"01")</f>
        <v/>
      </c>
      <c r="I4" s="338">
        <f>IFERROR(__xludf.DUMMYFUNCTION("""COMPUTED_VALUE"""),"normal_spy_00001")</f>
        <v/>
      </c>
      <c r="J4" s="338">
        <f>IFERROR(__xludf.DUMMYFUNCTION("""COMPUTED_VALUE"""),"stage_icon_spy_normal_01")</f>
        <v/>
      </c>
      <c r="K4" s="338">
        <f>IFERROR(__xludf.DUMMYFUNCTION("""COMPUTED_VALUE"""),"quest_image_spy_1")</f>
        <v/>
      </c>
      <c r="L4" s="338" t="n"/>
      <c r="M4" s="338" t="n"/>
      <c r="N4" s="338" t="n"/>
      <c r="O4" s="368" t="n"/>
      <c r="P4" s="334" t="n"/>
    </row>
    <row r="5">
      <c r="A5" s="361">
        <f>IFERROR(__xludf.DUMMYFUNCTION("""COMPUTED_VALUE"""),"spy")</f>
        <v/>
      </c>
      <c r="B5" s="403">
        <f>IFERROR(__xludf.DUMMYFUNCTION("""COMPUTED_VALUE"""),"SPY×FAMILY")</f>
        <v/>
      </c>
      <c r="C5" s="412">
        <f>IFERROR(__xludf.DUMMYFUNCTION("""COMPUTED_VALUE"""),"normal")</f>
        <v/>
      </c>
      <c r="D5" s="413">
        <f>IFERROR(__xludf.DUMMYFUNCTION("""COMPUTED_VALUE"""),"main")</f>
        <v/>
      </c>
      <c r="E5" s="403">
        <f>IFERROR(__xludf.DUMMYFUNCTION("""COMPUTED_VALUE"""),"メインクエスト")</f>
        <v/>
      </c>
      <c r="F5" s="391">
        <f>IFERROR(__xludf.DUMMYFUNCTION("""COMPUTED_VALUE"""),"quest_main_spy_normal_1")</f>
        <v/>
      </c>
      <c r="G5" s="370">
        <f>IFERROR(__xludf.DUMMYFUNCTION("""COMPUTED_VALUE"""),"1.SPY FAMILY")</f>
        <v/>
      </c>
      <c r="H5" s="413">
        <f>IFERROR(__xludf.DUMMYFUNCTION("""COMPUTED_VALUE"""),"02")</f>
        <v/>
      </c>
      <c r="I5" s="375">
        <f>IFERROR(__xludf.DUMMYFUNCTION("""COMPUTED_VALUE"""),"normal_spy_00002")</f>
        <v/>
      </c>
      <c r="J5" s="375">
        <f>IFERROR(__xludf.DUMMYFUNCTION("""COMPUTED_VALUE"""),"stage_icon_spy_normal_02")</f>
        <v/>
      </c>
      <c r="K5" s="368" t="n"/>
      <c r="L5" s="369" t="n"/>
      <c r="M5" s="369" t="n"/>
      <c r="N5" s="369" t="n"/>
      <c r="O5" s="369" t="n"/>
      <c r="P5" s="334" t="n"/>
    </row>
    <row r="6">
      <c r="A6" s="361">
        <f>IFERROR(__xludf.DUMMYFUNCTION("""COMPUTED_VALUE"""),"spy")</f>
        <v/>
      </c>
      <c r="B6" s="403">
        <f>IFERROR(__xludf.DUMMYFUNCTION("""COMPUTED_VALUE"""),"SPY×FAMILY")</f>
        <v/>
      </c>
      <c r="C6" s="412">
        <f>IFERROR(__xludf.DUMMYFUNCTION("""COMPUTED_VALUE"""),"normal")</f>
        <v/>
      </c>
      <c r="D6" s="413">
        <f>IFERROR(__xludf.DUMMYFUNCTION("""COMPUTED_VALUE"""),"main")</f>
        <v/>
      </c>
      <c r="E6" s="403">
        <f>IFERROR(__xludf.DUMMYFUNCTION("""COMPUTED_VALUE"""),"メインクエスト")</f>
        <v/>
      </c>
      <c r="F6" s="391">
        <f>IFERROR(__xludf.DUMMYFUNCTION("""COMPUTED_VALUE"""),"quest_main_spy_normal_1")</f>
        <v/>
      </c>
      <c r="G6" s="370">
        <f>IFERROR(__xludf.DUMMYFUNCTION("""COMPUTED_VALUE"""),"1.SPY FAMILY")</f>
        <v/>
      </c>
      <c r="H6" s="413">
        <f>IFERROR(__xludf.DUMMYFUNCTION("""COMPUTED_VALUE"""),"03")</f>
        <v/>
      </c>
      <c r="I6" s="375">
        <f>IFERROR(__xludf.DUMMYFUNCTION("""COMPUTED_VALUE"""),"normal_spy_00003")</f>
        <v/>
      </c>
      <c r="J6" s="375">
        <f>IFERROR(__xludf.DUMMYFUNCTION("""COMPUTED_VALUE"""),"stage_icon_spy_normal_03")</f>
        <v/>
      </c>
      <c r="K6" s="368" t="n"/>
      <c r="L6" s="369" t="n"/>
      <c r="M6" s="369" t="n"/>
      <c r="N6" s="369" t="n"/>
      <c r="O6" s="369" t="n"/>
      <c r="P6" s="334" t="n"/>
    </row>
    <row r="7">
      <c r="A7" s="372">
        <f>IFERROR(__xludf.DUMMYFUNCTION("""COMPUTED_VALUE"""),"spy")</f>
        <v/>
      </c>
      <c r="B7" s="338">
        <f>IFERROR(__xludf.DUMMYFUNCTION("""COMPUTED_VALUE"""),"SPY×FAMILY")</f>
        <v/>
      </c>
      <c r="C7" s="373">
        <f>IFERROR(__xludf.DUMMYFUNCTION("""COMPUTED_VALUE"""),"normal")</f>
        <v/>
      </c>
      <c r="D7" s="373">
        <f>IFERROR(__xludf.DUMMYFUNCTION("""COMPUTED_VALUE"""),"main")</f>
        <v/>
      </c>
      <c r="E7" s="338">
        <f>IFERROR(__xludf.DUMMYFUNCTION("""COMPUTED_VALUE"""),"メインクエスト")</f>
        <v/>
      </c>
      <c r="F7" s="373">
        <f>IFERROR(__xludf.DUMMYFUNCTION("""COMPUTED_VALUE"""),"quest_main_spy_normal_1")</f>
        <v/>
      </c>
      <c r="G7" s="338">
        <f>IFERROR(__xludf.DUMMYFUNCTION("""COMPUTED_VALUE"""),"1.SPY FAMILY")</f>
        <v/>
      </c>
      <c r="H7" s="373">
        <f>IFERROR(__xludf.DUMMYFUNCTION("""COMPUTED_VALUE"""),"04")</f>
        <v/>
      </c>
      <c r="I7" s="338">
        <f>IFERROR(__xludf.DUMMYFUNCTION("""COMPUTED_VALUE"""),"normal_spy_00004")</f>
        <v/>
      </c>
      <c r="J7" s="338">
        <f>IFERROR(__xludf.DUMMYFUNCTION("""COMPUTED_VALUE"""),"stage_icon_spy_normal_04")</f>
        <v/>
      </c>
      <c r="K7" s="338" t="n"/>
      <c r="L7" s="338" t="n"/>
      <c r="M7" s="338" t="n"/>
      <c r="N7" s="338" t="n"/>
      <c r="O7" s="368" t="n"/>
      <c r="P7" s="334" t="n"/>
    </row>
    <row r="8">
      <c r="A8" s="361">
        <f>IFERROR(__xludf.DUMMYFUNCTION("""COMPUTED_VALUE"""),"spy")</f>
        <v/>
      </c>
      <c r="B8" s="403">
        <f>IFERROR(__xludf.DUMMYFUNCTION("""COMPUTED_VALUE"""),"SPY×FAMILY")</f>
        <v/>
      </c>
      <c r="C8" s="413">
        <f>IFERROR(__xludf.DUMMYFUNCTION("""COMPUTED_VALUE"""),"normal")</f>
        <v/>
      </c>
      <c r="D8" s="413">
        <f>IFERROR(__xludf.DUMMYFUNCTION("""COMPUTED_VALUE"""),"main")</f>
        <v/>
      </c>
      <c r="E8" s="403">
        <f>IFERROR(__xludf.DUMMYFUNCTION("""COMPUTED_VALUE"""),"メインクエスト")</f>
        <v/>
      </c>
      <c r="F8" s="391">
        <f>IFERROR(__xludf.DUMMYFUNCTION("""COMPUTED_VALUE"""),"quest_main_spy_normal_1")</f>
        <v/>
      </c>
      <c r="G8" s="370">
        <f>IFERROR(__xludf.DUMMYFUNCTION("""COMPUTED_VALUE"""),"1.SPY FAMILY")</f>
        <v/>
      </c>
      <c r="H8" s="413">
        <f>IFERROR(__xludf.DUMMYFUNCTION("""COMPUTED_VALUE"""),"05")</f>
        <v/>
      </c>
      <c r="I8" s="370">
        <f>IFERROR(__xludf.DUMMYFUNCTION("""COMPUTED_VALUE"""),"normal_spy_00005")</f>
        <v/>
      </c>
      <c r="J8" s="370">
        <f>IFERROR(__xludf.DUMMYFUNCTION("""COMPUTED_VALUE"""),"stage_icon_spy_normal_05")</f>
        <v/>
      </c>
      <c r="K8" s="368" t="n"/>
      <c r="L8" s="378" t="n"/>
      <c r="M8" s="369" t="n"/>
      <c r="N8" s="369" t="n"/>
      <c r="O8" s="369" t="n"/>
      <c r="P8" s="334" t="n"/>
    </row>
    <row r="9">
      <c r="A9" s="361">
        <f>IFERROR(__xludf.DUMMYFUNCTION("""COMPUTED_VALUE"""),"spy")</f>
        <v/>
      </c>
      <c r="B9" s="403">
        <f>IFERROR(__xludf.DUMMYFUNCTION("""COMPUTED_VALUE"""),"SPY×FAMILY")</f>
        <v/>
      </c>
      <c r="C9" s="413">
        <f>IFERROR(__xludf.DUMMYFUNCTION("""COMPUTED_VALUE"""),"normal")</f>
        <v/>
      </c>
      <c r="D9" s="413">
        <f>IFERROR(__xludf.DUMMYFUNCTION("""COMPUTED_VALUE"""),"main")</f>
        <v/>
      </c>
      <c r="E9" s="403">
        <f>IFERROR(__xludf.DUMMYFUNCTION("""COMPUTED_VALUE"""),"メインクエスト")</f>
        <v/>
      </c>
      <c r="F9" s="391">
        <f>IFERROR(__xludf.DUMMYFUNCTION("""COMPUTED_VALUE"""),"quest_main_spy_normal_1")</f>
        <v/>
      </c>
      <c r="G9" s="370">
        <f>IFERROR(__xludf.DUMMYFUNCTION("""COMPUTED_VALUE"""),"1.SPY FAMILY")</f>
        <v/>
      </c>
      <c r="H9" s="413">
        <f>IFERROR(__xludf.DUMMYFUNCTION("""COMPUTED_VALUE"""),"06")</f>
        <v/>
      </c>
      <c r="I9" s="370">
        <f>IFERROR(__xludf.DUMMYFUNCTION("""COMPUTED_VALUE"""),"normal_spy_00006")</f>
        <v/>
      </c>
      <c r="J9" s="370">
        <f>IFERROR(__xludf.DUMMYFUNCTION("""COMPUTED_VALUE"""),"stage_icon_spy_normal_06")</f>
        <v/>
      </c>
      <c r="K9" s="368" t="n"/>
      <c r="L9" s="378" t="n"/>
      <c r="M9" s="369" t="n"/>
      <c r="N9" s="369" t="n"/>
      <c r="O9" s="369" t="n"/>
      <c r="P9" s="334" t="n"/>
    </row>
    <row r="10">
      <c r="A10" s="361" t="n"/>
      <c r="B10" s="403" t="n"/>
      <c r="C10" s="370" t="n"/>
      <c r="D10" s="413" t="n"/>
      <c r="E10" s="403" t="n"/>
      <c r="F10" s="403" t="n"/>
      <c r="G10" s="363" t="n"/>
      <c r="H10" s="377" t="n"/>
      <c r="I10" s="377" t="n"/>
      <c r="J10" s="377" t="n"/>
      <c r="K10" s="368" t="n"/>
      <c r="L10" s="378" t="n"/>
      <c r="M10" s="369" t="n"/>
      <c r="N10" s="369" t="n"/>
      <c r="O10" s="369" t="n"/>
      <c r="P10" s="334" t="n"/>
    </row>
    <row r="11">
      <c r="A11" s="361">
        <f>IFERROR(__xludf.DUMMYFUNCTION("""COMPUTED_VALUE"""),"gom")</f>
        <v/>
      </c>
      <c r="B11" s="403">
        <f>IFERROR(__xludf.DUMMYFUNCTION("""COMPUTED_VALUE"""),"姫様“拷問”の時間です")</f>
        <v/>
      </c>
      <c r="C11" s="413">
        <f>IFERROR(__xludf.DUMMYFUNCTION("""COMPUTED_VALUE"""),"normal")</f>
        <v/>
      </c>
      <c r="D11" s="413">
        <f>IFERROR(__xludf.DUMMYFUNCTION("""COMPUTED_VALUE"""),"main")</f>
        <v/>
      </c>
      <c r="E11" s="403">
        <f>IFERROR(__xludf.DUMMYFUNCTION("""COMPUTED_VALUE"""),"メインクエスト")</f>
        <v/>
      </c>
      <c r="F11" s="391">
        <f>IFERROR(__xludf.DUMMYFUNCTION("""COMPUTED_VALUE"""),"quest_main_gom_normal_2")</f>
        <v/>
      </c>
      <c r="G11" s="363">
        <f>IFERROR(__xludf.DUMMYFUNCTION("""COMPUTED_VALUE"""),"2.姫様“拷問”の時間です")</f>
        <v/>
      </c>
      <c r="H11" s="377">
        <f>IFERROR(__xludf.DUMMYFUNCTION("""COMPUTED_VALUE"""),"01")</f>
        <v/>
      </c>
      <c r="I11" s="377">
        <f>IFERROR(__xludf.DUMMYFUNCTION("""COMPUTED_VALUE"""),"normal_gom_00001")</f>
        <v/>
      </c>
      <c r="J11" s="377">
        <f>IFERROR(__xludf.DUMMYFUNCTION("""COMPUTED_VALUE"""),"stage_icon_gom_normal_01")</f>
        <v/>
      </c>
      <c r="K11" s="368">
        <f>IFERROR(__xludf.DUMMYFUNCTION("""COMPUTED_VALUE"""),"quest_image_gom_1")</f>
        <v/>
      </c>
      <c r="L11" s="378" t="n"/>
      <c r="M11" s="369" t="n"/>
      <c r="N11" s="369" t="n"/>
      <c r="O11" s="369" t="n"/>
      <c r="P11" s="334" t="n"/>
    </row>
    <row r="12">
      <c r="A12" s="361">
        <f>IFERROR(__xludf.DUMMYFUNCTION("""COMPUTED_VALUE"""),"gom")</f>
        <v/>
      </c>
      <c r="B12" s="403">
        <f>IFERROR(__xludf.DUMMYFUNCTION("""COMPUTED_VALUE"""),"姫様“拷問”の時間です")</f>
        <v/>
      </c>
      <c r="C12" s="413">
        <f>IFERROR(__xludf.DUMMYFUNCTION("""COMPUTED_VALUE"""),"normal")</f>
        <v/>
      </c>
      <c r="D12" s="413">
        <f>IFERROR(__xludf.DUMMYFUNCTION("""COMPUTED_VALUE"""),"main")</f>
        <v/>
      </c>
      <c r="E12" s="403">
        <f>IFERROR(__xludf.DUMMYFUNCTION("""COMPUTED_VALUE"""),"メインクエスト")</f>
        <v/>
      </c>
      <c r="F12" s="391">
        <f>IFERROR(__xludf.DUMMYFUNCTION("""COMPUTED_VALUE"""),"quest_main_gom_normal_2")</f>
        <v/>
      </c>
      <c r="G12" s="363">
        <f>IFERROR(__xludf.DUMMYFUNCTION("""COMPUTED_VALUE"""),"2.姫様“拷問”の時間です")</f>
        <v/>
      </c>
      <c r="H12" s="377">
        <f>IFERROR(__xludf.DUMMYFUNCTION("""COMPUTED_VALUE"""),"02")</f>
        <v/>
      </c>
      <c r="I12" s="377">
        <f>IFERROR(__xludf.DUMMYFUNCTION("""COMPUTED_VALUE"""),"normal_gom_00002")</f>
        <v/>
      </c>
      <c r="J12" s="377">
        <f>IFERROR(__xludf.DUMMYFUNCTION("""COMPUTED_VALUE"""),"stage_icon_gom_normal_02")</f>
        <v/>
      </c>
      <c r="K12" s="368" t="n"/>
      <c r="L12" s="369" t="n"/>
      <c r="M12" s="369" t="n"/>
      <c r="N12" s="369" t="n"/>
      <c r="O12" s="369" t="n"/>
      <c r="P12" s="334" t="n"/>
    </row>
    <row r="13">
      <c r="A13" s="361">
        <f>IFERROR(__xludf.DUMMYFUNCTION("""COMPUTED_VALUE"""),"gom")</f>
        <v/>
      </c>
      <c r="B13" s="403">
        <f>IFERROR(__xludf.DUMMYFUNCTION("""COMPUTED_VALUE"""),"姫様“拷問”の時間です")</f>
        <v/>
      </c>
      <c r="C13" s="413">
        <f>IFERROR(__xludf.DUMMYFUNCTION("""COMPUTED_VALUE"""),"normal")</f>
        <v/>
      </c>
      <c r="D13" s="413">
        <f>IFERROR(__xludf.DUMMYFUNCTION("""COMPUTED_VALUE"""),"main")</f>
        <v/>
      </c>
      <c r="E13" s="403">
        <f>IFERROR(__xludf.DUMMYFUNCTION("""COMPUTED_VALUE"""),"メインクエスト")</f>
        <v/>
      </c>
      <c r="F13" s="391">
        <f>IFERROR(__xludf.DUMMYFUNCTION("""COMPUTED_VALUE"""),"quest_main_gom_normal_2")</f>
        <v/>
      </c>
      <c r="G13" s="363">
        <f>IFERROR(__xludf.DUMMYFUNCTION("""COMPUTED_VALUE"""),"2.姫様“拷問”の時間です")</f>
        <v/>
      </c>
      <c r="H13" s="377">
        <f>IFERROR(__xludf.DUMMYFUNCTION("""COMPUTED_VALUE"""),"03")</f>
        <v/>
      </c>
      <c r="I13" s="377">
        <f>IFERROR(__xludf.DUMMYFUNCTION("""COMPUTED_VALUE"""),"normal_gom_00003")</f>
        <v/>
      </c>
      <c r="J13" s="377">
        <f>IFERROR(__xludf.DUMMYFUNCTION("""COMPUTED_VALUE"""),"stage_icon_gom_normal_03")</f>
        <v/>
      </c>
      <c r="K13" s="368" t="n"/>
      <c r="L13" s="369" t="n"/>
      <c r="M13" s="369" t="n"/>
      <c r="N13" s="369" t="n"/>
      <c r="O13" s="369" t="n"/>
      <c r="P13" s="334" t="n"/>
    </row>
    <row r="14">
      <c r="A14" s="361">
        <f>IFERROR(__xludf.DUMMYFUNCTION("""COMPUTED_VALUE"""),"gom")</f>
        <v/>
      </c>
      <c r="B14" s="403">
        <f>IFERROR(__xludf.DUMMYFUNCTION("""COMPUTED_VALUE"""),"姫様“拷問”の時間です")</f>
        <v/>
      </c>
      <c r="C14" s="413">
        <f>IFERROR(__xludf.DUMMYFUNCTION("""COMPUTED_VALUE"""),"normal")</f>
        <v/>
      </c>
      <c r="D14" s="413">
        <f>IFERROR(__xludf.DUMMYFUNCTION("""COMPUTED_VALUE"""),"main")</f>
        <v/>
      </c>
      <c r="E14" s="403">
        <f>IFERROR(__xludf.DUMMYFUNCTION("""COMPUTED_VALUE"""),"メインクエスト")</f>
        <v/>
      </c>
      <c r="F14" s="391">
        <f>IFERROR(__xludf.DUMMYFUNCTION("""COMPUTED_VALUE"""),"quest_main_gom_normal_2")</f>
        <v/>
      </c>
      <c r="G14" s="363">
        <f>IFERROR(__xludf.DUMMYFUNCTION("""COMPUTED_VALUE"""),"2.姫様“拷問”の時間です")</f>
        <v/>
      </c>
      <c r="H14" s="377">
        <f>IFERROR(__xludf.DUMMYFUNCTION("""COMPUTED_VALUE"""),"04")</f>
        <v/>
      </c>
      <c r="I14" s="377">
        <f>IFERROR(__xludf.DUMMYFUNCTION("""COMPUTED_VALUE"""),"normal_gom_00004")</f>
        <v/>
      </c>
      <c r="J14" s="377">
        <f>IFERROR(__xludf.DUMMYFUNCTION("""COMPUTED_VALUE"""),"stage_icon_gom_normal_04")</f>
        <v/>
      </c>
      <c r="K14" s="368" t="n"/>
      <c r="L14" s="378" t="n"/>
      <c r="M14" s="369" t="n"/>
      <c r="N14" s="369" t="n"/>
      <c r="O14" s="369" t="n"/>
      <c r="P14" s="334" t="n"/>
    </row>
    <row r="15">
      <c r="A15" s="361">
        <f>IFERROR(__xludf.DUMMYFUNCTION("""COMPUTED_VALUE"""),"gom")</f>
        <v/>
      </c>
      <c r="B15" s="403">
        <f>IFERROR(__xludf.DUMMYFUNCTION("""COMPUTED_VALUE"""),"姫様“拷問”の時間です")</f>
        <v/>
      </c>
      <c r="C15" s="413">
        <f>IFERROR(__xludf.DUMMYFUNCTION("""COMPUTED_VALUE"""),"normal")</f>
        <v/>
      </c>
      <c r="D15" s="413">
        <f>IFERROR(__xludf.DUMMYFUNCTION("""COMPUTED_VALUE"""),"main")</f>
        <v/>
      </c>
      <c r="E15" s="403">
        <f>IFERROR(__xludf.DUMMYFUNCTION("""COMPUTED_VALUE"""),"メインクエスト")</f>
        <v/>
      </c>
      <c r="F15" s="391">
        <f>IFERROR(__xludf.DUMMYFUNCTION("""COMPUTED_VALUE"""),"quest_main_gom_normal_2")</f>
        <v/>
      </c>
      <c r="G15" s="363">
        <f>IFERROR(__xludf.DUMMYFUNCTION("""COMPUTED_VALUE"""),"2.姫様“拷問”の時間です")</f>
        <v/>
      </c>
      <c r="H15" s="377">
        <f>IFERROR(__xludf.DUMMYFUNCTION("""COMPUTED_VALUE"""),"05")</f>
        <v/>
      </c>
      <c r="I15" s="377">
        <f>IFERROR(__xludf.DUMMYFUNCTION("""COMPUTED_VALUE"""),"normal_gom_00005")</f>
        <v/>
      </c>
      <c r="J15" s="377">
        <f>IFERROR(__xludf.DUMMYFUNCTION("""COMPUTED_VALUE"""),"stage_icon_gom_normal_05")</f>
        <v/>
      </c>
      <c r="K15" s="368" t="n"/>
      <c r="L15" s="378" t="n"/>
      <c r="M15" s="369" t="n"/>
      <c r="N15" s="369" t="n"/>
      <c r="O15" s="369" t="n"/>
      <c r="P15" s="334" t="n"/>
    </row>
    <row r="16">
      <c r="A16" s="361">
        <f>IFERROR(__xludf.DUMMYFUNCTION("""COMPUTED_VALUE"""),"gom")</f>
        <v/>
      </c>
      <c r="B16" s="403">
        <f>IFERROR(__xludf.DUMMYFUNCTION("""COMPUTED_VALUE"""),"姫様“拷問”の時間です")</f>
        <v/>
      </c>
      <c r="C16" s="413">
        <f>IFERROR(__xludf.DUMMYFUNCTION("""COMPUTED_VALUE"""),"normal")</f>
        <v/>
      </c>
      <c r="D16" s="413">
        <f>IFERROR(__xludf.DUMMYFUNCTION("""COMPUTED_VALUE"""),"main")</f>
        <v/>
      </c>
      <c r="E16" s="403">
        <f>IFERROR(__xludf.DUMMYFUNCTION("""COMPUTED_VALUE"""),"メインクエスト")</f>
        <v/>
      </c>
      <c r="F16" s="391">
        <f>IFERROR(__xludf.DUMMYFUNCTION("""COMPUTED_VALUE"""),"quest_main_gom_normal_2")</f>
        <v/>
      </c>
      <c r="G16" s="363">
        <f>IFERROR(__xludf.DUMMYFUNCTION("""COMPUTED_VALUE"""),"2.姫様“拷問”の時間です")</f>
        <v/>
      </c>
      <c r="H16" s="377">
        <f>IFERROR(__xludf.DUMMYFUNCTION("""COMPUTED_VALUE"""),"06")</f>
        <v/>
      </c>
      <c r="I16" s="377">
        <f>IFERROR(__xludf.DUMMYFUNCTION("""COMPUTED_VALUE"""),"normal_gom_00006")</f>
        <v/>
      </c>
      <c r="J16" s="377">
        <f>IFERROR(__xludf.DUMMYFUNCTION("""COMPUTED_VALUE"""),"stage_icon_gom_normal_06")</f>
        <v/>
      </c>
      <c r="K16" s="368" t="n"/>
      <c r="L16" s="378" t="n"/>
      <c r="M16" s="369" t="n"/>
      <c r="N16" s="369" t="n"/>
      <c r="O16" s="369" t="n"/>
      <c r="P16" s="334" t="n"/>
    </row>
    <row r="17">
      <c r="A17" s="361" t="n"/>
      <c r="B17" s="403" t="n"/>
      <c r="C17" s="370" t="n"/>
      <c r="D17" s="413" t="n"/>
      <c r="E17" s="403" t="n"/>
      <c r="F17" s="403" t="n"/>
      <c r="G17" s="363" t="n"/>
      <c r="H17" s="377" t="n"/>
      <c r="I17" s="377" t="n"/>
      <c r="J17" s="377" t="n"/>
      <c r="K17" s="368" t="n"/>
      <c r="L17" s="378" t="n"/>
      <c r="M17" s="369" t="n"/>
      <c r="N17" s="369" t="n"/>
      <c r="O17" s="369" t="n"/>
      <c r="P17" s="334" t="n"/>
    </row>
    <row r="18">
      <c r="A18" s="361">
        <f>IFERROR(__xludf.DUMMYFUNCTION("""COMPUTED_VALUE"""),"aka")</f>
        <v/>
      </c>
      <c r="B18" s="403">
        <f>IFERROR(__xludf.DUMMYFUNCTION("""COMPUTED_VALUE"""),"ラーメン赤猫")</f>
        <v/>
      </c>
      <c r="C18" s="413">
        <f>IFERROR(__xludf.DUMMYFUNCTION("""COMPUTED_VALUE"""),"normal")</f>
        <v/>
      </c>
      <c r="D18" s="413">
        <f>IFERROR(__xludf.DUMMYFUNCTION("""COMPUTED_VALUE"""),"main")</f>
        <v/>
      </c>
      <c r="E18" s="403">
        <f>IFERROR(__xludf.DUMMYFUNCTION("""COMPUTED_VALUE"""),"メインクエスト")</f>
        <v/>
      </c>
      <c r="F18" s="391">
        <f>IFERROR(__xludf.DUMMYFUNCTION("""COMPUTED_VALUE"""),"quest_main_aka_normal_3")</f>
        <v/>
      </c>
      <c r="G18" s="363">
        <f>IFERROR(__xludf.DUMMYFUNCTION("""COMPUTED_VALUE"""),"3.ラーメン赤猫")</f>
        <v/>
      </c>
      <c r="H18" s="413">
        <f>IFERROR(__xludf.DUMMYFUNCTION("""COMPUTED_VALUE"""),"01")</f>
        <v/>
      </c>
      <c r="I18" s="377">
        <f>IFERROR(__xludf.DUMMYFUNCTION("""COMPUTED_VALUE"""),"normal_aka_00001")</f>
        <v/>
      </c>
      <c r="J18" s="377">
        <f>IFERROR(__xludf.DUMMYFUNCTION("""COMPUTED_VALUE"""),"stage_icon_aka_normal_01")</f>
        <v/>
      </c>
      <c r="K18" s="368">
        <f>IFERROR(__xludf.DUMMYFUNCTION("""COMPUTED_VALUE"""),"quest_image_aka_1")</f>
        <v/>
      </c>
      <c r="L18" s="368" t="n"/>
      <c r="M18" s="369" t="n"/>
      <c r="N18" s="369" t="n"/>
      <c r="O18" s="369" t="n"/>
      <c r="P18" s="334" t="n"/>
    </row>
    <row r="19">
      <c r="A19" s="361">
        <f>IFERROR(__xludf.DUMMYFUNCTION("""COMPUTED_VALUE"""),"aka")</f>
        <v/>
      </c>
      <c r="B19" s="403">
        <f>IFERROR(__xludf.DUMMYFUNCTION("""COMPUTED_VALUE"""),"ラーメン赤猫")</f>
        <v/>
      </c>
      <c r="C19" s="413">
        <f>IFERROR(__xludf.DUMMYFUNCTION("""COMPUTED_VALUE"""),"normal")</f>
        <v/>
      </c>
      <c r="D19" s="413">
        <f>IFERROR(__xludf.DUMMYFUNCTION("""COMPUTED_VALUE"""),"main")</f>
        <v/>
      </c>
      <c r="E19" s="403">
        <f>IFERROR(__xludf.DUMMYFUNCTION("""COMPUTED_VALUE"""),"メインクエスト")</f>
        <v/>
      </c>
      <c r="F19" s="391">
        <f>IFERROR(__xludf.DUMMYFUNCTION("""COMPUTED_VALUE"""),"quest_main_aka_normal_3")</f>
        <v/>
      </c>
      <c r="G19" s="363">
        <f>IFERROR(__xludf.DUMMYFUNCTION("""COMPUTED_VALUE"""),"3.ラーメン赤猫")</f>
        <v/>
      </c>
      <c r="H19" s="377">
        <f>IFERROR(__xludf.DUMMYFUNCTION("""COMPUTED_VALUE"""),"02")</f>
        <v/>
      </c>
      <c r="I19" s="377">
        <f>IFERROR(__xludf.DUMMYFUNCTION("""COMPUTED_VALUE"""),"normal_aka_00002")</f>
        <v/>
      </c>
      <c r="J19" s="377">
        <f>IFERROR(__xludf.DUMMYFUNCTION("""COMPUTED_VALUE"""),"stage_icon_aka_normal_02")</f>
        <v/>
      </c>
      <c r="K19" s="368" t="n"/>
      <c r="L19" s="369" t="n"/>
      <c r="M19" s="369" t="n"/>
      <c r="N19" s="369" t="n"/>
      <c r="O19" s="369" t="n"/>
      <c r="P19" s="334" t="n"/>
    </row>
    <row r="20">
      <c r="A20" s="361">
        <f>IFERROR(__xludf.DUMMYFUNCTION("""COMPUTED_VALUE"""),"aka")</f>
        <v/>
      </c>
      <c r="B20" s="403">
        <f>IFERROR(__xludf.DUMMYFUNCTION("""COMPUTED_VALUE"""),"ラーメン赤猫")</f>
        <v/>
      </c>
      <c r="C20" s="413">
        <f>IFERROR(__xludf.DUMMYFUNCTION("""COMPUTED_VALUE"""),"normal")</f>
        <v/>
      </c>
      <c r="D20" s="413">
        <f>IFERROR(__xludf.DUMMYFUNCTION("""COMPUTED_VALUE"""),"main")</f>
        <v/>
      </c>
      <c r="E20" s="403">
        <f>IFERROR(__xludf.DUMMYFUNCTION("""COMPUTED_VALUE"""),"メインクエスト")</f>
        <v/>
      </c>
      <c r="F20" s="391">
        <f>IFERROR(__xludf.DUMMYFUNCTION("""COMPUTED_VALUE"""),"quest_main_aka_normal_3")</f>
        <v/>
      </c>
      <c r="G20" s="363">
        <f>IFERROR(__xludf.DUMMYFUNCTION("""COMPUTED_VALUE"""),"3.ラーメン赤猫")</f>
        <v/>
      </c>
      <c r="H20" s="377">
        <f>IFERROR(__xludf.DUMMYFUNCTION("""COMPUTED_VALUE"""),"03")</f>
        <v/>
      </c>
      <c r="I20" s="377">
        <f>IFERROR(__xludf.DUMMYFUNCTION("""COMPUTED_VALUE"""),"normal_aka_00003")</f>
        <v/>
      </c>
      <c r="J20" s="377">
        <f>IFERROR(__xludf.DUMMYFUNCTION("""COMPUTED_VALUE"""),"stage_icon_aka_normal_03")</f>
        <v/>
      </c>
      <c r="K20" s="368" t="n"/>
      <c r="L20" s="369" t="n"/>
      <c r="M20" s="369" t="n"/>
      <c r="N20" s="369" t="n"/>
      <c r="O20" s="369" t="n"/>
      <c r="P20" s="334" t="n"/>
    </row>
    <row r="21">
      <c r="A21" s="361" t="n"/>
      <c r="B21" s="403" t="n"/>
      <c r="C21" s="370" t="n"/>
      <c r="D21" s="413" t="n"/>
      <c r="E21" s="403" t="n"/>
      <c r="F21" s="403" t="n"/>
      <c r="G21" s="363" t="n"/>
      <c r="H21" s="370" t="n"/>
      <c r="I21" s="377" t="n"/>
      <c r="J21" s="377" t="n"/>
      <c r="K21" s="368" t="n"/>
      <c r="L21" s="380" t="n"/>
      <c r="M21" s="369" t="n"/>
      <c r="N21" s="369" t="n"/>
      <c r="O21" s="369" t="n"/>
      <c r="P21" s="334" t="n"/>
    </row>
    <row r="22">
      <c r="A22" s="361">
        <f>IFERROR(__xludf.DUMMYFUNCTION("""COMPUTED_VALUE"""),"glo1")</f>
        <v/>
      </c>
      <c r="B22" s="403">
        <f>IFERROR(__xludf.DUMMYFUNCTION("""COMPUTED_VALUE"""),"GLOW")</f>
        <v/>
      </c>
      <c r="C22" s="413">
        <f>IFERROR(__xludf.DUMMYFUNCTION("""COMPUTED_VALUE"""),"normal")</f>
        <v/>
      </c>
      <c r="D22" s="413">
        <f>IFERROR(__xludf.DUMMYFUNCTION("""COMPUTED_VALUE"""),"main")</f>
        <v/>
      </c>
      <c r="E22" s="403">
        <f>IFERROR(__xludf.DUMMYFUNCTION("""COMPUTED_VALUE"""),"メインクエスト")</f>
        <v/>
      </c>
      <c r="F22" s="391">
        <f>IFERROR(__xludf.DUMMYFUNCTION("""COMPUTED_VALUE"""),"quest_main_glo1_normal_4")</f>
        <v/>
      </c>
      <c r="G22" s="363">
        <f>IFERROR(__xludf.DUMMYFUNCTION("""COMPUTED_VALUE"""),"4.リミックスクエスト Vol.1")</f>
        <v/>
      </c>
      <c r="H22" s="377">
        <f>IFERROR(__xludf.DUMMYFUNCTION("""COMPUTED_VALUE"""),"01")</f>
        <v/>
      </c>
      <c r="I22" s="377">
        <f>IFERROR(__xludf.DUMMYFUNCTION("""COMPUTED_VALUE"""),"normal_glo1_00001")</f>
        <v/>
      </c>
      <c r="J22" s="377">
        <f>IFERROR(__xludf.DUMMYFUNCTION("""COMPUTED_VALUE"""),"stage_icon_glo1_normal_01")</f>
        <v/>
      </c>
      <c r="K22" s="368">
        <f>IFERROR(__xludf.DUMMYFUNCTION("""COMPUTED_VALUE"""),"quest_image_glo1_1")</f>
        <v/>
      </c>
      <c r="L22" s="380" t="n"/>
      <c r="M22" s="369" t="n"/>
      <c r="N22" s="369" t="n"/>
      <c r="O22" s="369" t="n"/>
      <c r="P22" s="334" t="n"/>
    </row>
    <row r="23">
      <c r="A23" s="361">
        <f>IFERROR(__xludf.DUMMYFUNCTION("""COMPUTED_VALUE"""),"glo1")</f>
        <v/>
      </c>
      <c r="B23" s="403">
        <f>IFERROR(__xludf.DUMMYFUNCTION("""COMPUTED_VALUE"""),"GLOW")</f>
        <v/>
      </c>
      <c r="C23" s="413">
        <f>IFERROR(__xludf.DUMMYFUNCTION("""COMPUTED_VALUE"""),"normal")</f>
        <v/>
      </c>
      <c r="D23" s="413">
        <f>IFERROR(__xludf.DUMMYFUNCTION("""COMPUTED_VALUE"""),"main")</f>
        <v/>
      </c>
      <c r="E23" s="403">
        <f>IFERROR(__xludf.DUMMYFUNCTION("""COMPUTED_VALUE"""),"メインクエスト")</f>
        <v/>
      </c>
      <c r="F23" s="391">
        <f>IFERROR(__xludf.DUMMYFUNCTION("""COMPUTED_VALUE"""),"quest_main_glo1_normal_4")</f>
        <v/>
      </c>
      <c r="G23" s="363">
        <f>IFERROR(__xludf.DUMMYFUNCTION("""COMPUTED_VALUE"""),"4.リミックスクエスト Vol.1")</f>
        <v/>
      </c>
      <c r="H23" s="377">
        <f>IFERROR(__xludf.DUMMYFUNCTION("""COMPUTED_VALUE"""),"02")</f>
        <v/>
      </c>
      <c r="I23" s="377">
        <f>IFERROR(__xludf.DUMMYFUNCTION("""COMPUTED_VALUE"""),"normal_glo1_00002")</f>
        <v/>
      </c>
      <c r="J23" s="377">
        <f>IFERROR(__xludf.DUMMYFUNCTION("""COMPUTED_VALUE"""),"stage_icon_glo1_normal_02")</f>
        <v/>
      </c>
      <c r="K23" s="368" t="n"/>
      <c r="L23" s="368" t="n"/>
      <c r="M23" s="369" t="n"/>
      <c r="N23" s="369" t="n"/>
      <c r="O23" s="369" t="n"/>
      <c r="P23" s="334" t="n"/>
    </row>
    <row r="24">
      <c r="A24" s="361">
        <f>IFERROR(__xludf.DUMMYFUNCTION("""COMPUTED_VALUE"""),"glo1")</f>
        <v/>
      </c>
      <c r="B24" s="403">
        <f>IFERROR(__xludf.DUMMYFUNCTION("""COMPUTED_VALUE"""),"GLOW")</f>
        <v/>
      </c>
      <c r="C24" s="413">
        <f>IFERROR(__xludf.DUMMYFUNCTION("""COMPUTED_VALUE"""),"normal")</f>
        <v/>
      </c>
      <c r="D24" s="413">
        <f>IFERROR(__xludf.DUMMYFUNCTION("""COMPUTED_VALUE"""),"main")</f>
        <v/>
      </c>
      <c r="E24" s="403">
        <f>IFERROR(__xludf.DUMMYFUNCTION("""COMPUTED_VALUE"""),"メインクエスト")</f>
        <v/>
      </c>
      <c r="F24" s="391">
        <f>IFERROR(__xludf.DUMMYFUNCTION("""COMPUTED_VALUE"""),"quest_main_glo1_normal_4")</f>
        <v/>
      </c>
      <c r="G24" s="363">
        <f>IFERROR(__xludf.DUMMYFUNCTION("""COMPUTED_VALUE"""),"4.リミックスクエスト Vol.1")</f>
        <v/>
      </c>
      <c r="H24" s="377">
        <f>IFERROR(__xludf.DUMMYFUNCTION("""COMPUTED_VALUE"""),"03")</f>
        <v/>
      </c>
      <c r="I24" s="377">
        <f>IFERROR(__xludf.DUMMYFUNCTION("""COMPUTED_VALUE"""),"normal_glo1_00003")</f>
        <v/>
      </c>
      <c r="J24" s="377">
        <f>IFERROR(__xludf.DUMMYFUNCTION("""COMPUTED_VALUE"""),"stage_icon_glo1_normal_03")</f>
        <v/>
      </c>
      <c r="K24" s="368" t="n"/>
      <c r="L24" s="368" t="n"/>
      <c r="M24" s="369" t="n"/>
      <c r="N24" s="369" t="n"/>
      <c r="O24" s="369" t="n"/>
      <c r="P24" s="334" t="n"/>
    </row>
    <row r="25">
      <c r="A25" s="372">
        <f>IFERROR(__xludf.DUMMYFUNCTION("""COMPUTED_VALUE"""),"glo1")</f>
        <v/>
      </c>
      <c r="B25" s="338">
        <f>IFERROR(__xludf.DUMMYFUNCTION("""COMPUTED_VALUE"""),"GLOW")</f>
        <v/>
      </c>
      <c r="C25" s="373">
        <f>IFERROR(__xludf.DUMMYFUNCTION("""COMPUTED_VALUE"""),"normal")</f>
        <v/>
      </c>
      <c r="D25" s="373">
        <f>IFERROR(__xludf.DUMMYFUNCTION("""COMPUTED_VALUE"""),"main")</f>
        <v/>
      </c>
      <c r="E25" s="338">
        <f>IFERROR(__xludf.DUMMYFUNCTION("""COMPUTED_VALUE"""),"メインクエスト")</f>
        <v/>
      </c>
      <c r="F25" s="373">
        <f>IFERROR(__xludf.DUMMYFUNCTION("""COMPUTED_VALUE"""),"quest_main_glo1_normal_4")</f>
        <v/>
      </c>
      <c r="G25" s="338">
        <f>IFERROR(__xludf.DUMMYFUNCTION("""COMPUTED_VALUE"""),"4.リミックスクエスト Vol.1")</f>
        <v/>
      </c>
      <c r="H25" s="373">
        <f>IFERROR(__xludf.DUMMYFUNCTION("""COMPUTED_VALUE"""),"04")</f>
        <v/>
      </c>
      <c r="I25" s="338">
        <f>IFERROR(__xludf.DUMMYFUNCTION("""COMPUTED_VALUE"""),"normal_glo1_00004")</f>
        <v/>
      </c>
      <c r="J25" s="338">
        <f>IFERROR(__xludf.DUMMYFUNCTION("""COMPUTED_VALUE"""),"stage_icon_glo1_normal_04")</f>
        <v/>
      </c>
      <c r="K25" s="338" t="n"/>
      <c r="L25" s="338" t="n"/>
      <c r="M25" s="338" t="n"/>
      <c r="N25" s="338" t="n"/>
      <c r="O25" s="368" t="n"/>
      <c r="P25" s="334" t="n"/>
    </row>
    <row r="26">
      <c r="A26" s="361">
        <f>IFERROR(__xludf.DUMMYFUNCTION("""COMPUTED_VALUE"""),"glo1")</f>
        <v/>
      </c>
      <c r="B26" s="403">
        <f>IFERROR(__xludf.DUMMYFUNCTION("""COMPUTED_VALUE"""),"GLOW")</f>
        <v/>
      </c>
      <c r="C26" s="413">
        <f>IFERROR(__xludf.DUMMYFUNCTION("""COMPUTED_VALUE"""),"normal")</f>
        <v/>
      </c>
      <c r="D26" s="413">
        <f>IFERROR(__xludf.DUMMYFUNCTION("""COMPUTED_VALUE"""),"main")</f>
        <v/>
      </c>
      <c r="E26" s="403">
        <f>IFERROR(__xludf.DUMMYFUNCTION("""COMPUTED_VALUE"""),"メインクエスト")</f>
        <v/>
      </c>
      <c r="F26" s="391">
        <f>IFERROR(__xludf.DUMMYFUNCTION("""COMPUTED_VALUE"""),"quest_main_glo1_normal_4")</f>
        <v/>
      </c>
      <c r="G26" s="370">
        <f>IFERROR(__xludf.DUMMYFUNCTION("""COMPUTED_VALUE"""),"4.リミックスクエスト Vol.1")</f>
        <v/>
      </c>
      <c r="H26" s="377">
        <f>IFERROR(__xludf.DUMMYFUNCTION("""COMPUTED_VALUE"""),"05")</f>
        <v/>
      </c>
      <c r="I26" s="377">
        <f>IFERROR(__xludf.DUMMYFUNCTION("""COMPUTED_VALUE"""),"normal_glo1_00005")</f>
        <v/>
      </c>
      <c r="J26" s="377">
        <f>IFERROR(__xludf.DUMMYFUNCTION("""COMPUTED_VALUE"""),"stage_icon_glo1_normal_05")</f>
        <v/>
      </c>
      <c r="K26" s="368" t="n"/>
      <c r="L26" s="368" t="n"/>
      <c r="M26" s="369" t="n"/>
      <c r="N26" s="369" t="n"/>
      <c r="O26" s="369" t="n"/>
      <c r="P26" s="334" t="n"/>
    </row>
    <row r="27">
      <c r="A27" s="381">
        <f>IFERROR(__xludf.DUMMYFUNCTION("""COMPUTED_VALUE"""),"glo1")</f>
        <v/>
      </c>
      <c r="B27" s="368">
        <f>IFERROR(__xludf.DUMMYFUNCTION("""COMPUTED_VALUE"""),"GLOW")</f>
        <v/>
      </c>
      <c r="C27" s="382">
        <f>IFERROR(__xludf.DUMMYFUNCTION("""COMPUTED_VALUE"""),"normal")</f>
        <v/>
      </c>
      <c r="D27" s="382">
        <f>IFERROR(__xludf.DUMMYFUNCTION("""COMPUTED_VALUE"""),"main")</f>
        <v/>
      </c>
      <c r="E27" s="383">
        <f>IFERROR(__xludf.DUMMYFUNCTION("""COMPUTED_VALUE"""),"メインクエスト")</f>
        <v/>
      </c>
      <c r="F27" s="407">
        <f>IFERROR(__xludf.DUMMYFUNCTION("""COMPUTED_VALUE"""),"quest_main_glo1_normal_4")</f>
        <v/>
      </c>
      <c r="G27" s="368">
        <f>IFERROR(__xludf.DUMMYFUNCTION("""COMPUTED_VALUE"""),"4.リミックスクエスト Vol.1")</f>
        <v/>
      </c>
      <c r="H27" s="371">
        <f>IFERROR(__xludf.DUMMYFUNCTION("""COMPUTED_VALUE"""),"06")</f>
        <v/>
      </c>
      <c r="I27" s="371">
        <f>IFERROR(__xludf.DUMMYFUNCTION("""COMPUTED_VALUE"""),"normal_glo1_00006")</f>
        <v/>
      </c>
      <c r="J27" s="368">
        <f>IFERROR(__xludf.DUMMYFUNCTION("""COMPUTED_VALUE"""),"stage_icon_glo1_normal_06")</f>
        <v/>
      </c>
      <c r="K27" s="368" t="n"/>
      <c r="L27" s="368" t="n"/>
      <c r="M27" s="369" t="n"/>
      <c r="N27" s="369" t="n"/>
      <c r="O27" s="369" t="n"/>
      <c r="P27" s="334" t="n"/>
    </row>
    <row r="28">
      <c r="A28" s="372" t="n"/>
      <c r="B28" s="338" t="n"/>
      <c r="C28" s="338" t="n"/>
      <c r="D28" s="338" t="n"/>
      <c r="E28" s="338" t="n"/>
      <c r="F28" s="338" t="n"/>
      <c r="G28" s="338" t="n"/>
      <c r="H28" s="338" t="n"/>
      <c r="I28" s="338" t="n"/>
      <c r="J28" s="338" t="n"/>
      <c r="K28" s="338" t="n"/>
      <c r="L28" s="338" t="n"/>
      <c r="M28" s="338" t="n"/>
      <c r="N28" s="338" t="n"/>
      <c r="O28" s="368" t="n"/>
      <c r="P28" s="334" t="n"/>
    </row>
    <row r="29">
      <c r="A29" s="361">
        <f>IFERROR(__xludf.DUMMYFUNCTION("""COMPUTED_VALUE"""),"dan")</f>
        <v/>
      </c>
      <c r="B29" s="403">
        <f>IFERROR(__xludf.DUMMYFUNCTION("""COMPUTED_VALUE"""),"ダンダダン")</f>
        <v/>
      </c>
      <c r="C29" s="412">
        <f>IFERROR(__xludf.DUMMYFUNCTION("""COMPUTED_VALUE"""),"normal")</f>
        <v/>
      </c>
      <c r="D29" s="413">
        <f>IFERROR(__xludf.DUMMYFUNCTION("""COMPUTED_VALUE"""),"main")</f>
        <v/>
      </c>
      <c r="E29" s="403">
        <f>IFERROR(__xludf.DUMMYFUNCTION("""COMPUTED_VALUE"""),"メインクエスト")</f>
        <v/>
      </c>
      <c r="F29" s="391">
        <f>IFERROR(__xludf.DUMMYFUNCTION("""COMPUTED_VALUE"""),"quest_main_dan_normal_5")</f>
        <v/>
      </c>
      <c r="G29" s="363">
        <f>IFERROR(__xludf.DUMMYFUNCTION("""COMPUTED_VALUE"""),"5.ダンダダン")</f>
        <v/>
      </c>
      <c r="H29" s="377">
        <f>IFERROR(__xludf.DUMMYFUNCTION("""COMPUTED_VALUE"""),"01")</f>
        <v/>
      </c>
      <c r="I29" s="377">
        <f>IFERROR(__xludf.DUMMYFUNCTION("""COMPUTED_VALUE"""),"normal_dan_00001")</f>
        <v/>
      </c>
      <c r="J29" s="377">
        <f>IFERROR(__xludf.DUMMYFUNCTION("""COMPUTED_VALUE"""),"stage_icon_dan_normal_01")</f>
        <v/>
      </c>
      <c r="K29" s="368">
        <f>IFERROR(__xludf.DUMMYFUNCTION("""COMPUTED_VALUE"""),"quest_image_dan_1")</f>
        <v/>
      </c>
      <c r="L29" s="368" t="n"/>
      <c r="M29" s="368" t="n"/>
      <c r="N29" s="369" t="n"/>
      <c r="O29" s="369" t="n"/>
      <c r="P29" s="334" t="n"/>
    </row>
    <row r="30">
      <c r="A30" s="361">
        <f>IFERROR(__xludf.DUMMYFUNCTION("""COMPUTED_VALUE"""),"dan")</f>
        <v/>
      </c>
      <c r="B30" s="403">
        <f>IFERROR(__xludf.DUMMYFUNCTION("""COMPUTED_VALUE"""),"ダンダダン")</f>
        <v/>
      </c>
      <c r="C30" s="412">
        <f>IFERROR(__xludf.DUMMYFUNCTION("""COMPUTED_VALUE"""),"normal")</f>
        <v/>
      </c>
      <c r="D30" s="413">
        <f>IFERROR(__xludf.DUMMYFUNCTION("""COMPUTED_VALUE"""),"main")</f>
        <v/>
      </c>
      <c r="E30" s="403">
        <f>IFERROR(__xludf.DUMMYFUNCTION("""COMPUTED_VALUE"""),"メインクエスト")</f>
        <v/>
      </c>
      <c r="F30" s="391">
        <f>IFERROR(__xludf.DUMMYFUNCTION("""COMPUTED_VALUE"""),"quest_main_dan_normal_5")</f>
        <v/>
      </c>
      <c r="G30" s="363">
        <f>IFERROR(__xludf.DUMMYFUNCTION("""COMPUTED_VALUE"""),"5.ダンダダン")</f>
        <v/>
      </c>
      <c r="H30" s="413">
        <f>IFERROR(__xludf.DUMMYFUNCTION("""COMPUTED_VALUE"""),"02")</f>
        <v/>
      </c>
      <c r="I30" s="377">
        <f>IFERROR(__xludf.DUMMYFUNCTION("""COMPUTED_VALUE"""),"normal_dan_00002")</f>
        <v/>
      </c>
      <c r="J30" s="377">
        <f>IFERROR(__xludf.DUMMYFUNCTION("""COMPUTED_VALUE"""),"stage_icon_dan_normal_02")</f>
        <v/>
      </c>
      <c r="K30" s="368" t="n"/>
      <c r="L30" s="368" t="n"/>
      <c r="M30" s="368" t="n"/>
      <c r="N30" s="368" t="n"/>
      <c r="O30" s="369" t="n"/>
      <c r="P30" s="334" t="n"/>
    </row>
    <row r="31">
      <c r="A31" s="361">
        <f>IFERROR(__xludf.DUMMYFUNCTION("""COMPUTED_VALUE"""),"dan")</f>
        <v/>
      </c>
      <c r="B31" s="403">
        <f>IFERROR(__xludf.DUMMYFUNCTION("""COMPUTED_VALUE"""),"ダンダダン")</f>
        <v/>
      </c>
      <c r="C31" s="412">
        <f>IFERROR(__xludf.DUMMYFUNCTION("""COMPUTED_VALUE"""),"normal")</f>
        <v/>
      </c>
      <c r="D31" s="413">
        <f>IFERROR(__xludf.DUMMYFUNCTION("""COMPUTED_VALUE"""),"main")</f>
        <v/>
      </c>
      <c r="E31" s="403">
        <f>IFERROR(__xludf.DUMMYFUNCTION("""COMPUTED_VALUE"""),"メインクエスト")</f>
        <v/>
      </c>
      <c r="F31" s="391">
        <f>IFERROR(__xludf.DUMMYFUNCTION("""COMPUTED_VALUE"""),"quest_main_dan_normal_5")</f>
        <v/>
      </c>
      <c r="G31" s="363">
        <f>IFERROR(__xludf.DUMMYFUNCTION("""COMPUTED_VALUE"""),"5.ダンダダン")</f>
        <v/>
      </c>
      <c r="H31" s="377">
        <f>IFERROR(__xludf.DUMMYFUNCTION("""COMPUTED_VALUE"""),"03")</f>
        <v/>
      </c>
      <c r="I31" s="377">
        <f>IFERROR(__xludf.DUMMYFUNCTION("""COMPUTED_VALUE"""),"normal_dan_00003")</f>
        <v/>
      </c>
      <c r="J31" s="377">
        <f>IFERROR(__xludf.DUMMYFUNCTION("""COMPUTED_VALUE"""),"stage_icon_dan_normal_03")</f>
        <v/>
      </c>
      <c r="K31" s="368" t="n"/>
      <c r="L31" s="368" t="n"/>
      <c r="M31" s="368" t="n"/>
      <c r="N31" s="369" t="n"/>
      <c r="O31" s="369" t="n"/>
      <c r="P31" s="334" t="n"/>
    </row>
    <row r="32">
      <c r="A32" s="361">
        <f>IFERROR(__xludf.DUMMYFUNCTION("""COMPUTED_VALUE"""),"dan")</f>
        <v/>
      </c>
      <c r="B32" s="403">
        <f>IFERROR(__xludf.DUMMYFUNCTION("""COMPUTED_VALUE"""),"ダンダダン")</f>
        <v/>
      </c>
      <c r="C32" s="412">
        <f>IFERROR(__xludf.DUMMYFUNCTION("""COMPUTED_VALUE"""),"normal")</f>
        <v/>
      </c>
      <c r="D32" s="413">
        <f>IFERROR(__xludf.DUMMYFUNCTION("""COMPUTED_VALUE"""),"main")</f>
        <v/>
      </c>
      <c r="E32" s="403">
        <f>IFERROR(__xludf.DUMMYFUNCTION("""COMPUTED_VALUE"""),"メインクエスト")</f>
        <v/>
      </c>
      <c r="F32" s="391">
        <f>IFERROR(__xludf.DUMMYFUNCTION("""COMPUTED_VALUE"""),"quest_main_dan_normal_5")</f>
        <v/>
      </c>
      <c r="G32" s="363">
        <f>IFERROR(__xludf.DUMMYFUNCTION("""COMPUTED_VALUE"""),"5.ダンダダン")</f>
        <v/>
      </c>
      <c r="H32" s="377">
        <f>IFERROR(__xludf.DUMMYFUNCTION("""COMPUTED_VALUE"""),"04")</f>
        <v/>
      </c>
      <c r="I32" s="377">
        <f>IFERROR(__xludf.DUMMYFUNCTION("""COMPUTED_VALUE"""),"normal_dan_00004")</f>
        <v/>
      </c>
      <c r="J32" s="377">
        <f>IFERROR(__xludf.DUMMYFUNCTION("""COMPUTED_VALUE"""),"stage_icon_dan_normal_04")</f>
        <v/>
      </c>
      <c r="K32" s="368" t="n"/>
      <c r="L32" s="368" t="n"/>
      <c r="M32" s="368" t="n"/>
      <c r="N32" s="369" t="n"/>
      <c r="O32" s="369" t="n"/>
      <c r="P32" s="334" t="n"/>
    </row>
    <row r="33">
      <c r="A33" s="361">
        <f>IFERROR(__xludf.DUMMYFUNCTION("""COMPUTED_VALUE"""),"dan")</f>
        <v/>
      </c>
      <c r="B33" s="403">
        <f>IFERROR(__xludf.DUMMYFUNCTION("""COMPUTED_VALUE"""),"ダンダダン")</f>
        <v/>
      </c>
      <c r="C33" s="412">
        <f>IFERROR(__xludf.DUMMYFUNCTION("""COMPUTED_VALUE"""),"normal")</f>
        <v/>
      </c>
      <c r="D33" s="413">
        <f>IFERROR(__xludf.DUMMYFUNCTION("""COMPUTED_VALUE"""),"main")</f>
        <v/>
      </c>
      <c r="E33" s="403">
        <f>IFERROR(__xludf.DUMMYFUNCTION("""COMPUTED_VALUE"""),"メインクエスト")</f>
        <v/>
      </c>
      <c r="F33" s="391">
        <f>IFERROR(__xludf.DUMMYFUNCTION("""COMPUTED_VALUE"""),"quest_main_dan_normal_5")</f>
        <v/>
      </c>
      <c r="G33" s="363">
        <f>IFERROR(__xludf.DUMMYFUNCTION("""COMPUTED_VALUE"""),"5.ダンダダン")</f>
        <v/>
      </c>
      <c r="H33" s="413">
        <f>IFERROR(__xludf.DUMMYFUNCTION("""COMPUTED_VALUE"""),"05")</f>
        <v/>
      </c>
      <c r="I33" s="377">
        <f>IFERROR(__xludf.DUMMYFUNCTION("""COMPUTED_VALUE"""),"normal_dan_00005")</f>
        <v/>
      </c>
      <c r="J33" s="377">
        <f>IFERROR(__xludf.DUMMYFUNCTION("""COMPUTED_VALUE"""),"stage_icon_dan_normal_05")</f>
        <v/>
      </c>
      <c r="K33" s="368" t="n"/>
      <c r="L33" s="368" t="n"/>
      <c r="M33" s="368" t="n"/>
      <c r="N33" s="368" t="n"/>
      <c r="O33" s="369" t="n"/>
      <c r="P33" s="334" t="n"/>
    </row>
    <row r="34">
      <c r="A34" s="361">
        <f>IFERROR(__xludf.DUMMYFUNCTION("""COMPUTED_VALUE"""),"dan")</f>
        <v/>
      </c>
      <c r="B34" s="403">
        <f>IFERROR(__xludf.DUMMYFUNCTION("""COMPUTED_VALUE"""),"ダンダダン")</f>
        <v/>
      </c>
      <c r="C34" s="412">
        <f>IFERROR(__xludf.DUMMYFUNCTION("""COMPUTED_VALUE"""),"normal")</f>
        <v/>
      </c>
      <c r="D34" s="413">
        <f>IFERROR(__xludf.DUMMYFUNCTION("""COMPUTED_VALUE"""),"main")</f>
        <v/>
      </c>
      <c r="E34" s="403">
        <f>IFERROR(__xludf.DUMMYFUNCTION("""COMPUTED_VALUE"""),"メインクエスト")</f>
        <v/>
      </c>
      <c r="F34" s="391">
        <f>IFERROR(__xludf.DUMMYFUNCTION("""COMPUTED_VALUE"""),"quest_main_dan_normal_5")</f>
        <v/>
      </c>
      <c r="G34" s="363">
        <f>IFERROR(__xludf.DUMMYFUNCTION("""COMPUTED_VALUE"""),"5.ダンダダン")</f>
        <v/>
      </c>
      <c r="H34" s="377">
        <f>IFERROR(__xludf.DUMMYFUNCTION("""COMPUTED_VALUE"""),"06")</f>
        <v/>
      </c>
      <c r="I34" s="377">
        <f>IFERROR(__xludf.DUMMYFUNCTION("""COMPUTED_VALUE"""),"normal_dan_00006")</f>
        <v/>
      </c>
      <c r="J34" s="377">
        <f>IFERROR(__xludf.DUMMYFUNCTION("""COMPUTED_VALUE"""),"stage_icon_dan_normal_06")</f>
        <v/>
      </c>
      <c r="K34" s="368" t="n"/>
      <c r="L34" s="368" t="n"/>
      <c r="M34" s="368" t="n"/>
      <c r="N34" s="369" t="n"/>
      <c r="O34" s="369" t="n"/>
      <c r="P34" s="334" t="n"/>
    </row>
    <row r="35">
      <c r="A35" s="361" t="n"/>
      <c r="B35" s="403" t="n"/>
      <c r="C35" s="363" t="n"/>
      <c r="D35" s="413" t="n"/>
      <c r="E35" s="403" t="n"/>
      <c r="F35" s="403" t="n"/>
      <c r="G35" s="363" t="n"/>
      <c r="H35" s="377" t="n"/>
      <c r="I35" s="377" t="n"/>
      <c r="J35" s="377" t="n"/>
      <c r="K35" s="368" t="n"/>
      <c r="L35" s="368" t="n"/>
      <c r="M35" s="368" t="n"/>
      <c r="N35" s="369" t="n"/>
      <c r="O35" s="369" t="n"/>
      <c r="P35" s="334" t="n"/>
    </row>
    <row r="36">
      <c r="A36" s="361">
        <f>IFERROR(__xludf.DUMMYFUNCTION("""COMPUTED_VALUE"""),"jig")</f>
        <v/>
      </c>
      <c r="B36" s="403">
        <f>IFERROR(__xludf.DUMMYFUNCTION("""COMPUTED_VALUE"""),"地獄楽")</f>
        <v/>
      </c>
      <c r="C36" s="412">
        <f>IFERROR(__xludf.DUMMYFUNCTION("""COMPUTED_VALUE"""),"normal")</f>
        <v/>
      </c>
      <c r="D36" s="413">
        <f>IFERROR(__xludf.DUMMYFUNCTION("""COMPUTED_VALUE"""),"main")</f>
        <v/>
      </c>
      <c r="E36" s="403">
        <f>IFERROR(__xludf.DUMMYFUNCTION("""COMPUTED_VALUE"""),"メインクエスト")</f>
        <v/>
      </c>
      <c r="F36" s="391">
        <f>IFERROR(__xludf.DUMMYFUNCTION("""COMPUTED_VALUE"""),"quest_main_jig_normal_6")</f>
        <v/>
      </c>
      <c r="G36" s="363">
        <f>IFERROR(__xludf.DUMMYFUNCTION("""COMPUTED_VALUE"""),"6.地獄楽")</f>
        <v/>
      </c>
      <c r="H36" s="377">
        <f>IFERROR(__xludf.DUMMYFUNCTION("""COMPUTED_VALUE"""),"01")</f>
        <v/>
      </c>
      <c r="I36" s="377">
        <f>IFERROR(__xludf.DUMMYFUNCTION("""COMPUTED_VALUE"""),"normal_jig_00001")</f>
        <v/>
      </c>
      <c r="J36" s="377">
        <f>IFERROR(__xludf.DUMMYFUNCTION("""COMPUTED_VALUE"""),"stage_icon_jig_normal_01")</f>
        <v/>
      </c>
      <c r="K36" s="368">
        <f>IFERROR(__xludf.DUMMYFUNCTION("""COMPUTED_VALUE"""),"quest_image_jig_1")</f>
        <v/>
      </c>
      <c r="L36" s="368" t="n"/>
      <c r="M36" s="368" t="n"/>
      <c r="N36" s="369" t="n"/>
      <c r="O36" s="369" t="n"/>
      <c r="P36" s="334" t="n"/>
    </row>
    <row r="37">
      <c r="A37" s="372">
        <f>IFERROR(__xludf.DUMMYFUNCTION("""COMPUTED_VALUE"""),"jig")</f>
        <v/>
      </c>
      <c r="B37" s="338">
        <f>IFERROR(__xludf.DUMMYFUNCTION("""COMPUTED_VALUE"""),"地獄楽")</f>
        <v/>
      </c>
      <c r="C37" s="373">
        <f>IFERROR(__xludf.DUMMYFUNCTION("""COMPUTED_VALUE"""),"normal")</f>
        <v/>
      </c>
      <c r="D37" s="373">
        <f>IFERROR(__xludf.DUMMYFUNCTION("""COMPUTED_VALUE"""),"main")</f>
        <v/>
      </c>
      <c r="E37" s="338">
        <f>IFERROR(__xludf.DUMMYFUNCTION("""COMPUTED_VALUE"""),"メインクエスト")</f>
        <v/>
      </c>
      <c r="F37" s="373">
        <f>IFERROR(__xludf.DUMMYFUNCTION("""COMPUTED_VALUE"""),"quest_main_jig_normal_6")</f>
        <v/>
      </c>
      <c r="G37" s="338">
        <f>IFERROR(__xludf.DUMMYFUNCTION("""COMPUTED_VALUE"""),"6.地獄楽")</f>
        <v/>
      </c>
      <c r="H37" s="373">
        <f>IFERROR(__xludf.DUMMYFUNCTION("""COMPUTED_VALUE"""),"02")</f>
        <v/>
      </c>
      <c r="I37" s="338">
        <f>IFERROR(__xludf.DUMMYFUNCTION("""COMPUTED_VALUE"""),"normal_jig_00002")</f>
        <v/>
      </c>
      <c r="J37" s="338">
        <f>IFERROR(__xludf.DUMMYFUNCTION("""COMPUTED_VALUE"""),"stage_icon_jig_normal_02")</f>
        <v/>
      </c>
      <c r="K37" s="338" t="n"/>
      <c r="L37" s="338" t="n"/>
      <c r="M37" s="338" t="n"/>
      <c r="N37" s="338" t="n"/>
      <c r="O37" s="368" t="n"/>
      <c r="P37" s="334" t="n"/>
    </row>
    <row r="38">
      <c r="A38" s="361">
        <f>IFERROR(__xludf.DUMMYFUNCTION("""COMPUTED_VALUE"""),"jig")</f>
        <v/>
      </c>
      <c r="B38" s="403">
        <f>IFERROR(__xludf.DUMMYFUNCTION("""COMPUTED_VALUE"""),"地獄楽")</f>
        <v/>
      </c>
      <c r="C38" s="412">
        <f>IFERROR(__xludf.DUMMYFUNCTION("""COMPUTED_VALUE"""),"normal")</f>
        <v/>
      </c>
      <c r="D38" s="413">
        <f>IFERROR(__xludf.DUMMYFUNCTION("""COMPUTED_VALUE"""),"main")</f>
        <v/>
      </c>
      <c r="E38" s="403">
        <f>IFERROR(__xludf.DUMMYFUNCTION("""COMPUTED_VALUE"""),"メインクエスト")</f>
        <v/>
      </c>
      <c r="F38" s="391">
        <f>IFERROR(__xludf.DUMMYFUNCTION("""COMPUTED_VALUE"""),"quest_main_jig_normal_6")</f>
        <v/>
      </c>
      <c r="G38" s="363">
        <f>IFERROR(__xludf.DUMMYFUNCTION("""COMPUTED_VALUE"""),"6.地獄楽")</f>
        <v/>
      </c>
      <c r="H38" s="377">
        <f>IFERROR(__xludf.DUMMYFUNCTION("""COMPUTED_VALUE"""),"03")</f>
        <v/>
      </c>
      <c r="I38" s="377">
        <f>IFERROR(__xludf.DUMMYFUNCTION("""COMPUTED_VALUE"""),"normal_jig_00003")</f>
        <v/>
      </c>
      <c r="J38" s="377">
        <f>IFERROR(__xludf.DUMMYFUNCTION("""COMPUTED_VALUE"""),"stage_icon_jig_normal_03")</f>
        <v/>
      </c>
      <c r="K38" s="368" t="n"/>
      <c r="L38" s="380" t="n"/>
      <c r="M38" s="368" t="n"/>
      <c r="N38" s="369" t="n"/>
      <c r="O38" s="369" t="n"/>
      <c r="P38" s="334" t="n"/>
    </row>
    <row r="39">
      <c r="A39" s="361">
        <f>IFERROR(__xludf.DUMMYFUNCTION("""COMPUTED_VALUE"""),"jig")</f>
        <v/>
      </c>
      <c r="B39" s="403">
        <f>IFERROR(__xludf.DUMMYFUNCTION("""COMPUTED_VALUE"""),"地獄楽")</f>
        <v/>
      </c>
      <c r="C39" s="412">
        <f>IFERROR(__xludf.DUMMYFUNCTION("""COMPUTED_VALUE"""),"normal")</f>
        <v/>
      </c>
      <c r="D39" s="413">
        <f>IFERROR(__xludf.DUMMYFUNCTION("""COMPUTED_VALUE"""),"main")</f>
        <v/>
      </c>
      <c r="E39" s="403">
        <f>IFERROR(__xludf.DUMMYFUNCTION("""COMPUTED_VALUE"""),"メインクエスト")</f>
        <v/>
      </c>
      <c r="F39" s="391">
        <f>IFERROR(__xludf.DUMMYFUNCTION("""COMPUTED_VALUE"""),"quest_main_jig_normal_6")</f>
        <v/>
      </c>
      <c r="G39" s="363">
        <f>IFERROR(__xludf.DUMMYFUNCTION("""COMPUTED_VALUE"""),"6.地獄楽")</f>
        <v/>
      </c>
      <c r="H39" s="377">
        <f>IFERROR(__xludf.DUMMYFUNCTION("""COMPUTED_VALUE"""),"04")</f>
        <v/>
      </c>
      <c r="I39" s="377">
        <f>IFERROR(__xludf.DUMMYFUNCTION("""COMPUTED_VALUE"""),"normal_jig_00004")</f>
        <v/>
      </c>
      <c r="J39" s="377">
        <f>IFERROR(__xludf.DUMMYFUNCTION("""COMPUTED_VALUE"""),"stage_icon_jig_normal_04")</f>
        <v/>
      </c>
      <c r="K39" s="368" t="n"/>
      <c r="L39" s="380" t="n"/>
      <c r="M39" s="368" t="n"/>
      <c r="N39" s="369" t="n"/>
      <c r="O39" s="369" t="n"/>
      <c r="P39" s="334" t="n"/>
    </row>
    <row r="40">
      <c r="A40" s="372">
        <f>IFERROR(__xludf.DUMMYFUNCTION("""COMPUTED_VALUE"""),"jig")</f>
        <v/>
      </c>
      <c r="B40" s="338">
        <f>IFERROR(__xludf.DUMMYFUNCTION("""COMPUTED_VALUE"""),"地獄楽")</f>
        <v/>
      </c>
      <c r="C40" s="373">
        <f>IFERROR(__xludf.DUMMYFUNCTION("""COMPUTED_VALUE"""),"normal")</f>
        <v/>
      </c>
      <c r="D40" s="373">
        <f>IFERROR(__xludf.DUMMYFUNCTION("""COMPUTED_VALUE"""),"main")</f>
        <v/>
      </c>
      <c r="E40" s="338">
        <f>IFERROR(__xludf.DUMMYFUNCTION("""COMPUTED_VALUE"""),"メインクエスト")</f>
        <v/>
      </c>
      <c r="F40" s="373">
        <f>IFERROR(__xludf.DUMMYFUNCTION("""COMPUTED_VALUE"""),"quest_main_jig_normal_6")</f>
        <v/>
      </c>
      <c r="G40" s="338">
        <f>IFERROR(__xludf.DUMMYFUNCTION("""COMPUTED_VALUE"""),"6.地獄楽")</f>
        <v/>
      </c>
      <c r="H40" s="373">
        <f>IFERROR(__xludf.DUMMYFUNCTION("""COMPUTED_VALUE"""),"05")</f>
        <v/>
      </c>
      <c r="I40" s="338">
        <f>IFERROR(__xludf.DUMMYFUNCTION("""COMPUTED_VALUE"""),"normal_jig_00005")</f>
        <v/>
      </c>
      <c r="J40" s="338">
        <f>IFERROR(__xludf.DUMMYFUNCTION("""COMPUTED_VALUE"""),"stage_icon_jig_normal_05")</f>
        <v/>
      </c>
      <c r="K40" s="338" t="n"/>
      <c r="L40" s="338" t="n"/>
      <c r="M40" s="338" t="n"/>
      <c r="N40" s="338" t="n"/>
      <c r="O40" s="368" t="n"/>
      <c r="P40" s="334" t="n"/>
    </row>
    <row r="41">
      <c r="A41" s="384">
        <f>IFERROR(__xludf.DUMMYFUNCTION("""COMPUTED_VALUE"""),"jig")</f>
        <v/>
      </c>
      <c r="B41" s="385">
        <f>IFERROR(__xludf.DUMMYFUNCTION("""COMPUTED_VALUE"""),"地獄楽")</f>
        <v/>
      </c>
      <c r="C41" s="386">
        <f>IFERROR(__xludf.DUMMYFUNCTION("""COMPUTED_VALUE"""),"normal")</f>
        <v/>
      </c>
      <c r="D41" s="386">
        <f>IFERROR(__xludf.DUMMYFUNCTION("""COMPUTED_VALUE"""),"main")</f>
        <v/>
      </c>
      <c r="E41" s="385">
        <f>IFERROR(__xludf.DUMMYFUNCTION("""COMPUTED_VALUE"""),"メインクエスト")</f>
        <v/>
      </c>
      <c r="F41" s="386">
        <f>IFERROR(__xludf.DUMMYFUNCTION("""COMPUTED_VALUE"""),"quest_main_jig_normal_6")</f>
        <v/>
      </c>
      <c r="G41" s="385">
        <f>IFERROR(__xludf.DUMMYFUNCTION("""COMPUTED_VALUE"""),"6.地獄楽")</f>
        <v/>
      </c>
      <c r="H41" s="387">
        <f>IFERROR(__xludf.DUMMYFUNCTION("""COMPUTED_VALUE"""),"06")</f>
        <v/>
      </c>
      <c r="I41" s="387">
        <f>IFERROR(__xludf.DUMMYFUNCTION("""COMPUTED_VALUE"""),"normal_jig_00006")</f>
        <v/>
      </c>
      <c r="J41" s="385">
        <f>IFERROR(__xludf.DUMMYFUNCTION("""COMPUTED_VALUE"""),"stage_icon_jig_normal_06")</f>
        <v/>
      </c>
      <c r="K41" s="385" t="n"/>
      <c r="L41" s="385" t="n"/>
      <c r="M41" s="385" t="n"/>
      <c r="N41" s="388" t="n"/>
      <c r="O41" s="385" t="n"/>
      <c r="P41" s="334" t="n"/>
    </row>
    <row r="42">
      <c r="A42" s="389" t="n"/>
      <c r="B42" s="390" t="n"/>
      <c r="C42" s="390" t="n"/>
      <c r="D42" s="413" t="n"/>
      <c r="E42" s="403" t="n"/>
      <c r="F42" s="391" t="n"/>
      <c r="G42" s="390" t="n"/>
      <c r="H42" s="392" t="n"/>
      <c r="I42" s="392" t="n"/>
      <c r="J42" s="392" t="n"/>
      <c r="K42" s="395" t="n"/>
      <c r="L42" s="394" t="n"/>
      <c r="M42" s="395" t="n"/>
      <c r="N42" s="396" t="n"/>
      <c r="O42" s="397" t="n"/>
      <c r="P42" s="334" t="n"/>
    </row>
    <row r="43">
      <c r="A43" s="361">
        <f>IFERROR(__xludf.DUMMYFUNCTION("""COMPUTED_VALUE"""),"tak")</f>
        <v/>
      </c>
      <c r="B43" s="403">
        <f>IFERROR(__xludf.DUMMYFUNCTION("""COMPUTED_VALUE"""),"タコピーの原罪")</f>
        <v/>
      </c>
      <c r="C43" s="412">
        <f>IFERROR(__xludf.DUMMYFUNCTION("""COMPUTED_VALUE"""),"normal")</f>
        <v/>
      </c>
      <c r="D43" s="413">
        <f>IFERROR(__xludf.DUMMYFUNCTION("""COMPUTED_VALUE"""),"main")</f>
        <v/>
      </c>
      <c r="E43" s="403">
        <f>IFERROR(__xludf.DUMMYFUNCTION("""COMPUTED_VALUE"""),"メインクエスト")</f>
        <v/>
      </c>
      <c r="F43" s="391">
        <f>IFERROR(__xludf.DUMMYFUNCTION("""COMPUTED_VALUE"""),"quest_main_tak_normal_7")</f>
        <v/>
      </c>
      <c r="G43" s="363">
        <f>IFERROR(__xludf.DUMMYFUNCTION("""COMPUTED_VALUE"""),"7.タコピーの原罪")</f>
        <v/>
      </c>
      <c r="H43" s="377">
        <f>IFERROR(__xludf.DUMMYFUNCTION("""COMPUTED_VALUE"""),"01")</f>
        <v/>
      </c>
      <c r="I43" s="377">
        <f>IFERROR(__xludf.DUMMYFUNCTION("""COMPUTED_VALUE"""),"normal_tak_00001")</f>
        <v/>
      </c>
      <c r="J43" s="377">
        <f>IFERROR(__xludf.DUMMYFUNCTION("""COMPUTED_VALUE"""),"stage_icon_tak_normal_01")</f>
        <v/>
      </c>
      <c r="K43" s="368">
        <f>IFERROR(__xludf.DUMMYFUNCTION("""COMPUTED_VALUE"""),"quest_image_tak_1")</f>
        <v/>
      </c>
      <c r="L43" s="368" t="n"/>
      <c r="M43" s="368" t="n"/>
      <c r="N43" s="369" t="n"/>
      <c r="O43" s="369" t="n"/>
      <c r="P43" s="334" t="n"/>
    </row>
    <row r="44">
      <c r="A44" s="361">
        <f>IFERROR(__xludf.DUMMYFUNCTION("""COMPUTED_VALUE"""),"tak")</f>
        <v/>
      </c>
      <c r="B44" s="403">
        <f>IFERROR(__xludf.DUMMYFUNCTION("""COMPUTED_VALUE"""),"タコピーの原罪")</f>
        <v/>
      </c>
      <c r="C44" s="412">
        <f>IFERROR(__xludf.DUMMYFUNCTION("""COMPUTED_VALUE"""),"normal")</f>
        <v/>
      </c>
      <c r="D44" s="382">
        <f>IFERROR(__xludf.DUMMYFUNCTION("""COMPUTED_VALUE"""),"main")</f>
        <v/>
      </c>
      <c r="E44" s="403">
        <f>IFERROR(__xludf.DUMMYFUNCTION("""COMPUTED_VALUE"""),"メインクエスト")</f>
        <v/>
      </c>
      <c r="F44" s="391">
        <f>IFERROR(__xludf.DUMMYFUNCTION("""COMPUTED_VALUE"""),"quest_main_tak_normal_7")</f>
        <v/>
      </c>
      <c r="G44" s="363">
        <f>IFERROR(__xludf.DUMMYFUNCTION("""COMPUTED_VALUE"""),"7.タコピーの原罪")</f>
        <v/>
      </c>
      <c r="H44" s="377">
        <f>IFERROR(__xludf.DUMMYFUNCTION("""COMPUTED_VALUE"""),"02")</f>
        <v/>
      </c>
      <c r="I44" s="377">
        <f>IFERROR(__xludf.DUMMYFUNCTION("""COMPUTED_VALUE"""),"normal_tak_00002")</f>
        <v/>
      </c>
      <c r="J44" s="377">
        <f>IFERROR(__xludf.DUMMYFUNCTION("""COMPUTED_VALUE"""),"stage_icon_tak_normal_02")</f>
        <v/>
      </c>
      <c r="K44" s="368" t="n"/>
      <c r="L44" s="368" t="n"/>
      <c r="M44" s="368" t="n"/>
      <c r="N44" s="369" t="n"/>
      <c r="O44" s="369" t="n"/>
      <c r="P44" s="334" t="n"/>
    </row>
    <row r="45">
      <c r="A45" s="361">
        <f>IFERROR(__xludf.DUMMYFUNCTION("""COMPUTED_VALUE"""),"tak")</f>
        <v/>
      </c>
      <c r="B45" s="403">
        <f>IFERROR(__xludf.DUMMYFUNCTION("""COMPUTED_VALUE"""),"タコピーの原罪")</f>
        <v/>
      </c>
      <c r="C45" s="412">
        <f>IFERROR(__xludf.DUMMYFUNCTION("""COMPUTED_VALUE"""),"normal")</f>
        <v/>
      </c>
      <c r="D45" s="413">
        <f>IFERROR(__xludf.DUMMYFUNCTION("""COMPUTED_VALUE"""),"main")</f>
        <v/>
      </c>
      <c r="E45" s="403">
        <f>IFERROR(__xludf.DUMMYFUNCTION("""COMPUTED_VALUE"""),"メインクエスト")</f>
        <v/>
      </c>
      <c r="F45" s="391">
        <f>IFERROR(__xludf.DUMMYFUNCTION("""COMPUTED_VALUE"""),"quest_main_tak_normal_7")</f>
        <v/>
      </c>
      <c r="G45" s="363">
        <f>IFERROR(__xludf.DUMMYFUNCTION("""COMPUTED_VALUE"""),"7.タコピーの原罪")</f>
        <v/>
      </c>
      <c r="H45" s="377">
        <f>IFERROR(__xludf.DUMMYFUNCTION("""COMPUTED_VALUE"""),"03")</f>
        <v/>
      </c>
      <c r="I45" s="377">
        <f>IFERROR(__xludf.DUMMYFUNCTION("""COMPUTED_VALUE"""),"normal_tak_00003")</f>
        <v/>
      </c>
      <c r="J45" s="377">
        <f>IFERROR(__xludf.DUMMYFUNCTION("""COMPUTED_VALUE"""),"stage_icon_tak_normal_03")</f>
        <v/>
      </c>
      <c r="K45" s="368" t="n"/>
      <c r="L45" s="368" t="n"/>
      <c r="M45" s="368" t="n"/>
      <c r="N45" s="369" t="n"/>
      <c r="O45" s="369" t="n"/>
      <c r="P45" s="334" t="n"/>
    </row>
    <row r="46">
      <c r="A46" s="361" t="n"/>
      <c r="B46" s="403" t="n"/>
      <c r="C46" s="363" t="n"/>
      <c r="D46" s="413" t="n"/>
      <c r="E46" s="403" t="n"/>
      <c r="F46" s="391" t="n"/>
      <c r="G46" s="363" t="n"/>
      <c r="H46" s="377" t="n"/>
      <c r="I46" s="377" t="n"/>
      <c r="J46" s="377" t="n"/>
      <c r="K46" s="368" t="n"/>
      <c r="L46" s="368" t="n"/>
      <c r="M46" s="368" t="n"/>
      <c r="N46" s="369" t="n"/>
      <c r="O46" s="369" t="n"/>
      <c r="P46" s="334" t="n"/>
    </row>
    <row r="47">
      <c r="A47" s="361">
        <f>IFERROR(__xludf.DUMMYFUNCTION("""COMPUTED_VALUE"""),"glo2")</f>
        <v/>
      </c>
      <c r="B47" s="403">
        <f>IFERROR(__xludf.DUMMYFUNCTION("""COMPUTED_VALUE"""),"GLOW")</f>
        <v/>
      </c>
      <c r="C47" s="412">
        <f>IFERROR(__xludf.DUMMYFUNCTION("""COMPUTED_VALUE"""),"normal")</f>
        <v/>
      </c>
      <c r="D47" s="413">
        <f>IFERROR(__xludf.DUMMYFUNCTION("""COMPUTED_VALUE"""),"main")</f>
        <v/>
      </c>
      <c r="E47" s="403">
        <f>IFERROR(__xludf.DUMMYFUNCTION("""COMPUTED_VALUE"""),"メインクエスト")</f>
        <v/>
      </c>
      <c r="F47" s="391">
        <f>IFERROR(__xludf.DUMMYFUNCTION("""COMPUTED_VALUE"""),"quest_main_glo2_normal_8")</f>
        <v/>
      </c>
      <c r="G47" s="370">
        <f>IFERROR(__xludf.DUMMYFUNCTION("""COMPUTED_VALUE"""),"8.リミックスクエスト Vol.2")</f>
        <v/>
      </c>
      <c r="H47" s="377">
        <f>IFERROR(__xludf.DUMMYFUNCTION("""COMPUTED_VALUE"""),"01")</f>
        <v/>
      </c>
      <c r="I47" s="377">
        <f>IFERROR(__xludf.DUMMYFUNCTION("""COMPUTED_VALUE"""),"normal_glo2_00001")</f>
        <v/>
      </c>
      <c r="J47" s="377">
        <f>IFERROR(__xludf.DUMMYFUNCTION("""COMPUTED_VALUE"""),"stage_icon_glo2_normal_01")</f>
        <v/>
      </c>
      <c r="K47" s="368">
        <f>IFERROR(__xludf.DUMMYFUNCTION("""COMPUTED_VALUE"""),"quest_image_glo2_1")</f>
        <v/>
      </c>
      <c r="L47" s="368" t="n"/>
      <c r="M47" s="368" t="n"/>
      <c r="N47" s="369" t="n"/>
      <c r="O47" s="369" t="n"/>
      <c r="P47" s="334" t="n"/>
    </row>
    <row r="48">
      <c r="A48" s="361">
        <f>IFERROR(__xludf.DUMMYFUNCTION("""COMPUTED_VALUE"""),"glo2")</f>
        <v/>
      </c>
      <c r="B48" s="403">
        <f>IFERROR(__xludf.DUMMYFUNCTION("""COMPUTED_VALUE"""),"GLOW")</f>
        <v/>
      </c>
      <c r="C48" s="412">
        <f>IFERROR(__xludf.DUMMYFUNCTION("""COMPUTED_VALUE"""),"normal")</f>
        <v/>
      </c>
      <c r="D48" s="413">
        <f>IFERROR(__xludf.DUMMYFUNCTION("""COMPUTED_VALUE"""),"main")</f>
        <v/>
      </c>
      <c r="E48" s="403">
        <f>IFERROR(__xludf.DUMMYFUNCTION("""COMPUTED_VALUE"""),"メインクエスト")</f>
        <v/>
      </c>
      <c r="F48" s="391">
        <f>IFERROR(__xludf.DUMMYFUNCTION("""COMPUTED_VALUE"""),"quest_main_glo2_normal_8")</f>
        <v/>
      </c>
      <c r="G48" s="370">
        <f>IFERROR(__xludf.DUMMYFUNCTION("""COMPUTED_VALUE"""),"8.リミックスクエスト Vol.2")</f>
        <v/>
      </c>
      <c r="H48" s="377">
        <f>IFERROR(__xludf.DUMMYFUNCTION("""COMPUTED_VALUE"""),"02")</f>
        <v/>
      </c>
      <c r="I48" s="377">
        <f>IFERROR(__xludf.DUMMYFUNCTION("""COMPUTED_VALUE"""),"normal_glo2_00002")</f>
        <v/>
      </c>
      <c r="J48" s="377">
        <f>IFERROR(__xludf.DUMMYFUNCTION("""COMPUTED_VALUE"""),"stage_icon_glo2_normal_02")</f>
        <v/>
      </c>
      <c r="K48" s="368" t="n"/>
      <c r="L48" s="368" t="n"/>
      <c r="M48" s="368" t="n"/>
      <c r="N48" s="369" t="n"/>
      <c r="O48" s="369" t="n"/>
      <c r="P48" s="334" t="n"/>
    </row>
    <row r="49">
      <c r="A49" s="361">
        <f>IFERROR(__xludf.DUMMYFUNCTION("""COMPUTED_VALUE"""),"glo2")</f>
        <v/>
      </c>
      <c r="B49" s="403">
        <f>IFERROR(__xludf.DUMMYFUNCTION("""COMPUTED_VALUE"""),"GLOW")</f>
        <v/>
      </c>
      <c r="C49" s="412">
        <f>IFERROR(__xludf.DUMMYFUNCTION("""COMPUTED_VALUE"""),"normal")</f>
        <v/>
      </c>
      <c r="D49" s="413">
        <f>IFERROR(__xludf.DUMMYFUNCTION("""COMPUTED_VALUE"""),"main")</f>
        <v/>
      </c>
      <c r="E49" s="403">
        <f>IFERROR(__xludf.DUMMYFUNCTION("""COMPUTED_VALUE"""),"メインクエスト")</f>
        <v/>
      </c>
      <c r="F49" s="391">
        <f>IFERROR(__xludf.DUMMYFUNCTION("""COMPUTED_VALUE"""),"quest_main_glo2_normal_8")</f>
        <v/>
      </c>
      <c r="G49" s="370">
        <f>IFERROR(__xludf.DUMMYFUNCTION("""COMPUTED_VALUE"""),"8.リミックスクエスト Vol.2")</f>
        <v/>
      </c>
      <c r="H49" s="377">
        <f>IFERROR(__xludf.DUMMYFUNCTION("""COMPUTED_VALUE"""),"03")</f>
        <v/>
      </c>
      <c r="I49" s="377">
        <f>IFERROR(__xludf.DUMMYFUNCTION("""COMPUTED_VALUE"""),"normal_glo2_00003")</f>
        <v/>
      </c>
      <c r="J49" s="377">
        <f>IFERROR(__xludf.DUMMYFUNCTION("""COMPUTED_VALUE"""),"stage_icon_glo2_normal_03")</f>
        <v/>
      </c>
      <c r="K49" s="368" t="n"/>
      <c r="L49" s="368" t="n"/>
      <c r="M49" s="368" t="n"/>
      <c r="N49" s="369" t="n"/>
      <c r="O49" s="369" t="n"/>
      <c r="P49" s="334" t="n"/>
    </row>
    <row r="50">
      <c r="A50" s="361">
        <f>IFERROR(__xludf.DUMMYFUNCTION("""COMPUTED_VALUE"""),"glo2")</f>
        <v/>
      </c>
      <c r="B50" s="403">
        <f>IFERROR(__xludf.DUMMYFUNCTION("""COMPUTED_VALUE"""),"GLOW")</f>
        <v/>
      </c>
      <c r="C50" s="412">
        <f>IFERROR(__xludf.DUMMYFUNCTION("""COMPUTED_VALUE"""),"normal")</f>
        <v/>
      </c>
      <c r="D50" s="413">
        <f>IFERROR(__xludf.DUMMYFUNCTION("""COMPUTED_VALUE"""),"main")</f>
        <v/>
      </c>
      <c r="E50" s="403">
        <f>IFERROR(__xludf.DUMMYFUNCTION("""COMPUTED_VALUE"""),"メインクエスト")</f>
        <v/>
      </c>
      <c r="F50" s="391">
        <f>IFERROR(__xludf.DUMMYFUNCTION("""COMPUTED_VALUE"""),"quest_main_glo2_normal_8")</f>
        <v/>
      </c>
      <c r="G50" s="370">
        <f>IFERROR(__xludf.DUMMYFUNCTION("""COMPUTED_VALUE"""),"8.リミックスクエスト Vol.2")</f>
        <v/>
      </c>
      <c r="H50" s="377">
        <f>IFERROR(__xludf.DUMMYFUNCTION("""COMPUTED_VALUE"""),"04")</f>
        <v/>
      </c>
      <c r="I50" s="377">
        <f>IFERROR(__xludf.DUMMYFUNCTION("""COMPUTED_VALUE"""),"normal_glo2_00004")</f>
        <v/>
      </c>
      <c r="J50" s="377">
        <f>IFERROR(__xludf.DUMMYFUNCTION("""COMPUTED_VALUE"""),"stage_icon_glo2_normal_04")</f>
        <v/>
      </c>
      <c r="K50" s="368" t="n"/>
      <c r="L50" s="368" t="n"/>
      <c r="M50" s="368" t="n"/>
      <c r="N50" s="369" t="n"/>
      <c r="O50" s="369" t="n"/>
      <c r="P50" s="334" t="n"/>
    </row>
    <row r="51">
      <c r="A51" s="361">
        <f>IFERROR(__xludf.DUMMYFUNCTION("""COMPUTED_VALUE"""),"glo2")</f>
        <v/>
      </c>
      <c r="B51" s="403">
        <f>IFERROR(__xludf.DUMMYFUNCTION("""COMPUTED_VALUE"""),"GLOW")</f>
        <v/>
      </c>
      <c r="C51" s="412">
        <f>IFERROR(__xludf.DUMMYFUNCTION("""COMPUTED_VALUE"""),"normal")</f>
        <v/>
      </c>
      <c r="D51" s="413">
        <f>IFERROR(__xludf.DUMMYFUNCTION("""COMPUTED_VALUE"""),"main")</f>
        <v/>
      </c>
      <c r="E51" s="403">
        <f>IFERROR(__xludf.DUMMYFUNCTION("""COMPUTED_VALUE"""),"メインクエスト")</f>
        <v/>
      </c>
      <c r="F51" s="391">
        <f>IFERROR(__xludf.DUMMYFUNCTION("""COMPUTED_VALUE"""),"quest_main_glo2_normal_8")</f>
        <v/>
      </c>
      <c r="G51" s="370">
        <f>IFERROR(__xludf.DUMMYFUNCTION("""COMPUTED_VALUE"""),"8.リミックスクエスト Vol.2")</f>
        <v/>
      </c>
      <c r="H51" s="377">
        <f>IFERROR(__xludf.DUMMYFUNCTION("""COMPUTED_VALUE"""),"05")</f>
        <v/>
      </c>
      <c r="I51" s="377">
        <f>IFERROR(__xludf.DUMMYFUNCTION("""COMPUTED_VALUE"""),"normal_glo2_00005")</f>
        <v/>
      </c>
      <c r="J51" s="377">
        <f>IFERROR(__xludf.DUMMYFUNCTION("""COMPUTED_VALUE"""),"stage_icon_glo2_normal_05")</f>
        <v/>
      </c>
      <c r="K51" s="368" t="n"/>
      <c r="L51" s="368" t="n"/>
      <c r="M51" s="368" t="n"/>
      <c r="N51" s="369" t="n"/>
      <c r="O51" s="369" t="n"/>
      <c r="P51" s="334" t="n"/>
    </row>
    <row r="52">
      <c r="A52" s="361">
        <f>IFERROR(__xludf.DUMMYFUNCTION("""COMPUTED_VALUE"""),"glo2")</f>
        <v/>
      </c>
      <c r="B52" s="403">
        <f>IFERROR(__xludf.DUMMYFUNCTION("""COMPUTED_VALUE"""),"GLOW")</f>
        <v/>
      </c>
      <c r="C52" s="412">
        <f>IFERROR(__xludf.DUMMYFUNCTION("""COMPUTED_VALUE"""),"normal")</f>
        <v/>
      </c>
      <c r="D52" s="413">
        <f>IFERROR(__xludf.DUMMYFUNCTION("""COMPUTED_VALUE"""),"main")</f>
        <v/>
      </c>
      <c r="E52" s="403">
        <f>IFERROR(__xludf.DUMMYFUNCTION("""COMPUTED_VALUE"""),"メインクエスト")</f>
        <v/>
      </c>
      <c r="F52" s="391">
        <f>IFERROR(__xludf.DUMMYFUNCTION("""COMPUTED_VALUE"""),"quest_main_glo2_normal_8")</f>
        <v/>
      </c>
      <c r="G52" s="370">
        <f>IFERROR(__xludf.DUMMYFUNCTION("""COMPUTED_VALUE"""),"8.リミックスクエスト Vol.2")</f>
        <v/>
      </c>
      <c r="H52" s="377">
        <f>IFERROR(__xludf.DUMMYFUNCTION("""COMPUTED_VALUE"""),"06")</f>
        <v/>
      </c>
      <c r="I52" s="377">
        <f>IFERROR(__xludf.DUMMYFUNCTION("""COMPUTED_VALUE"""),"normal_glo2_00006")</f>
        <v/>
      </c>
      <c r="J52" s="377">
        <f>IFERROR(__xludf.DUMMYFUNCTION("""COMPUTED_VALUE"""),"stage_icon_glo2_normal_06")</f>
        <v/>
      </c>
      <c r="K52" s="368" t="n"/>
      <c r="L52" s="368" t="n"/>
      <c r="M52" s="368" t="n"/>
      <c r="N52" s="369" t="n"/>
      <c r="O52" s="369" t="n"/>
      <c r="P52" s="334" t="n"/>
    </row>
    <row r="53">
      <c r="A53" s="361" t="n"/>
      <c r="B53" s="403" t="n"/>
      <c r="C53" s="363" t="n"/>
      <c r="D53" s="413" t="n"/>
      <c r="E53" s="403" t="n"/>
      <c r="F53" s="391" t="n"/>
      <c r="G53" s="370" t="n"/>
      <c r="H53" s="377" t="n"/>
      <c r="I53" s="377" t="n"/>
      <c r="J53" s="377" t="n"/>
      <c r="K53" s="368" t="n"/>
      <c r="L53" s="368" t="n"/>
      <c r="M53" s="368" t="n"/>
      <c r="N53" s="369" t="n"/>
      <c r="O53" s="369" t="n"/>
      <c r="P53" s="334" t="n"/>
    </row>
    <row r="54">
      <c r="A54" s="361">
        <f>IFERROR(__xludf.DUMMYFUNCTION("""COMPUTED_VALUE"""),"chi")</f>
        <v/>
      </c>
      <c r="B54" s="403">
        <f>IFERROR(__xludf.DUMMYFUNCTION("""COMPUTED_VALUE"""),"チェンソーマン")</f>
        <v/>
      </c>
      <c r="C54" s="412">
        <f>IFERROR(__xludf.DUMMYFUNCTION("""COMPUTED_VALUE"""),"normal")</f>
        <v/>
      </c>
      <c r="D54" s="413">
        <f>IFERROR(__xludf.DUMMYFUNCTION("""COMPUTED_VALUE"""),"main")</f>
        <v/>
      </c>
      <c r="E54" s="403">
        <f>IFERROR(__xludf.DUMMYFUNCTION("""COMPUTED_VALUE"""),"メインクエスト")</f>
        <v/>
      </c>
      <c r="F54" s="391">
        <f>IFERROR(__xludf.DUMMYFUNCTION("""COMPUTED_VALUE"""),"quest_main_chi_normal_9")</f>
        <v/>
      </c>
      <c r="G54" s="370">
        <f>IFERROR(__xludf.DUMMYFUNCTION("""COMPUTED_VALUE"""),"9.チェンソーマン")</f>
        <v/>
      </c>
      <c r="H54" s="377">
        <f>IFERROR(__xludf.DUMMYFUNCTION("""COMPUTED_VALUE"""),"01")</f>
        <v/>
      </c>
      <c r="I54" s="377">
        <f>IFERROR(__xludf.DUMMYFUNCTION("""COMPUTED_VALUE"""),"normal_chi_00001")</f>
        <v/>
      </c>
      <c r="J54" s="377">
        <f>IFERROR(__xludf.DUMMYFUNCTION("""COMPUTED_VALUE"""),"stage_icon_chi_normal_01")</f>
        <v/>
      </c>
      <c r="K54" s="368">
        <f>IFERROR(__xludf.DUMMYFUNCTION("""COMPUTED_VALUE"""),"quest_image_chi_1")</f>
        <v/>
      </c>
      <c r="L54" s="368" t="n"/>
      <c r="M54" s="368" t="n"/>
      <c r="N54" s="369" t="n"/>
      <c r="O54" s="369" t="n"/>
      <c r="P54" s="334" t="n"/>
    </row>
    <row r="55">
      <c r="A55" s="361">
        <f>IFERROR(__xludf.DUMMYFUNCTION("""COMPUTED_VALUE"""),"chi")</f>
        <v/>
      </c>
      <c r="B55" s="403">
        <f>IFERROR(__xludf.DUMMYFUNCTION("""COMPUTED_VALUE"""),"チェンソーマン")</f>
        <v/>
      </c>
      <c r="C55" s="412">
        <f>IFERROR(__xludf.DUMMYFUNCTION("""COMPUTED_VALUE"""),"normal")</f>
        <v/>
      </c>
      <c r="D55" s="413">
        <f>IFERROR(__xludf.DUMMYFUNCTION("""COMPUTED_VALUE"""),"main")</f>
        <v/>
      </c>
      <c r="E55" s="403">
        <f>IFERROR(__xludf.DUMMYFUNCTION("""COMPUTED_VALUE"""),"メインクエスト")</f>
        <v/>
      </c>
      <c r="F55" s="391">
        <f>IFERROR(__xludf.DUMMYFUNCTION("""COMPUTED_VALUE"""),"quest_main_chi_normal_9")</f>
        <v/>
      </c>
      <c r="G55" s="370">
        <f>IFERROR(__xludf.DUMMYFUNCTION("""COMPUTED_VALUE"""),"9.チェンソーマン")</f>
        <v/>
      </c>
      <c r="H55" s="377">
        <f>IFERROR(__xludf.DUMMYFUNCTION("""COMPUTED_VALUE"""),"02")</f>
        <v/>
      </c>
      <c r="I55" s="377">
        <f>IFERROR(__xludf.DUMMYFUNCTION("""COMPUTED_VALUE"""),"normal_chi_00002")</f>
        <v/>
      </c>
      <c r="J55" s="377">
        <f>IFERROR(__xludf.DUMMYFUNCTION("""COMPUTED_VALUE"""),"stage_icon_chi_normal_02")</f>
        <v/>
      </c>
      <c r="K55" s="368" t="n"/>
      <c r="L55" s="368" t="n"/>
      <c r="M55" s="368" t="n"/>
      <c r="N55" s="369" t="n"/>
      <c r="O55" s="369" t="n"/>
      <c r="P55" s="334" t="n"/>
    </row>
    <row r="56">
      <c r="A56" s="361">
        <f>IFERROR(__xludf.DUMMYFUNCTION("""COMPUTED_VALUE"""),"chi")</f>
        <v/>
      </c>
      <c r="B56" s="403">
        <f>IFERROR(__xludf.DUMMYFUNCTION("""COMPUTED_VALUE"""),"チェンソーマン")</f>
        <v/>
      </c>
      <c r="C56" s="412">
        <f>IFERROR(__xludf.DUMMYFUNCTION("""COMPUTED_VALUE"""),"normal")</f>
        <v/>
      </c>
      <c r="D56" s="413">
        <f>IFERROR(__xludf.DUMMYFUNCTION("""COMPUTED_VALUE"""),"main")</f>
        <v/>
      </c>
      <c r="E56" s="403">
        <f>IFERROR(__xludf.DUMMYFUNCTION("""COMPUTED_VALUE"""),"メインクエスト")</f>
        <v/>
      </c>
      <c r="F56" s="391">
        <f>IFERROR(__xludf.DUMMYFUNCTION("""COMPUTED_VALUE"""),"quest_main_chi_normal_9")</f>
        <v/>
      </c>
      <c r="G56" s="370">
        <f>IFERROR(__xludf.DUMMYFUNCTION("""COMPUTED_VALUE"""),"9.チェンソーマン")</f>
        <v/>
      </c>
      <c r="H56" s="377">
        <f>IFERROR(__xludf.DUMMYFUNCTION("""COMPUTED_VALUE"""),"03")</f>
        <v/>
      </c>
      <c r="I56" s="377">
        <f>IFERROR(__xludf.DUMMYFUNCTION("""COMPUTED_VALUE"""),"normal_chi_00003")</f>
        <v/>
      </c>
      <c r="J56" s="377">
        <f>IFERROR(__xludf.DUMMYFUNCTION("""COMPUTED_VALUE"""),"stage_icon_chi_normal_03")</f>
        <v/>
      </c>
      <c r="K56" s="368" t="n"/>
      <c r="L56" s="368" t="n"/>
      <c r="M56" s="368" t="n"/>
      <c r="N56" s="369" t="n"/>
      <c r="O56" s="369" t="n"/>
      <c r="P56" s="334" t="n"/>
    </row>
    <row r="57">
      <c r="A57" s="361">
        <f>IFERROR(__xludf.DUMMYFUNCTION("""COMPUTED_VALUE"""),"chi")</f>
        <v/>
      </c>
      <c r="B57" s="403">
        <f>IFERROR(__xludf.DUMMYFUNCTION("""COMPUTED_VALUE"""),"チェンソーマン")</f>
        <v/>
      </c>
      <c r="C57" s="412">
        <f>IFERROR(__xludf.DUMMYFUNCTION("""COMPUTED_VALUE"""),"normal")</f>
        <v/>
      </c>
      <c r="D57" s="413">
        <f>IFERROR(__xludf.DUMMYFUNCTION("""COMPUTED_VALUE"""),"main")</f>
        <v/>
      </c>
      <c r="E57" s="403">
        <f>IFERROR(__xludf.DUMMYFUNCTION("""COMPUTED_VALUE"""),"メインクエスト")</f>
        <v/>
      </c>
      <c r="F57" s="391">
        <f>IFERROR(__xludf.DUMMYFUNCTION("""COMPUTED_VALUE"""),"quest_main_chi_normal_9")</f>
        <v/>
      </c>
      <c r="G57" s="370">
        <f>IFERROR(__xludf.DUMMYFUNCTION("""COMPUTED_VALUE"""),"9.チェンソーマン")</f>
        <v/>
      </c>
      <c r="H57" s="377">
        <f>IFERROR(__xludf.DUMMYFUNCTION("""COMPUTED_VALUE"""),"04")</f>
        <v/>
      </c>
      <c r="I57" s="377">
        <f>IFERROR(__xludf.DUMMYFUNCTION("""COMPUTED_VALUE"""),"normal_chi_00004")</f>
        <v/>
      </c>
      <c r="J57" s="377">
        <f>IFERROR(__xludf.DUMMYFUNCTION("""COMPUTED_VALUE"""),"stage_icon_chi_normal_04")</f>
        <v/>
      </c>
      <c r="K57" s="368" t="n"/>
      <c r="L57" s="368" t="n"/>
      <c r="M57" s="368" t="n"/>
      <c r="N57" s="369" t="n"/>
      <c r="O57" s="369" t="n"/>
      <c r="P57" s="334" t="n"/>
    </row>
    <row r="58">
      <c r="A58" s="361">
        <f>IFERROR(__xludf.DUMMYFUNCTION("""COMPUTED_VALUE"""),"chi")</f>
        <v/>
      </c>
      <c r="B58" s="403">
        <f>IFERROR(__xludf.DUMMYFUNCTION("""COMPUTED_VALUE"""),"チェンソーマン")</f>
        <v/>
      </c>
      <c r="C58" s="412">
        <f>IFERROR(__xludf.DUMMYFUNCTION("""COMPUTED_VALUE"""),"normal")</f>
        <v/>
      </c>
      <c r="D58" s="413">
        <f>IFERROR(__xludf.DUMMYFUNCTION("""COMPUTED_VALUE"""),"main")</f>
        <v/>
      </c>
      <c r="E58" s="403">
        <f>IFERROR(__xludf.DUMMYFUNCTION("""COMPUTED_VALUE"""),"メインクエスト")</f>
        <v/>
      </c>
      <c r="F58" s="391">
        <f>IFERROR(__xludf.DUMMYFUNCTION("""COMPUTED_VALUE"""),"quest_main_chi_normal_9")</f>
        <v/>
      </c>
      <c r="G58" s="370">
        <f>IFERROR(__xludf.DUMMYFUNCTION("""COMPUTED_VALUE"""),"9.チェンソーマン")</f>
        <v/>
      </c>
      <c r="H58" s="377">
        <f>IFERROR(__xludf.DUMMYFUNCTION("""COMPUTED_VALUE"""),"05")</f>
        <v/>
      </c>
      <c r="I58" s="377">
        <f>IFERROR(__xludf.DUMMYFUNCTION("""COMPUTED_VALUE"""),"normal_chi_00005")</f>
        <v/>
      </c>
      <c r="J58" s="377">
        <f>IFERROR(__xludf.DUMMYFUNCTION("""COMPUTED_VALUE"""),"stage_icon_chi_normal_05")</f>
        <v/>
      </c>
      <c r="K58" s="368" t="n"/>
      <c r="L58" s="368" t="n"/>
      <c r="M58" s="368" t="n"/>
      <c r="N58" s="369" t="n"/>
      <c r="O58" s="369" t="n"/>
      <c r="P58" s="334" t="n"/>
    </row>
    <row r="59">
      <c r="A59" s="361">
        <f>IFERROR(__xludf.DUMMYFUNCTION("""COMPUTED_VALUE"""),"chi")</f>
        <v/>
      </c>
      <c r="B59" s="403">
        <f>IFERROR(__xludf.DUMMYFUNCTION("""COMPUTED_VALUE"""),"チェンソーマン")</f>
        <v/>
      </c>
      <c r="C59" s="412">
        <f>IFERROR(__xludf.DUMMYFUNCTION("""COMPUTED_VALUE"""),"normal")</f>
        <v/>
      </c>
      <c r="D59" s="413">
        <f>IFERROR(__xludf.DUMMYFUNCTION("""COMPUTED_VALUE"""),"main")</f>
        <v/>
      </c>
      <c r="E59" s="403">
        <f>IFERROR(__xludf.DUMMYFUNCTION("""COMPUTED_VALUE"""),"メインクエスト")</f>
        <v/>
      </c>
      <c r="F59" s="391">
        <f>IFERROR(__xludf.DUMMYFUNCTION("""COMPUTED_VALUE"""),"quest_main_chi_normal_9")</f>
        <v/>
      </c>
      <c r="G59" s="370">
        <f>IFERROR(__xludf.DUMMYFUNCTION("""COMPUTED_VALUE"""),"9.チェンソーマン")</f>
        <v/>
      </c>
      <c r="H59" s="377">
        <f>IFERROR(__xludf.DUMMYFUNCTION("""COMPUTED_VALUE"""),"06")</f>
        <v/>
      </c>
      <c r="I59" s="377">
        <f>IFERROR(__xludf.DUMMYFUNCTION("""COMPUTED_VALUE"""),"normal_chi_00006")</f>
        <v/>
      </c>
      <c r="J59" s="377">
        <f>IFERROR(__xludf.DUMMYFUNCTION("""COMPUTED_VALUE"""),"stage_icon_chi_normal_06")</f>
        <v/>
      </c>
      <c r="K59" s="368" t="n"/>
      <c r="L59" s="368" t="n"/>
      <c r="M59" s="368" t="n"/>
      <c r="N59" s="369" t="n"/>
      <c r="O59" s="369" t="n"/>
      <c r="P59" s="334" t="n"/>
    </row>
    <row r="60">
      <c r="A60" s="361" t="n"/>
      <c r="B60" s="403" t="n"/>
      <c r="C60" s="363" t="n"/>
      <c r="D60" s="413" t="n"/>
      <c r="E60" s="403" t="n"/>
      <c r="F60" s="391" t="n"/>
      <c r="G60" s="370" t="n"/>
      <c r="H60" s="377" t="n"/>
      <c r="I60" s="377" t="n"/>
      <c r="J60" s="377" t="n"/>
      <c r="K60" s="368" t="n"/>
      <c r="L60" s="368" t="n"/>
      <c r="M60" s="368" t="n"/>
      <c r="N60" s="369" t="n"/>
      <c r="O60" s="369" t="n"/>
      <c r="P60" s="334" t="n"/>
    </row>
    <row r="61">
      <c r="A61" s="361">
        <f>IFERROR(__xludf.DUMMYFUNCTION("""COMPUTED_VALUE"""),"sur")</f>
        <v/>
      </c>
      <c r="B61" s="403">
        <f>IFERROR(__xludf.DUMMYFUNCTION("""COMPUTED_VALUE"""),"魔都精兵のスレイブ")</f>
        <v/>
      </c>
      <c r="C61" s="412">
        <f>IFERROR(__xludf.DUMMYFUNCTION("""COMPUTED_VALUE"""),"normal")</f>
        <v/>
      </c>
      <c r="D61" s="413">
        <f>IFERROR(__xludf.DUMMYFUNCTION("""COMPUTED_VALUE"""),"main")</f>
        <v/>
      </c>
      <c r="E61" s="403">
        <f>IFERROR(__xludf.DUMMYFUNCTION("""COMPUTED_VALUE"""),"メインクエスト")</f>
        <v/>
      </c>
      <c r="F61" s="391">
        <f>IFERROR(__xludf.DUMMYFUNCTION("""COMPUTED_VALUE"""),"quest_main_sur_normal_10")</f>
        <v/>
      </c>
      <c r="G61" s="370">
        <f>IFERROR(__xludf.DUMMYFUNCTION("""COMPUTED_VALUE"""),"10.魔都精兵のスレイブ")</f>
        <v/>
      </c>
      <c r="H61" s="377">
        <f>IFERROR(__xludf.DUMMYFUNCTION("""COMPUTED_VALUE"""),"01")</f>
        <v/>
      </c>
      <c r="I61" s="377">
        <f>IFERROR(__xludf.DUMMYFUNCTION("""COMPUTED_VALUE"""),"normal_sur_00001")</f>
        <v/>
      </c>
      <c r="J61" s="377">
        <f>IFERROR(__xludf.DUMMYFUNCTION("""COMPUTED_VALUE"""),"stage_icon_sur_normal_01")</f>
        <v/>
      </c>
      <c r="K61" s="368">
        <f>IFERROR(__xludf.DUMMYFUNCTION("""COMPUTED_VALUE"""),"quest_image_sur_1")</f>
        <v/>
      </c>
      <c r="L61" s="368" t="n"/>
      <c r="M61" s="368" t="n"/>
      <c r="N61" s="369" t="n"/>
      <c r="O61" s="369" t="n"/>
      <c r="P61" s="334" t="n"/>
    </row>
    <row r="62">
      <c r="A62" s="361">
        <f>IFERROR(__xludf.DUMMYFUNCTION("""COMPUTED_VALUE"""),"sur")</f>
        <v/>
      </c>
      <c r="B62" s="403">
        <f>IFERROR(__xludf.DUMMYFUNCTION("""COMPUTED_VALUE"""),"魔都精兵のスレイブ")</f>
        <v/>
      </c>
      <c r="C62" s="412">
        <f>IFERROR(__xludf.DUMMYFUNCTION("""COMPUTED_VALUE"""),"normal")</f>
        <v/>
      </c>
      <c r="D62" s="413">
        <f>IFERROR(__xludf.DUMMYFUNCTION("""COMPUTED_VALUE"""),"main")</f>
        <v/>
      </c>
      <c r="E62" s="403">
        <f>IFERROR(__xludf.DUMMYFUNCTION("""COMPUTED_VALUE"""),"メインクエスト")</f>
        <v/>
      </c>
      <c r="F62" s="391">
        <f>IFERROR(__xludf.DUMMYFUNCTION("""COMPUTED_VALUE"""),"quest_main_sur_normal_10")</f>
        <v/>
      </c>
      <c r="G62" s="370">
        <f>IFERROR(__xludf.DUMMYFUNCTION("""COMPUTED_VALUE"""),"10.魔都精兵のスレイブ")</f>
        <v/>
      </c>
      <c r="H62" s="377">
        <f>IFERROR(__xludf.DUMMYFUNCTION("""COMPUTED_VALUE"""),"02")</f>
        <v/>
      </c>
      <c r="I62" s="377">
        <f>IFERROR(__xludf.DUMMYFUNCTION("""COMPUTED_VALUE"""),"normal_sur_00002")</f>
        <v/>
      </c>
      <c r="J62" s="377">
        <f>IFERROR(__xludf.DUMMYFUNCTION("""COMPUTED_VALUE"""),"stage_icon_sur_normal_02")</f>
        <v/>
      </c>
      <c r="K62" s="368" t="n"/>
      <c r="L62" s="368" t="n"/>
      <c r="M62" s="368" t="n"/>
      <c r="N62" s="369" t="n"/>
      <c r="O62" s="369" t="n"/>
      <c r="P62" s="334" t="n"/>
    </row>
    <row r="63">
      <c r="A63" s="361">
        <f>IFERROR(__xludf.DUMMYFUNCTION("""COMPUTED_VALUE"""),"sur")</f>
        <v/>
      </c>
      <c r="B63" s="403">
        <f>IFERROR(__xludf.DUMMYFUNCTION("""COMPUTED_VALUE"""),"魔都精兵のスレイブ")</f>
        <v/>
      </c>
      <c r="C63" s="412">
        <f>IFERROR(__xludf.DUMMYFUNCTION("""COMPUTED_VALUE"""),"normal")</f>
        <v/>
      </c>
      <c r="D63" s="413">
        <f>IFERROR(__xludf.DUMMYFUNCTION("""COMPUTED_VALUE"""),"main")</f>
        <v/>
      </c>
      <c r="E63" s="403">
        <f>IFERROR(__xludf.DUMMYFUNCTION("""COMPUTED_VALUE"""),"メインクエスト")</f>
        <v/>
      </c>
      <c r="F63" s="391">
        <f>IFERROR(__xludf.DUMMYFUNCTION("""COMPUTED_VALUE"""),"quest_main_sur_normal_10")</f>
        <v/>
      </c>
      <c r="G63" s="370">
        <f>IFERROR(__xludf.DUMMYFUNCTION("""COMPUTED_VALUE"""),"10.魔都精兵のスレイブ")</f>
        <v/>
      </c>
      <c r="H63" s="377">
        <f>IFERROR(__xludf.DUMMYFUNCTION("""COMPUTED_VALUE"""),"03")</f>
        <v/>
      </c>
      <c r="I63" s="377">
        <f>IFERROR(__xludf.DUMMYFUNCTION("""COMPUTED_VALUE"""),"normal_sur_00003")</f>
        <v/>
      </c>
      <c r="J63" s="377">
        <f>IFERROR(__xludf.DUMMYFUNCTION("""COMPUTED_VALUE"""),"stage_icon_sur_normal_03")</f>
        <v/>
      </c>
      <c r="K63" s="368" t="n"/>
      <c r="L63" s="368" t="n"/>
      <c r="M63" s="368" t="n"/>
      <c r="N63" s="369" t="n"/>
      <c r="O63" s="369" t="n"/>
      <c r="P63" s="334" t="n"/>
    </row>
    <row r="64">
      <c r="A64" s="361">
        <f>IFERROR(__xludf.DUMMYFUNCTION("""COMPUTED_VALUE"""),"sur")</f>
        <v/>
      </c>
      <c r="B64" s="403">
        <f>IFERROR(__xludf.DUMMYFUNCTION("""COMPUTED_VALUE"""),"魔都精兵のスレイブ")</f>
        <v/>
      </c>
      <c r="C64" s="412">
        <f>IFERROR(__xludf.DUMMYFUNCTION("""COMPUTED_VALUE"""),"normal")</f>
        <v/>
      </c>
      <c r="D64" s="413">
        <f>IFERROR(__xludf.DUMMYFUNCTION("""COMPUTED_VALUE"""),"main")</f>
        <v/>
      </c>
      <c r="E64" s="403">
        <f>IFERROR(__xludf.DUMMYFUNCTION("""COMPUTED_VALUE"""),"メインクエスト")</f>
        <v/>
      </c>
      <c r="F64" s="391">
        <f>IFERROR(__xludf.DUMMYFUNCTION("""COMPUTED_VALUE"""),"quest_main_sur_normal_10")</f>
        <v/>
      </c>
      <c r="G64" s="370">
        <f>IFERROR(__xludf.DUMMYFUNCTION("""COMPUTED_VALUE"""),"10.魔都精兵のスレイブ")</f>
        <v/>
      </c>
      <c r="H64" s="377">
        <f>IFERROR(__xludf.DUMMYFUNCTION("""COMPUTED_VALUE"""),"04")</f>
        <v/>
      </c>
      <c r="I64" s="377">
        <f>IFERROR(__xludf.DUMMYFUNCTION("""COMPUTED_VALUE"""),"normal_sur_00004")</f>
        <v/>
      </c>
      <c r="J64" s="377">
        <f>IFERROR(__xludf.DUMMYFUNCTION("""COMPUTED_VALUE"""),"stage_icon_sur_normal_04")</f>
        <v/>
      </c>
      <c r="K64" s="368" t="n"/>
      <c r="L64" s="368" t="n"/>
      <c r="M64" s="368" t="n"/>
      <c r="N64" s="369" t="n"/>
      <c r="O64" s="369" t="n"/>
      <c r="P64" s="334" t="n"/>
    </row>
    <row r="65">
      <c r="A65" s="361">
        <f>IFERROR(__xludf.DUMMYFUNCTION("""COMPUTED_VALUE"""),"sur")</f>
        <v/>
      </c>
      <c r="B65" s="403">
        <f>IFERROR(__xludf.DUMMYFUNCTION("""COMPUTED_VALUE"""),"魔都精兵のスレイブ")</f>
        <v/>
      </c>
      <c r="C65" s="412">
        <f>IFERROR(__xludf.DUMMYFUNCTION("""COMPUTED_VALUE"""),"normal")</f>
        <v/>
      </c>
      <c r="D65" s="413">
        <f>IFERROR(__xludf.DUMMYFUNCTION("""COMPUTED_VALUE"""),"main")</f>
        <v/>
      </c>
      <c r="E65" s="403">
        <f>IFERROR(__xludf.DUMMYFUNCTION("""COMPUTED_VALUE"""),"メインクエスト")</f>
        <v/>
      </c>
      <c r="F65" s="391">
        <f>IFERROR(__xludf.DUMMYFUNCTION("""COMPUTED_VALUE"""),"quest_main_sur_normal_10")</f>
        <v/>
      </c>
      <c r="G65" s="370">
        <f>IFERROR(__xludf.DUMMYFUNCTION("""COMPUTED_VALUE"""),"10.魔都精兵のスレイブ")</f>
        <v/>
      </c>
      <c r="H65" s="377">
        <f>IFERROR(__xludf.DUMMYFUNCTION("""COMPUTED_VALUE"""),"05")</f>
        <v/>
      </c>
      <c r="I65" s="377">
        <f>IFERROR(__xludf.DUMMYFUNCTION("""COMPUTED_VALUE"""),"normal_sur_00005")</f>
        <v/>
      </c>
      <c r="J65" s="377">
        <f>IFERROR(__xludf.DUMMYFUNCTION("""COMPUTED_VALUE"""),"stage_icon_sur_normal_05")</f>
        <v/>
      </c>
      <c r="K65" s="368" t="n"/>
      <c r="L65" s="368" t="n"/>
      <c r="M65" s="368" t="n"/>
      <c r="N65" s="369" t="n"/>
      <c r="O65" s="369" t="n"/>
      <c r="P65" s="334" t="n"/>
    </row>
    <row r="66">
      <c r="A66" s="361">
        <f>IFERROR(__xludf.DUMMYFUNCTION("""COMPUTED_VALUE"""),"sur")</f>
        <v/>
      </c>
      <c r="B66" s="403">
        <f>IFERROR(__xludf.DUMMYFUNCTION("""COMPUTED_VALUE"""),"魔都精兵のスレイブ")</f>
        <v/>
      </c>
      <c r="C66" s="412">
        <f>IFERROR(__xludf.DUMMYFUNCTION("""COMPUTED_VALUE"""),"normal")</f>
        <v/>
      </c>
      <c r="D66" s="413">
        <f>IFERROR(__xludf.DUMMYFUNCTION("""COMPUTED_VALUE"""),"main")</f>
        <v/>
      </c>
      <c r="E66" s="403">
        <f>IFERROR(__xludf.DUMMYFUNCTION("""COMPUTED_VALUE"""),"メインクエスト")</f>
        <v/>
      </c>
      <c r="F66" s="391">
        <f>IFERROR(__xludf.DUMMYFUNCTION("""COMPUTED_VALUE"""),"quest_main_sur_normal_10")</f>
        <v/>
      </c>
      <c r="G66" s="370">
        <f>IFERROR(__xludf.DUMMYFUNCTION("""COMPUTED_VALUE"""),"10.魔都精兵のスレイブ")</f>
        <v/>
      </c>
      <c r="H66" s="377">
        <f>IFERROR(__xludf.DUMMYFUNCTION("""COMPUTED_VALUE"""),"06")</f>
        <v/>
      </c>
      <c r="I66" s="377">
        <f>IFERROR(__xludf.DUMMYFUNCTION("""COMPUTED_VALUE"""),"normal_sur_00006")</f>
        <v/>
      </c>
      <c r="J66" s="377">
        <f>IFERROR(__xludf.DUMMYFUNCTION("""COMPUTED_VALUE"""),"stage_icon_sur_normal_06")</f>
        <v/>
      </c>
      <c r="K66" s="368" t="n"/>
      <c r="L66" s="368" t="n"/>
      <c r="M66" s="368" t="n"/>
      <c r="N66" s="369" t="n"/>
      <c r="O66" s="369" t="n"/>
      <c r="P66" s="334" t="n"/>
    </row>
    <row r="67">
      <c r="A67" s="361" t="n"/>
      <c r="B67" s="403" t="n"/>
      <c r="C67" s="363" t="n"/>
      <c r="D67" s="413" t="n"/>
      <c r="E67" s="403" t="n"/>
      <c r="F67" s="391" t="n"/>
      <c r="G67" s="370" t="n"/>
      <c r="H67" s="377" t="n"/>
      <c r="I67" s="377" t="n"/>
      <c r="J67" s="377" t="n"/>
      <c r="K67" s="368" t="n"/>
      <c r="L67" s="368" t="n"/>
      <c r="M67" s="368" t="n"/>
      <c r="N67" s="369" t="n"/>
      <c r="O67" s="369" t="n"/>
      <c r="P67" s="334" t="n"/>
    </row>
    <row r="68">
      <c r="A68" s="361">
        <f>IFERROR(__xludf.DUMMYFUNCTION("""COMPUTED_VALUE"""),"rik")</f>
        <v/>
      </c>
      <c r="B68" s="403">
        <f>IFERROR(__xludf.DUMMYFUNCTION("""COMPUTED_VALUE"""),"トマトイプーのリコピン")</f>
        <v/>
      </c>
      <c r="C68" s="412">
        <f>IFERROR(__xludf.DUMMYFUNCTION("""COMPUTED_VALUE"""),"normal")</f>
        <v/>
      </c>
      <c r="D68" s="413">
        <f>IFERROR(__xludf.DUMMYFUNCTION("""COMPUTED_VALUE"""),"main")</f>
        <v/>
      </c>
      <c r="E68" s="403">
        <f>IFERROR(__xludf.DUMMYFUNCTION("""COMPUTED_VALUE"""),"メインクエスト")</f>
        <v/>
      </c>
      <c r="F68" s="391">
        <f>IFERROR(__xludf.DUMMYFUNCTION("""COMPUTED_VALUE"""),"quest_main_rik_normal_11")</f>
        <v/>
      </c>
      <c r="G68" s="370">
        <f>IFERROR(__xludf.DUMMYFUNCTION("""COMPUTED_VALUE"""),"11.トマトイプーのリコピン")</f>
        <v/>
      </c>
      <c r="H68" s="377">
        <f>IFERROR(__xludf.DUMMYFUNCTION("""COMPUTED_VALUE"""),"01")</f>
        <v/>
      </c>
      <c r="I68" s="377">
        <f>IFERROR(__xludf.DUMMYFUNCTION("""COMPUTED_VALUE"""),"normal_rik_00001")</f>
        <v/>
      </c>
      <c r="J68" s="377">
        <f>IFERROR(__xludf.DUMMYFUNCTION("""COMPUTED_VALUE"""),"stage_icon_rik_normal_01")</f>
        <v/>
      </c>
      <c r="K68" s="368">
        <f>IFERROR(__xludf.DUMMYFUNCTION("""COMPUTED_VALUE"""),"quest_image_rik_1")</f>
        <v/>
      </c>
      <c r="L68" s="368" t="n"/>
      <c r="M68" s="368" t="n"/>
      <c r="N68" s="369" t="n"/>
      <c r="O68" s="369" t="n"/>
      <c r="P68" s="334" t="n"/>
    </row>
    <row r="69">
      <c r="A69" s="361">
        <f>IFERROR(__xludf.DUMMYFUNCTION("""COMPUTED_VALUE"""),"rik")</f>
        <v/>
      </c>
      <c r="B69" s="403">
        <f>IFERROR(__xludf.DUMMYFUNCTION("""COMPUTED_VALUE"""),"トマトイプーのリコピン")</f>
        <v/>
      </c>
      <c r="C69" s="412">
        <f>IFERROR(__xludf.DUMMYFUNCTION("""COMPUTED_VALUE"""),"normal")</f>
        <v/>
      </c>
      <c r="D69" s="413">
        <f>IFERROR(__xludf.DUMMYFUNCTION("""COMPUTED_VALUE"""),"main")</f>
        <v/>
      </c>
      <c r="E69" s="403">
        <f>IFERROR(__xludf.DUMMYFUNCTION("""COMPUTED_VALUE"""),"メインクエスト")</f>
        <v/>
      </c>
      <c r="F69" s="391">
        <f>IFERROR(__xludf.DUMMYFUNCTION("""COMPUTED_VALUE"""),"quest_main_rik_normal_11")</f>
        <v/>
      </c>
      <c r="G69" s="370">
        <f>IFERROR(__xludf.DUMMYFUNCTION("""COMPUTED_VALUE"""),"11.トマトイプーのリコピン")</f>
        <v/>
      </c>
      <c r="H69" s="377">
        <f>IFERROR(__xludf.DUMMYFUNCTION("""COMPUTED_VALUE"""),"02")</f>
        <v/>
      </c>
      <c r="I69" s="377">
        <f>IFERROR(__xludf.DUMMYFUNCTION("""COMPUTED_VALUE"""),"normal_rik_00002")</f>
        <v/>
      </c>
      <c r="J69" s="377">
        <f>IFERROR(__xludf.DUMMYFUNCTION("""COMPUTED_VALUE"""),"stage_icon_rik_normal_02")</f>
        <v/>
      </c>
      <c r="K69" s="368" t="n"/>
      <c r="L69" s="368" t="n"/>
      <c r="M69" s="368" t="n"/>
      <c r="N69" s="369" t="n"/>
      <c r="O69" s="369" t="n"/>
      <c r="P69" s="334" t="n"/>
    </row>
    <row r="70">
      <c r="A70" s="361">
        <f>IFERROR(__xludf.DUMMYFUNCTION("""COMPUTED_VALUE"""),"rik")</f>
        <v/>
      </c>
      <c r="B70" s="403">
        <f>IFERROR(__xludf.DUMMYFUNCTION("""COMPUTED_VALUE"""),"トマトイプーのリコピン")</f>
        <v/>
      </c>
      <c r="C70" s="412">
        <f>IFERROR(__xludf.DUMMYFUNCTION("""COMPUTED_VALUE"""),"normal")</f>
        <v/>
      </c>
      <c r="D70" s="413">
        <f>IFERROR(__xludf.DUMMYFUNCTION("""COMPUTED_VALUE"""),"main")</f>
        <v/>
      </c>
      <c r="E70" s="403">
        <f>IFERROR(__xludf.DUMMYFUNCTION("""COMPUTED_VALUE"""),"メインクエスト")</f>
        <v/>
      </c>
      <c r="F70" s="391">
        <f>IFERROR(__xludf.DUMMYFUNCTION("""COMPUTED_VALUE"""),"quest_main_rik_normal_11")</f>
        <v/>
      </c>
      <c r="G70" s="370">
        <f>IFERROR(__xludf.DUMMYFUNCTION("""COMPUTED_VALUE"""),"11.トマトイプーのリコピン")</f>
        <v/>
      </c>
      <c r="H70" s="377">
        <f>IFERROR(__xludf.DUMMYFUNCTION("""COMPUTED_VALUE"""),"03")</f>
        <v/>
      </c>
      <c r="I70" s="377">
        <f>IFERROR(__xludf.DUMMYFUNCTION("""COMPUTED_VALUE"""),"normal_rik_00003")</f>
        <v/>
      </c>
      <c r="J70" s="377">
        <f>IFERROR(__xludf.DUMMYFUNCTION("""COMPUTED_VALUE"""),"stage_icon_rik_normal_03")</f>
        <v/>
      </c>
      <c r="K70" s="368" t="n"/>
      <c r="L70" s="368" t="n"/>
      <c r="M70" s="368" t="n"/>
      <c r="N70" s="369" t="n"/>
      <c r="O70" s="369" t="n"/>
      <c r="P70" s="334" t="n"/>
    </row>
    <row r="71">
      <c r="A71" s="361" t="n"/>
      <c r="B71" s="403" t="n"/>
      <c r="C71" s="363" t="n"/>
      <c r="D71" s="413" t="n"/>
      <c r="E71" s="403" t="n"/>
      <c r="F71" s="391" t="n"/>
      <c r="G71" s="370" t="n"/>
      <c r="H71" s="370" t="n"/>
      <c r="I71" s="377" t="n"/>
      <c r="J71" s="377" t="n"/>
      <c r="K71" s="368" t="n"/>
      <c r="L71" s="368" t="n"/>
      <c r="M71" s="368" t="n"/>
      <c r="N71" s="368" t="n"/>
      <c r="O71" s="369" t="n"/>
      <c r="P71" s="334" t="n"/>
    </row>
    <row r="72">
      <c r="A72" s="361">
        <f>IFERROR(__xludf.DUMMYFUNCTION("""COMPUTED_VALUE"""),"glo3")</f>
        <v/>
      </c>
      <c r="B72" s="403">
        <f>IFERROR(__xludf.DUMMYFUNCTION("""COMPUTED_VALUE"""),"GLOW")</f>
        <v/>
      </c>
      <c r="C72" s="412">
        <f>IFERROR(__xludf.DUMMYFUNCTION("""COMPUTED_VALUE"""),"normal")</f>
        <v/>
      </c>
      <c r="D72" s="413">
        <f>IFERROR(__xludf.DUMMYFUNCTION("""COMPUTED_VALUE"""),"main")</f>
        <v/>
      </c>
      <c r="E72" s="403">
        <f>IFERROR(__xludf.DUMMYFUNCTION("""COMPUTED_VALUE"""),"メインクエスト")</f>
        <v/>
      </c>
      <c r="F72" s="391">
        <f>IFERROR(__xludf.DUMMYFUNCTION("""COMPUTED_VALUE"""),"quest_main_glo3_normal_12")</f>
        <v/>
      </c>
      <c r="G72" s="370">
        <f>IFERROR(__xludf.DUMMYFUNCTION("""COMPUTED_VALUE"""),"12.リミックスクエスト Vol.3")</f>
        <v/>
      </c>
      <c r="H72" s="377">
        <f>IFERROR(__xludf.DUMMYFUNCTION("""COMPUTED_VALUE"""),"01")</f>
        <v/>
      </c>
      <c r="I72" s="377">
        <f>IFERROR(__xludf.DUMMYFUNCTION("""COMPUTED_VALUE"""),"normal_glo3_00001")</f>
        <v/>
      </c>
      <c r="J72" s="377">
        <f>IFERROR(__xludf.DUMMYFUNCTION("""COMPUTED_VALUE"""),"stage_icon_glo3_normal_01")</f>
        <v/>
      </c>
      <c r="K72" s="368">
        <f>IFERROR(__xludf.DUMMYFUNCTION("""COMPUTED_VALUE"""),"quest_image_glo3_1")</f>
        <v/>
      </c>
      <c r="L72" s="368" t="n"/>
      <c r="M72" s="368" t="n"/>
      <c r="N72" s="369" t="n"/>
      <c r="O72" s="369" t="n"/>
      <c r="P72" s="334" t="n"/>
    </row>
    <row r="73">
      <c r="A73" s="361">
        <f>IFERROR(__xludf.DUMMYFUNCTION("""COMPUTED_VALUE"""),"glo3")</f>
        <v/>
      </c>
      <c r="B73" s="403">
        <f>IFERROR(__xludf.DUMMYFUNCTION("""COMPUTED_VALUE"""),"GLOW")</f>
        <v/>
      </c>
      <c r="C73" s="412">
        <f>IFERROR(__xludf.DUMMYFUNCTION("""COMPUTED_VALUE"""),"normal")</f>
        <v/>
      </c>
      <c r="D73" s="413">
        <f>IFERROR(__xludf.DUMMYFUNCTION("""COMPUTED_VALUE"""),"main")</f>
        <v/>
      </c>
      <c r="E73" s="403">
        <f>IFERROR(__xludf.DUMMYFUNCTION("""COMPUTED_VALUE"""),"メインクエスト")</f>
        <v/>
      </c>
      <c r="F73" s="391">
        <f>IFERROR(__xludf.DUMMYFUNCTION("""COMPUTED_VALUE"""),"quest_main_glo3_normal_12")</f>
        <v/>
      </c>
      <c r="G73" s="370">
        <f>IFERROR(__xludf.DUMMYFUNCTION("""COMPUTED_VALUE"""),"12.リミックスクエスト Vol.3")</f>
        <v/>
      </c>
      <c r="H73" s="377">
        <f>IFERROR(__xludf.DUMMYFUNCTION("""COMPUTED_VALUE"""),"02")</f>
        <v/>
      </c>
      <c r="I73" s="377">
        <f>IFERROR(__xludf.DUMMYFUNCTION("""COMPUTED_VALUE"""),"normal_glo3_00002")</f>
        <v/>
      </c>
      <c r="J73" s="377">
        <f>IFERROR(__xludf.DUMMYFUNCTION("""COMPUTED_VALUE"""),"stage_icon_glo3_normal_02")</f>
        <v/>
      </c>
      <c r="K73" s="368" t="n"/>
      <c r="L73" s="368" t="n"/>
      <c r="M73" s="368" t="n"/>
      <c r="N73" s="369" t="n"/>
      <c r="O73" s="369" t="n"/>
      <c r="P73" s="334" t="n"/>
    </row>
    <row r="74">
      <c r="A74" s="361">
        <f>IFERROR(__xludf.DUMMYFUNCTION("""COMPUTED_VALUE"""),"glo3")</f>
        <v/>
      </c>
      <c r="B74" s="403">
        <f>IFERROR(__xludf.DUMMYFUNCTION("""COMPUTED_VALUE"""),"GLOW")</f>
        <v/>
      </c>
      <c r="C74" s="412">
        <f>IFERROR(__xludf.DUMMYFUNCTION("""COMPUTED_VALUE"""),"normal")</f>
        <v/>
      </c>
      <c r="D74" s="413">
        <f>IFERROR(__xludf.DUMMYFUNCTION("""COMPUTED_VALUE"""),"main")</f>
        <v/>
      </c>
      <c r="E74" s="403">
        <f>IFERROR(__xludf.DUMMYFUNCTION("""COMPUTED_VALUE"""),"メインクエスト")</f>
        <v/>
      </c>
      <c r="F74" s="391">
        <f>IFERROR(__xludf.DUMMYFUNCTION("""COMPUTED_VALUE"""),"quest_main_glo3_normal_12")</f>
        <v/>
      </c>
      <c r="G74" s="370">
        <f>IFERROR(__xludf.DUMMYFUNCTION("""COMPUTED_VALUE"""),"12.リミックスクエスト Vol.3")</f>
        <v/>
      </c>
      <c r="H74" s="377">
        <f>IFERROR(__xludf.DUMMYFUNCTION("""COMPUTED_VALUE"""),"03")</f>
        <v/>
      </c>
      <c r="I74" s="377">
        <f>IFERROR(__xludf.DUMMYFUNCTION("""COMPUTED_VALUE"""),"normal_glo3_00003")</f>
        <v/>
      </c>
      <c r="J74" s="377">
        <f>IFERROR(__xludf.DUMMYFUNCTION("""COMPUTED_VALUE"""),"stage_icon_glo3_normal_03")</f>
        <v/>
      </c>
      <c r="K74" s="368" t="n"/>
      <c r="L74" s="368" t="n"/>
      <c r="M74" s="368" t="n"/>
      <c r="N74" s="369" t="n"/>
      <c r="O74" s="369" t="n"/>
      <c r="P74" s="334" t="n"/>
    </row>
    <row r="75">
      <c r="A75" s="361">
        <f>IFERROR(__xludf.DUMMYFUNCTION("""COMPUTED_VALUE"""),"glo3")</f>
        <v/>
      </c>
      <c r="B75" s="403">
        <f>IFERROR(__xludf.DUMMYFUNCTION("""COMPUTED_VALUE"""),"GLOW")</f>
        <v/>
      </c>
      <c r="C75" s="412">
        <f>IFERROR(__xludf.DUMMYFUNCTION("""COMPUTED_VALUE"""),"normal")</f>
        <v/>
      </c>
      <c r="D75" s="413">
        <f>IFERROR(__xludf.DUMMYFUNCTION("""COMPUTED_VALUE"""),"main")</f>
        <v/>
      </c>
      <c r="E75" s="403">
        <f>IFERROR(__xludf.DUMMYFUNCTION("""COMPUTED_VALUE"""),"メインクエスト")</f>
        <v/>
      </c>
      <c r="F75" s="391">
        <f>IFERROR(__xludf.DUMMYFUNCTION("""COMPUTED_VALUE"""),"quest_main_glo3_normal_12")</f>
        <v/>
      </c>
      <c r="G75" s="370">
        <f>IFERROR(__xludf.DUMMYFUNCTION("""COMPUTED_VALUE"""),"12.リミックスクエスト Vol.3")</f>
        <v/>
      </c>
      <c r="H75" s="377">
        <f>IFERROR(__xludf.DUMMYFUNCTION("""COMPUTED_VALUE"""),"04")</f>
        <v/>
      </c>
      <c r="I75" s="377">
        <f>IFERROR(__xludf.DUMMYFUNCTION("""COMPUTED_VALUE"""),"normal_glo3_00004")</f>
        <v/>
      </c>
      <c r="J75" s="377">
        <f>IFERROR(__xludf.DUMMYFUNCTION("""COMPUTED_VALUE"""),"stage_icon_glo3_normal_04")</f>
        <v/>
      </c>
      <c r="K75" s="368" t="n"/>
      <c r="L75" s="368" t="n"/>
      <c r="M75" s="368" t="n"/>
      <c r="N75" s="369" t="n"/>
      <c r="O75" s="369" t="n"/>
      <c r="P75" s="334" t="n"/>
    </row>
    <row r="76">
      <c r="A76" s="361">
        <f>IFERROR(__xludf.DUMMYFUNCTION("""COMPUTED_VALUE"""),"glo3")</f>
        <v/>
      </c>
      <c r="B76" s="403">
        <f>IFERROR(__xludf.DUMMYFUNCTION("""COMPUTED_VALUE"""),"GLOW")</f>
        <v/>
      </c>
      <c r="C76" s="412">
        <f>IFERROR(__xludf.DUMMYFUNCTION("""COMPUTED_VALUE"""),"normal")</f>
        <v/>
      </c>
      <c r="D76" s="413">
        <f>IFERROR(__xludf.DUMMYFUNCTION("""COMPUTED_VALUE"""),"main")</f>
        <v/>
      </c>
      <c r="E76" s="403">
        <f>IFERROR(__xludf.DUMMYFUNCTION("""COMPUTED_VALUE"""),"メインクエスト")</f>
        <v/>
      </c>
      <c r="F76" s="391">
        <f>IFERROR(__xludf.DUMMYFUNCTION("""COMPUTED_VALUE"""),"quest_main_glo3_normal_12")</f>
        <v/>
      </c>
      <c r="G76" s="370">
        <f>IFERROR(__xludf.DUMMYFUNCTION("""COMPUTED_VALUE"""),"12.リミックスクエスト Vol.3")</f>
        <v/>
      </c>
      <c r="H76" s="413">
        <f>IFERROR(__xludf.DUMMYFUNCTION("""COMPUTED_VALUE"""),"05")</f>
        <v/>
      </c>
      <c r="I76" s="377">
        <f>IFERROR(__xludf.DUMMYFUNCTION("""COMPUTED_VALUE"""),"normal_glo3_00005")</f>
        <v/>
      </c>
      <c r="J76" s="377">
        <f>IFERROR(__xludf.DUMMYFUNCTION("""COMPUTED_VALUE"""),"stage_icon_glo3_normal_05")</f>
        <v/>
      </c>
      <c r="K76" s="368" t="n"/>
      <c r="L76" s="368" t="n"/>
      <c r="M76" s="368" t="n"/>
      <c r="N76" s="368" t="n"/>
      <c r="O76" s="369" t="n"/>
      <c r="P76" s="334" t="n"/>
    </row>
    <row r="77">
      <c r="A77" s="361">
        <f>IFERROR(__xludf.DUMMYFUNCTION("""COMPUTED_VALUE"""),"glo3")</f>
        <v/>
      </c>
      <c r="B77" s="403">
        <f>IFERROR(__xludf.DUMMYFUNCTION("""COMPUTED_VALUE"""),"GLOW")</f>
        <v/>
      </c>
      <c r="C77" s="412">
        <f>IFERROR(__xludf.DUMMYFUNCTION("""COMPUTED_VALUE"""),"normal")</f>
        <v/>
      </c>
      <c r="D77" s="413">
        <f>IFERROR(__xludf.DUMMYFUNCTION("""COMPUTED_VALUE"""),"main")</f>
        <v/>
      </c>
      <c r="E77" s="391">
        <f>IFERROR(__xludf.DUMMYFUNCTION("""COMPUTED_VALUE"""),"メインクエスト")</f>
        <v/>
      </c>
      <c r="F77" s="391">
        <f>IFERROR(__xludf.DUMMYFUNCTION("""COMPUTED_VALUE"""),"quest_main_glo3_normal_12")</f>
        <v/>
      </c>
      <c r="G77" s="370">
        <f>IFERROR(__xludf.DUMMYFUNCTION("""COMPUTED_VALUE"""),"12.リミックスクエスト Vol.3")</f>
        <v/>
      </c>
      <c r="H77" s="377">
        <f>IFERROR(__xludf.DUMMYFUNCTION("""COMPUTED_VALUE"""),"06")</f>
        <v/>
      </c>
      <c r="I77" s="377">
        <f>IFERROR(__xludf.DUMMYFUNCTION("""COMPUTED_VALUE"""),"normal_glo3_00006")</f>
        <v/>
      </c>
      <c r="J77" s="377">
        <f>IFERROR(__xludf.DUMMYFUNCTION("""COMPUTED_VALUE"""),"stage_icon_glo3_normal_06")</f>
        <v/>
      </c>
      <c r="K77" s="368" t="n"/>
      <c r="L77" s="368" t="n"/>
      <c r="M77" s="368" t="n"/>
      <c r="N77" s="398" t="n"/>
      <c r="O77" s="369" t="n"/>
      <c r="P77" s="334" t="n"/>
    </row>
    <row r="78">
      <c r="A78" s="361" t="n"/>
      <c r="B78" s="403" t="n"/>
      <c r="C78" s="363" t="n"/>
      <c r="D78" s="413" t="n"/>
      <c r="E78" s="391" t="n"/>
      <c r="F78" s="391" t="n"/>
      <c r="G78" s="370" t="n"/>
      <c r="H78" s="377" t="n"/>
      <c r="I78" s="377" t="n"/>
      <c r="J78" s="377" t="n"/>
      <c r="K78" s="368" t="n"/>
      <c r="L78" s="368" t="n"/>
      <c r="M78" s="368" t="n"/>
      <c r="N78" s="369" t="n"/>
      <c r="O78" s="369" t="n"/>
      <c r="P78" s="334" t="n"/>
    </row>
    <row r="79">
      <c r="A79" s="361">
        <f>IFERROR(__xludf.DUMMYFUNCTION("""COMPUTED_VALUE"""),"mag")</f>
        <v/>
      </c>
      <c r="B79" s="403">
        <f>IFERROR(__xludf.DUMMYFUNCTION("""COMPUTED_VALUE"""),"株式会社マジルミエ")</f>
        <v/>
      </c>
      <c r="C79" s="412">
        <f>IFERROR(__xludf.DUMMYFUNCTION("""COMPUTED_VALUE"""),"normal")</f>
        <v/>
      </c>
      <c r="D79" s="413">
        <f>IFERROR(__xludf.DUMMYFUNCTION("""COMPUTED_VALUE"""),"main")</f>
        <v/>
      </c>
      <c r="E79" s="391">
        <f>IFERROR(__xludf.DUMMYFUNCTION("""COMPUTED_VALUE"""),"メインクエスト")</f>
        <v/>
      </c>
      <c r="F79" s="391">
        <f>IFERROR(__xludf.DUMMYFUNCTION("""COMPUTED_VALUE"""),"quest_main_mag_normal_13")</f>
        <v/>
      </c>
      <c r="G79" s="370">
        <f>IFERROR(__xludf.DUMMYFUNCTION("""COMPUTED_VALUE"""),"13.株式会社マジルミエ")</f>
        <v/>
      </c>
      <c r="H79" s="377">
        <f>IFERROR(__xludf.DUMMYFUNCTION("""COMPUTED_VALUE"""),"01")</f>
        <v/>
      </c>
      <c r="I79" s="377">
        <f>IFERROR(__xludf.DUMMYFUNCTION("""COMPUTED_VALUE"""),"normal_mag_00001")</f>
        <v/>
      </c>
      <c r="J79" s="377">
        <f>IFERROR(__xludf.DUMMYFUNCTION("""COMPUTED_VALUE"""),"stage_icon_mag_normal_01")</f>
        <v/>
      </c>
      <c r="K79" s="368">
        <f>IFERROR(__xludf.DUMMYFUNCTION("""COMPUTED_VALUE"""),"quest_image_mag_1")</f>
        <v/>
      </c>
      <c r="L79" s="368" t="n"/>
      <c r="M79" s="368" t="n"/>
      <c r="N79" s="369" t="n"/>
      <c r="O79" s="369" t="n"/>
      <c r="P79" s="334" t="n"/>
    </row>
    <row r="80">
      <c r="A80" s="361">
        <f>IFERROR(__xludf.DUMMYFUNCTION("""COMPUTED_VALUE"""),"mag")</f>
        <v/>
      </c>
      <c r="B80" s="403">
        <f>IFERROR(__xludf.DUMMYFUNCTION("""COMPUTED_VALUE"""),"株式会社マジルミエ")</f>
        <v/>
      </c>
      <c r="C80" s="412">
        <f>IFERROR(__xludf.DUMMYFUNCTION("""COMPUTED_VALUE"""),"normal")</f>
        <v/>
      </c>
      <c r="D80" s="413">
        <f>IFERROR(__xludf.DUMMYFUNCTION("""COMPUTED_VALUE"""),"main")</f>
        <v/>
      </c>
      <c r="E80" s="391">
        <f>IFERROR(__xludf.DUMMYFUNCTION("""COMPUTED_VALUE"""),"メインクエスト")</f>
        <v/>
      </c>
      <c r="F80" s="391">
        <f>IFERROR(__xludf.DUMMYFUNCTION("""COMPUTED_VALUE"""),"quest_main_mag_normal_13")</f>
        <v/>
      </c>
      <c r="G80" s="370">
        <f>IFERROR(__xludf.DUMMYFUNCTION("""COMPUTED_VALUE"""),"13.株式会社マジルミエ")</f>
        <v/>
      </c>
      <c r="H80" s="377">
        <f>IFERROR(__xludf.DUMMYFUNCTION("""COMPUTED_VALUE"""),"02")</f>
        <v/>
      </c>
      <c r="I80" s="377">
        <f>IFERROR(__xludf.DUMMYFUNCTION("""COMPUTED_VALUE"""),"normal_mag_00002")</f>
        <v/>
      </c>
      <c r="J80" s="377">
        <f>IFERROR(__xludf.DUMMYFUNCTION("""COMPUTED_VALUE"""),"stage_icon_mag_normal_02")</f>
        <v/>
      </c>
      <c r="K80" s="368" t="n"/>
      <c r="L80" s="368" t="n"/>
      <c r="M80" s="368" t="n"/>
      <c r="N80" s="369" t="n"/>
      <c r="O80" s="369" t="n"/>
      <c r="P80" s="334" t="n"/>
    </row>
    <row r="81">
      <c r="A81" s="361">
        <f>IFERROR(__xludf.DUMMYFUNCTION("""COMPUTED_VALUE"""),"mag")</f>
        <v/>
      </c>
      <c r="B81" s="403">
        <f>IFERROR(__xludf.DUMMYFUNCTION("""COMPUTED_VALUE"""),"株式会社マジルミエ")</f>
        <v/>
      </c>
      <c r="C81" s="412">
        <f>IFERROR(__xludf.DUMMYFUNCTION("""COMPUTED_VALUE"""),"normal")</f>
        <v/>
      </c>
      <c r="D81" s="413">
        <f>IFERROR(__xludf.DUMMYFUNCTION("""COMPUTED_VALUE"""),"main")</f>
        <v/>
      </c>
      <c r="E81" s="391">
        <f>IFERROR(__xludf.DUMMYFUNCTION("""COMPUTED_VALUE"""),"メインクエスト")</f>
        <v/>
      </c>
      <c r="F81" s="391">
        <f>IFERROR(__xludf.DUMMYFUNCTION("""COMPUTED_VALUE"""),"quest_main_mag_normal_13")</f>
        <v/>
      </c>
      <c r="G81" s="370">
        <f>IFERROR(__xludf.DUMMYFUNCTION("""COMPUTED_VALUE"""),"13.株式会社マジルミエ")</f>
        <v/>
      </c>
      <c r="H81" s="377">
        <f>IFERROR(__xludf.DUMMYFUNCTION("""COMPUTED_VALUE"""),"03")</f>
        <v/>
      </c>
      <c r="I81" s="377">
        <f>IFERROR(__xludf.DUMMYFUNCTION("""COMPUTED_VALUE"""),"normal_mag_00003")</f>
        <v/>
      </c>
      <c r="J81" s="377">
        <f>IFERROR(__xludf.DUMMYFUNCTION("""COMPUTED_VALUE"""),"stage_icon_mag_normal_03")</f>
        <v/>
      </c>
      <c r="K81" s="368" t="n"/>
      <c r="L81" s="368" t="n"/>
      <c r="M81" s="368" t="n"/>
      <c r="N81" s="369" t="n"/>
      <c r="O81" s="369" t="n"/>
      <c r="P81" s="334" t="n"/>
    </row>
    <row r="82">
      <c r="A82" s="361">
        <f>IFERROR(__xludf.DUMMYFUNCTION("""COMPUTED_VALUE"""),"mag")</f>
        <v/>
      </c>
      <c r="B82" s="403">
        <f>IFERROR(__xludf.DUMMYFUNCTION("""COMPUTED_VALUE"""),"株式会社マジルミエ")</f>
        <v/>
      </c>
      <c r="C82" s="412">
        <f>IFERROR(__xludf.DUMMYFUNCTION("""COMPUTED_VALUE"""),"normal")</f>
        <v/>
      </c>
      <c r="D82" s="413">
        <f>IFERROR(__xludf.DUMMYFUNCTION("""COMPUTED_VALUE"""),"main")</f>
        <v/>
      </c>
      <c r="E82" s="391">
        <f>IFERROR(__xludf.DUMMYFUNCTION("""COMPUTED_VALUE"""),"メインクエスト")</f>
        <v/>
      </c>
      <c r="F82" s="391">
        <f>IFERROR(__xludf.DUMMYFUNCTION("""COMPUTED_VALUE"""),"quest_main_mag_normal_13")</f>
        <v/>
      </c>
      <c r="G82" s="370">
        <f>IFERROR(__xludf.DUMMYFUNCTION("""COMPUTED_VALUE"""),"13.株式会社マジルミエ")</f>
        <v/>
      </c>
      <c r="H82" s="377">
        <f>IFERROR(__xludf.DUMMYFUNCTION("""COMPUTED_VALUE"""),"04")</f>
        <v/>
      </c>
      <c r="I82" s="377">
        <f>IFERROR(__xludf.DUMMYFUNCTION("""COMPUTED_VALUE"""),"normal_mag_00004")</f>
        <v/>
      </c>
      <c r="J82" s="377">
        <f>IFERROR(__xludf.DUMMYFUNCTION("""COMPUTED_VALUE"""),"stage_icon_mag_normal_04")</f>
        <v/>
      </c>
      <c r="K82" s="368" t="n"/>
      <c r="L82" s="368" t="n"/>
      <c r="M82" s="368" t="n"/>
      <c r="N82" s="369" t="n"/>
      <c r="O82" s="369" t="n"/>
      <c r="P82" s="334" t="n"/>
    </row>
    <row r="83">
      <c r="A83" s="361">
        <f>IFERROR(__xludf.DUMMYFUNCTION("""COMPUTED_VALUE"""),"mag")</f>
        <v/>
      </c>
      <c r="B83" s="403">
        <f>IFERROR(__xludf.DUMMYFUNCTION("""COMPUTED_VALUE"""),"株式会社マジルミエ")</f>
        <v/>
      </c>
      <c r="C83" s="412">
        <f>IFERROR(__xludf.DUMMYFUNCTION("""COMPUTED_VALUE"""),"normal")</f>
        <v/>
      </c>
      <c r="D83" s="413">
        <f>IFERROR(__xludf.DUMMYFUNCTION("""COMPUTED_VALUE"""),"main")</f>
        <v/>
      </c>
      <c r="E83" s="391">
        <f>IFERROR(__xludf.DUMMYFUNCTION("""COMPUTED_VALUE"""),"メインクエスト")</f>
        <v/>
      </c>
      <c r="F83" s="391">
        <f>IFERROR(__xludf.DUMMYFUNCTION("""COMPUTED_VALUE"""),"quest_main_mag_normal_13")</f>
        <v/>
      </c>
      <c r="G83" s="370">
        <f>IFERROR(__xludf.DUMMYFUNCTION("""COMPUTED_VALUE"""),"13.株式会社マジルミエ")</f>
        <v/>
      </c>
      <c r="H83" s="377">
        <f>IFERROR(__xludf.DUMMYFUNCTION("""COMPUTED_VALUE"""),"05")</f>
        <v/>
      </c>
      <c r="I83" s="377">
        <f>IFERROR(__xludf.DUMMYFUNCTION("""COMPUTED_VALUE"""),"normal_mag_00005")</f>
        <v/>
      </c>
      <c r="J83" s="377">
        <f>IFERROR(__xludf.DUMMYFUNCTION("""COMPUTED_VALUE"""),"stage_icon_mag_normal_05")</f>
        <v/>
      </c>
      <c r="K83" s="368" t="n"/>
      <c r="L83" s="368" t="n"/>
      <c r="M83" s="368" t="n"/>
      <c r="N83" s="369" t="n"/>
      <c r="O83" s="369" t="n"/>
      <c r="P83" s="334" t="n"/>
    </row>
    <row r="84">
      <c r="A84" s="361">
        <f>IFERROR(__xludf.DUMMYFUNCTION("""COMPUTED_VALUE"""),"mag")</f>
        <v/>
      </c>
      <c r="B84" s="403">
        <f>IFERROR(__xludf.DUMMYFUNCTION("""COMPUTED_VALUE"""),"株式会社マジルミエ")</f>
        <v/>
      </c>
      <c r="C84" s="412">
        <f>IFERROR(__xludf.DUMMYFUNCTION("""COMPUTED_VALUE"""),"normal")</f>
        <v/>
      </c>
      <c r="D84" s="413">
        <f>IFERROR(__xludf.DUMMYFUNCTION("""COMPUTED_VALUE"""),"main")</f>
        <v/>
      </c>
      <c r="E84" s="391">
        <f>IFERROR(__xludf.DUMMYFUNCTION("""COMPUTED_VALUE"""),"メインクエスト")</f>
        <v/>
      </c>
      <c r="F84" s="391">
        <f>IFERROR(__xludf.DUMMYFUNCTION("""COMPUTED_VALUE"""),"quest_main_mag_normal_13")</f>
        <v/>
      </c>
      <c r="G84" s="370">
        <f>IFERROR(__xludf.DUMMYFUNCTION("""COMPUTED_VALUE"""),"13.株式会社マジルミエ")</f>
        <v/>
      </c>
      <c r="H84" s="377">
        <f>IFERROR(__xludf.DUMMYFUNCTION("""COMPUTED_VALUE"""),"06")</f>
        <v/>
      </c>
      <c r="I84" s="377">
        <f>IFERROR(__xludf.DUMMYFUNCTION("""COMPUTED_VALUE"""),"normal_mag_00006")</f>
        <v/>
      </c>
      <c r="J84" s="377">
        <f>IFERROR(__xludf.DUMMYFUNCTION("""COMPUTED_VALUE"""),"stage_icon_mag_normal_06")</f>
        <v/>
      </c>
      <c r="K84" s="368" t="n"/>
      <c r="L84" s="368" t="n"/>
      <c r="M84" s="368" t="n"/>
      <c r="N84" s="369" t="n"/>
      <c r="O84" s="369" t="n"/>
      <c r="P84" s="334" t="n"/>
    </row>
    <row r="85">
      <c r="A85" s="361" t="n"/>
      <c r="B85" s="403" t="n"/>
      <c r="C85" s="363" t="n"/>
      <c r="D85" s="413" t="n"/>
      <c r="E85" s="391" t="n"/>
      <c r="F85" s="391" t="n"/>
      <c r="G85" s="370" t="n"/>
      <c r="H85" s="377" t="n"/>
      <c r="I85" s="377" t="n"/>
      <c r="J85" s="377" t="n"/>
      <c r="K85" s="368" t="n"/>
      <c r="L85" s="368" t="n"/>
      <c r="M85" s="368" t="n"/>
      <c r="N85" s="369" t="n"/>
      <c r="O85" s="369" t="n"/>
      <c r="P85" s="334" t="n"/>
    </row>
    <row r="86">
      <c r="A86" s="361">
        <f>IFERROR(__xludf.DUMMYFUNCTION("""COMPUTED_VALUE"""),"sum")</f>
        <v/>
      </c>
      <c r="B86" s="403">
        <f>IFERROR(__xludf.DUMMYFUNCTION("""COMPUTED_VALUE"""),"サマータイムレンダ")</f>
        <v/>
      </c>
      <c r="C86" s="412">
        <f>IFERROR(__xludf.DUMMYFUNCTION("""COMPUTED_VALUE"""),"normal")</f>
        <v/>
      </c>
      <c r="D86" s="413">
        <f>IFERROR(__xludf.DUMMYFUNCTION("""COMPUTED_VALUE"""),"main")</f>
        <v/>
      </c>
      <c r="E86" s="391">
        <f>IFERROR(__xludf.DUMMYFUNCTION("""COMPUTED_VALUE"""),"メインクエスト")</f>
        <v/>
      </c>
      <c r="F86" s="391">
        <f>IFERROR(__xludf.DUMMYFUNCTION("""COMPUTED_VALUE"""),"quest_main_sum_normal_14")</f>
        <v/>
      </c>
      <c r="G86" s="370">
        <f>IFERROR(__xludf.DUMMYFUNCTION("""COMPUTED_VALUE"""),"14.サマータイムレンダ")</f>
        <v/>
      </c>
      <c r="H86" s="377">
        <f>IFERROR(__xludf.DUMMYFUNCTION("""COMPUTED_VALUE"""),"01")</f>
        <v/>
      </c>
      <c r="I86" s="377">
        <f>IFERROR(__xludf.DUMMYFUNCTION("""COMPUTED_VALUE"""),"normal_sum_00001")</f>
        <v/>
      </c>
      <c r="J86" s="377">
        <f>IFERROR(__xludf.DUMMYFUNCTION("""COMPUTED_VALUE"""),"stage_icon_sum_normal_01")</f>
        <v/>
      </c>
      <c r="K86" s="368">
        <f>IFERROR(__xludf.DUMMYFUNCTION("""COMPUTED_VALUE"""),"quest_image_sum_1")</f>
        <v/>
      </c>
      <c r="L86" s="368" t="n"/>
      <c r="M86" s="368" t="n"/>
      <c r="N86" s="369" t="n"/>
      <c r="O86" s="369" t="n"/>
      <c r="P86" s="334" t="n"/>
    </row>
    <row r="87">
      <c r="A87" s="361">
        <f>IFERROR(__xludf.DUMMYFUNCTION("""COMPUTED_VALUE"""),"sum")</f>
        <v/>
      </c>
      <c r="B87" s="403">
        <f>IFERROR(__xludf.DUMMYFUNCTION("""COMPUTED_VALUE"""),"サマータイムレンダ")</f>
        <v/>
      </c>
      <c r="C87" s="412">
        <f>IFERROR(__xludf.DUMMYFUNCTION("""COMPUTED_VALUE"""),"normal")</f>
        <v/>
      </c>
      <c r="D87" s="413">
        <f>IFERROR(__xludf.DUMMYFUNCTION("""COMPUTED_VALUE"""),"main")</f>
        <v/>
      </c>
      <c r="E87" s="391">
        <f>IFERROR(__xludf.DUMMYFUNCTION("""COMPUTED_VALUE"""),"メインクエスト")</f>
        <v/>
      </c>
      <c r="F87" s="391">
        <f>IFERROR(__xludf.DUMMYFUNCTION("""COMPUTED_VALUE"""),"quest_main_sum_normal_14")</f>
        <v/>
      </c>
      <c r="G87" s="370">
        <f>IFERROR(__xludf.DUMMYFUNCTION("""COMPUTED_VALUE"""),"14.サマータイムレンダ")</f>
        <v/>
      </c>
      <c r="H87" s="377">
        <f>IFERROR(__xludf.DUMMYFUNCTION("""COMPUTED_VALUE"""),"02")</f>
        <v/>
      </c>
      <c r="I87" s="377">
        <f>IFERROR(__xludf.DUMMYFUNCTION("""COMPUTED_VALUE"""),"normal_sum_00002")</f>
        <v/>
      </c>
      <c r="J87" s="377">
        <f>IFERROR(__xludf.DUMMYFUNCTION("""COMPUTED_VALUE"""),"stage_icon_sum_normal_02")</f>
        <v/>
      </c>
      <c r="K87" s="368" t="n"/>
      <c r="L87" s="368" t="n"/>
      <c r="M87" s="368" t="n"/>
      <c r="N87" s="369" t="n"/>
      <c r="O87" s="369" t="n"/>
      <c r="P87" s="334" t="n"/>
    </row>
    <row r="88">
      <c r="A88" s="361">
        <f>IFERROR(__xludf.DUMMYFUNCTION("""COMPUTED_VALUE"""),"sum")</f>
        <v/>
      </c>
      <c r="B88" s="403">
        <f>IFERROR(__xludf.DUMMYFUNCTION("""COMPUTED_VALUE"""),"サマータイムレンダ")</f>
        <v/>
      </c>
      <c r="C88" s="412">
        <f>IFERROR(__xludf.DUMMYFUNCTION("""COMPUTED_VALUE"""),"normal")</f>
        <v/>
      </c>
      <c r="D88" s="413">
        <f>IFERROR(__xludf.DUMMYFUNCTION("""COMPUTED_VALUE"""),"main")</f>
        <v/>
      </c>
      <c r="E88" s="391">
        <f>IFERROR(__xludf.DUMMYFUNCTION("""COMPUTED_VALUE"""),"メインクエスト")</f>
        <v/>
      </c>
      <c r="F88" s="391">
        <f>IFERROR(__xludf.DUMMYFUNCTION("""COMPUTED_VALUE"""),"quest_main_sum_normal_14")</f>
        <v/>
      </c>
      <c r="G88" s="370">
        <f>IFERROR(__xludf.DUMMYFUNCTION("""COMPUTED_VALUE"""),"14.サマータイムレンダ")</f>
        <v/>
      </c>
      <c r="H88" s="377">
        <f>IFERROR(__xludf.DUMMYFUNCTION("""COMPUTED_VALUE"""),"03")</f>
        <v/>
      </c>
      <c r="I88" s="377">
        <f>IFERROR(__xludf.DUMMYFUNCTION("""COMPUTED_VALUE"""),"normal_sum_00003")</f>
        <v/>
      </c>
      <c r="J88" s="377">
        <f>IFERROR(__xludf.DUMMYFUNCTION("""COMPUTED_VALUE"""),"stage_icon_sum_normal_03")</f>
        <v/>
      </c>
      <c r="K88" s="368" t="n"/>
      <c r="L88" s="368" t="n"/>
      <c r="M88" s="368" t="n"/>
      <c r="N88" s="369" t="n"/>
      <c r="O88" s="369" t="n"/>
      <c r="P88" s="334" t="n"/>
    </row>
    <row r="89">
      <c r="A89" s="361">
        <f>IFERROR(__xludf.DUMMYFUNCTION("""COMPUTED_VALUE"""),"sum")</f>
        <v/>
      </c>
      <c r="B89" s="403">
        <f>IFERROR(__xludf.DUMMYFUNCTION("""COMPUTED_VALUE"""),"サマータイムレンダ")</f>
        <v/>
      </c>
      <c r="C89" s="412">
        <f>IFERROR(__xludf.DUMMYFUNCTION("""COMPUTED_VALUE"""),"normal")</f>
        <v/>
      </c>
      <c r="D89" s="413">
        <f>IFERROR(__xludf.DUMMYFUNCTION("""COMPUTED_VALUE"""),"main")</f>
        <v/>
      </c>
      <c r="E89" s="391">
        <f>IFERROR(__xludf.DUMMYFUNCTION("""COMPUTED_VALUE"""),"メインクエスト")</f>
        <v/>
      </c>
      <c r="F89" s="391">
        <f>IFERROR(__xludf.DUMMYFUNCTION("""COMPUTED_VALUE"""),"quest_main_sum_normal_14")</f>
        <v/>
      </c>
      <c r="G89" s="370">
        <f>IFERROR(__xludf.DUMMYFUNCTION("""COMPUTED_VALUE"""),"14.サマータイムレンダ")</f>
        <v/>
      </c>
      <c r="H89" s="377">
        <f>IFERROR(__xludf.DUMMYFUNCTION("""COMPUTED_VALUE"""),"04")</f>
        <v/>
      </c>
      <c r="I89" s="377">
        <f>IFERROR(__xludf.DUMMYFUNCTION("""COMPUTED_VALUE"""),"normal_sum_00004")</f>
        <v/>
      </c>
      <c r="J89" s="377">
        <f>IFERROR(__xludf.DUMMYFUNCTION("""COMPUTED_VALUE"""),"stage_icon_sum_normal_04")</f>
        <v/>
      </c>
      <c r="K89" s="368" t="n"/>
      <c r="L89" s="368" t="n"/>
      <c r="M89" s="368" t="n"/>
      <c r="N89" s="369" t="n"/>
      <c r="O89" s="369" t="n"/>
      <c r="P89" s="334" t="n"/>
    </row>
    <row r="90">
      <c r="A90" s="361">
        <f>IFERROR(__xludf.DUMMYFUNCTION("""COMPUTED_VALUE"""),"sum")</f>
        <v/>
      </c>
      <c r="B90" s="403">
        <f>IFERROR(__xludf.DUMMYFUNCTION("""COMPUTED_VALUE"""),"サマータイムレンダ")</f>
        <v/>
      </c>
      <c r="C90" s="412">
        <f>IFERROR(__xludf.DUMMYFUNCTION("""COMPUTED_VALUE"""),"normal")</f>
        <v/>
      </c>
      <c r="D90" s="413">
        <f>IFERROR(__xludf.DUMMYFUNCTION("""COMPUTED_VALUE"""),"main")</f>
        <v/>
      </c>
      <c r="E90" s="391">
        <f>IFERROR(__xludf.DUMMYFUNCTION("""COMPUTED_VALUE"""),"メインクエスト")</f>
        <v/>
      </c>
      <c r="F90" s="391">
        <f>IFERROR(__xludf.DUMMYFUNCTION("""COMPUTED_VALUE"""),"quest_main_sum_normal_14")</f>
        <v/>
      </c>
      <c r="G90" s="370">
        <f>IFERROR(__xludf.DUMMYFUNCTION("""COMPUTED_VALUE"""),"14.サマータイムレンダ")</f>
        <v/>
      </c>
      <c r="H90" s="377">
        <f>IFERROR(__xludf.DUMMYFUNCTION("""COMPUTED_VALUE"""),"05")</f>
        <v/>
      </c>
      <c r="I90" s="377">
        <f>IFERROR(__xludf.DUMMYFUNCTION("""COMPUTED_VALUE"""),"normal_sum_00005")</f>
        <v/>
      </c>
      <c r="J90" s="377">
        <f>IFERROR(__xludf.DUMMYFUNCTION("""COMPUTED_VALUE"""),"stage_icon_sum_normal_05")</f>
        <v/>
      </c>
      <c r="K90" s="368" t="n"/>
      <c r="L90" s="368" t="n"/>
      <c r="M90" s="368" t="n"/>
      <c r="N90" s="369" t="n"/>
      <c r="O90" s="369" t="n"/>
      <c r="P90" s="334" t="n"/>
    </row>
    <row r="91">
      <c r="A91" s="361">
        <f>IFERROR(__xludf.DUMMYFUNCTION("""COMPUTED_VALUE"""),"sum")</f>
        <v/>
      </c>
      <c r="B91" s="403">
        <f>IFERROR(__xludf.DUMMYFUNCTION("""COMPUTED_VALUE"""),"サマータイムレンダ")</f>
        <v/>
      </c>
      <c r="C91" s="412">
        <f>IFERROR(__xludf.DUMMYFUNCTION("""COMPUTED_VALUE"""),"normal")</f>
        <v/>
      </c>
      <c r="D91" s="413">
        <f>IFERROR(__xludf.DUMMYFUNCTION("""COMPUTED_VALUE"""),"main")</f>
        <v/>
      </c>
      <c r="E91" s="391">
        <f>IFERROR(__xludf.DUMMYFUNCTION("""COMPUTED_VALUE"""),"メインクエスト")</f>
        <v/>
      </c>
      <c r="F91" s="391">
        <f>IFERROR(__xludf.DUMMYFUNCTION("""COMPUTED_VALUE"""),"quest_main_sum_normal_14")</f>
        <v/>
      </c>
      <c r="G91" s="370">
        <f>IFERROR(__xludf.DUMMYFUNCTION("""COMPUTED_VALUE"""),"14.サマータイムレンダ")</f>
        <v/>
      </c>
      <c r="H91" s="377">
        <f>IFERROR(__xludf.DUMMYFUNCTION("""COMPUTED_VALUE"""),"06")</f>
        <v/>
      </c>
      <c r="I91" s="377">
        <f>IFERROR(__xludf.DUMMYFUNCTION("""COMPUTED_VALUE"""),"normal_sum_00006")</f>
        <v/>
      </c>
      <c r="J91" s="377">
        <f>IFERROR(__xludf.DUMMYFUNCTION("""COMPUTED_VALUE"""),"stage_icon_sum_normal_06")</f>
        <v/>
      </c>
      <c r="K91" s="368" t="n"/>
      <c r="L91" s="368" t="n"/>
      <c r="M91" s="368" t="n"/>
      <c r="N91" s="369" t="n"/>
      <c r="O91" s="369" t="n"/>
      <c r="P91" s="334" t="n"/>
    </row>
    <row r="92">
      <c r="A92" s="361" t="n"/>
      <c r="B92" s="403" t="n"/>
      <c r="C92" s="363" t="n"/>
      <c r="D92" s="413" t="n"/>
      <c r="E92" s="391" t="n"/>
      <c r="F92" s="391" t="n"/>
      <c r="G92" s="370" t="n"/>
      <c r="H92" s="377" t="n"/>
      <c r="I92" s="377" t="n"/>
      <c r="J92" s="377" t="n"/>
      <c r="K92" s="368" t="n"/>
      <c r="L92" s="368" t="n"/>
      <c r="M92" s="368" t="n"/>
      <c r="N92" s="369" t="n"/>
      <c r="O92" s="369" t="n"/>
      <c r="P92" s="334" t="n"/>
    </row>
    <row r="93">
      <c r="A93" s="361">
        <f>IFERROR(__xludf.DUMMYFUNCTION("""COMPUTED_VALUE"""),"kai")</f>
        <v/>
      </c>
      <c r="B93" s="403">
        <f>IFERROR(__xludf.DUMMYFUNCTION("""COMPUTED_VALUE"""),"怪獣８号")</f>
        <v/>
      </c>
      <c r="C93" s="412">
        <f>IFERROR(__xludf.DUMMYFUNCTION("""COMPUTED_VALUE"""),"normal")</f>
        <v/>
      </c>
      <c r="D93" s="413">
        <f>IFERROR(__xludf.DUMMYFUNCTION("""COMPUTED_VALUE"""),"main")</f>
        <v/>
      </c>
      <c r="E93" s="391">
        <f>IFERROR(__xludf.DUMMYFUNCTION("""COMPUTED_VALUE"""),"メインクエスト")</f>
        <v/>
      </c>
      <c r="F93" s="391">
        <f>IFERROR(__xludf.DUMMYFUNCTION("""COMPUTED_VALUE"""),"quest_main_kai_normal_15")</f>
        <v/>
      </c>
      <c r="G93" s="370">
        <f>IFERROR(__xludf.DUMMYFUNCTION("""COMPUTED_VALUE"""),"15.怪獣８号")</f>
        <v/>
      </c>
      <c r="H93" s="377">
        <f>IFERROR(__xludf.DUMMYFUNCTION("""COMPUTED_VALUE"""),"01")</f>
        <v/>
      </c>
      <c r="I93" s="377">
        <f>IFERROR(__xludf.DUMMYFUNCTION("""COMPUTED_VALUE"""),"normal_kai_00001")</f>
        <v/>
      </c>
      <c r="J93" s="377">
        <f>IFERROR(__xludf.DUMMYFUNCTION("""COMPUTED_VALUE"""),"stage_icon_kai_normal_01")</f>
        <v/>
      </c>
      <c r="K93" s="368">
        <f>IFERROR(__xludf.DUMMYFUNCTION("""COMPUTED_VALUE"""),"quest_image_kai_1")</f>
        <v/>
      </c>
      <c r="L93" s="368" t="n"/>
      <c r="M93" s="368" t="n"/>
      <c r="N93" s="369" t="n"/>
      <c r="O93" s="369" t="n"/>
      <c r="P93" s="334" t="n"/>
    </row>
    <row r="94">
      <c r="A94" s="361">
        <f>IFERROR(__xludf.DUMMYFUNCTION("""COMPUTED_VALUE"""),"kai")</f>
        <v/>
      </c>
      <c r="B94" s="403">
        <f>IFERROR(__xludf.DUMMYFUNCTION("""COMPUTED_VALUE"""),"怪獣８号")</f>
        <v/>
      </c>
      <c r="C94" s="412">
        <f>IFERROR(__xludf.DUMMYFUNCTION("""COMPUTED_VALUE"""),"normal")</f>
        <v/>
      </c>
      <c r="D94" s="413">
        <f>IFERROR(__xludf.DUMMYFUNCTION("""COMPUTED_VALUE"""),"main")</f>
        <v/>
      </c>
      <c r="E94" s="391">
        <f>IFERROR(__xludf.DUMMYFUNCTION("""COMPUTED_VALUE"""),"メインクエスト")</f>
        <v/>
      </c>
      <c r="F94" s="391">
        <f>IFERROR(__xludf.DUMMYFUNCTION("""COMPUTED_VALUE"""),"quest_main_kai_normal_15")</f>
        <v/>
      </c>
      <c r="G94" s="370">
        <f>IFERROR(__xludf.DUMMYFUNCTION("""COMPUTED_VALUE"""),"15.怪獣８号")</f>
        <v/>
      </c>
      <c r="H94" s="377">
        <f>IFERROR(__xludf.DUMMYFUNCTION("""COMPUTED_VALUE"""),"02")</f>
        <v/>
      </c>
      <c r="I94" s="377">
        <f>IFERROR(__xludf.DUMMYFUNCTION("""COMPUTED_VALUE"""),"normal_kai_00002")</f>
        <v/>
      </c>
      <c r="J94" s="377">
        <f>IFERROR(__xludf.DUMMYFUNCTION("""COMPUTED_VALUE"""),"stage_icon_kai_normal_02")</f>
        <v/>
      </c>
      <c r="K94" s="368" t="n"/>
      <c r="L94" s="368" t="n"/>
      <c r="M94" s="368" t="n"/>
      <c r="N94" s="369" t="n"/>
      <c r="O94" s="369" t="n"/>
      <c r="P94" s="334" t="n"/>
    </row>
    <row r="95">
      <c r="A95" s="361">
        <f>IFERROR(__xludf.DUMMYFUNCTION("""COMPUTED_VALUE"""),"kai")</f>
        <v/>
      </c>
      <c r="B95" s="403">
        <f>IFERROR(__xludf.DUMMYFUNCTION("""COMPUTED_VALUE"""),"怪獣８号")</f>
        <v/>
      </c>
      <c r="C95" s="412">
        <f>IFERROR(__xludf.DUMMYFUNCTION("""COMPUTED_VALUE"""),"normal")</f>
        <v/>
      </c>
      <c r="D95" s="413">
        <f>IFERROR(__xludf.DUMMYFUNCTION("""COMPUTED_VALUE"""),"main")</f>
        <v/>
      </c>
      <c r="E95" s="391">
        <f>IFERROR(__xludf.DUMMYFUNCTION("""COMPUTED_VALUE"""),"メインクエスト")</f>
        <v/>
      </c>
      <c r="F95" s="391">
        <f>IFERROR(__xludf.DUMMYFUNCTION("""COMPUTED_VALUE"""),"quest_main_kai_normal_15")</f>
        <v/>
      </c>
      <c r="G95" s="370">
        <f>IFERROR(__xludf.DUMMYFUNCTION("""COMPUTED_VALUE"""),"15.怪獣８号")</f>
        <v/>
      </c>
      <c r="H95" s="371">
        <f>IFERROR(__xludf.DUMMYFUNCTION("""COMPUTED_VALUE"""),"03")</f>
        <v/>
      </c>
      <c r="I95" s="377">
        <f>IFERROR(__xludf.DUMMYFUNCTION("""COMPUTED_VALUE"""),"normal_kai_00003")</f>
        <v/>
      </c>
      <c r="J95" s="377">
        <f>IFERROR(__xludf.DUMMYFUNCTION("""COMPUTED_VALUE"""),"stage_icon_kai_normal_03")</f>
        <v/>
      </c>
      <c r="K95" s="368" t="n"/>
      <c r="L95" s="368" t="n"/>
      <c r="M95" s="368" t="n"/>
      <c r="N95" s="369" t="n"/>
      <c r="O95" s="369" t="n"/>
      <c r="P95" s="334" t="n"/>
    </row>
    <row r="96">
      <c r="A96" s="372">
        <f>IFERROR(__xludf.DUMMYFUNCTION("""COMPUTED_VALUE"""),"kai")</f>
        <v/>
      </c>
      <c r="B96" s="338">
        <f>IFERROR(__xludf.DUMMYFUNCTION("""COMPUTED_VALUE"""),"怪獣８号")</f>
        <v/>
      </c>
      <c r="C96" s="373">
        <f>IFERROR(__xludf.DUMMYFUNCTION("""COMPUTED_VALUE"""),"normal")</f>
        <v/>
      </c>
      <c r="D96" s="373">
        <f>IFERROR(__xludf.DUMMYFUNCTION("""COMPUTED_VALUE"""),"main")</f>
        <v/>
      </c>
      <c r="E96" s="338">
        <f>IFERROR(__xludf.DUMMYFUNCTION("""COMPUTED_VALUE"""),"メインクエスト")</f>
        <v/>
      </c>
      <c r="F96" s="373">
        <f>IFERROR(__xludf.DUMMYFUNCTION("""COMPUTED_VALUE"""),"quest_main_kai_normal_15")</f>
        <v/>
      </c>
      <c r="G96" s="338">
        <f>IFERROR(__xludf.DUMMYFUNCTION("""COMPUTED_VALUE"""),"15.怪獣８号")</f>
        <v/>
      </c>
      <c r="H96" s="373">
        <f>IFERROR(__xludf.DUMMYFUNCTION("""COMPUTED_VALUE"""),"04")</f>
        <v/>
      </c>
      <c r="I96" s="338">
        <f>IFERROR(__xludf.DUMMYFUNCTION("""COMPUTED_VALUE"""),"normal_kai_00004")</f>
        <v/>
      </c>
      <c r="J96" s="338">
        <f>IFERROR(__xludf.DUMMYFUNCTION("""COMPUTED_VALUE"""),"stage_icon_kai_normal_04")</f>
        <v/>
      </c>
      <c r="K96" s="338" t="n"/>
      <c r="L96" s="338" t="n"/>
      <c r="M96" s="338" t="n"/>
      <c r="N96" s="338" t="n"/>
      <c r="O96" s="368" t="n"/>
      <c r="P96" s="334" t="n"/>
    </row>
    <row r="97">
      <c r="A97" s="399">
        <f>IFERROR(__xludf.DUMMYFUNCTION("""COMPUTED_VALUE"""),"kai")</f>
        <v/>
      </c>
      <c r="B97" s="403">
        <f>IFERROR(__xludf.DUMMYFUNCTION("""COMPUTED_VALUE"""),"怪獣８号")</f>
        <v/>
      </c>
      <c r="C97" s="391">
        <f>IFERROR(__xludf.DUMMYFUNCTION("""COMPUTED_VALUE"""),"normal")</f>
        <v/>
      </c>
      <c r="D97" s="391">
        <f>IFERROR(__xludf.DUMMYFUNCTION("""COMPUTED_VALUE"""),"main")</f>
        <v/>
      </c>
      <c r="E97" s="391">
        <f>IFERROR(__xludf.DUMMYFUNCTION("""COMPUTED_VALUE"""),"メインクエスト")</f>
        <v/>
      </c>
      <c r="F97" s="391">
        <f>IFERROR(__xludf.DUMMYFUNCTION("""COMPUTED_VALUE"""),"quest_main_kai_normal_15")</f>
        <v/>
      </c>
      <c r="G97" s="403">
        <f>IFERROR(__xludf.DUMMYFUNCTION("""COMPUTED_VALUE"""),"15.怪獣８号")</f>
        <v/>
      </c>
      <c r="H97" s="400">
        <f>IFERROR(__xludf.DUMMYFUNCTION("""COMPUTED_VALUE"""),"05")</f>
        <v/>
      </c>
      <c r="I97" s="400">
        <f>IFERROR(__xludf.DUMMYFUNCTION("""COMPUTED_VALUE"""),"normal_kai_00005")</f>
        <v/>
      </c>
      <c r="J97" s="400">
        <f>IFERROR(__xludf.DUMMYFUNCTION("""COMPUTED_VALUE"""),"stage_icon_kai_normal_05")</f>
        <v/>
      </c>
      <c r="K97" s="414" t="n"/>
      <c r="L97" s="383" t="n"/>
      <c r="M97" s="383" t="n"/>
      <c r="N97" s="402" t="n"/>
      <c r="O97" s="402" t="n"/>
      <c r="P97" s="334" t="n"/>
    </row>
    <row r="98">
      <c r="A98" s="399">
        <f>IFERROR(__xludf.DUMMYFUNCTION("""COMPUTED_VALUE"""),"kai")</f>
        <v/>
      </c>
      <c r="B98" s="403">
        <f>IFERROR(__xludf.DUMMYFUNCTION("""COMPUTED_VALUE"""),"怪獣８号")</f>
        <v/>
      </c>
      <c r="C98" s="391">
        <f>IFERROR(__xludf.DUMMYFUNCTION("""COMPUTED_VALUE"""),"normal")</f>
        <v/>
      </c>
      <c r="D98" s="391">
        <f>IFERROR(__xludf.DUMMYFUNCTION("""COMPUTED_VALUE"""),"main")</f>
        <v/>
      </c>
      <c r="E98" s="391">
        <f>IFERROR(__xludf.DUMMYFUNCTION("""COMPUTED_VALUE"""),"メインクエスト")</f>
        <v/>
      </c>
      <c r="F98" s="391">
        <f>IFERROR(__xludf.DUMMYFUNCTION("""COMPUTED_VALUE"""),"quest_main_kai_normal_15")</f>
        <v/>
      </c>
      <c r="G98" s="403">
        <f>IFERROR(__xludf.DUMMYFUNCTION("""COMPUTED_VALUE"""),"15.怪獣８号")</f>
        <v/>
      </c>
      <c r="H98" s="400">
        <f>IFERROR(__xludf.DUMMYFUNCTION("""COMPUTED_VALUE"""),"06")</f>
        <v/>
      </c>
      <c r="I98" s="400">
        <f>IFERROR(__xludf.DUMMYFUNCTION("""COMPUTED_VALUE"""),"normal_kai_00006")</f>
        <v/>
      </c>
      <c r="J98" s="400">
        <f>IFERROR(__xludf.DUMMYFUNCTION("""COMPUTED_VALUE"""),"stage_icon_kai_normal_06")</f>
        <v/>
      </c>
      <c r="K98" s="383" t="n"/>
      <c r="L98" s="383" t="n"/>
      <c r="M98" s="383" t="n"/>
      <c r="N98" s="402" t="n"/>
      <c r="O98" s="402" t="n"/>
      <c r="P98" s="334" t="n"/>
    </row>
    <row r="99">
      <c r="A99" s="381" t="n"/>
      <c r="B99" s="368" t="n"/>
      <c r="C99" s="368" t="n"/>
      <c r="D99" s="382" t="n"/>
      <c r="E99" s="382" t="n"/>
      <c r="F99" s="368" t="n"/>
      <c r="G99" s="368" t="n"/>
      <c r="H99" s="371" t="n"/>
      <c r="I99" s="371" t="n"/>
      <c r="J99" s="368" t="n"/>
      <c r="K99" s="368" t="n"/>
      <c r="L99" s="368" t="n"/>
      <c r="M99" s="368" t="n"/>
      <c r="N99" s="369" t="n"/>
      <c r="O99" s="368" t="n"/>
      <c r="P99" s="334" t="n"/>
    </row>
    <row r="100">
      <c r="A100" s="381">
        <f>IFERROR(__xludf.DUMMYFUNCTION("""COMPUTED_VALUE"""),"glo4")</f>
        <v/>
      </c>
      <c r="B100" s="368">
        <f>IFERROR(__xludf.DUMMYFUNCTION("""COMPUTED_VALUE"""),"GLOW")</f>
        <v/>
      </c>
      <c r="C100" s="382">
        <f>IFERROR(__xludf.DUMMYFUNCTION("""COMPUTED_VALUE"""),"normal")</f>
        <v/>
      </c>
      <c r="D100" s="382">
        <f>IFERROR(__xludf.DUMMYFUNCTION("""COMPUTED_VALUE"""),"main")</f>
        <v/>
      </c>
      <c r="E100" s="382">
        <f>IFERROR(__xludf.DUMMYFUNCTION("""COMPUTED_VALUE"""),"メインクエスト")</f>
        <v/>
      </c>
      <c r="F100" s="382">
        <f>IFERROR(__xludf.DUMMYFUNCTION("""COMPUTED_VALUE"""),"quest_main_glo4_normal_16")</f>
        <v/>
      </c>
      <c r="G100" s="368">
        <f>IFERROR(__xludf.DUMMYFUNCTION("""COMPUTED_VALUE"""),"16.リミックスクエスト Vol.4")</f>
        <v/>
      </c>
      <c r="H100" s="371">
        <f>IFERROR(__xludf.DUMMYFUNCTION("""COMPUTED_VALUE"""),"01")</f>
        <v/>
      </c>
      <c r="I100" s="371">
        <f>IFERROR(__xludf.DUMMYFUNCTION("""COMPUTED_VALUE"""),"normal_glo4_00001")</f>
        <v/>
      </c>
      <c r="J100" s="368">
        <f>IFERROR(__xludf.DUMMYFUNCTION("""COMPUTED_VALUE"""),"stage_icon_glo4_normal_01")</f>
        <v/>
      </c>
      <c r="K100" s="368">
        <f>IFERROR(__xludf.DUMMYFUNCTION("""COMPUTED_VALUE"""),"quest_image_glo4_1")</f>
        <v/>
      </c>
      <c r="L100" s="368" t="n"/>
      <c r="M100" s="368" t="n"/>
      <c r="N100" s="369" t="n"/>
      <c r="O100" s="368" t="n"/>
      <c r="P100" s="334" t="n"/>
    </row>
    <row r="101">
      <c r="A101" s="381">
        <f>IFERROR(__xludf.DUMMYFUNCTION("""COMPUTED_VALUE"""),"glo4")</f>
        <v/>
      </c>
      <c r="B101" s="368">
        <f>IFERROR(__xludf.DUMMYFUNCTION("""COMPUTED_VALUE"""),"GLOW")</f>
        <v/>
      </c>
      <c r="C101" s="382">
        <f>IFERROR(__xludf.DUMMYFUNCTION("""COMPUTED_VALUE"""),"normal")</f>
        <v/>
      </c>
      <c r="D101" s="382">
        <f>IFERROR(__xludf.DUMMYFUNCTION("""COMPUTED_VALUE"""),"main")</f>
        <v/>
      </c>
      <c r="E101" s="382">
        <f>IFERROR(__xludf.DUMMYFUNCTION("""COMPUTED_VALUE"""),"メインクエスト")</f>
        <v/>
      </c>
      <c r="F101" s="382">
        <f>IFERROR(__xludf.DUMMYFUNCTION("""COMPUTED_VALUE"""),"quest_main_glo4_normal_16")</f>
        <v/>
      </c>
      <c r="G101" s="368">
        <f>IFERROR(__xludf.DUMMYFUNCTION("""COMPUTED_VALUE"""),"16.リミックスクエスト Vol.4")</f>
        <v/>
      </c>
      <c r="H101" s="371">
        <f>IFERROR(__xludf.DUMMYFUNCTION("""COMPUTED_VALUE"""),"02")</f>
        <v/>
      </c>
      <c r="I101" s="371">
        <f>IFERROR(__xludf.DUMMYFUNCTION("""COMPUTED_VALUE"""),"normal_glo4_00002")</f>
        <v/>
      </c>
      <c r="J101" s="368">
        <f>IFERROR(__xludf.DUMMYFUNCTION("""COMPUTED_VALUE"""),"stage_icon_glo4_normal_02")</f>
        <v/>
      </c>
      <c r="K101" s="368" t="n"/>
      <c r="L101" s="368" t="n"/>
      <c r="M101" s="368" t="n"/>
      <c r="N101" s="369" t="n"/>
      <c r="O101" s="368" t="n"/>
      <c r="P101" s="334" t="n"/>
    </row>
    <row r="102">
      <c r="A102" s="381">
        <f>IFERROR(__xludf.DUMMYFUNCTION("""COMPUTED_VALUE"""),"glo4")</f>
        <v/>
      </c>
      <c r="B102" s="368">
        <f>IFERROR(__xludf.DUMMYFUNCTION("""COMPUTED_VALUE"""),"GLOW")</f>
        <v/>
      </c>
      <c r="C102" s="382">
        <f>IFERROR(__xludf.DUMMYFUNCTION("""COMPUTED_VALUE"""),"normal")</f>
        <v/>
      </c>
      <c r="D102" s="382">
        <f>IFERROR(__xludf.DUMMYFUNCTION("""COMPUTED_VALUE"""),"main")</f>
        <v/>
      </c>
      <c r="E102" s="368">
        <f>IFERROR(__xludf.DUMMYFUNCTION("""COMPUTED_VALUE"""),"メインクエスト")</f>
        <v/>
      </c>
      <c r="F102" s="382">
        <f>IFERROR(__xludf.DUMMYFUNCTION("""COMPUTED_VALUE"""),"quest_main_glo4_normal_16")</f>
        <v/>
      </c>
      <c r="G102" s="368">
        <f>IFERROR(__xludf.DUMMYFUNCTION("""COMPUTED_VALUE"""),"16.リミックスクエスト Vol.4")</f>
        <v/>
      </c>
      <c r="H102" s="371">
        <f>IFERROR(__xludf.DUMMYFUNCTION("""COMPUTED_VALUE"""),"03")</f>
        <v/>
      </c>
      <c r="I102" s="371">
        <f>IFERROR(__xludf.DUMMYFUNCTION("""COMPUTED_VALUE"""),"normal_glo4_00003")</f>
        <v/>
      </c>
      <c r="J102" s="368">
        <f>IFERROR(__xludf.DUMMYFUNCTION("""COMPUTED_VALUE"""),"stage_icon_glo4_normal_03")</f>
        <v/>
      </c>
      <c r="K102" s="368" t="n"/>
      <c r="L102" s="368" t="n"/>
      <c r="M102" s="368" t="n"/>
      <c r="N102" s="369" t="n"/>
      <c r="O102" s="368" t="n"/>
      <c r="P102" s="334" t="n"/>
    </row>
    <row r="103">
      <c r="A103" s="381">
        <f>IFERROR(__xludf.DUMMYFUNCTION("""COMPUTED_VALUE"""),"glo4")</f>
        <v/>
      </c>
      <c r="B103" s="368">
        <f>IFERROR(__xludf.DUMMYFUNCTION("""COMPUTED_VALUE"""),"GLOW")</f>
        <v/>
      </c>
      <c r="C103" s="415">
        <f>IFERROR(__xludf.DUMMYFUNCTION("""COMPUTED_VALUE"""),"normal")</f>
        <v/>
      </c>
      <c r="D103" s="382">
        <f>IFERROR(__xludf.DUMMYFUNCTION("""COMPUTED_VALUE"""),"main")</f>
        <v/>
      </c>
      <c r="E103" s="368">
        <f>IFERROR(__xludf.DUMMYFUNCTION("""COMPUTED_VALUE"""),"メインクエスト")</f>
        <v/>
      </c>
      <c r="F103" s="382">
        <f>IFERROR(__xludf.DUMMYFUNCTION("""COMPUTED_VALUE"""),"quest_main_glo4_normal_16")</f>
        <v/>
      </c>
      <c r="G103" s="368">
        <f>IFERROR(__xludf.DUMMYFUNCTION("""COMPUTED_VALUE"""),"16.リミックスクエスト Vol.4")</f>
        <v/>
      </c>
      <c r="H103" s="371">
        <f>IFERROR(__xludf.DUMMYFUNCTION("""COMPUTED_VALUE"""),"04")</f>
        <v/>
      </c>
      <c r="I103" s="371">
        <f>IFERROR(__xludf.DUMMYFUNCTION("""COMPUTED_VALUE"""),"normal_glo4_00004")</f>
        <v/>
      </c>
      <c r="J103" s="368">
        <f>IFERROR(__xludf.DUMMYFUNCTION("""COMPUTED_VALUE"""),"stage_icon_glo4_normal_04")</f>
        <v/>
      </c>
      <c r="K103" s="368" t="n"/>
      <c r="L103" s="368" t="n"/>
      <c r="M103" s="368" t="n"/>
      <c r="N103" s="369" t="n"/>
      <c r="O103" s="368" t="n"/>
      <c r="P103" s="334" t="n"/>
    </row>
    <row r="104">
      <c r="A104" s="381">
        <f>IFERROR(__xludf.DUMMYFUNCTION("""COMPUTED_VALUE"""),"glo4")</f>
        <v/>
      </c>
      <c r="B104" s="368">
        <f>IFERROR(__xludf.DUMMYFUNCTION("""COMPUTED_VALUE"""),"GLOW")</f>
        <v/>
      </c>
      <c r="C104" s="415">
        <f>IFERROR(__xludf.DUMMYFUNCTION("""COMPUTED_VALUE"""),"normal")</f>
        <v/>
      </c>
      <c r="D104" s="382">
        <f>IFERROR(__xludf.DUMMYFUNCTION("""COMPUTED_VALUE"""),"main")</f>
        <v/>
      </c>
      <c r="E104" s="368">
        <f>IFERROR(__xludf.DUMMYFUNCTION("""COMPUTED_VALUE"""),"メインクエスト")</f>
        <v/>
      </c>
      <c r="F104" s="382">
        <f>IFERROR(__xludf.DUMMYFUNCTION("""COMPUTED_VALUE"""),"quest_main_glo4_normal_16")</f>
        <v/>
      </c>
      <c r="G104" s="368">
        <f>IFERROR(__xludf.DUMMYFUNCTION("""COMPUTED_VALUE"""),"16.リミックスクエスト Vol.4")</f>
        <v/>
      </c>
      <c r="H104" s="371">
        <f>IFERROR(__xludf.DUMMYFUNCTION("""COMPUTED_VALUE"""),"05")</f>
        <v/>
      </c>
      <c r="I104" s="371">
        <f>IFERROR(__xludf.DUMMYFUNCTION("""COMPUTED_VALUE"""),"normal_glo4_00005")</f>
        <v/>
      </c>
      <c r="J104" s="368">
        <f>IFERROR(__xludf.DUMMYFUNCTION("""COMPUTED_VALUE"""),"stage_icon_glo4_normal_05")</f>
        <v/>
      </c>
      <c r="K104" s="368" t="n"/>
      <c r="L104" s="368" t="n"/>
      <c r="M104" s="368" t="n"/>
      <c r="N104" s="369" t="n"/>
      <c r="O104" s="368" t="n"/>
      <c r="P104" s="334" t="n"/>
    </row>
    <row r="105">
      <c r="A105" s="381">
        <f>IFERROR(__xludf.DUMMYFUNCTION("""COMPUTED_VALUE"""),"glo4")</f>
        <v/>
      </c>
      <c r="B105" s="368">
        <f>IFERROR(__xludf.DUMMYFUNCTION("""COMPUTED_VALUE"""),"GLOW")</f>
        <v/>
      </c>
      <c r="C105" s="415">
        <f>IFERROR(__xludf.DUMMYFUNCTION("""COMPUTED_VALUE"""),"normal")</f>
        <v/>
      </c>
      <c r="D105" s="382">
        <f>IFERROR(__xludf.DUMMYFUNCTION("""COMPUTED_VALUE"""),"main")</f>
        <v/>
      </c>
      <c r="E105" s="368">
        <f>IFERROR(__xludf.DUMMYFUNCTION("""COMPUTED_VALUE"""),"メインクエスト")</f>
        <v/>
      </c>
      <c r="F105" s="382">
        <f>IFERROR(__xludf.DUMMYFUNCTION("""COMPUTED_VALUE"""),"quest_main_glo4_normal_16")</f>
        <v/>
      </c>
      <c r="G105" s="368">
        <f>IFERROR(__xludf.DUMMYFUNCTION("""COMPUTED_VALUE"""),"16.リミックスクエスト Vol.4")</f>
        <v/>
      </c>
      <c r="H105" s="371">
        <f>IFERROR(__xludf.DUMMYFUNCTION("""COMPUTED_VALUE"""),"06")</f>
        <v/>
      </c>
      <c r="I105" s="371">
        <f>IFERROR(__xludf.DUMMYFUNCTION("""COMPUTED_VALUE"""),"normal_glo4_00006")</f>
        <v/>
      </c>
      <c r="J105" s="368">
        <f>IFERROR(__xludf.DUMMYFUNCTION("""COMPUTED_VALUE"""),"stage_icon_glo4_normal_06")</f>
        <v/>
      </c>
      <c r="K105" s="368" t="n"/>
      <c r="L105" s="368" t="n"/>
      <c r="M105" s="368" t="n"/>
      <c r="N105" s="369" t="n"/>
      <c r="O105" s="368" t="n"/>
      <c r="P105" s="334" t="n"/>
    </row>
    <row r="106">
      <c r="A106" s="381" t="n"/>
      <c r="B106" s="368" t="n"/>
      <c r="C106" s="405" t="n"/>
      <c r="D106" s="368" t="n"/>
      <c r="E106" s="368" t="n"/>
      <c r="F106" s="368" t="n"/>
      <c r="G106" s="368" t="n"/>
      <c r="H106" s="371" t="n"/>
      <c r="I106" s="371" t="n"/>
      <c r="J106" s="368" t="n"/>
      <c r="K106" s="368" t="n"/>
      <c r="L106" s="368" t="n"/>
      <c r="M106" s="368" t="n"/>
      <c r="N106" s="369" t="n"/>
      <c r="O106" s="368" t="n"/>
      <c r="P106" s="334" t="n"/>
    </row>
    <row r="107">
      <c r="A107" s="381">
        <f>IFERROR(__xludf.DUMMYFUNCTION("""COMPUTED_VALUE"""),"osh")</f>
        <v/>
      </c>
      <c r="B107" s="368">
        <f>IFERROR(__xludf.DUMMYFUNCTION("""COMPUTED_VALUE"""),"【推しの子】")</f>
        <v/>
      </c>
      <c r="C107" s="415">
        <f>IFERROR(__xludf.DUMMYFUNCTION("""COMPUTED_VALUE"""),"normal")</f>
        <v/>
      </c>
      <c r="D107" s="382">
        <f>IFERROR(__xludf.DUMMYFUNCTION("""COMPUTED_VALUE"""),"main")</f>
        <v/>
      </c>
      <c r="E107" s="368">
        <f>IFERROR(__xludf.DUMMYFUNCTION("""COMPUTED_VALUE"""),"メインクエスト")</f>
        <v/>
      </c>
      <c r="F107" s="382">
        <f>IFERROR(__xludf.DUMMYFUNCTION("""COMPUTED_VALUE"""),"quest_main_osh_normal_17")</f>
        <v/>
      </c>
      <c r="G107" s="368">
        <f>IFERROR(__xludf.DUMMYFUNCTION("""COMPUTED_VALUE"""),"17.【推しの子】")</f>
        <v/>
      </c>
      <c r="H107" s="371">
        <f>IFERROR(__xludf.DUMMYFUNCTION("""COMPUTED_VALUE"""),"01")</f>
        <v/>
      </c>
      <c r="I107" s="371">
        <f>IFERROR(__xludf.DUMMYFUNCTION("""COMPUTED_VALUE"""),"normal_osh_00001")</f>
        <v/>
      </c>
      <c r="J107" s="368">
        <f>IFERROR(__xludf.DUMMYFUNCTION("""COMPUTED_VALUE"""),"stage_icon_osh_normal_01")</f>
        <v/>
      </c>
      <c r="K107" s="368">
        <f>IFERROR(__xludf.DUMMYFUNCTION("""COMPUTED_VALUE"""),"quest_image_osh_1")</f>
        <v/>
      </c>
      <c r="L107" s="368" t="n"/>
      <c r="M107" s="368" t="n"/>
      <c r="N107" s="369" t="n"/>
      <c r="O107" s="368" t="n"/>
      <c r="P107" s="334" t="n"/>
    </row>
    <row r="108">
      <c r="A108" s="381">
        <f>IFERROR(__xludf.DUMMYFUNCTION("""COMPUTED_VALUE"""),"osh")</f>
        <v/>
      </c>
      <c r="B108" s="368">
        <f>IFERROR(__xludf.DUMMYFUNCTION("""COMPUTED_VALUE"""),"【推しの子】")</f>
        <v/>
      </c>
      <c r="C108" s="415">
        <f>IFERROR(__xludf.DUMMYFUNCTION("""COMPUTED_VALUE"""),"normal")</f>
        <v/>
      </c>
      <c r="D108" s="382">
        <f>IFERROR(__xludf.DUMMYFUNCTION("""COMPUTED_VALUE"""),"main")</f>
        <v/>
      </c>
      <c r="E108" s="368">
        <f>IFERROR(__xludf.DUMMYFUNCTION("""COMPUTED_VALUE"""),"メインクエスト")</f>
        <v/>
      </c>
      <c r="F108" s="382">
        <f>IFERROR(__xludf.DUMMYFUNCTION("""COMPUTED_VALUE"""),"quest_main_osh_normal_17")</f>
        <v/>
      </c>
      <c r="G108" s="368">
        <f>IFERROR(__xludf.DUMMYFUNCTION("""COMPUTED_VALUE"""),"17.【推しの子】")</f>
        <v/>
      </c>
      <c r="H108" s="371">
        <f>IFERROR(__xludf.DUMMYFUNCTION("""COMPUTED_VALUE"""),"02")</f>
        <v/>
      </c>
      <c r="I108" s="371">
        <f>IFERROR(__xludf.DUMMYFUNCTION("""COMPUTED_VALUE"""),"normal_osh_00002")</f>
        <v/>
      </c>
      <c r="J108" s="368">
        <f>IFERROR(__xludf.DUMMYFUNCTION("""COMPUTED_VALUE"""),"stage_icon_osh_normal_02")</f>
        <v/>
      </c>
      <c r="K108" s="368" t="n"/>
      <c r="L108" s="368" t="n"/>
      <c r="M108" s="368" t="n"/>
      <c r="N108" s="369" t="n"/>
      <c r="O108" s="368" t="n"/>
      <c r="P108" s="334" t="n"/>
    </row>
    <row r="109">
      <c r="A109" s="381">
        <f>IFERROR(__xludf.DUMMYFUNCTION("""COMPUTED_VALUE"""),"osh")</f>
        <v/>
      </c>
      <c r="B109" s="368">
        <f>IFERROR(__xludf.DUMMYFUNCTION("""COMPUTED_VALUE"""),"【推しの子】")</f>
        <v/>
      </c>
      <c r="C109" s="415">
        <f>IFERROR(__xludf.DUMMYFUNCTION("""COMPUTED_VALUE"""),"normal")</f>
        <v/>
      </c>
      <c r="D109" s="382">
        <f>IFERROR(__xludf.DUMMYFUNCTION("""COMPUTED_VALUE"""),"main")</f>
        <v/>
      </c>
      <c r="E109" s="368">
        <f>IFERROR(__xludf.DUMMYFUNCTION("""COMPUTED_VALUE"""),"メインクエスト")</f>
        <v/>
      </c>
      <c r="F109" s="382">
        <f>IFERROR(__xludf.DUMMYFUNCTION("""COMPUTED_VALUE"""),"quest_main_osh_normal_17")</f>
        <v/>
      </c>
      <c r="G109" s="368">
        <f>IFERROR(__xludf.DUMMYFUNCTION("""COMPUTED_VALUE"""),"17.【推しの子】")</f>
        <v/>
      </c>
      <c r="H109" s="371">
        <f>IFERROR(__xludf.DUMMYFUNCTION("""COMPUTED_VALUE"""),"03")</f>
        <v/>
      </c>
      <c r="I109" s="371">
        <f>IFERROR(__xludf.DUMMYFUNCTION("""COMPUTED_VALUE"""),"normal_osh_00003")</f>
        <v/>
      </c>
      <c r="J109" s="368">
        <f>IFERROR(__xludf.DUMMYFUNCTION("""COMPUTED_VALUE"""),"stage_icon_osh_normal_03")</f>
        <v/>
      </c>
      <c r="K109" s="368" t="n"/>
      <c r="L109" s="368" t="n"/>
      <c r="M109" s="368" t="n"/>
      <c r="N109" s="369" t="n"/>
      <c r="O109" s="368" t="n"/>
      <c r="P109" s="334" t="n"/>
    </row>
    <row r="110">
      <c r="A110" s="381" t="n"/>
      <c r="B110" s="368" t="n"/>
      <c r="C110" s="405" t="n"/>
      <c r="D110" s="368" t="n"/>
      <c r="E110" s="368" t="n"/>
      <c r="F110" s="368" t="n"/>
      <c r="G110" s="368" t="n"/>
      <c r="H110" s="371" t="n"/>
      <c r="I110" s="371" t="n"/>
      <c r="J110" s="368" t="n"/>
      <c r="K110" s="368" t="n"/>
      <c r="L110" s="368" t="n"/>
      <c r="M110" s="368" t="n"/>
      <c r="N110" s="369" t="n"/>
      <c r="O110" s="368" t="n"/>
      <c r="P110" s="334" t="n"/>
    </row>
    <row r="111">
      <c r="A111" s="381">
        <f>IFERROR(__xludf.DUMMYFUNCTION("""COMPUTED_VALUE"""),"you")</f>
        <v/>
      </c>
      <c r="B111" s="368">
        <f>IFERROR(__xludf.DUMMYFUNCTION("""COMPUTED_VALUE"""),"幼稚園WARS")</f>
        <v/>
      </c>
      <c r="C111" s="415">
        <f>IFERROR(__xludf.DUMMYFUNCTION("""COMPUTED_VALUE"""),"normal")</f>
        <v/>
      </c>
      <c r="D111" s="382">
        <f>IFERROR(__xludf.DUMMYFUNCTION("""COMPUTED_VALUE"""),"main")</f>
        <v/>
      </c>
      <c r="E111" s="368">
        <f>IFERROR(__xludf.DUMMYFUNCTION("""COMPUTED_VALUE"""),"メインクエスト")</f>
        <v/>
      </c>
      <c r="F111" s="382">
        <f>IFERROR(__xludf.DUMMYFUNCTION("""COMPUTED_VALUE"""),"quest_main_you_normal_18")</f>
        <v/>
      </c>
      <c r="G111" s="368">
        <f>IFERROR(__xludf.DUMMYFUNCTION("""COMPUTED_VALUE"""),"18.幼稚園WARS")</f>
        <v/>
      </c>
      <c r="H111" s="371">
        <f>IFERROR(__xludf.DUMMYFUNCTION("""COMPUTED_VALUE"""),"01")</f>
        <v/>
      </c>
      <c r="I111" s="371">
        <f>IFERROR(__xludf.DUMMYFUNCTION("""COMPUTED_VALUE"""),"normal_you_00001")</f>
        <v/>
      </c>
      <c r="J111" s="368">
        <f>IFERROR(__xludf.DUMMYFUNCTION("""COMPUTED_VALUE"""),"stage_icon_you_normal_01")</f>
        <v/>
      </c>
      <c r="K111" s="368">
        <f>IFERROR(__xludf.DUMMYFUNCTION("""COMPUTED_VALUE"""),"quest_image_you_1")</f>
        <v/>
      </c>
      <c r="L111" s="368" t="n"/>
      <c r="M111" s="368" t="n"/>
      <c r="N111" s="369" t="n"/>
      <c r="O111" s="368" t="n"/>
      <c r="P111" s="334" t="n"/>
    </row>
    <row r="112">
      <c r="A112" s="381">
        <f>IFERROR(__xludf.DUMMYFUNCTION("""COMPUTED_VALUE"""),"you")</f>
        <v/>
      </c>
      <c r="B112" s="368">
        <f>IFERROR(__xludf.DUMMYFUNCTION("""COMPUTED_VALUE"""),"幼稚園WARS")</f>
        <v/>
      </c>
      <c r="C112" s="415">
        <f>IFERROR(__xludf.DUMMYFUNCTION("""COMPUTED_VALUE"""),"normal")</f>
        <v/>
      </c>
      <c r="D112" s="382">
        <f>IFERROR(__xludf.DUMMYFUNCTION("""COMPUTED_VALUE"""),"main")</f>
        <v/>
      </c>
      <c r="E112" s="368">
        <f>IFERROR(__xludf.DUMMYFUNCTION("""COMPUTED_VALUE"""),"メインクエスト")</f>
        <v/>
      </c>
      <c r="F112" s="382">
        <f>IFERROR(__xludf.DUMMYFUNCTION("""COMPUTED_VALUE"""),"quest_main_you_normal_18")</f>
        <v/>
      </c>
      <c r="G112" s="368">
        <f>IFERROR(__xludf.DUMMYFUNCTION("""COMPUTED_VALUE"""),"18.幼稚園WARS")</f>
        <v/>
      </c>
      <c r="H112" s="371">
        <f>IFERROR(__xludf.DUMMYFUNCTION("""COMPUTED_VALUE"""),"02")</f>
        <v/>
      </c>
      <c r="I112" s="371">
        <f>IFERROR(__xludf.DUMMYFUNCTION("""COMPUTED_VALUE"""),"normal_you_00002")</f>
        <v/>
      </c>
      <c r="J112" s="368">
        <f>IFERROR(__xludf.DUMMYFUNCTION("""COMPUTED_VALUE"""),"stage_icon_you_normal_02")</f>
        <v/>
      </c>
      <c r="K112" s="368" t="n"/>
      <c r="L112" s="368" t="n"/>
      <c r="M112" s="368" t="n"/>
      <c r="N112" s="369" t="n"/>
      <c r="O112" s="368" t="n"/>
      <c r="P112" s="334" t="n"/>
    </row>
    <row r="113">
      <c r="A113" s="381">
        <f>IFERROR(__xludf.DUMMYFUNCTION("""COMPUTED_VALUE"""),"you")</f>
        <v/>
      </c>
      <c r="B113" s="368">
        <f>IFERROR(__xludf.DUMMYFUNCTION("""COMPUTED_VALUE"""),"幼稚園WARS")</f>
        <v/>
      </c>
      <c r="C113" s="415">
        <f>IFERROR(__xludf.DUMMYFUNCTION("""COMPUTED_VALUE"""),"normal")</f>
        <v/>
      </c>
      <c r="D113" s="382">
        <f>IFERROR(__xludf.DUMMYFUNCTION("""COMPUTED_VALUE"""),"main")</f>
        <v/>
      </c>
      <c r="E113" s="368">
        <f>IFERROR(__xludf.DUMMYFUNCTION("""COMPUTED_VALUE"""),"メインクエスト")</f>
        <v/>
      </c>
      <c r="F113" s="382">
        <f>IFERROR(__xludf.DUMMYFUNCTION("""COMPUTED_VALUE"""),"quest_main_you_normal_18")</f>
        <v/>
      </c>
      <c r="G113" s="368">
        <f>IFERROR(__xludf.DUMMYFUNCTION("""COMPUTED_VALUE"""),"18.幼稚園WARS")</f>
        <v/>
      </c>
      <c r="H113" s="371">
        <f>IFERROR(__xludf.DUMMYFUNCTION("""COMPUTED_VALUE"""),"03")</f>
        <v/>
      </c>
      <c r="I113" s="371">
        <f>IFERROR(__xludf.DUMMYFUNCTION("""COMPUTED_VALUE"""),"normal_you_00003")</f>
        <v/>
      </c>
      <c r="J113" s="368">
        <f>IFERROR(__xludf.DUMMYFUNCTION("""COMPUTED_VALUE"""),"stage_icon_you_normal_03")</f>
        <v/>
      </c>
      <c r="K113" s="368" t="n"/>
      <c r="L113" s="368" t="n"/>
      <c r="M113" s="368" t="n"/>
      <c r="N113" s="369" t="n"/>
      <c r="O113" s="368" t="n"/>
      <c r="P113" s="334" t="n"/>
    </row>
    <row r="114">
      <c r="A114" s="381" t="n"/>
      <c r="B114" s="368" t="n"/>
      <c r="C114" s="405" t="n"/>
      <c r="D114" s="368" t="n"/>
      <c r="E114" s="368" t="n"/>
      <c r="F114" s="368" t="n"/>
      <c r="G114" s="368" t="n"/>
      <c r="H114" s="371" t="n"/>
      <c r="I114" s="371" t="n"/>
      <c r="J114" s="368" t="n"/>
      <c r="K114" s="368" t="n"/>
      <c r="L114" s="368" t="n"/>
      <c r="M114" s="368" t="n"/>
      <c r="N114" s="369" t="n"/>
      <c r="O114" s="368" t="n"/>
      <c r="P114" s="334" t="n"/>
    </row>
    <row r="115">
      <c r="A115" s="381">
        <f>IFERROR(__xludf.DUMMYFUNCTION("""COMPUTED_VALUE"""),"aya")</f>
        <v/>
      </c>
      <c r="B115" s="368">
        <f>IFERROR(__xludf.DUMMYFUNCTION("""COMPUTED_VALUE"""),"あやかしトライアングル")</f>
        <v/>
      </c>
      <c r="C115" s="415">
        <f>IFERROR(__xludf.DUMMYFUNCTION("""COMPUTED_VALUE"""),"normal")</f>
        <v/>
      </c>
      <c r="D115" s="382">
        <f>IFERROR(__xludf.DUMMYFUNCTION("""COMPUTED_VALUE"""),"main")</f>
        <v/>
      </c>
      <c r="E115" s="368">
        <f>IFERROR(__xludf.DUMMYFUNCTION("""COMPUTED_VALUE"""),"メインクエスト")</f>
        <v/>
      </c>
      <c r="F115" s="382">
        <f>IFERROR(__xludf.DUMMYFUNCTION("""COMPUTED_VALUE"""),"quest_main_aya_normal_19")</f>
        <v/>
      </c>
      <c r="G115" s="368">
        <f>IFERROR(__xludf.DUMMYFUNCTION("""COMPUTED_VALUE"""),"19.あやかしトライアングル")</f>
        <v/>
      </c>
      <c r="H115" s="371">
        <f>IFERROR(__xludf.DUMMYFUNCTION("""COMPUTED_VALUE"""),"01")</f>
        <v/>
      </c>
      <c r="I115" s="371">
        <f>IFERROR(__xludf.DUMMYFUNCTION("""COMPUTED_VALUE"""),"normal_aya_00001")</f>
        <v/>
      </c>
      <c r="J115" s="368">
        <f>IFERROR(__xludf.DUMMYFUNCTION("""COMPUTED_VALUE"""),"stage_icon_aya_normal_01")</f>
        <v/>
      </c>
      <c r="K115" s="368">
        <f>IFERROR(__xludf.DUMMYFUNCTION("""COMPUTED_VALUE"""),"quest_image_aya_1")</f>
        <v/>
      </c>
      <c r="L115" s="368" t="n"/>
      <c r="M115" s="368" t="n"/>
      <c r="N115" s="369" t="n"/>
      <c r="O115" s="368" t="n"/>
      <c r="P115" s="334" t="n"/>
    </row>
    <row r="116">
      <c r="A116" s="381">
        <f>IFERROR(__xludf.DUMMYFUNCTION("""COMPUTED_VALUE"""),"aya")</f>
        <v/>
      </c>
      <c r="B116" s="368">
        <f>IFERROR(__xludf.DUMMYFUNCTION("""COMPUTED_VALUE"""),"あやかしトライアングル")</f>
        <v/>
      </c>
      <c r="C116" s="415">
        <f>IFERROR(__xludf.DUMMYFUNCTION("""COMPUTED_VALUE"""),"normal")</f>
        <v/>
      </c>
      <c r="D116" s="382">
        <f>IFERROR(__xludf.DUMMYFUNCTION("""COMPUTED_VALUE"""),"main")</f>
        <v/>
      </c>
      <c r="E116" s="368">
        <f>IFERROR(__xludf.DUMMYFUNCTION("""COMPUTED_VALUE"""),"メインクエスト")</f>
        <v/>
      </c>
      <c r="F116" s="382">
        <f>IFERROR(__xludf.DUMMYFUNCTION("""COMPUTED_VALUE"""),"quest_main_aya_normal_19")</f>
        <v/>
      </c>
      <c r="G116" s="368">
        <f>IFERROR(__xludf.DUMMYFUNCTION("""COMPUTED_VALUE"""),"19.あやかしトライアングル")</f>
        <v/>
      </c>
      <c r="H116" s="371">
        <f>IFERROR(__xludf.DUMMYFUNCTION("""COMPUTED_VALUE"""),"02")</f>
        <v/>
      </c>
      <c r="I116" s="371">
        <f>IFERROR(__xludf.DUMMYFUNCTION("""COMPUTED_VALUE"""),"normal_aya_00002")</f>
        <v/>
      </c>
      <c r="J116" s="368">
        <f>IFERROR(__xludf.DUMMYFUNCTION("""COMPUTED_VALUE"""),"stage_icon_aya_normal_02")</f>
        <v/>
      </c>
      <c r="K116" s="368" t="n"/>
      <c r="L116" s="368" t="n"/>
      <c r="M116" s="368" t="n"/>
      <c r="N116" s="369" t="n"/>
      <c r="O116" s="368" t="n"/>
      <c r="P116" s="334" t="n"/>
    </row>
    <row r="117">
      <c r="A117" s="381">
        <f>IFERROR(__xludf.DUMMYFUNCTION("""COMPUTED_VALUE"""),"aya")</f>
        <v/>
      </c>
      <c r="B117" s="368">
        <f>IFERROR(__xludf.DUMMYFUNCTION("""COMPUTED_VALUE"""),"あやかしトライアングル")</f>
        <v/>
      </c>
      <c r="C117" s="415">
        <f>IFERROR(__xludf.DUMMYFUNCTION("""COMPUTED_VALUE"""),"normal")</f>
        <v/>
      </c>
      <c r="D117" s="382">
        <f>IFERROR(__xludf.DUMMYFUNCTION("""COMPUTED_VALUE"""),"main")</f>
        <v/>
      </c>
      <c r="E117" s="368">
        <f>IFERROR(__xludf.DUMMYFUNCTION("""COMPUTED_VALUE"""),"メインクエスト")</f>
        <v/>
      </c>
      <c r="F117" s="382">
        <f>IFERROR(__xludf.DUMMYFUNCTION("""COMPUTED_VALUE"""),"quest_main_aya_normal_19")</f>
        <v/>
      </c>
      <c r="G117" s="368">
        <f>IFERROR(__xludf.DUMMYFUNCTION("""COMPUTED_VALUE"""),"19.あやかしトライアングル")</f>
        <v/>
      </c>
      <c r="H117" s="371">
        <f>IFERROR(__xludf.DUMMYFUNCTION("""COMPUTED_VALUE"""),"03")</f>
        <v/>
      </c>
      <c r="I117" s="371">
        <f>IFERROR(__xludf.DUMMYFUNCTION("""COMPUTED_VALUE"""),"normal_aya_00003")</f>
        <v/>
      </c>
      <c r="J117" s="368">
        <f>IFERROR(__xludf.DUMMYFUNCTION("""COMPUTED_VALUE"""),"stage_icon_aya_normal_03")</f>
        <v/>
      </c>
      <c r="K117" s="368" t="n"/>
      <c r="L117" s="368" t="n"/>
      <c r="M117" s="368" t="n"/>
      <c r="N117" s="369" t="n"/>
      <c r="O117" s="368" t="n"/>
      <c r="P117" s="334" t="n"/>
    </row>
    <row r="118">
      <c r="A118" s="381" t="n"/>
      <c r="B118" s="368" t="n"/>
      <c r="C118" s="405" t="n"/>
      <c r="D118" s="368" t="n"/>
      <c r="E118" s="368" t="n"/>
      <c r="F118" s="368" t="n"/>
      <c r="G118" s="368" t="n"/>
      <c r="H118" s="371" t="n"/>
      <c r="I118" s="371" t="n"/>
      <c r="J118" s="368" t="n"/>
      <c r="K118" s="368" t="n"/>
      <c r="L118" s="368" t="n"/>
      <c r="M118" s="368" t="n"/>
      <c r="N118" s="369" t="n"/>
      <c r="O118" s="368" t="n"/>
      <c r="P118" s="334" t="n"/>
    </row>
    <row r="119">
      <c r="A119" s="381">
        <f>IFERROR(__xludf.DUMMYFUNCTION("""COMPUTED_VALUE"""),"mar")</f>
        <v/>
      </c>
      <c r="B119" s="368">
        <f>IFERROR(__xludf.DUMMYFUNCTION("""COMPUTED_VALUE"""),"マリッジトキシン")</f>
        <v/>
      </c>
      <c r="C119" s="415">
        <f>IFERROR(__xludf.DUMMYFUNCTION("""COMPUTED_VALUE"""),"normal")</f>
        <v/>
      </c>
      <c r="D119" s="382">
        <f>IFERROR(__xludf.DUMMYFUNCTION("""COMPUTED_VALUE"""),"main")</f>
        <v/>
      </c>
      <c r="E119" s="368">
        <f>IFERROR(__xludf.DUMMYFUNCTION("""COMPUTED_VALUE"""),"メインクエスト")</f>
        <v/>
      </c>
      <c r="F119" s="382">
        <f>IFERROR(__xludf.DUMMYFUNCTION("""COMPUTED_VALUE"""),"quest_main_mar_normal_20")</f>
        <v/>
      </c>
      <c r="G119" s="368">
        <f>IFERROR(__xludf.DUMMYFUNCTION("""COMPUTED_VALUE"""),"20.マリッジトキシン")</f>
        <v/>
      </c>
      <c r="H119" s="371">
        <f>IFERROR(__xludf.DUMMYFUNCTION("""COMPUTED_VALUE"""),"01")</f>
        <v/>
      </c>
      <c r="I119" s="371">
        <f>IFERROR(__xludf.DUMMYFUNCTION("""COMPUTED_VALUE"""),"normal_mar_00001")</f>
        <v/>
      </c>
      <c r="J119" s="368">
        <f>IFERROR(__xludf.DUMMYFUNCTION("""COMPUTED_VALUE"""),"stage_icon_mar_normal_01")</f>
        <v/>
      </c>
      <c r="K119" s="368">
        <f>IFERROR(__xludf.DUMMYFUNCTION("""COMPUTED_VALUE"""),"quest_image_mar_1")</f>
        <v/>
      </c>
      <c r="L119" s="368" t="n"/>
      <c r="M119" s="368" t="n"/>
      <c r="N119" s="369" t="n"/>
      <c r="O119" s="368" t="n"/>
      <c r="P119" s="334" t="n"/>
    </row>
    <row r="120">
      <c r="A120" s="381">
        <f>IFERROR(__xludf.DUMMYFUNCTION("""COMPUTED_VALUE"""),"mar")</f>
        <v/>
      </c>
      <c r="B120" s="368">
        <f>IFERROR(__xludf.DUMMYFUNCTION("""COMPUTED_VALUE"""),"マリッジトキシン")</f>
        <v/>
      </c>
      <c r="C120" s="415">
        <f>IFERROR(__xludf.DUMMYFUNCTION("""COMPUTED_VALUE"""),"normal")</f>
        <v/>
      </c>
      <c r="D120" s="382">
        <f>IFERROR(__xludf.DUMMYFUNCTION("""COMPUTED_VALUE"""),"main")</f>
        <v/>
      </c>
      <c r="E120" s="368">
        <f>IFERROR(__xludf.DUMMYFUNCTION("""COMPUTED_VALUE"""),"メインクエスト")</f>
        <v/>
      </c>
      <c r="F120" s="382">
        <f>IFERROR(__xludf.DUMMYFUNCTION("""COMPUTED_VALUE"""),"quest_main_mar_normal_20")</f>
        <v/>
      </c>
      <c r="G120" s="368">
        <f>IFERROR(__xludf.DUMMYFUNCTION("""COMPUTED_VALUE"""),"20.マリッジトキシン")</f>
        <v/>
      </c>
      <c r="H120" s="371">
        <f>IFERROR(__xludf.DUMMYFUNCTION("""COMPUTED_VALUE"""),"02")</f>
        <v/>
      </c>
      <c r="I120" s="371">
        <f>IFERROR(__xludf.DUMMYFUNCTION("""COMPUTED_VALUE"""),"normal_mar_00002")</f>
        <v/>
      </c>
      <c r="J120" s="368">
        <f>IFERROR(__xludf.DUMMYFUNCTION("""COMPUTED_VALUE"""),"stage_icon_mar_normal_02")</f>
        <v/>
      </c>
      <c r="K120" s="368" t="n"/>
      <c r="L120" s="368" t="n"/>
      <c r="M120" s="368" t="n"/>
      <c r="N120" s="369" t="n"/>
      <c r="O120" s="368" t="n"/>
      <c r="P120" s="334" t="n"/>
    </row>
    <row r="121">
      <c r="A121" s="381">
        <f>IFERROR(__xludf.DUMMYFUNCTION("""COMPUTED_VALUE"""),"mar")</f>
        <v/>
      </c>
      <c r="B121" s="368">
        <f>IFERROR(__xludf.DUMMYFUNCTION("""COMPUTED_VALUE"""),"マリッジトキシン")</f>
        <v/>
      </c>
      <c r="C121" s="415">
        <f>IFERROR(__xludf.DUMMYFUNCTION("""COMPUTED_VALUE"""),"normal")</f>
        <v/>
      </c>
      <c r="D121" s="382">
        <f>IFERROR(__xludf.DUMMYFUNCTION("""COMPUTED_VALUE"""),"main")</f>
        <v/>
      </c>
      <c r="E121" s="368">
        <f>IFERROR(__xludf.DUMMYFUNCTION("""COMPUTED_VALUE"""),"メインクエスト")</f>
        <v/>
      </c>
      <c r="F121" s="382">
        <f>IFERROR(__xludf.DUMMYFUNCTION("""COMPUTED_VALUE"""),"quest_main_mar_normal_20")</f>
        <v/>
      </c>
      <c r="G121" s="368">
        <f>IFERROR(__xludf.DUMMYFUNCTION("""COMPUTED_VALUE"""),"20.マリッジトキシン")</f>
        <v/>
      </c>
      <c r="H121" s="371">
        <f>IFERROR(__xludf.DUMMYFUNCTION("""COMPUTED_VALUE"""),"03")</f>
        <v/>
      </c>
      <c r="I121" s="371">
        <f>IFERROR(__xludf.DUMMYFUNCTION("""COMPUTED_VALUE"""),"normal_mar_00003")</f>
        <v/>
      </c>
      <c r="J121" s="368">
        <f>IFERROR(__xludf.DUMMYFUNCTION("""COMPUTED_VALUE"""),"stage_icon_mar_normal_03")</f>
        <v/>
      </c>
      <c r="K121" s="368" t="n"/>
      <c r="L121" s="368" t="n"/>
      <c r="M121" s="368" t="n"/>
      <c r="N121" s="369" t="n"/>
      <c r="O121" s="368" t="n"/>
      <c r="P121" s="334" t="n"/>
    </row>
    <row r="122">
      <c r="A122" s="381" t="n"/>
      <c r="B122" s="368" t="n"/>
      <c r="C122" s="405" t="n"/>
      <c r="D122" s="368" t="n"/>
      <c r="E122" s="368" t="n"/>
      <c r="F122" s="368" t="n"/>
      <c r="G122" s="368" t="n"/>
      <c r="H122" s="371" t="n"/>
      <c r="I122" s="371" t="n"/>
      <c r="J122" s="368" t="n"/>
      <c r="K122" s="368" t="n"/>
      <c r="L122" s="368" t="n"/>
      <c r="M122" s="368" t="n"/>
      <c r="N122" s="369" t="n"/>
      <c r="O122" s="368" t="n"/>
      <c r="P122" s="334" t="n"/>
    </row>
    <row r="123">
      <c r="A123" s="381" t="n"/>
      <c r="B123" s="368" t="n"/>
      <c r="C123" s="405" t="n"/>
      <c r="D123" s="368" t="n"/>
      <c r="E123" s="368" t="n"/>
      <c r="F123" s="368" t="n"/>
      <c r="G123" s="368" t="n"/>
      <c r="H123" s="371" t="n"/>
      <c r="I123" s="371" t="n"/>
      <c r="J123" s="368" t="n"/>
      <c r="K123" s="368" t="n"/>
      <c r="L123" s="368" t="n"/>
      <c r="M123" s="368" t="n"/>
      <c r="N123" s="369" t="n"/>
      <c r="O123" s="368" t="n"/>
      <c r="P123" s="334" t="n"/>
    </row>
    <row r="124">
      <c r="A124" s="381" t="n"/>
      <c r="B124" s="368" t="n"/>
      <c r="C124" s="405" t="n"/>
      <c r="D124" s="368" t="n"/>
      <c r="E124" s="368" t="n"/>
      <c r="F124" s="368" t="n"/>
      <c r="G124" s="368" t="n"/>
      <c r="H124" s="371" t="n"/>
      <c r="I124" s="371" t="n"/>
      <c r="J124" s="368" t="n"/>
      <c r="K124" s="368" t="n"/>
      <c r="L124" s="368" t="n"/>
      <c r="M124" s="368" t="n"/>
      <c r="N124" s="369" t="n"/>
      <c r="O124" s="368" t="n"/>
      <c r="P124" s="334" t="n"/>
    </row>
    <row r="125">
      <c r="A125" s="381" t="n"/>
      <c r="B125" s="368" t="n"/>
      <c r="C125" s="405" t="n"/>
      <c r="D125" s="368" t="n"/>
      <c r="E125" s="368" t="n"/>
      <c r="F125" s="368" t="n"/>
      <c r="G125" s="368" t="n"/>
      <c r="H125" s="371" t="n"/>
      <c r="I125" s="371" t="n"/>
      <c r="J125" s="368" t="n"/>
      <c r="K125" s="368" t="n"/>
      <c r="L125" s="368" t="n"/>
      <c r="M125" s="368" t="n"/>
      <c r="N125" s="369" t="n"/>
      <c r="O125" s="368" t="n"/>
      <c r="P125" s="334" t="n"/>
    </row>
    <row r="126">
      <c r="A126" s="381" t="n"/>
      <c r="B126" s="368" t="n"/>
      <c r="C126" s="405" t="n"/>
      <c r="D126" s="368" t="n"/>
      <c r="E126" s="368" t="n"/>
      <c r="F126" s="368" t="n"/>
      <c r="G126" s="368" t="n"/>
      <c r="H126" s="371" t="n"/>
      <c r="I126" s="371" t="n"/>
      <c r="J126" s="368" t="n"/>
      <c r="K126" s="368" t="n"/>
      <c r="L126" s="368" t="n"/>
      <c r="M126" s="368" t="n"/>
      <c r="N126" s="369" t="n"/>
      <c r="O126" s="368" t="n"/>
      <c r="P126" s="334" t="n"/>
    </row>
    <row r="127">
      <c r="A127" s="384" t="n"/>
      <c r="B127" s="512" t="n"/>
      <c r="C127" s="512" t="n"/>
      <c r="D127" s="512" t="n"/>
      <c r="E127" s="512" t="n"/>
      <c r="F127" s="512" t="n"/>
      <c r="G127" s="512" t="n"/>
      <c r="H127" s="512" t="n"/>
      <c r="I127" s="512" t="n"/>
      <c r="J127" s="512" t="n"/>
      <c r="K127" s="512" t="n"/>
      <c r="L127" s="512" t="n"/>
      <c r="M127" s="512" t="n"/>
      <c r="N127" s="497" t="n"/>
      <c r="O127" s="368" t="n"/>
      <c r="P127" s="334" t="n"/>
    </row>
    <row r="128">
      <c r="A128" s="308" t="n"/>
      <c r="B128" s="383" t="n"/>
      <c r="C128" s="383" t="n"/>
      <c r="D128" s="407" t="n"/>
      <c r="E128" s="407" t="n"/>
      <c r="F128" s="383" t="n"/>
      <c r="G128" s="383" t="n"/>
      <c r="H128" s="404" t="n"/>
      <c r="I128" s="404" t="n"/>
      <c r="J128" s="383" t="n"/>
      <c r="K128" s="383" t="n"/>
      <c r="L128" s="383" t="n"/>
      <c r="M128" s="383" t="n"/>
      <c r="N128" s="402" t="n"/>
      <c r="O128" s="368" t="n"/>
      <c r="P128" s="334" t="n"/>
    </row>
    <row r="129">
      <c r="A129" s="308">
        <f>IFERROR(__xludf.DUMMYFUNCTION("""COMPUTED_VALUE"""),"▼メインクエスト（ハード）")</f>
        <v/>
      </c>
      <c r="B129" s="383" t="n"/>
      <c r="C129" s="383" t="n"/>
      <c r="D129" s="407" t="n"/>
      <c r="E129" s="407" t="n"/>
      <c r="F129" s="383" t="n"/>
      <c r="G129" s="383" t="n"/>
      <c r="H129" s="404" t="n"/>
      <c r="I129" s="404" t="n"/>
      <c r="J129" s="383" t="n"/>
      <c r="K129" s="383" t="n"/>
      <c r="L129" s="383" t="n"/>
      <c r="M129" s="383" t="n"/>
      <c r="N129" s="402" t="n"/>
      <c r="O129" s="368" t="n"/>
      <c r="P129" s="334" t="n"/>
    </row>
    <row r="130">
      <c r="A130" s="381" t="n"/>
      <c r="B130" s="368" t="n"/>
      <c r="C130" s="368" t="n"/>
      <c r="D130" s="368" t="n"/>
      <c r="E130" s="368" t="n"/>
      <c r="F130" s="368" t="n"/>
      <c r="G130" s="368" t="n"/>
      <c r="H130" s="368" t="n"/>
      <c r="I130" s="368" t="n"/>
      <c r="J130" s="368" t="n"/>
      <c r="K130" s="368" t="n"/>
      <c r="L130" s="368" t="n"/>
      <c r="M130" s="368" t="n"/>
      <c r="N130" s="368" t="n"/>
      <c r="O130" s="368" t="n"/>
      <c r="P130" s="334" t="n"/>
    </row>
    <row r="131">
      <c r="A131" s="381">
        <f>IFERROR(__xludf.DUMMYFUNCTION("""COMPUTED_VALUE"""),"spy")</f>
        <v/>
      </c>
      <c r="B131" s="368">
        <f>IFERROR(__xludf.DUMMYFUNCTION("""COMPUTED_VALUE"""),"SPY×FAMILY")</f>
        <v/>
      </c>
      <c r="C131" s="382">
        <f>IFERROR(__xludf.DUMMYFUNCTION("""COMPUTED_VALUE"""),"hard")</f>
        <v/>
      </c>
      <c r="D131" s="382">
        <f>IFERROR(__xludf.DUMMYFUNCTION("""COMPUTED_VALUE"""),"main")</f>
        <v/>
      </c>
      <c r="E131" s="368">
        <f>IFERROR(__xludf.DUMMYFUNCTION("""COMPUTED_VALUE"""),"メインクエスト")</f>
        <v/>
      </c>
      <c r="F131" s="382">
        <f>IFERROR(__xludf.DUMMYFUNCTION("""COMPUTED_VALUE"""),"quest_main_spy_hard_1")</f>
        <v/>
      </c>
      <c r="G131" s="368">
        <f>IFERROR(__xludf.DUMMYFUNCTION("""COMPUTED_VALUE"""),"1.SPY FAMILY")</f>
        <v/>
      </c>
      <c r="H131" s="382">
        <f>IFERROR(__xludf.DUMMYFUNCTION("""COMPUTED_VALUE"""),"01")</f>
        <v/>
      </c>
      <c r="I131" s="368">
        <f>IFERROR(__xludf.DUMMYFUNCTION("""COMPUTED_VALUE"""),"hard_spy_00001")</f>
        <v/>
      </c>
      <c r="J131" s="368">
        <f>IFERROR(__xludf.DUMMYFUNCTION("""COMPUTED_VALUE"""),"stage_icon_spy_hard_01")</f>
        <v/>
      </c>
      <c r="K131" s="368" t="n"/>
      <c r="L131" s="368" t="n"/>
      <c r="M131" s="368" t="n"/>
      <c r="N131" s="368" t="n"/>
      <c r="O131" s="368" t="n"/>
      <c r="P131" s="334" t="n"/>
    </row>
    <row r="132">
      <c r="A132" s="381">
        <f>IFERROR(__xludf.DUMMYFUNCTION("""COMPUTED_VALUE"""),"spy")</f>
        <v/>
      </c>
      <c r="B132" s="368">
        <f>IFERROR(__xludf.DUMMYFUNCTION("""COMPUTED_VALUE"""),"SPY×FAMILY")</f>
        <v/>
      </c>
      <c r="C132" s="382">
        <f>IFERROR(__xludf.DUMMYFUNCTION("""COMPUTED_VALUE"""),"hard")</f>
        <v/>
      </c>
      <c r="D132" s="382">
        <f>IFERROR(__xludf.DUMMYFUNCTION("""COMPUTED_VALUE"""),"main")</f>
        <v/>
      </c>
      <c r="E132" s="368">
        <f>IFERROR(__xludf.DUMMYFUNCTION("""COMPUTED_VALUE"""),"メインクエスト")</f>
        <v/>
      </c>
      <c r="F132" s="382">
        <f>IFERROR(__xludf.DUMMYFUNCTION("""COMPUTED_VALUE"""),"quest_main_spy_hard_1")</f>
        <v/>
      </c>
      <c r="G132" s="368">
        <f>IFERROR(__xludf.DUMMYFUNCTION("""COMPUTED_VALUE"""),"1.SPY FAMILY")</f>
        <v/>
      </c>
      <c r="H132" s="382">
        <f>IFERROR(__xludf.DUMMYFUNCTION("""COMPUTED_VALUE"""),"02")</f>
        <v/>
      </c>
      <c r="I132" s="368">
        <f>IFERROR(__xludf.DUMMYFUNCTION("""COMPUTED_VALUE"""),"hard_spy_00002")</f>
        <v/>
      </c>
      <c r="J132" s="368">
        <f>IFERROR(__xludf.DUMMYFUNCTION("""COMPUTED_VALUE"""),"stage_icon_spy_hard_02")</f>
        <v/>
      </c>
      <c r="K132" s="368" t="n"/>
      <c r="L132" s="368" t="n"/>
      <c r="M132" s="368" t="n"/>
      <c r="N132" s="368" t="n"/>
      <c r="O132" s="368" t="n"/>
      <c r="P132" s="334" t="n"/>
    </row>
    <row r="133">
      <c r="A133" s="381">
        <f>IFERROR(__xludf.DUMMYFUNCTION("""COMPUTED_VALUE"""),"spy")</f>
        <v/>
      </c>
      <c r="B133" s="368">
        <f>IFERROR(__xludf.DUMMYFUNCTION("""COMPUTED_VALUE"""),"SPY×FAMILY")</f>
        <v/>
      </c>
      <c r="C133" s="382">
        <f>IFERROR(__xludf.DUMMYFUNCTION("""COMPUTED_VALUE"""),"hard")</f>
        <v/>
      </c>
      <c r="D133" s="382">
        <f>IFERROR(__xludf.DUMMYFUNCTION("""COMPUTED_VALUE"""),"main")</f>
        <v/>
      </c>
      <c r="E133" s="368">
        <f>IFERROR(__xludf.DUMMYFUNCTION("""COMPUTED_VALUE"""),"メインクエスト")</f>
        <v/>
      </c>
      <c r="F133" s="382">
        <f>IFERROR(__xludf.DUMMYFUNCTION("""COMPUTED_VALUE"""),"quest_main_spy_hard_1")</f>
        <v/>
      </c>
      <c r="G133" s="368">
        <f>IFERROR(__xludf.DUMMYFUNCTION("""COMPUTED_VALUE"""),"1.SPY FAMILY")</f>
        <v/>
      </c>
      <c r="H133" s="382">
        <f>IFERROR(__xludf.DUMMYFUNCTION("""COMPUTED_VALUE"""),"03")</f>
        <v/>
      </c>
      <c r="I133" s="368">
        <f>IFERROR(__xludf.DUMMYFUNCTION("""COMPUTED_VALUE"""),"hard_spy_00003")</f>
        <v/>
      </c>
      <c r="J133" s="368">
        <f>IFERROR(__xludf.DUMMYFUNCTION("""COMPUTED_VALUE"""),"stage_icon_spy_hard_03")</f>
        <v/>
      </c>
      <c r="K133" s="368" t="n"/>
      <c r="L133" s="368" t="n"/>
      <c r="M133" s="368" t="n"/>
      <c r="N133" s="368" t="n"/>
      <c r="O133" s="368" t="n"/>
      <c r="P133" s="334" t="n"/>
    </row>
    <row r="134">
      <c r="A134" s="334">
        <f>IFERROR(__xludf.DUMMYFUNCTION("""COMPUTED_VALUE"""),"spy")</f>
        <v/>
      </c>
      <c r="B134" s="334">
        <f>IFERROR(__xludf.DUMMYFUNCTION("""COMPUTED_VALUE"""),"SPY×FAMILY")</f>
        <v/>
      </c>
      <c r="C134" s="408">
        <f>IFERROR(__xludf.DUMMYFUNCTION("""COMPUTED_VALUE"""),"hard")</f>
        <v/>
      </c>
      <c r="D134" s="408">
        <f>IFERROR(__xludf.DUMMYFUNCTION("""COMPUTED_VALUE"""),"main")</f>
        <v/>
      </c>
      <c r="E134" s="334">
        <f>IFERROR(__xludf.DUMMYFUNCTION("""COMPUTED_VALUE"""),"メインクエスト")</f>
        <v/>
      </c>
      <c r="F134" s="408">
        <f>IFERROR(__xludf.DUMMYFUNCTION("""COMPUTED_VALUE"""),"quest_main_spy_hard_1")</f>
        <v/>
      </c>
      <c r="G134" s="334">
        <f>IFERROR(__xludf.DUMMYFUNCTION("""COMPUTED_VALUE"""),"1.SPY FAMILY")</f>
        <v/>
      </c>
      <c r="H134" s="408">
        <f>IFERROR(__xludf.DUMMYFUNCTION("""COMPUTED_VALUE"""),"04")</f>
        <v/>
      </c>
      <c r="I134" s="334">
        <f>IFERROR(__xludf.DUMMYFUNCTION("""COMPUTED_VALUE"""),"hard_spy_00004")</f>
        <v/>
      </c>
      <c r="J134" s="334">
        <f>IFERROR(__xludf.DUMMYFUNCTION("""COMPUTED_VALUE"""),"stage_icon_spy_hard_04")</f>
        <v/>
      </c>
      <c r="K134" s="334" t="n"/>
      <c r="L134" s="334" t="n"/>
      <c r="M134" s="334" t="n"/>
      <c r="N134" s="339" t="n"/>
      <c r="O134" s="368" t="n"/>
      <c r="P134" s="334" t="n"/>
    </row>
    <row r="135">
      <c r="A135" s="334">
        <f>IFERROR(__xludf.DUMMYFUNCTION("""COMPUTED_VALUE"""),"spy")</f>
        <v/>
      </c>
      <c r="B135" s="334">
        <f>IFERROR(__xludf.DUMMYFUNCTION("""COMPUTED_VALUE"""),"SPY×FAMILY")</f>
        <v/>
      </c>
      <c r="C135" s="408">
        <f>IFERROR(__xludf.DUMMYFUNCTION("""COMPUTED_VALUE"""),"hard")</f>
        <v/>
      </c>
      <c r="D135" s="408">
        <f>IFERROR(__xludf.DUMMYFUNCTION("""COMPUTED_VALUE"""),"main")</f>
        <v/>
      </c>
      <c r="E135" s="334">
        <f>IFERROR(__xludf.DUMMYFUNCTION("""COMPUTED_VALUE"""),"メインクエスト")</f>
        <v/>
      </c>
      <c r="F135" s="408">
        <f>IFERROR(__xludf.DUMMYFUNCTION("""COMPUTED_VALUE"""),"quest_main_spy_hard_1")</f>
        <v/>
      </c>
      <c r="G135" s="334">
        <f>IFERROR(__xludf.DUMMYFUNCTION("""COMPUTED_VALUE"""),"1.SPY FAMILY")</f>
        <v/>
      </c>
      <c r="H135" s="408">
        <f>IFERROR(__xludf.DUMMYFUNCTION("""COMPUTED_VALUE"""),"05")</f>
        <v/>
      </c>
      <c r="I135" s="334">
        <f>IFERROR(__xludf.DUMMYFUNCTION("""COMPUTED_VALUE"""),"hard_spy_00005")</f>
        <v/>
      </c>
      <c r="J135" s="334">
        <f>IFERROR(__xludf.DUMMYFUNCTION("""COMPUTED_VALUE"""),"stage_icon_spy_hard_05")</f>
        <v/>
      </c>
      <c r="K135" s="334" t="n"/>
      <c r="L135" s="334" t="n"/>
      <c r="M135" s="334" t="n"/>
      <c r="N135" s="339" t="n"/>
      <c r="O135" s="368" t="n"/>
      <c r="P135" s="334" t="n"/>
    </row>
    <row r="136">
      <c r="A136" s="334">
        <f>IFERROR(__xludf.DUMMYFUNCTION("""COMPUTED_VALUE"""),"spy")</f>
        <v/>
      </c>
      <c r="B136" s="334">
        <f>IFERROR(__xludf.DUMMYFUNCTION("""COMPUTED_VALUE"""),"SPY×FAMILY")</f>
        <v/>
      </c>
      <c r="C136" s="408">
        <f>IFERROR(__xludf.DUMMYFUNCTION("""COMPUTED_VALUE"""),"hard")</f>
        <v/>
      </c>
      <c r="D136" s="408">
        <f>IFERROR(__xludf.DUMMYFUNCTION("""COMPUTED_VALUE"""),"main")</f>
        <v/>
      </c>
      <c r="E136" s="334">
        <f>IFERROR(__xludf.DUMMYFUNCTION("""COMPUTED_VALUE"""),"メインクエスト")</f>
        <v/>
      </c>
      <c r="F136" s="408">
        <f>IFERROR(__xludf.DUMMYFUNCTION("""COMPUTED_VALUE"""),"quest_main_spy_hard_1")</f>
        <v/>
      </c>
      <c r="G136" s="334">
        <f>IFERROR(__xludf.DUMMYFUNCTION("""COMPUTED_VALUE"""),"1.SPY FAMILY")</f>
        <v/>
      </c>
      <c r="H136" s="408">
        <f>IFERROR(__xludf.DUMMYFUNCTION("""COMPUTED_VALUE"""),"06")</f>
        <v/>
      </c>
      <c r="I136" s="334">
        <f>IFERROR(__xludf.DUMMYFUNCTION("""COMPUTED_VALUE"""),"hard_spy_00006")</f>
        <v/>
      </c>
      <c r="J136" s="334">
        <f>IFERROR(__xludf.DUMMYFUNCTION("""COMPUTED_VALUE"""),"stage_icon_spy_hard_06")</f>
        <v/>
      </c>
      <c r="K136" s="334" t="n"/>
      <c r="L136" s="334" t="n"/>
      <c r="M136" s="334" t="n"/>
      <c r="N136" s="339" t="n"/>
      <c r="O136" s="368" t="n"/>
      <c r="P136" s="334" t="n"/>
    </row>
    <row r="137">
      <c r="A137" s="334" t="n"/>
      <c r="B137" s="334" t="n"/>
      <c r="C137" s="334" t="n"/>
      <c r="D137" s="334" t="n"/>
      <c r="E137" s="334" t="n"/>
      <c r="F137" s="334" t="n"/>
      <c r="G137" s="334" t="n"/>
      <c r="H137" s="334" t="n"/>
      <c r="I137" s="334" t="n"/>
      <c r="J137" s="334" t="n"/>
      <c r="K137" s="334" t="n"/>
      <c r="L137" s="334" t="n"/>
      <c r="M137" s="334" t="n"/>
      <c r="N137" s="339" t="n"/>
      <c r="O137" s="368" t="n"/>
      <c r="P137" s="334" t="n"/>
    </row>
    <row r="138">
      <c r="A138" s="334">
        <f>IFERROR(__xludf.DUMMYFUNCTION("""COMPUTED_VALUE"""),"gom")</f>
        <v/>
      </c>
      <c r="B138" s="334">
        <f>IFERROR(__xludf.DUMMYFUNCTION("""COMPUTED_VALUE"""),"姫様“拷問”の時間です")</f>
        <v/>
      </c>
      <c r="C138" s="408">
        <f>IFERROR(__xludf.DUMMYFUNCTION("""COMPUTED_VALUE"""),"hard")</f>
        <v/>
      </c>
      <c r="D138" s="408">
        <f>IFERROR(__xludf.DUMMYFUNCTION("""COMPUTED_VALUE"""),"main")</f>
        <v/>
      </c>
      <c r="E138" s="334">
        <f>IFERROR(__xludf.DUMMYFUNCTION("""COMPUTED_VALUE"""),"メインクエスト")</f>
        <v/>
      </c>
      <c r="F138" s="408">
        <f>IFERROR(__xludf.DUMMYFUNCTION("""COMPUTED_VALUE"""),"quest_main_gom_hard_2")</f>
        <v/>
      </c>
      <c r="G138" s="334">
        <f>IFERROR(__xludf.DUMMYFUNCTION("""COMPUTED_VALUE"""),"2.姫様“拷問”の時間です")</f>
        <v/>
      </c>
      <c r="H138" s="408">
        <f>IFERROR(__xludf.DUMMYFUNCTION("""COMPUTED_VALUE"""),"01")</f>
        <v/>
      </c>
      <c r="I138" s="334">
        <f>IFERROR(__xludf.DUMMYFUNCTION("""COMPUTED_VALUE"""),"hard_gom_00001")</f>
        <v/>
      </c>
      <c r="J138" s="334">
        <f>IFERROR(__xludf.DUMMYFUNCTION("""COMPUTED_VALUE"""),"stage_icon_gom_hard_01")</f>
        <v/>
      </c>
      <c r="K138" s="334" t="n"/>
      <c r="L138" s="334" t="n"/>
      <c r="M138" s="334" t="n"/>
      <c r="N138" s="339" t="n"/>
      <c r="O138" s="368" t="n"/>
      <c r="P138" s="334" t="n"/>
    </row>
    <row r="139">
      <c r="A139" s="334">
        <f>IFERROR(__xludf.DUMMYFUNCTION("""COMPUTED_VALUE"""),"gom")</f>
        <v/>
      </c>
      <c r="B139" s="334">
        <f>IFERROR(__xludf.DUMMYFUNCTION("""COMPUTED_VALUE"""),"姫様“拷問”の時間です")</f>
        <v/>
      </c>
      <c r="C139" s="408">
        <f>IFERROR(__xludf.DUMMYFUNCTION("""COMPUTED_VALUE"""),"hard")</f>
        <v/>
      </c>
      <c r="D139" s="408">
        <f>IFERROR(__xludf.DUMMYFUNCTION("""COMPUTED_VALUE"""),"main")</f>
        <v/>
      </c>
      <c r="E139" s="334">
        <f>IFERROR(__xludf.DUMMYFUNCTION("""COMPUTED_VALUE"""),"メインクエスト")</f>
        <v/>
      </c>
      <c r="F139" s="408">
        <f>IFERROR(__xludf.DUMMYFUNCTION("""COMPUTED_VALUE"""),"quest_main_gom_hard_2")</f>
        <v/>
      </c>
      <c r="G139" s="334">
        <f>IFERROR(__xludf.DUMMYFUNCTION("""COMPUTED_VALUE"""),"2.姫様“拷問”の時間です")</f>
        <v/>
      </c>
      <c r="H139" s="408">
        <f>IFERROR(__xludf.DUMMYFUNCTION("""COMPUTED_VALUE"""),"02")</f>
        <v/>
      </c>
      <c r="I139" s="334">
        <f>IFERROR(__xludf.DUMMYFUNCTION("""COMPUTED_VALUE"""),"hard_gom_00002")</f>
        <v/>
      </c>
      <c r="J139" s="334">
        <f>IFERROR(__xludf.DUMMYFUNCTION("""COMPUTED_VALUE"""),"stage_icon_gom_hard_02")</f>
        <v/>
      </c>
      <c r="K139" s="334" t="n"/>
      <c r="L139" s="334" t="n"/>
      <c r="M139" s="334" t="n"/>
      <c r="N139" s="339" t="n"/>
      <c r="O139" s="368" t="n"/>
      <c r="P139" s="334" t="n"/>
    </row>
    <row r="140">
      <c r="A140" s="334">
        <f>IFERROR(__xludf.DUMMYFUNCTION("""COMPUTED_VALUE"""),"gom")</f>
        <v/>
      </c>
      <c r="B140" s="334">
        <f>IFERROR(__xludf.DUMMYFUNCTION("""COMPUTED_VALUE"""),"姫様“拷問”の時間です")</f>
        <v/>
      </c>
      <c r="C140" s="408">
        <f>IFERROR(__xludf.DUMMYFUNCTION("""COMPUTED_VALUE"""),"hard")</f>
        <v/>
      </c>
      <c r="D140" s="408">
        <f>IFERROR(__xludf.DUMMYFUNCTION("""COMPUTED_VALUE"""),"main")</f>
        <v/>
      </c>
      <c r="E140" s="334">
        <f>IFERROR(__xludf.DUMMYFUNCTION("""COMPUTED_VALUE"""),"メインクエスト")</f>
        <v/>
      </c>
      <c r="F140" s="408">
        <f>IFERROR(__xludf.DUMMYFUNCTION("""COMPUTED_VALUE"""),"quest_main_gom_hard_2")</f>
        <v/>
      </c>
      <c r="G140" s="334">
        <f>IFERROR(__xludf.DUMMYFUNCTION("""COMPUTED_VALUE"""),"2.姫様“拷問”の時間です")</f>
        <v/>
      </c>
      <c r="H140" s="408">
        <f>IFERROR(__xludf.DUMMYFUNCTION("""COMPUTED_VALUE"""),"03")</f>
        <v/>
      </c>
      <c r="I140" s="334">
        <f>IFERROR(__xludf.DUMMYFUNCTION("""COMPUTED_VALUE"""),"hard_gom_00003")</f>
        <v/>
      </c>
      <c r="J140" s="334">
        <f>IFERROR(__xludf.DUMMYFUNCTION("""COMPUTED_VALUE"""),"stage_icon_gom_hard_03")</f>
        <v/>
      </c>
      <c r="K140" s="334" t="n"/>
      <c r="L140" s="334" t="n"/>
      <c r="M140" s="334" t="n"/>
      <c r="N140" s="339" t="n"/>
      <c r="O140" s="368" t="n"/>
      <c r="P140" s="334" t="n"/>
    </row>
    <row r="141">
      <c r="A141" s="334">
        <f>IFERROR(__xludf.DUMMYFUNCTION("""COMPUTED_VALUE"""),"gom")</f>
        <v/>
      </c>
      <c r="B141" s="334">
        <f>IFERROR(__xludf.DUMMYFUNCTION("""COMPUTED_VALUE"""),"姫様“拷問”の時間です")</f>
        <v/>
      </c>
      <c r="C141" s="408">
        <f>IFERROR(__xludf.DUMMYFUNCTION("""COMPUTED_VALUE"""),"hard")</f>
        <v/>
      </c>
      <c r="D141" s="408">
        <f>IFERROR(__xludf.DUMMYFUNCTION("""COMPUTED_VALUE"""),"main")</f>
        <v/>
      </c>
      <c r="E141" s="334">
        <f>IFERROR(__xludf.DUMMYFUNCTION("""COMPUTED_VALUE"""),"メインクエスト")</f>
        <v/>
      </c>
      <c r="F141" s="408">
        <f>IFERROR(__xludf.DUMMYFUNCTION("""COMPUTED_VALUE"""),"quest_main_gom_hard_2")</f>
        <v/>
      </c>
      <c r="G141" s="334">
        <f>IFERROR(__xludf.DUMMYFUNCTION("""COMPUTED_VALUE"""),"2.姫様“拷問”の時間です")</f>
        <v/>
      </c>
      <c r="H141" s="408">
        <f>IFERROR(__xludf.DUMMYFUNCTION("""COMPUTED_VALUE"""),"04")</f>
        <v/>
      </c>
      <c r="I141" s="334">
        <f>IFERROR(__xludf.DUMMYFUNCTION("""COMPUTED_VALUE"""),"hard_gom_00004")</f>
        <v/>
      </c>
      <c r="J141" s="334">
        <f>IFERROR(__xludf.DUMMYFUNCTION("""COMPUTED_VALUE"""),"stage_icon_gom_hard_04")</f>
        <v/>
      </c>
      <c r="K141" s="334" t="n"/>
      <c r="L141" s="334" t="n"/>
      <c r="M141" s="334" t="n"/>
      <c r="N141" s="339" t="n"/>
      <c r="O141" s="368" t="n"/>
      <c r="P141" s="334" t="n"/>
    </row>
    <row r="142">
      <c r="A142" s="334">
        <f>IFERROR(__xludf.DUMMYFUNCTION("""COMPUTED_VALUE"""),"gom")</f>
        <v/>
      </c>
      <c r="B142" s="334">
        <f>IFERROR(__xludf.DUMMYFUNCTION("""COMPUTED_VALUE"""),"姫様“拷問”の時間です")</f>
        <v/>
      </c>
      <c r="C142" s="408">
        <f>IFERROR(__xludf.DUMMYFUNCTION("""COMPUTED_VALUE"""),"hard")</f>
        <v/>
      </c>
      <c r="D142" s="408">
        <f>IFERROR(__xludf.DUMMYFUNCTION("""COMPUTED_VALUE"""),"main")</f>
        <v/>
      </c>
      <c r="E142" s="334">
        <f>IFERROR(__xludf.DUMMYFUNCTION("""COMPUTED_VALUE"""),"メインクエスト")</f>
        <v/>
      </c>
      <c r="F142" s="408">
        <f>IFERROR(__xludf.DUMMYFUNCTION("""COMPUTED_VALUE"""),"quest_main_gom_hard_2")</f>
        <v/>
      </c>
      <c r="G142" s="334">
        <f>IFERROR(__xludf.DUMMYFUNCTION("""COMPUTED_VALUE"""),"2.姫様“拷問”の時間です")</f>
        <v/>
      </c>
      <c r="H142" s="408">
        <f>IFERROR(__xludf.DUMMYFUNCTION("""COMPUTED_VALUE"""),"05")</f>
        <v/>
      </c>
      <c r="I142" s="334">
        <f>IFERROR(__xludf.DUMMYFUNCTION("""COMPUTED_VALUE"""),"hard_gom_00005")</f>
        <v/>
      </c>
      <c r="J142" s="334">
        <f>IFERROR(__xludf.DUMMYFUNCTION("""COMPUTED_VALUE"""),"stage_icon_gom_hard_05")</f>
        <v/>
      </c>
      <c r="K142" s="334" t="n"/>
      <c r="L142" s="334" t="n"/>
      <c r="M142" s="334" t="n"/>
      <c r="N142" s="339" t="n"/>
      <c r="O142" s="368" t="n"/>
      <c r="P142" s="334" t="n"/>
    </row>
    <row r="143">
      <c r="A143" s="334">
        <f>IFERROR(__xludf.DUMMYFUNCTION("""COMPUTED_VALUE"""),"gom")</f>
        <v/>
      </c>
      <c r="B143" s="334">
        <f>IFERROR(__xludf.DUMMYFUNCTION("""COMPUTED_VALUE"""),"姫様“拷問”の時間です")</f>
        <v/>
      </c>
      <c r="C143" s="408">
        <f>IFERROR(__xludf.DUMMYFUNCTION("""COMPUTED_VALUE"""),"hard")</f>
        <v/>
      </c>
      <c r="D143" s="408">
        <f>IFERROR(__xludf.DUMMYFUNCTION("""COMPUTED_VALUE"""),"main")</f>
        <v/>
      </c>
      <c r="E143" s="334">
        <f>IFERROR(__xludf.DUMMYFUNCTION("""COMPUTED_VALUE"""),"メインクエスト")</f>
        <v/>
      </c>
      <c r="F143" s="408">
        <f>IFERROR(__xludf.DUMMYFUNCTION("""COMPUTED_VALUE"""),"quest_main_gom_hard_2")</f>
        <v/>
      </c>
      <c r="G143" s="334">
        <f>IFERROR(__xludf.DUMMYFUNCTION("""COMPUTED_VALUE"""),"2.姫様“拷問”の時間です")</f>
        <v/>
      </c>
      <c r="H143" s="408">
        <f>IFERROR(__xludf.DUMMYFUNCTION("""COMPUTED_VALUE"""),"06")</f>
        <v/>
      </c>
      <c r="I143" s="334">
        <f>IFERROR(__xludf.DUMMYFUNCTION("""COMPUTED_VALUE"""),"hard_gom_00006")</f>
        <v/>
      </c>
      <c r="J143" s="334">
        <f>IFERROR(__xludf.DUMMYFUNCTION("""COMPUTED_VALUE"""),"stage_icon_gom_hard_06")</f>
        <v/>
      </c>
      <c r="K143" s="334" t="n"/>
      <c r="L143" s="334" t="n"/>
      <c r="M143" s="334" t="n"/>
      <c r="N143" s="339" t="n"/>
      <c r="O143" s="368" t="n"/>
      <c r="P143" s="334" t="n"/>
    </row>
    <row r="144">
      <c r="A144" s="334" t="n"/>
      <c r="B144" s="334" t="n"/>
      <c r="C144" s="334" t="n"/>
      <c r="D144" s="334" t="n"/>
      <c r="E144" s="334" t="n"/>
      <c r="F144" s="334" t="n"/>
      <c r="G144" s="334" t="n"/>
      <c r="H144" s="334" t="n"/>
      <c r="I144" s="334" t="n"/>
      <c r="J144" s="334" t="n"/>
      <c r="K144" s="334" t="n"/>
      <c r="L144" s="334" t="n"/>
      <c r="M144" s="334" t="n"/>
      <c r="N144" s="339" t="n"/>
      <c r="O144" s="368" t="n"/>
      <c r="P144" s="334" t="n"/>
    </row>
    <row r="145">
      <c r="A145" s="334">
        <f>IFERROR(__xludf.DUMMYFUNCTION("""COMPUTED_VALUE"""),"aka")</f>
        <v/>
      </c>
      <c r="B145" s="334">
        <f>IFERROR(__xludf.DUMMYFUNCTION("""COMPUTED_VALUE"""),"ラーメン赤猫")</f>
        <v/>
      </c>
      <c r="C145" s="408">
        <f>IFERROR(__xludf.DUMMYFUNCTION("""COMPUTED_VALUE"""),"hard")</f>
        <v/>
      </c>
      <c r="D145" s="408">
        <f>IFERROR(__xludf.DUMMYFUNCTION("""COMPUTED_VALUE"""),"main")</f>
        <v/>
      </c>
      <c r="E145" s="334">
        <f>IFERROR(__xludf.DUMMYFUNCTION("""COMPUTED_VALUE"""),"メインクエスト")</f>
        <v/>
      </c>
      <c r="F145" s="408">
        <f>IFERROR(__xludf.DUMMYFUNCTION("""COMPUTED_VALUE"""),"quest_main_aka_hard_3")</f>
        <v/>
      </c>
      <c r="G145" s="334">
        <f>IFERROR(__xludf.DUMMYFUNCTION("""COMPUTED_VALUE"""),"3.ラーメン赤猫")</f>
        <v/>
      </c>
      <c r="H145" s="408">
        <f>IFERROR(__xludf.DUMMYFUNCTION("""COMPUTED_VALUE"""),"01")</f>
        <v/>
      </c>
      <c r="I145" s="334">
        <f>IFERROR(__xludf.DUMMYFUNCTION("""COMPUTED_VALUE"""),"hard_aka_00001")</f>
        <v/>
      </c>
      <c r="J145" s="334">
        <f>IFERROR(__xludf.DUMMYFUNCTION("""COMPUTED_VALUE"""),"stage_icon_aka_hard_01")</f>
        <v/>
      </c>
      <c r="K145" s="334" t="n"/>
      <c r="L145" s="334" t="n"/>
      <c r="M145" s="334" t="n"/>
      <c r="N145" s="339" t="n"/>
      <c r="O145" s="368" t="n"/>
      <c r="P145" s="334" t="n"/>
    </row>
    <row r="146">
      <c r="A146" s="334">
        <f>IFERROR(__xludf.DUMMYFUNCTION("""COMPUTED_VALUE"""),"aka")</f>
        <v/>
      </c>
      <c r="B146" s="334">
        <f>IFERROR(__xludf.DUMMYFUNCTION("""COMPUTED_VALUE"""),"ラーメン赤猫")</f>
        <v/>
      </c>
      <c r="C146" s="408">
        <f>IFERROR(__xludf.DUMMYFUNCTION("""COMPUTED_VALUE"""),"hard")</f>
        <v/>
      </c>
      <c r="D146" s="408">
        <f>IFERROR(__xludf.DUMMYFUNCTION("""COMPUTED_VALUE"""),"main")</f>
        <v/>
      </c>
      <c r="E146" s="334">
        <f>IFERROR(__xludf.DUMMYFUNCTION("""COMPUTED_VALUE"""),"メインクエスト")</f>
        <v/>
      </c>
      <c r="F146" s="408">
        <f>IFERROR(__xludf.DUMMYFUNCTION("""COMPUTED_VALUE"""),"quest_main_aka_hard_3")</f>
        <v/>
      </c>
      <c r="G146" s="334">
        <f>IFERROR(__xludf.DUMMYFUNCTION("""COMPUTED_VALUE"""),"3.ラーメン赤猫")</f>
        <v/>
      </c>
      <c r="H146" s="408">
        <f>IFERROR(__xludf.DUMMYFUNCTION("""COMPUTED_VALUE"""),"02")</f>
        <v/>
      </c>
      <c r="I146" s="334">
        <f>IFERROR(__xludf.DUMMYFUNCTION("""COMPUTED_VALUE"""),"hard_aka_00002")</f>
        <v/>
      </c>
      <c r="J146" s="334">
        <f>IFERROR(__xludf.DUMMYFUNCTION("""COMPUTED_VALUE"""),"stage_icon_aka_hard_02")</f>
        <v/>
      </c>
      <c r="K146" s="334" t="n"/>
      <c r="L146" s="334" t="n"/>
      <c r="M146" s="334" t="n"/>
      <c r="N146" s="339" t="n"/>
      <c r="O146" s="368" t="n"/>
      <c r="P146" s="334" t="n"/>
    </row>
    <row r="147">
      <c r="A147" s="334">
        <f>IFERROR(__xludf.DUMMYFUNCTION("""COMPUTED_VALUE"""),"aka")</f>
        <v/>
      </c>
      <c r="B147" s="334">
        <f>IFERROR(__xludf.DUMMYFUNCTION("""COMPUTED_VALUE"""),"ラーメン赤猫")</f>
        <v/>
      </c>
      <c r="C147" s="408">
        <f>IFERROR(__xludf.DUMMYFUNCTION("""COMPUTED_VALUE"""),"hard")</f>
        <v/>
      </c>
      <c r="D147" s="408">
        <f>IFERROR(__xludf.DUMMYFUNCTION("""COMPUTED_VALUE"""),"main")</f>
        <v/>
      </c>
      <c r="E147" s="334">
        <f>IFERROR(__xludf.DUMMYFUNCTION("""COMPUTED_VALUE"""),"メインクエスト")</f>
        <v/>
      </c>
      <c r="F147" s="408">
        <f>IFERROR(__xludf.DUMMYFUNCTION("""COMPUTED_VALUE"""),"quest_main_aka_hard_3")</f>
        <v/>
      </c>
      <c r="G147" s="334">
        <f>IFERROR(__xludf.DUMMYFUNCTION("""COMPUTED_VALUE"""),"3.ラーメン赤猫")</f>
        <v/>
      </c>
      <c r="H147" s="408">
        <f>IFERROR(__xludf.DUMMYFUNCTION("""COMPUTED_VALUE"""),"03")</f>
        <v/>
      </c>
      <c r="I147" s="334">
        <f>IFERROR(__xludf.DUMMYFUNCTION("""COMPUTED_VALUE"""),"hard_aka_00003")</f>
        <v/>
      </c>
      <c r="J147" s="334">
        <f>IFERROR(__xludf.DUMMYFUNCTION("""COMPUTED_VALUE"""),"stage_icon_aka_hard_03")</f>
        <v/>
      </c>
      <c r="K147" s="334" t="n"/>
      <c r="L147" s="334" t="n"/>
      <c r="M147" s="334" t="n"/>
      <c r="N147" s="339" t="n"/>
      <c r="O147" s="368" t="n"/>
      <c r="P147" s="334" t="n"/>
    </row>
    <row r="148">
      <c r="A148" s="334" t="n"/>
      <c r="B148" s="334" t="n"/>
      <c r="C148" s="334" t="n"/>
      <c r="D148" s="334" t="n"/>
      <c r="E148" s="334" t="n"/>
      <c r="F148" s="334" t="n"/>
      <c r="G148" s="334" t="n"/>
      <c r="H148" s="334" t="n"/>
      <c r="I148" s="334" t="n"/>
      <c r="J148" s="334" t="n"/>
      <c r="K148" s="334" t="n"/>
      <c r="L148" s="334" t="n"/>
      <c r="M148" s="334" t="n"/>
      <c r="N148" s="339" t="n"/>
      <c r="O148" s="368" t="n"/>
      <c r="P148" s="334" t="n"/>
    </row>
    <row r="149">
      <c r="A149" s="334">
        <f>IFERROR(__xludf.DUMMYFUNCTION("""COMPUTED_VALUE"""),"glo1")</f>
        <v/>
      </c>
      <c r="B149" s="334">
        <f>IFERROR(__xludf.DUMMYFUNCTION("""COMPUTED_VALUE"""),"GLOW")</f>
        <v/>
      </c>
      <c r="C149" s="408">
        <f>IFERROR(__xludf.DUMMYFUNCTION("""COMPUTED_VALUE"""),"hard")</f>
        <v/>
      </c>
      <c r="D149" s="408">
        <f>IFERROR(__xludf.DUMMYFUNCTION("""COMPUTED_VALUE"""),"main")</f>
        <v/>
      </c>
      <c r="E149" s="334">
        <f>IFERROR(__xludf.DUMMYFUNCTION("""COMPUTED_VALUE"""),"メインクエスト")</f>
        <v/>
      </c>
      <c r="F149" s="408">
        <f>IFERROR(__xludf.DUMMYFUNCTION("""COMPUTED_VALUE"""),"quest_main_glo1_hard_4")</f>
        <v/>
      </c>
      <c r="G149" s="334">
        <f>IFERROR(__xludf.DUMMYFUNCTION("""COMPUTED_VALUE"""),"4.リミックスクエスト Vol.1")</f>
        <v/>
      </c>
      <c r="H149" s="408">
        <f>IFERROR(__xludf.DUMMYFUNCTION("""COMPUTED_VALUE"""),"01")</f>
        <v/>
      </c>
      <c r="I149" s="334">
        <f>IFERROR(__xludf.DUMMYFUNCTION("""COMPUTED_VALUE"""),"hard_glo1_00001")</f>
        <v/>
      </c>
      <c r="J149" s="334">
        <f>IFERROR(__xludf.DUMMYFUNCTION("""COMPUTED_VALUE"""),"stage_icon_glo1_hard_01")</f>
        <v/>
      </c>
      <c r="K149" s="334" t="n"/>
      <c r="L149" s="334" t="n"/>
      <c r="M149" s="334" t="n"/>
      <c r="N149" s="339" t="n"/>
      <c r="O149" s="368" t="n"/>
      <c r="P149" s="334" t="n"/>
    </row>
    <row r="150">
      <c r="A150" s="334">
        <f>IFERROR(__xludf.DUMMYFUNCTION("""COMPUTED_VALUE"""),"glo1")</f>
        <v/>
      </c>
      <c r="B150" s="334">
        <f>IFERROR(__xludf.DUMMYFUNCTION("""COMPUTED_VALUE"""),"GLOW")</f>
        <v/>
      </c>
      <c r="C150" s="408">
        <f>IFERROR(__xludf.DUMMYFUNCTION("""COMPUTED_VALUE"""),"hard")</f>
        <v/>
      </c>
      <c r="D150" s="408">
        <f>IFERROR(__xludf.DUMMYFUNCTION("""COMPUTED_VALUE"""),"main")</f>
        <v/>
      </c>
      <c r="E150" s="334">
        <f>IFERROR(__xludf.DUMMYFUNCTION("""COMPUTED_VALUE"""),"メインクエスト")</f>
        <v/>
      </c>
      <c r="F150" s="408">
        <f>IFERROR(__xludf.DUMMYFUNCTION("""COMPUTED_VALUE"""),"quest_main_glo1_hard_4")</f>
        <v/>
      </c>
      <c r="G150" s="334">
        <f>IFERROR(__xludf.DUMMYFUNCTION("""COMPUTED_VALUE"""),"4.リミックスクエスト Vol.1")</f>
        <v/>
      </c>
      <c r="H150" s="408">
        <f>IFERROR(__xludf.DUMMYFUNCTION("""COMPUTED_VALUE"""),"02")</f>
        <v/>
      </c>
      <c r="I150" s="334">
        <f>IFERROR(__xludf.DUMMYFUNCTION("""COMPUTED_VALUE"""),"hard_glo1_00002")</f>
        <v/>
      </c>
      <c r="J150" s="334">
        <f>IFERROR(__xludf.DUMMYFUNCTION("""COMPUTED_VALUE"""),"stage_icon_glo1_hard_02")</f>
        <v/>
      </c>
      <c r="K150" s="334" t="n"/>
      <c r="L150" s="334" t="n"/>
      <c r="M150" s="334" t="n"/>
      <c r="N150" s="339" t="n"/>
      <c r="O150" s="368" t="n"/>
      <c r="P150" s="334" t="n"/>
    </row>
    <row r="151">
      <c r="A151" s="334">
        <f>IFERROR(__xludf.DUMMYFUNCTION("""COMPUTED_VALUE"""),"glo1")</f>
        <v/>
      </c>
      <c r="B151" s="334">
        <f>IFERROR(__xludf.DUMMYFUNCTION("""COMPUTED_VALUE"""),"GLOW")</f>
        <v/>
      </c>
      <c r="C151" s="408">
        <f>IFERROR(__xludf.DUMMYFUNCTION("""COMPUTED_VALUE"""),"hard")</f>
        <v/>
      </c>
      <c r="D151" s="408">
        <f>IFERROR(__xludf.DUMMYFUNCTION("""COMPUTED_VALUE"""),"main")</f>
        <v/>
      </c>
      <c r="E151" s="334">
        <f>IFERROR(__xludf.DUMMYFUNCTION("""COMPUTED_VALUE"""),"メインクエスト")</f>
        <v/>
      </c>
      <c r="F151" s="408">
        <f>IFERROR(__xludf.DUMMYFUNCTION("""COMPUTED_VALUE"""),"quest_main_glo1_hard_4")</f>
        <v/>
      </c>
      <c r="G151" s="334">
        <f>IFERROR(__xludf.DUMMYFUNCTION("""COMPUTED_VALUE"""),"4.リミックスクエスト Vol.1")</f>
        <v/>
      </c>
      <c r="H151" s="408">
        <f>IFERROR(__xludf.DUMMYFUNCTION("""COMPUTED_VALUE"""),"03")</f>
        <v/>
      </c>
      <c r="I151" s="334">
        <f>IFERROR(__xludf.DUMMYFUNCTION("""COMPUTED_VALUE"""),"hard_glo1_00003")</f>
        <v/>
      </c>
      <c r="J151" s="334">
        <f>IFERROR(__xludf.DUMMYFUNCTION("""COMPUTED_VALUE"""),"stage_icon_glo1_hard_03")</f>
        <v/>
      </c>
      <c r="K151" s="334" t="n"/>
      <c r="L151" s="334" t="n"/>
      <c r="M151" s="334" t="n"/>
      <c r="N151" s="339" t="n"/>
      <c r="O151" s="368" t="n"/>
      <c r="P151" s="334" t="n"/>
    </row>
    <row r="152">
      <c r="A152" s="334">
        <f>IFERROR(__xludf.DUMMYFUNCTION("""COMPUTED_VALUE"""),"glo1")</f>
        <v/>
      </c>
      <c r="B152" s="334">
        <f>IFERROR(__xludf.DUMMYFUNCTION("""COMPUTED_VALUE"""),"GLOW")</f>
        <v/>
      </c>
      <c r="C152" s="408">
        <f>IFERROR(__xludf.DUMMYFUNCTION("""COMPUTED_VALUE"""),"hard")</f>
        <v/>
      </c>
      <c r="D152" s="408">
        <f>IFERROR(__xludf.DUMMYFUNCTION("""COMPUTED_VALUE"""),"main")</f>
        <v/>
      </c>
      <c r="E152" s="334">
        <f>IFERROR(__xludf.DUMMYFUNCTION("""COMPUTED_VALUE"""),"メインクエスト")</f>
        <v/>
      </c>
      <c r="F152" s="408">
        <f>IFERROR(__xludf.DUMMYFUNCTION("""COMPUTED_VALUE"""),"quest_main_glo1_hard_4")</f>
        <v/>
      </c>
      <c r="G152" s="334">
        <f>IFERROR(__xludf.DUMMYFUNCTION("""COMPUTED_VALUE"""),"4.リミックスクエスト Vol.1")</f>
        <v/>
      </c>
      <c r="H152" s="408">
        <f>IFERROR(__xludf.DUMMYFUNCTION("""COMPUTED_VALUE"""),"04")</f>
        <v/>
      </c>
      <c r="I152" s="334">
        <f>IFERROR(__xludf.DUMMYFUNCTION("""COMPUTED_VALUE"""),"hard_glo1_00004")</f>
        <v/>
      </c>
      <c r="J152" s="334">
        <f>IFERROR(__xludf.DUMMYFUNCTION("""COMPUTED_VALUE"""),"stage_icon_glo1_hard_04")</f>
        <v/>
      </c>
      <c r="K152" s="334" t="n"/>
      <c r="L152" s="334" t="n"/>
      <c r="M152" s="334" t="n"/>
      <c r="N152" s="339" t="n"/>
      <c r="O152" s="368" t="n"/>
      <c r="P152" s="334" t="n"/>
    </row>
    <row r="153">
      <c r="A153" s="334">
        <f>IFERROR(__xludf.DUMMYFUNCTION("""COMPUTED_VALUE"""),"glo1")</f>
        <v/>
      </c>
      <c r="B153" s="334">
        <f>IFERROR(__xludf.DUMMYFUNCTION("""COMPUTED_VALUE"""),"GLOW")</f>
        <v/>
      </c>
      <c r="C153" s="408">
        <f>IFERROR(__xludf.DUMMYFUNCTION("""COMPUTED_VALUE"""),"hard")</f>
        <v/>
      </c>
      <c r="D153" s="408">
        <f>IFERROR(__xludf.DUMMYFUNCTION("""COMPUTED_VALUE"""),"main")</f>
        <v/>
      </c>
      <c r="E153" s="334">
        <f>IFERROR(__xludf.DUMMYFUNCTION("""COMPUTED_VALUE"""),"メインクエスト")</f>
        <v/>
      </c>
      <c r="F153" s="408">
        <f>IFERROR(__xludf.DUMMYFUNCTION("""COMPUTED_VALUE"""),"quest_main_glo1_hard_4")</f>
        <v/>
      </c>
      <c r="G153" s="334">
        <f>IFERROR(__xludf.DUMMYFUNCTION("""COMPUTED_VALUE"""),"4.リミックスクエスト Vol.1")</f>
        <v/>
      </c>
      <c r="H153" s="408">
        <f>IFERROR(__xludf.DUMMYFUNCTION("""COMPUTED_VALUE"""),"05")</f>
        <v/>
      </c>
      <c r="I153" s="334">
        <f>IFERROR(__xludf.DUMMYFUNCTION("""COMPUTED_VALUE"""),"hard_glo1_00005")</f>
        <v/>
      </c>
      <c r="J153" s="334">
        <f>IFERROR(__xludf.DUMMYFUNCTION("""COMPUTED_VALUE"""),"stage_icon_glo1_hard_05")</f>
        <v/>
      </c>
      <c r="K153" s="334" t="n"/>
      <c r="L153" s="334" t="n"/>
      <c r="M153" s="334" t="n"/>
      <c r="N153" s="339" t="n"/>
      <c r="O153" s="368" t="n"/>
      <c r="P153" s="334" t="n"/>
    </row>
    <row r="154">
      <c r="A154" s="334">
        <f>IFERROR(__xludf.DUMMYFUNCTION("""COMPUTED_VALUE"""),"glo1")</f>
        <v/>
      </c>
      <c r="B154" s="334">
        <f>IFERROR(__xludf.DUMMYFUNCTION("""COMPUTED_VALUE"""),"GLOW")</f>
        <v/>
      </c>
      <c r="C154" s="408">
        <f>IFERROR(__xludf.DUMMYFUNCTION("""COMPUTED_VALUE"""),"hard")</f>
        <v/>
      </c>
      <c r="D154" s="408">
        <f>IFERROR(__xludf.DUMMYFUNCTION("""COMPUTED_VALUE"""),"main")</f>
        <v/>
      </c>
      <c r="E154" s="334">
        <f>IFERROR(__xludf.DUMMYFUNCTION("""COMPUTED_VALUE"""),"メインクエスト")</f>
        <v/>
      </c>
      <c r="F154" s="408">
        <f>IFERROR(__xludf.DUMMYFUNCTION("""COMPUTED_VALUE"""),"quest_main_glo1_hard_4")</f>
        <v/>
      </c>
      <c r="G154" s="334">
        <f>IFERROR(__xludf.DUMMYFUNCTION("""COMPUTED_VALUE"""),"4.リミックスクエスト Vol.1")</f>
        <v/>
      </c>
      <c r="H154" s="408">
        <f>IFERROR(__xludf.DUMMYFUNCTION("""COMPUTED_VALUE"""),"06")</f>
        <v/>
      </c>
      <c r="I154" s="334">
        <f>IFERROR(__xludf.DUMMYFUNCTION("""COMPUTED_VALUE"""),"hard_glo1_00006")</f>
        <v/>
      </c>
      <c r="J154" s="334">
        <f>IFERROR(__xludf.DUMMYFUNCTION("""COMPUTED_VALUE"""),"stage_icon_glo1_hard_06")</f>
        <v/>
      </c>
      <c r="K154" s="334" t="n"/>
      <c r="L154" s="334" t="n"/>
      <c r="M154" s="334" t="n"/>
      <c r="N154" s="339" t="n"/>
      <c r="O154" s="368" t="n"/>
      <c r="P154" s="334" t="n"/>
    </row>
    <row r="155">
      <c r="A155" s="334" t="n"/>
      <c r="B155" s="334" t="n"/>
      <c r="C155" s="334" t="n"/>
      <c r="D155" s="334" t="n"/>
      <c r="E155" s="334" t="n"/>
      <c r="F155" s="334" t="n"/>
      <c r="G155" s="334" t="n"/>
      <c r="H155" s="334" t="n"/>
      <c r="I155" s="334" t="n"/>
      <c r="J155" s="334" t="n"/>
      <c r="K155" s="334" t="n"/>
      <c r="L155" s="334" t="n"/>
      <c r="M155" s="334" t="n"/>
      <c r="N155" s="339" t="n"/>
      <c r="O155" s="368" t="n"/>
      <c r="P155" s="334" t="n"/>
    </row>
    <row r="156">
      <c r="A156" s="334">
        <f>IFERROR(__xludf.DUMMYFUNCTION("""COMPUTED_VALUE"""),"dan")</f>
        <v/>
      </c>
      <c r="B156" s="334">
        <f>IFERROR(__xludf.DUMMYFUNCTION("""COMPUTED_VALUE"""),"ダンダダン")</f>
        <v/>
      </c>
      <c r="C156" s="408">
        <f>IFERROR(__xludf.DUMMYFUNCTION("""COMPUTED_VALUE"""),"hard")</f>
        <v/>
      </c>
      <c r="D156" s="408">
        <f>IFERROR(__xludf.DUMMYFUNCTION("""COMPUTED_VALUE"""),"main")</f>
        <v/>
      </c>
      <c r="E156" s="334">
        <f>IFERROR(__xludf.DUMMYFUNCTION("""COMPUTED_VALUE"""),"メインクエスト")</f>
        <v/>
      </c>
      <c r="F156" s="408">
        <f>IFERROR(__xludf.DUMMYFUNCTION("""COMPUTED_VALUE"""),"quest_main_dan_hard_5")</f>
        <v/>
      </c>
      <c r="G156" s="334">
        <f>IFERROR(__xludf.DUMMYFUNCTION("""COMPUTED_VALUE"""),"5.ダンダダン")</f>
        <v/>
      </c>
      <c r="H156" s="408">
        <f>IFERROR(__xludf.DUMMYFUNCTION("""COMPUTED_VALUE"""),"01")</f>
        <v/>
      </c>
      <c r="I156" s="334">
        <f>IFERROR(__xludf.DUMMYFUNCTION("""COMPUTED_VALUE"""),"hard_dan_00001")</f>
        <v/>
      </c>
      <c r="J156" s="334">
        <f>IFERROR(__xludf.DUMMYFUNCTION("""COMPUTED_VALUE"""),"stage_icon_dan_hard_01")</f>
        <v/>
      </c>
      <c r="K156" s="334" t="n"/>
      <c r="L156" s="334" t="n"/>
      <c r="M156" s="334" t="n"/>
      <c r="N156" s="339" t="n"/>
      <c r="O156" s="368" t="n"/>
      <c r="P156" s="334" t="n"/>
    </row>
    <row r="157">
      <c r="A157" s="334">
        <f>IFERROR(__xludf.DUMMYFUNCTION("""COMPUTED_VALUE"""),"dan")</f>
        <v/>
      </c>
      <c r="B157" s="334">
        <f>IFERROR(__xludf.DUMMYFUNCTION("""COMPUTED_VALUE"""),"ダンダダン")</f>
        <v/>
      </c>
      <c r="C157" s="408">
        <f>IFERROR(__xludf.DUMMYFUNCTION("""COMPUTED_VALUE"""),"hard")</f>
        <v/>
      </c>
      <c r="D157" s="408">
        <f>IFERROR(__xludf.DUMMYFUNCTION("""COMPUTED_VALUE"""),"main")</f>
        <v/>
      </c>
      <c r="E157" s="334">
        <f>IFERROR(__xludf.DUMMYFUNCTION("""COMPUTED_VALUE"""),"メインクエスト")</f>
        <v/>
      </c>
      <c r="F157" s="408">
        <f>IFERROR(__xludf.DUMMYFUNCTION("""COMPUTED_VALUE"""),"quest_main_dan_hard_5")</f>
        <v/>
      </c>
      <c r="G157" s="334">
        <f>IFERROR(__xludf.DUMMYFUNCTION("""COMPUTED_VALUE"""),"5.ダンダダン")</f>
        <v/>
      </c>
      <c r="H157" s="408">
        <f>IFERROR(__xludf.DUMMYFUNCTION("""COMPUTED_VALUE"""),"02")</f>
        <v/>
      </c>
      <c r="I157" s="334">
        <f>IFERROR(__xludf.DUMMYFUNCTION("""COMPUTED_VALUE"""),"hard_dan_00002")</f>
        <v/>
      </c>
      <c r="J157" s="334">
        <f>IFERROR(__xludf.DUMMYFUNCTION("""COMPUTED_VALUE"""),"stage_icon_dan_hard_02")</f>
        <v/>
      </c>
      <c r="K157" s="334" t="n"/>
      <c r="L157" s="334" t="n"/>
      <c r="M157" s="334" t="n"/>
      <c r="N157" s="339" t="n"/>
      <c r="O157" s="368" t="n"/>
      <c r="P157" s="334" t="n"/>
    </row>
    <row r="158">
      <c r="A158" s="334">
        <f>IFERROR(__xludf.DUMMYFUNCTION("""COMPUTED_VALUE"""),"dan")</f>
        <v/>
      </c>
      <c r="B158" s="334">
        <f>IFERROR(__xludf.DUMMYFUNCTION("""COMPUTED_VALUE"""),"ダンダダン")</f>
        <v/>
      </c>
      <c r="C158" s="408">
        <f>IFERROR(__xludf.DUMMYFUNCTION("""COMPUTED_VALUE"""),"hard")</f>
        <v/>
      </c>
      <c r="D158" s="408">
        <f>IFERROR(__xludf.DUMMYFUNCTION("""COMPUTED_VALUE"""),"main")</f>
        <v/>
      </c>
      <c r="E158" s="334">
        <f>IFERROR(__xludf.DUMMYFUNCTION("""COMPUTED_VALUE"""),"メインクエスト")</f>
        <v/>
      </c>
      <c r="F158" s="408">
        <f>IFERROR(__xludf.DUMMYFUNCTION("""COMPUTED_VALUE"""),"quest_main_dan_hard_5")</f>
        <v/>
      </c>
      <c r="G158" s="334">
        <f>IFERROR(__xludf.DUMMYFUNCTION("""COMPUTED_VALUE"""),"5.ダンダダン")</f>
        <v/>
      </c>
      <c r="H158" s="408">
        <f>IFERROR(__xludf.DUMMYFUNCTION("""COMPUTED_VALUE"""),"03")</f>
        <v/>
      </c>
      <c r="I158" s="334">
        <f>IFERROR(__xludf.DUMMYFUNCTION("""COMPUTED_VALUE"""),"hard_dan_00003")</f>
        <v/>
      </c>
      <c r="J158" s="334">
        <f>IFERROR(__xludf.DUMMYFUNCTION("""COMPUTED_VALUE"""),"stage_icon_dan_hard_03")</f>
        <v/>
      </c>
      <c r="K158" s="334" t="n"/>
      <c r="L158" s="334" t="n"/>
      <c r="M158" s="334" t="n"/>
      <c r="N158" s="339" t="n"/>
      <c r="O158" s="368" t="n"/>
      <c r="P158" s="334" t="n"/>
    </row>
    <row r="159">
      <c r="A159" s="334">
        <f>IFERROR(__xludf.DUMMYFUNCTION("""COMPUTED_VALUE"""),"dan")</f>
        <v/>
      </c>
      <c r="B159" s="334">
        <f>IFERROR(__xludf.DUMMYFUNCTION("""COMPUTED_VALUE"""),"ダンダダン")</f>
        <v/>
      </c>
      <c r="C159" s="408">
        <f>IFERROR(__xludf.DUMMYFUNCTION("""COMPUTED_VALUE"""),"hard")</f>
        <v/>
      </c>
      <c r="D159" s="408">
        <f>IFERROR(__xludf.DUMMYFUNCTION("""COMPUTED_VALUE"""),"main")</f>
        <v/>
      </c>
      <c r="E159" s="334">
        <f>IFERROR(__xludf.DUMMYFUNCTION("""COMPUTED_VALUE"""),"メインクエスト")</f>
        <v/>
      </c>
      <c r="F159" s="408">
        <f>IFERROR(__xludf.DUMMYFUNCTION("""COMPUTED_VALUE"""),"quest_main_dan_hard_5")</f>
        <v/>
      </c>
      <c r="G159" s="334">
        <f>IFERROR(__xludf.DUMMYFUNCTION("""COMPUTED_VALUE"""),"5.ダンダダン")</f>
        <v/>
      </c>
      <c r="H159" s="408">
        <f>IFERROR(__xludf.DUMMYFUNCTION("""COMPUTED_VALUE"""),"04")</f>
        <v/>
      </c>
      <c r="I159" s="334">
        <f>IFERROR(__xludf.DUMMYFUNCTION("""COMPUTED_VALUE"""),"hard_dan_00004")</f>
        <v/>
      </c>
      <c r="J159" s="334">
        <f>IFERROR(__xludf.DUMMYFUNCTION("""COMPUTED_VALUE"""),"stage_icon_dan_hard_04")</f>
        <v/>
      </c>
      <c r="K159" s="334" t="n"/>
      <c r="L159" s="334" t="n"/>
      <c r="M159" s="334" t="n"/>
      <c r="N159" s="339" t="n"/>
      <c r="O159" s="368" t="n"/>
      <c r="P159" s="334" t="n"/>
    </row>
    <row r="160">
      <c r="A160" s="334">
        <f>IFERROR(__xludf.DUMMYFUNCTION("""COMPUTED_VALUE"""),"dan")</f>
        <v/>
      </c>
      <c r="B160" s="334">
        <f>IFERROR(__xludf.DUMMYFUNCTION("""COMPUTED_VALUE"""),"ダンダダン")</f>
        <v/>
      </c>
      <c r="C160" s="408">
        <f>IFERROR(__xludf.DUMMYFUNCTION("""COMPUTED_VALUE"""),"hard")</f>
        <v/>
      </c>
      <c r="D160" s="408">
        <f>IFERROR(__xludf.DUMMYFUNCTION("""COMPUTED_VALUE"""),"main")</f>
        <v/>
      </c>
      <c r="E160" s="334">
        <f>IFERROR(__xludf.DUMMYFUNCTION("""COMPUTED_VALUE"""),"メインクエスト")</f>
        <v/>
      </c>
      <c r="F160" s="408">
        <f>IFERROR(__xludf.DUMMYFUNCTION("""COMPUTED_VALUE"""),"quest_main_dan_hard_5")</f>
        <v/>
      </c>
      <c r="G160" s="334">
        <f>IFERROR(__xludf.DUMMYFUNCTION("""COMPUTED_VALUE"""),"5.ダンダダン")</f>
        <v/>
      </c>
      <c r="H160" s="408">
        <f>IFERROR(__xludf.DUMMYFUNCTION("""COMPUTED_VALUE"""),"05")</f>
        <v/>
      </c>
      <c r="I160" s="334">
        <f>IFERROR(__xludf.DUMMYFUNCTION("""COMPUTED_VALUE"""),"hard_dan_00005")</f>
        <v/>
      </c>
      <c r="J160" s="334">
        <f>IFERROR(__xludf.DUMMYFUNCTION("""COMPUTED_VALUE"""),"stage_icon_dan_hard_05")</f>
        <v/>
      </c>
      <c r="K160" s="334" t="n"/>
      <c r="L160" s="334" t="n"/>
      <c r="M160" s="334" t="n"/>
      <c r="N160" s="339" t="n"/>
      <c r="O160" s="368" t="n"/>
      <c r="P160" s="334" t="n"/>
    </row>
    <row r="161">
      <c r="A161" s="334">
        <f>IFERROR(__xludf.DUMMYFUNCTION("""COMPUTED_VALUE"""),"dan")</f>
        <v/>
      </c>
      <c r="B161" s="334">
        <f>IFERROR(__xludf.DUMMYFUNCTION("""COMPUTED_VALUE"""),"ダンダダン")</f>
        <v/>
      </c>
      <c r="C161" s="408">
        <f>IFERROR(__xludf.DUMMYFUNCTION("""COMPUTED_VALUE"""),"hard")</f>
        <v/>
      </c>
      <c r="D161" s="408">
        <f>IFERROR(__xludf.DUMMYFUNCTION("""COMPUTED_VALUE"""),"main")</f>
        <v/>
      </c>
      <c r="E161" s="334">
        <f>IFERROR(__xludf.DUMMYFUNCTION("""COMPUTED_VALUE"""),"メインクエスト")</f>
        <v/>
      </c>
      <c r="F161" s="408">
        <f>IFERROR(__xludf.DUMMYFUNCTION("""COMPUTED_VALUE"""),"quest_main_dan_hard_5")</f>
        <v/>
      </c>
      <c r="G161" s="334">
        <f>IFERROR(__xludf.DUMMYFUNCTION("""COMPUTED_VALUE"""),"5.ダンダダン")</f>
        <v/>
      </c>
      <c r="H161" s="408">
        <f>IFERROR(__xludf.DUMMYFUNCTION("""COMPUTED_VALUE"""),"06")</f>
        <v/>
      </c>
      <c r="I161" s="334">
        <f>IFERROR(__xludf.DUMMYFUNCTION("""COMPUTED_VALUE"""),"hard_dan_00006")</f>
        <v/>
      </c>
      <c r="J161" s="334">
        <f>IFERROR(__xludf.DUMMYFUNCTION("""COMPUTED_VALUE"""),"stage_icon_dan_hard_06")</f>
        <v/>
      </c>
      <c r="K161" s="334" t="n"/>
      <c r="L161" s="334" t="n"/>
      <c r="M161" s="334" t="n"/>
      <c r="N161" s="339" t="n"/>
      <c r="O161" s="368" t="n"/>
      <c r="P161" s="334" t="n"/>
    </row>
    <row r="162">
      <c r="A162" s="334" t="n"/>
      <c r="B162" s="334" t="n"/>
      <c r="C162" s="334" t="n"/>
      <c r="D162" s="334" t="n"/>
      <c r="E162" s="334" t="n"/>
      <c r="F162" s="334" t="n"/>
      <c r="G162" s="334" t="n"/>
      <c r="H162" s="334" t="n"/>
      <c r="I162" s="334" t="n"/>
      <c r="J162" s="334" t="n"/>
      <c r="K162" s="334" t="n"/>
      <c r="L162" s="334" t="n"/>
      <c r="M162" s="334" t="n"/>
      <c r="N162" s="339" t="n"/>
      <c r="O162" s="368" t="n"/>
      <c r="P162" s="334" t="n"/>
    </row>
    <row r="163">
      <c r="A163" s="334">
        <f>IFERROR(__xludf.DUMMYFUNCTION("""COMPUTED_VALUE"""),"jig")</f>
        <v/>
      </c>
      <c r="B163" s="334">
        <f>IFERROR(__xludf.DUMMYFUNCTION("""COMPUTED_VALUE"""),"地獄楽")</f>
        <v/>
      </c>
      <c r="C163" s="408">
        <f>IFERROR(__xludf.DUMMYFUNCTION("""COMPUTED_VALUE"""),"hard")</f>
        <v/>
      </c>
      <c r="D163" s="408">
        <f>IFERROR(__xludf.DUMMYFUNCTION("""COMPUTED_VALUE"""),"main")</f>
        <v/>
      </c>
      <c r="E163" s="334">
        <f>IFERROR(__xludf.DUMMYFUNCTION("""COMPUTED_VALUE"""),"メインクエスト")</f>
        <v/>
      </c>
      <c r="F163" s="408">
        <f>IFERROR(__xludf.DUMMYFUNCTION("""COMPUTED_VALUE"""),"quest_main_jig_hard_6")</f>
        <v/>
      </c>
      <c r="G163" s="334">
        <f>IFERROR(__xludf.DUMMYFUNCTION("""COMPUTED_VALUE"""),"6.地獄楽")</f>
        <v/>
      </c>
      <c r="H163" s="408">
        <f>IFERROR(__xludf.DUMMYFUNCTION("""COMPUTED_VALUE"""),"01")</f>
        <v/>
      </c>
      <c r="I163" s="334">
        <f>IFERROR(__xludf.DUMMYFUNCTION("""COMPUTED_VALUE"""),"hard_jig_00001")</f>
        <v/>
      </c>
      <c r="J163" s="334">
        <f>IFERROR(__xludf.DUMMYFUNCTION("""COMPUTED_VALUE"""),"stage_icon_jig_hard_01")</f>
        <v/>
      </c>
      <c r="K163" s="334" t="n"/>
      <c r="L163" s="334" t="n"/>
      <c r="M163" s="334" t="n"/>
      <c r="N163" s="339" t="n"/>
      <c r="O163" s="368" t="n"/>
      <c r="P163" s="334" t="n"/>
    </row>
    <row r="164">
      <c r="A164" s="334">
        <f>IFERROR(__xludf.DUMMYFUNCTION("""COMPUTED_VALUE"""),"jig")</f>
        <v/>
      </c>
      <c r="B164" s="334">
        <f>IFERROR(__xludf.DUMMYFUNCTION("""COMPUTED_VALUE"""),"地獄楽")</f>
        <v/>
      </c>
      <c r="C164" s="408">
        <f>IFERROR(__xludf.DUMMYFUNCTION("""COMPUTED_VALUE"""),"hard")</f>
        <v/>
      </c>
      <c r="D164" s="408">
        <f>IFERROR(__xludf.DUMMYFUNCTION("""COMPUTED_VALUE"""),"main")</f>
        <v/>
      </c>
      <c r="E164" s="334">
        <f>IFERROR(__xludf.DUMMYFUNCTION("""COMPUTED_VALUE"""),"メインクエスト")</f>
        <v/>
      </c>
      <c r="F164" s="408">
        <f>IFERROR(__xludf.DUMMYFUNCTION("""COMPUTED_VALUE"""),"quest_main_jig_hard_6")</f>
        <v/>
      </c>
      <c r="G164" s="334">
        <f>IFERROR(__xludf.DUMMYFUNCTION("""COMPUTED_VALUE"""),"6.地獄楽")</f>
        <v/>
      </c>
      <c r="H164" s="408">
        <f>IFERROR(__xludf.DUMMYFUNCTION("""COMPUTED_VALUE"""),"02")</f>
        <v/>
      </c>
      <c r="I164" s="334">
        <f>IFERROR(__xludf.DUMMYFUNCTION("""COMPUTED_VALUE"""),"hard_jig_00002")</f>
        <v/>
      </c>
      <c r="J164" s="334">
        <f>IFERROR(__xludf.DUMMYFUNCTION("""COMPUTED_VALUE"""),"stage_icon_jig_hard_02")</f>
        <v/>
      </c>
      <c r="K164" s="334" t="n"/>
      <c r="L164" s="334" t="n"/>
      <c r="M164" s="334" t="n"/>
      <c r="N164" s="339" t="n"/>
      <c r="O164" s="368" t="n"/>
      <c r="P164" s="334" t="n"/>
    </row>
    <row r="165">
      <c r="A165" s="334">
        <f>IFERROR(__xludf.DUMMYFUNCTION("""COMPUTED_VALUE"""),"jig")</f>
        <v/>
      </c>
      <c r="B165" s="334">
        <f>IFERROR(__xludf.DUMMYFUNCTION("""COMPUTED_VALUE"""),"地獄楽")</f>
        <v/>
      </c>
      <c r="C165" s="408">
        <f>IFERROR(__xludf.DUMMYFUNCTION("""COMPUTED_VALUE"""),"hard")</f>
        <v/>
      </c>
      <c r="D165" s="408">
        <f>IFERROR(__xludf.DUMMYFUNCTION("""COMPUTED_VALUE"""),"main")</f>
        <v/>
      </c>
      <c r="E165" s="334">
        <f>IFERROR(__xludf.DUMMYFUNCTION("""COMPUTED_VALUE"""),"メインクエスト")</f>
        <v/>
      </c>
      <c r="F165" s="408">
        <f>IFERROR(__xludf.DUMMYFUNCTION("""COMPUTED_VALUE"""),"quest_main_jig_hard_6")</f>
        <v/>
      </c>
      <c r="G165" s="334">
        <f>IFERROR(__xludf.DUMMYFUNCTION("""COMPUTED_VALUE"""),"6.地獄楽")</f>
        <v/>
      </c>
      <c r="H165" s="408">
        <f>IFERROR(__xludf.DUMMYFUNCTION("""COMPUTED_VALUE"""),"03")</f>
        <v/>
      </c>
      <c r="I165" s="334">
        <f>IFERROR(__xludf.DUMMYFUNCTION("""COMPUTED_VALUE"""),"hard_jig_00003")</f>
        <v/>
      </c>
      <c r="J165" s="334">
        <f>IFERROR(__xludf.DUMMYFUNCTION("""COMPUTED_VALUE"""),"stage_icon_jig_hard_03")</f>
        <v/>
      </c>
      <c r="K165" s="334" t="n"/>
      <c r="L165" s="334" t="n"/>
      <c r="M165" s="334" t="n"/>
      <c r="N165" s="339" t="n"/>
      <c r="O165" s="368" t="n"/>
      <c r="P165" s="334" t="n"/>
    </row>
    <row r="166">
      <c r="A166" s="334">
        <f>IFERROR(__xludf.DUMMYFUNCTION("""COMPUTED_VALUE"""),"jig")</f>
        <v/>
      </c>
      <c r="B166" s="334">
        <f>IFERROR(__xludf.DUMMYFUNCTION("""COMPUTED_VALUE"""),"地獄楽")</f>
        <v/>
      </c>
      <c r="C166" s="408">
        <f>IFERROR(__xludf.DUMMYFUNCTION("""COMPUTED_VALUE"""),"hard")</f>
        <v/>
      </c>
      <c r="D166" s="408">
        <f>IFERROR(__xludf.DUMMYFUNCTION("""COMPUTED_VALUE"""),"main")</f>
        <v/>
      </c>
      <c r="E166" s="334">
        <f>IFERROR(__xludf.DUMMYFUNCTION("""COMPUTED_VALUE"""),"メインクエスト")</f>
        <v/>
      </c>
      <c r="F166" s="408">
        <f>IFERROR(__xludf.DUMMYFUNCTION("""COMPUTED_VALUE"""),"quest_main_jig_hard_6")</f>
        <v/>
      </c>
      <c r="G166" s="334">
        <f>IFERROR(__xludf.DUMMYFUNCTION("""COMPUTED_VALUE"""),"6.地獄楽")</f>
        <v/>
      </c>
      <c r="H166" s="408">
        <f>IFERROR(__xludf.DUMMYFUNCTION("""COMPUTED_VALUE"""),"04")</f>
        <v/>
      </c>
      <c r="I166" s="334">
        <f>IFERROR(__xludf.DUMMYFUNCTION("""COMPUTED_VALUE"""),"hard_jig_00004")</f>
        <v/>
      </c>
      <c r="J166" s="334">
        <f>IFERROR(__xludf.DUMMYFUNCTION("""COMPUTED_VALUE"""),"stage_icon_jig_hard_04")</f>
        <v/>
      </c>
      <c r="K166" s="334" t="n"/>
      <c r="L166" s="334" t="n"/>
      <c r="M166" s="334" t="n"/>
      <c r="N166" s="339" t="n"/>
      <c r="O166" s="368" t="n"/>
      <c r="P166" s="334" t="n"/>
    </row>
    <row r="167">
      <c r="A167" s="334">
        <f>IFERROR(__xludf.DUMMYFUNCTION("""COMPUTED_VALUE"""),"jig")</f>
        <v/>
      </c>
      <c r="B167" s="334">
        <f>IFERROR(__xludf.DUMMYFUNCTION("""COMPUTED_VALUE"""),"地獄楽")</f>
        <v/>
      </c>
      <c r="C167" s="408">
        <f>IFERROR(__xludf.DUMMYFUNCTION("""COMPUTED_VALUE"""),"hard")</f>
        <v/>
      </c>
      <c r="D167" s="408">
        <f>IFERROR(__xludf.DUMMYFUNCTION("""COMPUTED_VALUE"""),"main")</f>
        <v/>
      </c>
      <c r="E167" s="334">
        <f>IFERROR(__xludf.DUMMYFUNCTION("""COMPUTED_VALUE"""),"メインクエスト")</f>
        <v/>
      </c>
      <c r="F167" s="408">
        <f>IFERROR(__xludf.DUMMYFUNCTION("""COMPUTED_VALUE"""),"quest_main_jig_hard_6")</f>
        <v/>
      </c>
      <c r="G167" s="334">
        <f>IFERROR(__xludf.DUMMYFUNCTION("""COMPUTED_VALUE"""),"6.地獄楽")</f>
        <v/>
      </c>
      <c r="H167" s="408">
        <f>IFERROR(__xludf.DUMMYFUNCTION("""COMPUTED_VALUE"""),"05")</f>
        <v/>
      </c>
      <c r="I167" s="334">
        <f>IFERROR(__xludf.DUMMYFUNCTION("""COMPUTED_VALUE"""),"hard_jig_00005")</f>
        <v/>
      </c>
      <c r="J167" s="334">
        <f>IFERROR(__xludf.DUMMYFUNCTION("""COMPUTED_VALUE"""),"stage_icon_jig_hard_05")</f>
        <v/>
      </c>
      <c r="K167" s="334" t="n"/>
      <c r="L167" s="334" t="n"/>
      <c r="M167" s="334" t="n"/>
      <c r="N167" s="339" t="n"/>
      <c r="O167" s="368" t="n"/>
      <c r="P167" s="334" t="n"/>
    </row>
    <row r="168">
      <c r="A168" s="334">
        <f>IFERROR(__xludf.DUMMYFUNCTION("""COMPUTED_VALUE"""),"jig")</f>
        <v/>
      </c>
      <c r="B168" s="334">
        <f>IFERROR(__xludf.DUMMYFUNCTION("""COMPUTED_VALUE"""),"地獄楽")</f>
        <v/>
      </c>
      <c r="C168" s="408">
        <f>IFERROR(__xludf.DUMMYFUNCTION("""COMPUTED_VALUE"""),"hard")</f>
        <v/>
      </c>
      <c r="D168" s="408">
        <f>IFERROR(__xludf.DUMMYFUNCTION("""COMPUTED_VALUE"""),"main")</f>
        <v/>
      </c>
      <c r="E168" s="334">
        <f>IFERROR(__xludf.DUMMYFUNCTION("""COMPUTED_VALUE"""),"メインクエスト")</f>
        <v/>
      </c>
      <c r="F168" s="408">
        <f>IFERROR(__xludf.DUMMYFUNCTION("""COMPUTED_VALUE"""),"quest_main_jig_hard_6")</f>
        <v/>
      </c>
      <c r="G168" s="334">
        <f>IFERROR(__xludf.DUMMYFUNCTION("""COMPUTED_VALUE"""),"6.地獄楽")</f>
        <v/>
      </c>
      <c r="H168" s="408">
        <f>IFERROR(__xludf.DUMMYFUNCTION("""COMPUTED_VALUE"""),"06")</f>
        <v/>
      </c>
      <c r="I168" s="334">
        <f>IFERROR(__xludf.DUMMYFUNCTION("""COMPUTED_VALUE"""),"hard_jig_00006")</f>
        <v/>
      </c>
      <c r="J168" s="334">
        <f>IFERROR(__xludf.DUMMYFUNCTION("""COMPUTED_VALUE"""),"stage_icon_jig_hard_06")</f>
        <v/>
      </c>
      <c r="K168" s="334" t="n"/>
      <c r="L168" s="334" t="n"/>
      <c r="M168" s="334" t="n"/>
      <c r="N168" s="339" t="n"/>
      <c r="O168" s="368" t="n"/>
      <c r="P168" s="334" t="n"/>
    </row>
    <row r="169">
      <c r="A169" s="334" t="n"/>
      <c r="B169" s="334" t="n"/>
      <c r="C169" s="334" t="n"/>
      <c r="D169" s="334" t="n"/>
      <c r="E169" s="334" t="n"/>
      <c r="F169" s="334" t="n"/>
      <c r="G169" s="334" t="n"/>
      <c r="H169" s="334" t="n"/>
      <c r="I169" s="334" t="n"/>
      <c r="J169" s="334" t="n"/>
      <c r="K169" s="334" t="n"/>
      <c r="L169" s="334" t="n"/>
      <c r="M169" s="334" t="n"/>
      <c r="N169" s="339" t="n"/>
      <c r="O169" s="368" t="n"/>
      <c r="P169" s="334" t="n"/>
    </row>
    <row r="170">
      <c r="A170" s="334">
        <f>IFERROR(__xludf.DUMMYFUNCTION("""COMPUTED_VALUE"""),"tak")</f>
        <v/>
      </c>
      <c r="B170" s="334">
        <f>IFERROR(__xludf.DUMMYFUNCTION("""COMPUTED_VALUE"""),"タコピーの原罪")</f>
        <v/>
      </c>
      <c r="C170" s="408">
        <f>IFERROR(__xludf.DUMMYFUNCTION("""COMPUTED_VALUE"""),"hard")</f>
        <v/>
      </c>
      <c r="D170" s="408">
        <f>IFERROR(__xludf.DUMMYFUNCTION("""COMPUTED_VALUE"""),"main")</f>
        <v/>
      </c>
      <c r="E170" s="334">
        <f>IFERROR(__xludf.DUMMYFUNCTION("""COMPUTED_VALUE"""),"メインクエスト")</f>
        <v/>
      </c>
      <c r="F170" s="408">
        <f>IFERROR(__xludf.DUMMYFUNCTION("""COMPUTED_VALUE"""),"quest_main_tak_hard_7")</f>
        <v/>
      </c>
      <c r="G170" s="334">
        <f>IFERROR(__xludf.DUMMYFUNCTION("""COMPUTED_VALUE"""),"7.タコピーの原罪")</f>
        <v/>
      </c>
      <c r="H170" s="408">
        <f>IFERROR(__xludf.DUMMYFUNCTION("""COMPUTED_VALUE"""),"01")</f>
        <v/>
      </c>
      <c r="I170" s="334">
        <f>IFERROR(__xludf.DUMMYFUNCTION("""COMPUTED_VALUE"""),"hard_tak_00001")</f>
        <v/>
      </c>
      <c r="J170" s="334">
        <f>IFERROR(__xludf.DUMMYFUNCTION("""COMPUTED_VALUE"""),"stage_icon_tak_hard_01")</f>
        <v/>
      </c>
      <c r="K170" s="334" t="n"/>
      <c r="L170" s="334" t="n"/>
      <c r="M170" s="334" t="n"/>
      <c r="N170" s="339" t="n"/>
      <c r="O170" s="368" t="n"/>
      <c r="P170" s="334" t="n"/>
    </row>
    <row r="171">
      <c r="A171" s="334">
        <f>IFERROR(__xludf.DUMMYFUNCTION("""COMPUTED_VALUE"""),"tak")</f>
        <v/>
      </c>
      <c r="B171" s="334">
        <f>IFERROR(__xludf.DUMMYFUNCTION("""COMPUTED_VALUE"""),"タコピーの原罪")</f>
        <v/>
      </c>
      <c r="C171" s="408">
        <f>IFERROR(__xludf.DUMMYFUNCTION("""COMPUTED_VALUE"""),"hard")</f>
        <v/>
      </c>
      <c r="D171" s="408">
        <f>IFERROR(__xludf.DUMMYFUNCTION("""COMPUTED_VALUE"""),"main")</f>
        <v/>
      </c>
      <c r="E171" s="334">
        <f>IFERROR(__xludf.DUMMYFUNCTION("""COMPUTED_VALUE"""),"メインクエスト")</f>
        <v/>
      </c>
      <c r="F171" s="408">
        <f>IFERROR(__xludf.DUMMYFUNCTION("""COMPUTED_VALUE"""),"quest_main_tak_hard_7")</f>
        <v/>
      </c>
      <c r="G171" s="334">
        <f>IFERROR(__xludf.DUMMYFUNCTION("""COMPUTED_VALUE"""),"7.タコピーの原罪")</f>
        <v/>
      </c>
      <c r="H171" s="408">
        <f>IFERROR(__xludf.DUMMYFUNCTION("""COMPUTED_VALUE"""),"02")</f>
        <v/>
      </c>
      <c r="I171" s="334">
        <f>IFERROR(__xludf.DUMMYFUNCTION("""COMPUTED_VALUE"""),"hard_tak_00002")</f>
        <v/>
      </c>
      <c r="J171" s="334">
        <f>IFERROR(__xludf.DUMMYFUNCTION("""COMPUTED_VALUE"""),"stage_icon_tak_hard_02")</f>
        <v/>
      </c>
      <c r="K171" s="334" t="n"/>
      <c r="L171" s="334" t="n"/>
      <c r="M171" s="334" t="n"/>
      <c r="N171" s="339" t="n"/>
      <c r="O171" s="368" t="n"/>
      <c r="P171" s="334" t="n"/>
    </row>
    <row r="172">
      <c r="A172" s="334">
        <f>IFERROR(__xludf.DUMMYFUNCTION("""COMPUTED_VALUE"""),"tak")</f>
        <v/>
      </c>
      <c r="B172" s="334">
        <f>IFERROR(__xludf.DUMMYFUNCTION("""COMPUTED_VALUE"""),"タコピーの原罪")</f>
        <v/>
      </c>
      <c r="C172" s="408">
        <f>IFERROR(__xludf.DUMMYFUNCTION("""COMPUTED_VALUE"""),"hard")</f>
        <v/>
      </c>
      <c r="D172" s="408">
        <f>IFERROR(__xludf.DUMMYFUNCTION("""COMPUTED_VALUE"""),"main")</f>
        <v/>
      </c>
      <c r="E172" s="334">
        <f>IFERROR(__xludf.DUMMYFUNCTION("""COMPUTED_VALUE"""),"メインクエスト")</f>
        <v/>
      </c>
      <c r="F172" s="408">
        <f>IFERROR(__xludf.DUMMYFUNCTION("""COMPUTED_VALUE"""),"quest_main_tak_hard_7")</f>
        <v/>
      </c>
      <c r="G172" s="334">
        <f>IFERROR(__xludf.DUMMYFUNCTION("""COMPUTED_VALUE"""),"7.タコピーの原罪")</f>
        <v/>
      </c>
      <c r="H172" s="408">
        <f>IFERROR(__xludf.DUMMYFUNCTION("""COMPUTED_VALUE"""),"03")</f>
        <v/>
      </c>
      <c r="I172" s="334">
        <f>IFERROR(__xludf.DUMMYFUNCTION("""COMPUTED_VALUE"""),"hard_tak_00003")</f>
        <v/>
      </c>
      <c r="J172" s="334">
        <f>IFERROR(__xludf.DUMMYFUNCTION("""COMPUTED_VALUE"""),"stage_icon_tak_hard_03")</f>
        <v/>
      </c>
      <c r="K172" s="334" t="n"/>
      <c r="L172" s="334" t="n"/>
      <c r="M172" s="334" t="n"/>
      <c r="N172" s="339" t="n"/>
      <c r="O172" s="368" t="n"/>
      <c r="P172" s="334" t="n"/>
    </row>
    <row r="173">
      <c r="A173" s="334" t="n"/>
      <c r="B173" s="334" t="n"/>
      <c r="C173" s="334" t="n"/>
      <c r="D173" s="334" t="n"/>
      <c r="E173" s="334" t="n"/>
      <c r="F173" s="334" t="n"/>
      <c r="G173" s="334" t="n"/>
      <c r="H173" s="334" t="n"/>
      <c r="I173" s="334" t="n"/>
      <c r="J173" s="334" t="n"/>
      <c r="K173" s="334" t="n"/>
      <c r="L173" s="334" t="n"/>
      <c r="M173" s="334" t="n"/>
      <c r="N173" s="339" t="n"/>
      <c r="O173" s="368" t="n"/>
      <c r="P173" s="334" t="n"/>
    </row>
    <row r="174">
      <c r="A174" s="334">
        <f>IFERROR(__xludf.DUMMYFUNCTION("""COMPUTED_VALUE"""),"glo2")</f>
        <v/>
      </c>
      <c r="B174" s="334">
        <f>IFERROR(__xludf.DUMMYFUNCTION("""COMPUTED_VALUE"""),"GLOW")</f>
        <v/>
      </c>
      <c r="C174" s="408">
        <f>IFERROR(__xludf.DUMMYFUNCTION("""COMPUTED_VALUE"""),"hard")</f>
        <v/>
      </c>
      <c r="D174" s="408">
        <f>IFERROR(__xludf.DUMMYFUNCTION("""COMPUTED_VALUE"""),"main")</f>
        <v/>
      </c>
      <c r="E174" s="334">
        <f>IFERROR(__xludf.DUMMYFUNCTION("""COMPUTED_VALUE"""),"メインクエスト")</f>
        <v/>
      </c>
      <c r="F174" s="408">
        <f>IFERROR(__xludf.DUMMYFUNCTION("""COMPUTED_VALUE"""),"quest_main_glo2_hard_8")</f>
        <v/>
      </c>
      <c r="G174" s="334">
        <f>IFERROR(__xludf.DUMMYFUNCTION("""COMPUTED_VALUE"""),"8.リミックスクエスト Vol.2")</f>
        <v/>
      </c>
      <c r="H174" s="408">
        <f>IFERROR(__xludf.DUMMYFUNCTION("""COMPUTED_VALUE"""),"01")</f>
        <v/>
      </c>
      <c r="I174" s="334">
        <f>IFERROR(__xludf.DUMMYFUNCTION("""COMPUTED_VALUE"""),"hard_glo2_00001")</f>
        <v/>
      </c>
      <c r="J174" s="334">
        <f>IFERROR(__xludf.DUMMYFUNCTION("""COMPUTED_VALUE"""),"stage_icon_glo2_hard_01")</f>
        <v/>
      </c>
      <c r="K174" s="334" t="n"/>
      <c r="L174" s="334" t="n"/>
      <c r="M174" s="334" t="n"/>
      <c r="N174" s="339" t="n"/>
      <c r="O174" s="368" t="n"/>
      <c r="P174" s="334" t="n"/>
    </row>
    <row r="175">
      <c r="A175" s="334">
        <f>IFERROR(__xludf.DUMMYFUNCTION("""COMPUTED_VALUE"""),"glo2")</f>
        <v/>
      </c>
      <c r="B175" s="334">
        <f>IFERROR(__xludf.DUMMYFUNCTION("""COMPUTED_VALUE"""),"GLOW")</f>
        <v/>
      </c>
      <c r="C175" s="408">
        <f>IFERROR(__xludf.DUMMYFUNCTION("""COMPUTED_VALUE"""),"hard")</f>
        <v/>
      </c>
      <c r="D175" s="408">
        <f>IFERROR(__xludf.DUMMYFUNCTION("""COMPUTED_VALUE"""),"main")</f>
        <v/>
      </c>
      <c r="E175" s="334">
        <f>IFERROR(__xludf.DUMMYFUNCTION("""COMPUTED_VALUE"""),"メインクエスト")</f>
        <v/>
      </c>
      <c r="F175" s="408">
        <f>IFERROR(__xludf.DUMMYFUNCTION("""COMPUTED_VALUE"""),"quest_main_glo2_hard_8")</f>
        <v/>
      </c>
      <c r="G175" s="334">
        <f>IFERROR(__xludf.DUMMYFUNCTION("""COMPUTED_VALUE"""),"8.リミックスクエスト Vol.2")</f>
        <v/>
      </c>
      <c r="H175" s="408">
        <f>IFERROR(__xludf.DUMMYFUNCTION("""COMPUTED_VALUE"""),"02")</f>
        <v/>
      </c>
      <c r="I175" s="334">
        <f>IFERROR(__xludf.DUMMYFUNCTION("""COMPUTED_VALUE"""),"hard_glo2_00002")</f>
        <v/>
      </c>
      <c r="J175" s="334">
        <f>IFERROR(__xludf.DUMMYFUNCTION("""COMPUTED_VALUE"""),"stage_icon_glo2_hard_02")</f>
        <v/>
      </c>
      <c r="K175" s="334" t="n"/>
      <c r="L175" s="334" t="n"/>
      <c r="M175" s="334" t="n"/>
      <c r="N175" s="339" t="n"/>
      <c r="O175" s="368" t="n"/>
      <c r="P175" s="334" t="n"/>
    </row>
    <row r="176">
      <c r="A176" s="334">
        <f>IFERROR(__xludf.DUMMYFUNCTION("""COMPUTED_VALUE"""),"glo2")</f>
        <v/>
      </c>
      <c r="B176" s="334">
        <f>IFERROR(__xludf.DUMMYFUNCTION("""COMPUTED_VALUE"""),"GLOW")</f>
        <v/>
      </c>
      <c r="C176" s="408">
        <f>IFERROR(__xludf.DUMMYFUNCTION("""COMPUTED_VALUE"""),"hard")</f>
        <v/>
      </c>
      <c r="D176" s="408">
        <f>IFERROR(__xludf.DUMMYFUNCTION("""COMPUTED_VALUE"""),"main")</f>
        <v/>
      </c>
      <c r="E176" s="334">
        <f>IFERROR(__xludf.DUMMYFUNCTION("""COMPUTED_VALUE"""),"メインクエスト")</f>
        <v/>
      </c>
      <c r="F176" s="408">
        <f>IFERROR(__xludf.DUMMYFUNCTION("""COMPUTED_VALUE"""),"quest_main_glo2_hard_8")</f>
        <v/>
      </c>
      <c r="G176" s="334">
        <f>IFERROR(__xludf.DUMMYFUNCTION("""COMPUTED_VALUE"""),"8.リミックスクエスト Vol.2")</f>
        <v/>
      </c>
      <c r="H176" s="408">
        <f>IFERROR(__xludf.DUMMYFUNCTION("""COMPUTED_VALUE"""),"03")</f>
        <v/>
      </c>
      <c r="I176" s="334">
        <f>IFERROR(__xludf.DUMMYFUNCTION("""COMPUTED_VALUE"""),"hard_glo2_00003")</f>
        <v/>
      </c>
      <c r="J176" s="334">
        <f>IFERROR(__xludf.DUMMYFUNCTION("""COMPUTED_VALUE"""),"stage_icon_glo2_hard_03")</f>
        <v/>
      </c>
      <c r="K176" s="334" t="n"/>
      <c r="L176" s="334" t="n"/>
      <c r="M176" s="334" t="n"/>
      <c r="N176" s="339" t="n"/>
      <c r="O176" s="368" t="n"/>
      <c r="P176" s="334" t="n"/>
    </row>
    <row r="177">
      <c r="A177" s="334">
        <f>IFERROR(__xludf.DUMMYFUNCTION("""COMPUTED_VALUE"""),"glo2")</f>
        <v/>
      </c>
      <c r="B177" s="334">
        <f>IFERROR(__xludf.DUMMYFUNCTION("""COMPUTED_VALUE"""),"GLOW")</f>
        <v/>
      </c>
      <c r="C177" s="408">
        <f>IFERROR(__xludf.DUMMYFUNCTION("""COMPUTED_VALUE"""),"hard")</f>
        <v/>
      </c>
      <c r="D177" s="408">
        <f>IFERROR(__xludf.DUMMYFUNCTION("""COMPUTED_VALUE"""),"main")</f>
        <v/>
      </c>
      <c r="E177" s="334">
        <f>IFERROR(__xludf.DUMMYFUNCTION("""COMPUTED_VALUE"""),"メインクエスト")</f>
        <v/>
      </c>
      <c r="F177" s="408">
        <f>IFERROR(__xludf.DUMMYFUNCTION("""COMPUTED_VALUE"""),"quest_main_glo2_hard_8")</f>
        <v/>
      </c>
      <c r="G177" s="334">
        <f>IFERROR(__xludf.DUMMYFUNCTION("""COMPUTED_VALUE"""),"8.リミックスクエスト Vol.2")</f>
        <v/>
      </c>
      <c r="H177" s="408">
        <f>IFERROR(__xludf.DUMMYFUNCTION("""COMPUTED_VALUE"""),"04")</f>
        <v/>
      </c>
      <c r="I177" s="334">
        <f>IFERROR(__xludf.DUMMYFUNCTION("""COMPUTED_VALUE"""),"hard_glo2_00004")</f>
        <v/>
      </c>
      <c r="J177" s="334">
        <f>IFERROR(__xludf.DUMMYFUNCTION("""COMPUTED_VALUE"""),"stage_icon_glo2_hard_04")</f>
        <v/>
      </c>
      <c r="K177" s="334" t="n"/>
      <c r="L177" s="334" t="n"/>
      <c r="M177" s="334" t="n"/>
      <c r="N177" s="339" t="n"/>
      <c r="O177" s="368" t="n"/>
      <c r="P177" s="334" t="n"/>
    </row>
    <row r="178">
      <c r="A178" s="334">
        <f>IFERROR(__xludf.DUMMYFUNCTION("""COMPUTED_VALUE"""),"glo2")</f>
        <v/>
      </c>
      <c r="B178" s="334">
        <f>IFERROR(__xludf.DUMMYFUNCTION("""COMPUTED_VALUE"""),"GLOW")</f>
        <v/>
      </c>
      <c r="C178" s="408">
        <f>IFERROR(__xludf.DUMMYFUNCTION("""COMPUTED_VALUE"""),"hard")</f>
        <v/>
      </c>
      <c r="D178" s="408">
        <f>IFERROR(__xludf.DUMMYFUNCTION("""COMPUTED_VALUE"""),"main")</f>
        <v/>
      </c>
      <c r="E178" s="334">
        <f>IFERROR(__xludf.DUMMYFUNCTION("""COMPUTED_VALUE"""),"メインクエスト")</f>
        <v/>
      </c>
      <c r="F178" s="408">
        <f>IFERROR(__xludf.DUMMYFUNCTION("""COMPUTED_VALUE"""),"quest_main_glo2_hard_8")</f>
        <v/>
      </c>
      <c r="G178" s="334">
        <f>IFERROR(__xludf.DUMMYFUNCTION("""COMPUTED_VALUE"""),"8.リミックスクエスト Vol.2")</f>
        <v/>
      </c>
      <c r="H178" s="408">
        <f>IFERROR(__xludf.DUMMYFUNCTION("""COMPUTED_VALUE"""),"05")</f>
        <v/>
      </c>
      <c r="I178" s="334">
        <f>IFERROR(__xludf.DUMMYFUNCTION("""COMPUTED_VALUE"""),"hard_glo2_00005")</f>
        <v/>
      </c>
      <c r="J178" s="334">
        <f>IFERROR(__xludf.DUMMYFUNCTION("""COMPUTED_VALUE"""),"stage_icon_glo2_hard_05")</f>
        <v/>
      </c>
      <c r="K178" s="334" t="n"/>
      <c r="L178" s="334" t="n"/>
      <c r="M178" s="334" t="n"/>
      <c r="N178" s="339" t="n"/>
      <c r="O178" s="368" t="n"/>
      <c r="P178" s="334" t="n"/>
    </row>
    <row r="179">
      <c r="A179" s="334">
        <f>IFERROR(__xludf.DUMMYFUNCTION("""COMPUTED_VALUE"""),"glo2")</f>
        <v/>
      </c>
      <c r="B179" s="334">
        <f>IFERROR(__xludf.DUMMYFUNCTION("""COMPUTED_VALUE"""),"GLOW")</f>
        <v/>
      </c>
      <c r="C179" s="408">
        <f>IFERROR(__xludf.DUMMYFUNCTION("""COMPUTED_VALUE"""),"hard")</f>
        <v/>
      </c>
      <c r="D179" s="408">
        <f>IFERROR(__xludf.DUMMYFUNCTION("""COMPUTED_VALUE"""),"main")</f>
        <v/>
      </c>
      <c r="E179" s="334">
        <f>IFERROR(__xludf.DUMMYFUNCTION("""COMPUTED_VALUE"""),"メインクエスト")</f>
        <v/>
      </c>
      <c r="F179" s="408">
        <f>IFERROR(__xludf.DUMMYFUNCTION("""COMPUTED_VALUE"""),"quest_main_glo2_hard_8")</f>
        <v/>
      </c>
      <c r="G179" s="334">
        <f>IFERROR(__xludf.DUMMYFUNCTION("""COMPUTED_VALUE"""),"8.リミックスクエスト Vol.2")</f>
        <v/>
      </c>
      <c r="H179" s="408">
        <f>IFERROR(__xludf.DUMMYFUNCTION("""COMPUTED_VALUE"""),"06")</f>
        <v/>
      </c>
      <c r="I179" s="334">
        <f>IFERROR(__xludf.DUMMYFUNCTION("""COMPUTED_VALUE"""),"hard_glo2_00006")</f>
        <v/>
      </c>
      <c r="J179" s="334">
        <f>IFERROR(__xludf.DUMMYFUNCTION("""COMPUTED_VALUE"""),"stage_icon_glo2_hard_06")</f>
        <v/>
      </c>
      <c r="K179" s="334" t="n"/>
      <c r="L179" s="334" t="n"/>
      <c r="M179" s="334" t="n"/>
      <c r="N179" s="339" t="n"/>
      <c r="O179" s="368" t="n"/>
      <c r="P179" s="334" t="n"/>
    </row>
    <row r="180">
      <c r="A180" s="334" t="n"/>
      <c r="B180" s="334" t="n"/>
      <c r="C180" s="334" t="n"/>
      <c r="D180" s="334" t="n"/>
      <c r="E180" s="334" t="n"/>
      <c r="F180" s="334" t="n"/>
      <c r="G180" s="334" t="n"/>
      <c r="H180" s="334" t="n"/>
      <c r="I180" s="334" t="n"/>
      <c r="J180" s="334" t="n"/>
      <c r="K180" s="334" t="n"/>
      <c r="L180" s="334" t="n"/>
      <c r="M180" s="334" t="n"/>
      <c r="N180" s="339" t="n"/>
      <c r="O180" s="368" t="n"/>
      <c r="P180" s="334" t="n"/>
    </row>
    <row r="181">
      <c r="A181" s="334">
        <f>IFERROR(__xludf.DUMMYFUNCTION("""COMPUTED_VALUE"""),"chi")</f>
        <v/>
      </c>
      <c r="B181" s="334">
        <f>IFERROR(__xludf.DUMMYFUNCTION("""COMPUTED_VALUE"""),"チェンソーマン")</f>
        <v/>
      </c>
      <c r="C181" s="408">
        <f>IFERROR(__xludf.DUMMYFUNCTION("""COMPUTED_VALUE"""),"hard")</f>
        <v/>
      </c>
      <c r="D181" s="408">
        <f>IFERROR(__xludf.DUMMYFUNCTION("""COMPUTED_VALUE"""),"main")</f>
        <v/>
      </c>
      <c r="E181" s="334">
        <f>IFERROR(__xludf.DUMMYFUNCTION("""COMPUTED_VALUE"""),"メインクエスト")</f>
        <v/>
      </c>
      <c r="F181" s="408">
        <f>IFERROR(__xludf.DUMMYFUNCTION("""COMPUTED_VALUE"""),"quest_main_chi_hard_9")</f>
        <v/>
      </c>
      <c r="G181" s="334">
        <f>IFERROR(__xludf.DUMMYFUNCTION("""COMPUTED_VALUE"""),"9.チェンソーマン")</f>
        <v/>
      </c>
      <c r="H181" s="408">
        <f>IFERROR(__xludf.DUMMYFUNCTION("""COMPUTED_VALUE"""),"01")</f>
        <v/>
      </c>
      <c r="I181" s="334">
        <f>IFERROR(__xludf.DUMMYFUNCTION("""COMPUTED_VALUE"""),"hard_chi_00001")</f>
        <v/>
      </c>
      <c r="J181" s="334">
        <f>IFERROR(__xludf.DUMMYFUNCTION("""COMPUTED_VALUE"""),"stage_icon_chi_hard_01")</f>
        <v/>
      </c>
      <c r="K181" s="334" t="n"/>
      <c r="L181" s="334" t="n"/>
      <c r="M181" s="334" t="n"/>
      <c r="N181" s="339" t="n"/>
      <c r="O181" s="368" t="n"/>
      <c r="P181" s="334" t="n"/>
    </row>
    <row r="182">
      <c r="A182" s="334">
        <f>IFERROR(__xludf.DUMMYFUNCTION("""COMPUTED_VALUE"""),"chi")</f>
        <v/>
      </c>
      <c r="B182" s="334">
        <f>IFERROR(__xludf.DUMMYFUNCTION("""COMPUTED_VALUE"""),"チェンソーマン")</f>
        <v/>
      </c>
      <c r="C182" s="408">
        <f>IFERROR(__xludf.DUMMYFUNCTION("""COMPUTED_VALUE"""),"hard")</f>
        <v/>
      </c>
      <c r="D182" s="408">
        <f>IFERROR(__xludf.DUMMYFUNCTION("""COMPUTED_VALUE"""),"main")</f>
        <v/>
      </c>
      <c r="E182" s="334">
        <f>IFERROR(__xludf.DUMMYFUNCTION("""COMPUTED_VALUE"""),"メインクエスト")</f>
        <v/>
      </c>
      <c r="F182" s="408">
        <f>IFERROR(__xludf.DUMMYFUNCTION("""COMPUTED_VALUE"""),"quest_main_chi_hard_9")</f>
        <v/>
      </c>
      <c r="G182" s="334">
        <f>IFERROR(__xludf.DUMMYFUNCTION("""COMPUTED_VALUE"""),"9.チェンソーマン")</f>
        <v/>
      </c>
      <c r="H182" s="408">
        <f>IFERROR(__xludf.DUMMYFUNCTION("""COMPUTED_VALUE"""),"02")</f>
        <v/>
      </c>
      <c r="I182" s="334">
        <f>IFERROR(__xludf.DUMMYFUNCTION("""COMPUTED_VALUE"""),"hard_chi_00002")</f>
        <v/>
      </c>
      <c r="J182" s="334">
        <f>IFERROR(__xludf.DUMMYFUNCTION("""COMPUTED_VALUE"""),"stage_icon_chi_hard_02")</f>
        <v/>
      </c>
      <c r="K182" s="334" t="n"/>
      <c r="L182" s="334" t="n"/>
      <c r="M182" s="334" t="n"/>
      <c r="N182" s="339" t="n"/>
      <c r="O182" s="368" t="n"/>
      <c r="P182" s="334" t="n"/>
    </row>
    <row r="183">
      <c r="A183" s="334">
        <f>IFERROR(__xludf.DUMMYFUNCTION("""COMPUTED_VALUE"""),"chi")</f>
        <v/>
      </c>
      <c r="B183" s="334">
        <f>IFERROR(__xludf.DUMMYFUNCTION("""COMPUTED_VALUE"""),"チェンソーマン")</f>
        <v/>
      </c>
      <c r="C183" s="408">
        <f>IFERROR(__xludf.DUMMYFUNCTION("""COMPUTED_VALUE"""),"hard")</f>
        <v/>
      </c>
      <c r="D183" s="408">
        <f>IFERROR(__xludf.DUMMYFUNCTION("""COMPUTED_VALUE"""),"main")</f>
        <v/>
      </c>
      <c r="E183" s="334">
        <f>IFERROR(__xludf.DUMMYFUNCTION("""COMPUTED_VALUE"""),"メインクエスト")</f>
        <v/>
      </c>
      <c r="F183" s="408">
        <f>IFERROR(__xludf.DUMMYFUNCTION("""COMPUTED_VALUE"""),"quest_main_chi_hard_9")</f>
        <v/>
      </c>
      <c r="G183" s="334">
        <f>IFERROR(__xludf.DUMMYFUNCTION("""COMPUTED_VALUE"""),"9.チェンソーマン")</f>
        <v/>
      </c>
      <c r="H183" s="408">
        <f>IFERROR(__xludf.DUMMYFUNCTION("""COMPUTED_VALUE"""),"03")</f>
        <v/>
      </c>
      <c r="I183" s="334">
        <f>IFERROR(__xludf.DUMMYFUNCTION("""COMPUTED_VALUE"""),"hard_chi_00003")</f>
        <v/>
      </c>
      <c r="J183" s="334">
        <f>IFERROR(__xludf.DUMMYFUNCTION("""COMPUTED_VALUE"""),"stage_icon_chi_hard_03")</f>
        <v/>
      </c>
      <c r="K183" s="334" t="n"/>
      <c r="L183" s="334" t="n"/>
      <c r="M183" s="334" t="n"/>
      <c r="N183" s="339" t="n"/>
      <c r="O183" s="368" t="n"/>
      <c r="P183" s="334" t="n"/>
    </row>
    <row r="184">
      <c r="A184" s="334">
        <f>IFERROR(__xludf.DUMMYFUNCTION("""COMPUTED_VALUE"""),"chi")</f>
        <v/>
      </c>
      <c r="B184" s="334">
        <f>IFERROR(__xludf.DUMMYFUNCTION("""COMPUTED_VALUE"""),"チェンソーマン")</f>
        <v/>
      </c>
      <c r="C184" s="408">
        <f>IFERROR(__xludf.DUMMYFUNCTION("""COMPUTED_VALUE"""),"hard")</f>
        <v/>
      </c>
      <c r="D184" s="408">
        <f>IFERROR(__xludf.DUMMYFUNCTION("""COMPUTED_VALUE"""),"main")</f>
        <v/>
      </c>
      <c r="E184" s="334">
        <f>IFERROR(__xludf.DUMMYFUNCTION("""COMPUTED_VALUE"""),"メインクエスト")</f>
        <v/>
      </c>
      <c r="F184" s="408">
        <f>IFERROR(__xludf.DUMMYFUNCTION("""COMPUTED_VALUE"""),"quest_main_chi_hard_9")</f>
        <v/>
      </c>
      <c r="G184" s="334">
        <f>IFERROR(__xludf.DUMMYFUNCTION("""COMPUTED_VALUE"""),"9.チェンソーマン")</f>
        <v/>
      </c>
      <c r="H184" s="408">
        <f>IFERROR(__xludf.DUMMYFUNCTION("""COMPUTED_VALUE"""),"04")</f>
        <v/>
      </c>
      <c r="I184" s="334">
        <f>IFERROR(__xludf.DUMMYFUNCTION("""COMPUTED_VALUE"""),"hard_chi_00004")</f>
        <v/>
      </c>
      <c r="J184" s="334">
        <f>IFERROR(__xludf.DUMMYFUNCTION("""COMPUTED_VALUE"""),"stage_icon_chi_hard_04")</f>
        <v/>
      </c>
      <c r="K184" s="334" t="n"/>
      <c r="L184" s="334" t="n"/>
      <c r="M184" s="334" t="n"/>
      <c r="N184" s="339" t="n"/>
      <c r="O184" s="368" t="n"/>
      <c r="P184" s="334" t="n"/>
    </row>
    <row r="185">
      <c r="A185" s="334">
        <f>IFERROR(__xludf.DUMMYFUNCTION("""COMPUTED_VALUE"""),"chi")</f>
        <v/>
      </c>
      <c r="B185" s="334">
        <f>IFERROR(__xludf.DUMMYFUNCTION("""COMPUTED_VALUE"""),"チェンソーマン")</f>
        <v/>
      </c>
      <c r="C185" s="408">
        <f>IFERROR(__xludf.DUMMYFUNCTION("""COMPUTED_VALUE"""),"hard")</f>
        <v/>
      </c>
      <c r="D185" s="408">
        <f>IFERROR(__xludf.DUMMYFUNCTION("""COMPUTED_VALUE"""),"main")</f>
        <v/>
      </c>
      <c r="E185" s="334">
        <f>IFERROR(__xludf.DUMMYFUNCTION("""COMPUTED_VALUE"""),"メインクエスト")</f>
        <v/>
      </c>
      <c r="F185" s="408">
        <f>IFERROR(__xludf.DUMMYFUNCTION("""COMPUTED_VALUE"""),"quest_main_chi_hard_9")</f>
        <v/>
      </c>
      <c r="G185" s="334">
        <f>IFERROR(__xludf.DUMMYFUNCTION("""COMPUTED_VALUE"""),"9.チェンソーマン")</f>
        <v/>
      </c>
      <c r="H185" s="408">
        <f>IFERROR(__xludf.DUMMYFUNCTION("""COMPUTED_VALUE"""),"05")</f>
        <v/>
      </c>
      <c r="I185" s="334">
        <f>IFERROR(__xludf.DUMMYFUNCTION("""COMPUTED_VALUE"""),"hard_chi_00005")</f>
        <v/>
      </c>
      <c r="J185" s="334">
        <f>IFERROR(__xludf.DUMMYFUNCTION("""COMPUTED_VALUE"""),"stage_icon_chi_hard_05")</f>
        <v/>
      </c>
      <c r="K185" s="334" t="n"/>
      <c r="L185" s="334" t="n"/>
      <c r="M185" s="334" t="n"/>
      <c r="N185" s="339" t="n"/>
      <c r="O185" s="368" t="n"/>
      <c r="P185" s="334" t="n"/>
    </row>
    <row r="186">
      <c r="A186" s="334">
        <f>IFERROR(__xludf.DUMMYFUNCTION("""COMPUTED_VALUE"""),"chi")</f>
        <v/>
      </c>
      <c r="B186" s="334">
        <f>IFERROR(__xludf.DUMMYFUNCTION("""COMPUTED_VALUE"""),"チェンソーマン")</f>
        <v/>
      </c>
      <c r="C186" s="408">
        <f>IFERROR(__xludf.DUMMYFUNCTION("""COMPUTED_VALUE"""),"hard")</f>
        <v/>
      </c>
      <c r="D186" s="408">
        <f>IFERROR(__xludf.DUMMYFUNCTION("""COMPUTED_VALUE"""),"main")</f>
        <v/>
      </c>
      <c r="E186" s="334">
        <f>IFERROR(__xludf.DUMMYFUNCTION("""COMPUTED_VALUE"""),"メインクエスト")</f>
        <v/>
      </c>
      <c r="F186" s="408">
        <f>IFERROR(__xludf.DUMMYFUNCTION("""COMPUTED_VALUE"""),"quest_main_chi_hard_9")</f>
        <v/>
      </c>
      <c r="G186" s="334">
        <f>IFERROR(__xludf.DUMMYFUNCTION("""COMPUTED_VALUE"""),"9.チェンソーマン")</f>
        <v/>
      </c>
      <c r="H186" s="408">
        <f>IFERROR(__xludf.DUMMYFUNCTION("""COMPUTED_VALUE"""),"06")</f>
        <v/>
      </c>
      <c r="I186" s="334">
        <f>IFERROR(__xludf.DUMMYFUNCTION("""COMPUTED_VALUE"""),"hard_chi_00006")</f>
        <v/>
      </c>
      <c r="J186" s="334">
        <f>IFERROR(__xludf.DUMMYFUNCTION("""COMPUTED_VALUE"""),"stage_icon_chi_hard_06")</f>
        <v/>
      </c>
      <c r="K186" s="334" t="n"/>
      <c r="L186" s="334" t="n"/>
      <c r="M186" s="334" t="n"/>
      <c r="N186" s="339" t="n"/>
      <c r="O186" s="368" t="n"/>
      <c r="P186" s="334" t="n"/>
    </row>
    <row r="187">
      <c r="A187" s="334" t="n"/>
      <c r="B187" s="334" t="n"/>
      <c r="C187" s="334" t="n"/>
      <c r="D187" s="334" t="n"/>
      <c r="E187" s="334" t="n"/>
      <c r="F187" s="334" t="n"/>
      <c r="G187" s="334" t="n"/>
      <c r="H187" s="334" t="n"/>
      <c r="I187" s="334" t="n"/>
      <c r="J187" s="334" t="n"/>
      <c r="K187" s="334" t="n"/>
      <c r="L187" s="334" t="n"/>
      <c r="M187" s="334" t="n"/>
      <c r="N187" s="339" t="n"/>
      <c r="O187" s="368" t="n"/>
      <c r="P187" s="334" t="n"/>
    </row>
    <row r="188">
      <c r="A188" s="334">
        <f>IFERROR(__xludf.DUMMYFUNCTION("""COMPUTED_VALUE"""),"sur")</f>
        <v/>
      </c>
      <c r="B188" s="334">
        <f>IFERROR(__xludf.DUMMYFUNCTION("""COMPUTED_VALUE"""),"魔都精兵のスレイブ")</f>
        <v/>
      </c>
      <c r="C188" s="408">
        <f>IFERROR(__xludf.DUMMYFUNCTION("""COMPUTED_VALUE"""),"hard")</f>
        <v/>
      </c>
      <c r="D188" s="408">
        <f>IFERROR(__xludf.DUMMYFUNCTION("""COMPUTED_VALUE"""),"main")</f>
        <v/>
      </c>
      <c r="E188" s="334">
        <f>IFERROR(__xludf.DUMMYFUNCTION("""COMPUTED_VALUE"""),"メインクエスト")</f>
        <v/>
      </c>
      <c r="F188" s="408">
        <f>IFERROR(__xludf.DUMMYFUNCTION("""COMPUTED_VALUE"""),"quest_main_sur_hard_10")</f>
        <v/>
      </c>
      <c r="G188" s="334">
        <f>IFERROR(__xludf.DUMMYFUNCTION("""COMPUTED_VALUE"""),"10.魔都精兵のスレイブ")</f>
        <v/>
      </c>
      <c r="H188" s="408">
        <f>IFERROR(__xludf.DUMMYFUNCTION("""COMPUTED_VALUE"""),"01")</f>
        <v/>
      </c>
      <c r="I188" s="334">
        <f>IFERROR(__xludf.DUMMYFUNCTION("""COMPUTED_VALUE"""),"hard_sur_00001")</f>
        <v/>
      </c>
      <c r="J188" s="334">
        <f>IFERROR(__xludf.DUMMYFUNCTION("""COMPUTED_VALUE"""),"stage_icon_sur_hard_01")</f>
        <v/>
      </c>
      <c r="K188" s="334" t="n"/>
      <c r="L188" s="334" t="n"/>
      <c r="M188" s="334" t="n"/>
      <c r="N188" s="339" t="n"/>
      <c r="O188" s="368" t="n"/>
      <c r="P188" s="334" t="n"/>
    </row>
    <row r="189">
      <c r="A189" s="334">
        <f>IFERROR(__xludf.DUMMYFUNCTION("""COMPUTED_VALUE"""),"sur")</f>
        <v/>
      </c>
      <c r="B189" s="334">
        <f>IFERROR(__xludf.DUMMYFUNCTION("""COMPUTED_VALUE"""),"魔都精兵のスレイブ")</f>
        <v/>
      </c>
      <c r="C189" s="408">
        <f>IFERROR(__xludf.DUMMYFUNCTION("""COMPUTED_VALUE"""),"hard")</f>
        <v/>
      </c>
      <c r="D189" s="408">
        <f>IFERROR(__xludf.DUMMYFUNCTION("""COMPUTED_VALUE"""),"main")</f>
        <v/>
      </c>
      <c r="E189" s="334">
        <f>IFERROR(__xludf.DUMMYFUNCTION("""COMPUTED_VALUE"""),"メインクエスト")</f>
        <v/>
      </c>
      <c r="F189" s="408">
        <f>IFERROR(__xludf.DUMMYFUNCTION("""COMPUTED_VALUE"""),"quest_main_sur_hard_10")</f>
        <v/>
      </c>
      <c r="G189" s="334">
        <f>IFERROR(__xludf.DUMMYFUNCTION("""COMPUTED_VALUE"""),"10.魔都精兵のスレイブ")</f>
        <v/>
      </c>
      <c r="H189" s="408">
        <f>IFERROR(__xludf.DUMMYFUNCTION("""COMPUTED_VALUE"""),"02")</f>
        <v/>
      </c>
      <c r="I189" s="334">
        <f>IFERROR(__xludf.DUMMYFUNCTION("""COMPUTED_VALUE"""),"hard_sur_00002")</f>
        <v/>
      </c>
      <c r="J189" s="334">
        <f>IFERROR(__xludf.DUMMYFUNCTION("""COMPUTED_VALUE"""),"stage_icon_sur_hard_02")</f>
        <v/>
      </c>
      <c r="K189" s="334" t="n"/>
      <c r="L189" s="334" t="n"/>
      <c r="M189" s="334" t="n"/>
      <c r="N189" s="339" t="n"/>
      <c r="O189" s="368" t="n"/>
      <c r="P189" s="334" t="n"/>
    </row>
    <row r="190">
      <c r="A190" s="334">
        <f>IFERROR(__xludf.DUMMYFUNCTION("""COMPUTED_VALUE"""),"sur")</f>
        <v/>
      </c>
      <c r="B190" s="334">
        <f>IFERROR(__xludf.DUMMYFUNCTION("""COMPUTED_VALUE"""),"魔都精兵のスレイブ")</f>
        <v/>
      </c>
      <c r="C190" s="408">
        <f>IFERROR(__xludf.DUMMYFUNCTION("""COMPUTED_VALUE"""),"hard")</f>
        <v/>
      </c>
      <c r="D190" s="408">
        <f>IFERROR(__xludf.DUMMYFUNCTION("""COMPUTED_VALUE"""),"main")</f>
        <v/>
      </c>
      <c r="E190" s="334">
        <f>IFERROR(__xludf.DUMMYFUNCTION("""COMPUTED_VALUE"""),"メインクエスト")</f>
        <v/>
      </c>
      <c r="F190" s="408">
        <f>IFERROR(__xludf.DUMMYFUNCTION("""COMPUTED_VALUE"""),"quest_main_sur_hard_10")</f>
        <v/>
      </c>
      <c r="G190" s="334">
        <f>IFERROR(__xludf.DUMMYFUNCTION("""COMPUTED_VALUE"""),"10.魔都精兵のスレイブ")</f>
        <v/>
      </c>
      <c r="H190" s="408">
        <f>IFERROR(__xludf.DUMMYFUNCTION("""COMPUTED_VALUE"""),"03")</f>
        <v/>
      </c>
      <c r="I190" s="334">
        <f>IFERROR(__xludf.DUMMYFUNCTION("""COMPUTED_VALUE"""),"hard_sur_00003")</f>
        <v/>
      </c>
      <c r="J190" s="334">
        <f>IFERROR(__xludf.DUMMYFUNCTION("""COMPUTED_VALUE"""),"stage_icon_sur_hard_03")</f>
        <v/>
      </c>
      <c r="K190" s="334" t="n"/>
      <c r="L190" s="334" t="n"/>
      <c r="M190" s="334" t="n"/>
      <c r="N190" s="339" t="n"/>
      <c r="O190" s="368" t="n"/>
      <c r="P190" s="334" t="n"/>
    </row>
    <row r="191">
      <c r="A191" s="334">
        <f>IFERROR(__xludf.DUMMYFUNCTION("""COMPUTED_VALUE"""),"sur")</f>
        <v/>
      </c>
      <c r="B191" s="334">
        <f>IFERROR(__xludf.DUMMYFUNCTION("""COMPUTED_VALUE"""),"魔都精兵のスレイブ")</f>
        <v/>
      </c>
      <c r="C191" s="408">
        <f>IFERROR(__xludf.DUMMYFUNCTION("""COMPUTED_VALUE"""),"hard")</f>
        <v/>
      </c>
      <c r="D191" s="408">
        <f>IFERROR(__xludf.DUMMYFUNCTION("""COMPUTED_VALUE"""),"main")</f>
        <v/>
      </c>
      <c r="E191" s="334">
        <f>IFERROR(__xludf.DUMMYFUNCTION("""COMPUTED_VALUE"""),"メインクエスト")</f>
        <v/>
      </c>
      <c r="F191" s="408">
        <f>IFERROR(__xludf.DUMMYFUNCTION("""COMPUTED_VALUE"""),"quest_main_sur_hard_10")</f>
        <v/>
      </c>
      <c r="G191" s="334">
        <f>IFERROR(__xludf.DUMMYFUNCTION("""COMPUTED_VALUE"""),"10.魔都精兵のスレイブ")</f>
        <v/>
      </c>
      <c r="H191" s="408">
        <f>IFERROR(__xludf.DUMMYFUNCTION("""COMPUTED_VALUE"""),"04")</f>
        <v/>
      </c>
      <c r="I191" s="334">
        <f>IFERROR(__xludf.DUMMYFUNCTION("""COMPUTED_VALUE"""),"hard_sur_00004")</f>
        <v/>
      </c>
      <c r="J191" s="334">
        <f>IFERROR(__xludf.DUMMYFUNCTION("""COMPUTED_VALUE"""),"stage_icon_sur_hard_04")</f>
        <v/>
      </c>
      <c r="K191" s="334" t="n"/>
      <c r="L191" s="334" t="n"/>
      <c r="M191" s="334" t="n"/>
      <c r="N191" s="339" t="n"/>
      <c r="O191" s="368" t="n"/>
      <c r="P191" s="334" t="n"/>
    </row>
    <row r="192">
      <c r="A192" s="334">
        <f>IFERROR(__xludf.DUMMYFUNCTION("""COMPUTED_VALUE"""),"sur")</f>
        <v/>
      </c>
      <c r="B192" s="334">
        <f>IFERROR(__xludf.DUMMYFUNCTION("""COMPUTED_VALUE"""),"魔都精兵のスレイブ")</f>
        <v/>
      </c>
      <c r="C192" s="408">
        <f>IFERROR(__xludf.DUMMYFUNCTION("""COMPUTED_VALUE"""),"hard")</f>
        <v/>
      </c>
      <c r="D192" s="408">
        <f>IFERROR(__xludf.DUMMYFUNCTION("""COMPUTED_VALUE"""),"main")</f>
        <v/>
      </c>
      <c r="E192" s="334">
        <f>IFERROR(__xludf.DUMMYFUNCTION("""COMPUTED_VALUE"""),"メインクエスト")</f>
        <v/>
      </c>
      <c r="F192" s="408">
        <f>IFERROR(__xludf.DUMMYFUNCTION("""COMPUTED_VALUE"""),"quest_main_sur_hard_10")</f>
        <v/>
      </c>
      <c r="G192" s="334">
        <f>IFERROR(__xludf.DUMMYFUNCTION("""COMPUTED_VALUE"""),"10.魔都精兵のスレイブ")</f>
        <v/>
      </c>
      <c r="H192" s="408">
        <f>IFERROR(__xludf.DUMMYFUNCTION("""COMPUTED_VALUE"""),"05")</f>
        <v/>
      </c>
      <c r="I192" s="334">
        <f>IFERROR(__xludf.DUMMYFUNCTION("""COMPUTED_VALUE"""),"hard_sur_00005")</f>
        <v/>
      </c>
      <c r="J192" s="334">
        <f>IFERROR(__xludf.DUMMYFUNCTION("""COMPUTED_VALUE"""),"stage_icon_sur_hard_05")</f>
        <v/>
      </c>
      <c r="K192" s="334" t="n"/>
      <c r="L192" s="334" t="n"/>
      <c r="M192" s="334" t="n"/>
      <c r="N192" s="339" t="n"/>
      <c r="O192" s="368" t="n"/>
      <c r="P192" s="334" t="n"/>
    </row>
    <row r="193">
      <c r="A193" s="334">
        <f>IFERROR(__xludf.DUMMYFUNCTION("""COMPUTED_VALUE"""),"sur")</f>
        <v/>
      </c>
      <c r="B193" s="334">
        <f>IFERROR(__xludf.DUMMYFUNCTION("""COMPUTED_VALUE"""),"魔都精兵のスレイブ")</f>
        <v/>
      </c>
      <c r="C193" s="408">
        <f>IFERROR(__xludf.DUMMYFUNCTION("""COMPUTED_VALUE"""),"hard")</f>
        <v/>
      </c>
      <c r="D193" s="408">
        <f>IFERROR(__xludf.DUMMYFUNCTION("""COMPUTED_VALUE"""),"main")</f>
        <v/>
      </c>
      <c r="E193" s="334">
        <f>IFERROR(__xludf.DUMMYFUNCTION("""COMPUTED_VALUE"""),"メインクエスト")</f>
        <v/>
      </c>
      <c r="F193" s="408">
        <f>IFERROR(__xludf.DUMMYFUNCTION("""COMPUTED_VALUE"""),"quest_main_sur_hard_10")</f>
        <v/>
      </c>
      <c r="G193" s="334">
        <f>IFERROR(__xludf.DUMMYFUNCTION("""COMPUTED_VALUE"""),"10.魔都精兵のスレイブ")</f>
        <v/>
      </c>
      <c r="H193" s="408">
        <f>IFERROR(__xludf.DUMMYFUNCTION("""COMPUTED_VALUE"""),"06")</f>
        <v/>
      </c>
      <c r="I193" s="334">
        <f>IFERROR(__xludf.DUMMYFUNCTION("""COMPUTED_VALUE"""),"hard_sur_00006")</f>
        <v/>
      </c>
      <c r="J193" s="334">
        <f>IFERROR(__xludf.DUMMYFUNCTION("""COMPUTED_VALUE"""),"stage_icon_sur_hard_06")</f>
        <v/>
      </c>
      <c r="K193" s="334" t="n"/>
      <c r="L193" s="334" t="n"/>
      <c r="M193" s="334" t="n"/>
      <c r="N193" s="339" t="n"/>
      <c r="O193" s="368" t="n"/>
      <c r="P193" s="334" t="n"/>
    </row>
    <row r="194">
      <c r="A194" s="334" t="n"/>
      <c r="B194" s="334" t="n"/>
      <c r="C194" s="334" t="n"/>
      <c r="D194" s="334" t="n"/>
      <c r="E194" s="334" t="n"/>
      <c r="F194" s="334" t="n"/>
      <c r="G194" s="334" t="n"/>
      <c r="H194" s="334" t="n"/>
      <c r="I194" s="334" t="n"/>
      <c r="J194" s="334" t="n"/>
      <c r="K194" s="334" t="n"/>
      <c r="L194" s="334" t="n"/>
      <c r="M194" s="334" t="n"/>
      <c r="N194" s="339" t="n"/>
      <c r="O194" s="368" t="n"/>
      <c r="P194" s="334" t="n"/>
    </row>
    <row r="195">
      <c r="A195" s="334">
        <f>IFERROR(__xludf.DUMMYFUNCTION("""COMPUTED_VALUE"""),"rik")</f>
        <v/>
      </c>
      <c r="B195" s="334">
        <f>IFERROR(__xludf.DUMMYFUNCTION("""COMPUTED_VALUE"""),"トマトイプーのリコピン")</f>
        <v/>
      </c>
      <c r="C195" s="408">
        <f>IFERROR(__xludf.DUMMYFUNCTION("""COMPUTED_VALUE"""),"hard")</f>
        <v/>
      </c>
      <c r="D195" s="408">
        <f>IFERROR(__xludf.DUMMYFUNCTION("""COMPUTED_VALUE"""),"main")</f>
        <v/>
      </c>
      <c r="E195" s="334">
        <f>IFERROR(__xludf.DUMMYFUNCTION("""COMPUTED_VALUE"""),"メインクエスト")</f>
        <v/>
      </c>
      <c r="F195" s="408">
        <f>IFERROR(__xludf.DUMMYFUNCTION("""COMPUTED_VALUE"""),"quest_main_rik_hard_11")</f>
        <v/>
      </c>
      <c r="G195" s="334">
        <f>IFERROR(__xludf.DUMMYFUNCTION("""COMPUTED_VALUE"""),"11.トマトイプーのリコピン")</f>
        <v/>
      </c>
      <c r="H195" s="408">
        <f>IFERROR(__xludf.DUMMYFUNCTION("""COMPUTED_VALUE"""),"01")</f>
        <v/>
      </c>
      <c r="I195" s="334">
        <f>IFERROR(__xludf.DUMMYFUNCTION("""COMPUTED_VALUE"""),"hard_rik_00001")</f>
        <v/>
      </c>
      <c r="J195" s="334">
        <f>IFERROR(__xludf.DUMMYFUNCTION("""COMPUTED_VALUE"""),"stage_icon_rik_hard_01")</f>
        <v/>
      </c>
      <c r="K195" s="334" t="n"/>
      <c r="L195" s="334" t="n"/>
      <c r="M195" s="334" t="n"/>
      <c r="N195" s="339" t="n"/>
      <c r="O195" s="368" t="n"/>
      <c r="P195" s="334" t="n"/>
    </row>
    <row r="196">
      <c r="A196" s="334">
        <f>IFERROR(__xludf.DUMMYFUNCTION("""COMPUTED_VALUE"""),"rik")</f>
        <v/>
      </c>
      <c r="B196" s="334">
        <f>IFERROR(__xludf.DUMMYFUNCTION("""COMPUTED_VALUE"""),"トマトイプーのリコピン")</f>
        <v/>
      </c>
      <c r="C196" s="408">
        <f>IFERROR(__xludf.DUMMYFUNCTION("""COMPUTED_VALUE"""),"hard")</f>
        <v/>
      </c>
      <c r="D196" s="408">
        <f>IFERROR(__xludf.DUMMYFUNCTION("""COMPUTED_VALUE"""),"main")</f>
        <v/>
      </c>
      <c r="E196" s="334">
        <f>IFERROR(__xludf.DUMMYFUNCTION("""COMPUTED_VALUE"""),"メインクエスト")</f>
        <v/>
      </c>
      <c r="F196" s="408">
        <f>IFERROR(__xludf.DUMMYFUNCTION("""COMPUTED_VALUE"""),"quest_main_rik_hard_11")</f>
        <v/>
      </c>
      <c r="G196" s="334">
        <f>IFERROR(__xludf.DUMMYFUNCTION("""COMPUTED_VALUE"""),"11.トマトイプーのリコピン")</f>
        <v/>
      </c>
      <c r="H196" s="408">
        <f>IFERROR(__xludf.DUMMYFUNCTION("""COMPUTED_VALUE"""),"02")</f>
        <v/>
      </c>
      <c r="I196" s="334">
        <f>IFERROR(__xludf.DUMMYFUNCTION("""COMPUTED_VALUE"""),"hard_rik_00002")</f>
        <v/>
      </c>
      <c r="J196" s="334">
        <f>IFERROR(__xludf.DUMMYFUNCTION("""COMPUTED_VALUE"""),"stage_icon_rik_hard_02")</f>
        <v/>
      </c>
      <c r="K196" s="334" t="n"/>
      <c r="L196" s="334" t="n"/>
      <c r="M196" s="334" t="n"/>
      <c r="N196" s="339" t="n"/>
      <c r="O196" s="368" t="n"/>
      <c r="P196" s="334" t="n"/>
    </row>
    <row r="197">
      <c r="A197" s="334">
        <f>IFERROR(__xludf.DUMMYFUNCTION("""COMPUTED_VALUE"""),"rik")</f>
        <v/>
      </c>
      <c r="B197" s="334">
        <f>IFERROR(__xludf.DUMMYFUNCTION("""COMPUTED_VALUE"""),"トマトイプーのリコピン")</f>
        <v/>
      </c>
      <c r="C197" s="408">
        <f>IFERROR(__xludf.DUMMYFUNCTION("""COMPUTED_VALUE"""),"hard")</f>
        <v/>
      </c>
      <c r="D197" s="408">
        <f>IFERROR(__xludf.DUMMYFUNCTION("""COMPUTED_VALUE"""),"main")</f>
        <v/>
      </c>
      <c r="E197" s="334">
        <f>IFERROR(__xludf.DUMMYFUNCTION("""COMPUTED_VALUE"""),"メインクエスト")</f>
        <v/>
      </c>
      <c r="F197" s="408">
        <f>IFERROR(__xludf.DUMMYFUNCTION("""COMPUTED_VALUE"""),"quest_main_rik_hard_11")</f>
        <v/>
      </c>
      <c r="G197" s="334">
        <f>IFERROR(__xludf.DUMMYFUNCTION("""COMPUTED_VALUE"""),"11.トマトイプーのリコピン")</f>
        <v/>
      </c>
      <c r="H197" s="408">
        <f>IFERROR(__xludf.DUMMYFUNCTION("""COMPUTED_VALUE"""),"03")</f>
        <v/>
      </c>
      <c r="I197" s="334">
        <f>IFERROR(__xludf.DUMMYFUNCTION("""COMPUTED_VALUE"""),"hard_rik_00003")</f>
        <v/>
      </c>
      <c r="J197" s="334">
        <f>IFERROR(__xludf.DUMMYFUNCTION("""COMPUTED_VALUE"""),"stage_icon_rik_hard_03")</f>
        <v/>
      </c>
      <c r="K197" s="334" t="n"/>
      <c r="L197" s="334" t="n"/>
      <c r="M197" s="334" t="n"/>
      <c r="N197" s="339" t="n"/>
      <c r="O197" s="368" t="n"/>
      <c r="P197" s="334" t="n"/>
    </row>
    <row r="198">
      <c r="A198" s="334" t="n"/>
      <c r="B198" s="334" t="n"/>
      <c r="C198" s="334" t="n"/>
      <c r="D198" s="334" t="n"/>
      <c r="E198" s="334" t="n"/>
      <c r="F198" s="334" t="n"/>
      <c r="G198" s="334" t="n"/>
      <c r="H198" s="334" t="n"/>
      <c r="I198" s="334" t="n"/>
      <c r="J198" s="334" t="n"/>
      <c r="K198" s="334" t="n"/>
      <c r="L198" s="334" t="n"/>
      <c r="M198" s="334" t="n"/>
      <c r="N198" s="339" t="n"/>
      <c r="O198" s="368" t="n"/>
      <c r="P198" s="334" t="n"/>
    </row>
    <row r="199">
      <c r="A199" s="334">
        <f>IFERROR(__xludf.DUMMYFUNCTION("""COMPUTED_VALUE"""),"glo3")</f>
        <v/>
      </c>
      <c r="B199" s="334">
        <f>IFERROR(__xludf.DUMMYFUNCTION("""COMPUTED_VALUE"""),"GLOW")</f>
        <v/>
      </c>
      <c r="C199" s="408">
        <f>IFERROR(__xludf.DUMMYFUNCTION("""COMPUTED_VALUE"""),"hard")</f>
        <v/>
      </c>
      <c r="D199" s="408">
        <f>IFERROR(__xludf.DUMMYFUNCTION("""COMPUTED_VALUE"""),"main")</f>
        <v/>
      </c>
      <c r="E199" s="334">
        <f>IFERROR(__xludf.DUMMYFUNCTION("""COMPUTED_VALUE"""),"メインクエスト")</f>
        <v/>
      </c>
      <c r="F199" s="408">
        <f>IFERROR(__xludf.DUMMYFUNCTION("""COMPUTED_VALUE"""),"quest_main_glo3_hard_12")</f>
        <v/>
      </c>
      <c r="G199" s="334">
        <f>IFERROR(__xludf.DUMMYFUNCTION("""COMPUTED_VALUE"""),"12.リミックスクエスト Vol.3")</f>
        <v/>
      </c>
      <c r="H199" s="408">
        <f>IFERROR(__xludf.DUMMYFUNCTION("""COMPUTED_VALUE"""),"01")</f>
        <v/>
      </c>
      <c r="I199" s="334">
        <f>IFERROR(__xludf.DUMMYFUNCTION("""COMPUTED_VALUE"""),"hard_glo3_00001")</f>
        <v/>
      </c>
      <c r="J199" s="334">
        <f>IFERROR(__xludf.DUMMYFUNCTION("""COMPUTED_VALUE"""),"stage_icon_glo3_hard_01")</f>
        <v/>
      </c>
      <c r="K199" s="334" t="n"/>
      <c r="L199" s="334" t="n"/>
      <c r="M199" s="334" t="n"/>
      <c r="N199" s="339" t="n"/>
      <c r="O199" s="368" t="n"/>
      <c r="P199" s="334" t="n"/>
    </row>
    <row r="200">
      <c r="A200" s="334">
        <f>IFERROR(__xludf.DUMMYFUNCTION("""COMPUTED_VALUE"""),"glo3")</f>
        <v/>
      </c>
      <c r="B200" s="334">
        <f>IFERROR(__xludf.DUMMYFUNCTION("""COMPUTED_VALUE"""),"GLOW")</f>
        <v/>
      </c>
      <c r="C200" s="408">
        <f>IFERROR(__xludf.DUMMYFUNCTION("""COMPUTED_VALUE"""),"hard")</f>
        <v/>
      </c>
      <c r="D200" s="408">
        <f>IFERROR(__xludf.DUMMYFUNCTION("""COMPUTED_VALUE"""),"main")</f>
        <v/>
      </c>
      <c r="E200" s="334">
        <f>IFERROR(__xludf.DUMMYFUNCTION("""COMPUTED_VALUE"""),"メインクエスト")</f>
        <v/>
      </c>
      <c r="F200" s="408">
        <f>IFERROR(__xludf.DUMMYFUNCTION("""COMPUTED_VALUE"""),"quest_main_glo3_hard_12")</f>
        <v/>
      </c>
      <c r="G200" s="334">
        <f>IFERROR(__xludf.DUMMYFUNCTION("""COMPUTED_VALUE"""),"12.リミックスクエスト Vol.3")</f>
        <v/>
      </c>
      <c r="H200" s="408">
        <f>IFERROR(__xludf.DUMMYFUNCTION("""COMPUTED_VALUE"""),"02")</f>
        <v/>
      </c>
      <c r="I200" s="334">
        <f>IFERROR(__xludf.DUMMYFUNCTION("""COMPUTED_VALUE"""),"hard_glo3_00002")</f>
        <v/>
      </c>
      <c r="J200" s="334">
        <f>IFERROR(__xludf.DUMMYFUNCTION("""COMPUTED_VALUE"""),"stage_icon_glo3_hard_02")</f>
        <v/>
      </c>
      <c r="K200" s="334" t="n"/>
      <c r="L200" s="334" t="n"/>
      <c r="M200" s="334" t="n"/>
      <c r="N200" s="339" t="n"/>
      <c r="O200" s="368" t="n"/>
      <c r="P200" s="334" t="n"/>
    </row>
    <row r="201">
      <c r="A201" s="334">
        <f>IFERROR(__xludf.DUMMYFUNCTION("""COMPUTED_VALUE"""),"glo3")</f>
        <v/>
      </c>
      <c r="B201" s="334">
        <f>IFERROR(__xludf.DUMMYFUNCTION("""COMPUTED_VALUE"""),"GLOW")</f>
        <v/>
      </c>
      <c r="C201" s="408">
        <f>IFERROR(__xludf.DUMMYFUNCTION("""COMPUTED_VALUE"""),"hard")</f>
        <v/>
      </c>
      <c r="D201" s="408">
        <f>IFERROR(__xludf.DUMMYFUNCTION("""COMPUTED_VALUE"""),"main")</f>
        <v/>
      </c>
      <c r="E201" s="334">
        <f>IFERROR(__xludf.DUMMYFUNCTION("""COMPUTED_VALUE"""),"メインクエスト")</f>
        <v/>
      </c>
      <c r="F201" s="408">
        <f>IFERROR(__xludf.DUMMYFUNCTION("""COMPUTED_VALUE"""),"quest_main_glo3_hard_12")</f>
        <v/>
      </c>
      <c r="G201" s="334">
        <f>IFERROR(__xludf.DUMMYFUNCTION("""COMPUTED_VALUE"""),"12.リミックスクエスト Vol.3")</f>
        <v/>
      </c>
      <c r="H201" s="408">
        <f>IFERROR(__xludf.DUMMYFUNCTION("""COMPUTED_VALUE"""),"03")</f>
        <v/>
      </c>
      <c r="I201" s="334">
        <f>IFERROR(__xludf.DUMMYFUNCTION("""COMPUTED_VALUE"""),"hard_glo3_00003")</f>
        <v/>
      </c>
      <c r="J201" s="334">
        <f>IFERROR(__xludf.DUMMYFUNCTION("""COMPUTED_VALUE"""),"stage_icon_glo3_hard_03")</f>
        <v/>
      </c>
      <c r="K201" s="334" t="n"/>
      <c r="L201" s="334" t="n"/>
      <c r="M201" s="334" t="n"/>
      <c r="N201" s="339" t="n"/>
      <c r="O201" s="368" t="n"/>
      <c r="P201" s="334" t="n"/>
    </row>
    <row r="202">
      <c r="A202" s="334">
        <f>IFERROR(__xludf.DUMMYFUNCTION("""COMPUTED_VALUE"""),"glo3")</f>
        <v/>
      </c>
      <c r="B202" s="334">
        <f>IFERROR(__xludf.DUMMYFUNCTION("""COMPUTED_VALUE"""),"GLOW")</f>
        <v/>
      </c>
      <c r="C202" s="408">
        <f>IFERROR(__xludf.DUMMYFUNCTION("""COMPUTED_VALUE"""),"hard")</f>
        <v/>
      </c>
      <c r="D202" s="408">
        <f>IFERROR(__xludf.DUMMYFUNCTION("""COMPUTED_VALUE"""),"main")</f>
        <v/>
      </c>
      <c r="E202" s="334">
        <f>IFERROR(__xludf.DUMMYFUNCTION("""COMPUTED_VALUE"""),"メインクエスト")</f>
        <v/>
      </c>
      <c r="F202" s="408">
        <f>IFERROR(__xludf.DUMMYFUNCTION("""COMPUTED_VALUE"""),"quest_main_glo3_hard_12")</f>
        <v/>
      </c>
      <c r="G202" s="334">
        <f>IFERROR(__xludf.DUMMYFUNCTION("""COMPUTED_VALUE"""),"12.リミックスクエスト Vol.3")</f>
        <v/>
      </c>
      <c r="H202" s="408">
        <f>IFERROR(__xludf.DUMMYFUNCTION("""COMPUTED_VALUE"""),"04")</f>
        <v/>
      </c>
      <c r="I202" s="334">
        <f>IFERROR(__xludf.DUMMYFUNCTION("""COMPUTED_VALUE"""),"hard_glo3_00004")</f>
        <v/>
      </c>
      <c r="J202" s="334">
        <f>IFERROR(__xludf.DUMMYFUNCTION("""COMPUTED_VALUE"""),"stage_icon_glo3_hard_04")</f>
        <v/>
      </c>
      <c r="K202" s="334" t="n"/>
      <c r="L202" s="334" t="n"/>
      <c r="M202" s="334" t="n"/>
      <c r="N202" s="339" t="n"/>
      <c r="O202" s="368" t="n"/>
      <c r="P202" s="334" t="n"/>
    </row>
    <row r="203">
      <c r="A203" s="334">
        <f>IFERROR(__xludf.DUMMYFUNCTION("""COMPUTED_VALUE"""),"glo3")</f>
        <v/>
      </c>
      <c r="B203" s="334">
        <f>IFERROR(__xludf.DUMMYFUNCTION("""COMPUTED_VALUE"""),"GLOW")</f>
        <v/>
      </c>
      <c r="C203" s="408">
        <f>IFERROR(__xludf.DUMMYFUNCTION("""COMPUTED_VALUE"""),"hard")</f>
        <v/>
      </c>
      <c r="D203" s="408">
        <f>IFERROR(__xludf.DUMMYFUNCTION("""COMPUTED_VALUE"""),"main")</f>
        <v/>
      </c>
      <c r="E203" s="334">
        <f>IFERROR(__xludf.DUMMYFUNCTION("""COMPUTED_VALUE"""),"メインクエスト")</f>
        <v/>
      </c>
      <c r="F203" s="408">
        <f>IFERROR(__xludf.DUMMYFUNCTION("""COMPUTED_VALUE"""),"quest_main_glo3_hard_12")</f>
        <v/>
      </c>
      <c r="G203" s="334">
        <f>IFERROR(__xludf.DUMMYFUNCTION("""COMPUTED_VALUE"""),"12.リミックスクエスト Vol.3")</f>
        <v/>
      </c>
      <c r="H203" s="408">
        <f>IFERROR(__xludf.DUMMYFUNCTION("""COMPUTED_VALUE"""),"05")</f>
        <v/>
      </c>
      <c r="I203" s="334">
        <f>IFERROR(__xludf.DUMMYFUNCTION("""COMPUTED_VALUE"""),"hard_glo3_00005")</f>
        <v/>
      </c>
      <c r="J203" s="334">
        <f>IFERROR(__xludf.DUMMYFUNCTION("""COMPUTED_VALUE"""),"stage_icon_glo3_hard_05")</f>
        <v/>
      </c>
      <c r="K203" s="334" t="n"/>
      <c r="L203" s="334" t="n"/>
      <c r="M203" s="334" t="n"/>
      <c r="N203" s="339" t="n"/>
      <c r="O203" s="368" t="n"/>
      <c r="P203" s="334" t="n"/>
    </row>
    <row r="204">
      <c r="A204" s="334">
        <f>IFERROR(__xludf.DUMMYFUNCTION("""COMPUTED_VALUE"""),"glo3")</f>
        <v/>
      </c>
      <c r="B204" s="334">
        <f>IFERROR(__xludf.DUMMYFUNCTION("""COMPUTED_VALUE"""),"GLOW")</f>
        <v/>
      </c>
      <c r="C204" s="408">
        <f>IFERROR(__xludf.DUMMYFUNCTION("""COMPUTED_VALUE"""),"hard")</f>
        <v/>
      </c>
      <c r="D204" s="408">
        <f>IFERROR(__xludf.DUMMYFUNCTION("""COMPUTED_VALUE"""),"main")</f>
        <v/>
      </c>
      <c r="E204" s="334">
        <f>IFERROR(__xludf.DUMMYFUNCTION("""COMPUTED_VALUE"""),"メインクエスト")</f>
        <v/>
      </c>
      <c r="F204" s="408">
        <f>IFERROR(__xludf.DUMMYFUNCTION("""COMPUTED_VALUE"""),"quest_main_glo3_hard_12")</f>
        <v/>
      </c>
      <c r="G204" s="334">
        <f>IFERROR(__xludf.DUMMYFUNCTION("""COMPUTED_VALUE"""),"12.リミックスクエスト Vol.3")</f>
        <v/>
      </c>
      <c r="H204" s="408">
        <f>IFERROR(__xludf.DUMMYFUNCTION("""COMPUTED_VALUE"""),"06")</f>
        <v/>
      </c>
      <c r="I204" s="334">
        <f>IFERROR(__xludf.DUMMYFUNCTION("""COMPUTED_VALUE"""),"hard_glo3_00006")</f>
        <v/>
      </c>
      <c r="J204" s="334">
        <f>IFERROR(__xludf.DUMMYFUNCTION("""COMPUTED_VALUE"""),"stage_icon_glo3_hard_06")</f>
        <v/>
      </c>
      <c r="K204" s="334" t="n"/>
      <c r="L204" s="334" t="n"/>
      <c r="M204" s="334" t="n"/>
      <c r="N204" s="339" t="n"/>
      <c r="O204" s="368" t="n"/>
      <c r="P204" s="334" t="n"/>
    </row>
    <row r="205">
      <c r="A205" s="334" t="n"/>
      <c r="B205" s="334" t="n"/>
      <c r="C205" s="334" t="n"/>
      <c r="D205" s="334" t="n"/>
      <c r="E205" s="334" t="n"/>
      <c r="F205" s="334" t="n"/>
      <c r="G205" s="334" t="n"/>
      <c r="H205" s="334" t="n"/>
      <c r="I205" s="334" t="n"/>
      <c r="J205" s="334" t="n"/>
      <c r="K205" s="334" t="n"/>
      <c r="L205" s="334" t="n"/>
      <c r="M205" s="334" t="n"/>
      <c r="N205" s="339" t="n"/>
      <c r="O205" s="368" t="n"/>
      <c r="P205" s="334" t="n"/>
    </row>
    <row r="206">
      <c r="A206" s="334">
        <f>IFERROR(__xludf.DUMMYFUNCTION("""COMPUTED_VALUE"""),"mag")</f>
        <v/>
      </c>
      <c r="B206" s="334">
        <f>IFERROR(__xludf.DUMMYFUNCTION("""COMPUTED_VALUE"""),"株式会社マジルミエ")</f>
        <v/>
      </c>
      <c r="C206" s="408">
        <f>IFERROR(__xludf.DUMMYFUNCTION("""COMPUTED_VALUE"""),"hard")</f>
        <v/>
      </c>
      <c r="D206" s="408">
        <f>IFERROR(__xludf.DUMMYFUNCTION("""COMPUTED_VALUE"""),"main")</f>
        <v/>
      </c>
      <c r="E206" s="334">
        <f>IFERROR(__xludf.DUMMYFUNCTION("""COMPUTED_VALUE"""),"メインクエスト")</f>
        <v/>
      </c>
      <c r="F206" s="408">
        <f>IFERROR(__xludf.DUMMYFUNCTION("""COMPUTED_VALUE"""),"quest_main_mag_hard_13")</f>
        <v/>
      </c>
      <c r="G206" s="334">
        <f>IFERROR(__xludf.DUMMYFUNCTION("""COMPUTED_VALUE"""),"13.株式会社マジルミエ")</f>
        <v/>
      </c>
      <c r="H206" s="408">
        <f>IFERROR(__xludf.DUMMYFUNCTION("""COMPUTED_VALUE"""),"01")</f>
        <v/>
      </c>
      <c r="I206" s="334">
        <f>IFERROR(__xludf.DUMMYFUNCTION("""COMPUTED_VALUE"""),"hard_mag_00001")</f>
        <v/>
      </c>
      <c r="J206" s="334">
        <f>IFERROR(__xludf.DUMMYFUNCTION("""COMPUTED_VALUE"""),"stage_icon_mag_hard_01")</f>
        <v/>
      </c>
      <c r="K206" s="334" t="n"/>
      <c r="L206" s="334" t="n"/>
      <c r="M206" s="334" t="n"/>
      <c r="N206" s="339" t="n"/>
      <c r="O206" s="368" t="n"/>
      <c r="P206" s="334" t="n"/>
    </row>
    <row r="207">
      <c r="A207" s="334">
        <f>IFERROR(__xludf.DUMMYFUNCTION("""COMPUTED_VALUE"""),"mag")</f>
        <v/>
      </c>
      <c r="B207" s="334">
        <f>IFERROR(__xludf.DUMMYFUNCTION("""COMPUTED_VALUE"""),"株式会社マジルミエ")</f>
        <v/>
      </c>
      <c r="C207" s="408">
        <f>IFERROR(__xludf.DUMMYFUNCTION("""COMPUTED_VALUE"""),"hard")</f>
        <v/>
      </c>
      <c r="D207" s="408">
        <f>IFERROR(__xludf.DUMMYFUNCTION("""COMPUTED_VALUE"""),"main")</f>
        <v/>
      </c>
      <c r="E207" s="334">
        <f>IFERROR(__xludf.DUMMYFUNCTION("""COMPUTED_VALUE"""),"メインクエスト")</f>
        <v/>
      </c>
      <c r="F207" s="408">
        <f>IFERROR(__xludf.DUMMYFUNCTION("""COMPUTED_VALUE"""),"quest_main_mag_hard_13")</f>
        <v/>
      </c>
      <c r="G207" s="334">
        <f>IFERROR(__xludf.DUMMYFUNCTION("""COMPUTED_VALUE"""),"13.株式会社マジルミエ")</f>
        <v/>
      </c>
      <c r="H207" s="408">
        <f>IFERROR(__xludf.DUMMYFUNCTION("""COMPUTED_VALUE"""),"02")</f>
        <v/>
      </c>
      <c r="I207" s="334">
        <f>IFERROR(__xludf.DUMMYFUNCTION("""COMPUTED_VALUE"""),"hard_mag_00002")</f>
        <v/>
      </c>
      <c r="J207" s="334">
        <f>IFERROR(__xludf.DUMMYFUNCTION("""COMPUTED_VALUE"""),"stage_icon_mag_hard_02")</f>
        <v/>
      </c>
      <c r="K207" s="334" t="n"/>
      <c r="L207" s="334" t="n"/>
      <c r="M207" s="334" t="n"/>
      <c r="N207" s="339" t="n"/>
      <c r="O207" s="368" t="n"/>
      <c r="P207" s="334" t="n"/>
    </row>
    <row r="208">
      <c r="A208" s="334">
        <f>IFERROR(__xludf.DUMMYFUNCTION("""COMPUTED_VALUE"""),"mag")</f>
        <v/>
      </c>
      <c r="B208" s="334">
        <f>IFERROR(__xludf.DUMMYFUNCTION("""COMPUTED_VALUE"""),"株式会社マジルミエ")</f>
        <v/>
      </c>
      <c r="C208" s="408">
        <f>IFERROR(__xludf.DUMMYFUNCTION("""COMPUTED_VALUE"""),"hard")</f>
        <v/>
      </c>
      <c r="D208" s="408">
        <f>IFERROR(__xludf.DUMMYFUNCTION("""COMPUTED_VALUE"""),"main")</f>
        <v/>
      </c>
      <c r="E208" s="334">
        <f>IFERROR(__xludf.DUMMYFUNCTION("""COMPUTED_VALUE"""),"メインクエスト")</f>
        <v/>
      </c>
      <c r="F208" s="408">
        <f>IFERROR(__xludf.DUMMYFUNCTION("""COMPUTED_VALUE"""),"quest_main_mag_hard_13")</f>
        <v/>
      </c>
      <c r="G208" s="334">
        <f>IFERROR(__xludf.DUMMYFUNCTION("""COMPUTED_VALUE"""),"13.株式会社マジルミエ")</f>
        <v/>
      </c>
      <c r="H208" s="408">
        <f>IFERROR(__xludf.DUMMYFUNCTION("""COMPUTED_VALUE"""),"03")</f>
        <v/>
      </c>
      <c r="I208" s="334">
        <f>IFERROR(__xludf.DUMMYFUNCTION("""COMPUTED_VALUE"""),"hard_mag_00003")</f>
        <v/>
      </c>
      <c r="J208" s="334">
        <f>IFERROR(__xludf.DUMMYFUNCTION("""COMPUTED_VALUE"""),"stage_icon_mag_hard_03")</f>
        <v/>
      </c>
      <c r="K208" s="334" t="n"/>
      <c r="L208" s="334" t="n"/>
      <c r="M208" s="334" t="n"/>
      <c r="N208" s="339" t="n"/>
      <c r="O208" s="368" t="n"/>
      <c r="P208" s="334" t="n"/>
    </row>
    <row r="209">
      <c r="A209" s="334">
        <f>IFERROR(__xludf.DUMMYFUNCTION("""COMPUTED_VALUE"""),"mag")</f>
        <v/>
      </c>
      <c r="B209" s="334">
        <f>IFERROR(__xludf.DUMMYFUNCTION("""COMPUTED_VALUE"""),"株式会社マジルミエ")</f>
        <v/>
      </c>
      <c r="C209" s="408">
        <f>IFERROR(__xludf.DUMMYFUNCTION("""COMPUTED_VALUE"""),"hard")</f>
        <v/>
      </c>
      <c r="D209" s="408">
        <f>IFERROR(__xludf.DUMMYFUNCTION("""COMPUTED_VALUE"""),"main")</f>
        <v/>
      </c>
      <c r="E209" s="334">
        <f>IFERROR(__xludf.DUMMYFUNCTION("""COMPUTED_VALUE"""),"メインクエスト")</f>
        <v/>
      </c>
      <c r="F209" s="408">
        <f>IFERROR(__xludf.DUMMYFUNCTION("""COMPUTED_VALUE"""),"quest_main_mag_hard_13")</f>
        <v/>
      </c>
      <c r="G209" s="334">
        <f>IFERROR(__xludf.DUMMYFUNCTION("""COMPUTED_VALUE"""),"13.株式会社マジルミエ")</f>
        <v/>
      </c>
      <c r="H209" s="408">
        <f>IFERROR(__xludf.DUMMYFUNCTION("""COMPUTED_VALUE"""),"04")</f>
        <v/>
      </c>
      <c r="I209" s="334">
        <f>IFERROR(__xludf.DUMMYFUNCTION("""COMPUTED_VALUE"""),"hard_mag_00004")</f>
        <v/>
      </c>
      <c r="J209" s="334">
        <f>IFERROR(__xludf.DUMMYFUNCTION("""COMPUTED_VALUE"""),"stage_icon_mag_hard_04")</f>
        <v/>
      </c>
      <c r="K209" s="334" t="n"/>
      <c r="L209" s="334" t="n"/>
      <c r="M209" s="334" t="n"/>
      <c r="N209" s="339" t="n"/>
      <c r="O209" s="368" t="n"/>
      <c r="P209" s="334" t="n"/>
    </row>
    <row r="210">
      <c r="A210" s="334">
        <f>IFERROR(__xludf.DUMMYFUNCTION("""COMPUTED_VALUE"""),"mag")</f>
        <v/>
      </c>
      <c r="B210" s="334">
        <f>IFERROR(__xludf.DUMMYFUNCTION("""COMPUTED_VALUE"""),"株式会社マジルミエ")</f>
        <v/>
      </c>
      <c r="C210" s="408">
        <f>IFERROR(__xludf.DUMMYFUNCTION("""COMPUTED_VALUE"""),"hard")</f>
        <v/>
      </c>
      <c r="D210" s="408">
        <f>IFERROR(__xludf.DUMMYFUNCTION("""COMPUTED_VALUE"""),"main")</f>
        <v/>
      </c>
      <c r="E210" s="334">
        <f>IFERROR(__xludf.DUMMYFUNCTION("""COMPUTED_VALUE"""),"メインクエスト")</f>
        <v/>
      </c>
      <c r="F210" s="408">
        <f>IFERROR(__xludf.DUMMYFUNCTION("""COMPUTED_VALUE"""),"quest_main_mag_hard_13")</f>
        <v/>
      </c>
      <c r="G210" s="334">
        <f>IFERROR(__xludf.DUMMYFUNCTION("""COMPUTED_VALUE"""),"13.株式会社マジルミエ")</f>
        <v/>
      </c>
      <c r="H210" s="408">
        <f>IFERROR(__xludf.DUMMYFUNCTION("""COMPUTED_VALUE"""),"05")</f>
        <v/>
      </c>
      <c r="I210" s="334">
        <f>IFERROR(__xludf.DUMMYFUNCTION("""COMPUTED_VALUE"""),"hard_mag_00005")</f>
        <v/>
      </c>
      <c r="J210" s="334">
        <f>IFERROR(__xludf.DUMMYFUNCTION("""COMPUTED_VALUE"""),"stage_icon_mag_hard_05")</f>
        <v/>
      </c>
      <c r="K210" s="334" t="n"/>
      <c r="L210" s="334" t="n"/>
      <c r="M210" s="334" t="n"/>
      <c r="N210" s="339" t="n"/>
      <c r="O210" s="368" t="n"/>
      <c r="P210" s="334" t="n"/>
    </row>
    <row r="211">
      <c r="A211" s="334">
        <f>IFERROR(__xludf.DUMMYFUNCTION("""COMPUTED_VALUE"""),"mag")</f>
        <v/>
      </c>
      <c r="B211" s="334">
        <f>IFERROR(__xludf.DUMMYFUNCTION("""COMPUTED_VALUE"""),"株式会社マジルミエ")</f>
        <v/>
      </c>
      <c r="C211" s="408">
        <f>IFERROR(__xludf.DUMMYFUNCTION("""COMPUTED_VALUE"""),"hard")</f>
        <v/>
      </c>
      <c r="D211" s="408">
        <f>IFERROR(__xludf.DUMMYFUNCTION("""COMPUTED_VALUE"""),"main")</f>
        <v/>
      </c>
      <c r="E211" s="334">
        <f>IFERROR(__xludf.DUMMYFUNCTION("""COMPUTED_VALUE"""),"メインクエスト")</f>
        <v/>
      </c>
      <c r="F211" s="408">
        <f>IFERROR(__xludf.DUMMYFUNCTION("""COMPUTED_VALUE"""),"quest_main_mag_hard_13")</f>
        <v/>
      </c>
      <c r="G211" s="334">
        <f>IFERROR(__xludf.DUMMYFUNCTION("""COMPUTED_VALUE"""),"13.株式会社マジルミエ")</f>
        <v/>
      </c>
      <c r="H211" s="408">
        <f>IFERROR(__xludf.DUMMYFUNCTION("""COMPUTED_VALUE"""),"06")</f>
        <v/>
      </c>
      <c r="I211" s="334">
        <f>IFERROR(__xludf.DUMMYFUNCTION("""COMPUTED_VALUE"""),"hard_mag_00006")</f>
        <v/>
      </c>
      <c r="J211" s="334">
        <f>IFERROR(__xludf.DUMMYFUNCTION("""COMPUTED_VALUE"""),"stage_icon_mag_hard_06")</f>
        <v/>
      </c>
      <c r="K211" s="334" t="n"/>
      <c r="L211" s="334" t="n"/>
      <c r="M211" s="334" t="n"/>
      <c r="N211" s="339" t="n"/>
      <c r="O211" s="368" t="n"/>
      <c r="P211" s="334" t="n"/>
    </row>
    <row r="212">
      <c r="A212" s="334" t="n"/>
      <c r="B212" s="334" t="n"/>
      <c r="C212" s="334" t="n"/>
      <c r="D212" s="334" t="n"/>
      <c r="E212" s="334" t="n"/>
      <c r="F212" s="334" t="n"/>
      <c r="G212" s="334" t="n"/>
      <c r="H212" s="334" t="n"/>
      <c r="I212" s="334" t="n"/>
      <c r="J212" s="334" t="n"/>
      <c r="K212" s="334" t="n"/>
      <c r="L212" s="334" t="n"/>
      <c r="M212" s="334" t="n"/>
      <c r="N212" s="339" t="n"/>
      <c r="O212" s="368" t="n"/>
      <c r="P212" s="334" t="n"/>
    </row>
    <row r="213">
      <c r="A213" s="334">
        <f>IFERROR(__xludf.DUMMYFUNCTION("""COMPUTED_VALUE"""),"sum")</f>
        <v/>
      </c>
      <c r="B213" s="334">
        <f>IFERROR(__xludf.DUMMYFUNCTION("""COMPUTED_VALUE"""),"サマータイムレンダ")</f>
        <v/>
      </c>
      <c r="C213" s="408">
        <f>IFERROR(__xludf.DUMMYFUNCTION("""COMPUTED_VALUE"""),"hard")</f>
        <v/>
      </c>
      <c r="D213" s="408">
        <f>IFERROR(__xludf.DUMMYFUNCTION("""COMPUTED_VALUE"""),"main")</f>
        <v/>
      </c>
      <c r="E213" s="334">
        <f>IFERROR(__xludf.DUMMYFUNCTION("""COMPUTED_VALUE"""),"メインクエスト")</f>
        <v/>
      </c>
      <c r="F213" s="408">
        <f>IFERROR(__xludf.DUMMYFUNCTION("""COMPUTED_VALUE"""),"quest_main_sum_hard_14")</f>
        <v/>
      </c>
      <c r="G213" s="334">
        <f>IFERROR(__xludf.DUMMYFUNCTION("""COMPUTED_VALUE"""),"14.サマータイムレンダ")</f>
        <v/>
      </c>
      <c r="H213" s="408">
        <f>IFERROR(__xludf.DUMMYFUNCTION("""COMPUTED_VALUE"""),"01")</f>
        <v/>
      </c>
      <c r="I213" s="334">
        <f>IFERROR(__xludf.DUMMYFUNCTION("""COMPUTED_VALUE"""),"hard_sum_00001")</f>
        <v/>
      </c>
      <c r="J213" s="334">
        <f>IFERROR(__xludf.DUMMYFUNCTION("""COMPUTED_VALUE"""),"stage_icon_sum_hard_01")</f>
        <v/>
      </c>
      <c r="K213" s="334" t="n"/>
      <c r="L213" s="334" t="n"/>
      <c r="M213" s="334" t="n"/>
      <c r="N213" s="339" t="n"/>
      <c r="O213" s="368" t="n"/>
      <c r="P213" s="334" t="n"/>
    </row>
    <row r="214">
      <c r="A214" s="334">
        <f>IFERROR(__xludf.DUMMYFUNCTION("""COMPUTED_VALUE"""),"sum")</f>
        <v/>
      </c>
      <c r="B214" s="334">
        <f>IFERROR(__xludf.DUMMYFUNCTION("""COMPUTED_VALUE"""),"サマータイムレンダ")</f>
        <v/>
      </c>
      <c r="C214" s="408">
        <f>IFERROR(__xludf.DUMMYFUNCTION("""COMPUTED_VALUE"""),"hard")</f>
        <v/>
      </c>
      <c r="D214" s="408">
        <f>IFERROR(__xludf.DUMMYFUNCTION("""COMPUTED_VALUE"""),"main")</f>
        <v/>
      </c>
      <c r="E214" s="334">
        <f>IFERROR(__xludf.DUMMYFUNCTION("""COMPUTED_VALUE"""),"メインクエスト")</f>
        <v/>
      </c>
      <c r="F214" s="408">
        <f>IFERROR(__xludf.DUMMYFUNCTION("""COMPUTED_VALUE"""),"quest_main_sum_hard_14")</f>
        <v/>
      </c>
      <c r="G214" s="334">
        <f>IFERROR(__xludf.DUMMYFUNCTION("""COMPUTED_VALUE"""),"14.サマータイムレンダ")</f>
        <v/>
      </c>
      <c r="H214" s="408">
        <f>IFERROR(__xludf.DUMMYFUNCTION("""COMPUTED_VALUE"""),"02")</f>
        <v/>
      </c>
      <c r="I214" s="334">
        <f>IFERROR(__xludf.DUMMYFUNCTION("""COMPUTED_VALUE"""),"hard_sum_00002")</f>
        <v/>
      </c>
      <c r="J214" s="334">
        <f>IFERROR(__xludf.DUMMYFUNCTION("""COMPUTED_VALUE"""),"stage_icon_sum_hard_02")</f>
        <v/>
      </c>
      <c r="K214" s="334" t="n"/>
      <c r="L214" s="334" t="n"/>
      <c r="M214" s="334" t="n"/>
      <c r="N214" s="339" t="n"/>
      <c r="O214" s="368" t="n"/>
      <c r="P214" s="334" t="n"/>
    </row>
    <row r="215">
      <c r="A215" s="334">
        <f>IFERROR(__xludf.DUMMYFUNCTION("""COMPUTED_VALUE"""),"sum")</f>
        <v/>
      </c>
      <c r="B215" s="334">
        <f>IFERROR(__xludf.DUMMYFUNCTION("""COMPUTED_VALUE"""),"サマータイムレンダ")</f>
        <v/>
      </c>
      <c r="C215" s="408">
        <f>IFERROR(__xludf.DUMMYFUNCTION("""COMPUTED_VALUE"""),"hard")</f>
        <v/>
      </c>
      <c r="D215" s="408">
        <f>IFERROR(__xludf.DUMMYFUNCTION("""COMPUTED_VALUE"""),"main")</f>
        <v/>
      </c>
      <c r="E215" s="334">
        <f>IFERROR(__xludf.DUMMYFUNCTION("""COMPUTED_VALUE"""),"メインクエスト")</f>
        <v/>
      </c>
      <c r="F215" s="408">
        <f>IFERROR(__xludf.DUMMYFUNCTION("""COMPUTED_VALUE"""),"quest_main_sum_hard_14")</f>
        <v/>
      </c>
      <c r="G215" s="334">
        <f>IFERROR(__xludf.DUMMYFUNCTION("""COMPUTED_VALUE"""),"14.サマータイムレンダ")</f>
        <v/>
      </c>
      <c r="H215" s="408">
        <f>IFERROR(__xludf.DUMMYFUNCTION("""COMPUTED_VALUE"""),"03")</f>
        <v/>
      </c>
      <c r="I215" s="334">
        <f>IFERROR(__xludf.DUMMYFUNCTION("""COMPUTED_VALUE"""),"hard_sum_00003")</f>
        <v/>
      </c>
      <c r="J215" s="334">
        <f>IFERROR(__xludf.DUMMYFUNCTION("""COMPUTED_VALUE"""),"stage_icon_sum_hard_03")</f>
        <v/>
      </c>
      <c r="K215" s="334" t="n"/>
      <c r="L215" s="334" t="n"/>
      <c r="M215" s="334" t="n"/>
      <c r="N215" s="339" t="n"/>
      <c r="O215" s="368" t="n"/>
      <c r="P215" s="334" t="n"/>
    </row>
    <row r="216">
      <c r="A216" s="334">
        <f>IFERROR(__xludf.DUMMYFUNCTION("""COMPUTED_VALUE"""),"sum")</f>
        <v/>
      </c>
      <c r="B216" s="334">
        <f>IFERROR(__xludf.DUMMYFUNCTION("""COMPUTED_VALUE"""),"サマータイムレンダ")</f>
        <v/>
      </c>
      <c r="C216" s="408">
        <f>IFERROR(__xludf.DUMMYFUNCTION("""COMPUTED_VALUE"""),"hard")</f>
        <v/>
      </c>
      <c r="D216" s="408">
        <f>IFERROR(__xludf.DUMMYFUNCTION("""COMPUTED_VALUE"""),"main")</f>
        <v/>
      </c>
      <c r="E216" s="334">
        <f>IFERROR(__xludf.DUMMYFUNCTION("""COMPUTED_VALUE"""),"メインクエスト")</f>
        <v/>
      </c>
      <c r="F216" s="408">
        <f>IFERROR(__xludf.DUMMYFUNCTION("""COMPUTED_VALUE"""),"quest_main_sum_hard_14")</f>
        <v/>
      </c>
      <c r="G216" s="334">
        <f>IFERROR(__xludf.DUMMYFUNCTION("""COMPUTED_VALUE"""),"14.サマータイムレンダ")</f>
        <v/>
      </c>
      <c r="H216" s="408">
        <f>IFERROR(__xludf.DUMMYFUNCTION("""COMPUTED_VALUE"""),"04")</f>
        <v/>
      </c>
      <c r="I216" s="334">
        <f>IFERROR(__xludf.DUMMYFUNCTION("""COMPUTED_VALUE"""),"hard_sum_00004")</f>
        <v/>
      </c>
      <c r="J216" s="334">
        <f>IFERROR(__xludf.DUMMYFUNCTION("""COMPUTED_VALUE"""),"stage_icon_sum_hard_04")</f>
        <v/>
      </c>
      <c r="K216" s="334" t="n"/>
      <c r="L216" s="334" t="n"/>
      <c r="M216" s="334" t="n"/>
      <c r="N216" s="339" t="n"/>
      <c r="O216" s="368" t="n"/>
      <c r="P216" s="334" t="n"/>
    </row>
    <row r="217">
      <c r="A217" s="334">
        <f>IFERROR(__xludf.DUMMYFUNCTION("""COMPUTED_VALUE"""),"sum")</f>
        <v/>
      </c>
      <c r="B217" s="334">
        <f>IFERROR(__xludf.DUMMYFUNCTION("""COMPUTED_VALUE"""),"サマータイムレンダ")</f>
        <v/>
      </c>
      <c r="C217" s="408">
        <f>IFERROR(__xludf.DUMMYFUNCTION("""COMPUTED_VALUE"""),"hard")</f>
        <v/>
      </c>
      <c r="D217" s="408">
        <f>IFERROR(__xludf.DUMMYFUNCTION("""COMPUTED_VALUE"""),"main")</f>
        <v/>
      </c>
      <c r="E217" s="334">
        <f>IFERROR(__xludf.DUMMYFUNCTION("""COMPUTED_VALUE"""),"メインクエスト")</f>
        <v/>
      </c>
      <c r="F217" s="408">
        <f>IFERROR(__xludf.DUMMYFUNCTION("""COMPUTED_VALUE"""),"quest_main_sum_hard_14")</f>
        <v/>
      </c>
      <c r="G217" s="334">
        <f>IFERROR(__xludf.DUMMYFUNCTION("""COMPUTED_VALUE"""),"14.サマータイムレンダ")</f>
        <v/>
      </c>
      <c r="H217" s="408">
        <f>IFERROR(__xludf.DUMMYFUNCTION("""COMPUTED_VALUE"""),"05")</f>
        <v/>
      </c>
      <c r="I217" s="334">
        <f>IFERROR(__xludf.DUMMYFUNCTION("""COMPUTED_VALUE"""),"hard_sum_00005")</f>
        <v/>
      </c>
      <c r="J217" s="334">
        <f>IFERROR(__xludf.DUMMYFUNCTION("""COMPUTED_VALUE"""),"stage_icon_sum_hard_05")</f>
        <v/>
      </c>
      <c r="K217" s="334" t="n"/>
      <c r="L217" s="334" t="n"/>
      <c r="M217" s="334" t="n"/>
      <c r="N217" s="339" t="n"/>
      <c r="O217" s="368" t="n"/>
      <c r="P217" s="334" t="n"/>
    </row>
    <row r="218">
      <c r="A218" s="334">
        <f>IFERROR(__xludf.DUMMYFUNCTION("""COMPUTED_VALUE"""),"sum")</f>
        <v/>
      </c>
      <c r="B218" s="334">
        <f>IFERROR(__xludf.DUMMYFUNCTION("""COMPUTED_VALUE"""),"サマータイムレンダ")</f>
        <v/>
      </c>
      <c r="C218" s="408">
        <f>IFERROR(__xludf.DUMMYFUNCTION("""COMPUTED_VALUE"""),"hard")</f>
        <v/>
      </c>
      <c r="D218" s="408">
        <f>IFERROR(__xludf.DUMMYFUNCTION("""COMPUTED_VALUE"""),"main")</f>
        <v/>
      </c>
      <c r="E218" s="334">
        <f>IFERROR(__xludf.DUMMYFUNCTION("""COMPUTED_VALUE"""),"メインクエスト")</f>
        <v/>
      </c>
      <c r="F218" s="408">
        <f>IFERROR(__xludf.DUMMYFUNCTION("""COMPUTED_VALUE"""),"quest_main_sum_hard_14")</f>
        <v/>
      </c>
      <c r="G218" s="334">
        <f>IFERROR(__xludf.DUMMYFUNCTION("""COMPUTED_VALUE"""),"14.サマータイムレンダ")</f>
        <v/>
      </c>
      <c r="H218" s="408">
        <f>IFERROR(__xludf.DUMMYFUNCTION("""COMPUTED_VALUE"""),"06")</f>
        <v/>
      </c>
      <c r="I218" s="334">
        <f>IFERROR(__xludf.DUMMYFUNCTION("""COMPUTED_VALUE"""),"hard_sum_00006")</f>
        <v/>
      </c>
      <c r="J218" s="334">
        <f>IFERROR(__xludf.DUMMYFUNCTION("""COMPUTED_VALUE"""),"stage_icon_sum_hard_06")</f>
        <v/>
      </c>
      <c r="K218" s="334" t="n"/>
      <c r="L218" s="334" t="n"/>
      <c r="M218" s="334" t="n"/>
      <c r="N218" s="339" t="n"/>
      <c r="O218" s="368" t="n"/>
      <c r="P218" s="334" t="n"/>
    </row>
    <row r="219">
      <c r="A219" s="334" t="n"/>
      <c r="B219" s="334" t="n"/>
      <c r="C219" s="334" t="n"/>
      <c r="D219" s="334" t="n"/>
      <c r="E219" s="334" t="n"/>
      <c r="F219" s="334" t="n"/>
      <c r="G219" s="334" t="n"/>
      <c r="H219" s="334" t="n"/>
      <c r="I219" s="334" t="n"/>
      <c r="J219" s="334" t="n"/>
      <c r="K219" s="334" t="n"/>
      <c r="L219" s="334" t="n"/>
      <c r="M219" s="334" t="n"/>
      <c r="N219" s="339" t="n"/>
      <c r="O219" s="368" t="n"/>
      <c r="P219" s="334" t="n"/>
    </row>
    <row r="220">
      <c r="A220" s="334">
        <f>IFERROR(__xludf.DUMMYFUNCTION("""COMPUTED_VALUE"""),"kai")</f>
        <v/>
      </c>
      <c r="B220" s="334">
        <f>IFERROR(__xludf.DUMMYFUNCTION("""COMPUTED_VALUE"""),"怪獣８号")</f>
        <v/>
      </c>
      <c r="C220" s="408">
        <f>IFERROR(__xludf.DUMMYFUNCTION("""COMPUTED_VALUE"""),"hard")</f>
        <v/>
      </c>
      <c r="D220" s="408">
        <f>IFERROR(__xludf.DUMMYFUNCTION("""COMPUTED_VALUE"""),"main")</f>
        <v/>
      </c>
      <c r="E220" s="334">
        <f>IFERROR(__xludf.DUMMYFUNCTION("""COMPUTED_VALUE"""),"メインクエスト")</f>
        <v/>
      </c>
      <c r="F220" s="408">
        <f>IFERROR(__xludf.DUMMYFUNCTION("""COMPUTED_VALUE"""),"quest_main_kai_hard_15")</f>
        <v/>
      </c>
      <c r="G220" s="334">
        <f>IFERROR(__xludf.DUMMYFUNCTION("""COMPUTED_VALUE"""),"15.怪獣８号")</f>
        <v/>
      </c>
      <c r="H220" s="408">
        <f>IFERROR(__xludf.DUMMYFUNCTION("""COMPUTED_VALUE"""),"01")</f>
        <v/>
      </c>
      <c r="I220" s="334">
        <f>IFERROR(__xludf.DUMMYFUNCTION("""COMPUTED_VALUE"""),"hard_kai_00001")</f>
        <v/>
      </c>
      <c r="J220" s="334">
        <f>IFERROR(__xludf.DUMMYFUNCTION("""COMPUTED_VALUE"""),"stage_icon_kai_hard_01")</f>
        <v/>
      </c>
      <c r="K220" s="334" t="n"/>
      <c r="L220" s="334" t="n"/>
      <c r="M220" s="334" t="n"/>
      <c r="N220" s="339" t="n"/>
      <c r="O220" s="368" t="n"/>
      <c r="P220" s="334" t="n"/>
    </row>
    <row r="221">
      <c r="A221" s="334">
        <f>IFERROR(__xludf.DUMMYFUNCTION("""COMPUTED_VALUE"""),"kai")</f>
        <v/>
      </c>
      <c r="B221" s="334">
        <f>IFERROR(__xludf.DUMMYFUNCTION("""COMPUTED_VALUE"""),"怪獣８号")</f>
        <v/>
      </c>
      <c r="C221" s="408">
        <f>IFERROR(__xludf.DUMMYFUNCTION("""COMPUTED_VALUE"""),"hard")</f>
        <v/>
      </c>
      <c r="D221" s="408">
        <f>IFERROR(__xludf.DUMMYFUNCTION("""COMPUTED_VALUE"""),"main")</f>
        <v/>
      </c>
      <c r="E221" s="334">
        <f>IFERROR(__xludf.DUMMYFUNCTION("""COMPUTED_VALUE"""),"メインクエスト")</f>
        <v/>
      </c>
      <c r="F221" s="408">
        <f>IFERROR(__xludf.DUMMYFUNCTION("""COMPUTED_VALUE"""),"quest_main_kai_hard_15")</f>
        <v/>
      </c>
      <c r="G221" s="334">
        <f>IFERROR(__xludf.DUMMYFUNCTION("""COMPUTED_VALUE"""),"15.怪獣８号")</f>
        <v/>
      </c>
      <c r="H221" s="408">
        <f>IFERROR(__xludf.DUMMYFUNCTION("""COMPUTED_VALUE"""),"02")</f>
        <v/>
      </c>
      <c r="I221" s="334">
        <f>IFERROR(__xludf.DUMMYFUNCTION("""COMPUTED_VALUE"""),"hard_kai_00002")</f>
        <v/>
      </c>
      <c r="J221" s="334">
        <f>IFERROR(__xludf.DUMMYFUNCTION("""COMPUTED_VALUE"""),"stage_icon_kai_hard_02")</f>
        <v/>
      </c>
      <c r="K221" s="334" t="n"/>
      <c r="L221" s="334" t="n"/>
      <c r="M221" s="334" t="n"/>
      <c r="N221" s="339" t="n"/>
      <c r="O221" s="368" t="n"/>
      <c r="P221" s="334" t="n"/>
    </row>
    <row r="222">
      <c r="A222" s="334">
        <f>IFERROR(__xludf.DUMMYFUNCTION("""COMPUTED_VALUE"""),"kai")</f>
        <v/>
      </c>
      <c r="B222" s="334">
        <f>IFERROR(__xludf.DUMMYFUNCTION("""COMPUTED_VALUE"""),"怪獣８号")</f>
        <v/>
      </c>
      <c r="C222" s="408">
        <f>IFERROR(__xludf.DUMMYFUNCTION("""COMPUTED_VALUE"""),"hard")</f>
        <v/>
      </c>
      <c r="D222" s="408">
        <f>IFERROR(__xludf.DUMMYFUNCTION("""COMPUTED_VALUE"""),"main")</f>
        <v/>
      </c>
      <c r="E222" s="334">
        <f>IFERROR(__xludf.DUMMYFUNCTION("""COMPUTED_VALUE"""),"メインクエスト")</f>
        <v/>
      </c>
      <c r="F222" s="408">
        <f>IFERROR(__xludf.DUMMYFUNCTION("""COMPUTED_VALUE"""),"quest_main_kai_hard_15")</f>
        <v/>
      </c>
      <c r="G222" s="334">
        <f>IFERROR(__xludf.DUMMYFUNCTION("""COMPUTED_VALUE"""),"15.怪獣８号")</f>
        <v/>
      </c>
      <c r="H222" s="408">
        <f>IFERROR(__xludf.DUMMYFUNCTION("""COMPUTED_VALUE"""),"03")</f>
        <v/>
      </c>
      <c r="I222" s="334">
        <f>IFERROR(__xludf.DUMMYFUNCTION("""COMPUTED_VALUE"""),"hard_kai_00003")</f>
        <v/>
      </c>
      <c r="J222" s="334">
        <f>IFERROR(__xludf.DUMMYFUNCTION("""COMPUTED_VALUE"""),"stage_icon_kai_hard_03")</f>
        <v/>
      </c>
      <c r="K222" s="334" t="n"/>
      <c r="L222" s="334" t="n"/>
      <c r="M222" s="334" t="n"/>
      <c r="N222" s="339" t="n"/>
      <c r="O222" s="368" t="n"/>
      <c r="P222" s="334" t="n"/>
    </row>
    <row r="223">
      <c r="A223" s="334">
        <f>IFERROR(__xludf.DUMMYFUNCTION("""COMPUTED_VALUE"""),"kai")</f>
        <v/>
      </c>
      <c r="B223" s="334">
        <f>IFERROR(__xludf.DUMMYFUNCTION("""COMPUTED_VALUE"""),"怪獣８号")</f>
        <v/>
      </c>
      <c r="C223" s="408">
        <f>IFERROR(__xludf.DUMMYFUNCTION("""COMPUTED_VALUE"""),"hard")</f>
        <v/>
      </c>
      <c r="D223" s="408">
        <f>IFERROR(__xludf.DUMMYFUNCTION("""COMPUTED_VALUE"""),"main")</f>
        <v/>
      </c>
      <c r="E223" s="334">
        <f>IFERROR(__xludf.DUMMYFUNCTION("""COMPUTED_VALUE"""),"メインクエスト")</f>
        <v/>
      </c>
      <c r="F223" s="408">
        <f>IFERROR(__xludf.DUMMYFUNCTION("""COMPUTED_VALUE"""),"quest_main_kai_hard_15")</f>
        <v/>
      </c>
      <c r="G223" s="334">
        <f>IFERROR(__xludf.DUMMYFUNCTION("""COMPUTED_VALUE"""),"15.怪獣８号")</f>
        <v/>
      </c>
      <c r="H223" s="408">
        <f>IFERROR(__xludf.DUMMYFUNCTION("""COMPUTED_VALUE"""),"04")</f>
        <v/>
      </c>
      <c r="I223" s="334">
        <f>IFERROR(__xludf.DUMMYFUNCTION("""COMPUTED_VALUE"""),"hard_kai_00004")</f>
        <v/>
      </c>
      <c r="J223" s="334">
        <f>IFERROR(__xludf.DUMMYFUNCTION("""COMPUTED_VALUE"""),"stage_icon_kai_hard_04")</f>
        <v/>
      </c>
      <c r="K223" s="334" t="n"/>
      <c r="L223" s="334" t="n"/>
      <c r="M223" s="334" t="n"/>
      <c r="N223" s="339" t="n"/>
      <c r="O223" s="368" t="n"/>
      <c r="P223" s="334" t="n"/>
    </row>
    <row r="224">
      <c r="A224" s="334">
        <f>IFERROR(__xludf.DUMMYFUNCTION("""COMPUTED_VALUE"""),"kai")</f>
        <v/>
      </c>
      <c r="B224" s="334">
        <f>IFERROR(__xludf.DUMMYFUNCTION("""COMPUTED_VALUE"""),"怪獣８号")</f>
        <v/>
      </c>
      <c r="C224" s="408">
        <f>IFERROR(__xludf.DUMMYFUNCTION("""COMPUTED_VALUE"""),"hard")</f>
        <v/>
      </c>
      <c r="D224" s="408">
        <f>IFERROR(__xludf.DUMMYFUNCTION("""COMPUTED_VALUE"""),"main")</f>
        <v/>
      </c>
      <c r="E224" s="334">
        <f>IFERROR(__xludf.DUMMYFUNCTION("""COMPUTED_VALUE"""),"メインクエスト")</f>
        <v/>
      </c>
      <c r="F224" s="408">
        <f>IFERROR(__xludf.DUMMYFUNCTION("""COMPUTED_VALUE"""),"quest_main_kai_hard_15")</f>
        <v/>
      </c>
      <c r="G224" s="334">
        <f>IFERROR(__xludf.DUMMYFUNCTION("""COMPUTED_VALUE"""),"15.怪獣８号")</f>
        <v/>
      </c>
      <c r="H224" s="408">
        <f>IFERROR(__xludf.DUMMYFUNCTION("""COMPUTED_VALUE"""),"05")</f>
        <v/>
      </c>
      <c r="I224" s="334">
        <f>IFERROR(__xludf.DUMMYFUNCTION("""COMPUTED_VALUE"""),"hard_kai_00005")</f>
        <v/>
      </c>
      <c r="J224" s="334">
        <f>IFERROR(__xludf.DUMMYFUNCTION("""COMPUTED_VALUE"""),"stage_icon_kai_hard_05")</f>
        <v/>
      </c>
      <c r="K224" s="334" t="n"/>
      <c r="L224" s="334" t="n"/>
      <c r="M224" s="334" t="n"/>
      <c r="N224" s="339" t="n"/>
      <c r="O224" s="368" t="n"/>
      <c r="P224" s="334" t="n"/>
    </row>
    <row r="225">
      <c r="A225" s="334">
        <f>IFERROR(__xludf.DUMMYFUNCTION("""COMPUTED_VALUE"""),"kai")</f>
        <v/>
      </c>
      <c r="B225" s="334">
        <f>IFERROR(__xludf.DUMMYFUNCTION("""COMPUTED_VALUE"""),"怪獣８号")</f>
        <v/>
      </c>
      <c r="C225" s="408">
        <f>IFERROR(__xludf.DUMMYFUNCTION("""COMPUTED_VALUE"""),"hard")</f>
        <v/>
      </c>
      <c r="D225" s="408">
        <f>IFERROR(__xludf.DUMMYFUNCTION("""COMPUTED_VALUE"""),"main")</f>
        <v/>
      </c>
      <c r="E225" s="334">
        <f>IFERROR(__xludf.DUMMYFUNCTION("""COMPUTED_VALUE"""),"メインクエスト")</f>
        <v/>
      </c>
      <c r="F225" s="408">
        <f>IFERROR(__xludf.DUMMYFUNCTION("""COMPUTED_VALUE"""),"quest_main_kai_hard_15")</f>
        <v/>
      </c>
      <c r="G225" s="334">
        <f>IFERROR(__xludf.DUMMYFUNCTION("""COMPUTED_VALUE"""),"15.怪獣８号")</f>
        <v/>
      </c>
      <c r="H225" s="408">
        <f>IFERROR(__xludf.DUMMYFUNCTION("""COMPUTED_VALUE"""),"06")</f>
        <v/>
      </c>
      <c r="I225" s="334">
        <f>IFERROR(__xludf.DUMMYFUNCTION("""COMPUTED_VALUE"""),"hard_kai_00006")</f>
        <v/>
      </c>
      <c r="J225" s="334">
        <f>IFERROR(__xludf.DUMMYFUNCTION("""COMPUTED_VALUE"""),"stage_icon_kai_hard_06")</f>
        <v/>
      </c>
      <c r="K225" s="334" t="n"/>
      <c r="L225" s="334" t="n"/>
      <c r="M225" s="334" t="n"/>
      <c r="N225" s="339" t="n"/>
      <c r="O225" s="368" t="n"/>
      <c r="P225" s="334" t="n"/>
    </row>
    <row r="226">
      <c r="A226" s="334" t="n"/>
      <c r="B226" s="334" t="n"/>
      <c r="C226" s="334" t="n"/>
      <c r="D226" s="334" t="n"/>
      <c r="E226" s="334" t="n"/>
      <c r="F226" s="334" t="n"/>
      <c r="G226" s="334" t="n"/>
      <c r="H226" s="334" t="n"/>
      <c r="I226" s="334" t="n"/>
      <c r="J226" s="334" t="n"/>
      <c r="K226" s="334" t="n"/>
      <c r="L226" s="334" t="n"/>
      <c r="M226" s="334" t="n"/>
      <c r="N226" s="339" t="n"/>
      <c r="O226" s="368" t="n"/>
      <c r="P226" s="334" t="n"/>
    </row>
    <row r="227">
      <c r="A227" s="334">
        <f>IFERROR(__xludf.DUMMYFUNCTION("""COMPUTED_VALUE"""),"glo4")</f>
        <v/>
      </c>
      <c r="B227" s="334">
        <f>IFERROR(__xludf.DUMMYFUNCTION("""COMPUTED_VALUE"""),"GLOW")</f>
        <v/>
      </c>
      <c r="C227" s="408">
        <f>IFERROR(__xludf.DUMMYFUNCTION("""COMPUTED_VALUE"""),"hard")</f>
        <v/>
      </c>
      <c r="D227" s="408">
        <f>IFERROR(__xludf.DUMMYFUNCTION("""COMPUTED_VALUE"""),"main")</f>
        <v/>
      </c>
      <c r="E227" s="334">
        <f>IFERROR(__xludf.DUMMYFUNCTION("""COMPUTED_VALUE"""),"メインクエスト")</f>
        <v/>
      </c>
      <c r="F227" s="408">
        <f>IFERROR(__xludf.DUMMYFUNCTION("""COMPUTED_VALUE"""),"quest_main_glo4_hard_16")</f>
        <v/>
      </c>
      <c r="G227" s="334">
        <f>IFERROR(__xludf.DUMMYFUNCTION("""COMPUTED_VALUE"""),"16.リミックスクエスト Vol.4")</f>
        <v/>
      </c>
      <c r="H227" s="408">
        <f>IFERROR(__xludf.DUMMYFUNCTION("""COMPUTED_VALUE"""),"01")</f>
        <v/>
      </c>
      <c r="I227" s="334">
        <f>IFERROR(__xludf.DUMMYFUNCTION("""COMPUTED_VALUE"""),"hard_glo4_00001")</f>
        <v/>
      </c>
      <c r="J227" s="334">
        <f>IFERROR(__xludf.DUMMYFUNCTION("""COMPUTED_VALUE"""),"stage_icon_glo4_hard_01")</f>
        <v/>
      </c>
      <c r="K227" s="334" t="n"/>
      <c r="L227" s="334" t="n"/>
      <c r="M227" s="334" t="n"/>
      <c r="N227" s="339" t="n"/>
      <c r="O227" s="368" t="n"/>
      <c r="P227" s="334" t="n"/>
    </row>
    <row r="228">
      <c r="A228" s="334">
        <f>IFERROR(__xludf.DUMMYFUNCTION("""COMPUTED_VALUE"""),"glo4")</f>
        <v/>
      </c>
      <c r="B228" s="334">
        <f>IFERROR(__xludf.DUMMYFUNCTION("""COMPUTED_VALUE"""),"GLOW")</f>
        <v/>
      </c>
      <c r="C228" s="408">
        <f>IFERROR(__xludf.DUMMYFUNCTION("""COMPUTED_VALUE"""),"hard")</f>
        <v/>
      </c>
      <c r="D228" s="408">
        <f>IFERROR(__xludf.DUMMYFUNCTION("""COMPUTED_VALUE"""),"main")</f>
        <v/>
      </c>
      <c r="E228" s="334">
        <f>IFERROR(__xludf.DUMMYFUNCTION("""COMPUTED_VALUE"""),"メインクエスト")</f>
        <v/>
      </c>
      <c r="F228" s="408">
        <f>IFERROR(__xludf.DUMMYFUNCTION("""COMPUTED_VALUE"""),"quest_main_glo4_hard_16")</f>
        <v/>
      </c>
      <c r="G228" s="334">
        <f>IFERROR(__xludf.DUMMYFUNCTION("""COMPUTED_VALUE"""),"16.リミックスクエスト Vol.4")</f>
        <v/>
      </c>
      <c r="H228" s="408">
        <f>IFERROR(__xludf.DUMMYFUNCTION("""COMPUTED_VALUE"""),"02")</f>
        <v/>
      </c>
      <c r="I228" s="334">
        <f>IFERROR(__xludf.DUMMYFUNCTION("""COMPUTED_VALUE"""),"hard_glo4_00002")</f>
        <v/>
      </c>
      <c r="J228" s="334">
        <f>IFERROR(__xludf.DUMMYFUNCTION("""COMPUTED_VALUE"""),"stage_icon_glo4_hard_02")</f>
        <v/>
      </c>
      <c r="K228" s="334" t="n"/>
      <c r="L228" s="334" t="n"/>
      <c r="M228" s="334" t="n"/>
      <c r="N228" s="339" t="n"/>
      <c r="O228" s="368" t="n"/>
      <c r="P228" s="334" t="n"/>
    </row>
    <row r="229">
      <c r="A229" s="334">
        <f>IFERROR(__xludf.DUMMYFUNCTION("""COMPUTED_VALUE"""),"glo4")</f>
        <v/>
      </c>
      <c r="B229" s="334">
        <f>IFERROR(__xludf.DUMMYFUNCTION("""COMPUTED_VALUE"""),"GLOW")</f>
        <v/>
      </c>
      <c r="C229" s="408">
        <f>IFERROR(__xludf.DUMMYFUNCTION("""COMPUTED_VALUE"""),"hard")</f>
        <v/>
      </c>
      <c r="D229" s="408">
        <f>IFERROR(__xludf.DUMMYFUNCTION("""COMPUTED_VALUE"""),"main")</f>
        <v/>
      </c>
      <c r="E229" s="334">
        <f>IFERROR(__xludf.DUMMYFUNCTION("""COMPUTED_VALUE"""),"メインクエスト")</f>
        <v/>
      </c>
      <c r="F229" s="408">
        <f>IFERROR(__xludf.DUMMYFUNCTION("""COMPUTED_VALUE"""),"quest_main_glo4_hard_16")</f>
        <v/>
      </c>
      <c r="G229" s="334">
        <f>IFERROR(__xludf.DUMMYFUNCTION("""COMPUTED_VALUE"""),"16.リミックスクエスト Vol.4")</f>
        <v/>
      </c>
      <c r="H229" s="408">
        <f>IFERROR(__xludf.DUMMYFUNCTION("""COMPUTED_VALUE"""),"03")</f>
        <v/>
      </c>
      <c r="I229" s="334">
        <f>IFERROR(__xludf.DUMMYFUNCTION("""COMPUTED_VALUE"""),"hard_glo4_00003")</f>
        <v/>
      </c>
      <c r="J229" s="334">
        <f>IFERROR(__xludf.DUMMYFUNCTION("""COMPUTED_VALUE"""),"stage_icon_glo4_hard_03")</f>
        <v/>
      </c>
      <c r="K229" s="334" t="n"/>
      <c r="L229" s="334" t="n"/>
      <c r="M229" s="334" t="n"/>
      <c r="N229" s="339" t="n"/>
      <c r="O229" s="368" t="n"/>
      <c r="P229" s="334" t="n"/>
    </row>
    <row r="230">
      <c r="A230" s="334">
        <f>IFERROR(__xludf.DUMMYFUNCTION("""COMPUTED_VALUE"""),"glo4")</f>
        <v/>
      </c>
      <c r="B230" s="334">
        <f>IFERROR(__xludf.DUMMYFUNCTION("""COMPUTED_VALUE"""),"GLOW")</f>
        <v/>
      </c>
      <c r="C230" s="408">
        <f>IFERROR(__xludf.DUMMYFUNCTION("""COMPUTED_VALUE"""),"hard")</f>
        <v/>
      </c>
      <c r="D230" s="408">
        <f>IFERROR(__xludf.DUMMYFUNCTION("""COMPUTED_VALUE"""),"main")</f>
        <v/>
      </c>
      <c r="E230" s="334">
        <f>IFERROR(__xludf.DUMMYFUNCTION("""COMPUTED_VALUE"""),"メインクエスト")</f>
        <v/>
      </c>
      <c r="F230" s="408">
        <f>IFERROR(__xludf.DUMMYFUNCTION("""COMPUTED_VALUE"""),"quest_main_glo4_hard_16")</f>
        <v/>
      </c>
      <c r="G230" s="334">
        <f>IFERROR(__xludf.DUMMYFUNCTION("""COMPUTED_VALUE"""),"16.リミックスクエスト Vol.4")</f>
        <v/>
      </c>
      <c r="H230" s="408">
        <f>IFERROR(__xludf.DUMMYFUNCTION("""COMPUTED_VALUE"""),"04")</f>
        <v/>
      </c>
      <c r="I230" s="334">
        <f>IFERROR(__xludf.DUMMYFUNCTION("""COMPUTED_VALUE"""),"hard_glo4_00004")</f>
        <v/>
      </c>
      <c r="J230" s="334">
        <f>IFERROR(__xludf.DUMMYFUNCTION("""COMPUTED_VALUE"""),"stage_icon_glo4_hard_04")</f>
        <v/>
      </c>
      <c r="K230" s="334" t="n"/>
      <c r="L230" s="334" t="n"/>
      <c r="M230" s="334" t="n"/>
      <c r="N230" s="339" t="n"/>
      <c r="O230" s="368" t="n"/>
      <c r="P230" s="334" t="n"/>
    </row>
    <row r="231">
      <c r="A231" s="334">
        <f>IFERROR(__xludf.DUMMYFUNCTION("""COMPUTED_VALUE"""),"glo4")</f>
        <v/>
      </c>
      <c r="B231" s="334">
        <f>IFERROR(__xludf.DUMMYFUNCTION("""COMPUTED_VALUE"""),"GLOW")</f>
        <v/>
      </c>
      <c r="C231" s="408">
        <f>IFERROR(__xludf.DUMMYFUNCTION("""COMPUTED_VALUE"""),"hard")</f>
        <v/>
      </c>
      <c r="D231" s="408">
        <f>IFERROR(__xludf.DUMMYFUNCTION("""COMPUTED_VALUE"""),"main")</f>
        <v/>
      </c>
      <c r="E231" s="334">
        <f>IFERROR(__xludf.DUMMYFUNCTION("""COMPUTED_VALUE"""),"メインクエスト")</f>
        <v/>
      </c>
      <c r="F231" s="408">
        <f>IFERROR(__xludf.DUMMYFUNCTION("""COMPUTED_VALUE"""),"quest_main_glo4_hard_16")</f>
        <v/>
      </c>
      <c r="G231" s="334">
        <f>IFERROR(__xludf.DUMMYFUNCTION("""COMPUTED_VALUE"""),"16.リミックスクエスト Vol.4")</f>
        <v/>
      </c>
      <c r="H231" s="408">
        <f>IFERROR(__xludf.DUMMYFUNCTION("""COMPUTED_VALUE"""),"05")</f>
        <v/>
      </c>
      <c r="I231" s="334">
        <f>IFERROR(__xludf.DUMMYFUNCTION("""COMPUTED_VALUE"""),"hard_glo4_00005")</f>
        <v/>
      </c>
      <c r="J231" s="334">
        <f>IFERROR(__xludf.DUMMYFUNCTION("""COMPUTED_VALUE"""),"stage_icon_glo4_hard_05")</f>
        <v/>
      </c>
      <c r="K231" s="334" t="n"/>
      <c r="L231" s="334" t="n"/>
      <c r="M231" s="334" t="n"/>
      <c r="N231" s="339" t="n"/>
      <c r="O231" s="368" t="n"/>
      <c r="P231" s="334" t="n"/>
    </row>
    <row r="232">
      <c r="A232" s="334">
        <f>IFERROR(__xludf.DUMMYFUNCTION("""COMPUTED_VALUE"""),"glo4")</f>
        <v/>
      </c>
      <c r="B232" s="334">
        <f>IFERROR(__xludf.DUMMYFUNCTION("""COMPUTED_VALUE"""),"GLOW")</f>
        <v/>
      </c>
      <c r="C232" s="408">
        <f>IFERROR(__xludf.DUMMYFUNCTION("""COMPUTED_VALUE"""),"hard")</f>
        <v/>
      </c>
      <c r="D232" s="408">
        <f>IFERROR(__xludf.DUMMYFUNCTION("""COMPUTED_VALUE"""),"main")</f>
        <v/>
      </c>
      <c r="E232" s="334">
        <f>IFERROR(__xludf.DUMMYFUNCTION("""COMPUTED_VALUE"""),"メインクエスト")</f>
        <v/>
      </c>
      <c r="F232" s="408">
        <f>IFERROR(__xludf.DUMMYFUNCTION("""COMPUTED_VALUE"""),"quest_main_glo4_hard_16")</f>
        <v/>
      </c>
      <c r="G232" s="334">
        <f>IFERROR(__xludf.DUMMYFUNCTION("""COMPUTED_VALUE"""),"16.リミックスクエスト Vol.4")</f>
        <v/>
      </c>
      <c r="H232" s="408">
        <f>IFERROR(__xludf.DUMMYFUNCTION("""COMPUTED_VALUE"""),"06")</f>
        <v/>
      </c>
      <c r="I232" s="334">
        <f>IFERROR(__xludf.DUMMYFUNCTION("""COMPUTED_VALUE"""),"hard_glo4_00006")</f>
        <v/>
      </c>
      <c r="J232" s="334">
        <f>IFERROR(__xludf.DUMMYFUNCTION("""COMPUTED_VALUE"""),"stage_icon_glo4_hard_06")</f>
        <v/>
      </c>
      <c r="K232" s="334" t="n"/>
      <c r="L232" s="334" t="n"/>
      <c r="M232" s="334" t="n"/>
      <c r="N232" s="339" t="n"/>
      <c r="O232" s="368" t="n"/>
      <c r="P232" s="334" t="n"/>
    </row>
    <row r="233">
      <c r="A233" s="334" t="n"/>
      <c r="B233" s="334" t="n"/>
      <c r="C233" s="334" t="n"/>
      <c r="D233" s="334" t="n"/>
      <c r="E233" s="334" t="n"/>
      <c r="F233" s="334" t="n"/>
      <c r="G233" s="334" t="n"/>
      <c r="H233" s="334" t="n"/>
      <c r="I233" s="334" t="n"/>
      <c r="J233" s="334" t="n"/>
      <c r="K233" s="334" t="n"/>
      <c r="L233" s="334" t="n"/>
      <c r="M233" s="334" t="n"/>
      <c r="N233" s="339" t="n"/>
      <c r="O233" s="368" t="n"/>
      <c r="P233" s="334" t="n"/>
    </row>
    <row r="234">
      <c r="A234" s="334">
        <f>IFERROR(__xludf.DUMMYFUNCTION("""COMPUTED_VALUE"""),"osh")</f>
        <v/>
      </c>
      <c r="B234" s="334">
        <f>IFERROR(__xludf.DUMMYFUNCTION("""COMPUTED_VALUE"""),"【推しの子】")</f>
        <v/>
      </c>
      <c r="C234" s="408">
        <f>IFERROR(__xludf.DUMMYFUNCTION("""COMPUTED_VALUE"""),"hard")</f>
        <v/>
      </c>
      <c r="D234" s="408">
        <f>IFERROR(__xludf.DUMMYFUNCTION("""COMPUTED_VALUE"""),"main")</f>
        <v/>
      </c>
      <c r="E234" s="334">
        <f>IFERROR(__xludf.DUMMYFUNCTION("""COMPUTED_VALUE"""),"メインクエスト")</f>
        <v/>
      </c>
      <c r="F234" s="408">
        <f>IFERROR(__xludf.DUMMYFUNCTION("""COMPUTED_VALUE"""),"quest_main_osh_hard_17")</f>
        <v/>
      </c>
      <c r="G234" s="334">
        <f>IFERROR(__xludf.DUMMYFUNCTION("""COMPUTED_VALUE"""),"17.【推しの子】")</f>
        <v/>
      </c>
      <c r="H234" s="408">
        <f>IFERROR(__xludf.DUMMYFUNCTION("""COMPUTED_VALUE"""),"01")</f>
        <v/>
      </c>
      <c r="I234" s="334">
        <f>IFERROR(__xludf.DUMMYFUNCTION("""COMPUTED_VALUE"""),"hard_osh_00001")</f>
        <v/>
      </c>
      <c r="J234" s="334">
        <f>IFERROR(__xludf.DUMMYFUNCTION("""COMPUTED_VALUE"""),"stage_icon_osh_hard_01")</f>
        <v/>
      </c>
      <c r="K234" s="334" t="n"/>
      <c r="L234" s="334" t="n"/>
      <c r="M234" s="334" t="n"/>
      <c r="N234" s="339" t="n"/>
      <c r="O234" s="368" t="n"/>
      <c r="P234" s="334" t="n"/>
    </row>
    <row r="235">
      <c r="A235" s="334">
        <f>IFERROR(__xludf.DUMMYFUNCTION("""COMPUTED_VALUE"""),"osh")</f>
        <v/>
      </c>
      <c r="B235" s="334">
        <f>IFERROR(__xludf.DUMMYFUNCTION("""COMPUTED_VALUE"""),"【推しの子】")</f>
        <v/>
      </c>
      <c r="C235" s="408">
        <f>IFERROR(__xludf.DUMMYFUNCTION("""COMPUTED_VALUE"""),"hard")</f>
        <v/>
      </c>
      <c r="D235" s="408">
        <f>IFERROR(__xludf.DUMMYFUNCTION("""COMPUTED_VALUE"""),"main")</f>
        <v/>
      </c>
      <c r="E235" s="334">
        <f>IFERROR(__xludf.DUMMYFUNCTION("""COMPUTED_VALUE"""),"メインクエスト")</f>
        <v/>
      </c>
      <c r="F235" s="408">
        <f>IFERROR(__xludf.DUMMYFUNCTION("""COMPUTED_VALUE"""),"quest_main_osh_hard_17")</f>
        <v/>
      </c>
      <c r="G235" s="334">
        <f>IFERROR(__xludf.DUMMYFUNCTION("""COMPUTED_VALUE"""),"17.【推しの子】")</f>
        <v/>
      </c>
      <c r="H235" s="408">
        <f>IFERROR(__xludf.DUMMYFUNCTION("""COMPUTED_VALUE"""),"02")</f>
        <v/>
      </c>
      <c r="I235" s="334">
        <f>IFERROR(__xludf.DUMMYFUNCTION("""COMPUTED_VALUE"""),"hard_osh_00002")</f>
        <v/>
      </c>
      <c r="J235" s="334">
        <f>IFERROR(__xludf.DUMMYFUNCTION("""COMPUTED_VALUE"""),"stage_icon_osh_hard_02")</f>
        <v/>
      </c>
      <c r="K235" s="334" t="n"/>
      <c r="L235" s="334" t="n"/>
      <c r="M235" s="334" t="n"/>
      <c r="N235" s="339" t="n"/>
      <c r="O235" s="368" t="n"/>
      <c r="P235" s="334" t="n"/>
    </row>
    <row r="236">
      <c r="A236" s="334">
        <f>IFERROR(__xludf.DUMMYFUNCTION("""COMPUTED_VALUE"""),"osh")</f>
        <v/>
      </c>
      <c r="B236" s="334">
        <f>IFERROR(__xludf.DUMMYFUNCTION("""COMPUTED_VALUE"""),"【推しの子】")</f>
        <v/>
      </c>
      <c r="C236" s="408">
        <f>IFERROR(__xludf.DUMMYFUNCTION("""COMPUTED_VALUE"""),"hard")</f>
        <v/>
      </c>
      <c r="D236" s="408">
        <f>IFERROR(__xludf.DUMMYFUNCTION("""COMPUTED_VALUE"""),"main")</f>
        <v/>
      </c>
      <c r="E236" s="334">
        <f>IFERROR(__xludf.DUMMYFUNCTION("""COMPUTED_VALUE"""),"メインクエスト")</f>
        <v/>
      </c>
      <c r="F236" s="408">
        <f>IFERROR(__xludf.DUMMYFUNCTION("""COMPUTED_VALUE"""),"quest_main_osh_hard_17")</f>
        <v/>
      </c>
      <c r="G236" s="334">
        <f>IFERROR(__xludf.DUMMYFUNCTION("""COMPUTED_VALUE"""),"17.【推しの子】")</f>
        <v/>
      </c>
      <c r="H236" s="408">
        <f>IFERROR(__xludf.DUMMYFUNCTION("""COMPUTED_VALUE"""),"03")</f>
        <v/>
      </c>
      <c r="I236" s="334">
        <f>IFERROR(__xludf.DUMMYFUNCTION("""COMPUTED_VALUE"""),"hard_osh_00003")</f>
        <v/>
      </c>
      <c r="J236" s="334">
        <f>IFERROR(__xludf.DUMMYFUNCTION("""COMPUTED_VALUE"""),"stage_icon_osh_hard_03")</f>
        <v/>
      </c>
      <c r="K236" s="334" t="n"/>
      <c r="L236" s="334" t="n"/>
      <c r="M236" s="334" t="n"/>
      <c r="N236" s="339" t="n"/>
      <c r="O236" s="368" t="n"/>
      <c r="P236" s="334" t="n"/>
    </row>
    <row r="237">
      <c r="A237" s="334" t="n"/>
      <c r="B237" s="334" t="n"/>
      <c r="C237" s="334" t="n"/>
      <c r="D237" s="334" t="n"/>
      <c r="E237" s="334" t="n"/>
      <c r="F237" s="334" t="n"/>
      <c r="G237" s="334" t="n"/>
      <c r="H237" s="334" t="n"/>
      <c r="I237" s="334" t="n"/>
      <c r="J237" s="334" t="n"/>
      <c r="K237" s="334" t="n"/>
      <c r="L237" s="334" t="n"/>
      <c r="M237" s="334" t="n"/>
      <c r="N237" s="339" t="n"/>
      <c r="O237" s="368" t="n"/>
      <c r="P237" s="334" t="n"/>
    </row>
    <row r="238">
      <c r="A238" s="334">
        <f>IFERROR(__xludf.DUMMYFUNCTION("""COMPUTED_VALUE"""),"you")</f>
        <v/>
      </c>
      <c r="B238" s="334">
        <f>IFERROR(__xludf.DUMMYFUNCTION("""COMPUTED_VALUE"""),"幼稚園WARS")</f>
        <v/>
      </c>
      <c r="C238" s="408">
        <f>IFERROR(__xludf.DUMMYFUNCTION("""COMPUTED_VALUE"""),"hard")</f>
        <v/>
      </c>
      <c r="D238" s="408">
        <f>IFERROR(__xludf.DUMMYFUNCTION("""COMPUTED_VALUE"""),"main")</f>
        <v/>
      </c>
      <c r="E238" s="334">
        <f>IFERROR(__xludf.DUMMYFUNCTION("""COMPUTED_VALUE"""),"メインクエスト")</f>
        <v/>
      </c>
      <c r="F238" s="408">
        <f>IFERROR(__xludf.DUMMYFUNCTION("""COMPUTED_VALUE"""),"quest_main_you_hard_18")</f>
        <v/>
      </c>
      <c r="G238" s="334">
        <f>IFERROR(__xludf.DUMMYFUNCTION("""COMPUTED_VALUE"""),"18.幼稚園WARS")</f>
        <v/>
      </c>
      <c r="H238" s="408">
        <f>IFERROR(__xludf.DUMMYFUNCTION("""COMPUTED_VALUE"""),"01")</f>
        <v/>
      </c>
      <c r="I238" s="334">
        <f>IFERROR(__xludf.DUMMYFUNCTION("""COMPUTED_VALUE"""),"hard_you_00001")</f>
        <v/>
      </c>
      <c r="J238" s="334">
        <f>IFERROR(__xludf.DUMMYFUNCTION("""COMPUTED_VALUE"""),"stage_icon_you_hard_01")</f>
        <v/>
      </c>
      <c r="K238" s="334" t="n"/>
      <c r="L238" s="334" t="n"/>
      <c r="M238" s="334" t="n"/>
      <c r="N238" s="339" t="n"/>
      <c r="O238" s="368" t="n"/>
      <c r="P238" s="334" t="n"/>
    </row>
    <row r="239">
      <c r="A239" s="334">
        <f>IFERROR(__xludf.DUMMYFUNCTION("""COMPUTED_VALUE"""),"you")</f>
        <v/>
      </c>
      <c r="B239" s="334">
        <f>IFERROR(__xludf.DUMMYFUNCTION("""COMPUTED_VALUE"""),"幼稚園WARS")</f>
        <v/>
      </c>
      <c r="C239" s="408">
        <f>IFERROR(__xludf.DUMMYFUNCTION("""COMPUTED_VALUE"""),"hard")</f>
        <v/>
      </c>
      <c r="D239" s="408">
        <f>IFERROR(__xludf.DUMMYFUNCTION("""COMPUTED_VALUE"""),"main")</f>
        <v/>
      </c>
      <c r="E239" s="334">
        <f>IFERROR(__xludf.DUMMYFUNCTION("""COMPUTED_VALUE"""),"メインクエスト")</f>
        <v/>
      </c>
      <c r="F239" s="408">
        <f>IFERROR(__xludf.DUMMYFUNCTION("""COMPUTED_VALUE"""),"quest_main_you_hard_18")</f>
        <v/>
      </c>
      <c r="G239" s="334">
        <f>IFERROR(__xludf.DUMMYFUNCTION("""COMPUTED_VALUE"""),"18.幼稚園WARS")</f>
        <v/>
      </c>
      <c r="H239" s="408">
        <f>IFERROR(__xludf.DUMMYFUNCTION("""COMPUTED_VALUE"""),"02")</f>
        <v/>
      </c>
      <c r="I239" s="334">
        <f>IFERROR(__xludf.DUMMYFUNCTION("""COMPUTED_VALUE"""),"hard_you_00002")</f>
        <v/>
      </c>
      <c r="J239" s="334">
        <f>IFERROR(__xludf.DUMMYFUNCTION("""COMPUTED_VALUE"""),"stage_icon_you_hard_02")</f>
        <v/>
      </c>
      <c r="K239" s="334" t="n"/>
      <c r="L239" s="334" t="n"/>
      <c r="M239" s="334" t="n"/>
      <c r="N239" s="339" t="n"/>
      <c r="O239" s="368" t="n"/>
      <c r="P239" s="334" t="n"/>
    </row>
    <row r="240">
      <c r="A240" s="334">
        <f>IFERROR(__xludf.DUMMYFUNCTION("""COMPUTED_VALUE"""),"you")</f>
        <v/>
      </c>
      <c r="B240" s="334">
        <f>IFERROR(__xludf.DUMMYFUNCTION("""COMPUTED_VALUE"""),"幼稚園WARS")</f>
        <v/>
      </c>
      <c r="C240" s="408">
        <f>IFERROR(__xludf.DUMMYFUNCTION("""COMPUTED_VALUE"""),"hard")</f>
        <v/>
      </c>
      <c r="D240" s="408">
        <f>IFERROR(__xludf.DUMMYFUNCTION("""COMPUTED_VALUE"""),"main")</f>
        <v/>
      </c>
      <c r="E240" s="334">
        <f>IFERROR(__xludf.DUMMYFUNCTION("""COMPUTED_VALUE"""),"メインクエスト")</f>
        <v/>
      </c>
      <c r="F240" s="408">
        <f>IFERROR(__xludf.DUMMYFUNCTION("""COMPUTED_VALUE"""),"quest_main_you_hard_18")</f>
        <v/>
      </c>
      <c r="G240" s="334">
        <f>IFERROR(__xludf.DUMMYFUNCTION("""COMPUTED_VALUE"""),"18.幼稚園WARS")</f>
        <v/>
      </c>
      <c r="H240" s="408">
        <f>IFERROR(__xludf.DUMMYFUNCTION("""COMPUTED_VALUE"""),"03")</f>
        <v/>
      </c>
      <c r="I240" s="334">
        <f>IFERROR(__xludf.DUMMYFUNCTION("""COMPUTED_VALUE"""),"hard_you_00003")</f>
        <v/>
      </c>
      <c r="J240" s="334">
        <f>IFERROR(__xludf.DUMMYFUNCTION("""COMPUTED_VALUE"""),"stage_icon_you_hard_03")</f>
        <v/>
      </c>
      <c r="K240" s="334" t="n"/>
      <c r="L240" s="334" t="n"/>
      <c r="M240" s="334" t="n"/>
      <c r="N240" s="339" t="n"/>
      <c r="O240" s="368" t="n"/>
      <c r="P240" s="334" t="n"/>
    </row>
    <row r="241">
      <c r="A241" s="334" t="n"/>
      <c r="B241" s="334" t="n"/>
      <c r="C241" s="334" t="n"/>
      <c r="D241" s="334" t="n"/>
      <c r="E241" s="334" t="n"/>
      <c r="F241" s="334" t="n"/>
      <c r="G241" s="334" t="n"/>
      <c r="H241" s="334" t="n"/>
      <c r="I241" s="334" t="n"/>
      <c r="J241" s="334" t="n"/>
      <c r="K241" s="334" t="n"/>
      <c r="L241" s="334" t="n"/>
      <c r="M241" s="334" t="n"/>
      <c r="N241" s="339" t="n"/>
      <c r="O241" s="368" t="n"/>
      <c r="P241" s="334" t="n"/>
    </row>
    <row r="242">
      <c r="A242" s="334">
        <f>IFERROR(__xludf.DUMMYFUNCTION("""COMPUTED_VALUE"""),"aya")</f>
        <v/>
      </c>
      <c r="B242" s="334">
        <f>IFERROR(__xludf.DUMMYFUNCTION("""COMPUTED_VALUE"""),"あやかしトライアングル")</f>
        <v/>
      </c>
      <c r="C242" s="408">
        <f>IFERROR(__xludf.DUMMYFUNCTION("""COMPUTED_VALUE"""),"hard")</f>
        <v/>
      </c>
      <c r="D242" s="408">
        <f>IFERROR(__xludf.DUMMYFUNCTION("""COMPUTED_VALUE"""),"main")</f>
        <v/>
      </c>
      <c r="E242" s="334">
        <f>IFERROR(__xludf.DUMMYFUNCTION("""COMPUTED_VALUE"""),"メインクエスト")</f>
        <v/>
      </c>
      <c r="F242" s="408">
        <f>IFERROR(__xludf.DUMMYFUNCTION("""COMPUTED_VALUE"""),"quest_main_aya_hard_19")</f>
        <v/>
      </c>
      <c r="G242" s="334">
        <f>IFERROR(__xludf.DUMMYFUNCTION("""COMPUTED_VALUE"""),"19.あやかしトライアングル")</f>
        <v/>
      </c>
      <c r="H242" s="408">
        <f>IFERROR(__xludf.DUMMYFUNCTION("""COMPUTED_VALUE"""),"01")</f>
        <v/>
      </c>
      <c r="I242" s="334">
        <f>IFERROR(__xludf.DUMMYFUNCTION("""COMPUTED_VALUE"""),"hard_aya_00001")</f>
        <v/>
      </c>
      <c r="J242" s="334">
        <f>IFERROR(__xludf.DUMMYFUNCTION("""COMPUTED_VALUE"""),"stage_icon_aya_hard_01")</f>
        <v/>
      </c>
      <c r="K242" s="334" t="n"/>
      <c r="L242" s="334" t="n"/>
      <c r="M242" s="334" t="n"/>
      <c r="N242" s="339" t="n"/>
      <c r="O242" s="368" t="n"/>
      <c r="P242" s="334" t="n"/>
    </row>
    <row r="243">
      <c r="A243" s="334">
        <f>IFERROR(__xludf.DUMMYFUNCTION("""COMPUTED_VALUE"""),"aya")</f>
        <v/>
      </c>
      <c r="B243" s="334">
        <f>IFERROR(__xludf.DUMMYFUNCTION("""COMPUTED_VALUE"""),"あやかしトライアングル")</f>
        <v/>
      </c>
      <c r="C243" s="408">
        <f>IFERROR(__xludf.DUMMYFUNCTION("""COMPUTED_VALUE"""),"hard")</f>
        <v/>
      </c>
      <c r="D243" s="408">
        <f>IFERROR(__xludf.DUMMYFUNCTION("""COMPUTED_VALUE"""),"main")</f>
        <v/>
      </c>
      <c r="E243" s="334">
        <f>IFERROR(__xludf.DUMMYFUNCTION("""COMPUTED_VALUE"""),"メインクエスト")</f>
        <v/>
      </c>
      <c r="F243" s="408">
        <f>IFERROR(__xludf.DUMMYFUNCTION("""COMPUTED_VALUE"""),"quest_main_aya_hard_19")</f>
        <v/>
      </c>
      <c r="G243" s="334">
        <f>IFERROR(__xludf.DUMMYFUNCTION("""COMPUTED_VALUE"""),"19.あやかしトライアングル")</f>
        <v/>
      </c>
      <c r="H243" s="408">
        <f>IFERROR(__xludf.DUMMYFUNCTION("""COMPUTED_VALUE"""),"02")</f>
        <v/>
      </c>
      <c r="I243" s="334">
        <f>IFERROR(__xludf.DUMMYFUNCTION("""COMPUTED_VALUE"""),"hard_aya_00002")</f>
        <v/>
      </c>
      <c r="J243" s="334">
        <f>IFERROR(__xludf.DUMMYFUNCTION("""COMPUTED_VALUE"""),"stage_icon_aya_hard_02")</f>
        <v/>
      </c>
      <c r="K243" s="334" t="n"/>
      <c r="L243" s="334" t="n"/>
      <c r="M243" s="334" t="n"/>
      <c r="N243" s="339" t="n"/>
      <c r="O243" s="368" t="n"/>
      <c r="P243" s="334" t="n"/>
    </row>
    <row r="244">
      <c r="A244" s="334">
        <f>IFERROR(__xludf.DUMMYFUNCTION("""COMPUTED_VALUE"""),"aya")</f>
        <v/>
      </c>
      <c r="B244" s="334">
        <f>IFERROR(__xludf.DUMMYFUNCTION("""COMPUTED_VALUE"""),"あやかしトライアングル")</f>
        <v/>
      </c>
      <c r="C244" s="408">
        <f>IFERROR(__xludf.DUMMYFUNCTION("""COMPUTED_VALUE"""),"hard")</f>
        <v/>
      </c>
      <c r="D244" s="408">
        <f>IFERROR(__xludf.DUMMYFUNCTION("""COMPUTED_VALUE"""),"main")</f>
        <v/>
      </c>
      <c r="E244" s="334">
        <f>IFERROR(__xludf.DUMMYFUNCTION("""COMPUTED_VALUE"""),"メインクエスト")</f>
        <v/>
      </c>
      <c r="F244" s="408">
        <f>IFERROR(__xludf.DUMMYFUNCTION("""COMPUTED_VALUE"""),"quest_main_aya_hard_19")</f>
        <v/>
      </c>
      <c r="G244" s="334">
        <f>IFERROR(__xludf.DUMMYFUNCTION("""COMPUTED_VALUE"""),"19.あやかしトライアングル")</f>
        <v/>
      </c>
      <c r="H244" s="408">
        <f>IFERROR(__xludf.DUMMYFUNCTION("""COMPUTED_VALUE"""),"03")</f>
        <v/>
      </c>
      <c r="I244" s="334">
        <f>IFERROR(__xludf.DUMMYFUNCTION("""COMPUTED_VALUE"""),"hard_aya_00003")</f>
        <v/>
      </c>
      <c r="J244" s="334">
        <f>IFERROR(__xludf.DUMMYFUNCTION("""COMPUTED_VALUE"""),"stage_icon_aya_hard_03")</f>
        <v/>
      </c>
      <c r="K244" s="334" t="n"/>
      <c r="L244" s="334" t="n"/>
      <c r="M244" s="334" t="n"/>
      <c r="N244" s="339" t="n"/>
      <c r="O244" s="368" t="n"/>
      <c r="P244" s="334" t="n"/>
    </row>
    <row r="245">
      <c r="A245" s="334" t="n"/>
      <c r="B245" s="334" t="n"/>
      <c r="C245" s="334" t="n"/>
      <c r="D245" s="334" t="n"/>
      <c r="E245" s="334" t="n"/>
      <c r="F245" s="334" t="n"/>
      <c r="G245" s="334" t="n"/>
      <c r="H245" s="334" t="n"/>
      <c r="I245" s="334" t="n"/>
      <c r="J245" s="334" t="n"/>
      <c r="K245" s="334" t="n"/>
      <c r="L245" s="334" t="n"/>
      <c r="M245" s="334" t="n"/>
      <c r="N245" s="339" t="n"/>
      <c r="O245" s="368" t="n"/>
      <c r="P245" s="334" t="n"/>
    </row>
    <row r="246">
      <c r="A246" s="334">
        <f>IFERROR(__xludf.DUMMYFUNCTION("""COMPUTED_VALUE"""),"mar")</f>
        <v/>
      </c>
      <c r="B246" s="334">
        <f>IFERROR(__xludf.DUMMYFUNCTION("""COMPUTED_VALUE"""),"マリッジトキシン")</f>
        <v/>
      </c>
      <c r="C246" s="408">
        <f>IFERROR(__xludf.DUMMYFUNCTION("""COMPUTED_VALUE"""),"hard")</f>
        <v/>
      </c>
      <c r="D246" s="408">
        <f>IFERROR(__xludf.DUMMYFUNCTION("""COMPUTED_VALUE"""),"main")</f>
        <v/>
      </c>
      <c r="E246" s="334">
        <f>IFERROR(__xludf.DUMMYFUNCTION("""COMPUTED_VALUE"""),"メインクエスト")</f>
        <v/>
      </c>
      <c r="F246" s="408">
        <f>IFERROR(__xludf.DUMMYFUNCTION("""COMPUTED_VALUE"""),"quest_main_mar_hard_20")</f>
        <v/>
      </c>
      <c r="G246" s="334">
        <f>IFERROR(__xludf.DUMMYFUNCTION("""COMPUTED_VALUE"""),"20.マリッジトキシン")</f>
        <v/>
      </c>
      <c r="H246" s="408">
        <f>IFERROR(__xludf.DUMMYFUNCTION("""COMPUTED_VALUE"""),"01")</f>
        <v/>
      </c>
      <c r="I246" s="334">
        <f>IFERROR(__xludf.DUMMYFUNCTION("""COMPUTED_VALUE"""),"hard_mar_00001")</f>
        <v/>
      </c>
      <c r="J246" s="334">
        <f>IFERROR(__xludf.DUMMYFUNCTION("""COMPUTED_VALUE"""),"stage_icon_mar_hard_01")</f>
        <v/>
      </c>
      <c r="K246" s="334" t="n"/>
      <c r="L246" s="334" t="n"/>
      <c r="M246" s="334" t="n"/>
      <c r="N246" s="339" t="n"/>
      <c r="O246" s="368" t="n"/>
      <c r="P246" s="334" t="n"/>
    </row>
    <row r="247">
      <c r="A247" s="334">
        <f>IFERROR(__xludf.DUMMYFUNCTION("""COMPUTED_VALUE"""),"mar")</f>
        <v/>
      </c>
      <c r="B247" s="334">
        <f>IFERROR(__xludf.DUMMYFUNCTION("""COMPUTED_VALUE"""),"マリッジトキシン")</f>
        <v/>
      </c>
      <c r="C247" s="408">
        <f>IFERROR(__xludf.DUMMYFUNCTION("""COMPUTED_VALUE"""),"hard")</f>
        <v/>
      </c>
      <c r="D247" s="408">
        <f>IFERROR(__xludf.DUMMYFUNCTION("""COMPUTED_VALUE"""),"main")</f>
        <v/>
      </c>
      <c r="E247" s="334">
        <f>IFERROR(__xludf.DUMMYFUNCTION("""COMPUTED_VALUE"""),"メインクエスト")</f>
        <v/>
      </c>
      <c r="F247" s="408">
        <f>IFERROR(__xludf.DUMMYFUNCTION("""COMPUTED_VALUE"""),"quest_main_mar_hard_20")</f>
        <v/>
      </c>
      <c r="G247" s="334">
        <f>IFERROR(__xludf.DUMMYFUNCTION("""COMPUTED_VALUE"""),"20.マリッジトキシン")</f>
        <v/>
      </c>
      <c r="H247" s="408">
        <f>IFERROR(__xludf.DUMMYFUNCTION("""COMPUTED_VALUE"""),"02")</f>
        <v/>
      </c>
      <c r="I247" s="334">
        <f>IFERROR(__xludf.DUMMYFUNCTION("""COMPUTED_VALUE"""),"hard_mar_00002")</f>
        <v/>
      </c>
      <c r="J247" s="334">
        <f>IFERROR(__xludf.DUMMYFUNCTION("""COMPUTED_VALUE"""),"stage_icon_mar_hard_02")</f>
        <v/>
      </c>
      <c r="K247" s="334" t="n"/>
      <c r="L247" s="334" t="n"/>
      <c r="M247" s="334" t="n"/>
      <c r="N247" s="339" t="n"/>
      <c r="O247" s="368" t="n"/>
      <c r="P247" s="334" t="n"/>
    </row>
    <row r="248">
      <c r="A248" s="334">
        <f>IFERROR(__xludf.DUMMYFUNCTION("""COMPUTED_VALUE"""),"mar")</f>
        <v/>
      </c>
      <c r="B248" s="334">
        <f>IFERROR(__xludf.DUMMYFUNCTION("""COMPUTED_VALUE"""),"マリッジトキシン")</f>
        <v/>
      </c>
      <c r="C248" s="408">
        <f>IFERROR(__xludf.DUMMYFUNCTION("""COMPUTED_VALUE"""),"hard")</f>
        <v/>
      </c>
      <c r="D248" s="408">
        <f>IFERROR(__xludf.DUMMYFUNCTION("""COMPUTED_VALUE"""),"main")</f>
        <v/>
      </c>
      <c r="E248" s="334">
        <f>IFERROR(__xludf.DUMMYFUNCTION("""COMPUTED_VALUE"""),"メインクエスト")</f>
        <v/>
      </c>
      <c r="F248" s="408">
        <f>IFERROR(__xludf.DUMMYFUNCTION("""COMPUTED_VALUE"""),"quest_main_mar_hard_20")</f>
        <v/>
      </c>
      <c r="G248" s="334">
        <f>IFERROR(__xludf.DUMMYFUNCTION("""COMPUTED_VALUE"""),"20.マリッジトキシン")</f>
        <v/>
      </c>
      <c r="H248" s="408">
        <f>IFERROR(__xludf.DUMMYFUNCTION("""COMPUTED_VALUE"""),"03")</f>
        <v/>
      </c>
      <c r="I248" s="334">
        <f>IFERROR(__xludf.DUMMYFUNCTION("""COMPUTED_VALUE"""),"hard_mar_00003")</f>
        <v/>
      </c>
      <c r="J248" s="334">
        <f>IFERROR(__xludf.DUMMYFUNCTION("""COMPUTED_VALUE"""),"stage_icon_mar_hard_03")</f>
        <v/>
      </c>
      <c r="K248" s="334" t="n"/>
      <c r="L248" s="334" t="n"/>
      <c r="M248" s="334" t="n"/>
      <c r="N248" s="339" t="n"/>
      <c r="O248" s="368" t="n"/>
      <c r="P248" s="334" t="n"/>
    </row>
    <row r="249">
      <c r="A249" s="334" t="n"/>
      <c r="B249" s="334" t="n"/>
      <c r="C249" s="334" t="n"/>
      <c r="D249" s="334" t="n"/>
      <c r="E249" s="334" t="n"/>
      <c r="F249" s="334" t="n"/>
      <c r="G249" s="334" t="n"/>
      <c r="H249" s="334" t="n"/>
      <c r="I249" s="334" t="n"/>
      <c r="J249" s="334" t="n"/>
      <c r="K249" s="334" t="n"/>
      <c r="L249" s="334" t="n"/>
      <c r="M249" s="334" t="n"/>
      <c r="N249" s="339" t="n"/>
      <c r="O249" s="368" t="n"/>
      <c r="P249" s="334" t="n"/>
    </row>
    <row r="250">
      <c r="A250" s="334" t="n"/>
      <c r="B250" s="334" t="n"/>
      <c r="C250" s="334" t="n"/>
      <c r="D250" s="334" t="n"/>
      <c r="E250" s="334" t="n"/>
      <c r="F250" s="334" t="n"/>
      <c r="G250" s="334" t="n"/>
      <c r="H250" s="334" t="n"/>
      <c r="I250" s="334" t="n"/>
      <c r="J250" s="334" t="n"/>
      <c r="K250" s="334" t="n"/>
      <c r="L250" s="334" t="n"/>
      <c r="M250" s="334" t="n"/>
      <c r="N250" s="339" t="n"/>
      <c r="O250" s="368" t="n"/>
      <c r="P250" s="334" t="n"/>
    </row>
    <row r="251">
      <c r="A251" s="334" t="n"/>
      <c r="B251" s="334" t="n"/>
      <c r="C251" s="334" t="n"/>
      <c r="D251" s="334" t="n"/>
      <c r="E251" s="334" t="n"/>
      <c r="F251" s="334" t="n"/>
      <c r="G251" s="334" t="n"/>
      <c r="H251" s="334" t="n"/>
      <c r="I251" s="334" t="n"/>
      <c r="J251" s="334" t="n"/>
      <c r="K251" s="334" t="n"/>
      <c r="L251" s="334" t="n"/>
      <c r="M251" s="334" t="n"/>
      <c r="N251" s="339" t="n"/>
      <c r="O251" s="368" t="n"/>
      <c r="P251" s="334" t="n"/>
    </row>
    <row r="252">
      <c r="A252" s="334" t="n"/>
      <c r="B252" s="334" t="n"/>
      <c r="C252" s="334" t="n"/>
      <c r="D252" s="334" t="n"/>
      <c r="E252" s="334" t="n"/>
      <c r="F252" s="334" t="n"/>
      <c r="G252" s="334" t="n"/>
      <c r="H252" s="334" t="n"/>
      <c r="I252" s="334" t="n"/>
      <c r="J252" s="334" t="n"/>
      <c r="K252" s="334" t="n"/>
      <c r="L252" s="334" t="n"/>
      <c r="M252" s="334" t="n"/>
      <c r="N252" s="339" t="n"/>
      <c r="O252" s="368" t="n"/>
      <c r="P252" s="334" t="n"/>
    </row>
    <row r="253">
      <c r="A253" s="334" t="n"/>
      <c r="B253" s="334" t="n"/>
      <c r="C253" s="334" t="n"/>
      <c r="D253" s="334" t="n"/>
      <c r="E253" s="334" t="n"/>
      <c r="F253" s="334" t="n"/>
      <c r="G253" s="334" t="n"/>
      <c r="H253" s="334" t="n"/>
      <c r="I253" s="334" t="n"/>
      <c r="J253" s="334" t="n"/>
      <c r="K253" s="334" t="n"/>
      <c r="L253" s="334" t="n"/>
      <c r="M253" s="334" t="n"/>
      <c r="N253" s="339" t="n"/>
      <c r="O253" s="368" t="n"/>
      <c r="P253" s="334" t="n"/>
    </row>
    <row r="254">
      <c r="A254" s="334">
        <f>IFERROR(__xludf.DUMMYFUNCTION("""COMPUTED_VALUE"""),"▼メインクエスト（エクストラ）")</f>
        <v/>
      </c>
      <c r="B254" s="334" t="n"/>
      <c r="C254" s="334" t="n"/>
      <c r="D254" s="334" t="n"/>
      <c r="E254" s="334" t="n"/>
      <c r="F254" s="334" t="n"/>
      <c r="G254" s="334" t="n"/>
      <c r="H254" s="334" t="n"/>
      <c r="I254" s="334" t="n"/>
      <c r="J254" s="334" t="n"/>
      <c r="K254" s="334" t="n"/>
      <c r="L254" s="334" t="n"/>
      <c r="M254" s="334" t="n"/>
      <c r="N254" s="339" t="n"/>
      <c r="O254" s="368" t="n"/>
      <c r="P254" s="334" t="n"/>
    </row>
    <row r="255">
      <c r="A255" s="334" t="n"/>
      <c r="B255" s="334" t="n"/>
      <c r="C255" s="334" t="n"/>
      <c r="D255" s="334" t="n"/>
      <c r="E255" s="334" t="n"/>
      <c r="F255" s="334" t="n"/>
      <c r="G255" s="334" t="n"/>
      <c r="H255" s="334" t="n"/>
      <c r="I255" s="334" t="n"/>
      <c r="J255" s="334" t="n"/>
      <c r="K255" s="334" t="n"/>
      <c r="L255" s="334" t="n"/>
      <c r="M255" s="334" t="n"/>
      <c r="N255" s="339" t="n"/>
      <c r="O255" s="368" t="n"/>
      <c r="P255" s="334" t="n"/>
    </row>
    <row r="256">
      <c r="A256" s="334">
        <f>IFERROR(__xludf.DUMMYFUNCTION("""COMPUTED_VALUE"""),"spy")</f>
        <v/>
      </c>
      <c r="B256" s="334">
        <f>IFERROR(__xludf.DUMMYFUNCTION("""COMPUTED_VALUE"""),"SPY×FAMILY")</f>
        <v/>
      </c>
      <c r="C256" s="408">
        <f>IFERROR(__xludf.DUMMYFUNCTION("""COMPUTED_VALUE"""),"veryhard")</f>
        <v/>
      </c>
      <c r="D256" s="408">
        <f>IFERROR(__xludf.DUMMYFUNCTION("""COMPUTED_VALUE"""),"main")</f>
        <v/>
      </c>
      <c r="E256" s="334">
        <f>IFERROR(__xludf.DUMMYFUNCTION("""COMPUTED_VALUE"""),"メインクエスト")</f>
        <v/>
      </c>
      <c r="F256" s="408">
        <f>IFERROR(__xludf.DUMMYFUNCTION("""COMPUTED_VALUE"""),"quest_main_spy_veryhard_1")</f>
        <v/>
      </c>
      <c r="G256" s="334">
        <f>IFERROR(__xludf.DUMMYFUNCTION("""COMPUTED_VALUE"""),"1.SPY FAMILY")</f>
        <v/>
      </c>
      <c r="H256" s="408">
        <f>IFERROR(__xludf.DUMMYFUNCTION("""COMPUTED_VALUE"""),"01")</f>
        <v/>
      </c>
      <c r="I256" s="334">
        <f>IFERROR(__xludf.DUMMYFUNCTION("""COMPUTED_VALUE"""),"veryhard_spy_00001")</f>
        <v/>
      </c>
      <c r="J256" s="334">
        <f>IFERROR(__xludf.DUMMYFUNCTION("""COMPUTED_VALUE"""),"stage_icon_spy_veryhard_01")</f>
        <v/>
      </c>
      <c r="K256" s="334" t="n"/>
      <c r="L256" s="334" t="n"/>
      <c r="M256" s="334" t="n"/>
      <c r="N256" s="339" t="n"/>
      <c r="O256" s="368" t="n"/>
      <c r="P256" s="334" t="n"/>
    </row>
    <row r="257">
      <c r="A257" s="334">
        <f>IFERROR(__xludf.DUMMYFUNCTION("""COMPUTED_VALUE"""),"spy")</f>
        <v/>
      </c>
      <c r="B257" s="334">
        <f>IFERROR(__xludf.DUMMYFUNCTION("""COMPUTED_VALUE"""),"SPY×FAMILY")</f>
        <v/>
      </c>
      <c r="C257" s="408">
        <f>IFERROR(__xludf.DUMMYFUNCTION("""COMPUTED_VALUE"""),"veryhard")</f>
        <v/>
      </c>
      <c r="D257" s="408">
        <f>IFERROR(__xludf.DUMMYFUNCTION("""COMPUTED_VALUE"""),"main")</f>
        <v/>
      </c>
      <c r="E257" s="334">
        <f>IFERROR(__xludf.DUMMYFUNCTION("""COMPUTED_VALUE"""),"メインクエスト")</f>
        <v/>
      </c>
      <c r="F257" s="408">
        <f>IFERROR(__xludf.DUMMYFUNCTION("""COMPUTED_VALUE"""),"quest_main_spy_veryhard_1")</f>
        <v/>
      </c>
      <c r="G257" s="334">
        <f>IFERROR(__xludf.DUMMYFUNCTION("""COMPUTED_VALUE"""),"1.SPY FAMILY")</f>
        <v/>
      </c>
      <c r="H257" s="408">
        <f>IFERROR(__xludf.DUMMYFUNCTION("""COMPUTED_VALUE"""),"02")</f>
        <v/>
      </c>
      <c r="I257" s="334">
        <f>IFERROR(__xludf.DUMMYFUNCTION("""COMPUTED_VALUE"""),"veryhard_spy_00002")</f>
        <v/>
      </c>
      <c r="J257" s="334">
        <f>IFERROR(__xludf.DUMMYFUNCTION("""COMPUTED_VALUE"""),"stage_icon_spy_veryhard_02")</f>
        <v/>
      </c>
      <c r="K257" s="334" t="n"/>
      <c r="L257" s="334" t="n"/>
      <c r="M257" s="334" t="n"/>
      <c r="N257" s="339" t="n"/>
      <c r="O257" s="368" t="n"/>
      <c r="P257" s="334" t="n"/>
    </row>
    <row r="258">
      <c r="A258" s="334">
        <f>IFERROR(__xludf.DUMMYFUNCTION("""COMPUTED_VALUE"""),"spy")</f>
        <v/>
      </c>
      <c r="B258" s="334">
        <f>IFERROR(__xludf.DUMMYFUNCTION("""COMPUTED_VALUE"""),"SPY×FAMILY")</f>
        <v/>
      </c>
      <c r="C258" s="408">
        <f>IFERROR(__xludf.DUMMYFUNCTION("""COMPUTED_VALUE"""),"veryhard")</f>
        <v/>
      </c>
      <c r="D258" s="408">
        <f>IFERROR(__xludf.DUMMYFUNCTION("""COMPUTED_VALUE"""),"main")</f>
        <v/>
      </c>
      <c r="E258" s="334">
        <f>IFERROR(__xludf.DUMMYFUNCTION("""COMPUTED_VALUE"""),"メインクエスト")</f>
        <v/>
      </c>
      <c r="F258" s="408">
        <f>IFERROR(__xludf.DUMMYFUNCTION("""COMPUTED_VALUE"""),"quest_main_spy_veryhard_1")</f>
        <v/>
      </c>
      <c r="G258" s="334">
        <f>IFERROR(__xludf.DUMMYFUNCTION("""COMPUTED_VALUE"""),"1.SPY FAMILY")</f>
        <v/>
      </c>
      <c r="H258" s="408">
        <f>IFERROR(__xludf.DUMMYFUNCTION("""COMPUTED_VALUE"""),"03")</f>
        <v/>
      </c>
      <c r="I258" s="334">
        <f>IFERROR(__xludf.DUMMYFUNCTION("""COMPUTED_VALUE"""),"veryhard_spy_00003")</f>
        <v/>
      </c>
      <c r="J258" s="334">
        <f>IFERROR(__xludf.DUMMYFUNCTION("""COMPUTED_VALUE"""),"stage_icon_spy_veryhard_03")</f>
        <v/>
      </c>
      <c r="K258" s="334" t="n"/>
      <c r="L258" s="334" t="n"/>
      <c r="M258" s="334" t="n"/>
      <c r="N258" s="339" t="n"/>
      <c r="O258" s="368" t="n"/>
      <c r="P258" s="334" t="n"/>
    </row>
    <row r="259">
      <c r="A259" s="334">
        <f>IFERROR(__xludf.DUMMYFUNCTION("""COMPUTED_VALUE"""),"spy")</f>
        <v/>
      </c>
      <c r="B259" s="334">
        <f>IFERROR(__xludf.DUMMYFUNCTION("""COMPUTED_VALUE"""),"SPY×FAMILY")</f>
        <v/>
      </c>
      <c r="C259" s="408">
        <f>IFERROR(__xludf.DUMMYFUNCTION("""COMPUTED_VALUE"""),"veryhard")</f>
        <v/>
      </c>
      <c r="D259" s="408">
        <f>IFERROR(__xludf.DUMMYFUNCTION("""COMPUTED_VALUE"""),"main")</f>
        <v/>
      </c>
      <c r="E259" s="334">
        <f>IFERROR(__xludf.DUMMYFUNCTION("""COMPUTED_VALUE"""),"メインクエスト")</f>
        <v/>
      </c>
      <c r="F259" s="408">
        <f>IFERROR(__xludf.DUMMYFUNCTION("""COMPUTED_VALUE"""),"quest_main_spy_veryhard_1")</f>
        <v/>
      </c>
      <c r="G259" s="334">
        <f>IFERROR(__xludf.DUMMYFUNCTION("""COMPUTED_VALUE"""),"1.SPY FAMILY")</f>
        <v/>
      </c>
      <c r="H259" s="408">
        <f>IFERROR(__xludf.DUMMYFUNCTION("""COMPUTED_VALUE"""),"04")</f>
        <v/>
      </c>
      <c r="I259" s="334">
        <f>IFERROR(__xludf.DUMMYFUNCTION("""COMPUTED_VALUE"""),"veryhard_spy_00004")</f>
        <v/>
      </c>
      <c r="J259" s="334">
        <f>IFERROR(__xludf.DUMMYFUNCTION("""COMPUTED_VALUE"""),"stage_icon_spy_veryhard_04")</f>
        <v/>
      </c>
      <c r="K259" s="334" t="n"/>
      <c r="L259" s="334" t="n"/>
      <c r="M259" s="334" t="n"/>
      <c r="N259" s="339" t="n"/>
      <c r="O259" s="368" t="n"/>
      <c r="P259" s="334" t="n"/>
    </row>
    <row r="260">
      <c r="A260" s="334">
        <f>IFERROR(__xludf.DUMMYFUNCTION("""COMPUTED_VALUE"""),"spy")</f>
        <v/>
      </c>
      <c r="B260" s="334">
        <f>IFERROR(__xludf.DUMMYFUNCTION("""COMPUTED_VALUE"""),"SPY×FAMILY")</f>
        <v/>
      </c>
      <c r="C260" s="408">
        <f>IFERROR(__xludf.DUMMYFUNCTION("""COMPUTED_VALUE"""),"veryhard")</f>
        <v/>
      </c>
      <c r="D260" s="408">
        <f>IFERROR(__xludf.DUMMYFUNCTION("""COMPUTED_VALUE"""),"main")</f>
        <v/>
      </c>
      <c r="E260" s="334">
        <f>IFERROR(__xludf.DUMMYFUNCTION("""COMPUTED_VALUE"""),"メインクエスト")</f>
        <v/>
      </c>
      <c r="F260" s="408">
        <f>IFERROR(__xludf.DUMMYFUNCTION("""COMPUTED_VALUE"""),"quest_main_spy_veryhard_1")</f>
        <v/>
      </c>
      <c r="G260" s="334">
        <f>IFERROR(__xludf.DUMMYFUNCTION("""COMPUTED_VALUE"""),"1.SPY FAMILY")</f>
        <v/>
      </c>
      <c r="H260" s="408">
        <f>IFERROR(__xludf.DUMMYFUNCTION("""COMPUTED_VALUE"""),"05")</f>
        <v/>
      </c>
      <c r="I260" s="334">
        <f>IFERROR(__xludf.DUMMYFUNCTION("""COMPUTED_VALUE"""),"veryhard_spy_00005")</f>
        <v/>
      </c>
      <c r="J260" s="334">
        <f>IFERROR(__xludf.DUMMYFUNCTION("""COMPUTED_VALUE"""),"stage_icon_spy_veryhard_05")</f>
        <v/>
      </c>
      <c r="K260" s="334" t="n"/>
      <c r="L260" s="334" t="n"/>
      <c r="M260" s="334" t="n"/>
      <c r="N260" s="339" t="n"/>
      <c r="O260" s="368" t="n"/>
      <c r="P260" s="334" t="n"/>
    </row>
    <row r="261">
      <c r="A261" s="334">
        <f>IFERROR(__xludf.DUMMYFUNCTION("""COMPUTED_VALUE"""),"spy")</f>
        <v/>
      </c>
      <c r="B261" s="334">
        <f>IFERROR(__xludf.DUMMYFUNCTION("""COMPUTED_VALUE"""),"SPY×FAMILY")</f>
        <v/>
      </c>
      <c r="C261" s="408">
        <f>IFERROR(__xludf.DUMMYFUNCTION("""COMPUTED_VALUE"""),"veryhard")</f>
        <v/>
      </c>
      <c r="D261" s="408">
        <f>IFERROR(__xludf.DUMMYFUNCTION("""COMPUTED_VALUE"""),"main")</f>
        <v/>
      </c>
      <c r="E261" s="334">
        <f>IFERROR(__xludf.DUMMYFUNCTION("""COMPUTED_VALUE"""),"メインクエスト")</f>
        <v/>
      </c>
      <c r="F261" s="408">
        <f>IFERROR(__xludf.DUMMYFUNCTION("""COMPUTED_VALUE"""),"quest_main_spy_veryhard_1")</f>
        <v/>
      </c>
      <c r="G261" s="334">
        <f>IFERROR(__xludf.DUMMYFUNCTION("""COMPUTED_VALUE"""),"1.SPY FAMILY")</f>
        <v/>
      </c>
      <c r="H261" s="408">
        <f>IFERROR(__xludf.DUMMYFUNCTION("""COMPUTED_VALUE"""),"06")</f>
        <v/>
      </c>
      <c r="I261" s="334">
        <f>IFERROR(__xludf.DUMMYFUNCTION("""COMPUTED_VALUE"""),"veryhard_spy_00006")</f>
        <v/>
      </c>
      <c r="J261" s="334">
        <f>IFERROR(__xludf.DUMMYFUNCTION("""COMPUTED_VALUE"""),"stage_icon_spy_veryhard_06")</f>
        <v/>
      </c>
      <c r="K261" s="334" t="n"/>
      <c r="L261" s="334" t="n"/>
      <c r="M261" s="334" t="n"/>
      <c r="N261" s="339" t="n"/>
      <c r="O261" s="368" t="n"/>
      <c r="P261" s="334" t="n"/>
    </row>
    <row r="262">
      <c r="A262" s="334" t="n"/>
      <c r="B262" s="334" t="n"/>
      <c r="C262" s="334" t="n"/>
      <c r="D262" s="334" t="n"/>
      <c r="E262" s="334" t="n"/>
      <c r="F262" s="334" t="n"/>
      <c r="G262" s="334" t="n"/>
      <c r="H262" s="334" t="n"/>
      <c r="I262" s="334" t="n"/>
      <c r="J262" s="334" t="n"/>
      <c r="K262" s="334" t="n"/>
      <c r="L262" s="334" t="n"/>
      <c r="M262" s="334" t="n"/>
      <c r="N262" s="339" t="n"/>
      <c r="O262" s="368" t="n"/>
      <c r="P262" s="334" t="n"/>
    </row>
    <row r="263">
      <c r="A263" s="334">
        <f>IFERROR(__xludf.DUMMYFUNCTION("""COMPUTED_VALUE"""),"gom")</f>
        <v/>
      </c>
      <c r="B263" s="334">
        <f>IFERROR(__xludf.DUMMYFUNCTION("""COMPUTED_VALUE"""),"姫様“拷問”の時間です")</f>
        <v/>
      </c>
      <c r="C263" s="408">
        <f>IFERROR(__xludf.DUMMYFUNCTION("""COMPUTED_VALUE"""),"veryhard")</f>
        <v/>
      </c>
      <c r="D263" s="408">
        <f>IFERROR(__xludf.DUMMYFUNCTION("""COMPUTED_VALUE"""),"main")</f>
        <v/>
      </c>
      <c r="E263" s="334">
        <f>IFERROR(__xludf.DUMMYFUNCTION("""COMPUTED_VALUE"""),"メインクエスト")</f>
        <v/>
      </c>
      <c r="F263" s="408">
        <f>IFERROR(__xludf.DUMMYFUNCTION("""COMPUTED_VALUE"""),"quest_main_gom_veryhard_2")</f>
        <v/>
      </c>
      <c r="G263" s="334">
        <f>IFERROR(__xludf.DUMMYFUNCTION("""COMPUTED_VALUE"""),"2.姫様“拷問”の時間です")</f>
        <v/>
      </c>
      <c r="H263" s="408">
        <f>IFERROR(__xludf.DUMMYFUNCTION("""COMPUTED_VALUE"""),"01")</f>
        <v/>
      </c>
      <c r="I263" s="334">
        <f>IFERROR(__xludf.DUMMYFUNCTION("""COMPUTED_VALUE"""),"veryhard_gom_00001")</f>
        <v/>
      </c>
      <c r="J263" s="334">
        <f>IFERROR(__xludf.DUMMYFUNCTION("""COMPUTED_VALUE"""),"stage_icon_gom_veryhard_01")</f>
        <v/>
      </c>
      <c r="K263" s="334" t="n"/>
      <c r="L263" s="334" t="n"/>
      <c r="M263" s="334" t="n"/>
      <c r="N263" s="339" t="n"/>
      <c r="O263" s="368" t="n"/>
      <c r="P263" s="334" t="n"/>
    </row>
    <row r="264">
      <c r="A264" s="334">
        <f>IFERROR(__xludf.DUMMYFUNCTION("""COMPUTED_VALUE"""),"gom")</f>
        <v/>
      </c>
      <c r="B264" s="334">
        <f>IFERROR(__xludf.DUMMYFUNCTION("""COMPUTED_VALUE"""),"姫様“拷問”の時間です")</f>
        <v/>
      </c>
      <c r="C264" s="408">
        <f>IFERROR(__xludf.DUMMYFUNCTION("""COMPUTED_VALUE"""),"veryhard")</f>
        <v/>
      </c>
      <c r="D264" s="408">
        <f>IFERROR(__xludf.DUMMYFUNCTION("""COMPUTED_VALUE"""),"main")</f>
        <v/>
      </c>
      <c r="E264" s="334">
        <f>IFERROR(__xludf.DUMMYFUNCTION("""COMPUTED_VALUE"""),"メインクエスト")</f>
        <v/>
      </c>
      <c r="F264" s="408">
        <f>IFERROR(__xludf.DUMMYFUNCTION("""COMPUTED_VALUE"""),"quest_main_gom_veryhard_2")</f>
        <v/>
      </c>
      <c r="G264" s="334">
        <f>IFERROR(__xludf.DUMMYFUNCTION("""COMPUTED_VALUE"""),"2.姫様“拷問”の時間です")</f>
        <v/>
      </c>
      <c r="H264" s="408">
        <f>IFERROR(__xludf.DUMMYFUNCTION("""COMPUTED_VALUE"""),"02")</f>
        <v/>
      </c>
      <c r="I264" s="334">
        <f>IFERROR(__xludf.DUMMYFUNCTION("""COMPUTED_VALUE"""),"veryhard_gom_00002")</f>
        <v/>
      </c>
      <c r="J264" s="334">
        <f>IFERROR(__xludf.DUMMYFUNCTION("""COMPUTED_VALUE"""),"stage_icon_gom_veryhard_02")</f>
        <v/>
      </c>
      <c r="K264" s="334" t="n"/>
      <c r="L264" s="334" t="n"/>
      <c r="M264" s="334" t="n"/>
      <c r="N264" s="339" t="n"/>
      <c r="O264" s="368" t="n"/>
      <c r="P264" s="334" t="n"/>
    </row>
    <row r="265">
      <c r="A265" s="334">
        <f>IFERROR(__xludf.DUMMYFUNCTION("""COMPUTED_VALUE"""),"gom")</f>
        <v/>
      </c>
      <c r="B265" s="334">
        <f>IFERROR(__xludf.DUMMYFUNCTION("""COMPUTED_VALUE"""),"姫様“拷問”の時間です")</f>
        <v/>
      </c>
      <c r="C265" s="408">
        <f>IFERROR(__xludf.DUMMYFUNCTION("""COMPUTED_VALUE"""),"veryhard")</f>
        <v/>
      </c>
      <c r="D265" s="408">
        <f>IFERROR(__xludf.DUMMYFUNCTION("""COMPUTED_VALUE"""),"main")</f>
        <v/>
      </c>
      <c r="E265" s="334">
        <f>IFERROR(__xludf.DUMMYFUNCTION("""COMPUTED_VALUE"""),"メインクエスト")</f>
        <v/>
      </c>
      <c r="F265" s="408">
        <f>IFERROR(__xludf.DUMMYFUNCTION("""COMPUTED_VALUE"""),"quest_main_gom_veryhard_2")</f>
        <v/>
      </c>
      <c r="G265" s="334">
        <f>IFERROR(__xludf.DUMMYFUNCTION("""COMPUTED_VALUE"""),"2.姫様“拷問”の時間です")</f>
        <v/>
      </c>
      <c r="H265" s="408">
        <f>IFERROR(__xludf.DUMMYFUNCTION("""COMPUTED_VALUE"""),"03")</f>
        <v/>
      </c>
      <c r="I265" s="334">
        <f>IFERROR(__xludf.DUMMYFUNCTION("""COMPUTED_VALUE"""),"veryhard_gom_00003")</f>
        <v/>
      </c>
      <c r="J265" s="334">
        <f>IFERROR(__xludf.DUMMYFUNCTION("""COMPUTED_VALUE"""),"stage_icon_gom_veryhard_03")</f>
        <v/>
      </c>
      <c r="K265" s="334" t="n"/>
      <c r="L265" s="334" t="n"/>
      <c r="M265" s="334" t="n"/>
      <c r="N265" s="339" t="n"/>
      <c r="O265" s="368" t="n"/>
      <c r="P265" s="334" t="n"/>
    </row>
    <row r="266">
      <c r="A266" s="334">
        <f>IFERROR(__xludf.DUMMYFUNCTION("""COMPUTED_VALUE"""),"gom")</f>
        <v/>
      </c>
      <c r="B266" s="334">
        <f>IFERROR(__xludf.DUMMYFUNCTION("""COMPUTED_VALUE"""),"姫様“拷問”の時間です")</f>
        <v/>
      </c>
      <c r="C266" s="408">
        <f>IFERROR(__xludf.DUMMYFUNCTION("""COMPUTED_VALUE"""),"veryhard")</f>
        <v/>
      </c>
      <c r="D266" s="408">
        <f>IFERROR(__xludf.DUMMYFUNCTION("""COMPUTED_VALUE"""),"main")</f>
        <v/>
      </c>
      <c r="E266" s="334">
        <f>IFERROR(__xludf.DUMMYFUNCTION("""COMPUTED_VALUE"""),"メインクエスト")</f>
        <v/>
      </c>
      <c r="F266" s="408">
        <f>IFERROR(__xludf.DUMMYFUNCTION("""COMPUTED_VALUE"""),"quest_main_gom_veryhard_2")</f>
        <v/>
      </c>
      <c r="G266" s="334">
        <f>IFERROR(__xludf.DUMMYFUNCTION("""COMPUTED_VALUE"""),"2.姫様“拷問”の時間です")</f>
        <v/>
      </c>
      <c r="H266" s="408">
        <f>IFERROR(__xludf.DUMMYFUNCTION("""COMPUTED_VALUE"""),"04")</f>
        <v/>
      </c>
      <c r="I266" s="334">
        <f>IFERROR(__xludf.DUMMYFUNCTION("""COMPUTED_VALUE"""),"veryhard_gom_00004")</f>
        <v/>
      </c>
      <c r="J266" s="334">
        <f>IFERROR(__xludf.DUMMYFUNCTION("""COMPUTED_VALUE"""),"stage_icon_gom_veryhard_04")</f>
        <v/>
      </c>
      <c r="K266" s="334" t="n"/>
      <c r="L266" s="334" t="n"/>
      <c r="M266" s="334" t="n"/>
      <c r="N266" s="339" t="n"/>
      <c r="O266" s="368" t="n"/>
      <c r="P266" s="334" t="n"/>
    </row>
    <row r="267">
      <c r="A267" s="334">
        <f>IFERROR(__xludf.DUMMYFUNCTION("""COMPUTED_VALUE"""),"gom")</f>
        <v/>
      </c>
      <c r="B267" s="334">
        <f>IFERROR(__xludf.DUMMYFUNCTION("""COMPUTED_VALUE"""),"姫様“拷問”の時間です")</f>
        <v/>
      </c>
      <c r="C267" s="408">
        <f>IFERROR(__xludf.DUMMYFUNCTION("""COMPUTED_VALUE"""),"veryhard")</f>
        <v/>
      </c>
      <c r="D267" s="408">
        <f>IFERROR(__xludf.DUMMYFUNCTION("""COMPUTED_VALUE"""),"main")</f>
        <v/>
      </c>
      <c r="E267" s="334">
        <f>IFERROR(__xludf.DUMMYFUNCTION("""COMPUTED_VALUE"""),"メインクエスト")</f>
        <v/>
      </c>
      <c r="F267" s="408">
        <f>IFERROR(__xludf.DUMMYFUNCTION("""COMPUTED_VALUE"""),"quest_main_gom_veryhard_2")</f>
        <v/>
      </c>
      <c r="G267" s="334">
        <f>IFERROR(__xludf.DUMMYFUNCTION("""COMPUTED_VALUE"""),"2.姫様“拷問”の時間です")</f>
        <v/>
      </c>
      <c r="H267" s="408">
        <f>IFERROR(__xludf.DUMMYFUNCTION("""COMPUTED_VALUE"""),"05")</f>
        <v/>
      </c>
      <c r="I267" s="334">
        <f>IFERROR(__xludf.DUMMYFUNCTION("""COMPUTED_VALUE"""),"veryhard_gom_00005")</f>
        <v/>
      </c>
      <c r="J267" s="334">
        <f>IFERROR(__xludf.DUMMYFUNCTION("""COMPUTED_VALUE"""),"stage_icon_gom_veryhard_05")</f>
        <v/>
      </c>
      <c r="K267" s="334" t="n"/>
      <c r="L267" s="334" t="n"/>
      <c r="M267" s="334" t="n"/>
      <c r="N267" s="339" t="n"/>
      <c r="O267" s="368" t="n"/>
      <c r="P267" s="334" t="n"/>
    </row>
    <row r="268">
      <c r="A268" s="334">
        <f>IFERROR(__xludf.DUMMYFUNCTION("""COMPUTED_VALUE"""),"gom")</f>
        <v/>
      </c>
      <c r="B268" s="334">
        <f>IFERROR(__xludf.DUMMYFUNCTION("""COMPUTED_VALUE"""),"姫様“拷問”の時間です")</f>
        <v/>
      </c>
      <c r="C268" s="408">
        <f>IFERROR(__xludf.DUMMYFUNCTION("""COMPUTED_VALUE"""),"veryhard")</f>
        <v/>
      </c>
      <c r="D268" s="408">
        <f>IFERROR(__xludf.DUMMYFUNCTION("""COMPUTED_VALUE"""),"main")</f>
        <v/>
      </c>
      <c r="E268" s="334">
        <f>IFERROR(__xludf.DUMMYFUNCTION("""COMPUTED_VALUE"""),"メインクエスト")</f>
        <v/>
      </c>
      <c r="F268" s="408">
        <f>IFERROR(__xludf.DUMMYFUNCTION("""COMPUTED_VALUE"""),"quest_main_gom_veryhard_2")</f>
        <v/>
      </c>
      <c r="G268" s="334">
        <f>IFERROR(__xludf.DUMMYFUNCTION("""COMPUTED_VALUE"""),"2.姫様“拷問”の時間です")</f>
        <v/>
      </c>
      <c r="H268" s="408">
        <f>IFERROR(__xludf.DUMMYFUNCTION("""COMPUTED_VALUE"""),"06")</f>
        <v/>
      </c>
      <c r="I268" s="334">
        <f>IFERROR(__xludf.DUMMYFUNCTION("""COMPUTED_VALUE"""),"veryhard_gom_00006")</f>
        <v/>
      </c>
      <c r="J268" s="334">
        <f>IFERROR(__xludf.DUMMYFUNCTION("""COMPUTED_VALUE"""),"stage_icon_gom_veryhard_06")</f>
        <v/>
      </c>
      <c r="K268" s="334" t="n"/>
      <c r="L268" s="334" t="n"/>
      <c r="M268" s="334" t="n"/>
      <c r="N268" s="339" t="n"/>
      <c r="O268" s="368" t="n"/>
      <c r="P268" s="334" t="n"/>
    </row>
    <row r="269">
      <c r="A269" s="334" t="n"/>
      <c r="B269" s="334" t="n"/>
      <c r="C269" s="334" t="n"/>
      <c r="D269" s="334" t="n"/>
      <c r="E269" s="334" t="n"/>
      <c r="F269" s="334" t="n"/>
      <c r="G269" s="334" t="n"/>
      <c r="H269" s="334" t="n"/>
      <c r="I269" s="334" t="n"/>
      <c r="J269" s="334" t="n"/>
      <c r="K269" s="334" t="n"/>
      <c r="L269" s="334" t="n"/>
      <c r="M269" s="334" t="n"/>
      <c r="N269" s="339" t="n"/>
      <c r="O269" s="368" t="n"/>
      <c r="P269" s="334" t="n"/>
    </row>
    <row r="270">
      <c r="A270" s="334">
        <f>IFERROR(__xludf.DUMMYFUNCTION("""COMPUTED_VALUE"""),"aka")</f>
        <v/>
      </c>
      <c r="B270" s="334">
        <f>IFERROR(__xludf.DUMMYFUNCTION("""COMPUTED_VALUE"""),"ラーメン赤猫")</f>
        <v/>
      </c>
      <c r="C270" s="408">
        <f>IFERROR(__xludf.DUMMYFUNCTION("""COMPUTED_VALUE"""),"veryhard")</f>
        <v/>
      </c>
      <c r="D270" s="408">
        <f>IFERROR(__xludf.DUMMYFUNCTION("""COMPUTED_VALUE"""),"main")</f>
        <v/>
      </c>
      <c r="E270" s="334">
        <f>IFERROR(__xludf.DUMMYFUNCTION("""COMPUTED_VALUE"""),"メインクエスト")</f>
        <v/>
      </c>
      <c r="F270" s="408">
        <f>IFERROR(__xludf.DUMMYFUNCTION("""COMPUTED_VALUE"""),"quest_main_aka_veryhard_3")</f>
        <v/>
      </c>
      <c r="G270" s="334">
        <f>IFERROR(__xludf.DUMMYFUNCTION("""COMPUTED_VALUE"""),"3.ラーメン赤猫")</f>
        <v/>
      </c>
      <c r="H270" s="408">
        <f>IFERROR(__xludf.DUMMYFUNCTION("""COMPUTED_VALUE"""),"01")</f>
        <v/>
      </c>
      <c r="I270" s="334">
        <f>IFERROR(__xludf.DUMMYFUNCTION("""COMPUTED_VALUE"""),"veryhard_aka_00001")</f>
        <v/>
      </c>
      <c r="J270" s="334">
        <f>IFERROR(__xludf.DUMMYFUNCTION("""COMPUTED_VALUE"""),"stage_icon_aka_veryhard_01")</f>
        <v/>
      </c>
      <c r="K270" s="334" t="n"/>
      <c r="L270" s="334" t="n"/>
      <c r="M270" s="334" t="n"/>
      <c r="N270" s="339" t="n"/>
      <c r="O270" s="368" t="n"/>
      <c r="P270" s="334" t="n"/>
    </row>
    <row r="271">
      <c r="A271" s="334">
        <f>IFERROR(__xludf.DUMMYFUNCTION("""COMPUTED_VALUE"""),"aka")</f>
        <v/>
      </c>
      <c r="B271" s="334">
        <f>IFERROR(__xludf.DUMMYFUNCTION("""COMPUTED_VALUE"""),"ラーメン赤猫")</f>
        <v/>
      </c>
      <c r="C271" s="408">
        <f>IFERROR(__xludf.DUMMYFUNCTION("""COMPUTED_VALUE"""),"veryhard")</f>
        <v/>
      </c>
      <c r="D271" s="408">
        <f>IFERROR(__xludf.DUMMYFUNCTION("""COMPUTED_VALUE"""),"main")</f>
        <v/>
      </c>
      <c r="E271" s="334">
        <f>IFERROR(__xludf.DUMMYFUNCTION("""COMPUTED_VALUE"""),"メインクエスト")</f>
        <v/>
      </c>
      <c r="F271" s="408">
        <f>IFERROR(__xludf.DUMMYFUNCTION("""COMPUTED_VALUE"""),"quest_main_aka_veryhard_3")</f>
        <v/>
      </c>
      <c r="G271" s="334">
        <f>IFERROR(__xludf.DUMMYFUNCTION("""COMPUTED_VALUE"""),"3.ラーメン赤猫")</f>
        <v/>
      </c>
      <c r="H271" s="408">
        <f>IFERROR(__xludf.DUMMYFUNCTION("""COMPUTED_VALUE"""),"02")</f>
        <v/>
      </c>
      <c r="I271" s="334">
        <f>IFERROR(__xludf.DUMMYFUNCTION("""COMPUTED_VALUE"""),"veryhard_aka_00002")</f>
        <v/>
      </c>
      <c r="J271" s="334">
        <f>IFERROR(__xludf.DUMMYFUNCTION("""COMPUTED_VALUE"""),"stage_icon_aka_veryhard_02")</f>
        <v/>
      </c>
      <c r="K271" s="334" t="n"/>
      <c r="L271" s="334" t="n"/>
      <c r="M271" s="334" t="n"/>
      <c r="N271" s="339" t="n"/>
      <c r="O271" s="368" t="n"/>
      <c r="P271" s="334" t="n"/>
    </row>
    <row r="272">
      <c r="A272" s="334">
        <f>IFERROR(__xludf.DUMMYFUNCTION("""COMPUTED_VALUE"""),"aka")</f>
        <v/>
      </c>
      <c r="B272" s="334">
        <f>IFERROR(__xludf.DUMMYFUNCTION("""COMPUTED_VALUE"""),"ラーメン赤猫")</f>
        <v/>
      </c>
      <c r="C272" s="408">
        <f>IFERROR(__xludf.DUMMYFUNCTION("""COMPUTED_VALUE"""),"veryhard")</f>
        <v/>
      </c>
      <c r="D272" s="408">
        <f>IFERROR(__xludf.DUMMYFUNCTION("""COMPUTED_VALUE"""),"main")</f>
        <v/>
      </c>
      <c r="E272" s="334">
        <f>IFERROR(__xludf.DUMMYFUNCTION("""COMPUTED_VALUE"""),"メインクエスト")</f>
        <v/>
      </c>
      <c r="F272" s="408">
        <f>IFERROR(__xludf.DUMMYFUNCTION("""COMPUTED_VALUE"""),"quest_main_aka_veryhard_3")</f>
        <v/>
      </c>
      <c r="G272" s="334">
        <f>IFERROR(__xludf.DUMMYFUNCTION("""COMPUTED_VALUE"""),"3.ラーメン赤猫")</f>
        <v/>
      </c>
      <c r="H272" s="408">
        <f>IFERROR(__xludf.DUMMYFUNCTION("""COMPUTED_VALUE"""),"03")</f>
        <v/>
      </c>
      <c r="I272" s="334">
        <f>IFERROR(__xludf.DUMMYFUNCTION("""COMPUTED_VALUE"""),"veryhard_aka_00003")</f>
        <v/>
      </c>
      <c r="J272" s="334">
        <f>IFERROR(__xludf.DUMMYFUNCTION("""COMPUTED_VALUE"""),"stage_icon_aka_veryhard_03")</f>
        <v/>
      </c>
      <c r="K272" s="334" t="n"/>
      <c r="L272" s="334" t="n"/>
      <c r="M272" s="334" t="n"/>
      <c r="N272" s="339" t="n"/>
      <c r="O272" s="368" t="n"/>
      <c r="P272" s="334" t="n"/>
    </row>
    <row r="273">
      <c r="A273" s="334" t="n"/>
      <c r="B273" s="334" t="n"/>
      <c r="C273" s="334" t="n"/>
      <c r="D273" s="334" t="n"/>
      <c r="E273" s="334" t="n"/>
      <c r="F273" s="334" t="n"/>
      <c r="G273" s="334" t="n"/>
      <c r="H273" s="334" t="n"/>
      <c r="I273" s="334" t="n"/>
      <c r="J273" s="334" t="n"/>
      <c r="K273" s="334" t="n"/>
      <c r="L273" s="334" t="n"/>
      <c r="M273" s="334" t="n"/>
      <c r="N273" s="339" t="n"/>
      <c r="O273" s="368" t="n"/>
      <c r="P273" s="334" t="n"/>
    </row>
    <row r="274">
      <c r="A274" s="334">
        <f>IFERROR(__xludf.DUMMYFUNCTION("""COMPUTED_VALUE"""),"glo1")</f>
        <v/>
      </c>
      <c r="B274" s="334">
        <f>IFERROR(__xludf.DUMMYFUNCTION("""COMPUTED_VALUE"""),"GLOW")</f>
        <v/>
      </c>
      <c r="C274" s="408">
        <f>IFERROR(__xludf.DUMMYFUNCTION("""COMPUTED_VALUE"""),"veryhard")</f>
        <v/>
      </c>
      <c r="D274" s="408">
        <f>IFERROR(__xludf.DUMMYFUNCTION("""COMPUTED_VALUE"""),"main")</f>
        <v/>
      </c>
      <c r="E274" s="334">
        <f>IFERROR(__xludf.DUMMYFUNCTION("""COMPUTED_VALUE"""),"メインクエスト")</f>
        <v/>
      </c>
      <c r="F274" s="408">
        <f>IFERROR(__xludf.DUMMYFUNCTION("""COMPUTED_VALUE"""),"quest_main_glo1_veryhard_4")</f>
        <v/>
      </c>
      <c r="G274" s="334">
        <f>IFERROR(__xludf.DUMMYFUNCTION("""COMPUTED_VALUE"""),"4.リミックスクエスト Vol.1")</f>
        <v/>
      </c>
      <c r="H274" s="408">
        <f>IFERROR(__xludf.DUMMYFUNCTION("""COMPUTED_VALUE"""),"01")</f>
        <v/>
      </c>
      <c r="I274" s="334">
        <f>IFERROR(__xludf.DUMMYFUNCTION("""COMPUTED_VALUE"""),"veryhard_glo1_00001")</f>
        <v/>
      </c>
      <c r="J274" s="334">
        <f>IFERROR(__xludf.DUMMYFUNCTION("""COMPUTED_VALUE"""),"stage_icon_glo1_veryhard_01")</f>
        <v/>
      </c>
      <c r="K274" s="334" t="n"/>
      <c r="L274" s="334" t="n"/>
      <c r="M274" s="334" t="n"/>
      <c r="N274" s="339" t="n"/>
      <c r="O274" s="368" t="n"/>
      <c r="P274" s="334" t="n"/>
    </row>
    <row r="275">
      <c r="A275" s="334">
        <f>IFERROR(__xludf.DUMMYFUNCTION("""COMPUTED_VALUE"""),"glo1")</f>
        <v/>
      </c>
      <c r="B275" s="334">
        <f>IFERROR(__xludf.DUMMYFUNCTION("""COMPUTED_VALUE"""),"GLOW")</f>
        <v/>
      </c>
      <c r="C275" s="408">
        <f>IFERROR(__xludf.DUMMYFUNCTION("""COMPUTED_VALUE"""),"veryhard")</f>
        <v/>
      </c>
      <c r="D275" s="408">
        <f>IFERROR(__xludf.DUMMYFUNCTION("""COMPUTED_VALUE"""),"main")</f>
        <v/>
      </c>
      <c r="E275" s="334">
        <f>IFERROR(__xludf.DUMMYFUNCTION("""COMPUTED_VALUE"""),"メインクエスト")</f>
        <v/>
      </c>
      <c r="F275" s="408">
        <f>IFERROR(__xludf.DUMMYFUNCTION("""COMPUTED_VALUE"""),"quest_main_glo1_veryhard_4")</f>
        <v/>
      </c>
      <c r="G275" s="334">
        <f>IFERROR(__xludf.DUMMYFUNCTION("""COMPUTED_VALUE"""),"4.リミックスクエスト Vol.1")</f>
        <v/>
      </c>
      <c r="H275" s="408">
        <f>IFERROR(__xludf.DUMMYFUNCTION("""COMPUTED_VALUE"""),"02")</f>
        <v/>
      </c>
      <c r="I275" s="334">
        <f>IFERROR(__xludf.DUMMYFUNCTION("""COMPUTED_VALUE"""),"veryhard_glo1_00002")</f>
        <v/>
      </c>
      <c r="J275" s="334">
        <f>IFERROR(__xludf.DUMMYFUNCTION("""COMPUTED_VALUE"""),"stage_icon_glo1_veryhard_02")</f>
        <v/>
      </c>
      <c r="K275" s="334" t="n"/>
      <c r="L275" s="334" t="n"/>
      <c r="M275" s="334" t="n"/>
      <c r="N275" s="339" t="n"/>
      <c r="O275" s="368" t="n"/>
      <c r="P275" s="334" t="n"/>
    </row>
    <row r="276">
      <c r="A276" s="334">
        <f>IFERROR(__xludf.DUMMYFUNCTION("""COMPUTED_VALUE"""),"glo1")</f>
        <v/>
      </c>
      <c r="B276" s="334">
        <f>IFERROR(__xludf.DUMMYFUNCTION("""COMPUTED_VALUE"""),"GLOW")</f>
        <v/>
      </c>
      <c r="C276" s="408">
        <f>IFERROR(__xludf.DUMMYFUNCTION("""COMPUTED_VALUE"""),"veryhard")</f>
        <v/>
      </c>
      <c r="D276" s="408">
        <f>IFERROR(__xludf.DUMMYFUNCTION("""COMPUTED_VALUE"""),"main")</f>
        <v/>
      </c>
      <c r="E276" s="334">
        <f>IFERROR(__xludf.DUMMYFUNCTION("""COMPUTED_VALUE"""),"メインクエスト")</f>
        <v/>
      </c>
      <c r="F276" s="408">
        <f>IFERROR(__xludf.DUMMYFUNCTION("""COMPUTED_VALUE"""),"quest_main_glo1_veryhard_4")</f>
        <v/>
      </c>
      <c r="G276" s="334">
        <f>IFERROR(__xludf.DUMMYFUNCTION("""COMPUTED_VALUE"""),"4.リミックスクエスト Vol.1")</f>
        <v/>
      </c>
      <c r="H276" s="408">
        <f>IFERROR(__xludf.DUMMYFUNCTION("""COMPUTED_VALUE"""),"03")</f>
        <v/>
      </c>
      <c r="I276" s="334">
        <f>IFERROR(__xludf.DUMMYFUNCTION("""COMPUTED_VALUE"""),"veryhard_glo1_00003")</f>
        <v/>
      </c>
      <c r="J276" s="334">
        <f>IFERROR(__xludf.DUMMYFUNCTION("""COMPUTED_VALUE"""),"stage_icon_glo1_veryhard_03")</f>
        <v/>
      </c>
      <c r="K276" s="334" t="n"/>
      <c r="L276" s="334" t="n"/>
      <c r="M276" s="334" t="n"/>
      <c r="N276" s="339" t="n"/>
      <c r="O276" s="368" t="n"/>
      <c r="P276" s="334" t="n"/>
    </row>
    <row r="277">
      <c r="A277" s="334">
        <f>IFERROR(__xludf.DUMMYFUNCTION("""COMPUTED_VALUE"""),"glo1")</f>
        <v/>
      </c>
      <c r="B277" s="334">
        <f>IFERROR(__xludf.DUMMYFUNCTION("""COMPUTED_VALUE"""),"GLOW")</f>
        <v/>
      </c>
      <c r="C277" s="408">
        <f>IFERROR(__xludf.DUMMYFUNCTION("""COMPUTED_VALUE"""),"veryhard")</f>
        <v/>
      </c>
      <c r="D277" s="408">
        <f>IFERROR(__xludf.DUMMYFUNCTION("""COMPUTED_VALUE"""),"main")</f>
        <v/>
      </c>
      <c r="E277" s="334">
        <f>IFERROR(__xludf.DUMMYFUNCTION("""COMPUTED_VALUE"""),"メインクエスト")</f>
        <v/>
      </c>
      <c r="F277" s="408">
        <f>IFERROR(__xludf.DUMMYFUNCTION("""COMPUTED_VALUE"""),"quest_main_glo1_veryhard_4")</f>
        <v/>
      </c>
      <c r="G277" s="334">
        <f>IFERROR(__xludf.DUMMYFUNCTION("""COMPUTED_VALUE"""),"4.リミックスクエスト Vol.1")</f>
        <v/>
      </c>
      <c r="H277" s="408">
        <f>IFERROR(__xludf.DUMMYFUNCTION("""COMPUTED_VALUE"""),"04")</f>
        <v/>
      </c>
      <c r="I277" s="334">
        <f>IFERROR(__xludf.DUMMYFUNCTION("""COMPUTED_VALUE"""),"veryhard_glo1_00004")</f>
        <v/>
      </c>
      <c r="J277" s="334">
        <f>IFERROR(__xludf.DUMMYFUNCTION("""COMPUTED_VALUE"""),"stage_icon_glo1_veryhard_04")</f>
        <v/>
      </c>
      <c r="K277" s="334" t="n"/>
      <c r="L277" s="334" t="n"/>
      <c r="M277" s="334" t="n"/>
      <c r="N277" s="339" t="n"/>
      <c r="O277" s="368" t="n"/>
      <c r="P277" s="334" t="n"/>
    </row>
    <row r="278">
      <c r="A278" s="334">
        <f>IFERROR(__xludf.DUMMYFUNCTION("""COMPUTED_VALUE"""),"glo1")</f>
        <v/>
      </c>
      <c r="B278" s="334">
        <f>IFERROR(__xludf.DUMMYFUNCTION("""COMPUTED_VALUE"""),"GLOW")</f>
        <v/>
      </c>
      <c r="C278" s="408">
        <f>IFERROR(__xludf.DUMMYFUNCTION("""COMPUTED_VALUE"""),"veryhard")</f>
        <v/>
      </c>
      <c r="D278" s="408">
        <f>IFERROR(__xludf.DUMMYFUNCTION("""COMPUTED_VALUE"""),"main")</f>
        <v/>
      </c>
      <c r="E278" s="334">
        <f>IFERROR(__xludf.DUMMYFUNCTION("""COMPUTED_VALUE"""),"メインクエスト")</f>
        <v/>
      </c>
      <c r="F278" s="408">
        <f>IFERROR(__xludf.DUMMYFUNCTION("""COMPUTED_VALUE"""),"quest_main_glo1_veryhard_4")</f>
        <v/>
      </c>
      <c r="G278" s="334">
        <f>IFERROR(__xludf.DUMMYFUNCTION("""COMPUTED_VALUE"""),"4.リミックスクエスト Vol.1")</f>
        <v/>
      </c>
      <c r="H278" s="408">
        <f>IFERROR(__xludf.DUMMYFUNCTION("""COMPUTED_VALUE"""),"05")</f>
        <v/>
      </c>
      <c r="I278" s="334">
        <f>IFERROR(__xludf.DUMMYFUNCTION("""COMPUTED_VALUE"""),"veryhard_glo1_00005")</f>
        <v/>
      </c>
      <c r="J278" s="334">
        <f>IFERROR(__xludf.DUMMYFUNCTION("""COMPUTED_VALUE"""),"stage_icon_glo1_veryhard_05")</f>
        <v/>
      </c>
      <c r="K278" s="334" t="n"/>
      <c r="L278" s="334" t="n"/>
      <c r="M278" s="334" t="n"/>
      <c r="N278" s="339" t="n"/>
      <c r="O278" s="368" t="n"/>
      <c r="P278" s="334" t="n"/>
    </row>
    <row r="279">
      <c r="A279" s="334">
        <f>IFERROR(__xludf.DUMMYFUNCTION("""COMPUTED_VALUE"""),"glo1")</f>
        <v/>
      </c>
      <c r="B279" s="334">
        <f>IFERROR(__xludf.DUMMYFUNCTION("""COMPUTED_VALUE"""),"GLOW")</f>
        <v/>
      </c>
      <c r="C279" s="408">
        <f>IFERROR(__xludf.DUMMYFUNCTION("""COMPUTED_VALUE"""),"veryhard")</f>
        <v/>
      </c>
      <c r="D279" s="408">
        <f>IFERROR(__xludf.DUMMYFUNCTION("""COMPUTED_VALUE"""),"main")</f>
        <v/>
      </c>
      <c r="E279" s="334">
        <f>IFERROR(__xludf.DUMMYFUNCTION("""COMPUTED_VALUE"""),"メインクエスト")</f>
        <v/>
      </c>
      <c r="F279" s="408">
        <f>IFERROR(__xludf.DUMMYFUNCTION("""COMPUTED_VALUE"""),"quest_main_glo1_veryhard_4")</f>
        <v/>
      </c>
      <c r="G279" s="334">
        <f>IFERROR(__xludf.DUMMYFUNCTION("""COMPUTED_VALUE"""),"4.リミックスクエスト Vol.1")</f>
        <v/>
      </c>
      <c r="H279" s="408">
        <f>IFERROR(__xludf.DUMMYFUNCTION("""COMPUTED_VALUE"""),"06")</f>
        <v/>
      </c>
      <c r="I279" s="334">
        <f>IFERROR(__xludf.DUMMYFUNCTION("""COMPUTED_VALUE"""),"veryhard_glo1_00006")</f>
        <v/>
      </c>
      <c r="J279" s="334">
        <f>IFERROR(__xludf.DUMMYFUNCTION("""COMPUTED_VALUE"""),"stage_icon_glo1_veryhard_06")</f>
        <v/>
      </c>
      <c r="K279" s="334" t="n"/>
      <c r="L279" s="334" t="n"/>
      <c r="M279" s="334" t="n"/>
      <c r="N279" s="339" t="n"/>
      <c r="O279" s="368" t="n"/>
      <c r="P279" s="334" t="n"/>
    </row>
    <row r="280">
      <c r="A280" s="334" t="n"/>
      <c r="B280" s="334" t="n"/>
      <c r="C280" s="334" t="n"/>
      <c r="D280" s="334" t="n"/>
      <c r="E280" s="334" t="n"/>
      <c r="F280" s="334" t="n"/>
      <c r="G280" s="334" t="n"/>
      <c r="H280" s="334" t="n"/>
      <c r="I280" s="334" t="n"/>
      <c r="J280" s="334" t="n"/>
      <c r="K280" s="334" t="n"/>
      <c r="L280" s="334" t="n"/>
      <c r="M280" s="334" t="n"/>
      <c r="N280" s="339" t="n"/>
      <c r="O280" s="368" t="n"/>
      <c r="P280" s="334" t="n"/>
    </row>
    <row r="281">
      <c r="A281" s="334">
        <f>IFERROR(__xludf.DUMMYFUNCTION("""COMPUTED_VALUE"""),"dan")</f>
        <v/>
      </c>
      <c r="B281" s="334">
        <f>IFERROR(__xludf.DUMMYFUNCTION("""COMPUTED_VALUE"""),"ダンダダン")</f>
        <v/>
      </c>
      <c r="C281" s="408">
        <f>IFERROR(__xludf.DUMMYFUNCTION("""COMPUTED_VALUE"""),"veryhard")</f>
        <v/>
      </c>
      <c r="D281" s="408">
        <f>IFERROR(__xludf.DUMMYFUNCTION("""COMPUTED_VALUE"""),"main")</f>
        <v/>
      </c>
      <c r="E281" s="334">
        <f>IFERROR(__xludf.DUMMYFUNCTION("""COMPUTED_VALUE"""),"メインクエスト")</f>
        <v/>
      </c>
      <c r="F281" s="408">
        <f>IFERROR(__xludf.DUMMYFUNCTION("""COMPUTED_VALUE"""),"quest_main_dan_veryhard_5")</f>
        <v/>
      </c>
      <c r="G281" s="334">
        <f>IFERROR(__xludf.DUMMYFUNCTION("""COMPUTED_VALUE"""),"5.ダンダダン")</f>
        <v/>
      </c>
      <c r="H281" s="408">
        <f>IFERROR(__xludf.DUMMYFUNCTION("""COMPUTED_VALUE"""),"01")</f>
        <v/>
      </c>
      <c r="I281" s="334">
        <f>IFERROR(__xludf.DUMMYFUNCTION("""COMPUTED_VALUE"""),"veryhard_dan_00001")</f>
        <v/>
      </c>
      <c r="J281" s="334">
        <f>IFERROR(__xludf.DUMMYFUNCTION("""COMPUTED_VALUE"""),"stage_icon_dan_veryhard_01")</f>
        <v/>
      </c>
      <c r="K281" s="334" t="n"/>
      <c r="L281" s="334" t="n"/>
      <c r="M281" s="334" t="n"/>
      <c r="N281" s="339" t="n"/>
      <c r="O281" s="368" t="n"/>
      <c r="P281" s="334" t="n"/>
    </row>
    <row r="282">
      <c r="A282" s="334">
        <f>IFERROR(__xludf.DUMMYFUNCTION("""COMPUTED_VALUE"""),"dan")</f>
        <v/>
      </c>
      <c r="B282" s="334">
        <f>IFERROR(__xludf.DUMMYFUNCTION("""COMPUTED_VALUE"""),"ダンダダン")</f>
        <v/>
      </c>
      <c r="C282" s="408">
        <f>IFERROR(__xludf.DUMMYFUNCTION("""COMPUTED_VALUE"""),"veryhard")</f>
        <v/>
      </c>
      <c r="D282" s="408">
        <f>IFERROR(__xludf.DUMMYFUNCTION("""COMPUTED_VALUE"""),"main")</f>
        <v/>
      </c>
      <c r="E282" s="334">
        <f>IFERROR(__xludf.DUMMYFUNCTION("""COMPUTED_VALUE"""),"メインクエスト")</f>
        <v/>
      </c>
      <c r="F282" s="408">
        <f>IFERROR(__xludf.DUMMYFUNCTION("""COMPUTED_VALUE"""),"quest_main_dan_veryhard_5")</f>
        <v/>
      </c>
      <c r="G282" s="334">
        <f>IFERROR(__xludf.DUMMYFUNCTION("""COMPUTED_VALUE"""),"5.ダンダダン")</f>
        <v/>
      </c>
      <c r="H282" s="408">
        <f>IFERROR(__xludf.DUMMYFUNCTION("""COMPUTED_VALUE"""),"02")</f>
        <v/>
      </c>
      <c r="I282" s="334">
        <f>IFERROR(__xludf.DUMMYFUNCTION("""COMPUTED_VALUE"""),"veryhard_dan_00002")</f>
        <v/>
      </c>
      <c r="J282" s="334">
        <f>IFERROR(__xludf.DUMMYFUNCTION("""COMPUTED_VALUE"""),"stage_icon_dan_veryhard_02")</f>
        <v/>
      </c>
      <c r="K282" s="334" t="n"/>
      <c r="L282" s="334" t="n"/>
      <c r="M282" s="334" t="n"/>
      <c r="N282" s="339" t="n"/>
      <c r="O282" s="368" t="n"/>
      <c r="P282" s="334" t="n"/>
    </row>
    <row r="283">
      <c r="A283" s="334">
        <f>IFERROR(__xludf.DUMMYFUNCTION("""COMPUTED_VALUE"""),"dan")</f>
        <v/>
      </c>
      <c r="B283" s="334">
        <f>IFERROR(__xludf.DUMMYFUNCTION("""COMPUTED_VALUE"""),"ダンダダン")</f>
        <v/>
      </c>
      <c r="C283" s="408">
        <f>IFERROR(__xludf.DUMMYFUNCTION("""COMPUTED_VALUE"""),"veryhard")</f>
        <v/>
      </c>
      <c r="D283" s="408">
        <f>IFERROR(__xludf.DUMMYFUNCTION("""COMPUTED_VALUE"""),"main")</f>
        <v/>
      </c>
      <c r="E283" s="334">
        <f>IFERROR(__xludf.DUMMYFUNCTION("""COMPUTED_VALUE"""),"メインクエスト")</f>
        <v/>
      </c>
      <c r="F283" s="408">
        <f>IFERROR(__xludf.DUMMYFUNCTION("""COMPUTED_VALUE"""),"quest_main_dan_veryhard_5")</f>
        <v/>
      </c>
      <c r="G283" s="334">
        <f>IFERROR(__xludf.DUMMYFUNCTION("""COMPUTED_VALUE"""),"5.ダンダダン")</f>
        <v/>
      </c>
      <c r="H283" s="408">
        <f>IFERROR(__xludf.DUMMYFUNCTION("""COMPUTED_VALUE"""),"03")</f>
        <v/>
      </c>
      <c r="I283" s="334">
        <f>IFERROR(__xludf.DUMMYFUNCTION("""COMPUTED_VALUE"""),"veryhard_dan_00003")</f>
        <v/>
      </c>
      <c r="J283" s="334">
        <f>IFERROR(__xludf.DUMMYFUNCTION("""COMPUTED_VALUE"""),"stage_icon_dan_veryhard_03")</f>
        <v/>
      </c>
      <c r="K283" s="334" t="n"/>
      <c r="L283" s="334" t="n"/>
      <c r="M283" s="334" t="n"/>
      <c r="N283" s="339" t="n"/>
      <c r="O283" s="368" t="n"/>
      <c r="P283" s="334" t="n"/>
    </row>
    <row r="284">
      <c r="A284" s="334">
        <f>IFERROR(__xludf.DUMMYFUNCTION("""COMPUTED_VALUE"""),"dan")</f>
        <v/>
      </c>
      <c r="B284" s="334">
        <f>IFERROR(__xludf.DUMMYFUNCTION("""COMPUTED_VALUE"""),"ダンダダン")</f>
        <v/>
      </c>
      <c r="C284" s="408">
        <f>IFERROR(__xludf.DUMMYFUNCTION("""COMPUTED_VALUE"""),"veryhard")</f>
        <v/>
      </c>
      <c r="D284" s="408">
        <f>IFERROR(__xludf.DUMMYFUNCTION("""COMPUTED_VALUE"""),"main")</f>
        <v/>
      </c>
      <c r="E284" s="334">
        <f>IFERROR(__xludf.DUMMYFUNCTION("""COMPUTED_VALUE"""),"メインクエスト")</f>
        <v/>
      </c>
      <c r="F284" s="408">
        <f>IFERROR(__xludf.DUMMYFUNCTION("""COMPUTED_VALUE"""),"quest_main_dan_veryhard_5")</f>
        <v/>
      </c>
      <c r="G284" s="334">
        <f>IFERROR(__xludf.DUMMYFUNCTION("""COMPUTED_VALUE"""),"5.ダンダダン")</f>
        <v/>
      </c>
      <c r="H284" s="408">
        <f>IFERROR(__xludf.DUMMYFUNCTION("""COMPUTED_VALUE"""),"04")</f>
        <v/>
      </c>
      <c r="I284" s="334">
        <f>IFERROR(__xludf.DUMMYFUNCTION("""COMPUTED_VALUE"""),"veryhard_dan_00004")</f>
        <v/>
      </c>
      <c r="J284" s="334">
        <f>IFERROR(__xludf.DUMMYFUNCTION("""COMPUTED_VALUE"""),"stage_icon_dan_veryhard_04")</f>
        <v/>
      </c>
      <c r="K284" s="334" t="n"/>
      <c r="L284" s="334" t="n"/>
      <c r="M284" s="334" t="n"/>
      <c r="N284" s="339" t="n"/>
      <c r="O284" s="368" t="n"/>
      <c r="P284" s="334" t="n"/>
    </row>
    <row r="285">
      <c r="A285" s="334">
        <f>IFERROR(__xludf.DUMMYFUNCTION("""COMPUTED_VALUE"""),"dan")</f>
        <v/>
      </c>
      <c r="B285" s="334">
        <f>IFERROR(__xludf.DUMMYFUNCTION("""COMPUTED_VALUE"""),"ダンダダン")</f>
        <v/>
      </c>
      <c r="C285" s="408">
        <f>IFERROR(__xludf.DUMMYFUNCTION("""COMPUTED_VALUE"""),"veryhard")</f>
        <v/>
      </c>
      <c r="D285" s="408">
        <f>IFERROR(__xludf.DUMMYFUNCTION("""COMPUTED_VALUE"""),"main")</f>
        <v/>
      </c>
      <c r="E285" s="334">
        <f>IFERROR(__xludf.DUMMYFUNCTION("""COMPUTED_VALUE"""),"メインクエスト")</f>
        <v/>
      </c>
      <c r="F285" s="408">
        <f>IFERROR(__xludf.DUMMYFUNCTION("""COMPUTED_VALUE"""),"quest_main_dan_veryhard_5")</f>
        <v/>
      </c>
      <c r="G285" s="334">
        <f>IFERROR(__xludf.DUMMYFUNCTION("""COMPUTED_VALUE"""),"5.ダンダダン")</f>
        <v/>
      </c>
      <c r="H285" s="408">
        <f>IFERROR(__xludf.DUMMYFUNCTION("""COMPUTED_VALUE"""),"05")</f>
        <v/>
      </c>
      <c r="I285" s="334">
        <f>IFERROR(__xludf.DUMMYFUNCTION("""COMPUTED_VALUE"""),"veryhard_dan_00005")</f>
        <v/>
      </c>
      <c r="J285" s="334">
        <f>IFERROR(__xludf.DUMMYFUNCTION("""COMPUTED_VALUE"""),"stage_icon_dan_veryhard_05")</f>
        <v/>
      </c>
      <c r="K285" s="334" t="n"/>
      <c r="L285" s="334" t="n"/>
      <c r="M285" s="334" t="n"/>
      <c r="N285" s="339" t="n"/>
      <c r="O285" s="368" t="n"/>
      <c r="P285" s="334" t="n"/>
    </row>
    <row r="286">
      <c r="A286" s="334">
        <f>IFERROR(__xludf.DUMMYFUNCTION("""COMPUTED_VALUE"""),"dan")</f>
        <v/>
      </c>
      <c r="B286" s="334">
        <f>IFERROR(__xludf.DUMMYFUNCTION("""COMPUTED_VALUE"""),"ダンダダン")</f>
        <v/>
      </c>
      <c r="C286" s="408">
        <f>IFERROR(__xludf.DUMMYFUNCTION("""COMPUTED_VALUE"""),"veryhard")</f>
        <v/>
      </c>
      <c r="D286" s="408">
        <f>IFERROR(__xludf.DUMMYFUNCTION("""COMPUTED_VALUE"""),"main")</f>
        <v/>
      </c>
      <c r="E286" s="334">
        <f>IFERROR(__xludf.DUMMYFUNCTION("""COMPUTED_VALUE"""),"メインクエスト")</f>
        <v/>
      </c>
      <c r="F286" s="408">
        <f>IFERROR(__xludf.DUMMYFUNCTION("""COMPUTED_VALUE"""),"quest_main_dan_veryhard_5")</f>
        <v/>
      </c>
      <c r="G286" s="334">
        <f>IFERROR(__xludf.DUMMYFUNCTION("""COMPUTED_VALUE"""),"5.ダンダダン")</f>
        <v/>
      </c>
      <c r="H286" s="408">
        <f>IFERROR(__xludf.DUMMYFUNCTION("""COMPUTED_VALUE"""),"06")</f>
        <v/>
      </c>
      <c r="I286" s="334">
        <f>IFERROR(__xludf.DUMMYFUNCTION("""COMPUTED_VALUE"""),"veryhard_dan_00006")</f>
        <v/>
      </c>
      <c r="J286" s="334">
        <f>IFERROR(__xludf.DUMMYFUNCTION("""COMPUTED_VALUE"""),"stage_icon_dan_veryhard_06")</f>
        <v/>
      </c>
      <c r="K286" s="334" t="n"/>
      <c r="L286" s="334" t="n"/>
      <c r="M286" s="334" t="n"/>
      <c r="N286" s="339" t="n"/>
      <c r="O286" s="368" t="n"/>
      <c r="P286" s="334" t="n"/>
    </row>
    <row r="287">
      <c r="A287" s="334" t="n"/>
      <c r="B287" s="334" t="n"/>
      <c r="C287" s="334" t="n"/>
      <c r="D287" s="334" t="n"/>
      <c r="E287" s="334" t="n"/>
      <c r="F287" s="334" t="n"/>
      <c r="G287" s="334" t="n"/>
      <c r="H287" s="334" t="n"/>
      <c r="I287" s="334" t="n"/>
      <c r="J287" s="334" t="n"/>
      <c r="K287" s="334" t="n"/>
      <c r="L287" s="334" t="n"/>
      <c r="M287" s="334" t="n"/>
      <c r="N287" s="339" t="n"/>
      <c r="O287" s="368" t="n"/>
      <c r="P287" s="334" t="n"/>
    </row>
    <row r="288">
      <c r="A288" s="334">
        <f>IFERROR(__xludf.DUMMYFUNCTION("""COMPUTED_VALUE"""),"jig")</f>
        <v/>
      </c>
      <c r="B288" s="334">
        <f>IFERROR(__xludf.DUMMYFUNCTION("""COMPUTED_VALUE"""),"地獄楽")</f>
        <v/>
      </c>
      <c r="C288" s="408">
        <f>IFERROR(__xludf.DUMMYFUNCTION("""COMPUTED_VALUE"""),"veryhard")</f>
        <v/>
      </c>
      <c r="D288" s="408">
        <f>IFERROR(__xludf.DUMMYFUNCTION("""COMPUTED_VALUE"""),"main")</f>
        <v/>
      </c>
      <c r="E288" s="334">
        <f>IFERROR(__xludf.DUMMYFUNCTION("""COMPUTED_VALUE"""),"メインクエスト")</f>
        <v/>
      </c>
      <c r="F288" s="408">
        <f>IFERROR(__xludf.DUMMYFUNCTION("""COMPUTED_VALUE"""),"quest_main_jig_veryhard_6")</f>
        <v/>
      </c>
      <c r="G288" s="334">
        <f>IFERROR(__xludf.DUMMYFUNCTION("""COMPUTED_VALUE"""),"6.地獄楽")</f>
        <v/>
      </c>
      <c r="H288" s="408">
        <f>IFERROR(__xludf.DUMMYFUNCTION("""COMPUTED_VALUE"""),"01")</f>
        <v/>
      </c>
      <c r="I288" s="334">
        <f>IFERROR(__xludf.DUMMYFUNCTION("""COMPUTED_VALUE"""),"veryhard_jig_00001")</f>
        <v/>
      </c>
      <c r="J288" s="334">
        <f>IFERROR(__xludf.DUMMYFUNCTION("""COMPUTED_VALUE"""),"stage_icon_jig_veryhard_01")</f>
        <v/>
      </c>
      <c r="K288" s="334" t="n"/>
      <c r="L288" s="334" t="n"/>
      <c r="M288" s="334" t="n"/>
      <c r="N288" s="339" t="n"/>
      <c r="O288" s="368" t="n"/>
      <c r="P288" s="334" t="n"/>
    </row>
    <row r="289">
      <c r="A289" s="334">
        <f>IFERROR(__xludf.DUMMYFUNCTION("""COMPUTED_VALUE"""),"jig")</f>
        <v/>
      </c>
      <c r="B289" s="334">
        <f>IFERROR(__xludf.DUMMYFUNCTION("""COMPUTED_VALUE"""),"地獄楽")</f>
        <v/>
      </c>
      <c r="C289" s="408">
        <f>IFERROR(__xludf.DUMMYFUNCTION("""COMPUTED_VALUE"""),"veryhard")</f>
        <v/>
      </c>
      <c r="D289" s="408">
        <f>IFERROR(__xludf.DUMMYFUNCTION("""COMPUTED_VALUE"""),"main")</f>
        <v/>
      </c>
      <c r="E289" s="334">
        <f>IFERROR(__xludf.DUMMYFUNCTION("""COMPUTED_VALUE"""),"メインクエスト")</f>
        <v/>
      </c>
      <c r="F289" s="408">
        <f>IFERROR(__xludf.DUMMYFUNCTION("""COMPUTED_VALUE"""),"quest_main_jig_veryhard_6")</f>
        <v/>
      </c>
      <c r="G289" s="334">
        <f>IFERROR(__xludf.DUMMYFUNCTION("""COMPUTED_VALUE"""),"6.地獄楽")</f>
        <v/>
      </c>
      <c r="H289" s="408">
        <f>IFERROR(__xludf.DUMMYFUNCTION("""COMPUTED_VALUE"""),"02")</f>
        <v/>
      </c>
      <c r="I289" s="334">
        <f>IFERROR(__xludf.DUMMYFUNCTION("""COMPUTED_VALUE"""),"veryhard_jig_00002")</f>
        <v/>
      </c>
      <c r="J289" s="334">
        <f>IFERROR(__xludf.DUMMYFUNCTION("""COMPUTED_VALUE"""),"stage_icon_jig_veryhard_02")</f>
        <v/>
      </c>
      <c r="K289" s="334" t="n"/>
      <c r="L289" s="334" t="n"/>
      <c r="M289" s="334" t="n"/>
      <c r="N289" s="339" t="n"/>
      <c r="O289" s="368" t="n"/>
      <c r="P289" s="334" t="n"/>
    </row>
    <row r="290">
      <c r="A290" s="334">
        <f>IFERROR(__xludf.DUMMYFUNCTION("""COMPUTED_VALUE"""),"jig")</f>
        <v/>
      </c>
      <c r="B290" s="334">
        <f>IFERROR(__xludf.DUMMYFUNCTION("""COMPUTED_VALUE"""),"地獄楽")</f>
        <v/>
      </c>
      <c r="C290" s="408">
        <f>IFERROR(__xludf.DUMMYFUNCTION("""COMPUTED_VALUE"""),"veryhard")</f>
        <v/>
      </c>
      <c r="D290" s="408">
        <f>IFERROR(__xludf.DUMMYFUNCTION("""COMPUTED_VALUE"""),"main")</f>
        <v/>
      </c>
      <c r="E290" s="334">
        <f>IFERROR(__xludf.DUMMYFUNCTION("""COMPUTED_VALUE"""),"メインクエスト")</f>
        <v/>
      </c>
      <c r="F290" s="408">
        <f>IFERROR(__xludf.DUMMYFUNCTION("""COMPUTED_VALUE"""),"quest_main_jig_veryhard_6")</f>
        <v/>
      </c>
      <c r="G290" s="334">
        <f>IFERROR(__xludf.DUMMYFUNCTION("""COMPUTED_VALUE"""),"6.地獄楽")</f>
        <v/>
      </c>
      <c r="H290" s="408">
        <f>IFERROR(__xludf.DUMMYFUNCTION("""COMPUTED_VALUE"""),"03")</f>
        <v/>
      </c>
      <c r="I290" s="334">
        <f>IFERROR(__xludf.DUMMYFUNCTION("""COMPUTED_VALUE"""),"veryhard_jig_00003")</f>
        <v/>
      </c>
      <c r="J290" s="334">
        <f>IFERROR(__xludf.DUMMYFUNCTION("""COMPUTED_VALUE"""),"stage_icon_jig_veryhard_03")</f>
        <v/>
      </c>
      <c r="K290" s="334" t="n"/>
      <c r="L290" s="334" t="n"/>
      <c r="M290" s="334" t="n"/>
      <c r="N290" s="339" t="n"/>
      <c r="O290" s="368" t="n"/>
      <c r="P290" s="334" t="n"/>
    </row>
    <row r="291">
      <c r="A291" s="334">
        <f>IFERROR(__xludf.DUMMYFUNCTION("""COMPUTED_VALUE"""),"jig")</f>
        <v/>
      </c>
      <c r="B291" s="334">
        <f>IFERROR(__xludf.DUMMYFUNCTION("""COMPUTED_VALUE"""),"地獄楽")</f>
        <v/>
      </c>
      <c r="C291" s="408">
        <f>IFERROR(__xludf.DUMMYFUNCTION("""COMPUTED_VALUE"""),"veryhard")</f>
        <v/>
      </c>
      <c r="D291" s="408">
        <f>IFERROR(__xludf.DUMMYFUNCTION("""COMPUTED_VALUE"""),"main")</f>
        <v/>
      </c>
      <c r="E291" s="334">
        <f>IFERROR(__xludf.DUMMYFUNCTION("""COMPUTED_VALUE"""),"メインクエスト")</f>
        <v/>
      </c>
      <c r="F291" s="408">
        <f>IFERROR(__xludf.DUMMYFUNCTION("""COMPUTED_VALUE"""),"quest_main_jig_veryhard_6")</f>
        <v/>
      </c>
      <c r="G291" s="334">
        <f>IFERROR(__xludf.DUMMYFUNCTION("""COMPUTED_VALUE"""),"6.地獄楽")</f>
        <v/>
      </c>
      <c r="H291" s="408">
        <f>IFERROR(__xludf.DUMMYFUNCTION("""COMPUTED_VALUE"""),"04")</f>
        <v/>
      </c>
      <c r="I291" s="334">
        <f>IFERROR(__xludf.DUMMYFUNCTION("""COMPUTED_VALUE"""),"veryhard_jig_00004")</f>
        <v/>
      </c>
      <c r="J291" s="334">
        <f>IFERROR(__xludf.DUMMYFUNCTION("""COMPUTED_VALUE"""),"stage_icon_jig_veryhard_04")</f>
        <v/>
      </c>
      <c r="K291" s="334" t="n"/>
      <c r="L291" s="334" t="n"/>
      <c r="M291" s="334" t="n"/>
      <c r="N291" s="339" t="n"/>
      <c r="O291" s="368" t="n"/>
      <c r="P291" s="334" t="n"/>
    </row>
    <row r="292">
      <c r="A292" s="334">
        <f>IFERROR(__xludf.DUMMYFUNCTION("""COMPUTED_VALUE"""),"jig")</f>
        <v/>
      </c>
      <c r="B292" s="334">
        <f>IFERROR(__xludf.DUMMYFUNCTION("""COMPUTED_VALUE"""),"地獄楽")</f>
        <v/>
      </c>
      <c r="C292" s="408">
        <f>IFERROR(__xludf.DUMMYFUNCTION("""COMPUTED_VALUE"""),"veryhard")</f>
        <v/>
      </c>
      <c r="D292" s="408">
        <f>IFERROR(__xludf.DUMMYFUNCTION("""COMPUTED_VALUE"""),"main")</f>
        <v/>
      </c>
      <c r="E292" s="334">
        <f>IFERROR(__xludf.DUMMYFUNCTION("""COMPUTED_VALUE"""),"メインクエスト")</f>
        <v/>
      </c>
      <c r="F292" s="408">
        <f>IFERROR(__xludf.DUMMYFUNCTION("""COMPUTED_VALUE"""),"quest_main_jig_veryhard_6")</f>
        <v/>
      </c>
      <c r="G292" s="334">
        <f>IFERROR(__xludf.DUMMYFUNCTION("""COMPUTED_VALUE"""),"6.地獄楽")</f>
        <v/>
      </c>
      <c r="H292" s="408">
        <f>IFERROR(__xludf.DUMMYFUNCTION("""COMPUTED_VALUE"""),"05")</f>
        <v/>
      </c>
      <c r="I292" s="334">
        <f>IFERROR(__xludf.DUMMYFUNCTION("""COMPUTED_VALUE"""),"veryhard_jig_00005")</f>
        <v/>
      </c>
      <c r="J292" s="334">
        <f>IFERROR(__xludf.DUMMYFUNCTION("""COMPUTED_VALUE"""),"stage_icon_jig_veryhard_05")</f>
        <v/>
      </c>
      <c r="K292" s="334" t="n"/>
      <c r="L292" s="334" t="n"/>
      <c r="M292" s="334" t="n"/>
      <c r="N292" s="339" t="n"/>
      <c r="O292" s="368" t="n"/>
      <c r="P292" s="334" t="n"/>
    </row>
    <row r="293">
      <c r="A293" s="334">
        <f>IFERROR(__xludf.DUMMYFUNCTION("""COMPUTED_VALUE"""),"jig")</f>
        <v/>
      </c>
      <c r="B293" s="334">
        <f>IFERROR(__xludf.DUMMYFUNCTION("""COMPUTED_VALUE"""),"地獄楽")</f>
        <v/>
      </c>
      <c r="C293" s="408">
        <f>IFERROR(__xludf.DUMMYFUNCTION("""COMPUTED_VALUE"""),"veryhard")</f>
        <v/>
      </c>
      <c r="D293" s="408">
        <f>IFERROR(__xludf.DUMMYFUNCTION("""COMPUTED_VALUE"""),"main")</f>
        <v/>
      </c>
      <c r="E293" s="334">
        <f>IFERROR(__xludf.DUMMYFUNCTION("""COMPUTED_VALUE"""),"メインクエスト")</f>
        <v/>
      </c>
      <c r="F293" s="408">
        <f>IFERROR(__xludf.DUMMYFUNCTION("""COMPUTED_VALUE"""),"quest_main_jig_veryhard_6")</f>
        <v/>
      </c>
      <c r="G293" s="334">
        <f>IFERROR(__xludf.DUMMYFUNCTION("""COMPUTED_VALUE"""),"6.地獄楽")</f>
        <v/>
      </c>
      <c r="H293" s="408">
        <f>IFERROR(__xludf.DUMMYFUNCTION("""COMPUTED_VALUE"""),"06")</f>
        <v/>
      </c>
      <c r="I293" s="334">
        <f>IFERROR(__xludf.DUMMYFUNCTION("""COMPUTED_VALUE"""),"veryhard_jig_00006")</f>
        <v/>
      </c>
      <c r="J293" s="334">
        <f>IFERROR(__xludf.DUMMYFUNCTION("""COMPUTED_VALUE"""),"stage_icon_jig_veryhard_06")</f>
        <v/>
      </c>
      <c r="K293" s="334" t="n"/>
      <c r="L293" s="334" t="n"/>
      <c r="M293" s="334" t="n"/>
      <c r="N293" s="339" t="n"/>
      <c r="O293" s="368" t="n"/>
      <c r="P293" s="334" t="n"/>
    </row>
    <row r="294">
      <c r="A294" s="334" t="n"/>
      <c r="B294" s="334" t="n"/>
      <c r="C294" s="334" t="n"/>
      <c r="D294" s="334" t="n"/>
      <c r="E294" s="334" t="n"/>
      <c r="F294" s="334" t="n"/>
      <c r="G294" s="334" t="n"/>
      <c r="H294" s="334" t="n"/>
      <c r="I294" s="334" t="n"/>
      <c r="J294" s="334" t="n"/>
      <c r="K294" s="334" t="n"/>
      <c r="L294" s="334" t="n"/>
      <c r="M294" s="334" t="n"/>
      <c r="N294" s="339" t="n"/>
      <c r="O294" s="368" t="n"/>
      <c r="P294" s="334" t="n"/>
    </row>
    <row r="295">
      <c r="A295" s="334">
        <f>IFERROR(__xludf.DUMMYFUNCTION("""COMPUTED_VALUE"""),"tak")</f>
        <v/>
      </c>
      <c r="B295" s="334">
        <f>IFERROR(__xludf.DUMMYFUNCTION("""COMPUTED_VALUE"""),"タコピーの原罪")</f>
        <v/>
      </c>
      <c r="C295" s="408">
        <f>IFERROR(__xludf.DUMMYFUNCTION("""COMPUTED_VALUE"""),"veryhard")</f>
        <v/>
      </c>
      <c r="D295" s="408">
        <f>IFERROR(__xludf.DUMMYFUNCTION("""COMPUTED_VALUE"""),"main")</f>
        <v/>
      </c>
      <c r="E295" s="334">
        <f>IFERROR(__xludf.DUMMYFUNCTION("""COMPUTED_VALUE"""),"メインクエスト")</f>
        <v/>
      </c>
      <c r="F295" s="408">
        <f>IFERROR(__xludf.DUMMYFUNCTION("""COMPUTED_VALUE"""),"quest_main_tak_veryhard_7")</f>
        <v/>
      </c>
      <c r="G295" s="334">
        <f>IFERROR(__xludf.DUMMYFUNCTION("""COMPUTED_VALUE"""),"7.タコピーの原罪")</f>
        <v/>
      </c>
      <c r="H295" s="408">
        <f>IFERROR(__xludf.DUMMYFUNCTION("""COMPUTED_VALUE"""),"01")</f>
        <v/>
      </c>
      <c r="I295" s="334">
        <f>IFERROR(__xludf.DUMMYFUNCTION("""COMPUTED_VALUE"""),"veryhard_tak_00001")</f>
        <v/>
      </c>
      <c r="J295" s="334">
        <f>IFERROR(__xludf.DUMMYFUNCTION("""COMPUTED_VALUE"""),"stage_icon_tak_veryhard_01")</f>
        <v/>
      </c>
      <c r="K295" s="334" t="n"/>
      <c r="L295" s="334" t="n"/>
      <c r="M295" s="334" t="n"/>
      <c r="N295" s="339" t="n"/>
      <c r="O295" s="368" t="n"/>
      <c r="P295" s="334" t="n"/>
    </row>
    <row r="296">
      <c r="A296" s="334">
        <f>IFERROR(__xludf.DUMMYFUNCTION("""COMPUTED_VALUE"""),"tak")</f>
        <v/>
      </c>
      <c r="B296" s="334">
        <f>IFERROR(__xludf.DUMMYFUNCTION("""COMPUTED_VALUE"""),"タコピーの原罪")</f>
        <v/>
      </c>
      <c r="C296" s="408">
        <f>IFERROR(__xludf.DUMMYFUNCTION("""COMPUTED_VALUE"""),"veryhard")</f>
        <v/>
      </c>
      <c r="D296" s="408">
        <f>IFERROR(__xludf.DUMMYFUNCTION("""COMPUTED_VALUE"""),"main")</f>
        <v/>
      </c>
      <c r="E296" s="334">
        <f>IFERROR(__xludf.DUMMYFUNCTION("""COMPUTED_VALUE"""),"メインクエスト")</f>
        <v/>
      </c>
      <c r="F296" s="408">
        <f>IFERROR(__xludf.DUMMYFUNCTION("""COMPUTED_VALUE"""),"quest_main_tak_veryhard_7")</f>
        <v/>
      </c>
      <c r="G296" s="334">
        <f>IFERROR(__xludf.DUMMYFUNCTION("""COMPUTED_VALUE"""),"7.タコピーの原罪")</f>
        <v/>
      </c>
      <c r="H296" s="408">
        <f>IFERROR(__xludf.DUMMYFUNCTION("""COMPUTED_VALUE"""),"02")</f>
        <v/>
      </c>
      <c r="I296" s="334">
        <f>IFERROR(__xludf.DUMMYFUNCTION("""COMPUTED_VALUE"""),"veryhard_tak_00002")</f>
        <v/>
      </c>
      <c r="J296" s="334">
        <f>IFERROR(__xludf.DUMMYFUNCTION("""COMPUTED_VALUE"""),"stage_icon_tak_veryhard_02")</f>
        <v/>
      </c>
      <c r="K296" s="334" t="n"/>
      <c r="L296" s="334" t="n"/>
      <c r="M296" s="334" t="n"/>
      <c r="N296" s="339" t="n"/>
      <c r="O296" s="368" t="n"/>
      <c r="P296" s="334" t="n"/>
    </row>
    <row r="297">
      <c r="A297" s="334">
        <f>IFERROR(__xludf.DUMMYFUNCTION("""COMPUTED_VALUE"""),"tak")</f>
        <v/>
      </c>
      <c r="B297" s="334">
        <f>IFERROR(__xludf.DUMMYFUNCTION("""COMPUTED_VALUE"""),"タコピーの原罪")</f>
        <v/>
      </c>
      <c r="C297" s="408">
        <f>IFERROR(__xludf.DUMMYFUNCTION("""COMPUTED_VALUE"""),"veryhard")</f>
        <v/>
      </c>
      <c r="D297" s="408">
        <f>IFERROR(__xludf.DUMMYFUNCTION("""COMPUTED_VALUE"""),"main")</f>
        <v/>
      </c>
      <c r="E297" s="334">
        <f>IFERROR(__xludf.DUMMYFUNCTION("""COMPUTED_VALUE"""),"メインクエスト")</f>
        <v/>
      </c>
      <c r="F297" s="408">
        <f>IFERROR(__xludf.DUMMYFUNCTION("""COMPUTED_VALUE"""),"quest_main_tak_veryhard_7")</f>
        <v/>
      </c>
      <c r="G297" s="334">
        <f>IFERROR(__xludf.DUMMYFUNCTION("""COMPUTED_VALUE"""),"7.タコピーの原罪")</f>
        <v/>
      </c>
      <c r="H297" s="408">
        <f>IFERROR(__xludf.DUMMYFUNCTION("""COMPUTED_VALUE"""),"03")</f>
        <v/>
      </c>
      <c r="I297" s="334">
        <f>IFERROR(__xludf.DUMMYFUNCTION("""COMPUTED_VALUE"""),"veryhard_tak_00003")</f>
        <v/>
      </c>
      <c r="J297" s="334">
        <f>IFERROR(__xludf.DUMMYFUNCTION("""COMPUTED_VALUE"""),"stage_icon_tak_veryhard_03")</f>
        <v/>
      </c>
      <c r="K297" s="334" t="n"/>
      <c r="L297" s="334" t="n"/>
      <c r="M297" s="334" t="n"/>
      <c r="N297" s="339" t="n"/>
      <c r="O297" s="368" t="n"/>
      <c r="P297" s="334" t="n"/>
    </row>
    <row r="298">
      <c r="A298" s="334" t="n"/>
      <c r="B298" s="334" t="n"/>
      <c r="C298" s="334" t="n"/>
      <c r="D298" s="334" t="n"/>
      <c r="E298" s="334" t="n"/>
      <c r="F298" s="334" t="n"/>
      <c r="G298" s="334" t="n"/>
      <c r="H298" s="334" t="n"/>
      <c r="I298" s="334" t="n"/>
      <c r="J298" s="334" t="n"/>
      <c r="K298" s="334" t="n"/>
      <c r="L298" s="334" t="n"/>
      <c r="M298" s="334" t="n"/>
      <c r="N298" s="339" t="n"/>
      <c r="O298" s="368" t="n"/>
      <c r="P298" s="334" t="n"/>
    </row>
    <row r="299">
      <c r="A299" s="334">
        <f>IFERROR(__xludf.DUMMYFUNCTION("""COMPUTED_VALUE"""),"glo2")</f>
        <v/>
      </c>
      <c r="B299" s="334">
        <f>IFERROR(__xludf.DUMMYFUNCTION("""COMPUTED_VALUE"""),"GLOW")</f>
        <v/>
      </c>
      <c r="C299" s="408">
        <f>IFERROR(__xludf.DUMMYFUNCTION("""COMPUTED_VALUE"""),"veryhard")</f>
        <v/>
      </c>
      <c r="D299" s="408">
        <f>IFERROR(__xludf.DUMMYFUNCTION("""COMPUTED_VALUE"""),"main")</f>
        <v/>
      </c>
      <c r="E299" s="334">
        <f>IFERROR(__xludf.DUMMYFUNCTION("""COMPUTED_VALUE"""),"メインクエスト")</f>
        <v/>
      </c>
      <c r="F299" s="408">
        <f>IFERROR(__xludf.DUMMYFUNCTION("""COMPUTED_VALUE"""),"quest_main_glo2_veryhard_8")</f>
        <v/>
      </c>
      <c r="G299" s="334">
        <f>IFERROR(__xludf.DUMMYFUNCTION("""COMPUTED_VALUE"""),"8.リミックスクエスト Vol.2")</f>
        <v/>
      </c>
      <c r="H299" s="408">
        <f>IFERROR(__xludf.DUMMYFUNCTION("""COMPUTED_VALUE"""),"01")</f>
        <v/>
      </c>
      <c r="I299" s="334">
        <f>IFERROR(__xludf.DUMMYFUNCTION("""COMPUTED_VALUE"""),"veryhard_glo2_00001")</f>
        <v/>
      </c>
      <c r="J299" s="334">
        <f>IFERROR(__xludf.DUMMYFUNCTION("""COMPUTED_VALUE"""),"stage_icon_glo2_veryhard_01")</f>
        <v/>
      </c>
      <c r="K299" s="334" t="n"/>
      <c r="L299" s="334" t="n"/>
      <c r="M299" s="334" t="n"/>
      <c r="N299" s="339" t="n"/>
      <c r="O299" s="368" t="n"/>
      <c r="P299" s="334" t="n"/>
    </row>
    <row r="300">
      <c r="A300" s="334">
        <f>IFERROR(__xludf.DUMMYFUNCTION("""COMPUTED_VALUE"""),"glo2")</f>
        <v/>
      </c>
      <c r="B300" s="334">
        <f>IFERROR(__xludf.DUMMYFUNCTION("""COMPUTED_VALUE"""),"GLOW")</f>
        <v/>
      </c>
      <c r="C300" s="408">
        <f>IFERROR(__xludf.DUMMYFUNCTION("""COMPUTED_VALUE"""),"veryhard")</f>
        <v/>
      </c>
      <c r="D300" s="408">
        <f>IFERROR(__xludf.DUMMYFUNCTION("""COMPUTED_VALUE"""),"main")</f>
        <v/>
      </c>
      <c r="E300" s="334">
        <f>IFERROR(__xludf.DUMMYFUNCTION("""COMPUTED_VALUE"""),"メインクエスト")</f>
        <v/>
      </c>
      <c r="F300" s="408">
        <f>IFERROR(__xludf.DUMMYFUNCTION("""COMPUTED_VALUE"""),"quest_main_glo2_veryhard_8")</f>
        <v/>
      </c>
      <c r="G300" s="334">
        <f>IFERROR(__xludf.DUMMYFUNCTION("""COMPUTED_VALUE"""),"8.リミックスクエスト Vol.2")</f>
        <v/>
      </c>
      <c r="H300" s="408">
        <f>IFERROR(__xludf.DUMMYFUNCTION("""COMPUTED_VALUE"""),"02")</f>
        <v/>
      </c>
      <c r="I300" s="334">
        <f>IFERROR(__xludf.DUMMYFUNCTION("""COMPUTED_VALUE"""),"veryhard_glo2_00002")</f>
        <v/>
      </c>
      <c r="J300" s="334">
        <f>IFERROR(__xludf.DUMMYFUNCTION("""COMPUTED_VALUE"""),"stage_icon_glo2_veryhard_02")</f>
        <v/>
      </c>
      <c r="K300" s="334" t="n"/>
      <c r="L300" s="334" t="n"/>
      <c r="M300" s="334" t="n"/>
      <c r="N300" s="339" t="n"/>
      <c r="O300" s="368" t="n"/>
      <c r="P300" s="334" t="n"/>
    </row>
    <row r="301">
      <c r="A301" s="334">
        <f>IFERROR(__xludf.DUMMYFUNCTION("""COMPUTED_VALUE"""),"glo2")</f>
        <v/>
      </c>
      <c r="B301" s="334">
        <f>IFERROR(__xludf.DUMMYFUNCTION("""COMPUTED_VALUE"""),"GLOW")</f>
        <v/>
      </c>
      <c r="C301" s="408">
        <f>IFERROR(__xludf.DUMMYFUNCTION("""COMPUTED_VALUE"""),"veryhard")</f>
        <v/>
      </c>
      <c r="D301" s="408">
        <f>IFERROR(__xludf.DUMMYFUNCTION("""COMPUTED_VALUE"""),"main")</f>
        <v/>
      </c>
      <c r="E301" s="334">
        <f>IFERROR(__xludf.DUMMYFUNCTION("""COMPUTED_VALUE"""),"メインクエスト")</f>
        <v/>
      </c>
      <c r="F301" s="408">
        <f>IFERROR(__xludf.DUMMYFUNCTION("""COMPUTED_VALUE"""),"quest_main_glo2_veryhard_8")</f>
        <v/>
      </c>
      <c r="G301" s="334">
        <f>IFERROR(__xludf.DUMMYFUNCTION("""COMPUTED_VALUE"""),"8.リミックスクエスト Vol.2")</f>
        <v/>
      </c>
      <c r="H301" s="408">
        <f>IFERROR(__xludf.DUMMYFUNCTION("""COMPUTED_VALUE"""),"03")</f>
        <v/>
      </c>
      <c r="I301" s="334">
        <f>IFERROR(__xludf.DUMMYFUNCTION("""COMPUTED_VALUE"""),"veryhard_glo2_00003")</f>
        <v/>
      </c>
      <c r="J301" s="334">
        <f>IFERROR(__xludf.DUMMYFUNCTION("""COMPUTED_VALUE"""),"stage_icon_glo2_veryhard_03")</f>
        <v/>
      </c>
      <c r="K301" s="334" t="n"/>
      <c r="L301" s="334" t="n"/>
      <c r="M301" s="334" t="n"/>
      <c r="N301" s="339" t="n"/>
      <c r="O301" s="368" t="n"/>
      <c r="P301" s="334" t="n"/>
    </row>
    <row r="302">
      <c r="A302" s="334">
        <f>IFERROR(__xludf.DUMMYFUNCTION("""COMPUTED_VALUE"""),"glo2")</f>
        <v/>
      </c>
      <c r="B302" s="334">
        <f>IFERROR(__xludf.DUMMYFUNCTION("""COMPUTED_VALUE"""),"GLOW")</f>
        <v/>
      </c>
      <c r="C302" s="408">
        <f>IFERROR(__xludf.DUMMYFUNCTION("""COMPUTED_VALUE"""),"veryhard")</f>
        <v/>
      </c>
      <c r="D302" s="408">
        <f>IFERROR(__xludf.DUMMYFUNCTION("""COMPUTED_VALUE"""),"main")</f>
        <v/>
      </c>
      <c r="E302" s="334">
        <f>IFERROR(__xludf.DUMMYFUNCTION("""COMPUTED_VALUE"""),"メインクエスト")</f>
        <v/>
      </c>
      <c r="F302" s="408">
        <f>IFERROR(__xludf.DUMMYFUNCTION("""COMPUTED_VALUE"""),"quest_main_glo2_veryhard_8")</f>
        <v/>
      </c>
      <c r="G302" s="334">
        <f>IFERROR(__xludf.DUMMYFUNCTION("""COMPUTED_VALUE"""),"8.リミックスクエスト Vol.2")</f>
        <v/>
      </c>
      <c r="H302" s="408">
        <f>IFERROR(__xludf.DUMMYFUNCTION("""COMPUTED_VALUE"""),"04")</f>
        <v/>
      </c>
      <c r="I302" s="334">
        <f>IFERROR(__xludf.DUMMYFUNCTION("""COMPUTED_VALUE"""),"veryhard_glo2_00004")</f>
        <v/>
      </c>
      <c r="J302" s="334">
        <f>IFERROR(__xludf.DUMMYFUNCTION("""COMPUTED_VALUE"""),"stage_icon_glo2_veryhard_04")</f>
        <v/>
      </c>
      <c r="K302" s="334" t="n"/>
      <c r="L302" s="334" t="n"/>
      <c r="M302" s="334" t="n"/>
      <c r="N302" s="339" t="n"/>
      <c r="O302" s="368" t="n"/>
      <c r="P302" s="334" t="n"/>
    </row>
    <row r="303">
      <c r="A303" s="334">
        <f>IFERROR(__xludf.DUMMYFUNCTION("""COMPUTED_VALUE"""),"glo2")</f>
        <v/>
      </c>
      <c r="B303" s="334">
        <f>IFERROR(__xludf.DUMMYFUNCTION("""COMPUTED_VALUE"""),"GLOW")</f>
        <v/>
      </c>
      <c r="C303" s="408">
        <f>IFERROR(__xludf.DUMMYFUNCTION("""COMPUTED_VALUE"""),"veryhard")</f>
        <v/>
      </c>
      <c r="D303" s="408">
        <f>IFERROR(__xludf.DUMMYFUNCTION("""COMPUTED_VALUE"""),"main")</f>
        <v/>
      </c>
      <c r="E303" s="334">
        <f>IFERROR(__xludf.DUMMYFUNCTION("""COMPUTED_VALUE"""),"メインクエスト")</f>
        <v/>
      </c>
      <c r="F303" s="408">
        <f>IFERROR(__xludf.DUMMYFUNCTION("""COMPUTED_VALUE"""),"quest_main_glo2_veryhard_8")</f>
        <v/>
      </c>
      <c r="G303" s="334">
        <f>IFERROR(__xludf.DUMMYFUNCTION("""COMPUTED_VALUE"""),"8.リミックスクエスト Vol.2")</f>
        <v/>
      </c>
      <c r="H303" s="408">
        <f>IFERROR(__xludf.DUMMYFUNCTION("""COMPUTED_VALUE"""),"05")</f>
        <v/>
      </c>
      <c r="I303" s="334">
        <f>IFERROR(__xludf.DUMMYFUNCTION("""COMPUTED_VALUE"""),"veryhard_glo2_00005")</f>
        <v/>
      </c>
      <c r="J303" s="334">
        <f>IFERROR(__xludf.DUMMYFUNCTION("""COMPUTED_VALUE"""),"stage_icon_glo2_veryhard_05")</f>
        <v/>
      </c>
      <c r="K303" s="334" t="n"/>
      <c r="L303" s="334" t="n"/>
      <c r="M303" s="334" t="n"/>
      <c r="N303" s="339" t="n"/>
      <c r="O303" s="368" t="n"/>
      <c r="P303" s="334" t="n"/>
    </row>
    <row r="304">
      <c r="A304" s="334">
        <f>IFERROR(__xludf.DUMMYFUNCTION("""COMPUTED_VALUE"""),"glo2")</f>
        <v/>
      </c>
      <c r="B304" s="334">
        <f>IFERROR(__xludf.DUMMYFUNCTION("""COMPUTED_VALUE"""),"GLOW")</f>
        <v/>
      </c>
      <c r="C304" s="408">
        <f>IFERROR(__xludf.DUMMYFUNCTION("""COMPUTED_VALUE"""),"veryhard")</f>
        <v/>
      </c>
      <c r="D304" s="408">
        <f>IFERROR(__xludf.DUMMYFUNCTION("""COMPUTED_VALUE"""),"main")</f>
        <v/>
      </c>
      <c r="E304" s="334">
        <f>IFERROR(__xludf.DUMMYFUNCTION("""COMPUTED_VALUE"""),"メインクエスト")</f>
        <v/>
      </c>
      <c r="F304" s="408">
        <f>IFERROR(__xludf.DUMMYFUNCTION("""COMPUTED_VALUE"""),"quest_main_glo2_veryhard_8")</f>
        <v/>
      </c>
      <c r="G304" s="334">
        <f>IFERROR(__xludf.DUMMYFUNCTION("""COMPUTED_VALUE"""),"8.リミックスクエスト Vol.2")</f>
        <v/>
      </c>
      <c r="H304" s="408">
        <f>IFERROR(__xludf.DUMMYFUNCTION("""COMPUTED_VALUE"""),"06")</f>
        <v/>
      </c>
      <c r="I304" s="334">
        <f>IFERROR(__xludf.DUMMYFUNCTION("""COMPUTED_VALUE"""),"veryhard_glo2_00006")</f>
        <v/>
      </c>
      <c r="J304" s="334">
        <f>IFERROR(__xludf.DUMMYFUNCTION("""COMPUTED_VALUE"""),"stage_icon_glo2_veryhard_06")</f>
        <v/>
      </c>
      <c r="K304" s="334" t="n"/>
      <c r="L304" s="334" t="n"/>
      <c r="M304" s="334" t="n"/>
      <c r="N304" s="339" t="n"/>
      <c r="O304" s="368" t="n"/>
      <c r="P304" s="334" t="n"/>
    </row>
    <row r="305">
      <c r="A305" s="334" t="n"/>
      <c r="B305" s="334" t="n"/>
      <c r="C305" s="334" t="n"/>
      <c r="D305" s="334" t="n"/>
      <c r="E305" s="334" t="n"/>
      <c r="F305" s="334" t="n"/>
      <c r="G305" s="334" t="n"/>
      <c r="H305" s="334" t="n"/>
      <c r="I305" s="334" t="n"/>
      <c r="J305" s="334" t="n"/>
      <c r="K305" s="334" t="n"/>
      <c r="L305" s="334" t="n"/>
      <c r="M305" s="334" t="n"/>
      <c r="N305" s="339" t="n"/>
      <c r="O305" s="368" t="n"/>
      <c r="P305" s="334" t="n"/>
    </row>
    <row r="306">
      <c r="A306" s="334">
        <f>IFERROR(__xludf.DUMMYFUNCTION("""COMPUTED_VALUE"""),"chi")</f>
        <v/>
      </c>
      <c r="B306" s="334">
        <f>IFERROR(__xludf.DUMMYFUNCTION("""COMPUTED_VALUE"""),"チェンソーマン")</f>
        <v/>
      </c>
      <c r="C306" s="408">
        <f>IFERROR(__xludf.DUMMYFUNCTION("""COMPUTED_VALUE"""),"veryhard")</f>
        <v/>
      </c>
      <c r="D306" s="408">
        <f>IFERROR(__xludf.DUMMYFUNCTION("""COMPUTED_VALUE"""),"main")</f>
        <v/>
      </c>
      <c r="E306" s="334">
        <f>IFERROR(__xludf.DUMMYFUNCTION("""COMPUTED_VALUE"""),"メインクエスト")</f>
        <v/>
      </c>
      <c r="F306" s="408">
        <f>IFERROR(__xludf.DUMMYFUNCTION("""COMPUTED_VALUE"""),"quest_main_chi_veryhard_9")</f>
        <v/>
      </c>
      <c r="G306" s="334">
        <f>IFERROR(__xludf.DUMMYFUNCTION("""COMPUTED_VALUE"""),"9.チェンソーマン")</f>
        <v/>
      </c>
      <c r="H306" s="408">
        <f>IFERROR(__xludf.DUMMYFUNCTION("""COMPUTED_VALUE"""),"01")</f>
        <v/>
      </c>
      <c r="I306" s="334">
        <f>IFERROR(__xludf.DUMMYFUNCTION("""COMPUTED_VALUE"""),"veryhard_chi_00001")</f>
        <v/>
      </c>
      <c r="J306" s="334">
        <f>IFERROR(__xludf.DUMMYFUNCTION("""COMPUTED_VALUE"""),"stage_icon_chi_veryhard_01")</f>
        <v/>
      </c>
      <c r="K306" s="334" t="n"/>
      <c r="L306" s="334" t="n"/>
      <c r="M306" s="334" t="n"/>
      <c r="N306" s="339" t="n"/>
      <c r="O306" s="368" t="n"/>
      <c r="P306" s="334" t="n"/>
    </row>
    <row r="307">
      <c r="A307" s="334">
        <f>IFERROR(__xludf.DUMMYFUNCTION("""COMPUTED_VALUE"""),"chi")</f>
        <v/>
      </c>
      <c r="B307" s="334">
        <f>IFERROR(__xludf.DUMMYFUNCTION("""COMPUTED_VALUE"""),"チェンソーマン")</f>
        <v/>
      </c>
      <c r="C307" s="408">
        <f>IFERROR(__xludf.DUMMYFUNCTION("""COMPUTED_VALUE"""),"veryhard")</f>
        <v/>
      </c>
      <c r="D307" s="408">
        <f>IFERROR(__xludf.DUMMYFUNCTION("""COMPUTED_VALUE"""),"main")</f>
        <v/>
      </c>
      <c r="E307" s="334">
        <f>IFERROR(__xludf.DUMMYFUNCTION("""COMPUTED_VALUE"""),"メインクエスト")</f>
        <v/>
      </c>
      <c r="F307" s="408">
        <f>IFERROR(__xludf.DUMMYFUNCTION("""COMPUTED_VALUE"""),"quest_main_chi_veryhard_9")</f>
        <v/>
      </c>
      <c r="G307" s="334">
        <f>IFERROR(__xludf.DUMMYFUNCTION("""COMPUTED_VALUE"""),"9.チェンソーマン")</f>
        <v/>
      </c>
      <c r="H307" s="408">
        <f>IFERROR(__xludf.DUMMYFUNCTION("""COMPUTED_VALUE"""),"02")</f>
        <v/>
      </c>
      <c r="I307" s="334">
        <f>IFERROR(__xludf.DUMMYFUNCTION("""COMPUTED_VALUE"""),"veryhard_chi_00002")</f>
        <v/>
      </c>
      <c r="J307" s="334">
        <f>IFERROR(__xludf.DUMMYFUNCTION("""COMPUTED_VALUE"""),"stage_icon_chi_veryhard_02")</f>
        <v/>
      </c>
      <c r="K307" s="334" t="n"/>
      <c r="L307" s="334" t="n"/>
      <c r="M307" s="334" t="n"/>
      <c r="N307" s="339" t="n"/>
      <c r="O307" s="368" t="n"/>
      <c r="P307" s="334" t="n"/>
    </row>
    <row r="308">
      <c r="A308" s="334">
        <f>IFERROR(__xludf.DUMMYFUNCTION("""COMPUTED_VALUE"""),"chi")</f>
        <v/>
      </c>
      <c r="B308" s="334">
        <f>IFERROR(__xludf.DUMMYFUNCTION("""COMPUTED_VALUE"""),"チェンソーマン")</f>
        <v/>
      </c>
      <c r="C308" s="408">
        <f>IFERROR(__xludf.DUMMYFUNCTION("""COMPUTED_VALUE"""),"veryhard")</f>
        <v/>
      </c>
      <c r="D308" s="408">
        <f>IFERROR(__xludf.DUMMYFUNCTION("""COMPUTED_VALUE"""),"main")</f>
        <v/>
      </c>
      <c r="E308" s="334">
        <f>IFERROR(__xludf.DUMMYFUNCTION("""COMPUTED_VALUE"""),"メインクエスト")</f>
        <v/>
      </c>
      <c r="F308" s="408">
        <f>IFERROR(__xludf.DUMMYFUNCTION("""COMPUTED_VALUE"""),"quest_main_chi_veryhard_9")</f>
        <v/>
      </c>
      <c r="G308" s="334">
        <f>IFERROR(__xludf.DUMMYFUNCTION("""COMPUTED_VALUE"""),"9.チェンソーマン")</f>
        <v/>
      </c>
      <c r="H308" s="408">
        <f>IFERROR(__xludf.DUMMYFUNCTION("""COMPUTED_VALUE"""),"03")</f>
        <v/>
      </c>
      <c r="I308" s="334">
        <f>IFERROR(__xludf.DUMMYFUNCTION("""COMPUTED_VALUE"""),"veryhard_chi_00003")</f>
        <v/>
      </c>
      <c r="J308" s="334">
        <f>IFERROR(__xludf.DUMMYFUNCTION("""COMPUTED_VALUE"""),"stage_icon_chi_veryhard_03")</f>
        <v/>
      </c>
      <c r="K308" s="334" t="n"/>
      <c r="L308" s="334" t="n"/>
      <c r="M308" s="334" t="n"/>
      <c r="N308" s="339" t="n"/>
      <c r="O308" s="368" t="n"/>
      <c r="P308" s="334" t="n"/>
    </row>
    <row r="309">
      <c r="A309" s="334">
        <f>IFERROR(__xludf.DUMMYFUNCTION("""COMPUTED_VALUE"""),"chi")</f>
        <v/>
      </c>
      <c r="B309" s="334">
        <f>IFERROR(__xludf.DUMMYFUNCTION("""COMPUTED_VALUE"""),"チェンソーマン")</f>
        <v/>
      </c>
      <c r="C309" s="408">
        <f>IFERROR(__xludf.DUMMYFUNCTION("""COMPUTED_VALUE"""),"veryhard")</f>
        <v/>
      </c>
      <c r="D309" s="408">
        <f>IFERROR(__xludf.DUMMYFUNCTION("""COMPUTED_VALUE"""),"main")</f>
        <v/>
      </c>
      <c r="E309" s="334">
        <f>IFERROR(__xludf.DUMMYFUNCTION("""COMPUTED_VALUE"""),"メインクエスト")</f>
        <v/>
      </c>
      <c r="F309" s="408">
        <f>IFERROR(__xludf.DUMMYFUNCTION("""COMPUTED_VALUE"""),"quest_main_chi_veryhard_9")</f>
        <v/>
      </c>
      <c r="G309" s="334">
        <f>IFERROR(__xludf.DUMMYFUNCTION("""COMPUTED_VALUE"""),"9.チェンソーマン")</f>
        <v/>
      </c>
      <c r="H309" s="408">
        <f>IFERROR(__xludf.DUMMYFUNCTION("""COMPUTED_VALUE"""),"04")</f>
        <v/>
      </c>
      <c r="I309" s="334">
        <f>IFERROR(__xludf.DUMMYFUNCTION("""COMPUTED_VALUE"""),"veryhard_chi_00004")</f>
        <v/>
      </c>
      <c r="J309" s="334">
        <f>IFERROR(__xludf.DUMMYFUNCTION("""COMPUTED_VALUE"""),"stage_icon_chi_veryhard_04")</f>
        <v/>
      </c>
      <c r="K309" s="334" t="n"/>
      <c r="L309" s="334" t="n"/>
      <c r="M309" s="334" t="n"/>
      <c r="N309" s="339" t="n"/>
      <c r="O309" s="368" t="n"/>
      <c r="P309" s="334" t="n"/>
    </row>
    <row r="310">
      <c r="A310" s="334">
        <f>IFERROR(__xludf.DUMMYFUNCTION("""COMPUTED_VALUE"""),"chi")</f>
        <v/>
      </c>
      <c r="B310" s="334">
        <f>IFERROR(__xludf.DUMMYFUNCTION("""COMPUTED_VALUE"""),"チェンソーマン")</f>
        <v/>
      </c>
      <c r="C310" s="408">
        <f>IFERROR(__xludf.DUMMYFUNCTION("""COMPUTED_VALUE"""),"veryhard")</f>
        <v/>
      </c>
      <c r="D310" s="408">
        <f>IFERROR(__xludf.DUMMYFUNCTION("""COMPUTED_VALUE"""),"main")</f>
        <v/>
      </c>
      <c r="E310" s="334">
        <f>IFERROR(__xludf.DUMMYFUNCTION("""COMPUTED_VALUE"""),"メインクエスト")</f>
        <v/>
      </c>
      <c r="F310" s="408">
        <f>IFERROR(__xludf.DUMMYFUNCTION("""COMPUTED_VALUE"""),"quest_main_chi_veryhard_9")</f>
        <v/>
      </c>
      <c r="G310" s="334">
        <f>IFERROR(__xludf.DUMMYFUNCTION("""COMPUTED_VALUE"""),"9.チェンソーマン")</f>
        <v/>
      </c>
      <c r="H310" s="408">
        <f>IFERROR(__xludf.DUMMYFUNCTION("""COMPUTED_VALUE"""),"05")</f>
        <v/>
      </c>
      <c r="I310" s="334">
        <f>IFERROR(__xludf.DUMMYFUNCTION("""COMPUTED_VALUE"""),"veryhard_chi_00005")</f>
        <v/>
      </c>
      <c r="J310" s="334">
        <f>IFERROR(__xludf.DUMMYFUNCTION("""COMPUTED_VALUE"""),"stage_icon_chi_veryhard_05")</f>
        <v/>
      </c>
      <c r="K310" s="334" t="n"/>
      <c r="L310" s="334" t="n"/>
      <c r="M310" s="334" t="n"/>
      <c r="N310" s="339" t="n"/>
      <c r="O310" s="368" t="n"/>
      <c r="P310" s="334" t="n"/>
    </row>
    <row r="311">
      <c r="A311" s="334">
        <f>IFERROR(__xludf.DUMMYFUNCTION("""COMPUTED_VALUE"""),"chi")</f>
        <v/>
      </c>
      <c r="B311" s="334">
        <f>IFERROR(__xludf.DUMMYFUNCTION("""COMPUTED_VALUE"""),"チェンソーマン")</f>
        <v/>
      </c>
      <c r="C311" s="408">
        <f>IFERROR(__xludf.DUMMYFUNCTION("""COMPUTED_VALUE"""),"veryhard")</f>
        <v/>
      </c>
      <c r="D311" s="408">
        <f>IFERROR(__xludf.DUMMYFUNCTION("""COMPUTED_VALUE"""),"main")</f>
        <v/>
      </c>
      <c r="E311" s="334">
        <f>IFERROR(__xludf.DUMMYFUNCTION("""COMPUTED_VALUE"""),"メインクエスト")</f>
        <v/>
      </c>
      <c r="F311" s="408">
        <f>IFERROR(__xludf.DUMMYFUNCTION("""COMPUTED_VALUE"""),"quest_main_chi_veryhard_9")</f>
        <v/>
      </c>
      <c r="G311" s="334">
        <f>IFERROR(__xludf.DUMMYFUNCTION("""COMPUTED_VALUE"""),"9.チェンソーマン")</f>
        <v/>
      </c>
      <c r="H311" s="408">
        <f>IFERROR(__xludf.DUMMYFUNCTION("""COMPUTED_VALUE"""),"06")</f>
        <v/>
      </c>
      <c r="I311" s="334">
        <f>IFERROR(__xludf.DUMMYFUNCTION("""COMPUTED_VALUE"""),"veryhard_chi_00006")</f>
        <v/>
      </c>
      <c r="J311" s="334">
        <f>IFERROR(__xludf.DUMMYFUNCTION("""COMPUTED_VALUE"""),"stage_icon_chi_veryhard_06")</f>
        <v/>
      </c>
      <c r="K311" s="334" t="n"/>
      <c r="L311" s="334" t="n"/>
      <c r="M311" s="334" t="n"/>
      <c r="N311" s="339" t="n"/>
      <c r="O311" s="368" t="n"/>
      <c r="P311" s="334" t="n"/>
    </row>
    <row r="312">
      <c r="A312" s="334" t="n"/>
      <c r="B312" s="334" t="n"/>
      <c r="C312" s="334" t="n"/>
      <c r="D312" s="334" t="n"/>
      <c r="E312" s="334" t="n"/>
      <c r="F312" s="334" t="n"/>
      <c r="G312" s="334" t="n"/>
      <c r="H312" s="334" t="n"/>
      <c r="I312" s="334" t="n"/>
      <c r="J312" s="334" t="n"/>
      <c r="K312" s="334" t="n"/>
      <c r="L312" s="334" t="n"/>
      <c r="M312" s="334" t="n"/>
      <c r="N312" s="339" t="n"/>
      <c r="O312" s="368" t="n"/>
      <c r="P312" s="334" t="n"/>
    </row>
    <row r="313">
      <c r="A313" s="334">
        <f>IFERROR(__xludf.DUMMYFUNCTION("""COMPUTED_VALUE"""),"sur")</f>
        <v/>
      </c>
      <c r="B313" s="334">
        <f>IFERROR(__xludf.DUMMYFUNCTION("""COMPUTED_VALUE"""),"魔都精兵のスレイブ")</f>
        <v/>
      </c>
      <c r="C313" s="408">
        <f>IFERROR(__xludf.DUMMYFUNCTION("""COMPUTED_VALUE"""),"veryhard")</f>
        <v/>
      </c>
      <c r="D313" s="408">
        <f>IFERROR(__xludf.DUMMYFUNCTION("""COMPUTED_VALUE"""),"main")</f>
        <v/>
      </c>
      <c r="E313" s="334">
        <f>IFERROR(__xludf.DUMMYFUNCTION("""COMPUTED_VALUE"""),"メインクエスト")</f>
        <v/>
      </c>
      <c r="F313" s="408">
        <f>IFERROR(__xludf.DUMMYFUNCTION("""COMPUTED_VALUE"""),"quest_main_sur_veryhard_10")</f>
        <v/>
      </c>
      <c r="G313" s="334">
        <f>IFERROR(__xludf.DUMMYFUNCTION("""COMPUTED_VALUE"""),"10.魔都精兵のスレイブ")</f>
        <v/>
      </c>
      <c r="H313" s="408">
        <f>IFERROR(__xludf.DUMMYFUNCTION("""COMPUTED_VALUE"""),"01")</f>
        <v/>
      </c>
      <c r="I313" s="334">
        <f>IFERROR(__xludf.DUMMYFUNCTION("""COMPUTED_VALUE"""),"veryhard_sur_00001")</f>
        <v/>
      </c>
      <c r="J313" s="334">
        <f>IFERROR(__xludf.DUMMYFUNCTION("""COMPUTED_VALUE"""),"stage_icon_sur_veryhard_01")</f>
        <v/>
      </c>
      <c r="K313" s="334" t="n"/>
      <c r="L313" s="334" t="n"/>
      <c r="M313" s="334" t="n"/>
      <c r="N313" s="339" t="n"/>
      <c r="O313" s="368" t="n"/>
      <c r="P313" s="334" t="n"/>
    </row>
    <row r="314">
      <c r="A314" s="334">
        <f>IFERROR(__xludf.DUMMYFUNCTION("""COMPUTED_VALUE"""),"sur")</f>
        <v/>
      </c>
      <c r="B314" s="334">
        <f>IFERROR(__xludf.DUMMYFUNCTION("""COMPUTED_VALUE"""),"魔都精兵のスレイブ")</f>
        <v/>
      </c>
      <c r="C314" s="408">
        <f>IFERROR(__xludf.DUMMYFUNCTION("""COMPUTED_VALUE"""),"veryhard")</f>
        <v/>
      </c>
      <c r="D314" s="408">
        <f>IFERROR(__xludf.DUMMYFUNCTION("""COMPUTED_VALUE"""),"main")</f>
        <v/>
      </c>
      <c r="E314" s="334">
        <f>IFERROR(__xludf.DUMMYFUNCTION("""COMPUTED_VALUE"""),"メインクエスト")</f>
        <v/>
      </c>
      <c r="F314" s="408">
        <f>IFERROR(__xludf.DUMMYFUNCTION("""COMPUTED_VALUE"""),"quest_main_sur_veryhard_10")</f>
        <v/>
      </c>
      <c r="G314" s="334">
        <f>IFERROR(__xludf.DUMMYFUNCTION("""COMPUTED_VALUE"""),"10.魔都精兵のスレイブ")</f>
        <v/>
      </c>
      <c r="H314" s="408">
        <f>IFERROR(__xludf.DUMMYFUNCTION("""COMPUTED_VALUE"""),"02")</f>
        <v/>
      </c>
      <c r="I314" s="334">
        <f>IFERROR(__xludf.DUMMYFUNCTION("""COMPUTED_VALUE"""),"veryhard_sur_00002")</f>
        <v/>
      </c>
      <c r="J314" s="334">
        <f>IFERROR(__xludf.DUMMYFUNCTION("""COMPUTED_VALUE"""),"stage_icon_sur_veryhard_02")</f>
        <v/>
      </c>
      <c r="K314" s="334" t="n"/>
      <c r="L314" s="334" t="n"/>
      <c r="M314" s="334" t="n"/>
      <c r="N314" s="339" t="n"/>
      <c r="O314" s="368" t="n"/>
      <c r="P314" s="334" t="n"/>
    </row>
    <row r="315">
      <c r="A315" s="334">
        <f>IFERROR(__xludf.DUMMYFUNCTION("""COMPUTED_VALUE"""),"sur")</f>
        <v/>
      </c>
      <c r="B315" s="334">
        <f>IFERROR(__xludf.DUMMYFUNCTION("""COMPUTED_VALUE"""),"魔都精兵のスレイブ")</f>
        <v/>
      </c>
      <c r="C315" s="408">
        <f>IFERROR(__xludf.DUMMYFUNCTION("""COMPUTED_VALUE"""),"veryhard")</f>
        <v/>
      </c>
      <c r="D315" s="408">
        <f>IFERROR(__xludf.DUMMYFUNCTION("""COMPUTED_VALUE"""),"main")</f>
        <v/>
      </c>
      <c r="E315" s="334">
        <f>IFERROR(__xludf.DUMMYFUNCTION("""COMPUTED_VALUE"""),"メインクエスト")</f>
        <v/>
      </c>
      <c r="F315" s="408">
        <f>IFERROR(__xludf.DUMMYFUNCTION("""COMPUTED_VALUE"""),"quest_main_sur_veryhard_10")</f>
        <v/>
      </c>
      <c r="G315" s="334">
        <f>IFERROR(__xludf.DUMMYFUNCTION("""COMPUTED_VALUE"""),"10.魔都精兵のスレイブ")</f>
        <v/>
      </c>
      <c r="H315" s="408">
        <f>IFERROR(__xludf.DUMMYFUNCTION("""COMPUTED_VALUE"""),"03")</f>
        <v/>
      </c>
      <c r="I315" s="334">
        <f>IFERROR(__xludf.DUMMYFUNCTION("""COMPUTED_VALUE"""),"veryhard_sur_00003")</f>
        <v/>
      </c>
      <c r="J315" s="334">
        <f>IFERROR(__xludf.DUMMYFUNCTION("""COMPUTED_VALUE"""),"stage_icon_sur_veryhard_03")</f>
        <v/>
      </c>
      <c r="K315" s="334" t="n"/>
      <c r="L315" s="334" t="n"/>
      <c r="M315" s="334" t="n"/>
      <c r="N315" s="339" t="n"/>
      <c r="O315" s="368" t="n"/>
      <c r="P315" s="334" t="n"/>
    </row>
    <row r="316">
      <c r="A316" s="334">
        <f>IFERROR(__xludf.DUMMYFUNCTION("""COMPUTED_VALUE"""),"sur")</f>
        <v/>
      </c>
      <c r="B316" s="334">
        <f>IFERROR(__xludf.DUMMYFUNCTION("""COMPUTED_VALUE"""),"魔都精兵のスレイブ")</f>
        <v/>
      </c>
      <c r="C316" s="408">
        <f>IFERROR(__xludf.DUMMYFUNCTION("""COMPUTED_VALUE"""),"veryhard")</f>
        <v/>
      </c>
      <c r="D316" s="408">
        <f>IFERROR(__xludf.DUMMYFUNCTION("""COMPUTED_VALUE"""),"main")</f>
        <v/>
      </c>
      <c r="E316" s="334">
        <f>IFERROR(__xludf.DUMMYFUNCTION("""COMPUTED_VALUE"""),"メインクエスト")</f>
        <v/>
      </c>
      <c r="F316" s="408">
        <f>IFERROR(__xludf.DUMMYFUNCTION("""COMPUTED_VALUE"""),"quest_main_sur_veryhard_10")</f>
        <v/>
      </c>
      <c r="G316" s="334">
        <f>IFERROR(__xludf.DUMMYFUNCTION("""COMPUTED_VALUE"""),"10.魔都精兵のスレイブ")</f>
        <v/>
      </c>
      <c r="H316" s="408">
        <f>IFERROR(__xludf.DUMMYFUNCTION("""COMPUTED_VALUE"""),"04")</f>
        <v/>
      </c>
      <c r="I316" s="334">
        <f>IFERROR(__xludf.DUMMYFUNCTION("""COMPUTED_VALUE"""),"veryhard_sur_00004")</f>
        <v/>
      </c>
      <c r="J316" s="334">
        <f>IFERROR(__xludf.DUMMYFUNCTION("""COMPUTED_VALUE"""),"stage_icon_sur_veryhard_04")</f>
        <v/>
      </c>
      <c r="K316" s="334" t="n"/>
      <c r="L316" s="334" t="n"/>
      <c r="M316" s="334" t="n"/>
      <c r="N316" s="339" t="n"/>
      <c r="O316" s="368" t="n"/>
      <c r="P316" s="334" t="n"/>
    </row>
    <row r="317">
      <c r="A317" s="334">
        <f>IFERROR(__xludf.DUMMYFUNCTION("""COMPUTED_VALUE"""),"sur")</f>
        <v/>
      </c>
      <c r="B317" s="334">
        <f>IFERROR(__xludf.DUMMYFUNCTION("""COMPUTED_VALUE"""),"魔都精兵のスレイブ")</f>
        <v/>
      </c>
      <c r="C317" s="408">
        <f>IFERROR(__xludf.DUMMYFUNCTION("""COMPUTED_VALUE"""),"veryhard")</f>
        <v/>
      </c>
      <c r="D317" s="408">
        <f>IFERROR(__xludf.DUMMYFUNCTION("""COMPUTED_VALUE"""),"main")</f>
        <v/>
      </c>
      <c r="E317" s="334">
        <f>IFERROR(__xludf.DUMMYFUNCTION("""COMPUTED_VALUE"""),"メインクエスト")</f>
        <v/>
      </c>
      <c r="F317" s="408">
        <f>IFERROR(__xludf.DUMMYFUNCTION("""COMPUTED_VALUE"""),"quest_main_sur_veryhard_10")</f>
        <v/>
      </c>
      <c r="G317" s="334">
        <f>IFERROR(__xludf.DUMMYFUNCTION("""COMPUTED_VALUE"""),"10.魔都精兵のスレイブ")</f>
        <v/>
      </c>
      <c r="H317" s="408">
        <f>IFERROR(__xludf.DUMMYFUNCTION("""COMPUTED_VALUE"""),"05")</f>
        <v/>
      </c>
      <c r="I317" s="334">
        <f>IFERROR(__xludf.DUMMYFUNCTION("""COMPUTED_VALUE"""),"veryhard_sur_00005")</f>
        <v/>
      </c>
      <c r="J317" s="334">
        <f>IFERROR(__xludf.DUMMYFUNCTION("""COMPUTED_VALUE"""),"stage_icon_sur_veryhard_05")</f>
        <v/>
      </c>
      <c r="K317" s="334" t="n"/>
      <c r="L317" s="334" t="n"/>
      <c r="M317" s="334" t="n"/>
      <c r="N317" s="339" t="n"/>
      <c r="O317" s="368" t="n"/>
      <c r="P317" s="334" t="n"/>
    </row>
    <row r="318">
      <c r="A318" s="334">
        <f>IFERROR(__xludf.DUMMYFUNCTION("""COMPUTED_VALUE"""),"sur")</f>
        <v/>
      </c>
      <c r="B318" s="334">
        <f>IFERROR(__xludf.DUMMYFUNCTION("""COMPUTED_VALUE"""),"魔都精兵のスレイブ")</f>
        <v/>
      </c>
      <c r="C318" s="408">
        <f>IFERROR(__xludf.DUMMYFUNCTION("""COMPUTED_VALUE"""),"veryhard")</f>
        <v/>
      </c>
      <c r="D318" s="408">
        <f>IFERROR(__xludf.DUMMYFUNCTION("""COMPUTED_VALUE"""),"main")</f>
        <v/>
      </c>
      <c r="E318" s="334">
        <f>IFERROR(__xludf.DUMMYFUNCTION("""COMPUTED_VALUE"""),"メインクエスト")</f>
        <v/>
      </c>
      <c r="F318" s="408">
        <f>IFERROR(__xludf.DUMMYFUNCTION("""COMPUTED_VALUE"""),"quest_main_sur_veryhard_10")</f>
        <v/>
      </c>
      <c r="G318" s="334">
        <f>IFERROR(__xludf.DUMMYFUNCTION("""COMPUTED_VALUE"""),"10.魔都精兵のスレイブ")</f>
        <v/>
      </c>
      <c r="H318" s="408">
        <f>IFERROR(__xludf.DUMMYFUNCTION("""COMPUTED_VALUE"""),"06")</f>
        <v/>
      </c>
      <c r="I318" s="334">
        <f>IFERROR(__xludf.DUMMYFUNCTION("""COMPUTED_VALUE"""),"veryhard_sur_00006")</f>
        <v/>
      </c>
      <c r="J318" s="334">
        <f>IFERROR(__xludf.DUMMYFUNCTION("""COMPUTED_VALUE"""),"stage_icon_sur_veryhard_06")</f>
        <v/>
      </c>
      <c r="K318" s="334" t="n"/>
      <c r="L318" s="334" t="n"/>
      <c r="M318" s="334" t="n"/>
      <c r="N318" s="339" t="n"/>
      <c r="O318" s="368" t="n"/>
      <c r="P318" s="334" t="n"/>
    </row>
    <row r="319">
      <c r="A319" s="334" t="n"/>
      <c r="B319" s="334" t="n"/>
      <c r="C319" s="334" t="n"/>
      <c r="D319" s="334" t="n"/>
      <c r="E319" s="334" t="n"/>
      <c r="F319" s="334" t="n"/>
      <c r="G319" s="334" t="n"/>
      <c r="H319" s="334" t="n"/>
      <c r="I319" s="334" t="n"/>
      <c r="J319" s="334" t="n"/>
      <c r="K319" s="334" t="n"/>
      <c r="L319" s="334" t="n"/>
      <c r="M319" s="334" t="n"/>
      <c r="N319" s="339" t="n"/>
      <c r="O319" s="368" t="n"/>
      <c r="P319" s="334" t="n"/>
    </row>
    <row r="320">
      <c r="A320" s="334">
        <f>IFERROR(__xludf.DUMMYFUNCTION("""COMPUTED_VALUE"""),"rik")</f>
        <v/>
      </c>
      <c r="B320" s="334">
        <f>IFERROR(__xludf.DUMMYFUNCTION("""COMPUTED_VALUE"""),"トマトイプーのリコピン")</f>
        <v/>
      </c>
      <c r="C320" s="408">
        <f>IFERROR(__xludf.DUMMYFUNCTION("""COMPUTED_VALUE"""),"veryhard")</f>
        <v/>
      </c>
      <c r="D320" s="408">
        <f>IFERROR(__xludf.DUMMYFUNCTION("""COMPUTED_VALUE"""),"main")</f>
        <v/>
      </c>
      <c r="E320" s="334">
        <f>IFERROR(__xludf.DUMMYFUNCTION("""COMPUTED_VALUE"""),"メインクエスト")</f>
        <v/>
      </c>
      <c r="F320" s="408">
        <f>IFERROR(__xludf.DUMMYFUNCTION("""COMPUTED_VALUE"""),"quest_main_rik_veryhard_11")</f>
        <v/>
      </c>
      <c r="G320" s="334">
        <f>IFERROR(__xludf.DUMMYFUNCTION("""COMPUTED_VALUE"""),"11.トマトイプーのリコピン")</f>
        <v/>
      </c>
      <c r="H320" s="408">
        <f>IFERROR(__xludf.DUMMYFUNCTION("""COMPUTED_VALUE"""),"01")</f>
        <v/>
      </c>
      <c r="I320" s="334">
        <f>IFERROR(__xludf.DUMMYFUNCTION("""COMPUTED_VALUE"""),"veryhard_rik_00001")</f>
        <v/>
      </c>
      <c r="J320" s="334">
        <f>IFERROR(__xludf.DUMMYFUNCTION("""COMPUTED_VALUE"""),"stage_icon_rik_veryhard_01")</f>
        <v/>
      </c>
      <c r="K320" s="334" t="n"/>
      <c r="L320" s="334" t="n"/>
      <c r="M320" s="334" t="n"/>
      <c r="N320" s="339" t="n"/>
      <c r="O320" s="368" t="n"/>
      <c r="P320" s="334" t="n"/>
    </row>
    <row r="321">
      <c r="A321" s="334">
        <f>IFERROR(__xludf.DUMMYFUNCTION("""COMPUTED_VALUE"""),"rik")</f>
        <v/>
      </c>
      <c r="B321" s="334">
        <f>IFERROR(__xludf.DUMMYFUNCTION("""COMPUTED_VALUE"""),"トマトイプーのリコピン")</f>
        <v/>
      </c>
      <c r="C321" s="408">
        <f>IFERROR(__xludf.DUMMYFUNCTION("""COMPUTED_VALUE"""),"veryhard")</f>
        <v/>
      </c>
      <c r="D321" s="408">
        <f>IFERROR(__xludf.DUMMYFUNCTION("""COMPUTED_VALUE"""),"main")</f>
        <v/>
      </c>
      <c r="E321" s="334">
        <f>IFERROR(__xludf.DUMMYFUNCTION("""COMPUTED_VALUE"""),"メインクエスト")</f>
        <v/>
      </c>
      <c r="F321" s="408">
        <f>IFERROR(__xludf.DUMMYFUNCTION("""COMPUTED_VALUE"""),"quest_main_rik_veryhard_11")</f>
        <v/>
      </c>
      <c r="G321" s="334">
        <f>IFERROR(__xludf.DUMMYFUNCTION("""COMPUTED_VALUE"""),"11.トマトイプーのリコピン")</f>
        <v/>
      </c>
      <c r="H321" s="408">
        <f>IFERROR(__xludf.DUMMYFUNCTION("""COMPUTED_VALUE"""),"02")</f>
        <v/>
      </c>
      <c r="I321" s="334">
        <f>IFERROR(__xludf.DUMMYFUNCTION("""COMPUTED_VALUE"""),"veryhard_rik_00002")</f>
        <v/>
      </c>
      <c r="J321" s="334">
        <f>IFERROR(__xludf.DUMMYFUNCTION("""COMPUTED_VALUE"""),"stage_icon_rik_veryhard_02")</f>
        <v/>
      </c>
      <c r="K321" s="334" t="n"/>
      <c r="L321" s="334" t="n"/>
      <c r="M321" s="334" t="n"/>
      <c r="N321" s="339" t="n"/>
      <c r="O321" s="368" t="n"/>
      <c r="P321" s="334" t="n"/>
    </row>
    <row r="322">
      <c r="A322" s="334">
        <f>IFERROR(__xludf.DUMMYFUNCTION("""COMPUTED_VALUE"""),"rik")</f>
        <v/>
      </c>
      <c r="B322" s="334">
        <f>IFERROR(__xludf.DUMMYFUNCTION("""COMPUTED_VALUE"""),"トマトイプーのリコピン")</f>
        <v/>
      </c>
      <c r="C322" s="408">
        <f>IFERROR(__xludf.DUMMYFUNCTION("""COMPUTED_VALUE"""),"veryhard")</f>
        <v/>
      </c>
      <c r="D322" s="408">
        <f>IFERROR(__xludf.DUMMYFUNCTION("""COMPUTED_VALUE"""),"main")</f>
        <v/>
      </c>
      <c r="E322" s="334">
        <f>IFERROR(__xludf.DUMMYFUNCTION("""COMPUTED_VALUE"""),"メインクエスト")</f>
        <v/>
      </c>
      <c r="F322" s="408">
        <f>IFERROR(__xludf.DUMMYFUNCTION("""COMPUTED_VALUE"""),"quest_main_rik_veryhard_11")</f>
        <v/>
      </c>
      <c r="G322" s="334">
        <f>IFERROR(__xludf.DUMMYFUNCTION("""COMPUTED_VALUE"""),"11.トマトイプーのリコピン")</f>
        <v/>
      </c>
      <c r="H322" s="408">
        <f>IFERROR(__xludf.DUMMYFUNCTION("""COMPUTED_VALUE"""),"03")</f>
        <v/>
      </c>
      <c r="I322" s="334">
        <f>IFERROR(__xludf.DUMMYFUNCTION("""COMPUTED_VALUE"""),"veryhard_rik_00003")</f>
        <v/>
      </c>
      <c r="J322" s="334">
        <f>IFERROR(__xludf.DUMMYFUNCTION("""COMPUTED_VALUE"""),"stage_icon_rik_veryhard_03")</f>
        <v/>
      </c>
      <c r="K322" s="334" t="n"/>
      <c r="L322" s="334" t="n"/>
      <c r="M322" s="334" t="n"/>
      <c r="N322" s="339" t="n"/>
      <c r="O322" s="368" t="n"/>
      <c r="P322" s="334" t="n"/>
    </row>
    <row r="323">
      <c r="A323" s="334" t="n"/>
      <c r="B323" s="334" t="n"/>
      <c r="C323" s="334" t="n"/>
      <c r="D323" s="334" t="n"/>
      <c r="E323" s="334" t="n"/>
      <c r="F323" s="334" t="n"/>
      <c r="G323" s="334" t="n"/>
      <c r="H323" s="334" t="n"/>
      <c r="I323" s="334" t="n"/>
      <c r="J323" s="334" t="n"/>
      <c r="K323" s="334" t="n"/>
      <c r="L323" s="334" t="n"/>
      <c r="M323" s="334" t="n"/>
      <c r="N323" s="339" t="n"/>
      <c r="O323" s="368" t="n"/>
      <c r="P323" s="334" t="n"/>
    </row>
    <row r="324">
      <c r="A324" s="334">
        <f>IFERROR(__xludf.DUMMYFUNCTION("""COMPUTED_VALUE"""),"glo3")</f>
        <v/>
      </c>
      <c r="B324" s="334">
        <f>IFERROR(__xludf.DUMMYFUNCTION("""COMPUTED_VALUE"""),"GLOW")</f>
        <v/>
      </c>
      <c r="C324" s="408">
        <f>IFERROR(__xludf.DUMMYFUNCTION("""COMPUTED_VALUE"""),"veryhard")</f>
        <v/>
      </c>
      <c r="D324" s="408">
        <f>IFERROR(__xludf.DUMMYFUNCTION("""COMPUTED_VALUE"""),"main")</f>
        <v/>
      </c>
      <c r="E324" s="334">
        <f>IFERROR(__xludf.DUMMYFUNCTION("""COMPUTED_VALUE"""),"メインクエスト")</f>
        <v/>
      </c>
      <c r="F324" s="408">
        <f>IFERROR(__xludf.DUMMYFUNCTION("""COMPUTED_VALUE"""),"quest_main_glo3_veryhard_12")</f>
        <v/>
      </c>
      <c r="G324" s="334">
        <f>IFERROR(__xludf.DUMMYFUNCTION("""COMPUTED_VALUE"""),"12.リミックスクエスト Vol.3")</f>
        <v/>
      </c>
      <c r="H324" s="408">
        <f>IFERROR(__xludf.DUMMYFUNCTION("""COMPUTED_VALUE"""),"01")</f>
        <v/>
      </c>
      <c r="I324" s="334">
        <f>IFERROR(__xludf.DUMMYFUNCTION("""COMPUTED_VALUE"""),"veryhard_glo3_00001")</f>
        <v/>
      </c>
      <c r="J324" s="334">
        <f>IFERROR(__xludf.DUMMYFUNCTION("""COMPUTED_VALUE"""),"stage_icon_glo3_veryhard_01")</f>
        <v/>
      </c>
      <c r="K324" s="334" t="n"/>
      <c r="L324" s="334" t="n"/>
      <c r="M324" s="334" t="n"/>
      <c r="N324" s="339" t="n"/>
      <c r="O324" s="368" t="n"/>
      <c r="P324" s="334" t="n"/>
    </row>
    <row r="325">
      <c r="A325" s="334">
        <f>IFERROR(__xludf.DUMMYFUNCTION("""COMPUTED_VALUE"""),"glo3")</f>
        <v/>
      </c>
      <c r="B325" s="334">
        <f>IFERROR(__xludf.DUMMYFUNCTION("""COMPUTED_VALUE"""),"GLOW")</f>
        <v/>
      </c>
      <c r="C325" s="408">
        <f>IFERROR(__xludf.DUMMYFUNCTION("""COMPUTED_VALUE"""),"veryhard")</f>
        <v/>
      </c>
      <c r="D325" s="408">
        <f>IFERROR(__xludf.DUMMYFUNCTION("""COMPUTED_VALUE"""),"main")</f>
        <v/>
      </c>
      <c r="E325" s="334">
        <f>IFERROR(__xludf.DUMMYFUNCTION("""COMPUTED_VALUE"""),"メインクエスト")</f>
        <v/>
      </c>
      <c r="F325" s="408">
        <f>IFERROR(__xludf.DUMMYFUNCTION("""COMPUTED_VALUE"""),"quest_main_glo3_veryhard_12")</f>
        <v/>
      </c>
      <c r="G325" s="334">
        <f>IFERROR(__xludf.DUMMYFUNCTION("""COMPUTED_VALUE"""),"12.リミックスクエスト Vol.3")</f>
        <v/>
      </c>
      <c r="H325" s="408">
        <f>IFERROR(__xludf.DUMMYFUNCTION("""COMPUTED_VALUE"""),"02")</f>
        <v/>
      </c>
      <c r="I325" s="334">
        <f>IFERROR(__xludf.DUMMYFUNCTION("""COMPUTED_VALUE"""),"veryhard_glo3_00002")</f>
        <v/>
      </c>
      <c r="J325" s="334">
        <f>IFERROR(__xludf.DUMMYFUNCTION("""COMPUTED_VALUE"""),"stage_icon_glo3_veryhard_02")</f>
        <v/>
      </c>
      <c r="K325" s="334" t="n"/>
      <c r="L325" s="334" t="n"/>
      <c r="M325" s="334" t="n"/>
      <c r="N325" s="339" t="n"/>
      <c r="O325" s="368" t="n"/>
      <c r="P325" s="334" t="n"/>
    </row>
    <row r="326">
      <c r="A326" s="334">
        <f>IFERROR(__xludf.DUMMYFUNCTION("""COMPUTED_VALUE"""),"glo3")</f>
        <v/>
      </c>
      <c r="B326" s="334">
        <f>IFERROR(__xludf.DUMMYFUNCTION("""COMPUTED_VALUE"""),"GLOW")</f>
        <v/>
      </c>
      <c r="C326" s="408">
        <f>IFERROR(__xludf.DUMMYFUNCTION("""COMPUTED_VALUE"""),"veryhard")</f>
        <v/>
      </c>
      <c r="D326" s="408">
        <f>IFERROR(__xludf.DUMMYFUNCTION("""COMPUTED_VALUE"""),"main")</f>
        <v/>
      </c>
      <c r="E326" s="334">
        <f>IFERROR(__xludf.DUMMYFUNCTION("""COMPUTED_VALUE"""),"メインクエスト")</f>
        <v/>
      </c>
      <c r="F326" s="408">
        <f>IFERROR(__xludf.DUMMYFUNCTION("""COMPUTED_VALUE"""),"quest_main_glo3_veryhard_12")</f>
        <v/>
      </c>
      <c r="G326" s="334">
        <f>IFERROR(__xludf.DUMMYFUNCTION("""COMPUTED_VALUE"""),"12.リミックスクエスト Vol.3")</f>
        <v/>
      </c>
      <c r="H326" s="408">
        <f>IFERROR(__xludf.DUMMYFUNCTION("""COMPUTED_VALUE"""),"03")</f>
        <v/>
      </c>
      <c r="I326" s="334">
        <f>IFERROR(__xludf.DUMMYFUNCTION("""COMPUTED_VALUE"""),"veryhard_glo3_00003")</f>
        <v/>
      </c>
      <c r="J326" s="334">
        <f>IFERROR(__xludf.DUMMYFUNCTION("""COMPUTED_VALUE"""),"stage_icon_glo3_veryhard_03")</f>
        <v/>
      </c>
      <c r="K326" s="334" t="n"/>
      <c r="L326" s="334" t="n"/>
      <c r="M326" s="334" t="n"/>
      <c r="N326" s="339" t="n"/>
      <c r="O326" s="368" t="n"/>
      <c r="P326" s="334" t="n"/>
    </row>
    <row r="327">
      <c r="A327" s="334">
        <f>IFERROR(__xludf.DUMMYFUNCTION("""COMPUTED_VALUE"""),"glo3")</f>
        <v/>
      </c>
      <c r="B327" s="334">
        <f>IFERROR(__xludf.DUMMYFUNCTION("""COMPUTED_VALUE"""),"GLOW")</f>
        <v/>
      </c>
      <c r="C327" s="408">
        <f>IFERROR(__xludf.DUMMYFUNCTION("""COMPUTED_VALUE"""),"veryhard")</f>
        <v/>
      </c>
      <c r="D327" s="408">
        <f>IFERROR(__xludf.DUMMYFUNCTION("""COMPUTED_VALUE"""),"main")</f>
        <v/>
      </c>
      <c r="E327" s="334">
        <f>IFERROR(__xludf.DUMMYFUNCTION("""COMPUTED_VALUE"""),"メインクエスト")</f>
        <v/>
      </c>
      <c r="F327" s="408">
        <f>IFERROR(__xludf.DUMMYFUNCTION("""COMPUTED_VALUE"""),"quest_main_glo3_veryhard_12")</f>
        <v/>
      </c>
      <c r="G327" s="334">
        <f>IFERROR(__xludf.DUMMYFUNCTION("""COMPUTED_VALUE"""),"12.リミックスクエスト Vol.3")</f>
        <v/>
      </c>
      <c r="H327" s="408">
        <f>IFERROR(__xludf.DUMMYFUNCTION("""COMPUTED_VALUE"""),"04")</f>
        <v/>
      </c>
      <c r="I327" s="334">
        <f>IFERROR(__xludf.DUMMYFUNCTION("""COMPUTED_VALUE"""),"veryhard_glo3_00004")</f>
        <v/>
      </c>
      <c r="J327" s="334">
        <f>IFERROR(__xludf.DUMMYFUNCTION("""COMPUTED_VALUE"""),"stage_icon_glo3_veryhard_04")</f>
        <v/>
      </c>
      <c r="K327" s="334" t="n"/>
      <c r="L327" s="334" t="n"/>
      <c r="M327" s="334" t="n"/>
      <c r="N327" s="339" t="n"/>
      <c r="O327" s="368" t="n"/>
      <c r="P327" s="334" t="n"/>
    </row>
    <row r="328">
      <c r="A328" s="334">
        <f>IFERROR(__xludf.DUMMYFUNCTION("""COMPUTED_VALUE"""),"glo3")</f>
        <v/>
      </c>
      <c r="B328" s="334">
        <f>IFERROR(__xludf.DUMMYFUNCTION("""COMPUTED_VALUE"""),"GLOW")</f>
        <v/>
      </c>
      <c r="C328" s="408">
        <f>IFERROR(__xludf.DUMMYFUNCTION("""COMPUTED_VALUE"""),"veryhard")</f>
        <v/>
      </c>
      <c r="D328" s="408">
        <f>IFERROR(__xludf.DUMMYFUNCTION("""COMPUTED_VALUE"""),"main")</f>
        <v/>
      </c>
      <c r="E328" s="334">
        <f>IFERROR(__xludf.DUMMYFUNCTION("""COMPUTED_VALUE"""),"メインクエスト")</f>
        <v/>
      </c>
      <c r="F328" s="408">
        <f>IFERROR(__xludf.DUMMYFUNCTION("""COMPUTED_VALUE"""),"quest_main_glo3_veryhard_12")</f>
        <v/>
      </c>
      <c r="G328" s="334">
        <f>IFERROR(__xludf.DUMMYFUNCTION("""COMPUTED_VALUE"""),"12.リミックスクエスト Vol.3")</f>
        <v/>
      </c>
      <c r="H328" s="408">
        <f>IFERROR(__xludf.DUMMYFUNCTION("""COMPUTED_VALUE"""),"05")</f>
        <v/>
      </c>
      <c r="I328" s="334">
        <f>IFERROR(__xludf.DUMMYFUNCTION("""COMPUTED_VALUE"""),"veryhard_glo3_00005")</f>
        <v/>
      </c>
      <c r="J328" s="334">
        <f>IFERROR(__xludf.DUMMYFUNCTION("""COMPUTED_VALUE"""),"stage_icon_glo3_veryhard_05")</f>
        <v/>
      </c>
      <c r="K328" s="334" t="n"/>
      <c r="L328" s="334" t="n"/>
      <c r="M328" s="334" t="n"/>
      <c r="N328" s="339" t="n"/>
      <c r="O328" s="368" t="n"/>
      <c r="P328" s="334" t="n"/>
    </row>
    <row r="329">
      <c r="A329" s="334">
        <f>IFERROR(__xludf.DUMMYFUNCTION("""COMPUTED_VALUE"""),"glo3")</f>
        <v/>
      </c>
      <c r="B329" s="334">
        <f>IFERROR(__xludf.DUMMYFUNCTION("""COMPUTED_VALUE"""),"GLOW")</f>
        <v/>
      </c>
      <c r="C329" s="408">
        <f>IFERROR(__xludf.DUMMYFUNCTION("""COMPUTED_VALUE"""),"veryhard")</f>
        <v/>
      </c>
      <c r="D329" s="408">
        <f>IFERROR(__xludf.DUMMYFUNCTION("""COMPUTED_VALUE"""),"main")</f>
        <v/>
      </c>
      <c r="E329" s="334">
        <f>IFERROR(__xludf.DUMMYFUNCTION("""COMPUTED_VALUE"""),"メインクエスト")</f>
        <v/>
      </c>
      <c r="F329" s="408">
        <f>IFERROR(__xludf.DUMMYFUNCTION("""COMPUTED_VALUE"""),"quest_main_glo3_veryhard_12")</f>
        <v/>
      </c>
      <c r="G329" s="334">
        <f>IFERROR(__xludf.DUMMYFUNCTION("""COMPUTED_VALUE"""),"12.リミックスクエスト Vol.3")</f>
        <v/>
      </c>
      <c r="H329" s="408">
        <f>IFERROR(__xludf.DUMMYFUNCTION("""COMPUTED_VALUE"""),"06")</f>
        <v/>
      </c>
      <c r="I329" s="334">
        <f>IFERROR(__xludf.DUMMYFUNCTION("""COMPUTED_VALUE"""),"veryhard_glo3_00006")</f>
        <v/>
      </c>
      <c r="J329" s="334">
        <f>IFERROR(__xludf.DUMMYFUNCTION("""COMPUTED_VALUE"""),"stage_icon_glo3_veryhard_06")</f>
        <v/>
      </c>
      <c r="K329" s="334" t="n"/>
      <c r="L329" s="334" t="n"/>
      <c r="M329" s="334" t="n"/>
      <c r="N329" s="339" t="n"/>
      <c r="O329" s="368" t="n"/>
      <c r="P329" s="334" t="n"/>
    </row>
    <row r="330">
      <c r="A330" s="334" t="n"/>
      <c r="B330" s="334" t="n"/>
      <c r="C330" s="334" t="n"/>
      <c r="D330" s="334" t="n"/>
      <c r="E330" s="334" t="n"/>
      <c r="F330" s="334" t="n"/>
      <c r="G330" s="334" t="n"/>
      <c r="H330" s="334" t="n"/>
      <c r="I330" s="334" t="n"/>
      <c r="J330" s="334" t="n"/>
      <c r="K330" s="334" t="n"/>
      <c r="L330" s="334" t="n"/>
      <c r="M330" s="334" t="n"/>
      <c r="N330" s="339" t="n"/>
      <c r="O330" s="368" t="n"/>
      <c r="P330" s="334" t="n"/>
    </row>
    <row r="331">
      <c r="A331" s="334">
        <f>IFERROR(__xludf.DUMMYFUNCTION("""COMPUTED_VALUE"""),"mag")</f>
        <v/>
      </c>
      <c r="B331" s="334">
        <f>IFERROR(__xludf.DUMMYFUNCTION("""COMPUTED_VALUE"""),"株式会社マジルミエ")</f>
        <v/>
      </c>
      <c r="C331" s="408">
        <f>IFERROR(__xludf.DUMMYFUNCTION("""COMPUTED_VALUE"""),"veryhard")</f>
        <v/>
      </c>
      <c r="D331" s="408">
        <f>IFERROR(__xludf.DUMMYFUNCTION("""COMPUTED_VALUE"""),"main")</f>
        <v/>
      </c>
      <c r="E331" s="334">
        <f>IFERROR(__xludf.DUMMYFUNCTION("""COMPUTED_VALUE"""),"メインクエスト")</f>
        <v/>
      </c>
      <c r="F331" s="408">
        <f>IFERROR(__xludf.DUMMYFUNCTION("""COMPUTED_VALUE"""),"quest_main_mag_veryhard_13")</f>
        <v/>
      </c>
      <c r="G331" s="334">
        <f>IFERROR(__xludf.DUMMYFUNCTION("""COMPUTED_VALUE"""),"13.株式会社マジルミエ")</f>
        <v/>
      </c>
      <c r="H331" s="408">
        <f>IFERROR(__xludf.DUMMYFUNCTION("""COMPUTED_VALUE"""),"01")</f>
        <v/>
      </c>
      <c r="I331" s="334">
        <f>IFERROR(__xludf.DUMMYFUNCTION("""COMPUTED_VALUE"""),"veryhard_mag_00001")</f>
        <v/>
      </c>
      <c r="J331" s="334">
        <f>IFERROR(__xludf.DUMMYFUNCTION("""COMPUTED_VALUE"""),"stage_icon_mag_veryhard_01")</f>
        <v/>
      </c>
      <c r="K331" s="334" t="n"/>
      <c r="L331" s="334" t="n"/>
      <c r="M331" s="334" t="n"/>
      <c r="N331" s="339" t="n"/>
      <c r="O331" s="368" t="n"/>
      <c r="P331" s="334" t="n"/>
    </row>
    <row r="332">
      <c r="A332" s="334">
        <f>IFERROR(__xludf.DUMMYFUNCTION("""COMPUTED_VALUE"""),"mag")</f>
        <v/>
      </c>
      <c r="B332" s="334">
        <f>IFERROR(__xludf.DUMMYFUNCTION("""COMPUTED_VALUE"""),"株式会社マジルミエ")</f>
        <v/>
      </c>
      <c r="C332" s="408">
        <f>IFERROR(__xludf.DUMMYFUNCTION("""COMPUTED_VALUE"""),"veryhard")</f>
        <v/>
      </c>
      <c r="D332" s="408">
        <f>IFERROR(__xludf.DUMMYFUNCTION("""COMPUTED_VALUE"""),"main")</f>
        <v/>
      </c>
      <c r="E332" s="334">
        <f>IFERROR(__xludf.DUMMYFUNCTION("""COMPUTED_VALUE"""),"メインクエスト")</f>
        <v/>
      </c>
      <c r="F332" s="408">
        <f>IFERROR(__xludf.DUMMYFUNCTION("""COMPUTED_VALUE"""),"quest_main_mag_veryhard_13")</f>
        <v/>
      </c>
      <c r="G332" s="334">
        <f>IFERROR(__xludf.DUMMYFUNCTION("""COMPUTED_VALUE"""),"13.株式会社マジルミエ")</f>
        <v/>
      </c>
      <c r="H332" s="408">
        <f>IFERROR(__xludf.DUMMYFUNCTION("""COMPUTED_VALUE"""),"02")</f>
        <v/>
      </c>
      <c r="I332" s="334">
        <f>IFERROR(__xludf.DUMMYFUNCTION("""COMPUTED_VALUE"""),"veryhard_mag_00002")</f>
        <v/>
      </c>
      <c r="J332" s="334">
        <f>IFERROR(__xludf.DUMMYFUNCTION("""COMPUTED_VALUE"""),"stage_icon_mag_veryhard_02")</f>
        <v/>
      </c>
      <c r="K332" s="334" t="n"/>
      <c r="L332" s="334" t="n"/>
      <c r="M332" s="334" t="n"/>
      <c r="N332" s="339" t="n"/>
      <c r="O332" s="368" t="n"/>
      <c r="P332" s="334" t="n"/>
    </row>
    <row r="333">
      <c r="A333" s="334">
        <f>IFERROR(__xludf.DUMMYFUNCTION("""COMPUTED_VALUE"""),"mag")</f>
        <v/>
      </c>
      <c r="B333" s="334">
        <f>IFERROR(__xludf.DUMMYFUNCTION("""COMPUTED_VALUE"""),"株式会社マジルミエ")</f>
        <v/>
      </c>
      <c r="C333" s="408">
        <f>IFERROR(__xludf.DUMMYFUNCTION("""COMPUTED_VALUE"""),"veryhard")</f>
        <v/>
      </c>
      <c r="D333" s="408">
        <f>IFERROR(__xludf.DUMMYFUNCTION("""COMPUTED_VALUE"""),"main")</f>
        <v/>
      </c>
      <c r="E333" s="334">
        <f>IFERROR(__xludf.DUMMYFUNCTION("""COMPUTED_VALUE"""),"メインクエスト")</f>
        <v/>
      </c>
      <c r="F333" s="408">
        <f>IFERROR(__xludf.DUMMYFUNCTION("""COMPUTED_VALUE"""),"quest_main_mag_veryhard_13")</f>
        <v/>
      </c>
      <c r="G333" s="334">
        <f>IFERROR(__xludf.DUMMYFUNCTION("""COMPUTED_VALUE"""),"13.株式会社マジルミエ")</f>
        <v/>
      </c>
      <c r="H333" s="408">
        <f>IFERROR(__xludf.DUMMYFUNCTION("""COMPUTED_VALUE"""),"03")</f>
        <v/>
      </c>
      <c r="I333" s="334">
        <f>IFERROR(__xludf.DUMMYFUNCTION("""COMPUTED_VALUE"""),"veryhard_mag_00003")</f>
        <v/>
      </c>
      <c r="J333" s="334">
        <f>IFERROR(__xludf.DUMMYFUNCTION("""COMPUTED_VALUE"""),"stage_icon_mag_veryhard_03")</f>
        <v/>
      </c>
      <c r="K333" s="334" t="n"/>
      <c r="L333" s="334" t="n"/>
      <c r="M333" s="334" t="n"/>
      <c r="N333" s="339" t="n"/>
      <c r="O333" s="368" t="n"/>
      <c r="P333" s="334" t="n"/>
    </row>
    <row r="334">
      <c r="A334" s="334">
        <f>IFERROR(__xludf.DUMMYFUNCTION("""COMPUTED_VALUE"""),"mag")</f>
        <v/>
      </c>
      <c r="B334" s="334">
        <f>IFERROR(__xludf.DUMMYFUNCTION("""COMPUTED_VALUE"""),"株式会社マジルミエ")</f>
        <v/>
      </c>
      <c r="C334" s="408">
        <f>IFERROR(__xludf.DUMMYFUNCTION("""COMPUTED_VALUE"""),"veryhard")</f>
        <v/>
      </c>
      <c r="D334" s="408">
        <f>IFERROR(__xludf.DUMMYFUNCTION("""COMPUTED_VALUE"""),"main")</f>
        <v/>
      </c>
      <c r="E334" s="334">
        <f>IFERROR(__xludf.DUMMYFUNCTION("""COMPUTED_VALUE"""),"メインクエスト")</f>
        <v/>
      </c>
      <c r="F334" s="408">
        <f>IFERROR(__xludf.DUMMYFUNCTION("""COMPUTED_VALUE"""),"quest_main_mag_veryhard_13")</f>
        <v/>
      </c>
      <c r="G334" s="334">
        <f>IFERROR(__xludf.DUMMYFUNCTION("""COMPUTED_VALUE"""),"13.株式会社マジルミエ")</f>
        <v/>
      </c>
      <c r="H334" s="408">
        <f>IFERROR(__xludf.DUMMYFUNCTION("""COMPUTED_VALUE"""),"04")</f>
        <v/>
      </c>
      <c r="I334" s="334">
        <f>IFERROR(__xludf.DUMMYFUNCTION("""COMPUTED_VALUE"""),"veryhard_mag_00004")</f>
        <v/>
      </c>
      <c r="J334" s="334">
        <f>IFERROR(__xludf.DUMMYFUNCTION("""COMPUTED_VALUE"""),"stage_icon_mag_veryhard_04")</f>
        <v/>
      </c>
      <c r="K334" s="334" t="n"/>
      <c r="L334" s="334" t="n"/>
      <c r="M334" s="334" t="n"/>
      <c r="N334" s="339" t="n"/>
      <c r="O334" s="368" t="n"/>
      <c r="P334" s="334" t="n"/>
    </row>
    <row r="335">
      <c r="A335" s="334">
        <f>IFERROR(__xludf.DUMMYFUNCTION("""COMPUTED_VALUE"""),"mag")</f>
        <v/>
      </c>
      <c r="B335" s="334">
        <f>IFERROR(__xludf.DUMMYFUNCTION("""COMPUTED_VALUE"""),"株式会社マジルミエ")</f>
        <v/>
      </c>
      <c r="C335" s="408">
        <f>IFERROR(__xludf.DUMMYFUNCTION("""COMPUTED_VALUE"""),"veryhard")</f>
        <v/>
      </c>
      <c r="D335" s="408">
        <f>IFERROR(__xludf.DUMMYFUNCTION("""COMPUTED_VALUE"""),"main")</f>
        <v/>
      </c>
      <c r="E335" s="334">
        <f>IFERROR(__xludf.DUMMYFUNCTION("""COMPUTED_VALUE"""),"メインクエスト")</f>
        <v/>
      </c>
      <c r="F335" s="408">
        <f>IFERROR(__xludf.DUMMYFUNCTION("""COMPUTED_VALUE"""),"quest_main_mag_veryhard_13")</f>
        <v/>
      </c>
      <c r="G335" s="334">
        <f>IFERROR(__xludf.DUMMYFUNCTION("""COMPUTED_VALUE"""),"13.株式会社マジルミエ")</f>
        <v/>
      </c>
      <c r="H335" s="408">
        <f>IFERROR(__xludf.DUMMYFUNCTION("""COMPUTED_VALUE"""),"05")</f>
        <v/>
      </c>
      <c r="I335" s="334">
        <f>IFERROR(__xludf.DUMMYFUNCTION("""COMPUTED_VALUE"""),"veryhard_mag_00005")</f>
        <v/>
      </c>
      <c r="J335" s="334">
        <f>IFERROR(__xludf.DUMMYFUNCTION("""COMPUTED_VALUE"""),"stage_icon_mag_veryhard_05")</f>
        <v/>
      </c>
      <c r="K335" s="334" t="n"/>
      <c r="L335" s="334" t="n"/>
      <c r="M335" s="334" t="n"/>
      <c r="N335" s="339" t="n"/>
      <c r="O335" s="368" t="n"/>
      <c r="P335" s="334" t="n"/>
    </row>
    <row r="336">
      <c r="A336" s="334">
        <f>IFERROR(__xludf.DUMMYFUNCTION("""COMPUTED_VALUE"""),"mag")</f>
        <v/>
      </c>
      <c r="B336" s="334">
        <f>IFERROR(__xludf.DUMMYFUNCTION("""COMPUTED_VALUE"""),"株式会社マジルミエ")</f>
        <v/>
      </c>
      <c r="C336" s="408">
        <f>IFERROR(__xludf.DUMMYFUNCTION("""COMPUTED_VALUE"""),"veryhard")</f>
        <v/>
      </c>
      <c r="D336" s="408">
        <f>IFERROR(__xludf.DUMMYFUNCTION("""COMPUTED_VALUE"""),"main")</f>
        <v/>
      </c>
      <c r="E336" s="334">
        <f>IFERROR(__xludf.DUMMYFUNCTION("""COMPUTED_VALUE"""),"メインクエスト")</f>
        <v/>
      </c>
      <c r="F336" s="408">
        <f>IFERROR(__xludf.DUMMYFUNCTION("""COMPUTED_VALUE"""),"quest_main_mag_veryhard_13")</f>
        <v/>
      </c>
      <c r="G336" s="334">
        <f>IFERROR(__xludf.DUMMYFUNCTION("""COMPUTED_VALUE"""),"13.株式会社マジルミエ")</f>
        <v/>
      </c>
      <c r="H336" s="408">
        <f>IFERROR(__xludf.DUMMYFUNCTION("""COMPUTED_VALUE"""),"06")</f>
        <v/>
      </c>
      <c r="I336" s="334">
        <f>IFERROR(__xludf.DUMMYFUNCTION("""COMPUTED_VALUE"""),"veryhard_mag_00006")</f>
        <v/>
      </c>
      <c r="J336" s="334">
        <f>IFERROR(__xludf.DUMMYFUNCTION("""COMPUTED_VALUE"""),"stage_icon_mag_veryhard_06")</f>
        <v/>
      </c>
      <c r="K336" s="334" t="n"/>
      <c r="L336" s="334" t="n"/>
      <c r="M336" s="334" t="n"/>
      <c r="N336" s="339" t="n"/>
      <c r="O336" s="368" t="n"/>
      <c r="P336" s="334" t="n"/>
    </row>
    <row r="337">
      <c r="A337" s="334" t="n"/>
      <c r="B337" s="334" t="n"/>
      <c r="C337" s="334" t="n"/>
      <c r="D337" s="334" t="n"/>
      <c r="E337" s="334" t="n"/>
      <c r="F337" s="334" t="n"/>
      <c r="G337" s="334" t="n"/>
      <c r="H337" s="334" t="n"/>
      <c r="I337" s="334" t="n"/>
      <c r="J337" s="334" t="n"/>
      <c r="K337" s="334" t="n"/>
      <c r="L337" s="334" t="n"/>
      <c r="M337" s="334" t="n"/>
      <c r="N337" s="339" t="n"/>
      <c r="O337" s="368" t="n"/>
      <c r="P337" s="334" t="n"/>
    </row>
    <row r="338">
      <c r="A338" s="334">
        <f>IFERROR(__xludf.DUMMYFUNCTION("""COMPUTED_VALUE"""),"sum")</f>
        <v/>
      </c>
      <c r="B338" s="334">
        <f>IFERROR(__xludf.DUMMYFUNCTION("""COMPUTED_VALUE"""),"サマータイムレンダ")</f>
        <v/>
      </c>
      <c r="C338" s="408">
        <f>IFERROR(__xludf.DUMMYFUNCTION("""COMPUTED_VALUE"""),"veryhard")</f>
        <v/>
      </c>
      <c r="D338" s="408">
        <f>IFERROR(__xludf.DUMMYFUNCTION("""COMPUTED_VALUE"""),"main")</f>
        <v/>
      </c>
      <c r="E338" s="334">
        <f>IFERROR(__xludf.DUMMYFUNCTION("""COMPUTED_VALUE"""),"メインクエスト")</f>
        <v/>
      </c>
      <c r="F338" s="408">
        <f>IFERROR(__xludf.DUMMYFUNCTION("""COMPUTED_VALUE"""),"quest_main_sum_veryhard_14")</f>
        <v/>
      </c>
      <c r="G338" s="334">
        <f>IFERROR(__xludf.DUMMYFUNCTION("""COMPUTED_VALUE"""),"14.サマータイムレンダ")</f>
        <v/>
      </c>
      <c r="H338" s="408">
        <f>IFERROR(__xludf.DUMMYFUNCTION("""COMPUTED_VALUE"""),"01")</f>
        <v/>
      </c>
      <c r="I338" s="334">
        <f>IFERROR(__xludf.DUMMYFUNCTION("""COMPUTED_VALUE"""),"veryhard_sum_00001")</f>
        <v/>
      </c>
      <c r="J338" s="334">
        <f>IFERROR(__xludf.DUMMYFUNCTION("""COMPUTED_VALUE"""),"stage_icon_sum_veryhard_01")</f>
        <v/>
      </c>
      <c r="K338" s="334" t="n"/>
      <c r="L338" s="334" t="n"/>
      <c r="M338" s="334" t="n"/>
      <c r="N338" s="339" t="n"/>
      <c r="O338" s="368" t="n"/>
      <c r="P338" s="334" t="n"/>
    </row>
    <row r="339">
      <c r="A339" s="334">
        <f>IFERROR(__xludf.DUMMYFUNCTION("""COMPUTED_VALUE"""),"sum")</f>
        <v/>
      </c>
      <c r="B339" s="334">
        <f>IFERROR(__xludf.DUMMYFUNCTION("""COMPUTED_VALUE"""),"サマータイムレンダ")</f>
        <v/>
      </c>
      <c r="C339" s="408">
        <f>IFERROR(__xludf.DUMMYFUNCTION("""COMPUTED_VALUE"""),"veryhard")</f>
        <v/>
      </c>
      <c r="D339" s="408">
        <f>IFERROR(__xludf.DUMMYFUNCTION("""COMPUTED_VALUE"""),"main")</f>
        <v/>
      </c>
      <c r="E339" s="334">
        <f>IFERROR(__xludf.DUMMYFUNCTION("""COMPUTED_VALUE"""),"メインクエスト")</f>
        <v/>
      </c>
      <c r="F339" s="408">
        <f>IFERROR(__xludf.DUMMYFUNCTION("""COMPUTED_VALUE"""),"quest_main_sum_veryhard_14")</f>
        <v/>
      </c>
      <c r="G339" s="334">
        <f>IFERROR(__xludf.DUMMYFUNCTION("""COMPUTED_VALUE"""),"14.サマータイムレンダ")</f>
        <v/>
      </c>
      <c r="H339" s="408">
        <f>IFERROR(__xludf.DUMMYFUNCTION("""COMPUTED_VALUE"""),"02")</f>
        <v/>
      </c>
      <c r="I339" s="334">
        <f>IFERROR(__xludf.DUMMYFUNCTION("""COMPUTED_VALUE"""),"veryhard_sum_00002")</f>
        <v/>
      </c>
      <c r="J339" s="334">
        <f>IFERROR(__xludf.DUMMYFUNCTION("""COMPUTED_VALUE"""),"stage_icon_sum_veryhard_02")</f>
        <v/>
      </c>
      <c r="K339" s="334" t="n"/>
      <c r="L339" s="334" t="n"/>
      <c r="M339" s="334" t="n"/>
      <c r="N339" s="339" t="n"/>
      <c r="O339" s="368" t="n"/>
      <c r="P339" s="334" t="n"/>
    </row>
    <row r="340">
      <c r="A340" s="334">
        <f>IFERROR(__xludf.DUMMYFUNCTION("""COMPUTED_VALUE"""),"sum")</f>
        <v/>
      </c>
      <c r="B340" s="334">
        <f>IFERROR(__xludf.DUMMYFUNCTION("""COMPUTED_VALUE"""),"サマータイムレンダ")</f>
        <v/>
      </c>
      <c r="C340" s="408">
        <f>IFERROR(__xludf.DUMMYFUNCTION("""COMPUTED_VALUE"""),"veryhard")</f>
        <v/>
      </c>
      <c r="D340" s="408">
        <f>IFERROR(__xludf.DUMMYFUNCTION("""COMPUTED_VALUE"""),"main")</f>
        <v/>
      </c>
      <c r="E340" s="334">
        <f>IFERROR(__xludf.DUMMYFUNCTION("""COMPUTED_VALUE"""),"メインクエスト")</f>
        <v/>
      </c>
      <c r="F340" s="408">
        <f>IFERROR(__xludf.DUMMYFUNCTION("""COMPUTED_VALUE"""),"quest_main_sum_veryhard_14")</f>
        <v/>
      </c>
      <c r="G340" s="334">
        <f>IFERROR(__xludf.DUMMYFUNCTION("""COMPUTED_VALUE"""),"14.サマータイムレンダ")</f>
        <v/>
      </c>
      <c r="H340" s="408">
        <f>IFERROR(__xludf.DUMMYFUNCTION("""COMPUTED_VALUE"""),"03")</f>
        <v/>
      </c>
      <c r="I340" s="334">
        <f>IFERROR(__xludf.DUMMYFUNCTION("""COMPUTED_VALUE"""),"veryhard_sum_00003")</f>
        <v/>
      </c>
      <c r="J340" s="334">
        <f>IFERROR(__xludf.DUMMYFUNCTION("""COMPUTED_VALUE"""),"stage_icon_sum_veryhard_03")</f>
        <v/>
      </c>
      <c r="K340" s="334" t="n"/>
      <c r="L340" s="334" t="n"/>
      <c r="M340" s="334" t="n"/>
      <c r="N340" s="339" t="n"/>
      <c r="O340" s="368" t="n"/>
      <c r="P340" s="334" t="n"/>
    </row>
    <row r="341">
      <c r="A341" s="334">
        <f>IFERROR(__xludf.DUMMYFUNCTION("""COMPUTED_VALUE"""),"sum")</f>
        <v/>
      </c>
      <c r="B341" s="334">
        <f>IFERROR(__xludf.DUMMYFUNCTION("""COMPUTED_VALUE"""),"サマータイムレンダ")</f>
        <v/>
      </c>
      <c r="C341" s="408">
        <f>IFERROR(__xludf.DUMMYFUNCTION("""COMPUTED_VALUE"""),"veryhard")</f>
        <v/>
      </c>
      <c r="D341" s="408">
        <f>IFERROR(__xludf.DUMMYFUNCTION("""COMPUTED_VALUE"""),"main")</f>
        <v/>
      </c>
      <c r="E341" s="334">
        <f>IFERROR(__xludf.DUMMYFUNCTION("""COMPUTED_VALUE"""),"メインクエスト")</f>
        <v/>
      </c>
      <c r="F341" s="408">
        <f>IFERROR(__xludf.DUMMYFUNCTION("""COMPUTED_VALUE"""),"quest_main_sum_veryhard_14")</f>
        <v/>
      </c>
      <c r="G341" s="334">
        <f>IFERROR(__xludf.DUMMYFUNCTION("""COMPUTED_VALUE"""),"14.サマータイムレンダ")</f>
        <v/>
      </c>
      <c r="H341" s="408">
        <f>IFERROR(__xludf.DUMMYFUNCTION("""COMPUTED_VALUE"""),"04")</f>
        <v/>
      </c>
      <c r="I341" s="334">
        <f>IFERROR(__xludf.DUMMYFUNCTION("""COMPUTED_VALUE"""),"veryhard_sum_00004")</f>
        <v/>
      </c>
      <c r="J341" s="334">
        <f>IFERROR(__xludf.DUMMYFUNCTION("""COMPUTED_VALUE"""),"stage_icon_sum_veryhard_04")</f>
        <v/>
      </c>
      <c r="K341" s="334" t="n"/>
      <c r="L341" s="334" t="n"/>
      <c r="M341" s="334" t="n"/>
      <c r="N341" s="339" t="n"/>
      <c r="O341" s="368" t="n"/>
      <c r="P341" s="334" t="n"/>
    </row>
    <row r="342">
      <c r="A342" s="334">
        <f>IFERROR(__xludf.DUMMYFUNCTION("""COMPUTED_VALUE"""),"sum")</f>
        <v/>
      </c>
      <c r="B342" s="334">
        <f>IFERROR(__xludf.DUMMYFUNCTION("""COMPUTED_VALUE"""),"サマータイムレンダ")</f>
        <v/>
      </c>
      <c r="C342" s="408">
        <f>IFERROR(__xludf.DUMMYFUNCTION("""COMPUTED_VALUE"""),"veryhard")</f>
        <v/>
      </c>
      <c r="D342" s="408">
        <f>IFERROR(__xludf.DUMMYFUNCTION("""COMPUTED_VALUE"""),"main")</f>
        <v/>
      </c>
      <c r="E342" s="334">
        <f>IFERROR(__xludf.DUMMYFUNCTION("""COMPUTED_VALUE"""),"メインクエスト")</f>
        <v/>
      </c>
      <c r="F342" s="408">
        <f>IFERROR(__xludf.DUMMYFUNCTION("""COMPUTED_VALUE"""),"quest_main_sum_veryhard_14")</f>
        <v/>
      </c>
      <c r="G342" s="334">
        <f>IFERROR(__xludf.DUMMYFUNCTION("""COMPUTED_VALUE"""),"14.サマータイムレンダ")</f>
        <v/>
      </c>
      <c r="H342" s="408">
        <f>IFERROR(__xludf.DUMMYFUNCTION("""COMPUTED_VALUE"""),"05")</f>
        <v/>
      </c>
      <c r="I342" s="334">
        <f>IFERROR(__xludf.DUMMYFUNCTION("""COMPUTED_VALUE"""),"veryhard_sum_00005")</f>
        <v/>
      </c>
      <c r="J342" s="334">
        <f>IFERROR(__xludf.DUMMYFUNCTION("""COMPUTED_VALUE"""),"stage_icon_sum_veryhard_05")</f>
        <v/>
      </c>
      <c r="K342" s="334" t="n"/>
      <c r="L342" s="334" t="n"/>
      <c r="M342" s="334" t="n"/>
      <c r="N342" s="339" t="n"/>
      <c r="O342" s="368" t="n"/>
      <c r="P342" s="334" t="n"/>
    </row>
    <row r="343">
      <c r="A343" s="334">
        <f>IFERROR(__xludf.DUMMYFUNCTION("""COMPUTED_VALUE"""),"sum")</f>
        <v/>
      </c>
      <c r="B343" s="334">
        <f>IFERROR(__xludf.DUMMYFUNCTION("""COMPUTED_VALUE"""),"サマータイムレンダ")</f>
        <v/>
      </c>
      <c r="C343" s="408">
        <f>IFERROR(__xludf.DUMMYFUNCTION("""COMPUTED_VALUE"""),"veryhard")</f>
        <v/>
      </c>
      <c r="D343" s="408">
        <f>IFERROR(__xludf.DUMMYFUNCTION("""COMPUTED_VALUE"""),"main")</f>
        <v/>
      </c>
      <c r="E343" s="334">
        <f>IFERROR(__xludf.DUMMYFUNCTION("""COMPUTED_VALUE"""),"メインクエスト")</f>
        <v/>
      </c>
      <c r="F343" s="408">
        <f>IFERROR(__xludf.DUMMYFUNCTION("""COMPUTED_VALUE"""),"quest_main_sum_veryhard_14")</f>
        <v/>
      </c>
      <c r="G343" s="334">
        <f>IFERROR(__xludf.DUMMYFUNCTION("""COMPUTED_VALUE"""),"14.サマータイムレンダ")</f>
        <v/>
      </c>
      <c r="H343" s="408">
        <f>IFERROR(__xludf.DUMMYFUNCTION("""COMPUTED_VALUE"""),"06")</f>
        <v/>
      </c>
      <c r="I343" s="334">
        <f>IFERROR(__xludf.DUMMYFUNCTION("""COMPUTED_VALUE"""),"veryhard_sum_00006")</f>
        <v/>
      </c>
      <c r="J343" s="334">
        <f>IFERROR(__xludf.DUMMYFUNCTION("""COMPUTED_VALUE"""),"stage_icon_sum_veryhard_06")</f>
        <v/>
      </c>
      <c r="K343" s="334" t="n"/>
      <c r="L343" s="334" t="n"/>
      <c r="M343" s="334" t="n"/>
      <c r="N343" s="339" t="n"/>
      <c r="O343" s="368" t="n"/>
      <c r="P343" s="334" t="n"/>
    </row>
    <row r="344">
      <c r="A344" s="334" t="n"/>
      <c r="B344" s="334" t="n"/>
      <c r="C344" s="334" t="n"/>
      <c r="D344" s="334" t="n"/>
      <c r="E344" s="334" t="n"/>
      <c r="F344" s="334" t="n"/>
      <c r="G344" s="334" t="n"/>
      <c r="H344" s="334" t="n"/>
      <c r="I344" s="334" t="n"/>
      <c r="J344" s="334" t="n"/>
      <c r="K344" s="334" t="n"/>
      <c r="L344" s="334" t="n"/>
      <c r="M344" s="334" t="n"/>
      <c r="N344" s="339" t="n"/>
      <c r="O344" s="368" t="n"/>
      <c r="P344" s="334" t="n"/>
    </row>
    <row r="345">
      <c r="A345" s="334">
        <f>IFERROR(__xludf.DUMMYFUNCTION("""COMPUTED_VALUE"""),"kai")</f>
        <v/>
      </c>
      <c r="B345" s="334">
        <f>IFERROR(__xludf.DUMMYFUNCTION("""COMPUTED_VALUE"""),"怪獣８号")</f>
        <v/>
      </c>
      <c r="C345" s="408">
        <f>IFERROR(__xludf.DUMMYFUNCTION("""COMPUTED_VALUE"""),"veryhard")</f>
        <v/>
      </c>
      <c r="D345" s="408">
        <f>IFERROR(__xludf.DUMMYFUNCTION("""COMPUTED_VALUE"""),"main")</f>
        <v/>
      </c>
      <c r="E345" s="334">
        <f>IFERROR(__xludf.DUMMYFUNCTION("""COMPUTED_VALUE"""),"メインクエスト")</f>
        <v/>
      </c>
      <c r="F345" s="408">
        <f>IFERROR(__xludf.DUMMYFUNCTION("""COMPUTED_VALUE"""),"quest_main_kai_veryhard_15")</f>
        <v/>
      </c>
      <c r="G345" s="334">
        <f>IFERROR(__xludf.DUMMYFUNCTION("""COMPUTED_VALUE"""),"15.怪獣８号")</f>
        <v/>
      </c>
      <c r="H345" s="408">
        <f>IFERROR(__xludf.DUMMYFUNCTION("""COMPUTED_VALUE"""),"01")</f>
        <v/>
      </c>
      <c r="I345" s="334">
        <f>IFERROR(__xludf.DUMMYFUNCTION("""COMPUTED_VALUE"""),"veryhard_kai_00001")</f>
        <v/>
      </c>
      <c r="J345" s="334">
        <f>IFERROR(__xludf.DUMMYFUNCTION("""COMPUTED_VALUE"""),"stage_icon_kai_veryhard_01")</f>
        <v/>
      </c>
      <c r="K345" s="334" t="n"/>
      <c r="L345" s="334" t="n"/>
      <c r="M345" s="334" t="n"/>
      <c r="N345" s="339" t="n"/>
      <c r="O345" s="368" t="n"/>
      <c r="P345" s="334" t="n"/>
    </row>
    <row r="346">
      <c r="A346" s="334">
        <f>IFERROR(__xludf.DUMMYFUNCTION("""COMPUTED_VALUE"""),"kai")</f>
        <v/>
      </c>
      <c r="B346" s="334">
        <f>IFERROR(__xludf.DUMMYFUNCTION("""COMPUTED_VALUE"""),"怪獣８号")</f>
        <v/>
      </c>
      <c r="C346" s="408">
        <f>IFERROR(__xludf.DUMMYFUNCTION("""COMPUTED_VALUE"""),"veryhard")</f>
        <v/>
      </c>
      <c r="D346" s="408">
        <f>IFERROR(__xludf.DUMMYFUNCTION("""COMPUTED_VALUE"""),"main")</f>
        <v/>
      </c>
      <c r="E346" s="334">
        <f>IFERROR(__xludf.DUMMYFUNCTION("""COMPUTED_VALUE"""),"メインクエスト")</f>
        <v/>
      </c>
      <c r="F346" s="408">
        <f>IFERROR(__xludf.DUMMYFUNCTION("""COMPUTED_VALUE"""),"quest_main_kai_veryhard_15")</f>
        <v/>
      </c>
      <c r="G346" s="334">
        <f>IFERROR(__xludf.DUMMYFUNCTION("""COMPUTED_VALUE"""),"15.怪獣８号")</f>
        <v/>
      </c>
      <c r="H346" s="408">
        <f>IFERROR(__xludf.DUMMYFUNCTION("""COMPUTED_VALUE"""),"02")</f>
        <v/>
      </c>
      <c r="I346" s="334">
        <f>IFERROR(__xludf.DUMMYFUNCTION("""COMPUTED_VALUE"""),"veryhard_kai_00002")</f>
        <v/>
      </c>
      <c r="J346" s="334">
        <f>IFERROR(__xludf.DUMMYFUNCTION("""COMPUTED_VALUE"""),"stage_icon_kai_veryhard_02")</f>
        <v/>
      </c>
      <c r="K346" s="334" t="n"/>
      <c r="L346" s="334" t="n"/>
      <c r="M346" s="334" t="n"/>
      <c r="N346" s="339" t="n"/>
      <c r="O346" s="368" t="n"/>
      <c r="P346" s="334" t="n"/>
    </row>
    <row r="347">
      <c r="A347" s="334">
        <f>IFERROR(__xludf.DUMMYFUNCTION("""COMPUTED_VALUE"""),"kai")</f>
        <v/>
      </c>
      <c r="B347" s="334">
        <f>IFERROR(__xludf.DUMMYFUNCTION("""COMPUTED_VALUE"""),"怪獣８号")</f>
        <v/>
      </c>
      <c r="C347" s="408">
        <f>IFERROR(__xludf.DUMMYFUNCTION("""COMPUTED_VALUE"""),"veryhard")</f>
        <v/>
      </c>
      <c r="D347" s="408">
        <f>IFERROR(__xludf.DUMMYFUNCTION("""COMPUTED_VALUE"""),"main")</f>
        <v/>
      </c>
      <c r="E347" s="334">
        <f>IFERROR(__xludf.DUMMYFUNCTION("""COMPUTED_VALUE"""),"メインクエスト")</f>
        <v/>
      </c>
      <c r="F347" s="408">
        <f>IFERROR(__xludf.DUMMYFUNCTION("""COMPUTED_VALUE"""),"quest_main_kai_veryhard_15")</f>
        <v/>
      </c>
      <c r="G347" s="334">
        <f>IFERROR(__xludf.DUMMYFUNCTION("""COMPUTED_VALUE"""),"15.怪獣８号")</f>
        <v/>
      </c>
      <c r="H347" s="408">
        <f>IFERROR(__xludf.DUMMYFUNCTION("""COMPUTED_VALUE"""),"03")</f>
        <v/>
      </c>
      <c r="I347" s="334">
        <f>IFERROR(__xludf.DUMMYFUNCTION("""COMPUTED_VALUE"""),"veryhard_kai_00003")</f>
        <v/>
      </c>
      <c r="J347" s="334">
        <f>IFERROR(__xludf.DUMMYFUNCTION("""COMPUTED_VALUE"""),"stage_icon_kai_veryhard_03")</f>
        <v/>
      </c>
      <c r="K347" s="334" t="n"/>
      <c r="L347" s="334" t="n"/>
      <c r="M347" s="334" t="n"/>
      <c r="N347" s="339" t="n"/>
      <c r="O347" s="368" t="n"/>
      <c r="P347" s="334" t="n"/>
    </row>
    <row r="348">
      <c r="A348" s="334">
        <f>IFERROR(__xludf.DUMMYFUNCTION("""COMPUTED_VALUE"""),"kai")</f>
        <v/>
      </c>
      <c r="B348" s="334">
        <f>IFERROR(__xludf.DUMMYFUNCTION("""COMPUTED_VALUE"""),"怪獣８号")</f>
        <v/>
      </c>
      <c r="C348" s="408">
        <f>IFERROR(__xludf.DUMMYFUNCTION("""COMPUTED_VALUE"""),"veryhard")</f>
        <v/>
      </c>
      <c r="D348" s="408">
        <f>IFERROR(__xludf.DUMMYFUNCTION("""COMPUTED_VALUE"""),"main")</f>
        <v/>
      </c>
      <c r="E348" s="334">
        <f>IFERROR(__xludf.DUMMYFUNCTION("""COMPUTED_VALUE"""),"メインクエスト")</f>
        <v/>
      </c>
      <c r="F348" s="408">
        <f>IFERROR(__xludf.DUMMYFUNCTION("""COMPUTED_VALUE"""),"quest_main_kai_veryhard_15")</f>
        <v/>
      </c>
      <c r="G348" s="334">
        <f>IFERROR(__xludf.DUMMYFUNCTION("""COMPUTED_VALUE"""),"15.怪獣８号")</f>
        <v/>
      </c>
      <c r="H348" s="408">
        <f>IFERROR(__xludf.DUMMYFUNCTION("""COMPUTED_VALUE"""),"04")</f>
        <v/>
      </c>
      <c r="I348" s="334">
        <f>IFERROR(__xludf.DUMMYFUNCTION("""COMPUTED_VALUE"""),"veryhard_kai_00004")</f>
        <v/>
      </c>
      <c r="J348" s="334">
        <f>IFERROR(__xludf.DUMMYFUNCTION("""COMPUTED_VALUE"""),"stage_icon_kai_veryhard_04")</f>
        <v/>
      </c>
      <c r="K348" s="334" t="n"/>
      <c r="L348" s="334" t="n"/>
      <c r="M348" s="334" t="n"/>
      <c r="N348" s="339" t="n"/>
      <c r="O348" s="368" t="n"/>
      <c r="P348" s="334" t="n"/>
    </row>
    <row r="349">
      <c r="A349" s="334">
        <f>IFERROR(__xludf.DUMMYFUNCTION("""COMPUTED_VALUE"""),"kai")</f>
        <v/>
      </c>
      <c r="B349" s="334">
        <f>IFERROR(__xludf.DUMMYFUNCTION("""COMPUTED_VALUE"""),"怪獣８号")</f>
        <v/>
      </c>
      <c r="C349" s="408">
        <f>IFERROR(__xludf.DUMMYFUNCTION("""COMPUTED_VALUE"""),"veryhard")</f>
        <v/>
      </c>
      <c r="D349" s="408">
        <f>IFERROR(__xludf.DUMMYFUNCTION("""COMPUTED_VALUE"""),"main")</f>
        <v/>
      </c>
      <c r="E349" s="334">
        <f>IFERROR(__xludf.DUMMYFUNCTION("""COMPUTED_VALUE"""),"メインクエスト")</f>
        <v/>
      </c>
      <c r="F349" s="408">
        <f>IFERROR(__xludf.DUMMYFUNCTION("""COMPUTED_VALUE"""),"quest_main_kai_veryhard_15")</f>
        <v/>
      </c>
      <c r="G349" s="334">
        <f>IFERROR(__xludf.DUMMYFUNCTION("""COMPUTED_VALUE"""),"15.怪獣８号")</f>
        <v/>
      </c>
      <c r="H349" s="408">
        <f>IFERROR(__xludf.DUMMYFUNCTION("""COMPUTED_VALUE"""),"05")</f>
        <v/>
      </c>
      <c r="I349" s="334">
        <f>IFERROR(__xludf.DUMMYFUNCTION("""COMPUTED_VALUE"""),"veryhard_kai_00005")</f>
        <v/>
      </c>
      <c r="J349" s="334">
        <f>IFERROR(__xludf.DUMMYFUNCTION("""COMPUTED_VALUE"""),"stage_icon_kai_veryhard_05")</f>
        <v/>
      </c>
      <c r="K349" s="334" t="n"/>
      <c r="L349" s="334" t="n"/>
      <c r="M349" s="334" t="n"/>
      <c r="N349" s="339" t="n"/>
      <c r="O349" s="368" t="n"/>
      <c r="P349" s="334" t="n"/>
    </row>
    <row r="350">
      <c r="A350" s="334">
        <f>IFERROR(__xludf.DUMMYFUNCTION("""COMPUTED_VALUE"""),"kai")</f>
        <v/>
      </c>
      <c r="B350" s="334">
        <f>IFERROR(__xludf.DUMMYFUNCTION("""COMPUTED_VALUE"""),"怪獣８号")</f>
        <v/>
      </c>
      <c r="C350" s="408">
        <f>IFERROR(__xludf.DUMMYFUNCTION("""COMPUTED_VALUE"""),"veryhard")</f>
        <v/>
      </c>
      <c r="D350" s="408">
        <f>IFERROR(__xludf.DUMMYFUNCTION("""COMPUTED_VALUE"""),"main")</f>
        <v/>
      </c>
      <c r="E350" s="334">
        <f>IFERROR(__xludf.DUMMYFUNCTION("""COMPUTED_VALUE"""),"メインクエスト")</f>
        <v/>
      </c>
      <c r="F350" s="408">
        <f>IFERROR(__xludf.DUMMYFUNCTION("""COMPUTED_VALUE"""),"quest_main_kai_veryhard_15")</f>
        <v/>
      </c>
      <c r="G350" s="334">
        <f>IFERROR(__xludf.DUMMYFUNCTION("""COMPUTED_VALUE"""),"15.怪獣８号")</f>
        <v/>
      </c>
      <c r="H350" s="408">
        <f>IFERROR(__xludf.DUMMYFUNCTION("""COMPUTED_VALUE"""),"06")</f>
        <v/>
      </c>
      <c r="I350" s="334">
        <f>IFERROR(__xludf.DUMMYFUNCTION("""COMPUTED_VALUE"""),"veryhard_kai_00006")</f>
        <v/>
      </c>
      <c r="J350" s="334">
        <f>IFERROR(__xludf.DUMMYFUNCTION("""COMPUTED_VALUE"""),"stage_icon_kai_veryhard_06")</f>
        <v/>
      </c>
      <c r="K350" s="334" t="n"/>
      <c r="L350" s="334" t="n"/>
      <c r="M350" s="334" t="n"/>
      <c r="N350" s="339" t="n"/>
      <c r="O350" s="368" t="n"/>
      <c r="P350" s="334" t="n"/>
    </row>
    <row r="351">
      <c r="A351" s="334" t="n"/>
      <c r="B351" s="334" t="n"/>
      <c r="C351" s="334" t="n"/>
      <c r="D351" s="334" t="n"/>
      <c r="E351" s="334" t="n"/>
      <c r="F351" s="334" t="n"/>
      <c r="G351" s="334" t="n"/>
      <c r="H351" s="334" t="n"/>
      <c r="I351" s="334" t="n"/>
      <c r="J351" s="334" t="n"/>
      <c r="K351" s="334" t="n"/>
      <c r="L351" s="334" t="n"/>
      <c r="M351" s="334" t="n"/>
      <c r="N351" s="339" t="n"/>
      <c r="O351" s="368" t="n"/>
      <c r="P351" s="334" t="n"/>
    </row>
    <row r="352">
      <c r="A352" s="334">
        <f>IFERROR(__xludf.DUMMYFUNCTION("""COMPUTED_VALUE"""),"glo4")</f>
        <v/>
      </c>
      <c r="B352" s="334">
        <f>IFERROR(__xludf.DUMMYFUNCTION("""COMPUTED_VALUE"""),"GLOW")</f>
        <v/>
      </c>
      <c r="C352" s="408">
        <f>IFERROR(__xludf.DUMMYFUNCTION("""COMPUTED_VALUE"""),"veryhard")</f>
        <v/>
      </c>
      <c r="D352" s="408">
        <f>IFERROR(__xludf.DUMMYFUNCTION("""COMPUTED_VALUE"""),"main")</f>
        <v/>
      </c>
      <c r="E352" s="334">
        <f>IFERROR(__xludf.DUMMYFUNCTION("""COMPUTED_VALUE"""),"メインクエスト")</f>
        <v/>
      </c>
      <c r="F352" s="408">
        <f>IFERROR(__xludf.DUMMYFUNCTION("""COMPUTED_VALUE"""),"quest_main_glo4_veryhard_16")</f>
        <v/>
      </c>
      <c r="G352" s="334">
        <f>IFERROR(__xludf.DUMMYFUNCTION("""COMPUTED_VALUE"""),"16.リミックスクエスト Vol.4")</f>
        <v/>
      </c>
      <c r="H352" s="408">
        <f>IFERROR(__xludf.DUMMYFUNCTION("""COMPUTED_VALUE"""),"01")</f>
        <v/>
      </c>
      <c r="I352" s="334">
        <f>IFERROR(__xludf.DUMMYFUNCTION("""COMPUTED_VALUE"""),"veryhard_glo4_00001")</f>
        <v/>
      </c>
      <c r="J352" s="334">
        <f>IFERROR(__xludf.DUMMYFUNCTION("""COMPUTED_VALUE"""),"stage_icon_glo4_veryhard_01")</f>
        <v/>
      </c>
      <c r="K352" s="334" t="n"/>
      <c r="L352" s="334" t="n"/>
      <c r="M352" s="334" t="n"/>
      <c r="N352" s="339" t="n"/>
      <c r="O352" s="368" t="n"/>
      <c r="P352" s="334" t="n"/>
    </row>
    <row r="353">
      <c r="A353" s="334">
        <f>IFERROR(__xludf.DUMMYFUNCTION("""COMPUTED_VALUE"""),"glo4")</f>
        <v/>
      </c>
      <c r="B353" s="334">
        <f>IFERROR(__xludf.DUMMYFUNCTION("""COMPUTED_VALUE"""),"GLOW")</f>
        <v/>
      </c>
      <c r="C353" s="408">
        <f>IFERROR(__xludf.DUMMYFUNCTION("""COMPUTED_VALUE"""),"veryhard")</f>
        <v/>
      </c>
      <c r="D353" s="408">
        <f>IFERROR(__xludf.DUMMYFUNCTION("""COMPUTED_VALUE"""),"main")</f>
        <v/>
      </c>
      <c r="E353" s="334">
        <f>IFERROR(__xludf.DUMMYFUNCTION("""COMPUTED_VALUE"""),"メインクエスト")</f>
        <v/>
      </c>
      <c r="F353" s="408">
        <f>IFERROR(__xludf.DUMMYFUNCTION("""COMPUTED_VALUE"""),"quest_main_glo4_veryhard_16")</f>
        <v/>
      </c>
      <c r="G353" s="334">
        <f>IFERROR(__xludf.DUMMYFUNCTION("""COMPUTED_VALUE"""),"16.リミックスクエスト Vol.4")</f>
        <v/>
      </c>
      <c r="H353" s="408">
        <f>IFERROR(__xludf.DUMMYFUNCTION("""COMPUTED_VALUE"""),"02")</f>
        <v/>
      </c>
      <c r="I353" s="334">
        <f>IFERROR(__xludf.DUMMYFUNCTION("""COMPUTED_VALUE"""),"veryhard_glo4_00002")</f>
        <v/>
      </c>
      <c r="J353" s="334">
        <f>IFERROR(__xludf.DUMMYFUNCTION("""COMPUTED_VALUE"""),"stage_icon_glo4_veryhard_02")</f>
        <v/>
      </c>
      <c r="K353" s="334" t="n"/>
      <c r="L353" s="334" t="n"/>
      <c r="M353" s="334" t="n"/>
      <c r="N353" s="339" t="n"/>
      <c r="O353" s="368" t="n"/>
      <c r="P353" s="334" t="n"/>
    </row>
    <row r="354">
      <c r="A354" s="334">
        <f>IFERROR(__xludf.DUMMYFUNCTION("""COMPUTED_VALUE"""),"glo4")</f>
        <v/>
      </c>
      <c r="B354" s="334">
        <f>IFERROR(__xludf.DUMMYFUNCTION("""COMPUTED_VALUE"""),"GLOW")</f>
        <v/>
      </c>
      <c r="C354" s="408">
        <f>IFERROR(__xludf.DUMMYFUNCTION("""COMPUTED_VALUE"""),"veryhard")</f>
        <v/>
      </c>
      <c r="D354" s="408">
        <f>IFERROR(__xludf.DUMMYFUNCTION("""COMPUTED_VALUE"""),"main")</f>
        <v/>
      </c>
      <c r="E354" s="334">
        <f>IFERROR(__xludf.DUMMYFUNCTION("""COMPUTED_VALUE"""),"メインクエスト")</f>
        <v/>
      </c>
      <c r="F354" s="408">
        <f>IFERROR(__xludf.DUMMYFUNCTION("""COMPUTED_VALUE"""),"quest_main_glo4_veryhard_16")</f>
        <v/>
      </c>
      <c r="G354" s="334">
        <f>IFERROR(__xludf.DUMMYFUNCTION("""COMPUTED_VALUE"""),"16.リミックスクエスト Vol.4")</f>
        <v/>
      </c>
      <c r="H354" s="408">
        <f>IFERROR(__xludf.DUMMYFUNCTION("""COMPUTED_VALUE"""),"03")</f>
        <v/>
      </c>
      <c r="I354" s="334">
        <f>IFERROR(__xludf.DUMMYFUNCTION("""COMPUTED_VALUE"""),"veryhard_glo4_00003")</f>
        <v/>
      </c>
      <c r="J354" s="334">
        <f>IFERROR(__xludf.DUMMYFUNCTION("""COMPUTED_VALUE"""),"stage_icon_glo4_veryhard_03")</f>
        <v/>
      </c>
      <c r="K354" s="334" t="n"/>
      <c r="L354" s="334" t="n"/>
      <c r="M354" s="334" t="n"/>
      <c r="N354" s="339" t="n"/>
      <c r="O354" s="368" t="n"/>
      <c r="P354" s="334" t="n"/>
    </row>
    <row r="355">
      <c r="A355" s="334">
        <f>IFERROR(__xludf.DUMMYFUNCTION("""COMPUTED_VALUE"""),"glo4")</f>
        <v/>
      </c>
      <c r="B355" s="334">
        <f>IFERROR(__xludf.DUMMYFUNCTION("""COMPUTED_VALUE"""),"GLOW")</f>
        <v/>
      </c>
      <c r="C355" s="408">
        <f>IFERROR(__xludf.DUMMYFUNCTION("""COMPUTED_VALUE"""),"veryhard")</f>
        <v/>
      </c>
      <c r="D355" s="408">
        <f>IFERROR(__xludf.DUMMYFUNCTION("""COMPUTED_VALUE"""),"main")</f>
        <v/>
      </c>
      <c r="E355" s="334">
        <f>IFERROR(__xludf.DUMMYFUNCTION("""COMPUTED_VALUE"""),"メインクエスト")</f>
        <v/>
      </c>
      <c r="F355" s="408">
        <f>IFERROR(__xludf.DUMMYFUNCTION("""COMPUTED_VALUE"""),"quest_main_glo4_veryhard_16")</f>
        <v/>
      </c>
      <c r="G355" s="334">
        <f>IFERROR(__xludf.DUMMYFUNCTION("""COMPUTED_VALUE"""),"16.リミックスクエスト Vol.4")</f>
        <v/>
      </c>
      <c r="H355" s="408">
        <f>IFERROR(__xludf.DUMMYFUNCTION("""COMPUTED_VALUE"""),"04")</f>
        <v/>
      </c>
      <c r="I355" s="334">
        <f>IFERROR(__xludf.DUMMYFUNCTION("""COMPUTED_VALUE"""),"veryhard_glo4_00004")</f>
        <v/>
      </c>
      <c r="J355" s="334">
        <f>IFERROR(__xludf.DUMMYFUNCTION("""COMPUTED_VALUE"""),"stage_icon_glo4_veryhard_04")</f>
        <v/>
      </c>
      <c r="K355" s="334" t="n"/>
      <c r="L355" s="334" t="n"/>
      <c r="M355" s="334" t="n"/>
      <c r="N355" s="339" t="n"/>
      <c r="O355" s="368" t="n"/>
      <c r="P355" s="334" t="n"/>
    </row>
    <row r="356">
      <c r="A356" s="334">
        <f>IFERROR(__xludf.DUMMYFUNCTION("""COMPUTED_VALUE"""),"glo4")</f>
        <v/>
      </c>
      <c r="B356" s="334">
        <f>IFERROR(__xludf.DUMMYFUNCTION("""COMPUTED_VALUE"""),"GLOW")</f>
        <v/>
      </c>
      <c r="C356" s="408">
        <f>IFERROR(__xludf.DUMMYFUNCTION("""COMPUTED_VALUE"""),"veryhard")</f>
        <v/>
      </c>
      <c r="D356" s="408">
        <f>IFERROR(__xludf.DUMMYFUNCTION("""COMPUTED_VALUE"""),"main")</f>
        <v/>
      </c>
      <c r="E356" s="334">
        <f>IFERROR(__xludf.DUMMYFUNCTION("""COMPUTED_VALUE"""),"メインクエスト")</f>
        <v/>
      </c>
      <c r="F356" s="408">
        <f>IFERROR(__xludf.DUMMYFUNCTION("""COMPUTED_VALUE"""),"quest_main_glo4_veryhard_16")</f>
        <v/>
      </c>
      <c r="G356" s="334">
        <f>IFERROR(__xludf.DUMMYFUNCTION("""COMPUTED_VALUE"""),"16.リミックスクエスト Vol.4")</f>
        <v/>
      </c>
      <c r="H356" s="408">
        <f>IFERROR(__xludf.DUMMYFUNCTION("""COMPUTED_VALUE"""),"05")</f>
        <v/>
      </c>
      <c r="I356" s="334">
        <f>IFERROR(__xludf.DUMMYFUNCTION("""COMPUTED_VALUE"""),"veryhard_glo4_00005")</f>
        <v/>
      </c>
      <c r="J356" s="334">
        <f>IFERROR(__xludf.DUMMYFUNCTION("""COMPUTED_VALUE"""),"stage_icon_glo4_veryhard_05")</f>
        <v/>
      </c>
      <c r="K356" s="334" t="n"/>
      <c r="L356" s="334" t="n"/>
      <c r="M356" s="334" t="n"/>
      <c r="N356" s="339" t="n"/>
      <c r="O356" s="368" t="n"/>
      <c r="P356" s="334" t="n"/>
    </row>
    <row r="357">
      <c r="A357" s="334">
        <f>IFERROR(__xludf.DUMMYFUNCTION("""COMPUTED_VALUE"""),"glo4")</f>
        <v/>
      </c>
      <c r="B357" s="334">
        <f>IFERROR(__xludf.DUMMYFUNCTION("""COMPUTED_VALUE"""),"GLOW")</f>
        <v/>
      </c>
      <c r="C357" s="408">
        <f>IFERROR(__xludf.DUMMYFUNCTION("""COMPUTED_VALUE"""),"veryhard")</f>
        <v/>
      </c>
      <c r="D357" s="408">
        <f>IFERROR(__xludf.DUMMYFUNCTION("""COMPUTED_VALUE"""),"main")</f>
        <v/>
      </c>
      <c r="E357" s="334">
        <f>IFERROR(__xludf.DUMMYFUNCTION("""COMPUTED_VALUE"""),"メインクエスト")</f>
        <v/>
      </c>
      <c r="F357" s="408">
        <f>IFERROR(__xludf.DUMMYFUNCTION("""COMPUTED_VALUE"""),"quest_main_glo4_veryhard_16")</f>
        <v/>
      </c>
      <c r="G357" s="334">
        <f>IFERROR(__xludf.DUMMYFUNCTION("""COMPUTED_VALUE"""),"16.リミックスクエスト Vol.4")</f>
        <v/>
      </c>
      <c r="H357" s="408">
        <f>IFERROR(__xludf.DUMMYFUNCTION("""COMPUTED_VALUE"""),"06")</f>
        <v/>
      </c>
      <c r="I357" s="334">
        <f>IFERROR(__xludf.DUMMYFUNCTION("""COMPUTED_VALUE"""),"veryhard_glo4_00006")</f>
        <v/>
      </c>
      <c r="J357" s="334">
        <f>IFERROR(__xludf.DUMMYFUNCTION("""COMPUTED_VALUE"""),"stage_icon_glo4_veryhard_06")</f>
        <v/>
      </c>
      <c r="K357" s="334" t="n"/>
      <c r="L357" s="334" t="n"/>
      <c r="M357" s="334" t="n"/>
      <c r="N357" s="339" t="n"/>
      <c r="O357" s="368" t="n"/>
      <c r="P357" s="334" t="n"/>
    </row>
    <row r="358">
      <c r="A358" s="334" t="n"/>
      <c r="B358" s="334" t="n"/>
      <c r="C358" s="334" t="n"/>
      <c r="D358" s="334" t="n"/>
      <c r="E358" s="334" t="n"/>
      <c r="F358" s="334" t="n"/>
      <c r="G358" s="334" t="n"/>
      <c r="H358" s="334" t="n"/>
      <c r="I358" s="334" t="n"/>
      <c r="J358" s="334" t="n"/>
      <c r="K358" s="334" t="n"/>
      <c r="L358" s="334" t="n"/>
      <c r="M358" s="334" t="n"/>
      <c r="N358" s="339" t="n"/>
      <c r="O358" s="368" t="n"/>
      <c r="P358" s="334" t="n"/>
    </row>
    <row r="359">
      <c r="A359" s="334">
        <f>IFERROR(__xludf.DUMMYFUNCTION("""COMPUTED_VALUE"""),"osh")</f>
        <v/>
      </c>
      <c r="B359" s="334">
        <f>IFERROR(__xludf.DUMMYFUNCTION("""COMPUTED_VALUE"""),"【推しの子】")</f>
        <v/>
      </c>
      <c r="C359" s="408">
        <f>IFERROR(__xludf.DUMMYFUNCTION("""COMPUTED_VALUE"""),"veryhard")</f>
        <v/>
      </c>
      <c r="D359" s="408">
        <f>IFERROR(__xludf.DUMMYFUNCTION("""COMPUTED_VALUE"""),"main")</f>
        <v/>
      </c>
      <c r="E359" s="334">
        <f>IFERROR(__xludf.DUMMYFUNCTION("""COMPUTED_VALUE"""),"メインクエスト")</f>
        <v/>
      </c>
      <c r="F359" s="408">
        <f>IFERROR(__xludf.DUMMYFUNCTION("""COMPUTED_VALUE"""),"quest_main_osh_veryhard_17")</f>
        <v/>
      </c>
      <c r="G359" s="334">
        <f>IFERROR(__xludf.DUMMYFUNCTION("""COMPUTED_VALUE"""),"17.【推しの子】")</f>
        <v/>
      </c>
      <c r="H359" s="408">
        <f>IFERROR(__xludf.DUMMYFUNCTION("""COMPUTED_VALUE"""),"01")</f>
        <v/>
      </c>
      <c r="I359" s="334">
        <f>IFERROR(__xludf.DUMMYFUNCTION("""COMPUTED_VALUE"""),"veryhard_osh_00001")</f>
        <v/>
      </c>
      <c r="J359" s="334">
        <f>IFERROR(__xludf.DUMMYFUNCTION("""COMPUTED_VALUE"""),"stage_icon_osh_veryhard_01")</f>
        <v/>
      </c>
      <c r="K359" s="334" t="n"/>
      <c r="L359" s="334" t="n"/>
      <c r="M359" s="334" t="n"/>
      <c r="N359" s="339" t="n"/>
      <c r="O359" s="368" t="n"/>
      <c r="P359" s="334" t="n"/>
    </row>
    <row r="360">
      <c r="A360" s="334">
        <f>IFERROR(__xludf.DUMMYFUNCTION("""COMPUTED_VALUE"""),"osh")</f>
        <v/>
      </c>
      <c r="B360" s="334">
        <f>IFERROR(__xludf.DUMMYFUNCTION("""COMPUTED_VALUE"""),"【推しの子】")</f>
        <v/>
      </c>
      <c r="C360" s="408">
        <f>IFERROR(__xludf.DUMMYFUNCTION("""COMPUTED_VALUE"""),"veryhard")</f>
        <v/>
      </c>
      <c r="D360" s="408">
        <f>IFERROR(__xludf.DUMMYFUNCTION("""COMPUTED_VALUE"""),"main")</f>
        <v/>
      </c>
      <c r="E360" s="334">
        <f>IFERROR(__xludf.DUMMYFUNCTION("""COMPUTED_VALUE"""),"メインクエスト")</f>
        <v/>
      </c>
      <c r="F360" s="408">
        <f>IFERROR(__xludf.DUMMYFUNCTION("""COMPUTED_VALUE"""),"quest_main_osh_veryhard_17")</f>
        <v/>
      </c>
      <c r="G360" s="334">
        <f>IFERROR(__xludf.DUMMYFUNCTION("""COMPUTED_VALUE"""),"17.【推しの子】")</f>
        <v/>
      </c>
      <c r="H360" s="408">
        <f>IFERROR(__xludf.DUMMYFUNCTION("""COMPUTED_VALUE"""),"02")</f>
        <v/>
      </c>
      <c r="I360" s="334">
        <f>IFERROR(__xludf.DUMMYFUNCTION("""COMPUTED_VALUE"""),"veryhard_osh_00002")</f>
        <v/>
      </c>
      <c r="J360" s="334">
        <f>IFERROR(__xludf.DUMMYFUNCTION("""COMPUTED_VALUE"""),"stage_icon_osh_veryhard_02")</f>
        <v/>
      </c>
      <c r="K360" s="334" t="n"/>
      <c r="L360" s="334" t="n"/>
      <c r="M360" s="334" t="n"/>
      <c r="N360" s="339" t="n"/>
      <c r="O360" s="368" t="n"/>
      <c r="P360" s="334" t="n"/>
    </row>
    <row r="361">
      <c r="A361" s="334">
        <f>IFERROR(__xludf.DUMMYFUNCTION("""COMPUTED_VALUE"""),"osh")</f>
        <v/>
      </c>
      <c r="B361" s="334">
        <f>IFERROR(__xludf.DUMMYFUNCTION("""COMPUTED_VALUE"""),"【推しの子】")</f>
        <v/>
      </c>
      <c r="C361" s="408">
        <f>IFERROR(__xludf.DUMMYFUNCTION("""COMPUTED_VALUE"""),"veryhard")</f>
        <v/>
      </c>
      <c r="D361" s="408">
        <f>IFERROR(__xludf.DUMMYFUNCTION("""COMPUTED_VALUE"""),"main")</f>
        <v/>
      </c>
      <c r="E361" s="334">
        <f>IFERROR(__xludf.DUMMYFUNCTION("""COMPUTED_VALUE"""),"メインクエスト")</f>
        <v/>
      </c>
      <c r="F361" s="408">
        <f>IFERROR(__xludf.DUMMYFUNCTION("""COMPUTED_VALUE"""),"quest_main_osh_veryhard_17")</f>
        <v/>
      </c>
      <c r="G361" s="334">
        <f>IFERROR(__xludf.DUMMYFUNCTION("""COMPUTED_VALUE"""),"17.【推しの子】")</f>
        <v/>
      </c>
      <c r="H361" s="408">
        <f>IFERROR(__xludf.DUMMYFUNCTION("""COMPUTED_VALUE"""),"03")</f>
        <v/>
      </c>
      <c r="I361" s="334">
        <f>IFERROR(__xludf.DUMMYFUNCTION("""COMPUTED_VALUE"""),"veryhard_osh_00003")</f>
        <v/>
      </c>
      <c r="J361" s="334">
        <f>IFERROR(__xludf.DUMMYFUNCTION("""COMPUTED_VALUE"""),"stage_icon_osh_veryhard_03")</f>
        <v/>
      </c>
      <c r="K361" s="334" t="n"/>
      <c r="L361" s="334" t="n"/>
      <c r="M361" s="334" t="n"/>
      <c r="N361" s="339" t="n"/>
      <c r="O361" s="368" t="n"/>
      <c r="P361" s="334" t="n"/>
    </row>
    <row r="362">
      <c r="A362" s="334" t="n"/>
      <c r="B362" s="334" t="n"/>
      <c r="C362" s="334" t="n"/>
      <c r="D362" s="334" t="n"/>
      <c r="E362" s="334" t="n"/>
      <c r="F362" s="334" t="n"/>
      <c r="G362" s="334" t="n"/>
      <c r="H362" s="334" t="n"/>
      <c r="I362" s="334" t="n"/>
      <c r="J362" s="334" t="n"/>
      <c r="K362" s="334" t="n"/>
      <c r="L362" s="334" t="n"/>
      <c r="M362" s="334" t="n"/>
      <c r="N362" s="339" t="n"/>
      <c r="O362" s="368" t="n"/>
      <c r="P362" s="334" t="n"/>
    </row>
    <row r="363">
      <c r="A363" s="334">
        <f>IFERROR(__xludf.DUMMYFUNCTION("""COMPUTED_VALUE"""),"you")</f>
        <v/>
      </c>
      <c r="B363" s="334">
        <f>IFERROR(__xludf.DUMMYFUNCTION("""COMPUTED_VALUE"""),"幼稚園WARS")</f>
        <v/>
      </c>
      <c r="C363" s="408">
        <f>IFERROR(__xludf.DUMMYFUNCTION("""COMPUTED_VALUE"""),"veryhard")</f>
        <v/>
      </c>
      <c r="D363" s="408">
        <f>IFERROR(__xludf.DUMMYFUNCTION("""COMPUTED_VALUE"""),"main")</f>
        <v/>
      </c>
      <c r="E363" s="334">
        <f>IFERROR(__xludf.DUMMYFUNCTION("""COMPUTED_VALUE"""),"メインクエスト")</f>
        <v/>
      </c>
      <c r="F363" s="408">
        <f>IFERROR(__xludf.DUMMYFUNCTION("""COMPUTED_VALUE"""),"quest_main_you_veryhard_18")</f>
        <v/>
      </c>
      <c r="G363" s="334">
        <f>IFERROR(__xludf.DUMMYFUNCTION("""COMPUTED_VALUE"""),"18.幼稚園WARS")</f>
        <v/>
      </c>
      <c r="H363" s="408">
        <f>IFERROR(__xludf.DUMMYFUNCTION("""COMPUTED_VALUE"""),"01")</f>
        <v/>
      </c>
      <c r="I363" s="334">
        <f>IFERROR(__xludf.DUMMYFUNCTION("""COMPUTED_VALUE"""),"veryhard_you_00001")</f>
        <v/>
      </c>
      <c r="J363" s="334">
        <f>IFERROR(__xludf.DUMMYFUNCTION("""COMPUTED_VALUE"""),"stage_icon_you_veryhard_01")</f>
        <v/>
      </c>
      <c r="K363" s="334" t="n"/>
      <c r="L363" s="334" t="n"/>
      <c r="M363" s="334" t="n"/>
      <c r="N363" s="339" t="n"/>
      <c r="O363" s="368" t="n"/>
      <c r="P363" s="334" t="n"/>
    </row>
    <row r="364">
      <c r="A364" s="334">
        <f>IFERROR(__xludf.DUMMYFUNCTION("""COMPUTED_VALUE"""),"you")</f>
        <v/>
      </c>
      <c r="B364" s="334">
        <f>IFERROR(__xludf.DUMMYFUNCTION("""COMPUTED_VALUE"""),"幼稚園WARS")</f>
        <v/>
      </c>
      <c r="C364" s="408">
        <f>IFERROR(__xludf.DUMMYFUNCTION("""COMPUTED_VALUE"""),"veryhard")</f>
        <v/>
      </c>
      <c r="D364" s="408">
        <f>IFERROR(__xludf.DUMMYFUNCTION("""COMPUTED_VALUE"""),"main")</f>
        <v/>
      </c>
      <c r="E364" s="334">
        <f>IFERROR(__xludf.DUMMYFUNCTION("""COMPUTED_VALUE"""),"メインクエスト")</f>
        <v/>
      </c>
      <c r="F364" s="408">
        <f>IFERROR(__xludf.DUMMYFUNCTION("""COMPUTED_VALUE"""),"quest_main_you_veryhard_18")</f>
        <v/>
      </c>
      <c r="G364" s="334">
        <f>IFERROR(__xludf.DUMMYFUNCTION("""COMPUTED_VALUE"""),"18.幼稚園WARS")</f>
        <v/>
      </c>
      <c r="H364" s="408">
        <f>IFERROR(__xludf.DUMMYFUNCTION("""COMPUTED_VALUE"""),"02")</f>
        <v/>
      </c>
      <c r="I364" s="334">
        <f>IFERROR(__xludf.DUMMYFUNCTION("""COMPUTED_VALUE"""),"veryhard_you_00002")</f>
        <v/>
      </c>
      <c r="J364" s="334">
        <f>IFERROR(__xludf.DUMMYFUNCTION("""COMPUTED_VALUE"""),"stage_icon_you_veryhard_02")</f>
        <v/>
      </c>
      <c r="K364" s="334" t="n"/>
      <c r="L364" s="334" t="n"/>
      <c r="M364" s="334" t="n"/>
      <c r="N364" s="339" t="n"/>
      <c r="O364" s="368" t="n"/>
      <c r="P364" s="334" t="n"/>
    </row>
    <row r="365">
      <c r="A365" s="334">
        <f>IFERROR(__xludf.DUMMYFUNCTION("""COMPUTED_VALUE"""),"you")</f>
        <v/>
      </c>
      <c r="B365" s="334">
        <f>IFERROR(__xludf.DUMMYFUNCTION("""COMPUTED_VALUE"""),"幼稚園WARS")</f>
        <v/>
      </c>
      <c r="C365" s="408">
        <f>IFERROR(__xludf.DUMMYFUNCTION("""COMPUTED_VALUE"""),"veryhard")</f>
        <v/>
      </c>
      <c r="D365" s="408">
        <f>IFERROR(__xludf.DUMMYFUNCTION("""COMPUTED_VALUE"""),"main")</f>
        <v/>
      </c>
      <c r="E365" s="334">
        <f>IFERROR(__xludf.DUMMYFUNCTION("""COMPUTED_VALUE"""),"メインクエスト")</f>
        <v/>
      </c>
      <c r="F365" s="408">
        <f>IFERROR(__xludf.DUMMYFUNCTION("""COMPUTED_VALUE"""),"quest_main_you_veryhard_18")</f>
        <v/>
      </c>
      <c r="G365" s="334">
        <f>IFERROR(__xludf.DUMMYFUNCTION("""COMPUTED_VALUE"""),"18.幼稚園WARS")</f>
        <v/>
      </c>
      <c r="H365" s="408">
        <f>IFERROR(__xludf.DUMMYFUNCTION("""COMPUTED_VALUE"""),"03")</f>
        <v/>
      </c>
      <c r="I365" s="334">
        <f>IFERROR(__xludf.DUMMYFUNCTION("""COMPUTED_VALUE"""),"veryhard_you_00003")</f>
        <v/>
      </c>
      <c r="J365" s="334">
        <f>IFERROR(__xludf.DUMMYFUNCTION("""COMPUTED_VALUE"""),"stage_icon_you_veryhard_03")</f>
        <v/>
      </c>
      <c r="K365" s="334" t="n"/>
      <c r="L365" s="334" t="n"/>
      <c r="M365" s="334" t="n"/>
      <c r="N365" s="339" t="n"/>
      <c r="O365" s="368" t="n"/>
      <c r="P365" s="334" t="n"/>
    </row>
    <row r="366">
      <c r="A366" s="334" t="n"/>
      <c r="B366" s="334" t="n"/>
      <c r="C366" s="334" t="n"/>
      <c r="D366" s="334" t="n"/>
      <c r="E366" s="334" t="n"/>
      <c r="F366" s="334" t="n"/>
      <c r="G366" s="334" t="n"/>
      <c r="H366" s="334" t="n"/>
      <c r="I366" s="334" t="n"/>
      <c r="J366" s="334" t="n"/>
      <c r="K366" s="334" t="n"/>
      <c r="L366" s="334" t="n"/>
      <c r="M366" s="334" t="n"/>
      <c r="N366" s="339" t="n"/>
      <c r="O366" s="368" t="n"/>
      <c r="P366" s="334" t="n"/>
    </row>
    <row r="367">
      <c r="A367" s="334">
        <f>IFERROR(__xludf.DUMMYFUNCTION("""COMPUTED_VALUE"""),"aya")</f>
        <v/>
      </c>
      <c r="B367" s="334">
        <f>IFERROR(__xludf.DUMMYFUNCTION("""COMPUTED_VALUE"""),"あやかしトライアングル")</f>
        <v/>
      </c>
      <c r="C367" s="408">
        <f>IFERROR(__xludf.DUMMYFUNCTION("""COMPUTED_VALUE"""),"veryhard")</f>
        <v/>
      </c>
      <c r="D367" s="408">
        <f>IFERROR(__xludf.DUMMYFUNCTION("""COMPUTED_VALUE"""),"main")</f>
        <v/>
      </c>
      <c r="E367" s="334">
        <f>IFERROR(__xludf.DUMMYFUNCTION("""COMPUTED_VALUE"""),"メインクエスト")</f>
        <v/>
      </c>
      <c r="F367" s="408">
        <f>IFERROR(__xludf.DUMMYFUNCTION("""COMPUTED_VALUE"""),"quest_main_aya_veryhard_19")</f>
        <v/>
      </c>
      <c r="G367" s="334">
        <f>IFERROR(__xludf.DUMMYFUNCTION("""COMPUTED_VALUE"""),"19.あやかしトライアングル")</f>
        <v/>
      </c>
      <c r="H367" s="408">
        <f>IFERROR(__xludf.DUMMYFUNCTION("""COMPUTED_VALUE"""),"01")</f>
        <v/>
      </c>
      <c r="I367" s="334">
        <f>IFERROR(__xludf.DUMMYFUNCTION("""COMPUTED_VALUE"""),"veryhard_aya_00001")</f>
        <v/>
      </c>
      <c r="J367" s="334">
        <f>IFERROR(__xludf.DUMMYFUNCTION("""COMPUTED_VALUE"""),"stage_icon_aya_veryhard_01")</f>
        <v/>
      </c>
      <c r="K367" s="334" t="n"/>
      <c r="L367" s="334" t="n"/>
      <c r="M367" s="334" t="n"/>
      <c r="N367" s="339" t="n"/>
      <c r="O367" s="368" t="n"/>
      <c r="P367" s="334" t="n"/>
    </row>
    <row r="368">
      <c r="A368" s="334">
        <f>IFERROR(__xludf.DUMMYFUNCTION("""COMPUTED_VALUE"""),"aya")</f>
        <v/>
      </c>
      <c r="B368" s="334">
        <f>IFERROR(__xludf.DUMMYFUNCTION("""COMPUTED_VALUE"""),"あやかしトライアングル")</f>
        <v/>
      </c>
      <c r="C368" s="408">
        <f>IFERROR(__xludf.DUMMYFUNCTION("""COMPUTED_VALUE"""),"veryhard")</f>
        <v/>
      </c>
      <c r="D368" s="408">
        <f>IFERROR(__xludf.DUMMYFUNCTION("""COMPUTED_VALUE"""),"main")</f>
        <v/>
      </c>
      <c r="E368" s="334">
        <f>IFERROR(__xludf.DUMMYFUNCTION("""COMPUTED_VALUE"""),"メインクエスト")</f>
        <v/>
      </c>
      <c r="F368" s="408">
        <f>IFERROR(__xludf.DUMMYFUNCTION("""COMPUTED_VALUE"""),"quest_main_aya_veryhard_19")</f>
        <v/>
      </c>
      <c r="G368" s="334">
        <f>IFERROR(__xludf.DUMMYFUNCTION("""COMPUTED_VALUE"""),"19.あやかしトライアングル")</f>
        <v/>
      </c>
      <c r="H368" s="408">
        <f>IFERROR(__xludf.DUMMYFUNCTION("""COMPUTED_VALUE"""),"02")</f>
        <v/>
      </c>
      <c r="I368" s="334">
        <f>IFERROR(__xludf.DUMMYFUNCTION("""COMPUTED_VALUE"""),"veryhard_aya_00002")</f>
        <v/>
      </c>
      <c r="J368" s="334">
        <f>IFERROR(__xludf.DUMMYFUNCTION("""COMPUTED_VALUE"""),"stage_icon_aya_veryhard_02")</f>
        <v/>
      </c>
      <c r="K368" s="334" t="n"/>
      <c r="L368" s="334" t="n"/>
      <c r="M368" s="334" t="n"/>
      <c r="N368" s="339" t="n"/>
      <c r="O368" s="368" t="n"/>
      <c r="P368" s="334" t="n"/>
    </row>
    <row r="369">
      <c r="A369" s="334">
        <f>IFERROR(__xludf.DUMMYFUNCTION("""COMPUTED_VALUE"""),"aya")</f>
        <v/>
      </c>
      <c r="B369" s="334">
        <f>IFERROR(__xludf.DUMMYFUNCTION("""COMPUTED_VALUE"""),"あやかしトライアングル")</f>
        <v/>
      </c>
      <c r="C369" s="408">
        <f>IFERROR(__xludf.DUMMYFUNCTION("""COMPUTED_VALUE"""),"veryhard")</f>
        <v/>
      </c>
      <c r="D369" s="408">
        <f>IFERROR(__xludf.DUMMYFUNCTION("""COMPUTED_VALUE"""),"main")</f>
        <v/>
      </c>
      <c r="E369" s="334">
        <f>IFERROR(__xludf.DUMMYFUNCTION("""COMPUTED_VALUE"""),"メインクエスト")</f>
        <v/>
      </c>
      <c r="F369" s="408">
        <f>IFERROR(__xludf.DUMMYFUNCTION("""COMPUTED_VALUE"""),"quest_main_aya_veryhard_19")</f>
        <v/>
      </c>
      <c r="G369" s="334">
        <f>IFERROR(__xludf.DUMMYFUNCTION("""COMPUTED_VALUE"""),"19.あやかしトライアングル")</f>
        <v/>
      </c>
      <c r="H369" s="408">
        <f>IFERROR(__xludf.DUMMYFUNCTION("""COMPUTED_VALUE"""),"03")</f>
        <v/>
      </c>
      <c r="I369" s="334">
        <f>IFERROR(__xludf.DUMMYFUNCTION("""COMPUTED_VALUE"""),"veryhard_aya_00003")</f>
        <v/>
      </c>
      <c r="J369" s="334">
        <f>IFERROR(__xludf.DUMMYFUNCTION("""COMPUTED_VALUE"""),"stage_icon_aya_veryhard_03")</f>
        <v/>
      </c>
      <c r="K369" s="334" t="n"/>
      <c r="L369" s="334" t="n"/>
      <c r="M369" s="334" t="n"/>
      <c r="N369" s="339" t="n"/>
      <c r="O369" s="368" t="n"/>
      <c r="P369" s="334" t="n"/>
    </row>
    <row r="370">
      <c r="A370" s="334" t="n"/>
      <c r="B370" s="334" t="n"/>
      <c r="C370" s="334" t="n"/>
      <c r="D370" s="334" t="n"/>
      <c r="E370" s="334" t="n"/>
      <c r="F370" s="334" t="n"/>
      <c r="G370" s="334" t="n"/>
      <c r="H370" s="334" t="n"/>
      <c r="I370" s="334" t="n"/>
      <c r="J370" s="334" t="n"/>
      <c r="K370" s="334" t="n"/>
      <c r="L370" s="334" t="n"/>
      <c r="M370" s="334" t="n"/>
      <c r="N370" s="339" t="n"/>
      <c r="O370" s="368" t="n"/>
      <c r="P370" s="334" t="n"/>
    </row>
    <row r="371">
      <c r="A371" s="334">
        <f>IFERROR(__xludf.DUMMYFUNCTION("""COMPUTED_VALUE"""),"mar")</f>
        <v/>
      </c>
      <c r="B371" s="334">
        <f>IFERROR(__xludf.DUMMYFUNCTION("""COMPUTED_VALUE"""),"マリッジトキシン")</f>
        <v/>
      </c>
      <c r="C371" s="408">
        <f>IFERROR(__xludf.DUMMYFUNCTION("""COMPUTED_VALUE"""),"veryhard")</f>
        <v/>
      </c>
      <c r="D371" s="408">
        <f>IFERROR(__xludf.DUMMYFUNCTION("""COMPUTED_VALUE"""),"main")</f>
        <v/>
      </c>
      <c r="E371" s="334">
        <f>IFERROR(__xludf.DUMMYFUNCTION("""COMPUTED_VALUE"""),"メインクエスト")</f>
        <v/>
      </c>
      <c r="F371" s="408">
        <f>IFERROR(__xludf.DUMMYFUNCTION("""COMPUTED_VALUE"""),"quest_main_mar_veryhard_20")</f>
        <v/>
      </c>
      <c r="G371" s="334">
        <f>IFERROR(__xludf.DUMMYFUNCTION("""COMPUTED_VALUE"""),"20.マリッジトキシン")</f>
        <v/>
      </c>
      <c r="H371" s="408">
        <f>IFERROR(__xludf.DUMMYFUNCTION("""COMPUTED_VALUE"""),"01")</f>
        <v/>
      </c>
      <c r="I371" s="334">
        <f>IFERROR(__xludf.DUMMYFUNCTION("""COMPUTED_VALUE"""),"veryhard_mar_00001")</f>
        <v/>
      </c>
      <c r="J371" s="334">
        <f>IFERROR(__xludf.DUMMYFUNCTION("""COMPUTED_VALUE"""),"stage_icon_mar_veryhard_01")</f>
        <v/>
      </c>
      <c r="K371" s="334" t="n"/>
      <c r="L371" s="334" t="n"/>
      <c r="M371" s="334" t="n"/>
      <c r="N371" s="339" t="n"/>
      <c r="O371" s="368" t="n"/>
      <c r="P371" s="334" t="n"/>
    </row>
    <row r="372">
      <c r="A372" s="334">
        <f>IFERROR(__xludf.DUMMYFUNCTION("""COMPUTED_VALUE"""),"mar")</f>
        <v/>
      </c>
      <c r="B372" s="334">
        <f>IFERROR(__xludf.DUMMYFUNCTION("""COMPUTED_VALUE"""),"マリッジトキシン")</f>
        <v/>
      </c>
      <c r="C372" s="408">
        <f>IFERROR(__xludf.DUMMYFUNCTION("""COMPUTED_VALUE"""),"veryhard")</f>
        <v/>
      </c>
      <c r="D372" s="408">
        <f>IFERROR(__xludf.DUMMYFUNCTION("""COMPUTED_VALUE"""),"main")</f>
        <v/>
      </c>
      <c r="E372" s="334">
        <f>IFERROR(__xludf.DUMMYFUNCTION("""COMPUTED_VALUE"""),"メインクエスト")</f>
        <v/>
      </c>
      <c r="F372" s="408">
        <f>IFERROR(__xludf.DUMMYFUNCTION("""COMPUTED_VALUE"""),"quest_main_mar_veryhard_20")</f>
        <v/>
      </c>
      <c r="G372" s="334">
        <f>IFERROR(__xludf.DUMMYFUNCTION("""COMPUTED_VALUE"""),"20.マリッジトキシン")</f>
        <v/>
      </c>
      <c r="H372" s="408">
        <f>IFERROR(__xludf.DUMMYFUNCTION("""COMPUTED_VALUE"""),"02")</f>
        <v/>
      </c>
      <c r="I372" s="334">
        <f>IFERROR(__xludf.DUMMYFUNCTION("""COMPUTED_VALUE"""),"veryhard_mar_00002")</f>
        <v/>
      </c>
      <c r="J372" s="334">
        <f>IFERROR(__xludf.DUMMYFUNCTION("""COMPUTED_VALUE"""),"stage_icon_mar_veryhard_02")</f>
        <v/>
      </c>
      <c r="K372" s="334" t="n"/>
      <c r="L372" s="334" t="n"/>
      <c r="M372" s="334" t="n"/>
      <c r="N372" s="339" t="n"/>
      <c r="O372" s="368" t="n"/>
      <c r="P372" s="334" t="n"/>
    </row>
    <row r="373">
      <c r="A373" s="334">
        <f>IFERROR(__xludf.DUMMYFUNCTION("""COMPUTED_VALUE"""),"mar")</f>
        <v/>
      </c>
      <c r="B373" s="334">
        <f>IFERROR(__xludf.DUMMYFUNCTION("""COMPUTED_VALUE"""),"マリッジトキシン")</f>
        <v/>
      </c>
      <c r="C373" s="408">
        <f>IFERROR(__xludf.DUMMYFUNCTION("""COMPUTED_VALUE"""),"veryhard")</f>
        <v/>
      </c>
      <c r="D373" s="408">
        <f>IFERROR(__xludf.DUMMYFUNCTION("""COMPUTED_VALUE"""),"main")</f>
        <v/>
      </c>
      <c r="E373" s="334">
        <f>IFERROR(__xludf.DUMMYFUNCTION("""COMPUTED_VALUE"""),"メインクエスト")</f>
        <v/>
      </c>
      <c r="F373" s="408">
        <f>IFERROR(__xludf.DUMMYFUNCTION("""COMPUTED_VALUE"""),"quest_main_mar_veryhard_20")</f>
        <v/>
      </c>
      <c r="G373" s="334">
        <f>IFERROR(__xludf.DUMMYFUNCTION("""COMPUTED_VALUE"""),"20.マリッジトキシン")</f>
        <v/>
      </c>
      <c r="H373" s="408">
        <f>IFERROR(__xludf.DUMMYFUNCTION("""COMPUTED_VALUE"""),"03")</f>
        <v/>
      </c>
      <c r="I373" s="334">
        <f>IFERROR(__xludf.DUMMYFUNCTION("""COMPUTED_VALUE"""),"veryhard_mar_00003")</f>
        <v/>
      </c>
      <c r="J373" s="334">
        <f>IFERROR(__xludf.DUMMYFUNCTION("""COMPUTED_VALUE"""),"stage_icon_mar_veryhard_03")</f>
        <v/>
      </c>
      <c r="K373" s="334" t="n"/>
      <c r="L373" s="334" t="n"/>
      <c r="M373" s="334" t="n"/>
      <c r="N373" s="339" t="n"/>
      <c r="O373" s="368" t="n"/>
      <c r="P373" s="334" t="n"/>
    </row>
    <row r="374">
      <c r="A374" s="334" t="n"/>
      <c r="B374" s="334" t="n"/>
      <c r="C374" s="334" t="n"/>
      <c r="D374" s="334" t="n"/>
      <c r="E374" s="334" t="n"/>
      <c r="F374" s="334" t="n"/>
      <c r="G374" s="334" t="n"/>
      <c r="H374" s="334" t="n"/>
      <c r="I374" s="334" t="n"/>
      <c r="J374" s="334" t="n"/>
      <c r="K374" s="334" t="n"/>
      <c r="L374" s="334" t="n"/>
      <c r="M374" s="334" t="n"/>
      <c r="N374" s="339" t="n"/>
      <c r="O374" s="368" t="n"/>
      <c r="P374" s="334" t="n"/>
    </row>
    <row r="375">
      <c r="A375" s="334" t="n"/>
      <c r="B375" s="334" t="n"/>
      <c r="C375" s="334" t="n"/>
      <c r="D375" s="334" t="n"/>
      <c r="E375" s="334" t="n"/>
      <c r="F375" s="334" t="n"/>
      <c r="G375" s="334" t="n"/>
      <c r="H375" s="334" t="n"/>
      <c r="I375" s="334" t="n"/>
      <c r="J375" s="334" t="n"/>
      <c r="K375" s="334" t="n"/>
      <c r="L375" s="334" t="n"/>
      <c r="M375" s="334" t="n"/>
      <c r="N375" s="339" t="n"/>
      <c r="O375" s="368" t="n"/>
      <c r="P375" s="334" t="n"/>
    </row>
    <row r="376">
      <c r="A376" s="334" t="n"/>
      <c r="B376" s="334" t="n"/>
      <c r="C376" s="334" t="n"/>
      <c r="D376" s="334" t="n"/>
      <c r="E376" s="334" t="n"/>
      <c r="F376" s="334" t="n"/>
      <c r="G376" s="334" t="n"/>
      <c r="H376" s="334" t="n"/>
      <c r="I376" s="334" t="n"/>
      <c r="J376" s="334" t="n"/>
      <c r="K376" s="334" t="n"/>
      <c r="L376" s="334" t="n"/>
      <c r="M376" s="334" t="n"/>
      <c r="N376" s="339" t="n"/>
      <c r="O376" s="368" t="n"/>
      <c r="P376" s="334" t="n"/>
    </row>
    <row r="377">
      <c r="A377" s="334">
        <f>IFERROR(__xludf.DUMMYFUNCTION("""COMPUTED_VALUE"""),"▼その他クエスト")</f>
        <v/>
      </c>
      <c r="B377" s="334" t="n"/>
      <c r="C377" s="334" t="n"/>
      <c r="D377" s="334" t="n"/>
      <c r="E377" s="334" t="n"/>
      <c r="F377" s="334" t="n"/>
      <c r="G377" s="334" t="n"/>
      <c r="H377" s="334" t="n"/>
      <c r="I377" s="334" t="n"/>
      <c r="J377" s="334" t="n"/>
      <c r="K377" s="334" t="n"/>
      <c r="L377" s="334" t="n"/>
      <c r="M377" s="334" t="n"/>
      <c r="N377" s="339" t="n"/>
      <c r="O377" s="368" t="n"/>
      <c r="P377" s="334" t="n"/>
    </row>
    <row r="378">
      <c r="A378" s="334">
        <f>IFERROR(__xludf.DUMMYFUNCTION("""COMPUTED_VALUE"""),"glo")</f>
        <v/>
      </c>
      <c r="B378" s="334">
        <f>IFERROR(__xludf.DUMMYFUNCTION("""COMPUTED_VALUE"""),"GLOW")</f>
        <v/>
      </c>
      <c r="C378" s="334">
        <f>IFERROR(__xludf.DUMMYFUNCTION("""COMPUTED_VALUE"""),"null")</f>
        <v/>
      </c>
      <c r="D378" s="334">
        <f>IFERROR(__xludf.DUMMYFUNCTION("""COMPUTED_VALUE"""),"coin")</f>
        <v/>
      </c>
      <c r="E378" s="408">
        <f>IFERROR(__xludf.DUMMYFUNCTION("""COMPUTED_VALUE"""),"強化/素材入手")</f>
        <v/>
      </c>
      <c r="F378" s="408">
        <f>IFERROR(__xludf.DUMMYFUNCTION("""COMPUTED_VALUE"""),"quest_enhance_00001")</f>
        <v/>
      </c>
      <c r="G378" s="334">
        <f>IFERROR(__xludf.DUMMYFUNCTION("""COMPUTED_VALUE"""),"コイン獲得クエスト")</f>
        <v/>
      </c>
      <c r="H378" s="334" t="n"/>
      <c r="I378" s="334">
        <f>IFERROR(__xludf.DUMMYFUNCTION("""COMPUTED_VALUE"""),"enhance_00001")</f>
        <v/>
      </c>
      <c r="J378" s="334">
        <f>IFERROR(__xludf.DUMMYFUNCTION("""COMPUTED_VALUE"""),"なし")</f>
        <v/>
      </c>
      <c r="K378" s="334" t="n"/>
      <c r="L378" s="334">
        <f>IFERROR(__xludf.DUMMYFUNCTION("""COMPUTED_VALUE"""),"-")</f>
        <v/>
      </c>
      <c r="M378" s="334" t="n"/>
      <c r="N378" s="339" t="n"/>
      <c r="O378" s="368" t="n"/>
      <c r="P378" s="334" t="n"/>
    </row>
    <row r="379">
      <c r="A379" s="334">
        <f>IFERROR(__xludf.DUMMYFUNCTION("""COMPUTED_VALUE"""),"glo")</f>
        <v/>
      </c>
      <c r="B379" s="334">
        <f>IFERROR(__xludf.DUMMYFUNCTION("""COMPUTED_VALUE"""),"GLOW")</f>
        <v/>
      </c>
      <c r="C379" s="334">
        <f>IFERROR(__xludf.DUMMYFUNCTION("""COMPUTED_VALUE"""),"Normal")</f>
        <v/>
      </c>
      <c r="D379" s="334">
        <f>IFERROR(__xludf.DUMMYFUNCTION("""COMPUTED_VALUE"""),"Tutorial")</f>
        <v/>
      </c>
      <c r="E379" s="408">
        <f>IFERROR(__xludf.DUMMYFUNCTION("""COMPUTED_VALUE"""),"チュートリアル")</f>
        <v/>
      </c>
      <c r="F379" s="408">
        <f>IFERROR(__xludf.DUMMYFUNCTION("""COMPUTED_VALUE"""),"tutorial")</f>
        <v/>
      </c>
      <c r="G379" s="334">
        <f>IFERROR(__xludf.DUMMYFUNCTION("""COMPUTED_VALUE"""),"チュートリアル")</f>
        <v/>
      </c>
      <c r="H379" s="408">
        <f>IFERROR(__xludf.DUMMYFUNCTION("""COMPUTED_VALUE"""),"01")</f>
        <v/>
      </c>
      <c r="I379" s="334">
        <f>IFERROR(__xludf.DUMMYFUNCTION("""COMPUTED_VALUE"""),"tutorial_1")</f>
        <v/>
      </c>
      <c r="J379" s="334">
        <f>IFERROR(__xludf.DUMMYFUNCTION("""COMPUTED_VALUE"""),"general_coin")</f>
        <v/>
      </c>
      <c r="K379" s="334" t="n"/>
      <c r="L379" s="334" t="n"/>
      <c r="M379" s="334" t="n"/>
      <c r="N379" s="339" t="n"/>
      <c r="O379" s="368" t="n"/>
      <c r="P379" s="334" t="n"/>
    </row>
    <row r="380">
      <c r="A380" s="334">
        <f>IFERROR(__xludf.DUMMYFUNCTION("""COMPUTED_VALUE"""),"glo")</f>
        <v/>
      </c>
      <c r="B380" s="334">
        <f>IFERROR(__xludf.DUMMYFUNCTION("""COMPUTED_VALUE"""),"GLOW")</f>
        <v/>
      </c>
      <c r="C380" s="334">
        <f>IFERROR(__xludf.DUMMYFUNCTION("""COMPUTED_VALUE"""),"Normal")</f>
        <v/>
      </c>
      <c r="D380" s="334">
        <f>IFERROR(__xludf.DUMMYFUNCTION("""COMPUTED_VALUE"""),"Tutorial")</f>
        <v/>
      </c>
      <c r="E380" s="408">
        <f>IFERROR(__xludf.DUMMYFUNCTION("""COMPUTED_VALUE"""),"チュートリアル")</f>
        <v/>
      </c>
      <c r="F380" s="408">
        <f>IFERROR(__xludf.DUMMYFUNCTION("""COMPUTED_VALUE"""),"tutorial")</f>
        <v/>
      </c>
      <c r="G380" s="334">
        <f>IFERROR(__xludf.DUMMYFUNCTION("""COMPUTED_VALUE"""),"チュートリアル")</f>
        <v/>
      </c>
      <c r="H380" s="408">
        <f>IFERROR(__xludf.DUMMYFUNCTION("""COMPUTED_VALUE"""),"02")</f>
        <v/>
      </c>
      <c r="I380" s="334">
        <f>IFERROR(__xludf.DUMMYFUNCTION("""COMPUTED_VALUE"""),"tutorial_2")</f>
        <v/>
      </c>
      <c r="J380" s="334">
        <f>IFERROR(__xludf.DUMMYFUNCTION("""COMPUTED_VALUE"""),"general_coin")</f>
        <v/>
      </c>
      <c r="K380" s="334" t="n"/>
      <c r="L380" s="334" t="n"/>
      <c r="M380" s="334" t="n"/>
      <c r="N380" s="339" t="n"/>
      <c r="O380" s="368" t="n"/>
      <c r="P380" s="334" t="n"/>
    </row>
    <row r="381">
      <c r="A381" s="334">
        <f>IFERROR(__xludf.DUMMYFUNCTION("""COMPUTED_VALUE"""),"glo")</f>
        <v/>
      </c>
      <c r="B381" s="334">
        <f>IFERROR(__xludf.DUMMYFUNCTION("""COMPUTED_VALUE"""),"GLOW")</f>
        <v/>
      </c>
      <c r="C381" s="334">
        <f>IFERROR(__xludf.DUMMYFUNCTION("""COMPUTED_VALUE"""),"Normal")</f>
        <v/>
      </c>
      <c r="D381" s="334">
        <f>IFERROR(__xludf.DUMMYFUNCTION("""COMPUTED_VALUE"""),"Tutorial")</f>
        <v/>
      </c>
      <c r="E381" s="408">
        <f>IFERROR(__xludf.DUMMYFUNCTION("""COMPUTED_VALUE"""),"チュートリアル")</f>
        <v/>
      </c>
      <c r="F381" s="408">
        <f>IFERROR(__xludf.DUMMYFUNCTION("""COMPUTED_VALUE"""),"tutorial")</f>
        <v/>
      </c>
      <c r="G381" s="334">
        <f>IFERROR(__xludf.DUMMYFUNCTION("""COMPUTED_VALUE"""),"チュートリアル")</f>
        <v/>
      </c>
      <c r="H381" s="408">
        <f>IFERROR(__xludf.DUMMYFUNCTION("""COMPUTED_VALUE"""),"03")</f>
        <v/>
      </c>
      <c r="I381" s="334">
        <f>IFERROR(__xludf.DUMMYFUNCTION("""COMPUTED_VALUE"""),"tutorial_3")</f>
        <v/>
      </c>
      <c r="J381" s="334">
        <f>IFERROR(__xludf.DUMMYFUNCTION("""COMPUTED_VALUE"""),"general_coin")</f>
        <v/>
      </c>
      <c r="K381" s="334" t="n"/>
      <c r="L381" s="334" t="n"/>
      <c r="M381" s="334" t="n"/>
      <c r="N381" s="339" t="n"/>
      <c r="O381" s="368" t="n"/>
      <c r="P381" s="334" t="n"/>
    </row>
    <row r="382">
      <c r="A382" s="334" t="n"/>
      <c r="B382" s="334" t="n"/>
      <c r="C382" s="334" t="n"/>
      <c r="D382" s="334" t="n"/>
      <c r="E382" s="334" t="n"/>
      <c r="F382" s="334" t="n"/>
      <c r="G382" s="334" t="n"/>
      <c r="H382" s="334" t="n"/>
      <c r="I382" s="334" t="n"/>
      <c r="J382" s="334" t="n"/>
      <c r="K382" s="334" t="n"/>
      <c r="L382" s="334" t="n"/>
      <c r="M382" s="334" t="n"/>
      <c r="N382" s="339" t="n"/>
      <c r="O382" s="368" t="n"/>
      <c r="P382" s="334" t="n"/>
    </row>
    <row r="383">
      <c r="A383" s="334">
        <f>IFERROR(__xludf.DUMMYFUNCTION("""COMPUTED_VALUE"""),"▼イベント関連のクエスト（施策単位で区切ってます）")</f>
        <v/>
      </c>
      <c r="B383" s="334" t="n"/>
      <c r="C383" s="334" t="n"/>
      <c r="D383" s="334" t="n"/>
      <c r="E383" s="334" t="n"/>
      <c r="F383" s="334" t="n"/>
      <c r="G383" s="334" t="n"/>
      <c r="H383" s="334" t="n"/>
      <c r="I383" s="334" t="n"/>
      <c r="J383" s="334" t="n"/>
      <c r="K383" s="334" t="n"/>
      <c r="L383" s="334" t="n"/>
      <c r="M383" s="334" t="n"/>
      <c r="N383" s="339" t="n"/>
      <c r="O383" s="368" t="n"/>
      <c r="P383" s="334" t="n"/>
    </row>
    <row r="384">
      <c r="A384" s="334" t="n"/>
      <c r="B384" s="334" t="n"/>
      <c r="C384" s="334" t="n"/>
      <c r="D384" s="334" t="n"/>
      <c r="E384" s="334" t="n"/>
      <c r="F384" s="334" t="n"/>
      <c r="G384" s="334" t="n"/>
      <c r="H384" s="334" t="n"/>
      <c r="I384" s="334" t="n"/>
      <c r="J384" s="334" t="n"/>
      <c r="K384" s="334" t="n"/>
      <c r="L384" s="334" t="n"/>
      <c r="M384" s="334" t="n"/>
      <c r="N384" s="339" t="n"/>
      <c r="O384" s="368" t="n"/>
      <c r="P384" s="334" t="n"/>
    </row>
    <row r="385">
      <c r="A385" s="334">
        <f>IFERROR(__xludf.DUMMYFUNCTION("""COMPUTED_VALUE"""),"kai1")</f>
        <v/>
      </c>
      <c r="B385" s="334">
        <f>IFERROR(__xludf.DUMMYFUNCTION("""COMPUTED_VALUE"""),"怪獣８号")</f>
        <v/>
      </c>
      <c r="C385" s="334">
        <f>IFERROR(__xludf.DUMMYFUNCTION("""COMPUTED_VALUE"""),"1day")</f>
        <v/>
      </c>
      <c r="D385" s="334">
        <f>IFERROR(__xludf.DUMMYFUNCTION("""COMPUTED_VALUE"""),"event")</f>
        <v/>
      </c>
      <c r="E385" s="408">
        <f>IFERROR(__xludf.DUMMYFUNCTION("""COMPUTED_VALUE"""),"デイリー")</f>
        <v/>
      </c>
      <c r="F385" s="408">
        <f>IFERROR(__xludf.DUMMYFUNCTION("""COMPUTED_VALUE"""),"quest_event_kai1_1day")</f>
        <v/>
      </c>
      <c r="G385" s="334">
        <f>IFERROR(__xludf.DUMMYFUNCTION("""COMPUTED_VALUE"""),"候補生としての入隊")</f>
        <v/>
      </c>
      <c r="H385" s="408">
        <f>IFERROR(__xludf.DUMMYFUNCTION("""COMPUTED_VALUE"""),"01")</f>
        <v/>
      </c>
      <c r="I385" s="334">
        <f>IFERROR(__xludf.DUMMYFUNCTION("""COMPUTED_VALUE"""),"event_kai1_1day_00001")</f>
        <v/>
      </c>
      <c r="J385" s="334" t="n"/>
      <c r="K385" s="334">
        <f>IFERROR(__xludf.DUMMYFUNCTION("""COMPUTED_VALUE"""),"kai1_1day_quest_select_cell")</f>
        <v/>
      </c>
      <c r="L385" s="334" t="n"/>
      <c r="M385" s="334" t="n"/>
      <c r="N385" s="339" t="n"/>
      <c r="O385" s="368" t="n"/>
      <c r="P385" s="334" t="n"/>
    </row>
    <row r="386">
      <c r="A386" s="334">
        <f>IFERROR(__xludf.DUMMYFUNCTION("""COMPUTED_VALUE"""),"kai1")</f>
        <v/>
      </c>
      <c r="B386" s="334">
        <f>IFERROR(__xludf.DUMMYFUNCTION("""COMPUTED_VALUE"""),"怪獣８号")</f>
        <v/>
      </c>
      <c r="C386" s="334">
        <f>IFERROR(__xludf.DUMMYFUNCTION("""COMPUTED_VALUE"""),"charaget01")</f>
        <v/>
      </c>
      <c r="D386" s="334">
        <f>IFERROR(__xludf.DUMMYFUNCTION("""COMPUTED_VALUE"""),"event")</f>
        <v/>
      </c>
      <c r="E386" s="408">
        <f>IFERROR(__xludf.DUMMYFUNCTION("""COMPUTED_VALUE"""),"ストーリー")</f>
        <v/>
      </c>
      <c r="F386" s="408">
        <f>IFERROR(__xludf.DUMMYFUNCTION("""COMPUTED_VALUE"""),"quest_event_kai1_charaget01")</f>
        <v/>
      </c>
      <c r="G386" s="334">
        <f>IFERROR(__xludf.DUMMYFUNCTION("""COMPUTED_VALUE"""),"気に入らねェ 気に入らねェ")</f>
        <v/>
      </c>
      <c r="H386" s="408">
        <f>IFERROR(__xludf.DUMMYFUNCTION("""COMPUTED_VALUE"""),"01")</f>
        <v/>
      </c>
      <c r="I386" s="334">
        <f>IFERROR(__xludf.DUMMYFUNCTION("""COMPUTED_VALUE"""),"event_kai1_charaget01_00001")</f>
        <v/>
      </c>
      <c r="J386" s="334" t="n"/>
      <c r="K386" s="334">
        <f>IFERROR(__xludf.DUMMYFUNCTION("""COMPUTED_VALUE"""),"kai1_charaget01_quest_select_cell")</f>
        <v/>
      </c>
      <c r="L386" s="334" t="n"/>
      <c r="M386" s="334" t="n"/>
      <c r="N386" s="339" t="n"/>
      <c r="O386" s="368" t="n"/>
      <c r="P386" s="334" t="n"/>
    </row>
    <row r="387">
      <c r="A387" s="334">
        <f>IFERROR(__xludf.DUMMYFUNCTION("""COMPUTED_VALUE"""),"kai1")</f>
        <v/>
      </c>
      <c r="B387" s="334">
        <f>IFERROR(__xludf.DUMMYFUNCTION("""COMPUTED_VALUE"""),"怪獣８号")</f>
        <v/>
      </c>
      <c r="C387" s="334">
        <f>IFERROR(__xludf.DUMMYFUNCTION("""COMPUTED_VALUE"""),"charaget01")</f>
        <v/>
      </c>
      <c r="D387" s="334">
        <f>IFERROR(__xludf.DUMMYFUNCTION("""COMPUTED_VALUE"""),"event")</f>
        <v/>
      </c>
      <c r="E387" s="408">
        <f>IFERROR(__xludf.DUMMYFUNCTION("""COMPUTED_VALUE"""),"ストーリー")</f>
        <v/>
      </c>
      <c r="F387" s="408">
        <f>IFERROR(__xludf.DUMMYFUNCTION("""COMPUTED_VALUE"""),"quest_event_kai1_charaget01")</f>
        <v/>
      </c>
      <c r="G387" s="334">
        <f>IFERROR(__xludf.DUMMYFUNCTION("""COMPUTED_VALUE"""),"気に入らねェ 気に入らねェ")</f>
        <v/>
      </c>
      <c r="H387" s="408">
        <f>IFERROR(__xludf.DUMMYFUNCTION("""COMPUTED_VALUE"""),"02")</f>
        <v/>
      </c>
      <c r="I387" s="334">
        <f>IFERROR(__xludf.DUMMYFUNCTION("""COMPUTED_VALUE"""),"event_kai1_charaget01_00002")</f>
        <v/>
      </c>
      <c r="J387" s="334" t="n"/>
      <c r="K387" s="334" t="n"/>
      <c r="L387" s="334" t="n"/>
      <c r="M387" s="334" t="n"/>
      <c r="N387" s="339" t="n"/>
      <c r="O387" s="368" t="n"/>
      <c r="P387" s="334" t="n"/>
    </row>
    <row r="388">
      <c r="A388" s="334">
        <f>IFERROR(__xludf.DUMMYFUNCTION("""COMPUTED_VALUE"""),"kai1")</f>
        <v/>
      </c>
      <c r="B388" s="334">
        <f>IFERROR(__xludf.DUMMYFUNCTION("""COMPUTED_VALUE"""),"怪獣８号")</f>
        <v/>
      </c>
      <c r="C388" s="334">
        <f>IFERROR(__xludf.DUMMYFUNCTION("""COMPUTED_VALUE"""),"charaget01")</f>
        <v/>
      </c>
      <c r="D388" s="334">
        <f>IFERROR(__xludf.DUMMYFUNCTION("""COMPUTED_VALUE"""),"event")</f>
        <v/>
      </c>
      <c r="E388" s="408">
        <f>IFERROR(__xludf.DUMMYFUNCTION("""COMPUTED_VALUE"""),"ストーリー")</f>
        <v/>
      </c>
      <c r="F388" s="408">
        <f>IFERROR(__xludf.DUMMYFUNCTION("""COMPUTED_VALUE"""),"quest_event_kai1_charaget01")</f>
        <v/>
      </c>
      <c r="G388" s="334">
        <f>IFERROR(__xludf.DUMMYFUNCTION("""COMPUTED_VALUE"""),"気に入らねェ 気に入らねェ")</f>
        <v/>
      </c>
      <c r="H388" s="408">
        <f>IFERROR(__xludf.DUMMYFUNCTION("""COMPUTED_VALUE"""),"03")</f>
        <v/>
      </c>
      <c r="I388" s="334">
        <f>IFERROR(__xludf.DUMMYFUNCTION("""COMPUTED_VALUE"""),"event_kai1_charaget01_00003")</f>
        <v/>
      </c>
      <c r="J388" s="334" t="n"/>
      <c r="K388" s="334" t="n"/>
      <c r="L388" s="334" t="n"/>
      <c r="M388" s="334" t="n"/>
      <c r="N388" s="339" t="n"/>
      <c r="O388" s="368" t="n"/>
      <c r="P388" s="334" t="n"/>
    </row>
    <row r="389">
      <c r="A389" s="334">
        <f>IFERROR(__xludf.DUMMYFUNCTION("""COMPUTED_VALUE"""),"kai1")</f>
        <v/>
      </c>
      <c r="B389" s="334">
        <f>IFERROR(__xludf.DUMMYFUNCTION("""COMPUTED_VALUE"""),"怪獣８号")</f>
        <v/>
      </c>
      <c r="C389" s="334">
        <f>IFERROR(__xludf.DUMMYFUNCTION("""COMPUTED_VALUE"""),"charaget01")</f>
        <v/>
      </c>
      <c r="D389" s="334">
        <f>IFERROR(__xludf.DUMMYFUNCTION("""COMPUTED_VALUE"""),"event")</f>
        <v/>
      </c>
      <c r="E389" s="408">
        <f>IFERROR(__xludf.DUMMYFUNCTION("""COMPUTED_VALUE"""),"ストーリー")</f>
        <v/>
      </c>
      <c r="F389" s="408">
        <f>IFERROR(__xludf.DUMMYFUNCTION("""COMPUTED_VALUE"""),"quest_event_kai1_charaget01")</f>
        <v/>
      </c>
      <c r="G389" s="334">
        <f>IFERROR(__xludf.DUMMYFUNCTION("""COMPUTED_VALUE"""),"気に入らねェ 気に入らねェ")</f>
        <v/>
      </c>
      <c r="H389" s="408">
        <f>IFERROR(__xludf.DUMMYFUNCTION("""COMPUTED_VALUE"""),"04")</f>
        <v/>
      </c>
      <c r="I389" s="334">
        <f>IFERROR(__xludf.DUMMYFUNCTION("""COMPUTED_VALUE"""),"event_kai1_charaget01_00004")</f>
        <v/>
      </c>
      <c r="J389" s="334" t="n"/>
      <c r="K389" s="334" t="n"/>
      <c r="L389" s="334" t="n"/>
      <c r="M389" s="334" t="n"/>
      <c r="N389" s="339" t="n"/>
      <c r="O389" s="368" t="n"/>
      <c r="P389" s="334" t="n"/>
    </row>
    <row r="390">
      <c r="A390" s="334">
        <f>IFERROR(__xludf.DUMMYFUNCTION("""COMPUTED_VALUE"""),"kai1")</f>
        <v/>
      </c>
      <c r="B390" s="334">
        <f>IFERROR(__xludf.DUMMYFUNCTION("""COMPUTED_VALUE"""),"怪獣８号")</f>
        <v/>
      </c>
      <c r="C390" s="334">
        <f>IFERROR(__xludf.DUMMYFUNCTION("""COMPUTED_VALUE"""),"charaget01")</f>
        <v/>
      </c>
      <c r="D390" s="334">
        <f>IFERROR(__xludf.DUMMYFUNCTION("""COMPUTED_VALUE"""),"event")</f>
        <v/>
      </c>
      <c r="E390" s="408">
        <f>IFERROR(__xludf.DUMMYFUNCTION("""COMPUTED_VALUE"""),"ストーリー")</f>
        <v/>
      </c>
      <c r="F390" s="408">
        <f>IFERROR(__xludf.DUMMYFUNCTION("""COMPUTED_VALUE"""),"quest_event_kai1_charaget01")</f>
        <v/>
      </c>
      <c r="G390" s="334">
        <f>IFERROR(__xludf.DUMMYFUNCTION("""COMPUTED_VALUE"""),"気に入らねェ 気に入らねェ")</f>
        <v/>
      </c>
      <c r="H390" s="408">
        <f>IFERROR(__xludf.DUMMYFUNCTION("""COMPUTED_VALUE"""),"05")</f>
        <v/>
      </c>
      <c r="I390" s="334">
        <f>IFERROR(__xludf.DUMMYFUNCTION("""COMPUTED_VALUE"""),"event_kai1_charaget01_00005")</f>
        <v/>
      </c>
      <c r="J390" s="334" t="n"/>
      <c r="K390" s="334" t="n"/>
      <c r="L390" s="334" t="n"/>
      <c r="M390" s="334" t="n"/>
      <c r="N390" s="339" t="n"/>
      <c r="O390" s="368" t="n"/>
      <c r="P390" s="334" t="n"/>
    </row>
    <row r="391">
      <c r="A391" s="334">
        <f>IFERROR(__xludf.DUMMYFUNCTION("""COMPUTED_VALUE"""),"kai1")</f>
        <v/>
      </c>
      <c r="B391" s="334">
        <f>IFERROR(__xludf.DUMMYFUNCTION("""COMPUTED_VALUE"""),"怪獣８号")</f>
        <v/>
      </c>
      <c r="C391" s="334">
        <f>IFERROR(__xludf.DUMMYFUNCTION("""COMPUTED_VALUE"""),"charaget01")</f>
        <v/>
      </c>
      <c r="D391" s="334">
        <f>IFERROR(__xludf.DUMMYFUNCTION("""COMPUTED_VALUE"""),"event")</f>
        <v/>
      </c>
      <c r="E391" s="408">
        <f>IFERROR(__xludf.DUMMYFUNCTION("""COMPUTED_VALUE"""),"ストーリー")</f>
        <v/>
      </c>
      <c r="F391" s="408">
        <f>IFERROR(__xludf.DUMMYFUNCTION("""COMPUTED_VALUE"""),"quest_event_kai1_charaget01")</f>
        <v/>
      </c>
      <c r="G391" s="334">
        <f>IFERROR(__xludf.DUMMYFUNCTION("""COMPUTED_VALUE"""),"気に入らねェ 気に入らねェ")</f>
        <v/>
      </c>
      <c r="H391" s="408">
        <f>IFERROR(__xludf.DUMMYFUNCTION("""COMPUTED_VALUE"""),"06")</f>
        <v/>
      </c>
      <c r="I391" s="334">
        <f>IFERROR(__xludf.DUMMYFUNCTION("""COMPUTED_VALUE"""),"event_kai1_charaget01_00006")</f>
        <v/>
      </c>
      <c r="J391" s="334" t="n"/>
      <c r="K391" s="334" t="n"/>
      <c r="L391" s="334" t="n"/>
      <c r="M391" s="334" t="n"/>
      <c r="N391" s="339" t="n"/>
      <c r="O391" s="368" t="n"/>
      <c r="P391" s="334" t="n"/>
    </row>
    <row r="392">
      <c r="A392" s="334">
        <f>IFERROR(__xludf.DUMMYFUNCTION("""COMPUTED_VALUE"""),"kai1")</f>
        <v/>
      </c>
      <c r="B392" s="334">
        <f>IFERROR(__xludf.DUMMYFUNCTION("""COMPUTED_VALUE"""),"怪獣８号")</f>
        <v/>
      </c>
      <c r="C392" s="334">
        <f>IFERROR(__xludf.DUMMYFUNCTION("""COMPUTED_VALUE"""),"charaget01")</f>
        <v/>
      </c>
      <c r="D392" s="334">
        <f>IFERROR(__xludf.DUMMYFUNCTION("""COMPUTED_VALUE"""),"event")</f>
        <v/>
      </c>
      <c r="E392" s="408">
        <f>IFERROR(__xludf.DUMMYFUNCTION("""COMPUTED_VALUE"""),"ストーリー")</f>
        <v/>
      </c>
      <c r="F392" s="408">
        <f>IFERROR(__xludf.DUMMYFUNCTION("""COMPUTED_VALUE"""),"quest_event_kai1_charaget01")</f>
        <v/>
      </c>
      <c r="G392" s="334">
        <f>IFERROR(__xludf.DUMMYFUNCTION("""COMPUTED_VALUE"""),"気に入らねェ 気に入らねェ")</f>
        <v/>
      </c>
      <c r="H392" s="408">
        <f>IFERROR(__xludf.DUMMYFUNCTION("""COMPUTED_VALUE"""),"07")</f>
        <v/>
      </c>
      <c r="I392" s="334">
        <f>IFERROR(__xludf.DUMMYFUNCTION("""COMPUTED_VALUE"""),"event_kai1_charaget01_00007")</f>
        <v/>
      </c>
      <c r="J392" s="334" t="n"/>
      <c r="K392" s="334" t="n"/>
      <c r="L392" s="334" t="n"/>
      <c r="M392" s="334" t="n"/>
      <c r="N392" s="339" t="n"/>
      <c r="O392" s="368" t="n"/>
      <c r="P392" s="334" t="n"/>
    </row>
    <row r="393">
      <c r="A393" s="334">
        <f>IFERROR(__xludf.DUMMYFUNCTION("""COMPUTED_VALUE"""),"kai1")</f>
        <v/>
      </c>
      <c r="B393" s="334">
        <f>IFERROR(__xludf.DUMMYFUNCTION("""COMPUTED_VALUE"""),"怪獣８号")</f>
        <v/>
      </c>
      <c r="C393" s="334">
        <f>IFERROR(__xludf.DUMMYFUNCTION("""COMPUTED_VALUE"""),"charaget01")</f>
        <v/>
      </c>
      <c r="D393" s="334">
        <f>IFERROR(__xludf.DUMMYFUNCTION("""COMPUTED_VALUE"""),"event")</f>
        <v/>
      </c>
      <c r="E393" s="408">
        <f>IFERROR(__xludf.DUMMYFUNCTION("""COMPUTED_VALUE"""),"ストーリー")</f>
        <v/>
      </c>
      <c r="F393" s="408">
        <f>IFERROR(__xludf.DUMMYFUNCTION("""COMPUTED_VALUE"""),"quest_event_kai1_charaget01")</f>
        <v/>
      </c>
      <c r="G393" s="334">
        <f>IFERROR(__xludf.DUMMYFUNCTION("""COMPUTED_VALUE"""),"気に入らねェ 気に入らねェ")</f>
        <v/>
      </c>
      <c r="H393" s="408">
        <f>IFERROR(__xludf.DUMMYFUNCTION("""COMPUTED_VALUE"""),"08")</f>
        <v/>
      </c>
      <c r="I393" s="334">
        <f>IFERROR(__xludf.DUMMYFUNCTION("""COMPUTED_VALUE"""),"event_kai1_charaget01_00008")</f>
        <v/>
      </c>
      <c r="J393" s="334" t="n"/>
      <c r="K393" s="334" t="n"/>
      <c r="L393" s="334" t="n"/>
      <c r="M393" s="334" t="n"/>
      <c r="N393" s="339" t="n"/>
      <c r="O393" s="368" t="n"/>
      <c r="P393" s="334" t="n"/>
    </row>
    <row r="394">
      <c r="A394" s="334">
        <f>IFERROR(__xludf.DUMMYFUNCTION("""COMPUTED_VALUE"""),"kai1")</f>
        <v/>
      </c>
      <c r="B394" s="334">
        <f>IFERROR(__xludf.DUMMYFUNCTION("""COMPUTED_VALUE"""),"怪獣８号")</f>
        <v/>
      </c>
      <c r="C394" s="334">
        <f>IFERROR(__xludf.DUMMYFUNCTION("""COMPUTED_VALUE"""),"charaget02")</f>
        <v/>
      </c>
      <c r="D394" s="334">
        <f>IFERROR(__xludf.DUMMYFUNCTION("""COMPUTED_VALUE"""),"event")</f>
        <v/>
      </c>
      <c r="E394" s="408">
        <f>IFERROR(__xludf.DUMMYFUNCTION("""COMPUTED_VALUE"""),"ストーリー")</f>
        <v/>
      </c>
      <c r="F394" s="408">
        <f>IFERROR(__xludf.DUMMYFUNCTION("""COMPUTED_VALUE"""),"quest_event_kai1_charaget02")</f>
        <v/>
      </c>
      <c r="G394" s="334">
        <f>IFERROR(__xludf.DUMMYFUNCTION("""COMPUTED_VALUE"""),"怪獣８号の引き渡しを命ずる")</f>
        <v/>
      </c>
      <c r="H394" s="408">
        <f>IFERROR(__xludf.DUMMYFUNCTION("""COMPUTED_VALUE"""),"01")</f>
        <v/>
      </c>
      <c r="I394" s="334">
        <f>IFERROR(__xludf.DUMMYFUNCTION("""COMPUTED_VALUE"""),"event_kai1_charaget02_00001")</f>
        <v/>
      </c>
      <c r="J394" s="334" t="n"/>
      <c r="K394" s="334">
        <f>IFERROR(__xludf.DUMMYFUNCTION("""COMPUTED_VALUE"""),"kai1_charaget02_quest_select_cell")</f>
        <v/>
      </c>
      <c r="L394" s="334" t="n"/>
      <c r="M394" s="334" t="n"/>
      <c r="N394" s="339" t="n"/>
      <c r="O394" s="368" t="n"/>
      <c r="P394" s="334" t="n"/>
    </row>
    <row r="395">
      <c r="A395" s="334">
        <f>IFERROR(__xludf.DUMMYFUNCTION("""COMPUTED_VALUE"""),"kai1")</f>
        <v/>
      </c>
      <c r="B395" s="334">
        <f>IFERROR(__xludf.DUMMYFUNCTION("""COMPUTED_VALUE"""),"怪獣８号")</f>
        <v/>
      </c>
      <c r="C395" s="334">
        <f>IFERROR(__xludf.DUMMYFUNCTION("""COMPUTED_VALUE"""),"charaget02")</f>
        <v/>
      </c>
      <c r="D395" s="334">
        <f>IFERROR(__xludf.DUMMYFUNCTION("""COMPUTED_VALUE"""),"event")</f>
        <v/>
      </c>
      <c r="E395" s="408">
        <f>IFERROR(__xludf.DUMMYFUNCTION("""COMPUTED_VALUE"""),"ストーリー")</f>
        <v/>
      </c>
      <c r="F395" s="408">
        <f>IFERROR(__xludf.DUMMYFUNCTION("""COMPUTED_VALUE"""),"quest_event_kai1_charaget02")</f>
        <v/>
      </c>
      <c r="G395" s="334">
        <f>IFERROR(__xludf.DUMMYFUNCTION("""COMPUTED_VALUE"""),"怪獣８号の引き渡しを命ずる")</f>
        <v/>
      </c>
      <c r="H395" s="408">
        <f>IFERROR(__xludf.DUMMYFUNCTION("""COMPUTED_VALUE"""),"02")</f>
        <v/>
      </c>
      <c r="I395" s="334">
        <f>IFERROR(__xludf.DUMMYFUNCTION("""COMPUTED_VALUE"""),"event_kai1_charaget02_00002")</f>
        <v/>
      </c>
      <c r="J395" s="334" t="n"/>
      <c r="K395" s="334" t="n"/>
      <c r="L395" s="334" t="n"/>
      <c r="M395" s="334" t="n"/>
      <c r="N395" s="339" t="n"/>
      <c r="O395" s="368" t="n"/>
      <c r="P395" s="334" t="n"/>
    </row>
    <row r="396">
      <c r="A396" s="334">
        <f>IFERROR(__xludf.DUMMYFUNCTION("""COMPUTED_VALUE"""),"kai1")</f>
        <v/>
      </c>
      <c r="B396" s="334">
        <f>IFERROR(__xludf.DUMMYFUNCTION("""COMPUTED_VALUE"""),"怪獣８号")</f>
        <v/>
      </c>
      <c r="C396" s="334">
        <f>IFERROR(__xludf.DUMMYFUNCTION("""COMPUTED_VALUE"""),"charaget02")</f>
        <v/>
      </c>
      <c r="D396" s="334">
        <f>IFERROR(__xludf.DUMMYFUNCTION("""COMPUTED_VALUE"""),"event")</f>
        <v/>
      </c>
      <c r="E396" s="408">
        <f>IFERROR(__xludf.DUMMYFUNCTION("""COMPUTED_VALUE"""),"ストーリー")</f>
        <v/>
      </c>
      <c r="F396" s="408">
        <f>IFERROR(__xludf.DUMMYFUNCTION("""COMPUTED_VALUE"""),"quest_event_kai1_charaget02")</f>
        <v/>
      </c>
      <c r="G396" s="334">
        <f>IFERROR(__xludf.DUMMYFUNCTION("""COMPUTED_VALUE"""),"怪獣８号の引き渡しを命ずる")</f>
        <v/>
      </c>
      <c r="H396" s="408">
        <f>IFERROR(__xludf.DUMMYFUNCTION("""COMPUTED_VALUE"""),"03")</f>
        <v/>
      </c>
      <c r="I396" s="334">
        <f>IFERROR(__xludf.DUMMYFUNCTION("""COMPUTED_VALUE"""),"event_kai1_charaget02_00003")</f>
        <v/>
      </c>
      <c r="J396" s="334" t="n"/>
      <c r="K396" s="334" t="n"/>
      <c r="L396" s="334" t="n"/>
      <c r="M396" s="334" t="n"/>
      <c r="N396" s="339" t="n"/>
      <c r="O396" s="368" t="n"/>
      <c r="P396" s="334" t="n"/>
    </row>
    <row r="397">
      <c r="A397" s="334">
        <f>IFERROR(__xludf.DUMMYFUNCTION("""COMPUTED_VALUE"""),"kai1")</f>
        <v/>
      </c>
      <c r="B397" s="334">
        <f>IFERROR(__xludf.DUMMYFUNCTION("""COMPUTED_VALUE"""),"怪獣８号")</f>
        <v/>
      </c>
      <c r="C397" s="334">
        <f>IFERROR(__xludf.DUMMYFUNCTION("""COMPUTED_VALUE"""),"charaget02")</f>
        <v/>
      </c>
      <c r="D397" s="334">
        <f>IFERROR(__xludf.DUMMYFUNCTION("""COMPUTED_VALUE"""),"event")</f>
        <v/>
      </c>
      <c r="E397" s="408">
        <f>IFERROR(__xludf.DUMMYFUNCTION("""COMPUTED_VALUE"""),"ストーリー")</f>
        <v/>
      </c>
      <c r="F397" s="408">
        <f>IFERROR(__xludf.DUMMYFUNCTION("""COMPUTED_VALUE"""),"quest_event_kai1_charaget02")</f>
        <v/>
      </c>
      <c r="G397" s="334">
        <f>IFERROR(__xludf.DUMMYFUNCTION("""COMPUTED_VALUE"""),"怪獣８号の引き渡しを命ずる")</f>
        <v/>
      </c>
      <c r="H397" s="408">
        <f>IFERROR(__xludf.DUMMYFUNCTION("""COMPUTED_VALUE"""),"04")</f>
        <v/>
      </c>
      <c r="I397" s="334">
        <f>IFERROR(__xludf.DUMMYFUNCTION("""COMPUTED_VALUE"""),"event_kai1_charaget02_00004")</f>
        <v/>
      </c>
      <c r="J397" s="334" t="n"/>
      <c r="K397" s="334" t="n"/>
      <c r="L397" s="334" t="n"/>
      <c r="M397" s="334" t="n"/>
      <c r="N397" s="339" t="n"/>
      <c r="O397" s="368" t="n"/>
      <c r="P397" s="334" t="n"/>
    </row>
    <row r="398">
      <c r="A398" s="334">
        <f>IFERROR(__xludf.DUMMYFUNCTION("""COMPUTED_VALUE"""),"kai1")</f>
        <v/>
      </c>
      <c r="B398" s="334">
        <f>IFERROR(__xludf.DUMMYFUNCTION("""COMPUTED_VALUE"""),"怪獣８号")</f>
        <v/>
      </c>
      <c r="C398" s="334">
        <f>IFERROR(__xludf.DUMMYFUNCTION("""COMPUTED_VALUE"""),"charaget02")</f>
        <v/>
      </c>
      <c r="D398" s="334">
        <f>IFERROR(__xludf.DUMMYFUNCTION("""COMPUTED_VALUE"""),"event")</f>
        <v/>
      </c>
      <c r="E398" s="408">
        <f>IFERROR(__xludf.DUMMYFUNCTION("""COMPUTED_VALUE"""),"ストーリー")</f>
        <v/>
      </c>
      <c r="F398" s="408">
        <f>IFERROR(__xludf.DUMMYFUNCTION("""COMPUTED_VALUE"""),"quest_event_kai1_charaget02")</f>
        <v/>
      </c>
      <c r="G398" s="334">
        <f>IFERROR(__xludf.DUMMYFUNCTION("""COMPUTED_VALUE"""),"怪獣８号の引き渡しを命ずる")</f>
        <v/>
      </c>
      <c r="H398" s="408">
        <f>IFERROR(__xludf.DUMMYFUNCTION("""COMPUTED_VALUE"""),"05")</f>
        <v/>
      </c>
      <c r="I398" s="334">
        <f>IFERROR(__xludf.DUMMYFUNCTION("""COMPUTED_VALUE"""),"event_kai1_charaget02_00005")</f>
        <v/>
      </c>
      <c r="J398" s="334" t="n"/>
      <c r="K398" s="334" t="n"/>
      <c r="L398" s="334" t="n"/>
      <c r="M398" s="334" t="n"/>
      <c r="N398" s="339" t="n"/>
      <c r="O398" s="368" t="n"/>
      <c r="P398" s="334" t="n"/>
    </row>
    <row r="399">
      <c r="A399" s="334">
        <f>IFERROR(__xludf.DUMMYFUNCTION("""COMPUTED_VALUE"""),"kai1")</f>
        <v/>
      </c>
      <c r="B399" s="334">
        <f>IFERROR(__xludf.DUMMYFUNCTION("""COMPUTED_VALUE"""),"怪獣８号")</f>
        <v/>
      </c>
      <c r="C399" s="334">
        <f>IFERROR(__xludf.DUMMYFUNCTION("""COMPUTED_VALUE"""),"charaget02")</f>
        <v/>
      </c>
      <c r="D399" s="334">
        <f>IFERROR(__xludf.DUMMYFUNCTION("""COMPUTED_VALUE"""),"event")</f>
        <v/>
      </c>
      <c r="E399" s="408">
        <f>IFERROR(__xludf.DUMMYFUNCTION("""COMPUTED_VALUE"""),"ストーリー")</f>
        <v/>
      </c>
      <c r="F399" s="408">
        <f>IFERROR(__xludf.DUMMYFUNCTION("""COMPUTED_VALUE"""),"quest_event_kai1_charaget02")</f>
        <v/>
      </c>
      <c r="G399" s="334">
        <f>IFERROR(__xludf.DUMMYFUNCTION("""COMPUTED_VALUE"""),"怪獣８号の引き渡しを命ずる")</f>
        <v/>
      </c>
      <c r="H399" s="408">
        <f>IFERROR(__xludf.DUMMYFUNCTION("""COMPUTED_VALUE"""),"06")</f>
        <v/>
      </c>
      <c r="I399" s="334">
        <f>IFERROR(__xludf.DUMMYFUNCTION("""COMPUTED_VALUE"""),"event_kai1_charaget02_00006")</f>
        <v/>
      </c>
      <c r="J399" s="334" t="n"/>
      <c r="K399" s="334" t="n"/>
      <c r="L399" s="334" t="n"/>
      <c r="M399" s="334" t="n"/>
      <c r="N399" s="339" t="n"/>
      <c r="O399" s="368" t="n"/>
      <c r="P399" s="334" t="n"/>
    </row>
    <row r="400">
      <c r="A400" s="334">
        <f>IFERROR(__xludf.DUMMYFUNCTION("""COMPUTED_VALUE"""),"kai1")</f>
        <v/>
      </c>
      <c r="B400" s="334">
        <f>IFERROR(__xludf.DUMMYFUNCTION("""COMPUTED_VALUE"""),"怪獣８号")</f>
        <v/>
      </c>
      <c r="C400" s="334">
        <f>IFERROR(__xludf.DUMMYFUNCTION("""COMPUTED_VALUE"""),"charaget02")</f>
        <v/>
      </c>
      <c r="D400" s="334">
        <f>IFERROR(__xludf.DUMMYFUNCTION("""COMPUTED_VALUE"""),"event")</f>
        <v/>
      </c>
      <c r="E400" s="408">
        <f>IFERROR(__xludf.DUMMYFUNCTION("""COMPUTED_VALUE"""),"ストーリー")</f>
        <v/>
      </c>
      <c r="F400" s="408">
        <f>IFERROR(__xludf.DUMMYFUNCTION("""COMPUTED_VALUE"""),"quest_event_kai1_charaget02")</f>
        <v/>
      </c>
      <c r="G400" s="334">
        <f>IFERROR(__xludf.DUMMYFUNCTION("""COMPUTED_VALUE"""),"怪獣８号の引き渡しを命ずる")</f>
        <v/>
      </c>
      <c r="H400" s="408">
        <f>IFERROR(__xludf.DUMMYFUNCTION("""COMPUTED_VALUE"""),"07")</f>
        <v/>
      </c>
      <c r="I400" s="334">
        <f>IFERROR(__xludf.DUMMYFUNCTION("""COMPUTED_VALUE"""),"event_kai1_charaget02_00007")</f>
        <v/>
      </c>
      <c r="J400" s="334" t="n"/>
      <c r="K400" s="334" t="n"/>
      <c r="L400" s="334" t="n"/>
      <c r="M400" s="334" t="n"/>
      <c r="N400" s="339" t="n"/>
      <c r="O400" s="368" t="n"/>
      <c r="P400" s="334" t="n"/>
    </row>
    <row r="401">
      <c r="A401" s="334">
        <f>IFERROR(__xludf.DUMMYFUNCTION("""COMPUTED_VALUE"""),"kai1")</f>
        <v/>
      </c>
      <c r="B401" s="334">
        <f>IFERROR(__xludf.DUMMYFUNCTION("""COMPUTED_VALUE"""),"怪獣８号")</f>
        <v/>
      </c>
      <c r="C401" s="334">
        <f>IFERROR(__xludf.DUMMYFUNCTION("""COMPUTED_VALUE"""),"charaget02")</f>
        <v/>
      </c>
      <c r="D401" s="334">
        <f>IFERROR(__xludf.DUMMYFUNCTION("""COMPUTED_VALUE"""),"event")</f>
        <v/>
      </c>
      <c r="E401" s="408">
        <f>IFERROR(__xludf.DUMMYFUNCTION("""COMPUTED_VALUE"""),"ストーリー")</f>
        <v/>
      </c>
      <c r="F401" s="408">
        <f>IFERROR(__xludf.DUMMYFUNCTION("""COMPUTED_VALUE"""),"quest_event_kai1_charaget02")</f>
        <v/>
      </c>
      <c r="G401" s="334">
        <f>IFERROR(__xludf.DUMMYFUNCTION("""COMPUTED_VALUE"""),"怪獣８号の引き渡しを命ずる")</f>
        <v/>
      </c>
      <c r="H401" s="408">
        <f>IFERROR(__xludf.DUMMYFUNCTION("""COMPUTED_VALUE"""),"08")</f>
        <v/>
      </c>
      <c r="I401" s="334">
        <f>IFERROR(__xludf.DUMMYFUNCTION("""COMPUTED_VALUE"""),"event_kai1_charaget02_00008")</f>
        <v/>
      </c>
      <c r="J401" s="334" t="n"/>
      <c r="K401" s="334" t="n"/>
      <c r="L401" s="334" t="n"/>
      <c r="M401" s="334" t="n"/>
      <c r="N401" s="339" t="n"/>
      <c r="O401" s="368" t="n"/>
      <c r="P401" s="334" t="n"/>
    </row>
    <row r="402">
      <c r="A402" s="334">
        <f>IFERROR(__xludf.DUMMYFUNCTION("""COMPUTED_VALUE"""),"kai1")</f>
        <v/>
      </c>
      <c r="B402" s="334">
        <f>IFERROR(__xludf.DUMMYFUNCTION("""COMPUTED_VALUE"""),"怪獣８号")</f>
        <v/>
      </c>
      <c r="C402" s="334">
        <f>IFERROR(__xludf.DUMMYFUNCTION("""COMPUTED_VALUE"""),"challenge01")</f>
        <v/>
      </c>
      <c r="D402" s="334">
        <f>IFERROR(__xludf.DUMMYFUNCTION("""COMPUTED_VALUE"""),"event")</f>
        <v/>
      </c>
      <c r="E402" s="408">
        <f>IFERROR(__xludf.DUMMYFUNCTION("""COMPUTED_VALUE"""),"チャレンジ")</f>
        <v/>
      </c>
      <c r="F402" s="408">
        <f>IFERROR(__xludf.DUMMYFUNCTION("""COMPUTED_VALUE"""),"quest_event_kai1_challenge01")</f>
        <v/>
      </c>
      <c r="G402" s="334">
        <f>IFERROR(__xludf.DUMMYFUNCTION("""COMPUTED_VALUE"""),"戦場で 力を示してみせろ ヒヨコども")</f>
        <v/>
      </c>
      <c r="H402" s="408">
        <f>IFERROR(__xludf.DUMMYFUNCTION("""COMPUTED_VALUE"""),"01")</f>
        <v/>
      </c>
      <c r="I402" s="334">
        <f>IFERROR(__xludf.DUMMYFUNCTION("""COMPUTED_VALUE"""),"event_kai1_challenge01_00001")</f>
        <v/>
      </c>
      <c r="J402" s="334" t="n"/>
      <c r="K402" s="334">
        <f>IFERROR(__xludf.DUMMYFUNCTION("""COMPUTED_VALUE"""),"kai1_challenge01_quest_select_cell")</f>
        <v/>
      </c>
      <c r="L402" s="334" t="n"/>
      <c r="M402" s="334" t="n"/>
      <c r="N402" s="339" t="n"/>
      <c r="O402" s="368" t="n"/>
      <c r="P402" s="334" t="n"/>
    </row>
    <row r="403">
      <c r="A403" s="334">
        <f>IFERROR(__xludf.DUMMYFUNCTION("""COMPUTED_VALUE"""),"kai1")</f>
        <v/>
      </c>
      <c r="B403" s="334">
        <f>IFERROR(__xludf.DUMMYFUNCTION("""COMPUTED_VALUE"""),"怪獣８号")</f>
        <v/>
      </c>
      <c r="C403" s="334">
        <f>IFERROR(__xludf.DUMMYFUNCTION("""COMPUTED_VALUE"""),"challenge01")</f>
        <v/>
      </c>
      <c r="D403" s="334">
        <f>IFERROR(__xludf.DUMMYFUNCTION("""COMPUTED_VALUE"""),"event")</f>
        <v/>
      </c>
      <c r="E403" s="408">
        <f>IFERROR(__xludf.DUMMYFUNCTION("""COMPUTED_VALUE"""),"チャレンジ")</f>
        <v/>
      </c>
      <c r="F403" s="408">
        <f>IFERROR(__xludf.DUMMYFUNCTION("""COMPUTED_VALUE"""),"quest_event_kai1_challenge01")</f>
        <v/>
      </c>
      <c r="G403" s="334">
        <f>IFERROR(__xludf.DUMMYFUNCTION("""COMPUTED_VALUE"""),"戦場で 力を示してみせろ ヒヨコども")</f>
        <v/>
      </c>
      <c r="H403" s="408">
        <f>IFERROR(__xludf.DUMMYFUNCTION("""COMPUTED_VALUE"""),"02")</f>
        <v/>
      </c>
      <c r="I403" s="334">
        <f>IFERROR(__xludf.DUMMYFUNCTION("""COMPUTED_VALUE"""),"event_kai1_challenge01_00002")</f>
        <v/>
      </c>
      <c r="J403" s="334" t="n"/>
      <c r="K403" s="334" t="n"/>
      <c r="L403" s="334" t="n"/>
      <c r="M403" s="334" t="n"/>
      <c r="N403" s="339" t="n"/>
      <c r="O403" s="368" t="n"/>
      <c r="P403" s="334" t="n"/>
    </row>
    <row r="404">
      <c r="A404" s="334">
        <f>IFERROR(__xludf.DUMMYFUNCTION("""COMPUTED_VALUE"""),"kai1")</f>
        <v/>
      </c>
      <c r="B404" s="334">
        <f>IFERROR(__xludf.DUMMYFUNCTION("""COMPUTED_VALUE"""),"怪獣８号")</f>
        <v/>
      </c>
      <c r="C404" s="334">
        <f>IFERROR(__xludf.DUMMYFUNCTION("""COMPUTED_VALUE"""),"challenge01")</f>
        <v/>
      </c>
      <c r="D404" s="334">
        <f>IFERROR(__xludf.DUMMYFUNCTION("""COMPUTED_VALUE"""),"event")</f>
        <v/>
      </c>
      <c r="E404" s="408">
        <f>IFERROR(__xludf.DUMMYFUNCTION("""COMPUTED_VALUE"""),"チャレンジ")</f>
        <v/>
      </c>
      <c r="F404" s="408">
        <f>IFERROR(__xludf.DUMMYFUNCTION("""COMPUTED_VALUE"""),"quest_event_kai1_challenge01")</f>
        <v/>
      </c>
      <c r="G404" s="334">
        <f>IFERROR(__xludf.DUMMYFUNCTION("""COMPUTED_VALUE"""),"戦場で 力を示してみせろ ヒヨコども")</f>
        <v/>
      </c>
      <c r="H404" s="408">
        <f>IFERROR(__xludf.DUMMYFUNCTION("""COMPUTED_VALUE"""),"03")</f>
        <v/>
      </c>
      <c r="I404" s="334">
        <f>IFERROR(__xludf.DUMMYFUNCTION("""COMPUTED_VALUE"""),"event_kai1_challenge01_00003")</f>
        <v/>
      </c>
      <c r="J404" s="334" t="n"/>
      <c r="K404" s="334" t="n"/>
      <c r="L404" s="334" t="n"/>
      <c r="M404" s="334" t="n"/>
      <c r="N404" s="339" t="n"/>
      <c r="O404" s="368" t="n"/>
      <c r="P404" s="334" t="n"/>
    </row>
    <row r="405">
      <c r="A405" s="334">
        <f>IFERROR(__xludf.DUMMYFUNCTION("""COMPUTED_VALUE"""),"kai1")</f>
        <v/>
      </c>
      <c r="B405" s="334">
        <f>IFERROR(__xludf.DUMMYFUNCTION("""COMPUTED_VALUE"""),"怪獣８号")</f>
        <v/>
      </c>
      <c r="C405" s="334">
        <f>IFERROR(__xludf.DUMMYFUNCTION("""COMPUTED_VALUE"""),"challenge01")</f>
        <v/>
      </c>
      <c r="D405" s="334">
        <f>IFERROR(__xludf.DUMMYFUNCTION("""COMPUTED_VALUE"""),"event")</f>
        <v/>
      </c>
      <c r="E405" s="408">
        <f>IFERROR(__xludf.DUMMYFUNCTION("""COMPUTED_VALUE"""),"チャレンジ")</f>
        <v/>
      </c>
      <c r="F405" s="408">
        <f>IFERROR(__xludf.DUMMYFUNCTION("""COMPUTED_VALUE"""),"quest_event_kai1_challenge01")</f>
        <v/>
      </c>
      <c r="G405" s="334">
        <f>IFERROR(__xludf.DUMMYFUNCTION("""COMPUTED_VALUE"""),"戦場で 力を示してみせろ ヒヨコども")</f>
        <v/>
      </c>
      <c r="H405" s="408">
        <f>IFERROR(__xludf.DUMMYFUNCTION("""COMPUTED_VALUE"""),"04")</f>
        <v/>
      </c>
      <c r="I405" s="334">
        <f>IFERROR(__xludf.DUMMYFUNCTION("""COMPUTED_VALUE"""),"event_kai1_challenge01_00004")</f>
        <v/>
      </c>
      <c r="J405" s="334" t="n"/>
      <c r="K405" s="334" t="n"/>
      <c r="L405" s="334" t="n"/>
      <c r="M405" s="334" t="n"/>
      <c r="N405" s="339" t="n"/>
      <c r="O405" s="368" t="n"/>
      <c r="P405" s="334" t="n"/>
    </row>
    <row r="406">
      <c r="A406" s="334">
        <f>IFERROR(__xludf.DUMMYFUNCTION("""COMPUTED_VALUE"""),"kai1")</f>
        <v/>
      </c>
      <c r="B406" s="334">
        <f>IFERROR(__xludf.DUMMYFUNCTION("""COMPUTED_VALUE"""),"怪獣８号")</f>
        <v/>
      </c>
      <c r="C406" s="334">
        <f>IFERROR(__xludf.DUMMYFUNCTION("""COMPUTED_VALUE"""),"savage")</f>
        <v/>
      </c>
      <c r="D406" s="334">
        <f>IFERROR(__xludf.DUMMYFUNCTION("""COMPUTED_VALUE"""),"event")</f>
        <v/>
      </c>
      <c r="E406" s="408">
        <f>IFERROR(__xludf.DUMMYFUNCTION("""COMPUTED_VALUE"""),"高難易度")</f>
        <v/>
      </c>
      <c r="F406" s="408">
        <f>IFERROR(__xludf.DUMMYFUNCTION("""COMPUTED_VALUE"""),"quest_event_kai1_savage")</f>
        <v/>
      </c>
      <c r="G406" s="334">
        <f>IFERROR(__xludf.DUMMYFUNCTION("""COMPUTED_VALUE"""),"クラス『大怪獣』")</f>
        <v/>
      </c>
      <c r="H406" s="408">
        <f>IFERROR(__xludf.DUMMYFUNCTION("""COMPUTED_VALUE"""),"01")</f>
        <v/>
      </c>
      <c r="I406" s="334">
        <f>IFERROR(__xludf.DUMMYFUNCTION("""COMPUTED_VALUE"""),"event_kai1_savage_00001")</f>
        <v/>
      </c>
      <c r="J406" s="334" t="n"/>
      <c r="K406" s="334">
        <f>IFERROR(__xludf.DUMMYFUNCTION("""COMPUTED_VALUE"""),"kai1_savage_quest_select_cell")</f>
        <v/>
      </c>
      <c r="L406" s="334" t="n"/>
      <c r="M406" s="334" t="n"/>
      <c r="N406" s="339" t="n"/>
      <c r="O406" s="368" t="n"/>
      <c r="P406" s="334" t="n"/>
    </row>
    <row r="407">
      <c r="A407" s="334">
        <f>IFERROR(__xludf.DUMMYFUNCTION("""COMPUTED_VALUE"""),"kai1")</f>
        <v/>
      </c>
      <c r="B407" s="334">
        <f>IFERROR(__xludf.DUMMYFUNCTION("""COMPUTED_VALUE"""),"怪獣８号")</f>
        <v/>
      </c>
      <c r="C407" s="334">
        <f>IFERROR(__xludf.DUMMYFUNCTION("""COMPUTED_VALUE"""),"savage")</f>
        <v/>
      </c>
      <c r="D407" s="334">
        <f>IFERROR(__xludf.DUMMYFUNCTION("""COMPUTED_VALUE"""),"event")</f>
        <v/>
      </c>
      <c r="E407" s="408">
        <f>IFERROR(__xludf.DUMMYFUNCTION("""COMPUTED_VALUE"""),"高難易度")</f>
        <v/>
      </c>
      <c r="F407" s="408">
        <f>IFERROR(__xludf.DUMMYFUNCTION("""COMPUTED_VALUE"""),"quest_event_kai1_savage")</f>
        <v/>
      </c>
      <c r="G407" s="334">
        <f>IFERROR(__xludf.DUMMYFUNCTION("""COMPUTED_VALUE"""),"クラス『大怪獣』")</f>
        <v/>
      </c>
      <c r="H407" s="408">
        <f>IFERROR(__xludf.DUMMYFUNCTION("""COMPUTED_VALUE"""),"02")</f>
        <v/>
      </c>
      <c r="I407" s="334">
        <f>IFERROR(__xludf.DUMMYFUNCTION("""COMPUTED_VALUE"""),"event_kai1_savage_00002")</f>
        <v/>
      </c>
      <c r="J407" s="334" t="n"/>
      <c r="K407" s="334" t="n"/>
      <c r="L407" s="334" t="n"/>
      <c r="M407" s="334" t="n"/>
      <c r="N407" s="339" t="n"/>
      <c r="O407" s="368" t="n"/>
      <c r="P407" s="334" t="n"/>
    </row>
    <row r="408">
      <c r="A408" s="334" t="n"/>
      <c r="B408" s="334" t="n"/>
      <c r="C408" s="334" t="n"/>
      <c r="D408" s="334" t="n"/>
      <c r="E408" s="334" t="n"/>
      <c r="F408" s="334" t="n"/>
      <c r="G408" s="334" t="n"/>
      <c r="H408" s="334" t="n"/>
      <c r="I408" s="334" t="n"/>
      <c r="J408" s="334" t="n"/>
      <c r="K408" s="334" t="n"/>
      <c r="L408" s="334" t="n"/>
      <c r="M408" s="334" t="n"/>
      <c r="N408" s="339" t="n"/>
      <c r="O408" s="368" t="n"/>
      <c r="P408" s="334" t="n"/>
    </row>
    <row r="409">
      <c r="A409" s="334">
        <f>IFERROR(__xludf.DUMMYFUNCTION("""COMPUTED_VALUE"""),"spy1")</f>
        <v/>
      </c>
      <c r="B409" s="334">
        <f>IFERROR(__xludf.DUMMYFUNCTION("""COMPUTED_VALUE"""),"SPY×FAMILY")</f>
        <v/>
      </c>
      <c r="C409" s="334">
        <f>IFERROR(__xludf.DUMMYFUNCTION("""COMPUTED_VALUE"""),"1day")</f>
        <v/>
      </c>
      <c r="D409" s="334">
        <f>IFERROR(__xludf.DUMMYFUNCTION("""COMPUTED_VALUE"""),"event")</f>
        <v/>
      </c>
      <c r="E409" s="408">
        <f>IFERROR(__xludf.DUMMYFUNCTION("""COMPUTED_VALUE"""),"デイリー")</f>
        <v/>
      </c>
      <c r="F409" s="408">
        <f>IFERROR(__xludf.DUMMYFUNCTION("""COMPUTED_VALUE"""),"quest_event_spy1_1day")</f>
        <v/>
      </c>
      <c r="G409" s="334">
        <f>IFERROR(__xludf.DUMMYFUNCTION("""COMPUTED_VALUE"""),"デイリークエスト")</f>
        <v/>
      </c>
      <c r="H409" s="408">
        <f>IFERROR(__xludf.DUMMYFUNCTION("""COMPUTED_VALUE"""),"01")</f>
        <v/>
      </c>
      <c r="I409" s="334">
        <f>IFERROR(__xludf.DUMMYFUNCTION("""COMPUTED_VALUE"""),"event_spy1_1day_00001")</f>
        <v/>
      </c>
      <c r="J409" s="334" t="n"/>
      <c r="K409" s="334">
        <f>IFERROR(__xludf.DUMMYFUNCTION("""COMPUTED_VALUE"""),"spy1_1day_quest_select_cell")</f>
        <v/>
      </c>
      <c r="L409" s="334" t="n"/>
      <c r="M409" s="334" t="n"/>
      <c r="N409" s="339" t="n"/>
      <c r="O409" s="368" t="n"/>
      <c r="P409" s="334" t="n"/>
    </row>
    <row r="410">
      <c r="A410" s="334">
        <f>IFERROR(__xludf.DUMMYFUNCTION("""COMPUTED_VALUE"""),"spy1")</f>
        <v/>
      </c>
      <c r="B410" s="334">
        <f>IFERROR(__xludf.DUMMYFUNCTION("""COMPUTED_VALUE"""),"SPY×FAMILY")</f>
        <v/>
      </c>
      <c r="C410" s="334">
        <f>IFERROR(__xludf.DUMMYFUNCTION("""COMPUTED_VALUE"""),"charaget01")</f>
        <v/>
      </c>
      <c r="D410" s="334">
        <f>IFERROR(__xludf.DUMMYFUNCTION("""COMPUTED_VALUE"""),"event")</f>
        <v/>
      </c>
      <c r="E410" s="408">
        <f>IFERROR(__xludf.DUMMYFUNCTION("""COMPUTED_VALUE"""),"ストーリー")</f>
        <v/>
      </c>
      <c r="F410" s="408">
        <f>IFERROR(__xludf.DUMMYFUNCTION("""COMPUTED_VALUE"""),"quest_event_spy1_charaget01")</f>
        <v/>
      </c>
      <c r="G410" s="334">
        <f>IFERROR(__xludf.DUMMYFUNCTION("""COMPUTED_VALUE"""),"ストーリークエスト1")</f>
        <v/>
      </c>
      <c r="H410" s="408">
        <f>IFERROR(__xludf.DUMMYFUNCTION("""COMPUTED_VALUE"""),"01")</f>
        <v/>
      </c>
      <c r="I410" s="334">
        <f>IFERROR(__xludf.DUMMYFUNCTION("""COMPUTED_VALUE"""),"event_spy1_charaget01_00001")</f>
        <v/>
      </c>
      <c r="J410" s="334" t="n"/>
      <c r="K410" s="334">
        <f>IFERROR(__xludf.DUMMYFUNCTION("""COMPUTED_VALUE"""),"spy1_charaget01_quest_select_cell")</f>
        <v/>
      </c>
      <c r="L410" s="334" t="n"/>
      <c r="M410" s="334" t="n"/>
      <c r="N410" s="339" t="n"/>
      <c r="O410" s="368" t="n"/>
      <c r="P410" s="334" t="n"/>
    </row>
    <row r="411">
      <c r="A411" s="334">
        <f>IFERROR(__xludf.DUMMYFUNCTION("""COMPUTED_VALUE"""),"spy1")</f>
        <v/>
      </c>
      <c r="B411" s="334">
        <f>IFERROR(__xludf.DUMMYFUNCTION("""COMPUTED_VALUE"""),"SPY×FAMILY")</f>
        <v/>
      </c>
      <c r="C411" s="334">
        <f>IFERROR(__xludf.DUMMYFUNCTION("""COMPUTED_VALUE"""),"charaget01")</f>
        <v/>
      </c>
      <c r="D411" s="334">
        <f>IFERROR(__xludf.DUMMYFUNCTION("""COMPUTED_VALUE"""),"event")</f>
        <v/>
      </c>
      <c r="E411" s="408">
        <f>IFERROR(__xludf.DUMMYFUNCTION("""COMPUTED_VALUE"""),"ストーリー")</f>
        <v/>
      </c>
      <c r="F411" s="408">
        <f>IFERROR(__xludf.DUMMYFUNCTION("""COMPUTED_VALUE"""),"quest_event_spy1_charaget01")</f>
        <v/>
      </c>
      <c r="G411" s="334">
        <f>IFERROR(__xludf.DUMMYFUNCTION("""COMPUTED_VALUE"""),"ストーリークエスト1")</f>
        <v/>
      </c>
      <c r="H411" s="408">
        <f>IFERROR(__xludf.DUMMYFUNCTION("""COMPUTED_VALUE"""),"02")</f>
        <v/>
      </c>
      <c r="I411" s="334">
        <f>IFERROR(__xludf.DUMMYFUNCTION("""COMPUTED_VALUE"""),"event_spy1_charaget01_00002")</f>
        <v/>
      </c>
      <c r="J411" s="334" t="n"/>
      <c r="K411" s="334" t="n"/>
      <c r="L411" s="334" t="n"/>
      <c r="M411" s="334" t="n"/>
      <c r="N411" s="339" t="n"/>
      <c r="O411" s="368" t="n"/>
      <c r="P411" s="334" t="n"/>
    </row>
    <row r="412">
      <c r="A412" s="334">
        <f>IFERROR(__xludf.DUMMYFUNCTION("""COMPUTED_VALUE"""),"spy1")</f>
        <v/>
      </c>
      <c r="B412" s="334">
        <f>IFERROR(__xludf.DUMMYFUNCTION("""COMPUTED_VALUE"""),"SPY×FAMILY")</f>
        <v/>
      </c>
      <c r="C412" s="334">
        <f>IFERROR(__xludf.DUMMYFUNCTION("""COMPUTED_VALUE"""),"charaget01")</f>
        <v/>
      </c>
      <c r="D412" s="334">
        <f>IFERROR(__xludf.DUMMYFUNCTION("""COMPUTED_VALUE"""),"event")</f>
        <v/>
      </c>
      <c r="E412" s="408">
        <f>IFERROR(__xludf.DUMMYFUNCTION("""COMPUTED_VALUE"""),"ストーリー")</f>
        <v/>
      </c>
      <c r="F412" s="408">
        <f>IFERROR(__xludf.DUMMYFUNCTION("""COMPUTED_VALUE"""),"quest_event_spy1_charaget01")</f>
        <v/>
      </c>
      <c r="G412" s="334">
        <f>IFERROR(__xludf.DUMMYFUNCTION("""COMPUTED_VALUE"""),"ストーリークエスト1")</f>
        <v/>
      </c>
      <c r="H412" s="408">
        <f>IFERROR(__xludf.DUMMYFUNCTION("""COMPUTED_VALUE"""),"03")</f>
        <v/>
      </c>
      <c r="I412" s="334">
        <f>IFERROR(__xludf.DUMMYFUNCTION("""COMPUTED_VALUE"""),"event_spy1_charaget01_00003")</f>
        <v/>
      </c>
      <c r="J412" s="334" t="n"/>
      <c r="K412" s="334" t="n"/>
      <c r="L412" s="334" t="n"/>
      <c r="M412" s="334" t="n"/>
      <c r="N412" s="339" t="n"/>
      <c r="O412" s="368" t="n"/>
      <c r="P412" s="334" t="n"/>
    </row>
    <row r="413">
      <c r="A413" s="334">
        <f>IFERROR(__xludf.DUMMYFUNCTION("""COMPUTED_VALUE"""),"spy1")</f>
        <v/>
      </c>
      <c r="B413" s="334">
        <f>IFERROR(__xludf.DUMMYFUNCTION("""COMPUTED_VALUE"""),"SPY×FAMILY")</f>
        <v/>
      </c>
      <c r="C413" s="334">
        <f>IFERROR(__xludf.DUMMYFUNCTION("""COMPUTED_VALUE"""),"charaget01")</f>
        <v/>
      </c>
      <c r="D413" s="334">
        <f>IFERROR(__xludf.DUMMYFUNCTION("""COMPUTED_VALUE"""),"event")</f>
        <v/>
      </c>
      <c r="E413" s="408">
        <f>IFERROR(__xludf.DUMMYFUNCTION("""COMPUTED_VALUE"""),"ストーリー")</f>
        <v/>
      </c>
      <c r="F413" s="408">
        <f>IFERROR(__xludf.DUMMYFUNCTION("""COMPUTED_VALUE"""),"quest_event_spy1_charaget01")</f>
        <v/>
      </c>
      <c r="G413" s="334">
        <f>IFERROR(__xludf.DUMMYFUNCTION("""COMPUTED_VALUE"""),"ストーリークエスト1")</f>
        <v/>
      </c>
      <c r="H413" s="408">
        <f>IFERROR(__xludf.DUMMYFUNCTION("""COMPUTED_VALUE"""),"04")</f>
        <v/>
      </c>
      <c r="I413" s="334">
        <f>IFERROR(__xludf.DUMMYFUNCTION("""COMPUTED_VALUE"""),"event_spy1_charaget01_00004")</f>
        <v/>
      </c>
      <c r="J413" s="334" t="n"/>
      <c r="K413" s="334" t="n"/>
      <c r="L413" s="334" t="n"/>
      <c r="M413" s="334" t="n"/>
      <c r="N413" s="339" t="n"/>
      <c r="O413" s="368" t="n"/>
      <c r="P413" s="334" t="n"/>
    </row>
    <row r="414">
      <c r="A414" s="334">
        <f>IFERROR(__xludf.DUMMYFUNCTION("""COMPUTED_VALUE"""),"spy1")</f>
        <v/>
      </c>
      <c r="B414" s="334">
        <f>IFERROR(__xludf.DUMMYFUNCTION("""COMPUTED_VALUE"""),"SPY×FAMILY")</f>
        <v/>
      </c>
      <c r="C414" s="334">
        <f>IFERROR(__xludf.DUMMYFUNCTION("""COMPUTED_VALUE"""),"charaget01")</f>
        <v/>
      </c>
      <c r="D414" s="334">
        <f>IFERROR(__xludf.DUMMYFUNCTION("""COMPUTED_VALUE"""),"event")</f>
        <v/>
      </c>
      <c r="E414" s="408">
        <f>IFERROR(__xludf.DUMMYFUNCTION("""COMPUTED_VALUE"""),"ストーリー")</f>
        <v/>
      </c>
      <c r="F414" s="408">
        <f>IFERROR(__xludf.DUMMYFUNCTION("""COMPUTED_VALUE"""),"quest_event_spy1_charaget01")</f>
        <v/>
      </c>
      <c r="G414" s="334">
        <f>IFERROR(__xludf.DUMMYFUNCTION("""COMPUTED_VALUE"""),"ストーリークエスト1")</f>
        <v/>
      </c>
      <c r="H414" s="408">
        <f>IFERROR(__xludf.DUMMYFUNCTION("""COMPUTED_VALUE"""),"05")</f>
        <v/>
      </c>
      <c r="I414" s="334">
        <f>IFERROR(__xludf.DUMMYFUNCTION("""COMPUTED_VALUE"""),"event_spy1_charaget01_00005")</f>
        <v/>
      </c>
      <c r="J414" s="334" t="n"/>
      <c r="K414" s="334" t="n"/>
      <c r="L414" s="334" t="n"/>
      <c r="M414" s="334" t="n"/>
      <c r="N414" s="339" t="n"/>
      <c r="O414" s="368" t="n"/>
      <c r="P414" s="334" t="n"/>
    </row>
    <row r="415">
      <c r="A415" s="334">
        <f>IFERROR(__xludf.DUMMYFUNCTION("""COMPUTED_VALUE"""),"spy1")</f>
        <v/>
      </c>
      <c r="B415" s="334">
        <f>IFERROR(__xludf.DUMMYFUNCTION("""COMPUTED_VALUE"""),"SPY×FAMILY")</f>
        <v/>
      </c>
      <c r="C415" s="334">
        <f>IFERROR(__xludf.DUMMYFUNCTION("""COMPUTED_VALUE"""),"charaget01")</f>
        <v/>
      </c>
      <c r="D415" s="334">
        <f>IFERROR(__xludf.DUMMYFUNCTION("""COMPUTED_VALUE"""),"event")</f>
        <v/>
      </c>
      <c r="E415" s="408">
        <f>IFERROR(__xludf.DUMMYFUNCTION("""COMPUTED_VALUE"""),"ストーリー")</f>
        <v/>
      </c>
      <c r="F415" s="408">
        <f>IFERROR(__xludf.DUMMYFUNCTION("""COMPUTED_VALUE"""),"quest_event_spy1_charaget01")</f>
        <v/>
      </c>
      <c r="G415" s="334">
        <f>IFERROR(__xludf.DUMMYFUNCTION("""COMPUTED_VALUE"""),"ストーリークエスト1")</f>
        <v/>
      </c>
      <c r="H415" s="408">
        <f>IFERROR(__xludf.DUMMYFUNCTION("""COMPUTED_VALUE"""),"06")</f>
        <v/>
      </c>
      <c r="I415" s="334">
        <f>IFERROR(__xludf.DUMMYFUNCTION("""COMPUTED_VALUE"""),"event_spy1_charaget01_00006")</f>
        <v/>
      </c>
      <c r="J415" s="334" t="n"/>
      <c r="K415" s="334" t="n"/>
      <c r="L415" s="334" t="n"/>
      <c r="M415" s="334" t="n"/>
      <c r="N415" s="339" t="n"/>
      <c r="O415" s="368" t="n"/>
      <c r="P415" s="334" t="n"/>
    </row>
    <row r="416">
      <c r="A416" s="334">
        <f>IFERROR(__xludf.DUMMYFUNCTION("""COMPUTED_VALUE"""),"spy1")</f>
        <v/>
      </c>
      <c r="B416" s="334">
        <f>IFERROR(__xludf.DUMMYFUNCTION("""COMPUTED_VALUE"""),"SPY×FAMILY")</f>
        <v/>
      </c>
      <c r="C416" s="334">
        <f>IFERROR(__xludf.DUMMYFUNCTION("""COMPUTED_VALUE"""),"charaget01")</f>
        <v/>
      </c>
      <c r="D416" s="334">
        <f>IFERROR(__xludf.DUMMYFUNCTION("""COMPUTED_VALUE"""),"event")</f>
        <v/>
      </c>
      <c r="E416" s="408">
        <f>IFERROR(__xludf.DUMMYFUNCTION("""COMPUTED_VALUE"""),"ストーリー")</f>
        <v/>
      </c>
      <c r="F416" s="408">
        <f>IFERROR(__xludf.DUMMYFUNCTION("""COMPUTED_VALUE"""),"quest_event_spy1_charaget01")</f>
        <v/>
      </c>
      <c r="G416" s="334">
        <f>IFERROR(__xludf.DUMMYFUNCTION("""COMPUTED_VALUE"""),"ストーリークエスト1")</f>
        <v/>
      </c>
      <c r="H416" s="408">
        <f>IFERROR(__xludf.DUMMYFUNCTION("""COMPUTED_VALUE"""),"07")</f>
        <v/>
      </c>
      <c r="I416" s="334">
        <f>IFERROR(__xludf.DUMMYFUNCTION("""COMPUTED_VALUE"""),"event_spy1_charaget01_00007")</f>
        <v/>
      </c>
      <c r="J416" s="334" t="n"/>
      <c r="K416" s="334" t="n"/>
      <c r="L416" s="334" t="n"/>
      <c r="M416" s="334" t="n"/>
      <c r="N416" s="339" t="n"/>
      <c r="O416" s="368" t="n"/>
      <c r="P416" s="334" t="n"/>
    </row>
    <row r="417">
      <c r="A417" s="334">
        <f>IFERROR(__xludf.DUMMYFUNCTION("""COMPUTED_VALUE"""),"spy1")</f>
        <v/>
      </c>
      <c r="B417" s="334">
        <f>IFERROR(__xludf.DUMMYFUNCTION("""COMPUTED_VALUE"""),"SPY×FAMILY")</f>
        <v/>
      </c>
      <c r="C417" s="334">
        <f>IFERROR(__xludf.DUMMYFUNCTION("""COMPUTED_VALUE"""),"charaget01")</f>
        <v/>
      </c>
      <c r="D417" s="334">
        <f>IFERROR(__xludf.DUMMYFUNCTION("""COMPUTED_VALUE"""),"event")</f>
        <v/>
      </c>
      <c r="E417" s="408">
        <f>IFERROR(__xludf.DUMMYFUNCTION("""COMPUTED_VALUE"""),"ストーリー")</f>
        <v/>
      </c>
      <c r="F417" s="408">
        <f>IFERROR(__xludf.DUMMYFUNCTION("""COMPUTED_VALUE"""),"quest_event_spy1_charaget01")</f>
        <v/>
      </c>
      <c r="G417" s="334">
        <f>IFERROR(__xludf.DUMMYFUNCTION("""COMPUTED_VALUE"""),"ストーリークエスト1")</f>
        <v/>
      </c>
      <c r="H417" s="408">
        <f>IFERROR(__xludf.DUMMYFUNCTION("""COMPUTED_VALUE"""),"08")</f>
        <v/>
      </c>
      <c r="I417" s="334">
        <f>IFERROR(__xludf.DUMMYFUNCTION("""COMPUTED_VALUE"""),"event_spy1_charaget01_00008")</f>
        <v/>
      </c>
      <c r="J417" s="334" t="n"/>
      <c r="K417" s="334" t="n"/>
      <c r="L417" s="334" t="n"/>
      <c r="M417" s="334" t="n"/>
      <c r="N417" s="339" t="n"/>
      <c r="O417" s="368" t="n"/>
      <c r="P417" s="334" t="n"/>
    </row>
    <row r="418">
      <c r="A418" s="334">
        <f>IFERROR(__xludf.DUMMYFUNCTION("""COMPUTED_VALUE"""),"spy1")</f>
        <v/>
      </c>
      <c r="B418" s="334">
        <f>IFERROR(__xludf.DUMMYFUNCTION("""COMPUTED_VALUE"""),"SPY×FAMILY")</f>
        <v/>
      </c>
      <c r="C418" s="334">
        <f>IFERROR(__xludf.DUMMYFUNCTION("""COMPUTED_VALUE"""),"charaget02")</f>
        <v/>
      </c>
      <c r="D418" s="334">
        <f>IFERROR(__xludf.DUMMYFUNCTION("""COMPUTED_VALUE"""),"event")</f>
        <v/>
      </c>
      <c r="E418" s="408">
        <f>IFERROR(__xludf.DUMMYFUNCTION("""COMPUTED_VALUE"""),"ストーリー")</f>
        <v/>
      </c>
      <c r="F418" s="408">
        <f>IFERROR(__xludf.DUMMYFUNCTION("""COMPUTED_VALUE"""),"quest_event_spy1_charaget02")</f>
        <v/>
      </c>
      <c r="G418" s="334">
        <f>IFERROR(__xludf.DUMMYFUNCTION("""COMPUTED_VALUE"""),"ストーリークエスト2")</f>
        <v/>
      </c>
      <c r="H418" s="408">
        <f>IFERROR(__xludf.DUMMYFUNCTION("""COMPUTED_VALUE"""),"01")</f>
        <v/>
      </c>
      <c r="I418" s="334">
        <f>IFERROR(__xludf.DUMMYFUNCTION("""COMPUTED_VALUE"""),"event_spy1_charaget02_00001")</f>
        <v/>
      </c>
      <c r="J418" s="334" t="n"/>
      <c r="K418" s="334">
        <f>IFERROR(__xludf.DUMMYFUNCTION("""COMPUTED_VALUE"""),"spy1_charaget02_quest_select_cell")</f>
        <v/>
      </c>
      <c r="L418" s="334" t="n"/>
      <c r="M418" s="334" t="n"/>
      <c r="N418" s="339" t="n"/>
      <c r="O418" s="368" t="n"/>
      <c r="P418" s="334" t="n"/>
    </row>
    <row r="419">
      <c r="A419" s="334">
        <f>IFERROR(__xludf.DUMMYFUNCTION("""COMPUTED_VALUE"""),"spy1")</f>
        <v/>
      </c>
      <c r="B419" s="334">
        <f>IFERROR(__xludf.DUMMYFUNCTION("""COMPUTED_VALUE"""),"SPY×FAMILY")</f>
        <v/>
      </c>
      <c r="C419" s="334">
        <f>IFERROR(__xludf.DUMMYFUNCTION("""COMPUTED_VALUE"""),"charaget02")</f>
        <v/>
      </c>
      <c r="D419" s="334">
        <f>IFERROR(__xludf.DUMMYFUNCTION("""COMPUTED_VALUE"""),"event")</f>
        <v/>
      </c>
      <c r="E419" s="408">
        <f>IFERROR(__xludf.DUMMYFUNCTION("""COMPUTED_VALUE"""),"ストーリー")</f>
        <v/>
      </c>
      <c r="F419" s="408">
        <f>IFERROR(__xludf.DUMMYFUNCTION("""COMPUTED_VALUE"""),"quest_event_spy1_charaget02")</f>
        <v/>
      </c>
      <c r="G419" s="334">
        <f>IFERROR(__xludf.DUMMYFUNCTION("""COMPUTED_VALUE"""),"ストーリークエスト2")</f>
        <v/>
      </c>
      <c r="H419" s="408">
        <f>IFERROR(__xludf.DUMMYFUNCTION("""COMPUTED_VALUE"""),"02")</f>
        <v/>
      </c>
      <c r="I419" s="334">
        <f>IFERROR(__xludf.DUMMYFUNCTION("""COMPUTED_VALUE"""),"event_spy1_charaget02_00002")</f>
        <v/>
      </c>
      <c r="J419" s="334" t="n"/>
      <c r="K419" s="334" t="n"/>
      <c r="L419" s="334" t="n"/>
      <c r="M419" s="334" t="n"/>
      <c r="N419" s="339" t="n"/>
      <c r="O419" s="368" t="n"/>
      <c r="P419" s="334" t="n"/>
    </row>
    <row r="420">
      <c r="A420" s="334">
        <f>IFERROR(__xludf.DUMMYFUNCTION("""COMPUTED_VALUE"""),"spy1")</f>
        <v/>
      </c>
      <c r="B420" s="334">
        <f>IFERROR(__xludf.DUMMYFUNCTION("""COMPUTED_VALUE"""),"SPY×FAMILY")</f>
        <v/>
      </c>
      <c r="C420" s="334">
        <f>IFERROR(__xludf.DUMMYFUNCTION("""COMPUTED_VALUE"""),"charaget02")</f>
        <v/>
      </c>
      <c r="D420" s="334">
        <f>IFERROR(__xludf.DUMMYFUNCTION("""COMPUTED_VALUE"""),"event")</f>
        <v/>
      </c>
      <c r="E420" s="408">
        <f>IFERROR(__xludf.DUMMYFUNCTION("""COMPUTED_VALUE"""),"ストーリー")</f>
        <v/>
      </c>
      <c r="F420" s="408">
        <f>IFERROR(__xludf.DUMMYFUNCTION("""COMPUTED_VALUE"""),"quest_event_spy1_charaget02")</f>
        <v/>
      </c>
      <c r="G420" s="334">
        <f>IFERROR(__xludf.DUMMYFUNCTION("""COMPUTED_VALUE"""),"ストーリークエスト2")</f>
        <v/>
      </c>
      <c r="H420" s="408">
        <f>IFERROR(__xludf.DUMMYFUNCTION("""COMPUTED_VALUE"""),"03")</f>
        <v/>
      </c>
      <c r="I420" s="334">
        <f>IFERROR(__xludf.DUMMYFUNCTION("""COMPUTED_VALUE"""),"event_spy1_charaget02_00003")</f>
        <v/>
      </c>
      <c r="J420" s="334" t="n"/>
      <c r="K420" s="334" t="n"/>
      <c r="L420" s="334" t="n"/>
      <c r="M420" s="334" t="n"/>
      <c r="N420" s="339" t="n"/>
      <c r="O420" s="368" t="n"/>
      <c r="P420" s="334" t="n"/>
    </row>
    <row r="421">
      <c r="A421" s="334">
        <f>IFERROR(__xludf.DUMMYFUNCTION("""COMPUTED_VALUE"""),"spy1")</f>
        <v/>
      </c>
      <c r="B421" s="334">
        <f>IFERROR(__xludf.DUMMYFUNCTION("""COMPUTED_VALUE"""),"SPY×FAMILY")</f>
        <v/>
      </c>
      <c r="C421" s="334">
        <f>IFERROR(__xludf.DUMMYFUNCTION("""COMPUTED_VALUE"""),"charaget02")</f>
        <v/>
      </c>
      <c r="D421" s="334">
        <f>IFERROR(__xludf.DUMMYFUNCTION("""COMPUTED_VALUE"""),"event")</f>
        <v/>
      </c>
      <c r="E421" s="408">
        <f>IFERROR(__xludf.DUMMYFUNCTION("""COMPUTED_VALUE"""),"ストーリー")</f>
        <v/>
      </c>
      <c r="F421" s="408">
        <f>IFERROR(__xludf.DUMMYFUNCTION("""COMPUTED_VALUE"""),"quest_event_spy1_charaget02")</f>
        <v/>
      </c>
      <c r="G421" s="334">
        <f>IFERROR(__xludf.DUMMYFUNCTION("""COMPUTED_VALUE"""),"ストーリークエスト2")</f>
        <v/>
      </c>
      <c r="H421" s="408">
        <f>IFERROR(__xludf.DUMMYFUNCTION("""COMPUTED_VALUE"""),"04")</f>
        <v/>
      </c>
      <c r="I421" s="334">
        <f>IFERROR(__xludf.DUMMYFUNCTION("""COMPUTED_VALUE"""),"event_spy1_charaget02_00004")</f>
        <v/>
      </c>
      <c r="J421" s="334" t="n"/>
      <c r="K421" s="334" t="n"/>
      <c r="L421" s="334" t="n"/>
      <c r="M421" s="334" t="n"/>
      <c r="N421" s="339" t="n"/>
      <c r="O421" s="368" t="n"/>
      <c r="P421" s="334" t="n"/>
    </row>
    <row r="422">
      <c r="A422" s="334">
        <f>IFERROR(__xludf.DUMMYFUNCTION("""COMPUTED_VALUE"""),"spy1")</f>
        <v/>
      </c>
      <c r="B422" s="334">
        <f>IFERROR(__xludf.DUMMYFUNCTION("""COMPUTED_VALUE"""),"SPY×FAMILY")</f>
        <v/>
      </c>
      <c r="C422" s="334">
        <f>IFERROR(__xludf.DUMMYFUNCTION("""COMPUTED_VALUE"""),"charaget02")</f>
        <v/>
      </c>
      <c r="D422" s="334">
        <f>IFERROR(__xludf.DUMMYFUNCTION("""COMPUTED_VALUE"""),"event")</f>
        <v/>
      </c>
      <c r="E422" s="408">
        <f>IFERROR(__xludf.DUMMYFUNCTION("""COMPUTED_VALUE"""),"ストーリー")</f>
        <v/>
      </c>
      <c r="F422" s="408">
        <f>IFERROR(__xludf.DUMMYFUNCTION("""COMPUTED_VALUE"""),"quest_event_spy1_charaget02")</f>
        <v/>
      </c>
      <c r="G422" s="334">
        <f>IFERROR(__xludf.DUMMYFUNCTION("""COMPUTED_VALUE"""),"ストーリークエスト2")</f>
        <v/>
      </c>
      <c r="H422" s="408">
        <f>IFERROR(__xludf.DUMMYFUNCTION("""COMPUTED_VALUE"""),"05")</f>
        <v/>
      </c>
      <c r="I422" s="334">
        <f>IFERROR(__xludf.DUMMYFUNCTION("""COMPUTED_VALUE"""),"event_spy1_charaget02_00005")</f>
        <v/>
      </c>
      <c r="J422" s="334" t="n"/>
      <c r="K422" s="334" t="n"/>
      <c r="L422" s="334" t="n"/>
      <c r="M422" s="334" t="n"/>
      <c r="N422" s="339" t="n"/>
      <c r="O422" s="368" t="n"/>
      <c r="P422" s="334" t="n"/>
    </row>
    <row r="423">
      <c r="A423" s="334">
        <f>IFERROR(__xludf.DUMMYFUNCTION("""COMPUTED_VALUE"""),"spy1")</f>
        <v/>
      </c>
      <c r="B423" s="334">
        <f>IFERROR(__xludf.DUMMYFUNCTION("""COMPUTED_VALUE"""),"SPY×FAMILY")</f>
        <v/>
      </c>
      <c r="C423" s="334">
        <f>IFERROR(__xludf.DUMMYFUNCTION("""COMPUTED_VALUE"""),"charaget02")</f>
        <v/>
      </c>
      <c r="D423" s="334">
        <f>IFERROR(__xludf.DUMMYFUNCTION("""COMPUTED_VALUE"""),"event")</f>
        <v/>
      </c>
      <c r="E423" s="408">
        <f>IFERROR(__xludf.DUMMYFUNCTION("""COMPUTED_VALUE"""),"ストーリー")</f>
        <v/>
      </c>
      <c r="F423" s="408">
        <f>IFERROR(__xludf.DUMMYFUNCTION("""COMPUTED_VALUE"""),"quest_event_spy1_charaget02")</f>
        <v/>
      </c>
      <c r="G423" s="334">
        <f>IFERROR(__xludf.DUMMYFUNCTION("""COMPUTED_VALUE"""),"ストーリークエスト2")</f>
        <v/>
      </c>
      <c r="H423" s="408">
        <f>IFERROR(__xludf.DUMMYFUNCTION("""COMPUTED_VALUE"""),"06")</f>
        <v/>
      </c>
      <c r="I423" s="334">
        <f>IFERROR(__xludf.DUMMYFUNCTION("""COMPUTED_VALUE"""),"event_spy1_charaget02_00006")</f>
        <v/>
      </c>
      <c r="J423" s="334" t="n"/>
      <c r="K423" s="334" t="n"/>
      <c r="L423" s="334" t="n"/>
      <c r="M423" s="334" t="n"/>
      <c r="N423" s="339" t="n"/>
      <c r="O423" s="368" t="n"/>
      <c r="P423" s="334" t="n"/>
    </row>
    <row r="424">
      <c r="A424" s="334">
        <f>IFERROR(__xludf.DUMMYFUNCTION("""COMPUTED_VALUE"""),"spy1")</f>
        <v/>
      </c>
      <c r="B424" s="334">
        <f>IFERROR(__xludf.DUMMYFUNCTION("""COMPUTED_VALUE"""),"SPY×FAMILY")</f>
        <v/>
      </c>
      <c r="C424" s="334">
        <f>IFERROR(__xludf.DUMMYFUNCTION("""COMPUTED_VALUE"""),"charaget02")</f>
        <v/>
      </c>
      <c r="D424" s="334">
        <f>IFERROR(__xludf.DUMMYFUNCTION("""COMPUTED_VALUE"""),"event")</f>
        <v/>
      </c>
      <c r="E424" s="408">
        <f>IFERROR(__xludf.DUMMYFUNCTION("""COMPUTED_VALUE"""),"ストーリー")</f>
        <v/>
      </c>
      <c r="F424" s="408">
        <f>IFERROR(__xludf.DUMMYFUNCTION("""COMPUTED_VALUE"""),"quest_event_spy1_charaget02")</f>
        <v/>
      </c>
      <c r="G424" s="334">
        <f>IFERROR(__xludf.DUMMYFUNCTION("""COMPUTED_VALUE"""),"ストーリークエスト2")</f>
        <v/>
      </c>
      <c r="H424" s="408">
        <f>IFERROR(__xludf.DUMMYFUNCTION("""COMPUTED_VALUE"""),"07")</f>
        <v/>
      </c>
      <c r="I424" s="334">
        <f>IFERROR(__xludf.DUMMYFUNCTION("""COMPUTED_VALUE"""),"event_spy1_charaget02_00007")</f>
        <v/>
      </c>
      <c r="J424" s="334" t="n"/>
      <c r="K424" s="334" t="n"/>
      <c r="L424" s="334" t="n"/>
      <c r="M424" s="334" t="n"/>
      <c r="N424" s="339" t="n"/>
      <c r="O424" s="368" t="n"/>
      <c r="P424" s="334" t="n"/>
    </row>
    <row r="425">
      <c r="A425" s="334">
        <f>IFERROR(__xludf.DUMMYFUNCTION("""COMPUTED_VALUE"""),"spy1")</f>
        <v/>
      </c>
      <c r="B425" s="334">
        <f>IFERROR(__xludf.DUMMYFUNCTION("""COMPUTED_VALUE"""),"SPY×FAMILY")</f>
        <v/>
      </c>
      <c r="C425" s="334">
        <f>IFERROR(__xludf.DUMMYFUNCTION("""COMPUTED_VALUE"""),"charaget02")</f>
        <v/>
      </c>
      <c r="D425" s="334">
        <f>IFERROR(__xludf.DUMMYFUNCTION("""COMPUTED_VALUE"""),"event")</f>
        <v/>
      </c>
      <c r="E425" s="408">
        <f>IFERROR(__xludf.DUMMYFUNCTION("""COMPUTED_VALUE"""),"ストーリー")</f>
        <v/>
      </c>
      <c r="F425" s="408">
        <f>IFERROR(__xludf.DUMMYFUNCTION("""COMPUTED_VALUE"""),"quest_event_spy1_charaget02")</f>
        <v/>
      </c>
      <c r="G425" s="334">
        <f>IFERROR(__xludf.DUMMYFUNCTION("""COMPUTED_VALUE"""),"ストーリークエスト2")</f>
        <v/>
      </c>
      <c r="H425" s="408">
        <f>IFERROR(__xludf.DUMMYFUNCTION("""COMPUTED_VALUE"""),"08")</f>
        <v/>
      </c>
      <c r="I425" s="334">
        <f>IFERROR(__xludf.DUMMYFUNCTION("""COMPUTED_VALUE"""),"event_spy1_charaget02_00008")</f>
        <v/>
      </c>
      <c r="J425" s="334" t="n"/>
      <c r="K425" s="334" t="n"/>
      <c r="L425" s="334" t="n"/>
      <c r="M425" s="334" t="n"/>
      <c r="N425" s="339" t="n"/>
      <c r="O425" s="368" t="n"/>
      <c r="P425" s="334" t="n"/>
    </row>
    <row r="426">
      <c r="A426" s="334">
        <f>IFERROR(__xludf.DUMMYFUNCTION("""COMPUTED_VALUE"""),"spy1")</f>
        <v/>
      </c>
      <c r="B426" s="334">
        <f>IFERROR(__xludf.DUMMYFUNCTION("""COMPUTED_VALUE"""),"SPY×FAMILY")</f>
        <v/>
      </c>
      <c r="C426" s="334">
        <f>IFERROR(__xludf.DUMMYFUNCTION("""COMPUTED_VALUE"""),"challenge01")</f>
        <v/>
      </c>
      <c r="D426" s="334">
        <f>IFERROR(__xludf.DUMMYFUNCTION("""COMPUTED_VALUE"""),"event")</f>
        <v/>
      </c>
      <c r="E426" s="408">
        <f>IFERROR(__xludf.DUMMYFUNCTION("""COMPUTED_VALUE"""),"チャレンジ")</f>
        <v/>
      </c>
      <c r="F426" s="408">
        <f>IFERROR(__xludf.DUMMYFUNCTION("""COMPUTED_VALUE"""),"quest_event_spy1_challenge01")</f>
        <v/>
      </c>
      <c r="G426" s="334">
        <f>IFERROR(__xludf.DUMMYFUNCTION("""COMPUTED_VALUE"""),"チャレンジクエスト")</f>
        <v/>
      </c>
      <c r="H426" s="408">
        <f>IFERROR(__xludf.DUMMYFUNCTION("""COMPUTED_VALUE"""),"01")</f>
        <v/>
      </c>
      <c r="I426" s="334">
        <f>IFERROR(__xludf.DUMMYFUNCTION("""COMPUTED_VALUE"""),"event_spy1_challenge01_00001")</f>
        <v/>
      </c>
      <c r="J426" s="334" t="n"/>
      <c r="K426" s="334">
        <f>IFERROR(__xludf.DUMMYFUNCTION("""COMPUTED_VALUE"""),"spy1_challenge01_quest_select_cell")</f>
        <v/>
      </c>
      <c r="L426" s="334" t="n"/>
      <c r="M426" s="334" t="n"/>
      <c r="N426" s="339" t="n"/>
      <c r="O426" s="368" t="n"/>
      <c r="P426" s="334" t="n"/>
    </row>
    <row r="427">
      <c r="A427" s="334">
        <f>IFERROR(__xludf.DUMMYFUNCTION("""COMPUTED_VALUE"""),"spy1")</f>
        <v/>
      </c>
      <c r="B427" s="334">
        <f>IFERROR(__xludf.DUMMYFUNCTION("""COMPUTED_VALUE"""),"SPY×FAMILY")</f>
        <v/>
      </c>
      <c r="C427" s="334">
        <f>IFERROR(__xludf.DUMMYFUNCTION("""COMPUTED_VALUE"""),"challenge01")</f>
        <v/>
      </c>
      <c r="D427" s="334">
        <f>IFERROR(__xludf.DUMMYFUNCTION("""COMPUTED_VALUE"""),"event")</f>
        <v/>
      </c>
      <c r="E427" s="408">
        <f>IFERROR(__xludf.DUMMYFUNCTION("""COMPUTED_VALUE"""),"チャレンジ")</f>
        <v/>
      </c>
      <c r="F427" s="408">
        <f>IFERROR(__xludf.DUMMYFUNCTION("""COMPUTED_VALUE"""),"quest_event_spy1_challenge01")</f>
        <v/>
      </c>
      <c r="G427" s="334">
        <f>IFERROR(__xludf.DUMMYFUNCTION("""COMPUTED_VALUE"""),"チャレンジクエスト")</f>
        <v/>
      </c>
      <c r="H427" s="408">
        <f>IFERROR(__xludf.DUMMYFUNCTION("""COMPUTED_VALUE"""),"02")</f>
        <v/>
      </c>
      <c r="I427" s="334">
        <f>IFERROR(__xludf.DUMMYFUNCTION("""COMPUTED_VALUE"""),"event_spy1_challenge01_00002")</f>
        <v/>
      </c>
      <c r="J427" s="334" t="n"/>
      <c r="K427" s="334" t="n"/>
      <c r="L427" s="334" t="n"/>
      <c r="M427" s="334" t="n"/>
      <c r="N427" s="339" t="n"/>
      <c r="O427" s="368" t="n"/>
      <c r="P427" s="334" t="n"/>
    </row>
    <row r="428">
      <c r="A428" s="334">
        <f>IFERROR(__xludf.DUMMYFUNCTION("""COMPUTED_VALUE"""),"spy1")</f>
        <v/>
      </c>
      <c r="B428" s="334">
        <f>IFERROR(__xludf.DUMMYFUNCTION("""COMPUTED_VALUE"""),"SPY×FAMILY")</f>
        <v/>
      </c>
      <c r="C428" s="334">
        <f>IFERROR(__xludf.DUMMYFUNCTION("""COMPUTED_VALUE"""),"challenge01")</f>
        <v/>
      </c>
      <c r="D428" s="334">
        <f>IFERROR(__xludf.DUMMYFUNCTION("""COMPUTED_VALUE"""),"event")</f>
        <v/>
      </c>
      <c r="E428" s="408">
        <f>IFERROR(__xludf.DUMMYFUNCTION("""COMPUTED_VALUE"""),"チャレンジ")</f>
        <v/>
      </c>
      <c r="F428" s="408">
        <f>IFERROR(__xludf.DUMMYFUNCTION("""COMPUTED_VALUE"""),"quest_event_spy1_challenge01")</f>
        <v/>
      </c>
      <c r="G428" s="334">
        <f>IFERROR(__xludf.DUMMYFUNCTION("""COMPUTED_VALUE"""),"チャレンジクエスト")</f>
        <v/>
      </c>
      <c r="H428" s="408">
        <f>IFERROR(__xludf.DUMMYFUNCTION("""COMPUTED_VALUE"""),"03")</f>
        <v/>
      </c>
      <c r="I428" s="334">
        <f>IFERROR(__xludf.DUMMYFUNCTION("""COMPUTED_VALUE"""),"event_spy1_challenge01_00003")</f>
        <v/>
      </c>
      <c r="J428" s="334" t="n"/>
      <c r="K428" s="334" t="n"/>
      <c r="L428" s="334" t="n"/>
      <c r="M428" s="334" t="n"/>
      <c r="N428" s="339" t="n"/>
      <c r="O428" s="368" t="n"/>
      <c r="P428" s="334" t="n"/>
    </row>
    <row r="429">
      <c r="A429" s="334">
        <f>IFERROR(__xludf.DUMMYFUNCTION("""COMPUTED_VALUE"""),"spy1")</f>
        <v/>
      </c>
      <c r="B429" s="334">
        <f>IFERROR(__xludf.DUMMYFUNCTION("""COMPUTED_VALUE"""),"SPY×FAMILY")</f>
        <v/>
      </c>
      <c r="C429" s="334">
        <f>IFERROR(__xludf.DUMMYFUNCTION("""COMPUTED_VALUE"""),"challenge01")</f>
        <v/>
      </c>
      <c r="D429" s="334">
        <f>IFERROR(__xludf.DUMMYFUNCTION("""COMPUTED_VALUE"""),"event")</f>
        <v/>
      </c>
      <c r="E429" s="408">
        <f>IFERROR(__xludf.DUMMYFUNCTION("""COMPUTED_VALUE"""),"チャレンジ")</f>
        <v/>
      </c>
      <c r="F429" s="408">
        <f>IFERROR(__xludf.DUMMYFUNCTION("""COMPUTED_VALUE"""),"quest_event_spy1_challenge01")</f>
        <v/>
      </c>
      <c r="G429" s="334">
        <f>IFERROR(__xludf.DUMMYFUNCTION("""COMPUTED_VALUE"""),"チャレンジクエスト")</f>
        <v/>
      </c>
      <c r="H429" s="408">
        <f>IFERROR(__xludf.DUMMYFUNCTION("""COMPUTED_VALUE"""),"04")</f>
        <v/>
      </c>
      <c r="I429" s="334">
        <f>IFERROR(__xludf.DUMMYFUNCTION("""COMPUTED_VALUE"""),"event_spy1_challenge01_00004")</f>
        <v/>
      </c>
      <c r="J429" s="334" t="n"/>
      <c r="K429" s="334" t="n"/>
      <c r="L429" s="334" t="n"/>
      <c r="M429" s="334" t="n"/>
      <c r="N429" s="339" t="n"/>
      <c r="O429" s="368" t="n"/>
      <c r="P429" s="334" t="n"/>
    </row>
    <row r="430">
      <c r="A430" s="334">
        <f>IFERROR(__xludf.DUMMYFUNCTION("""COMPUTED_VALUE"""),"spy1")</f>
        <v/>
      </c>
      <c r="B430" s="334">
        <f>IFERROR(__xludf.DUMMYFUNCTION("""COMPUTED_VALUE"""),"SPY×FAMILY")</f>
        <v/>
      </c>
      <c r="C430" s="334">
        <f>IFERROR(__xludf.DUMMYFUNCTION("""COMPUTED_VALUE"""),"savage")</f>
        <v/>
      </c>
      <c r="D430" s="334">
        <f>IFERROR(__xludf.DUMMYFUNCTION("""COMPUTED_VALUE"""),"event")</f>
        <v/>
      </c>
      <c r="E430" s="408">
        <f>IFERROR(__xludf.DUMMYFUNCTION("""COMPUTED_VALUE"""),"高難易度")</f>
        <v/>
      </c>
      <c r="F430" s="408">
        <f>IFERROR(__xludf.DUMMYFUNCTION("""COMPUTED_VALUE"""),"quest_event_spy1_savage")</f>
        <v/>
      </c>
      <c r="G430" s="334">
        <f>IFERROR(__xludf.DUMMYFUNCTION("""COMPUTED_VALUE"""),"高難易度クエスト")</f>
        <v/>
      </c>
      <c r="H430" s="408">
        <f>IFERROR(__xludf.DUMMYFUNCTION("""COMPUTED_VALUE"""),"01")</f>
        <v/>
      </c>
      <c r="I430" s="334">
        <f>IFERROR(__xludf.DUMMYFUNCTION("""COMPUTED_VALUE"""),"event_spy1_savage_00001")</f>
        <v/>
      </c>
      <c r="J430" s="334" t="n"/>
      <c r="K430" s="334">
        <f>IFERROR(__xludf.DUMMYFUNCTION("""COMPUTED_VALUE"""),"spy1_savage_quest_select_cell")</f>
        <v/>
      </c>
      <c r="L430" s="334" t="n"/>
      <c r="M430" s="334" t="n"/>
      <c r="N430" s="339" t="n"/>
      <c r="O430" s="368" t="n"/>
      <c r="P430" s="334" t="n"/>
    </row>
    <row r="431">
      <c r="A431" s="334">
        <f>IFERROR(__xludf.DUMMYFUNCTION("""COMPUTED_VALUE"""),"spy1")</f>
        <v/>
      </c>
      <c r="B431" s="334">
        <f>IFERROR(__xludf.DUMMYFUNCTION("""COMPUTED_VALUE"""),"SPY×FAMILY")</f>
        <v/>
      </c>
      <c r="C431" s="334">
        <f>IFERROR(__xludf.DUMMYFUNCTION("""COMPUTED_VALUE"""),"savage")</f>
        <v/>
      </c>
      <c r="D431" s="334">
        <f>IFERROR(__xludf.DUMMYFUNCTION("""COMPUTED_VALUE"""),"event")</f>
        <v/>
      </c>
      <c r="E431" s="408">
        <f>IFERROR(__xludf.DUMMYFUNCTION("""COMPUTED_VALUE"""),"高難易度")</f>
        <v/>
      </c>
      <c r="F431" s="408">
        <f>IFERROR(__xludf.DUMMYFUNCTION("""COMPUTED_VALUE"""),"quest_event_spy1_savage")</f>
        <v/>
      </c>
      <c r="G431" s="334">
        <f>IFERROR(__xludf.DUMMYFUNCTION("""COMPUTED_VALUE"""),"高難易度クエスト")</f>
        <v/>
      </c>
      <c r="H431" s="408">
        <f>IFERROR(__xludf.DUMMYFUNCTION("""COMPUTED_VALUE"""),"02")</f>
        <v/>
      </c>
      <c r="I431" s="334">
        <f>IFERROR(__xludf.DUMMYFUNCTION("""COMPUTED_VALUE"""),"event_spy1_savage_00002")</f>
        <v/>
      </c>
      <c r="J431" s="334" t="n"/>
      <c r="K431" s="334" t="n"/>
      <c r="L431" s="334" t="n"/>
      <c r="M431" s="334" t="n"/>
      <c r="N431" s="339" t="n"/>
      <c r="O431" s="368" t="n"/>
      <c r="P431" s="334" t="n"/>
    </row>
    <row r="432">
      <c r="A432" s="334" t="n"/>
      <c r="B432" s="334" t="n"/>
      <c r="C432" s="334" t="n"/>
      <c r="D432" s="334" t="n"/>
      <c r="E432" s="334" t="n"/>
      <c r="F432" s="334" t="n"/>
      <c r="G432" s="334" t="n"/>
      <c r="H432" s="334" t="n"/>
      <c r="I432" s="334" t="n"/>
      <c r="J432" s="334" t="n"/>
      <c r="K432" s="334" t="n"/>
      <c r="L432" s="334" t="n"/>
      <c r="M432" s="334" t="n"/>
      <c r="N432" s="339" t="n"/>
      <c r="O432" s="368" t="n"/>
      <c r="P432" s="334" t="n"/>
    </row>
    <row r="433">
      <c r="A433" s="334">
        <f>IFERROR(__xludf.DUMMYFUNCTION("""COMPUTED_VALUE"""),"dan1")</f>
        <v/>
      </c>
      <c r="B433" s="334">
        <f>IFERROR(__xludf.DUMMYFUNCTION("""COMPUTED_VALUE"""),"ダンダダン")</f>
        <v/>
      </c>
      <c r="C433" s="334">
        <f>IFERROR(__xludf.DUMMYFUNCTION("""COMPUTED_VALUE"""),"1day")</f>
        <v/>
      </c>
      <c r="D433" s="334">
        <f>IFERROR(__xludf.DUMMYFUNCTION("""COMPUTED_VALUE"""),"event")</f>
        <v/>
      </c>
      <c r="E433" s="408">
        <f>IFERROR(__xludf.DUMMYFUNCTION("""COMPUTED_VALUE"""),"デイリー")</f>
        <v/>
      </c>
      <c r="F433" s="408">
        <f>IFERROR(__xludf.DUMMYFUNCTION("""COMPUTED_VALUE"""),"quest_event_dan1_1day")</f>
        <v/>
      </c>
      <c r="G433" s="334">
        <f>IFERROR(__xludf.DUMMYFUNCTION("""COMPUTED_VALUE"""),"デイリークエスト")</f>
        <v/>
      </c>
      <c r="H433" s="408">
        <f>IFERROR(__xludf.DUMMYFUNCTION("""COMPUTED_VALUE"""),"01")</f>
        <v/>
      </c>
      <c r="I433" s="334">
        <f>IFERROR(__xludf.DUMMYFUNCTION("""COMPUTED_VALUE"""),"event_dan1_1day_00001")</f>
        <v/>
      </c>
      <c r="J433" s="334" t="n"/>
      <c r="K433" s="334">
        <f>IFERROR(__xludf.DUMMYFUNCTION("""COMPUTED_VALUE"""),"dan1_1day_quest_select_cell")</f>
        <v/>
      </c>
      <c r="L433" s="334" t="n"/>
      <c r="M433" s="334" t="n"/>
      <c r="N433" s="339" t="n"/>
      <c r="O433" s="368" t="n"/>
      <c r="P433" s="334" t="n"/>
    </row>
    <row r="434">
      <c r="A434" s="334">
        <f>IFERROR(__xludf.DUMMYFUNCTION("""COMPUTED_VALUE"""),"dan1")</f>
        <v/>
      </c>
      <c r="B434" s="334">
        <f>IFERROR(__xludf.DUMMYFUNCTION("""COMPUTED_VALUE"""),"ダンダダン")</f>
        <v/>
      </c>
      <c r="C434" s="334">
        <f>IFERROR(__xludf.DUMMYFUNCTION("""COMPUTED_VALUE"""),"charaget01")</f>
        <v/>
      </c>
      <c r="D434" s="334">
        <f>IFERROR(__xludf.DUMMYFUNCTION("""COMPUTED_VALUE"""),"event")</f>
        <v/>
      </c>
      <c r="E434" s="408">
        <f>IFERROR(__xludf.DUMMYFUNCTION("""COMPUTED_VALUE"""),"ストーリー")</f>
        <v/>
      </c>
      <c r="F434" s="408">
        <f>IFERROR(__xludf.DUMMYFUNCTION("""COMPUTED_VALUE"""),"quest_event_dan1_charaget01")</f>
        <v/>
      </c>
      <c r="G434" s="334">
        <f>IFERROR(__xludf.DUMMYFUNCTION("""COMPUTED_VALUE"""),"ストーリークエスト1")</f>
        <v/>
      </c>
      <c r="H434" s="408">
        <f>IFERROR(__xludf.DUMMYFUNCTION("""COMPUTED_VALUE"""),"01")</f>
        <v/>
      </c>
      <c r="I434" s="334">
        <f>IFERROR(__xludf.DUMMYFUNCTION("""COMPUTED_VALUE"""),"event_dan1_charaget01_00001")</f>
        <v/>
      </c>
      <c r="J434" s="334" t="n"/>
      <c r="K434" s="334">
        <f>IFERROR(__xludf.DUMMYFUNCTION("""COMPUTED_VALUE"""),"dan1_charaget01_quest_select_cell")</f>
        <v/>
      </c>
      <c r="L434" s="334" t="n"/>
      <c r="M434" s="334" t="n"/>
      <c r="N434" s="339" t="n"/>
      <c r="O434" s="368" t="n"/>
      <c r="P434" s="334" t="n"/>
    </row>
    <row r="435">
      <c r="A435" s="334">
        <f>IFERROR(__xludf.DUMMYFUNCTION("""COMPUTED_VALUE"""),"dan1")</f>
        <v/>
      </c>
      <c r="B435" s="334">
        <f>IFERROR(__xludf.DUMMYFUNCTION("""COMPUTED_VALUE"""),"ダンダダン")</f>
        <v/>
      </c>
      <c r="C435" s="334">
        <f>IFERROR(__xludf.DUMMYFUNCTION("""COMPUTED_VALUE"""),"charaget01")</f>
        <v/>
      </c>
      <c r="D435" s="334">
        <f>IFERROR(__xludf.DUMMYFUNCTION("""COMPUTED_VALUE"""),"event")</f>
        <v/>
      </c>
      <c r="E435" s="408">
        <f>IFERROR(__xludf.DUMMYFUNCTION("""COMPUTED_VALUE"""),"ストーリー")</f>
        <v/>
      </c>
      <c r="F435" s="408">
        <f>IFERROR(__xludf.DUMMYFUNCTION("""COMPUTED_VALUE"""),"quest_event_dan1_charaget01")</f>
        <v/>
      </c>
      <c r="G435" s="334">
        <f>IFERROR(__xludf.DUMMYFUNCTION("""COMPUTED_VALUE"""),"ストーリークエスト1")</f>
        <v/>
      </c>
      <c r="H435" s="408">
        <f>IFERROR(__xludf.DUMMYFUNCTION("""COMPUTED_VALUE"""),"02")</f>
        <v/>
      </c>
      <c r="I435" s="334">
        <f>IFERROR(__xludf.DUMMYFUNCTION("""COMPUTED_VALUE"""),"event_dan1_charaget01_00002")</f>
        <v/>
      </c>
      <c r="J435" s="334" t="n"/>
      <c r="K435" s="334" t="n"/>
      <c r="L435" s="334" t="n"/>
      <c r="M435" s="334" t="n"/>
      <c r="N435" s="339" t="n"/>
      <c r="O435" s="368" t="n"/>
      <c r="P435" s="334" t="n"/>
    </row>
    <row r="436">
      <c r="A436" s="334">
        <f>IFERROR(__xludf.DUMMYFUNCTION("""COMPUTED_VALUE"""),"dan1")</f>
        <v/>
      </c>
      <c r="B436" s="334">
        <f>IFERROR(__xludf.DUMMYFUNCTION("""COMPUTED_VALUE"""),"ダンダダン")</f>
        <v/>
      </c>
      <c r="C436" s="334">
        <f>IFERROR(__xludf.DUMMYFUNCTION("""COMPUTED_VALUE"""),"charaget01")</f>
        <v/>
      </c>
      <c r="D436" s="334">
        <f>IFERROR(__xludf.DUMMYFUNCTION("""COMPUTED_VALUE"""),"event")</f>
        <v/>
      </c>
      <c r="E436" s="408">
        <f>IFERROR(__xludf.DUMMYFUNCTION("""COMPUTED_VALUE"""),"ストーリー")</f>
        <v/>
      </c>
      <c r="F436" s="408">
        <f>IFERROR(__xludf.DUMMYFUNCTION("""COMPUTED_VALUE"""),"quest_event_dan1_charaget01")</f>
        <v/>
      </c>
      <c r="G436" s="334">
        <f>IFERROR(__xludf.DUMMYFUNCTION("""COMPUTED_VALUE"""),"ストーリークエスト1")</f>
        <v/>
      </c>
      <c r="H436" s="408">
        <f>IFERROR(__xludf.DUMMYFUNCTION("""COMPUTED_VALUE"""),"03")</f>
        <v/>
      </c>
      <c r="I436" s="334">
        <f>IFERROR(__xludf.DUMMYFUNCTION("""COMPUTED_VALUE"""),"event_dan1_charaget01_00003")</f>
        <v/>
      </c>
      <c r="J436" s="334" t="n"/>
      <c r="K436" s="334" t="n"/>
      <c r="L436" s="334" t="n"/>
      <c r="M436" s="334" t="n"/>
      <c r="N436" s="339" t="n"/>
      <c r="O436" s="368" t="n"/>
      <c r="P436" s="334" t="n"/>
    </row>
    <row r="437">
      <c r="A437" s="334">
        <f>IFERROR(__xludf.DUMMYFUNCTION("""COMPUTED_VALUE"""),"dan1")</f>
        <v/>
      </c>
      <c r="B437" s="334">
        <f>IFERROR(__xludf.DUMMYFUNCTION("""COMPUTED_VALUE"""),"ダンダダン")</f>
        <v/>
      </c>
      <c r="C437" s="334">
        <f>IFERROR(__xludf.DUMMYFUNCTION("""COMPUTED_VALUE"""),"charaget01")</f>
        <v/>
      </c>
      <c r="D437" s="334">
        <f>IFERROR(__xludf.DUMMYFUNCTION("""COMPUTED_VALUE"""),"event")</f>
        <v/>
      </c>
      <c r="E437" s="408">
        <f>IFERROR(__xludf.DUMMYFUNCTION("""COMPUTED_VALUE"""),"ストーリー")</f>
        <v/>
      </c>
      <c r="F437" s="408">
        <f>IFERROR(__xludf.DUMMYFUNCTION("""COMPUTED_VALUE"""),"quest_event_dan1_charaget01")</f>
        <v/>
      </c>
      <c r="G437" s="334">
        <f>IFERROR(__xludf.DUMMYFUNCTION("""COMPUTED_VALUE"""),"ストーリークエスト1")</f>
        <v/>
      </c>
      <c r="H437" s="408">
        <f>IFERROR(__xludf.DUMMYFUNCTION("""COMPUTED_VALUE"""),"04")</f>
        <v/>
      </c>
      <c r="I437" s="334">
        <f>IFERROR(__xludf.DUMMYFUNCTION("""COMPUTED_VALUE"""),"event_dan1_charaget01_00004")</f>
        <v/>
      </c>
      <c r="J437" s="334" t="n"/>
      <c r="K437" s="334" t="n"/>
      <c r="L437" s="334" t="n"/>
      <c r="M437" s="334" t="n"/>
      <c r="N437" s="339" t="n"/>
      <c r="O437" s="368" t="n"/>
      <c r="P437" s="334" t="n"/>
    </row>
    <row r="438">
      <c r="A438" s="334">
        <f>IFERROR(__xludf.DUMMYFUNCTION("""COMPUTED_VALUE"""),"dan1")</f>
        <v/>
      </c>
      <c r="B438" s="334">
        <f>IFERROR(__xludf.DUMMYFUNCTION("""COMPUTED_VALUE"""),"ダンダダン")</f>
        <v/>
      </c>
      <c r="C438" s="334">
        <f>IFERROR(__xludf.DUMMYFUNCTION("""COMPUTED_VALUE"""),"charaget01")</f>
        <v/>
      </c>
      <c r="D438" s="334">
        <f>IFERROR(__xludf.DUMMYFUNCTION("""COMPUTED_VALUE"""),"event")</f>
        <v/>
      </c>
      <c r="E438" s="408">
        <f>IFERROR(__xludf.DUMMYFUNCTION("""COMPUTED_VALUE"""),"ストーリー")</f>
        <v/>
      </c>
      <c r="F438" s="408">
        <f>IFERROR(__xludf.DUMMYFUNCTION("""COMPUTED_VALUE"""),"quest_event_dan1_charaget01")</f>
        <v/>
      </c>
      <c r="G438" s="334">
        <f>IFERROR(__xludf.DUMMYFUNCTION("""COMPUTED_VALUE"""),"ストーリークエスト1")</f>
        <v/>
      </c>
      <c r="H438" s="408">
        <f>IFERROR(__xludf.DUMMYFUNCTION("""COMPUTED_VALUE"""),"05")</f>
        <v/>
      </c>
      <c r="I438" s="334">
        <f>IFERROR(__xludf.DUMMYFUNCTION("""COMPUTED_VALUE"""),"event_dan1_charaget01_00005")</f>
        <v/>
      </c>
      <c r="J438" s="334" t="n"/>
      <c r="K438" s="334" t="n"/>
      <c r="L438" s="334" t="n"/>
      <c r="M438" s="334" t="n"/>
      <c r="N438" s="339" t="n"/>
      <c r="O438" s="368" t="n"/>
      <c r="P438" s="334" t="n"/>
    </row>
    <row r="439">
      <c r="A439" s="334">
        <f>IFERROR(__xludf.DUMMYFUNCTION("""COMPUTED_VALUE"""),"dan1")</f>
        <v/>
      </c>
      <c r="B439" s="334">
        <f>IFERROR(__xludf.DUMMYFUNCTION("""COMPUTED_VALUE"""),"ダンダダン")</f>
        <v/>
      </c>
      <c r="C439" s="334">
        <f>IFERROR(__xludf.DUMMYFUNCTION("""COMPUTED_VALUE"""),"charaget01")</f>
        <v/>
      </c>
      <c r="D439" s="334">
        <f>IFERROR(__xludf.DUMMYFUNCTION("""COMPUTED_VALUE"""),"event")</f>
        <v/>
      </c>
      <c r="E439" s="408">
        <f>IFERROR(__xludf.DUMMYFUNCTION("""COMPUTED_VALUE"""),"ストーリー")</f>
        <v/>
      </c>
      <c r="F439" s="408">
        <f>IFERROR(__xludf.DUMMYFUNCTION("""COMPUTED_VALUE"""),"quest_event_dan1_charaget01")</f>
        <v/>
      </c>
      <c r="G439" s="334">
        <f>IFERROR(__xludf.DUMMYFUNCTION("""COMPUTED_VALUE"""),"ストーリークエスト1")</f>
        <v/>
      </c>
      <c r="H439" s="408">
        <f>IFERROR(__xludf.DUMMYFUNCTION("""COMPUTED_VALUE"""),"06")</f>
        <v/>
      </c>
      <c r="I439" s="334">
        <f>IFERROR(__xludf.DUMMYFUNCTION("""COMPUTED_VALUE"""),"event_dan1_charaget01_00006")</f>
        <v/>
      </c>
      <c r="J439" s="334" t="n"/>
      <c r="K439" s="334" t="n"/>
      <c r="L439" s="334" t="n"/>
      <c r="M439" s="334" t="n"/>
      <c r="N439" s="339" t="n"/>
      <c r="O439" s="368" t="n"/>
      <c r="P439" s="334" t="n"/>
    </row>
    <row r="440">
      <c r="A440" s="334">
        <f>IFERROR(__xludf.DUMMYFUNCTION("""COMPUTED_VALUE"""),"dan1")</f>
        <v/>
      </c>
      <c r="B440" s="334">
        <f>IFERROR(__xludf.DUMMYFUNCTION("""COMPUTED_VALUE"""),"ダンダダン")</f>
        <v/>
      </c>
      <c r="C440" s="334">
        <f>IFERROR(__xludf.DUMMYFUNCTION("""COMPUTED_VALUE"""),"charaget01")</f>
        <v/>
      </c>
      <c r="D440" s="334">
        <f>IFERROR(__xludf.DUMMYFUNCTION("""COMPUTED_VALUE"""),"event")</f>
        <v/>
      </c>
      <c r="E440" s="408">
        <f>IFERROR(__xludf.DUMMYFUNCTION("""COMPUTED_VALUE"""),"ストーリー")</f>
        <v/>
      </c>
      <c r="F440" s="408">
        <f>IFERROR(__xludf.DUMMYFUNCTION("""COMPUTED_VALUE"""),"quest_event_dan1_charaget01")</f>
        <v/>
      </c>
      <c r="G440" s="334">
        <f>IFERROR(__xludf.DUMMYFUNCTION("""COMPUTED_VALUE"""),"ストーリークエスト1")</f>
        <v/>
      </c>
      <c r="H440" s="408">
        <f>IFERROR(__xludf.DUMMYFUNCTION("""COMPUTED_VALUE"""),"07")</f>
        <v/>
      </c>
      <c r="I440" s="334">
        <f>IFERROR(__xludf.DUMMYFUNCTION("""COMPUTED_VALUE"""),"event_dan1_charaget01_00007")</f>
        <v/>
      </c>
      <c r="J440" s="334" t="n"/>
      <c r="K440" s="334" t="n"/>
      <c r="L440" s="334" t="n"/>
      <c r="M440" s="334" t="n"/>
      <c r="N440" s="339" t="n"/>
      <c r="O440" s="368" t="n"/>
      <c r="P440" s="334" t="n"/>
    </row>
    <row r="441">
      <c r="A441" s="334">
        <f>IFERROR(__xludf.DUMMYFUNCTION("""COMPUTED_VALUE"""),"dan1")</f>
        <v/>
      </c>
      <c r="B441" s="334">
        <f>IFERROR(__xludf.DUMMYFUNCTION("""COMPUTED_VALUE"""),"ダンダダン")</f>
        <v/>
      </c>
      <c r="C441" s="334">
        <f>IFERROR(__xludf.DUMMYFUNCTION("""COMPUTED_VALUE"""),"charaget01")</f>
        <v/>
      </c>
      <c r="D441" s="334">
        <f>IFERROR(__xludf.DUMMYFUNCTION("""COMPUTED_VALUE"""),"event")</f>
        <v/>
      </c>
      <c r="E441" s="408">
        <f>IFERROR(__xludf.DUMMYFUNCTION("""COMPUTED_VALUE"""),"ストーリー")</f>
        <v/>
      </c>
      <c r="F441" s="408">
        <f>IFERROR(__xludf.DUMMYFUNCTION("""COMPUTED_VALUE"""),"quest_event_dan1_charaget01")</f>
        <v/>
      </c>
      <c r="G441" s="334">
        <f>IFERROR(__xludf.DUMMYFUNCTION("""COMPUTED_VALUE"""),"ストーリークエスト1")</f>
        <v/>
      </c>
      <c r="H441" s="408">
        <f>IFERROR(__xludf.DUMMYFUNCTION("""COMPUTED_VALUE"""),"08")</f>
        <v/>
      </c>
      <c r="I441" s="334">
        <f>IFERROR(__xludf.DUMMYFUNCTION("""COMPUTED_VALUE"""),"event_dan1_charaget01_00008")</f>
        <v/>
      </c>
      <c r="J441" s="334" t="n"/>
      <c r="K441" s="334" t="n"/>
      <c r="L441" s="334" t="n"/>
      <c r="M441" s="334" t="n"/>
      <c r="N441" s="339" t="n"/>
      <c r="O441" s="368" t="n"/>
      <c r="P441" s="334" t="n"/>
    </row>
    <row r="442">
      <c r="A442" s="334">
        <f>IFERROR(__xludf.DUMMYFUNCTION("""COMPUTED_VALUE"""),"dan1")</f>
        <v/>
      </c>
      <c r="B442" s="334">
        <f>IFERROR(__xludf.DUMMYFUNCTION("""COMPUTED_VALUE"""),"ダンダダン")</f>
        <v/>
      </c>
      <c r="C442" s="334">
        <f>IFERROR(__xludf.DUMMYFUNCTION("""COMPUTED_VALUE"""),"charaget02")</f>
        <v/>
      </c>
      <c r="D442" s="334">
        <f>IFERROR(__xludf.DUMMYFUNCTION("""COMPUTED_VALUE"""),"event")</f>
        <v/>
      </c>
      <c r="E442" s="408">
        <f>IFERROR(__xludf.DUMMYFUNCTION("""COMPUTED_VALUE"""),"ストーリー")</f>
        <v/>
      </c>
      <c r="F442" s="408">
        <f>IFERROR(__xludf.DUMMYFUNCTION("""COMPUTED_VALUE"""),"quest_event_dan1_charaget02")</f>
        <v/>
      </c>
      <c r="G442" s="334">
        <f>IFERROR(__xludf.DUMMYFUNCTION("""COMPUTED_VALUE"""),"ストーリークエスト2")</f>
        <v/>
      </c>
      <c r="H442" s="408">
        <f>IFERROR(__xludf.DUMMYFUNCTION("""COMPUTED_VALUE"""),"01")</f>
        <v/>
      </c>
      <c r="I442" s="334">
        <f>IFERROR(__xludf.DUMMYFUNCTION("""COMPUTED_VALUE"""),"event_dan1_charaget02_00001")</f>
        <v/>
      </c>
      <c r="J442" s="334" t="n"/>
      <c r="K442" s="334">
        <f>IFERROR(__xludf.DUMMYFUNCTION("""COMPUTED_VALUE"""),"dan1_charaget02_quest_select_cell")</f>
        <v/>
      </c>
      <c r="L442" s="334" t="n"/>
      <c r="M442" s="334" t="n"/>
      <c r="N442" s="339" t="n"/>
      <c r="O442" s="368" t="n"/>
      <c r="P442" s="334" t="n"/>
    </row>
    <row r="443">
      <c r="A443" s="334">
        <f>IFERROR(__xludf.DUMMYFUNCTION("""COMPUTED_VALUE"""),"dan1")</f>
        <v/>
      </c>
      <c r="B443" s="334">
        <f>IFERROR(__xludf.DUMMYFUNCTION("""COMPUTED_VALUE"""),"ダンダダン")</f>
        <v/>
      </c>
      <c r="C443" s="334">
        <f>IFERROR(__xludf.DUMMYFUNCTION("""COMPUTED_VALUE"""),"charaget02")</f>
        <v/>
      </c>
      <c r="D443" s="334">
        <f>IFERROR(__xludf.DUMMYFUNCTION("""COMPUTED_VALUE"""),"event")</f>
        <v/>
      </c>
      <c r="E443" s="408">
        <f>IFERROR(__xludf.DUMMYFUNCTION("""COMPUTED_VALUE"""),"ストーリー")</f>
        <v/>
      </c>
      <c r="F443" s="408">
        <f>IFERROR(__xludf.DUMMYFUNCTION("""COMPUTED_VALUE"""),"quest_event_dan1_charaget02")</f>
        <v/>
      </c>
      <c r="G443" s="334">
        <f>IFERROR(__xludf.DUMMYFUNCTION("""COMPUTED_VALUE"""),"ストーリークエスト2")</f>
        <v/>
      </c>
      <c r="H443" s="408">
        <f>IFERROR(__xludf.DUMMYFUNCTION("""COMPUTED_VALUE"""),"02")</f>
        <v/>
      </c>
      <c r="I443" s="334">
        <f>IFERROR(__xludf.DUMMYFUNCTION("""COMPUTED_VALUE"""),"event_dan1_charaget02_00002")</f>
        <v/>
      </c>
      <c r="J443" s="334" t="n"/>
      <c r="K443" s="334" t="n"/>
      <c r="L443" s="334" t="n"/>
      <c r="M443" s="334" t="n"/>
      <c r="N443" s="339" t="n"/>
      <c r="O443" s="368" t="n"/>
      <c r="P443" s="334" t="n"/>
    </row>
    <row r="444">
      <c r="A444" s="334">
        <f>IFERROR(__xludf.DUMMYFUNCTION("""COMPUTED_VALUE"""),"dan1")</f>
        <v/>
      </c>
      <c r="B444" s="334">
        <f>IFERROR(__xludf.DUMMYFUNCTION("""COMPUTED_VALUE"""),"ダンダダン")</f>
        <v/>
      </c>
      <c r="C444" s="334">
        <f>IFERROR(__xludf.DUMMYFUNCTION("""COMPUTED_VALUE"""),"charaget02")</f>
        <v/>
      </c>
      <c r="D444" s="334">
        <f>IFERROR(__xludf.DUMMYFUNCTION("""COMPUTED_VALUE"""),"event")</f>
        <v/>
      </c>
      <c r="E444" s="408">
        <f>IFERROR(__xludf.DUMMYFUNCTION("""COMPUTED_VALUE"""),"ストーリー")</f>
        <v/>
      </c>
      <c r="F444" s="408">
        <f>IFERROR(__xludf.DUMMYFUNCTION("""COMPUTED_VALUE"""),"quest_event_dan1_charaget02")</f>
        <v/>
      </c>
      <c r="G444" s="334">
        <f>IFERROR(__xludf.DUMMYFUNCTION("""COMPUTED_VALUE"""),"ストーリークエスト2")</f>
        <v/>
      </c>
      <c r="H444" s="408">
        <f>IFERROR(__xludf.DUMMYFUNCTION("""COMPUTED_VALUE"""),"03")</f>
        <v/>
      </c>
      <c r="I444" s="334">
        <f>IFERROR(__xludf.DUMMYFUNCTION("""COMPUTED_VALUE"""),"event_dan1_charaget02_00003")</f>
        <v/>
      </c>
      <c r="J444" s="334" t="n"/>
      <c r="K444" s="334" t="n"/>
      <c r="L444" s="334" t="n"/>
      <c r="M444" s="334" t="n"/>
      <c r="N444" s="339" t="n"/>
      <c r="O444" s="368" t="n"/>
      <c r="P444" s="334" t="n"/>
    </row>
    <row r="445">
      <c r="A445" s="334">
        <f>IFERROR(__xludf.DUMMYFUNCTION("""COMPUTED_VALUE"""),"dan1")</f>
        <v/>
      </c>
      <c r="B445" s="334">
        <f>IFERROR(__xludf.DUMMYFUNCTION("""COMPUTED_VALUE"""),"ダンダダン")</f>
        <v/>
      </c>
      <c r="C445" s="334">
        <f>IFERROR(__xludf.DUMMYFUNCTION("""COMPUTED_VALUE"""),"charaget02")</f>
        <v/>
      </c>
      <c r="D445" s="334">
        <f>IFERROR(__xludf.DUMMYFUNCTION("""COMPUTED_VALUE"""),"event")</f>
        <v/>
      </c>
      <c r="E445" s="408">
        <f>IFERROR(__xludf.DUMMYFUNCTION("""COMPUTED_VALUE"""),"ストーリー")</f>
        <v/>
      </c>
      <c r="F445" s="408">
        <f>IFERROR(__xludf.DUMMYFUNCTION("""COMPUTED_VALUE"""),"quest_event_dan1_charaget02")</f>
        <v/>
      </c>
      <c r="G445" s="334">
        <f>IFERROR(__xludf.DUMMYFUNCTION("""COMPUTED_VALUE"""),"ストーリークエスト2")</f>
        <v/>
      </c>
      <c r="H445" s="408">
        <f>IFERROR(__xludf.DUMMYFUNCTION("""COMPUTED_VALUE"""),"04")</f>
        <v/>
      </c>
      <c r="I445" s="334">
        <f>IFERROR(__xludf.DUMMYFUNCTION("""COMPUTED_VALUE"""),"event_dan1_charaget02_00004")</f>
        <v/>
      </c>
      <c r="J445" s="334" t="n"/>
      <c r="K445" s="334" t="n"/>
      <c r="L445" s="334" t="n"/>
      <c r="M445" s="334" t="n"/>
      <c r="N445" s="339" t="n"/>
      <c r="O445" s="368" t="n"/>
      <c r="P445" s="334" t="n"/>
    </row>
    <row r="446">
      <c r="A446" s="334">
        <f>IFERROR(__xludf.DUMMYFUNCTION("""COMPUTED_VALUE"""),"dan1")</f>
        <v/>
      </c>
      <c r="B446" s="334">
        <f>IFERROR(__xludf.DUMMYFUNCTION("""COMPUTED_VALUE"""),"ダンダダン")</f>
        <v/>
      </c>
      <c r="C446" s="334">
        <f>IFERROR(__xludf.DUMMYFUNCTION("""COMPUTED_VALUE"""),"charaget02")</f>
        <v/>
      </c>
      <c r="D446" s="334">
        <f>IFERROR(__xludf.DUMMYFUNCTION("""COMPUTED_VALUE"""),"event")</f>
        <v/>
      </c>
      <c r="E446" s="408">
        <f>IFERROR(__xludf.DUMMYFUNCTION("""COMPUTED_VALUE"""),"ストーリー")</f>
        <v/>
      </c>
      <c r="F446" s="408">
        <f>IFERROR(__xludf.DUMMYFUNCTION("""COMPUTED_VALUE"""),"quest_event_dan1_charaget02")</f>
        <v/>
      </c>
      <c r="G446" s="334">
        <f>IFERROR(__xludf.DUMMYFUNCTION("""COMPUTED_VALUE"""),"ストーリークエスト2")</f>
        <v/>
      </c>
      <c r="H446" s="408">
        <f>IFERROR(__xludf.DUMMYFUNCTION("""COMPUTED_VALUE"""),"05")</f>
        <v/>
      </c>
      <c r="I446" s="334">
        <f>IFERROR(__xludf.DUMMYFUNCTION("""COMPUTED_VALUE"""),"event_dan1_charaget02_00005")</f>
        <v/>
      </c>
      <c r="J446" s="334" t="n"/>
      <c r="K446" s="334" t="n"/>
      <c r="L446" s="334" t="n"/>
      <c r="M446" s="334" t="n"/>
      <c r="N446" s="339" t="n"/>
      <c r="O446" s="368" t="n"/>
      <c r="P446" s="334" t="n"/>
    </row>
    <row r="447">
      <c r="A447" s="334">
        <f>IFERROR(__xludf.DUMMYFUNCTION("""COMPUTED_VALUE"""),"dan1")</f>
        <v/>
      </c>
      <c r="B447" s="334">
        <f>IFERROR(__xludf.DUMMYFUNCTION("""COMPUTED_VALUE"""),"ダンダダン")</f>
        <v/>
      </c>
      <c r="C447" s="334">
        <f>IFERROR(__xludf.DUMMYFUNCTION("""COMPUTED_VALUE"""),"charaget02")</f>
        <v/>
      </c>
      <c r="D447" s="334">
        <f>IFERROR(__xludf.DUMMYFUNCTION("""COMPUTED_VALUE"""),"event")</f>
        <v/>
      </c>
      <c r="E447" s="408">
        <f>IFERROR(__xludf.DUMMYFUNCTION("""COMPUTED_VALUE"""),"ストーリー")</f>
        <v/>
      </c>
      <c r="F447" s="408">
        <f>IFERROR(__xludf.DUMMYFUNCTION("""COMPUTED_VALUE"""),"quest_event_dan1_charaget02")</f>
        <v/>
      </c>
      <c r="G447" s="334">
        <f>IFERROR(__xludf.DUMMYFUNCTION("""COMPUTED_VALUE"""),"ストーリークエスト2")</f>
        <v/>
      </c>
      <c r="H447" s="408">
        <f>IFERROR(__xludf.DUMMYFUNCTION("""COMPUTED_VALUE"""),"06")</f>
        <v/>
      </c>
      <c r="I447" s="334">
        <f>IFERROR(__xludf.DUMMYFUNCTION("""COMPUTED_VALUE"""),"event_dan1_charaget02_00006")</f>
        <v/>
      </c>
      <c r="J447" s="334" t="n"/>
      <c r="K447" s="334" t="n"/>
      <c r="L447" s="334" t="n"/>
      <c r="M447" s="334" t="n"/>
      <c r="N447" s="339" t="n"/>
      <c r="O447" s="368" t="n"/>
      <c r="P447" s="334" t="n"/>
    </row>
    <row r="448">
      <c r="A448" s="334">
        <f>IFERROR(__xludf.DUMMYFUNCTION("""COMPUTED_VALUE"""),"dan1")</f>
        <v/>
      </c>
      <c r="B448" s="334">
        <f>IFERROR(__xludf.DUMMYFUNCTION("""COMPUTED_VALUE"""),"ダンダダン")</f>
        <v/>
      </c>
      <c r="C448" s="334">
        <f>IFERROR(__xludf.DUMMYFUNCTION("""COMPUTED_VALUE"""),"charaget02")</f>
        <v/>
      </c>
      <c r="D448" s="334">
        <f>IFERROR(__xludf.DUMMYFUNCTION("""COMPUTED_VALUE"""),"event")</f>
        <v/>
      </c>
      <c r="E448" s="408">
        <f>IFERROR(__xludf.DUMMYFUNCTION("""COMPUTED_VALUE"""),"ストーリー")</f>
        <v/>
      </c>
      <c r="F448" s="408">
        <f>IFERROR(__xludf.DUMMYFUNCTION("""COMPUTED_VALUE"""),"quest_event_dan1_charaget02")</f>
        <v/>
      </c>
      <c r="G448" s="334">
        <f>IFERROR(__xludf.DUMMYFUNCTION("""COMPUTED_VALUE"""),"ストーリークエスト2")</f>
        <v/>
      </c>
      <c r="H448" s="408">
        <f>IFERROR(__xludf.DUMMYFUNCTION("""COMPUTED_VALUE"""),"07")</f>
        <v/>
      </c>
      <c r="I448" s="334">
        <f>IFERROR(__xludf.DUMMYFUNCTION("""COMPUTED_VALUE"""),"event_dan1_charaget02_00007")</f>
        <v/>
      </c>
      <c r="J448" s="334" t="n"/>
      <c r="K448" s="334" t="n"/>
      <c r="L448" s="334" t="n"/>
      <c r="M448" s="334" t="n"/>
      <c r="N448" s="339" t="n"/>
      <c r="O448" s="368" t="n"/>
      <c r="P448" s="334" t="n"/>
    </row>
    <row r="449">
      <c r="A449" s="334">
        <f>IFERROR(__xludf.DUMMYFUNCTION("""COMPUTED_VALUE"""),"dan1")</f>
        <v/>
      </c>
      <c r="B449" s="334">
        <f>IFERROR(__xludf.DUMMYFUNCTION("""COMPUTED_VALUE"""),"ダンダダン")</f>
        <v/>
      </c>
      <c r="C449" s="334">
        <f>IFERROR(__xludf.DUMMYFUNCTION("""COMPUTED_VALUE"""),"charaget02")</f>
        <v/>
      </c>
      <c r="D449" s="334">
        <f>IFERROR(__xludf.DUMMYFUNCTION("""COMPUTED_VALUE"""),"event")</f>
        <v/>
      </c>
      <c r="E449" s="408">
        <f>IFERROR(__xludf.DUMMYFUNCTION("""COMPUTED_VALUE"""),"ストーリー")</f>
        <v/>
      </c>
      <c r="F449" s="408">
        <f>IFERROR(__xludf.DUMMYFUNCTION("""COMPUTED_VALUE"""),"quest_event_dan1_charaget02")</f>
        <v/>
      </c>
      <c r="G449" s="334">
        <f>IFERROR(__xludf.DUMMYFUNCTION("""COMPUTED_VALUE"""),"ストーリークエスト2")</f>
        <v/>
      </c>
      <c r="H449" s="408">
        <f>IFERROR(__xludf.DUMMYFUNCTION("""COMPUTED_VALUE"""),"08")</f>
        <v/>
      </c>
      <c r="I449" s="334">
        <f>IFERROR(__xludf.DUMMYFUNCTION("""COMPUTED_VALUE"""),"event_dan1_charaget02_00008")</f>
        <v/>
      </c>
      <c r="J449" s="334" t="n"/>
      <c r="K449" s="334" t="n"/>
      <c r="L449" s="334" t="n"/>
      <c r="M449" s="334" t="n"/>
      <c r="N449" s="339" t="n"/>
      <c r="O449" s="368" t="n"/>
      <c r="P449" s="334" t="n"/>
    </row>
    <row r="450">
      <c r="A450" s="334">
        <f>IFERROR(__xludf.DUMMYFUNCTION("""COMPUTED_VALUE"""),"dan1")</f>
        <v/>
      </c>
      <c r="B450" s="334">
        <f>IFERROR(__xludf.DUMMYFUNCTION("""COMPUTED_VALUE"""),"ダンダダン")</f>
        <v/>
      </c>
      <c r="C450" s="334">
        <f>IFERROR(__xludf.DUMMYFUNCTION("""COMPUTED_VALUE"""),"challenge01")</f>
        <v/>
      </c>
      <c r="D450" s="334">
        <f>IFERROR(__xludf.DUMMYFUNCTION("""COMPUTED_VALUE"""),"event")</f>
        <v/>
      </c>
      <c r="E450" s="408">
        <f>IFERROR(__xludf.DUMMYFUNCTION("""COMPUTED_VALUE"""),"チャレンジ")</f>
        <v/>
      </c>
      <c r="F450" s="408">
        <f>IFERROR(__xludf.DUMMYFUNCTION("""COMPUTED_VALUE"""),"quest_event_dan1_challenge01")</f>
        <v/>
      </c>
      <c r="G450" s="334">
        <f>IFERROR(__xludf.DUMMYFUNCTION("""COMPUTED_VALUE"""),"チャレンジクエスト")</f>
        <v/>
      </c>
      <c r="H450" s="408">
        <f>IFERROR(__xludf.DUMMYFUNCTION("""COMPUTED_VALUE"""),"01")</f>
        <v/>
      </c>
      <c r="I450" s="334">
        <f>IFERROR(__xludf.DUMMYFUNCTION("""COMPUTED_VALUE"""),"event_dan1_challenge01_00001")</f>
        <v/>
      </c>
      <c r="J450" s="334" t="n"/>
      <c r="K450" s="334">
        <f>IFERROR(__xludf.DUMMYFUNCTION("""COMPUTED_VALUE"""),"dan1_challenge01_quest_select_cell")</f>
        <v/>
      </c>
      <c r="L450" s="334" t="n"/>
      <c r="M450" s="334" t="n"/>
      <c r="N450" s="339" t="n"/>
      <c r="O450" s="368" t="n"/>
      <c r="P450" s="334" t="n"/>
    </row>
    <row r="451">
      <c r="A451" s="334">
        <f>IFERROR(__xludf.DUMMYFUNCTION("""COMPUTED_VALUE"""),"dan1")</f>
        <v/>
      </c>
      <c r="B451" s="334">
        <f>IFERROR(__xludf.DUMMYFUNCTION("""COMPUTED_VALUE"""),"ダンダダン")</f>
        <v/>
      </c>
      <c r="C451" s="334">
        <f>IFERROR(__xludf.DUMMYFUNCTION("""COMPUTED_VALUE"""),"challenge01")</f>
        <v/>
      </c>
      <c r="D451" s="334">
        <f>IFERROR(__xludf.DUMMYFUNCTION("""COMPUTED_VALUE"""),"event")</f>
        <v/>
      </c>
      <c r="E451" s="408">
        <f>IFERROR(__xludf.DUMMYFUNCTION("""COMPUTED_VALUE"""),"チャレンジ")</f>
        <v/>
      </c>
      <c r="F451" s="408">
        <f>IFERROR(__xludf.DUMMYFUNCTION("""COMPUTED_VALUE"""),"quest_event_dan1_challenge01")</f>
        <v/>
      </c>
      <c r="G451" s="334">
        <f>IFERROR(__xludf.DUMMYFUNCTION("""COMPUTED_VALUE"""),"チャレンジクエスト")</f>
        <v/>
      </c>
      <c r="H451" s="408">
        <f>IFERROR(__xludf.DUMMYFUNCTION("""COMPUTED_VALUE"""),"02")</f>
        <v/>
      </c>
      <c r="I451" s="334">
        <f>IFERROR(__xludf.DUMMYFUNCTION("""COMPUTED_VALUE"""),"event_dan1_challenge01_00002")</f>
        <v/>
      </c>
      <c r="J451" s="334" t="n"/>
      <c r="K451" s="334" t="n"/>
      <c r="L451" s="334" t="n"/>
      <c r="M451" s="334" t="n"/>
      <c r="N451" s="339" t="n"/>
      <c r="O451" s="368" t="n"/>
      <c r="P451" s="334" t="n"/>
    </row>
    <row r="452">
      <c r="A452" s="334">
        <f>IFERROR(__xludf.DUMMYFUNCTION("""COMPUTED_VALUE"""),"dan1")</f>
        <v/>
      </c>
      <c r="B452" s="334">
        <f>IFERROR(__xludf.DUMMYFUNCTION("""COMPUTED_VALUE"""),"ダンダダン")</f>
        <v/>
      </c>
      <c r="C452" s="334">
        <f>IFERROR(__xludf.DUMMYFUNCTION("""COMPUTED_VALUE"""),"challenge01")</f>
        <v/>
      </c>
      <c r="D452" s="334">
        <f>IFERROR(__xludf.DUMMYFUNCTION("""COMPUTED_VALUE"""),"event")</f>
        <v/>
      </c>
      <c r="E452" s="408">
        <f>IFERROR(__xludf.DUMMYFUNCTION("""COMPUTED_VALUE"""),"チャレンジ")</f>
        <v/>
      </c>
      <c r="F452" s="408">
        <f>IFERROR(__xludf.DUMMYFUNCTION("""COMPUTED_VALUE"""),"quest_event_dan1_challenge01")</f>
        <v/>
      </c>
      <c r="G452" s="334">
        <f>IFERROR(__xludf.DUMMYFUNCTION("""COMPUTED_VALUE"""),"チャレンジクエスト")</f>
        <v/>
      </c>
      <c r="H452" s="408">
        <f>IFERROR(__xludf.DUMMYFUNCTION("""COMPUTED_VALUE"""),"03")</f>
        <v/>
      </c>
      <c r="I452" s="334">
        <f>IFERROR(__xludf.DUMMYFUNCTION("""COMPUTED_VALUE"""),"event_dan1_challenge01_00003")</f>
        <v/>
      </c>
      <c r="J452" s="334" t="n"/>
      <c r="K452" s="334" t="n"/>
      <c r="L452" s="334" t="n"/>
      <c r="M452" s="334" t="n"/>
      <c r="N452" s="339" t="n"/>
      <c r="O452" s="368" t="n"/>
      <c r="P452" s="334" t="n"/>
    </row>
    <row r="453">
      <c r="A453" s="334">
        <f>IFERROR(__xludf.DUMMYFUNCTION("""COMPUTED_VALUE"""),"dan1")</f>
        <v/>
      </c>
      <c r="B453" s="334">
        <f>IFERROR(__xludf.DUMMYFUNCTION("""COMPUTED_VALUE"""),"ダンダダン")</f>
        <v/>
      </c>
      <c r="C453" s="334">
        <f>IFERROR(__xludf.DUMMYFUNCTION("""COMPUTED_VALUE"""),"challenge01")</f>
        <v/>
      </c>
      <c r="D453" s="334">
        <f>IFERROR(__xludf.DUMMYFUNCTION("""COMPUTED_VALUE"""),"event")</f>
        <v/>
      </c>
      <c r="E453" s="408">
        <f>IFERROR(__xludf.DUMMYFUNCTION("""COMPUTED_VALUE"""),"チャレンジ")</f>
        <v/>
      </c>
      <c r="F453" s="408">
        <f>IFERROR(__xludf.DUMMYFUNCTION("""COMPUTED_VALUE"""),"quest_event_dan1_challenge01")</f>
        <v/>
      </c>
      <c r="G453" s="334">
        <f>IFERROR(__xludf.DUMMYFUNCTION("""COMPUTED_VALUE"""),"チャレンジクエスト")</f>
        <v/>
      </c>
      <c r="H453" s="408">
        <f>IFERROR(__xludf.DUMMYFUNCTION("""COMPUTED_VALUE"""),"04")</f>
        <v/>
      </c>
      <c r="I453" s="334">
        <f>IFERROR(__xludf.DUMMYFUNCTION("""COMPUTED_VALUE"""),"event_dan1_challenge01_00004")</f>
        <v/>
      </c>
      <c r="J453" s="334" t="n"/>
      <c r="K453" s="334" t="n"/>
      <c r="L453" s="334" t="n"/>
      <c r="M453" s="334" t="n"/>
      <c r="N453" s="339" t="n"/>
      <c r="O453" s="368" t="n"/>
      <c r="P453" s="334" t="n"/>
    </row>
    <row r="454">
      <c r="A454" s="334">
        <f>IFERROR(__xludf.DUMMYFUNCTION("""COMPUTED_VALUE"""),"dan1")</f>
        <v/>
      </c>
      <c r="B454" s="334">
        <f>IFERROR(__xludf.DUMMYFUNCTION("""COMPUTED_VALUE"""),"ダンダダン")</f>
        <v/>
      </c>
      <c r="C454" s="334">
        <f>IFERROR(__xludf.DUMMYFUNCTION("""COMPUTED_VALUE"""),"savage")</f>
        <v/>
      </c>
      <c r="D454" s="334">
        <f>IFERROR(__xludf.DUMMYFUNCTION("""COMPUTED_VALUE"""),"event")</f>
        <v/>
      </c>
      <c r="E454" s="408">
        <f>IFERROR(__xludf.DUMMYFUNCTION("""COMPUTED_VALUE"""),"高難易度")</f>
        <v/>
      </c>
      <c r="F454" s="408">
        <f>IFERROR(__xludf.DUMMYFUNCTION("""COMPUTED_VALUE"""),"quest_event_dan1_savage")</f>
        <v/>
      </c>
      <c r="G454" s="334">
        <f>IFERROR(__xludf.DUMMYFUNCTION("""COMPUTED_VALUE"""),"高難易度クエスト")</f>
        <v/>
      </c>
      <c r="H454" s="408">
        <f>IFERROR(__xludf.DUMMYFUNCTION("""COMPUTED_VALUE"""),"01")</f>
        <v/>
      </c>
      <c r="I454" s="334">
        <f>IFERROR(__xludf.DUMMYFUNCTION("""COMPUTED_VALUE"""),"event_dan1_savage_00001")</f>
        <v/>
      </c>
      <c r="J454" s="334" t="n"/>
      <c r="K454" s="334">
        <f>IFERROR(__xludf.DUMMYFUNCTION("""COMPUTED_VALUE"""),"dan1_savage_quest_select_cell")</f>
        <v/>
      </c>
      <c r="L454" s="334" t="n"/>
      <c r="M454" s="334" t="n"/>
      <c r="N454" s="339" t="n"/>
      <c r="O454" s="368" t="n"/>
      <c r="P454" s="334" t="n"/>
    </row>
    <row r="455">
      <c r="A455" s="334">
        <f>IFERROR(__xludf.DUMMYFUNCTION("""COMPUTED_VALUE"""),"dan1")</f>
        <v/>
      </c>
      <c r="B455" s="334">
        <f>IFERROR(__xludf.DUMMYFUNCTION("""COMPUTED_VALUE"""),"ダンダダン")</f>
        <v/>
      </c>
      <c r="C455" s="334">
        <f>IFERROR(__xludf.DUMMYFUNCTION("""COMPUTED_VALUE"""),"savage")</f>
        <v/>
      </c>
      <c r="D455" s="334">
        <f>IFERROR(__xludf.DUMMYFUNCTION("""COMPUTED_VALUE"""),"event")</f>
        <v/>
      </c>
      <c r="E455" s="408">
        <f>IFERROR(__xludf.DUMMYFUNCTION("""COMPUTED_VALUE"""),"高難易度")</f>
        <v/>
      </c>
      <c r="F455" s="408">
        <f>IFERROR(__xludf.DUMMYFUNCTION("""COMPUTED_VALUE"""),"quest_event_dan1_savage")</f>
        <v/>
      </c>
      <c r="G455" s="334">
        <f>IFERROR(__xludf.DUMMYFUNCTION("""COMPUTED_VALUE"""),"高難易度クエスト")</f>
        <v/>
      </c>
      <c r="H455" s="408">
        <f>IFERROR(__xludf.DUMMYFUNCTION("""COMPUTED_VALUE"""),"02")</f>
        <v/>
      </c>
      <c r="I455" s="334">
        <f>IFERROR(__xludf.DUMMYFUNCTION("""COMPUTED_VALUE"""),"event_dan1_savage_00002")</f>
        <v/>
      </c>
      <c r="J455" s="334" t="n"/>
      <c r="K455" s="334" t="n"/>
      <c r="L455" s="334" t="n"/>
      <c r="M455" s="334" t="n"/>
      <c r="N455" s="339" t="n"/>
      <c r="O455" s="368" t="n"/>
      <c r="P455" s="334" t="n"/>
    </row>
    <row r="456">
      <c r="A456" s="334" t="n"/>
      <c r="B456" s="334" t="n"/>
      <c r="C456" s="334" t="n"/>
      <c r="D456" s="334" t="n"/>
      <c r="E456" s="334" t="n"/>
      <c r="F456" s="334" t="n"/>
      <c r="G456" s="334" t="n"/>
      <c r="H456" s="334" t="n"/>
      <c r="I456" s="334" t="n"/>
      <c r="J456" s="334" t="n"/>
      <c r="K456" s="334" t="n"/>
      <c r="L456" s="334" t="n"/>
      <c r="M456" s="334" t="n"/>
      <c r="N456" s="339" t="n"/>
      <c r="O456" s="368" t="n"/>
      <c r="P456" s="334" t="n"/>
    </row>
    <row r="457">
      <c r="A457" s="334">
        <f>IFERROR(__xludf.DUMMYFUNCTION("""COMPUTED_VALUE"""),"mag1")</f>
        <v/>
      </c>
      <c r="B457" s="334">
        <f>IFERROR(__xludf.DUMMYFUNCTION("""COMPUTED_VALUE"""),"株式会社マジルミエ")</f>
        <v/>
      </c>
      <c r="C457" s="334">
        <f>IFERROR(__xludf.DUMMYFUNCTION("""COMPUTED_VALUE"""),"1day")</f>
        <v/>
      </c>
      <c r="D457" s="334">
        <f>IFERROR(__xludf.DUMMYFUNCTION("""COMPUTED_VALUE"""),"event")</f>
        <v/>
      </c>
      <c r="E457" s="408">
        <f>IFERROR(__xludf.DUMMYFUNCTION("""COMPUTED_VALUE"""),"デイリー")</f>
        <v/>
      </c>
      <c r="F457" s="408">
        <f>IFERROR(__xludf.DUMMYFUNCTION("""COMPUTED_VALUE"""),"quest_event_mag1_1day")</f>
        <v/>
      </c>
      <c r="G457" s="334">
        <f>IFERROR(__xludf.DUMMYFUNCTION("""COMPUTED_VALUE"""),"何とかやってます")</f>
        <v/>
      </c>
      <c r="H457" s="408">
        <f>IFERROR(__xludf.DUMMYFUNCTION("""COMPUTED_VALUE"""),"01")</f>
        <v/>
      </c>
      <c r="I457" s="334">
        <f>IFERROR(__xludf.DUMMYFUNCTION("""COMPUTED_VALUE"""),"event_mag1_1day_00001")</f>
        <v/>
      </c>
      <c r="J457" s="334" t="n"/>
      <c r="K457" s="334">
        <f>IFERROR(__xludf.DUMMYFUNCTION("""COMPUTED_VALUE"""),"mag1_1day_quest_select_cell")</f>
        <v/>
      </c>
      <c r="L457" s="334" t="n"/>
      <c r="M457" s="334" t="n"/>
      <c r="N457" s="339" t="n"/>
      <c r="O457" s="368" t="n"/>
      <c r="P457" s="334" t="n"/>
    </row>
    <row r="458">
      <c r="A458" s="334">
        <f>IFERROR(__xludf.DUMMYFUNCTION("""COMPUTED_VALUE"""),"mag1")</f>
        <v/>
      </c>
      <c r="B458" s="334">
        <f>IFERROR(__xludf.DUMMYFUNCTION("""COMPUTED_VALUE"""),"株式会社マジルミエ")</f>
        <v/>
      </c>
      <c r="C458" s="334">
        <f>IFERROR(__xludf.DUMMYFUNCTION("""COMPUTED_VALUE"""),"charaget01")</f>
        <v/>
      </c>
      <c r="D458" s="334">
        <f>IFERROR(__xludf.DUMMYFUNCTION("""COMPUTED_VALUE"""),"event")</f>
        <v/>
      </c>
      <c r="E458" s="408">
        <f>IFERROR(__xludf.DUMMYFUNCTION("""COMPUTED_VALUE"""),"ストーリー")</f>
        <v/>
      </c>
      <c r="F458" s="408">
        <f>IFERROR(__xludf.DUMMYFUNCTION("""COMPUTED_VALUE"""),"quest_event_mag1_charaget01")</f>
        <v/>
      </c>
      <c r="G458" s="334">
        <f>IFERROR(__xludf.DUMMYFUNCTION("""COMPUTED_VALUE"""),"うちの美学")</f>
        <v/>
      </c>
      <c r="H458" s="408">
        <f>IFERROR(__xludf.DUMMYFUNCTION("""COMPUTED_VALUE"""),"01")</f>
        <v/>
      </c>
      <c r="I458" s="334">
        <f>IFERROR(__xludf.DUMMYFUNCTION("""COMPUTED_VALUE"""),"event_mag1_charaget01_00001")</f>
        <v/>
      </c>
      <c r="J458" s="334" t="n"/>
      <c r="K458" s="334">
        <f>IFERROR(__xludf.DUMMYFUNCTION("""COMPUTED_VALUE"""),"mag1_charaget01_quest_select_cell")</f>
        <v/>
      </c>
      <c r="L458" s="334" t="n"/>
      <c r="M458" s="334" t="n"/>
      <c r="N458" s="339" t="n"/>
      <c r="O458" s="368" t="n"/>
      <c r="P458" s="334" t="n"/>
    </row>
    <row r="459">
      <c r="A459" s="334">
        <f>IFERROR(__xludf.DUMMYFUNCTION("""COMPUTED_VALUE"""),"mag1")</f>
        <v/>
      </c>
      <c r="B459" s="334">
        <f>IFERROR(__xludf.DUMMYFUNCTION("""COMPUTED_VALUE"""),"株式会社マジルミエ")</f>
        <v/>
      </c>
      <c r="C459" s="334">
        <f>IFERROR(__xludf.DUMMYFUNCTION("""COMPUTED_VALUE"""),"charaget01")</f>
        <v/>
      </c>
      <c r="D459" s="334">
        <f>IFERROR(__xludf.DUMMYFUNCTION("""COMPUTED_VALUE"""),"event")</f>
        <v/>
      </c>
      <c r="E459" s="408">
        <f>IFERROR(__xludf.DUMMYFUNCTION("""COMPUTED_VALUE"""),"ストーリー")</f>
        <v/>
      </c>
      <c r="F459" s="408">
        <f>IFERROR(__xludf.DUMMYFUNCTION("""COMPUTED_VALUE"""),"quest_event_mag1_charaget01")</f>
        <v/>
      </c>
      <c r="G459" s="334">
        <f>IFERROR(__xludf.DUMMYFUNCTION("""COMPUTED_VALUE"""),"うちの美学")</f>
        <v/>
      </c>
      <c r="H459" s="408">
        <f>IFERROR(__xludf.DUMMYFUNCTION("""COMPUTED_VALUE"""),"02")</f>
        <v/>
      </c>
      <c r="I459" s="334">
        <f>IFERROR(__xludf.DUMMYFUNCTION("""COMPUTED_VALUE"""),"event_mag1_charaget01_00002")</f>
        <v/>
      </c>
      <c r="J459" s="334" t="n"/>
      <c r="K459" s="334" t="n"/>
      <c r="L459" s="334" t="n"/>
      <c r="M459" s="334" t="n"/>
      <c r="N459" s="339" t="n"/>
      <c r="O459" s="368" t="n"/>
      <c r="P459" s="334" t="n"/>
    </row>
    <row r="460">
      <c r="A460" s="334">
        <f>IFERROR(__xludf.DUMMYFUNCTION("""COMPUTED_VALUE"""),"mag1")</f>
        <v/>
      </c>
      <c r="B460" s="334">
        <f>IFERROR(__xludf.DUMMYFUNCTION("""COMPUTED_VALUE"""),"株式会社マジルミエ")</f>
        <v/>
      </c>
      <c r="C460" s="334">
        <f>IFERROR(__xludf.DUMMYFUNCTION("""COMPUTED_VALUE"""),"charaget01")</f>
        <v/>
      </c>
      <c r="D460" s="334">
        <f>IFERROR(__xludf.DUMMYFUNCTION("""COMPUTED_VALUE"""),"event")</f>
        <v/>
      </c>
      <c r="E460" s="408">
        <f>IFERROR(__xludf.DUMMYFUNCTION("""COMPUTED_VALUE"""),"ストーリー")</f>
        <v/>
      </c>
      <c r="F460" s="408">
        <f>IFERROR(__xludf.DUMMYFUNCTION("""COMPUTED_VALUE"""),"quest_event_mag1_charaget01")</f>
        <v/>
      </c>
      <c r="G460" s="334">
        <f>IFERROR(__xludf.DUMMYFUNCTION("""COMPUTED_VALUE"""),"うちの美学")</f>
        <v/>
      </c>
      <c r="H460" s="408">
        <f>IFERROR(__xludf.DUMMYFUNCTION("""COMPUTED_VALUE"""),"03")</f>
        <v/>
      </c>
      <c r="I460" s="334">
        <f>IFERROR(__xludf.DUMMYFUNCTION("""COMPUTED_VALUE"""),"event_mag1_charaget01_00003")</f>
        <v/>
      </c>
      <c r="J460" s="334" t="n"/>
      <c r="K460" s="334" t="n"/>
      <c r="L460" s="334" t="n"/>
      <c r="M460" s="334" t="n"/>
      <c r="N460" s="339" t="n"/>
      <c r="O460" s="368" t="n"/>
      <c r="P460" s="334" t="n"/>
    </row>
    <row r="461">
      <c r="A461" s="334">
        <f>IFERROR(__xludf.DUMMYFUNCTION("""COMPUTED_VALUE"""),"mag1")</f>
        <v/>
      </c>
      <c r="B461" s="334">
        <f>IFERROR(__xludf.DUMMYFUNCTION("""COMPUTED_VALUE"""),"株式会社マジルミエ")</f>
        <v/>
      </c>
      <c r="C461" s="334">
        <f>IFERROR(__xludf.DUMMYFUNCTION("""COMPUTED_VALUE"""),"charaget01")</f>
        <v/>
      </c>
      <c r="D461" s="334">
        <f>IFERROR(__xludf.DUMMYFUNCTION("""COMPUTED_VALUE"""),"event")</f>
        <v/>
      </c>
      <c r="E461" s="408">
        <f>IFERROR(__xludf.DUMMYFUNCTION("""COMPUTED_VALUE"""),"ストーリー")</f>
        <v/>
      </c>
      <c r="F461" s="408">
        <f>IFERROR(__xludf.DUMMYFUNCTION("""COMPUTED_VALUE"""),"quest_event_mag1_charaget01")</f>
        <v/>
      </c>
      <c r="G461" s="334">
        <f>IFERROR(__xludf.DUMMYFUNCTION("""COMPUTED_VALUE"""),"うちの美学")</f>
        <v/>
      </c>
      <c r="H461" s="408">
        <f>IFERROR(__xludf.DUMMYFUNCTION("""COMPUTED_VALUE"""),"04")</f>
        <v/>
      </c>
      <c r="I461" s="334">
        <f>IFERROR(__xludf.DUMMYFUNCTION("""COMPUTED_VALUE"""),"event_mag1_charaget01_00004")</f>
        <v/>
      </c>
      <c r="J461" s="334" t="n"/>
      <c r="K461" s="334" t="n"/>
      <c r="L461" s="334" t="n"/>
      <c r="M461" s="334" t="n"/>
      <c r="N461" s="339" t="n"/>
      <c r="O461" s="368" t="n"/>
      <c r="P461" s="334" t="n"/>
    </row>
    <row r="462">
      <c r="A462" s="334">
        <f>IFERROR(__xludf.DUMMYFUNCTION("""COMPUTED_VALUE"""),"mag1")</f>
        <v/>
      </c>
      <c r="B462" s="334">
        <f>IFERROR(__xludf.DUMMYFUNCTION("""COMPUTED_VALUE"""),"株式会社マジルミエ")</f>
        <v/>
      </c>
      <c r="C462" s="334">
        <f>IFERROR(__xludf.DUMMYFUNCTION("""COMPUTED_VALUE"""),"charaget01")</f>
        <v/>
      </c>
      <c r="D462" s="334">
        <f>IFERROR(__xludf.DUMMYFUNCTION("""COMPUTED_VALUE"""),"event")</f>
        <v/>
      </c>
      <c r="E462" s="408">
        <f>IFERROR(__xludf.DUMMYFUNCTION("""COMPUTED_VALUE"""),"ストーリー")</f>
        <v/>
      </c>
      <c r="F462" s="408">
        <f>IFERROR(__xludf.DUMMYFUNCTION("""COMPUTED_VALUE"""),"quest_event_mag1_charaget01")</f>
        <v/>
      </c>
      <c r="G462" s="334">
        <f>IFERROR(__xludf.DUMMYFUNCTION("""COMPUTED_VALUE"""),"うちの美学")</f>
        <v/>
      </c>
      <c r="H462" s="408">
        <f>IFERROR(__xludf.DUMMYFUNCTION("""COMPUTED_VALUE"""),"05")</f>
        <v/>
      </c>
      <c r="I462" s="334">
        <f>IFERROR(__xludf.DUMMYFUNCTION("""COMPUTED_VALUE"""),"event_mag1_charaget01_00005")</f>
        <v/>
      </c>
      <c r="J462" s="334" t="n"/>
      <c r="K462" s="334" t="n"/>
      <c r="L462" s="334" t="n"/>
      <c r="M462" s="334" t="n"/>
      <c r="N462" s="339" t="n"/>
      <c r="O462" s="368" t="n"/>
      <c r="P462" s="334" t="n"/>
    </row>
    <row r="463">
      <c r="A463" s="334">
        <f>IFERROR(__xludf.DUMMYFUNCTION("""COMPUTED_VALUE"""),"mag1")</f>
        <v/>
      </c>
      <c r="B463" s="334">
        <f>IFERROR(__xludf.DUMMYFUNCTION("""COMPUTED_VALUE"""),"株式会社マジルミエ")</f>
        <v/>
      </c>
      <c r="C463" s="334">
        <f>IFERROR(__xludf.DUMMYFUNCTION("""COMPUTED_VALUE"""),"charaget01")</f>
        <v/>
      </c>
      <c r="D463" s="334">
        <f>IFERROR(__xludf.DUMMYFUNCTION("""COMPUTED_VALUE"""),"event")</f>
        <v/>
      </c>
      <c r="E463" s="408">
        <f>IFERROR(__xludf.DUMMYFUNCTION("""COMPUTED_VALUE"""),"ストーリー")</f>
        <v/>
      </c>
      <c r="F463" s="408">
        <f>IFERROR(__xludf.DUMMYFUNCTION("""COMPUTED_VALUE"""),"quest_event_mag1_charaget01")</f>
        <v/>
      </c>
      <c r="G463" s="334">
        <f>IFERROR(__xludf.DUMMYFUNCTION("""COMPUTED_VALUE"""),"うちの美学")</f>
        <v/>
      </c>
      <c r="H463" s="408">
        <f>IFERROR(__xludf.DUMMYFUNCTION("""COMPUTED_VALUE"""),"06")</f>
        <v/>
      </c>
      <c r="I463" s="334">
        <f>IFERROR(__xludf.DUMMYFUNCTION("""COMPUTED_VALUE"""),"event_mag1_charaget01_00006")</f>
        <v/>
      </c>
      <c r="J463" s="334" t="n"/>
      <c r="K463" s="334" t="n"/>
      <c r="L463" s="334" t="n"/>
      <c r="M463" s="334" t="n"/>
      <c r="N463" s="339" t="n"/>
      <c r="O463" s="368" t="n"/>
      <c r="P463" s="334" t="n"/>
    </row>
    <row r="464">
      <c r="A464" s="334">
        <f>IFERROR(__xludf.DUMMYFUNCTION("""COMPUTED_VALUE"""),"mag1")</f>
        <v/>
      </c>
      <c r="B464" s="334">
        <f>IFERROR(__xludf.DUMMYFUNCTION("""COMPUTED_VALUE"""),"株式会社マジルミエ")</f>
        <v/>
      </c>
      <c r="C464" s="334">
        <f>IFERROR(__xludf.DUMMYFUNCTION("""COMPUTED_VALUE"""),"charaget01")</f>
        <v/>
      </c>
      <c r="D464" s="334">
        <f>IFERROR(__xludf.DUMMYFUNCTION("""COMPUTED_VALUE"""),"event")</f>
        <v/>
      </c>
      <c r="E464" s="408">
        <f>IFERROR(__xludf.DUMMYFUNCTION("""COMPUTED_VALUE"""),"ストーリー")</f>
        <v/>
      </c>
      <c r="F464" s="408">
        <f>IFERROR(__xludf.DUMMYFUNCTION("""COMPUTED_VALUE"""),"quest_event_mag1_charaget01")</f>
        <v/>
      </c>
      <c r="G464" s="334">
        <f>IFERROR(__xludf.DUMMYFUNCTION("""COMPUTED_VALUE"""),"うちの美学")</f>
        <v/>
      </c>
      <c r="H464" s="408">
        <f>IFERROR(__xludf.DUMMYFUNCTION("""COMPUTED_VALUE"""),"07")</f>
        <v/>
      </c>
      <c r="I464" s="334">
        <f>IFERROR(__xludf.DUMMYFUNCTION("""COMPUTED_VALUE"""),"event_mag1_charaget01_00007")</f>
        <v/>
      </c>
      <c r="J464" s="334" t="n"/>
      <c r="K464" s="334" t="n"/>
      <c r="L464" s="334" t="n"/>
      <c r="M464" s="334" t="n"/>
      <c r="N464" s="339" t="n"/>
      <c r="O464" s="368" t="n"/>
      <c r="P464" s="334" t="n"/>
    </row>
    <row r="465">
      <c r="A465" s="334">
        <f>IFERROR(__xludf.DUMMYFUNCTION("""COMPUTED_VALUE"""),"mag1")</f>
        <v/>
      </c>
      <c r="B465" s="334">
        <f>IFERROR(__xludf.DUMMYFUNCTION("""COMPUTED_VALUE"""),"株式会社マジルミエ")</f>
        <v/>
      </c>
      <c r="C465" s="334">
        <f>IFERROR(__xludf.DUMMYFUNCTION("""COMPUTED_VALUE"""),"charaget01")</f>
        <v/>
      </c>
      <c r="D465" s="334">
        <f>IFERROR(__xludf.DUMMYFUNCTION("""COMPUTED_VALUE"""),"event")</f>
        <v/>
      </c>
      <c r="E465" s="408">
        <f>IFERROR(__xludf.DUMMYFUNCTION("""COMPUTED_VALUE"""),"ストーリー")</f>
        <v/>
      </c>
      <c r="F465" s="408">
        <f>IFERROR(__xludf.DUMMYFUNCTION("""COMPUTED_VALUE"""),"quest_event_mag1_charaget01")</f>
        <v/>
      </c>
      <c r="G465" s="334">
        <f>IFERROR(__xludf.DUMMYFUNCTION("""COMPUTED_VALUE"""),"うちの美学")</f>
        <v/>
      </c>
      <c r="H465" s="408">
        <f>IFERROR(__xludf.DUMMYFUNCTION("""COMPUTED_VALUE"""),"08")</f>
        <v/>
      </c>
      <c r="I465" s="334">
        <f>IFERROR(__xludf.DUMMYFUNCTION("""COMPUTED_VALUE"""),"event_mag1_charaget01_00008")</f>
        <v/>
      </c>
      <c r="J465" s="334" t="n"/>
      <c r="K465" s="334" t="n"/>
      <c r="L465" s="334" t="n"/>
      <c r="M465" s="334" t="n"/>
      <c r="N465" s="339" t="n"/>
      <c r="O465" s="368" t="n"/>
      <c r="P465" s="334" t="n"/>
    </row>
    <row r="466">
      <c r="A466" s="334">
        <f>IFERROR(__xludf.DUMMYFUNCTION("""COMPUTED_VALUE"""),"mag1")</f>
        <v/>
      </c>
      <c r="B466" s="334">
        <f>IFERROR(__xludf.DUMMYFUNCTION("""COMPUTED_VALUE"""),"株式会社マジルミエ")</f>
        <v/>
      </c>
      <c r="C466" s="334">
        <f>IFERROR(__xludf.DUMMYFUNCTION("""COMPUTED_VALUE"""),"charaget02")</f>
        <v/>
      </c>
      <c r="D466" s="334">
        <f>IFERROR(__xludf.DUMMYFUNCTION("""COMPUTED_VALUE"""),"event")</f>
        <v/>
      </c>
      <c r="E466" s="408">
        <f>IFERROR(__xludf.DUMMYFUNCTION("""COMPUTED_VALUE"""),"ストーリー")</f>
        <v/>
      </c>
      <c r="F466" s="408">
        <f>IFERROR(__xludf.DUMMYFUNCTION("""COMPUTED_VALUE"""),"quest_event_mag1_charaget02")</f>
        <v/>
      </c>
      <c r="G466" s="334">
        <f>IFERROR(__xludf.DUMMYFUNCTION("""COMPUTED_VALUE"""),"よく見てる")</f>
        <v/>
      </c>
      <c r="H466" s="408">
        <f>IFERROR(__xludf.DUMMYFUNCTION("""COMPUTED_VALUE"""),"01")</f>
        <v/>
      </c>
      <c r="I466" s="334">
        <f>IFERROR(__xludf.DUMMYFUNCTION("""COMPUTED_VALUE"""),"event_mag1_charaget02_00001")</f>
        <v/>
      </c>
      <c r="J466" s="334" t="n"/>
      <c r="K466" s="334">
        <f>IFERROR(__xludf.DUMMYFUNCTION("""COMPUTED_VALUE"""),"mag1_charaget02_quest_select_cell")</f>
        <v/>
      </c>
      <c r="L466" s="334" t="n"/>
      <c r="M466" s="334" t="n"/>
      <c r="N466" s="339" t="n"/>
      <c r="O466" s="368" t="n"/>
      <c r="P466" s="334" t="n"/>
    </row>
    <row r="467">
      <c r="A467" s="334">
        <f>IFERROR(__xludf.DUMMYFUNCTION("""COMPUTED_VALUE"""),"mag1")</f>
        <v/>
      </c>
      <c r="B467" s="334">
        <f>IFERROR(__xludf.DUMMYFUNCTION("""COMPUTED_VALUE"""),"株式会社マジルミエ")</f>
        <v/>
      </c>
      <c r="C467" s="334">
        <f>IFERROR(__xludf.DUMMYFUNCTION("""COMPUTED_VALUE"""),"charaget02")</f>
        <v/>
      </c>
      <c r="D467" s="334">
        <f>IFERROR(__xludf.DUMMYFUNCTION("""COMPUTED_VALUE"""),"event")</f>
        <v/>
      </c>
      <c r="E467" s="408">
        <f>IFERROR(__xludf.DUMMYFUNCTION("""COMPUTED_VALUE"""),"ストーリー")</f>
        <v/>
      </c>
      <c r="F467" s="408">
        <f>IFERROR(__xludf.DUMMYFUNCTION("""COMPUTED_VALUE"""),"quest_event_mag1_charaget02")</f>
        <v/>
      </c>
      <c r="G467" s="334">
        <f>IFERROR(__xludf.DUMMYFUNCTION("""COMPUTED_VALUE"""),"よく見てる")</f>
        <v/>
      </c>
      <c r="H467" s="408">
        <f>IFERROR(__xludf.DUMMYFUNCTION("""COMPUTED_VALUE"""),"02")</f>
        <v/>
      </c>
      <c r="I467" s="334">
        <f>IFERROR(__xludf.DUMMYFUNCTION("""COMPUTED_VALUE"""),"event_mag1_charaget02_00002")</f>
        <v/>
      </c>
      <c r="J467" s="334" t="n"/>
      <c r="K467" s="334" t="n"/>
      <c r="L467" s="334" t="n"/>
      <c r="M467" s="334" t="n"/>
      <c r="N467" s="339" t="n"/>
      <c r="O467" s="368" t="n"/>
      <c r="P467" s="334" t="n"/>
    </row>
    <row r="468">
      <c r="A468" s="334">
        <f>IFERROR(__xludf.DUMMYFUNCTION("""COMPUTED_VALUE"""),"mag1")</f>
        <v/>
      </c>
      <c r="B468" s="334">
        <f>IFERROR(__xludf.DUMMYFUNCTION("""COMPUTED_VALUE"""),"株式会社マジルミエ")</f>
        <v/>
      </c>
      <c r="C468" s="334">
        <f>IFERROR(__xludf.DUMMYFUNCTION("""COMPUTED_VALUE"""),"charaget02")</f>
        <v/>
      </c>
      <c r="D468" s="334">
        <f>IFERROR(__xludf.DUMMYFUNCTION("""COMPUTED_VALUE"""),"event")</f>
        <v/>
      </c>
      <c r="E468" s="408">
        <f>IFERROR(__xludf.DUMMYFUNCTION("""COMPUTED_VALUE"""),"ストーリー")</f>
        <v/>
      </c>
      <c r="F468" s="408">
        <f>IFERROR(__xludf.DUMMYFUNCTION("""COMPUTED_VALUE"""),"quest_event_mag1_charaget02")</f>
        <v/>
      </c>
      <c r="G468" s="334">
        <f>IFERROR(__xludf.DUMMYFUNCTION("""COMPUTED_VALUE"""),"よく見てる")</f>
        <v/>
      </c>
      <c r="H468" s="408">
        <f>IFERROR(__xludf.DUMMYFUNCTION("""COMPUTED_VALUE"""),"03")</f>
        <v/>
      </c>
      <c r="I468" s="334">
        <f>IFERROR(__xludf.DUMMYFUNCTION("""COMPUTED_VALUE"""),"event_mag1_charaget02_00003")</f>
        <v/>
      </c>
      <c r="J468" s="334" t="n"/>
      <c r="K468" s="334" t="n"/>
      <c r="L468" s="334" t="n"/>
      <c r="M468" s="334" t="n"/>
      <c r="N468" s="339" t="n"/>
      <c r="O468" s="368" t="n"/>
      <c r="P468" s="334" t="n"/>
    </row>
    <row r="469">
      <c r="A469" s="334">
        <f>IFERROR(__xludf.DUMMYFUNCTION("""COMPUTED_VALUE"""),"mag1")</f>
        <v/>
      </c>
      <c r="B469" s="334">
        <f>IFERROR(__xludf.DUMMYFUNCTION("""COMPUTED_VALUE"""),"株式会社マジルミエ")</f>
        <v/>
      </c>
      <c r="C469" s="334">
        <f>IFERROR(__xludf.DUMMYFUNCTION("""COMPUTED_VALUE"""),"charaget02")</f>
        <v/>
      </c>
      <c r="D469" s="334">
        <f>IFERROR(__xludf.DUMMYFUNCTION("""COMPUTED_VALUE"""),"event")</f>
        <v/>
      </c>
      <c r="E469" s="408">
        <f>IFERROR(__xludf.DUMMYFUNCTION("""COMPUTED_VALUE"""),"ストーリー")</f>
        <v/>
      </c>
      <c r="F469" s="408">
        <f>IFERROR(__xludf.DUMMYFUNCTION("""COMPUTED_VALUE"""),"quest_event_mag1_charaget02")</f>
        <v/>
      </c>
      <c r="G469" s="334">
        <f>IFERROR(__xludf.DUMMYFUNCTION("""COMPUTED_VALUE"""),"よく見てる")</f>
        <v/>
      </c>
      <c r="H469" s="408">
        <f>IFERROR(__xludf.DUMMYFUNCTION("""COMPUTED_VALUE"""),"04")</f>
        <v/>
      </c>
      <c r="I469" s="334">
        <f>IFERROR(__xludf.DUMMYFUNCTION("""COMPUTED_VALUE"""),"event_mag1_charaget02_00004")</f>
        <v/>
      </c>
      <c r="J469" s="334" t="n"/>
      <c r="K469" s="334" t="n"/>
      <c r="L469" s="334" t="n"/>
      <c r="M469" s="334" t="n"/>
      <c r="N469" s="339" t="n"/>
      <c r="O469" s="368" t="n"/>
      <c r="P469" s="334" t="n"/>
    </row>
    <row r="470">
      <c r="A470" s="334">
        <f>IFERROR(__xludf.DUMMYFUNCTION("""COMPUTED_VALUE"""),"mag1")</f>
        <v/>
      </c>
      <c r="B470" s="334">
        <f>IFERROR(__xludf.DUMMYFUNCTION("""COMPUTED_VALUE"""),"株式会社マジルミエ")</f>
        <v/>
      </c>
      <c r="C470" s="334">
        <f>IFERROR(__xludf.DUMMYFUNCTION("""COMPUTED_VALUE"""),"charaget02")</f>
        <v/>
      </c>
      <c r="D470" s="334">
        <f>IFERROR(__xludf.DUMMYFUNCTION("""COMPUTED_VALUE"""),"event")</f>
        <v/>
      </c>
      <c r="E470" s="408">
        <f>IFERROR(__xludf.DUMMYFUNCTION("""COMPUTED_VALUE"""),"ストーリー")</f>
        <v/>
      </c>
      <c r="F470" s="408">
        <f>IFERROR(__xludf.DUMMYFUNCTION("""COMPUTED_VALUE"""),"quest_event_mag1_charaget02")</f>
        <v/>
      </c>
      <c r="G470" s="334">
        <f>IFERROR(__xludf.DUMMYFUNCTION("""COMPUTED_VALUE"""),"よく見てる")</f>
        <v/>
      </c>
      <c r="H470" s="408">
        <f>IFERROR(__xludf.DUMMYFUNCTION("""COMPUTED_VALUE"""),"05")</f>
        <v/>
      </c>
      <c r="I470" s="334">
        <f>IFERROR(__xludf.DUMMYFUNCTION("""COMPUTED_VALUE"""),"event_mag1_charaget02_00005")</f>
        <v/>
      </c>
      <c r="J470" s="334" t="n"/>
      <c r="K470" s="334" t="n"/>
      <c r="L470" s="334" t="n"/>
      <c r="M470" s="334" t="n"/>
      <c r="N470" s="339" t="n"/>
      <c r="O470" s="368" t="n"/>
      <c r="P470" s="334" t="n"/>
    </row>
    <row r="471">
      <c r="A471" s="334">
        <f>IFERROR(__xludf.DUMMYFUNCTION("""COMPUTED_VALUE"""),"mag1")</f>
        <v/>
      </c>
      <c r="B471" s="334">
        <f>IFERROR(__xludf.DUMMYFUNCTION("""COMPUTED_VALUE"""),"株式会社マジルミエ")</f>
        <v/>
      </c>
      <c r="C471" s="334">
        <f>IFERROR(__xludf.DUMMYFUNCTION("""COMPUTED_VALUE"""),"charaget02")</f>
        <v/>
      </c>
      <c r="D471" s="334">
        <f>IFERROR(__xludf.DUMMYFUNCTION("""COMPUTED_VALUE"""),"event")</f>
        <v/>
      </c>
      <c r="E471" s="408">
        <f>IFERROR(__xludf.DUMMYFUNCTION("""COMPUTED_VALUE"""),"ストーリー")</f>
        <v/>
      </c>
      <c r="F471" s="408">
        <f>IFERROR(__xludf.DUMMYFUNCTION("""COMPUTED_VALUE"""),"quest_event_mag1_charaget02")</f>
        <v/>
      </c>
      <c r="G471" s="334">
        <f>IFERROR(__xludf.DUMMYFUNCTION("""COMPUTED_VALUE"""),"よく見てる")</f>
        <v/>
      </c>
      <c r="H471" s="408">
        <f>IFERROR(__xludf.DUMMYFUNCTION("""COMPUTED_VALUE"""),"06")</f>
        <v/>
      </c>
      <c r="I471" s="334">
        <f>IFERROR(__xludf.DUMMYFUNCTION("""COMPUTED_VALUE"""),"event_mag1_charaget02_00006")</f>
        <v/>
      </c>
      <c r="J471" s="334" t="n"/>
      <c r="K471" s="334" t="n"/>
      <c r="L471" s="334" t="n"/>
      <c r="M471" s="334" t="n"/>
      <c r="N471" s="339" t="n"/>
      <c r="O471" s="368" t="n"/>
      <c r="P471" s="334" t="n"/>
    </row>
    <row r="472">
      <c r="A472" s="334">
        <f>IFERROR(__xludf.DUMMYFUNCTION("""COMPUTED_VALUE"""),"mag1")</f>
        <v/>
      </c>
      <c r="B472" s="334">
        <f>IFERROR(__xludf.DUMMYFUNCTION("""COMPUTED_VALUE"""),"株式会社マジルミエ")</f>
        <v/>
      </c>
      <c r="C472" s="334">
        <f>IFERROR(__xludf.DUMMYFUNCTION("""COMPUTED_VALUE"""),"charaget02")</f>
        <v/>
      </c>
      <c r="D472" s="334">
        <f>IFERROR(__xludf.DUMMYFUNCTION("""COMPUTED_VALUE"""),"event")</f>
        <v/>
      </c>
      <c r="E472" s="408">
        <f>IFERROR(__xludf.DUMMYFUNCTION("""COMPUTED_VALUE"""),"ストーリー")</f>
        <v/>
      </c>
      <c r="F472" s="408">
        <f>IFERROR(__xludf.DUMMYFUNCTION("""COMPUTED_VALUE"""),"quest_event_mag1_charaget02")</f>
        <v/>
      </c>
      <c r="G472" s="334">
        <f>IFERROR(__xludf.DUMMYFUNCTION("""COMPUTED_VALUE"""),"よく見てる")</f>
        <v/>
      </c>
      <c r="H472" s="408">
        <f>IFERROR(__xludf.DUMMYFUNCTION("""COMPUTED_VALUE"""),"07")</f>
        <v/>
      </c>
      <c r="I472" s="334">
        <f>IFERROR(__xludf.DUMMYFUNCTION("""COMPUTED_VALUE"""),"event_mag1_charaget02_00007")</f>
        <v/>
      </c>
      <c r="J472" s="334" t="n"/>
      <c r="K472" s="334" t="n"/>
      <c r="L472" s="334" t="n"/>
      <c r="M472" s="334" t="n"/>
      <c r="N472" s="339" t="n"/>
      <c r="O472" s="368" t="n"/>
      <c r="P472" s="334" t="n"/>
    </row>
    <row r="473">
      <c r="A473" s="334">
        <f>IFERROR(__xludf.DUMMYFUNCTION("""COMPUTED_VALUE"""),"mag1")</f>
        <v/>
      </c>
      <c r="B473" s="334">
        <f>IFERROR(__xludf.DUMMYFUNCTION("""COMPUTED_VALUE"""),"株式会社マジルミエ")</f>
        <v/>
      </c>
      <c r="C473" s="334">
        <f>IFERROR(__xludf.DUMMYFUNCTION("""COMPUTED_VALUE"""),"charaget02")</f>
        <v/>
      </c>
      <c r="D473" s="334">
        <f>IFERROR(__xludf.DUMMYFUNCTION("""COMPUTED_VALUE"""),"event")</f>
        <v/>
      </c>
      <c r="E473" s="408">
        <f>IFERROR(__xludf.DUMMYFUNCTION("""COMPUTED_VALUE"""),"ストーリー")</f>
        <v/>
      </c>
      <c r="F473" s="408">
        <f>IFERROR(__xludf.DUMMYFUNCTION("""COMPUTED_VALUE"""),"quest_event_mag1_charaget02")</f>
        <v/>
      </c>
      <c r="G473" s="334">
        <f>IFERROR(__xludf.DUMMYFUNCTION("""COMPUTED_VALUE"""),"よく見てる")</f>
        <v/>
      </c>
      <c r="H473" s="408">
        <f>IFERROR(__xludf.DUMMYFUNCTION("""COMPUTED_VALUE"""),"08")</f>
        <v/>
      </c>
      <c r="I473" s="334">
        <f>IFERROR(__xludf.DUMMYFUNCTION("""COMPUTED_VALUE"""),"event_mag1_charaget02_00008")</f>
        <v/>
      </c>
      <c r="J473" s="334" t="n"/>
      <c r="K473" s="334" t="n"/>
      <c r="L473" s="334" t="n"/>
      <c r="M473" s="334" t="n"/>
      <c r="N473" s="339" t="n"/>
      <c r="O473" s="368" t="n"/>
      <c r="P473" s="334" t="n"/>
    </row>
    <row r="474">
      <c r="A474" s="334">
        <f>IFERROR(__xludf.DUMMYFUNCTION("""COMPUTED_VALUE"""),"mag1")</f>
        <v/>
      </c>
      <c r="B474" s="334">
        <f>IFERROR(__xludf.DUMMYFUNCTION("""COMPUTED_VALUE"""),"株式会社マジルミエ")</f>
        <v/>
      </c>
      <c r="C474" s="334">
        <f>IFERROR(__xludf.DUMMYFUNCTION("""COMPUTED_VALUE"""),"challenge01")</f>
        <v/>
      </c>
      <c r="D474" s="334">
        <f>IFERROR(__xludf.DUMMYFUNCTION("""COMPUTED_VALUE"""),"event")</f>
        <v/>
      </c>
      <c r="E474" s="408">
        <f>IFERROR(__xludf.DUMMYFUNCTION("""COMPUTED_VALUE"""),"チャレンジ")</f>
        <v/>
      </c>
      <c r="F474" s="408">
        <f>IFERROR(__xludf.DUMMYFUNCTION("""COMPUTED_VALUE"""),"quest_event_mag1_challenge01")</f>
        <v/>
      </c>
      <c r="G474" s="334">
        <f>IFERROR(__xludf.DUMMYFUNCTION("""COMPUTED_VALUE"""),"色々な魔法少女")</f>
        <v/>
      </c>
      <c r="H474" s="408">
        <f>IFERROR(__xludf.DUMMYFUNCTION("""COMPUTED_VALUE"""),"01")</f>
        <v/>
      </c>
      <c r="I474" s="334">
        <f>IFERROR(__xludf.DUMMYFUNCTION("""COMPUTED_VALUE"""),"event_mag1_challenge01_00001")</f>
        <v/>
      </c>
      <c r="J474" s="334" t="n"/>
      <c r="K474" s="334">
        <f>IFERROR(__xludf.DUMMYFUNCTION("""COMPUTED_VALUE"""),"mag1_challenge01_quest_select_cell")</f>
        <v/>
      </c>
      <c r="L474" s="334" t="n"/>
      <c r="M474" s="334" t="n"/>
      <c r="N474" s="339" t="n"/>
      <c r="O474" s="368" t="n"/>
      <c r="P474" s="334" t="n"/>
    </row>
    <row r="475">
      <c r="A475" s="334">
        <f>IFERROR(__xludf.DUMMYFUNCTION("""COMPUTED_VALUE"""),"mag1")</f>
        <v/>
      </c>
      <c r="B475" s="334">
        <f>IFERROR(__xludf.DUMMYFUNCTION("""COMPUTED_VALUE"""),"株式会社マジルミエ")</f>
        <v/>
      </c>
      <c r="C475" s="334">
        <f>IFERROR(__xludf.DUMMYFUNCTION("""COMPUTED_VALUE"""),"challenge01")</f>
        <v/>
      </c>
      <c r="D475" s="334">
        <f>IFERROR(__xludf.DUMMYFUNCTION("""COMPUTED_VALUE"""),"event")</f>
        <v/>
      </c>
      <c r="E475" s="408">
        <f>IFERROR(__xludf.DUMMYFUNCTION("""COMPUTED_VALUE"""),"チャレンジ")</f>
        <v/>
      </c>
      <c r="F475" s="408">
        <f>IFERROR(__xludf.DUMMYFUNCTION("""COMPUTED_VALUE"""),"quest_event_mag1_challenge01")</f>
        <v/>
      </c>
      <c r="G475" s="334">
        <f>IFERROR(__xludf.DUMMYFUNCTION("""COMPUTED_VALUE"""),"色々な魔法少女")</f>
        <v/>
      </c>
      <c r="H475" s="408">
        <f>IFERROR(__xludf.DUMMYFUNCTION("""COMPUTED_VALUE"""),"02")</f>
        <v/>
      </c>
      <c r="I475" s="334">
        <f>IFERROR(__xludf.DUMMYFUNCTION("""COMPUTED_VALUE"""),"event_mag1_challenge01_00002")</f>
        <v/>
      </c>
      <c r="J475" s="334" t="n"/>
      <c r="K475" s="334" t="n"/>
      <c r="L475" s="334" t="n"/>
      <c r="M475" s="334" t="n"/>
      <c r="N475" s="339" t="n"/>
      <c r="O475" s="368" t="n"/>
      <c r="P475" s="334" t="n"/>
    </row>
    <row r="476">
      <c r="A476" s="334">
        <f>IFERROR(__xludf.DUMMYFUNCTION("""COMPUTED_VALUE"""),"mag1")</f>
        <v/>
      </c>
      <c r="B476" s="334">
        <f>IFERROR(__xludf.DUMMYFUNCTION("""COMPUTED_VALUE"""),"株式会社マジルミエ")</f>
        <v/>
      </c>
      <c r="C476" s="334">
        <f>IFERROR(__xludf.DUMMYFUNCTION("""COMPUTED_VALUE"""),"challenge01")</f>
        <v/>
      </c>
      <c r="D476" s="334">
        <f>IFERROR(__xludf.DUMMYFUNCTION("""COMPUTED_VALUE"""),"event")</f>
        <v/>
      </c>
      <c r="E476" s="408">
        <f>IFERROR(__xludf.DUMMYFUNCTION("""COMPUTED_VALUE"""),"チャレンジ")</f>
        <v/>
      </c>
      <c r="F476" s="408">
        <f>IFERROR(__xludf.DUMMYFUNCTION("""COMPUTED_VALUE"""),"quest_event_mag1_challenge01")</f>
        <v/>
      </c>
      <c r="G476" s="334">
        <f>IFERROR(__xludf.DUMMYFUNCTION("""COMPUTED_VALUE"""),"色々な魔法少女")</f>
        <v/>
      </c>
      <c r="H476" s="408">
        <f>IFERROR(__xludf.DUMMYFUNCTION("""COMPUTED_VALUE"""),"03")</f>
        <v/>
      </c>
      <c r="I476" s="334">
        <f>IFERROR(__xludf.DUMMYFUNCTION("""COMPUTED_VALUE"""),"event_mag1_challenge01_00003")</f>
        <v/>
      </c>
      <c r="J476" s="334" t="n"/>
      <c r="K476" s="334" t="n"/>
      <c r="L476" s="334" t="n"/>
      <c r="M476" s="334" t="n"/>
      <c r="N476" s="339" t="n"/>
      <c r="O476" s="368" t="n"/>
      <c r="P476" s="334" t="n"/>
    </row>
    <row r="477">
      <c r="A477" s="334">
        <f>IFERROR(__xludf.DUMMYFUNCTION("""COMPUTED_VALUE"""),"mag1")</f>
        <v/>
      </c>
      <c r="B477" s="334">
        <f>IFERROR(__xludf.DUMMYFUNCTION("""COMPUTED_VALUE"""),"株式会社マジルミエ")</f>
        <v/>
      </c>
      <c r="C477" s="334">
        <f>IFERROR(__xludf.DUMMYFUNCTION("""COMPUTED_VALUE"""),"challenge01")</f>
        <v/>
      </c>
      <c r="D477" s="334">
        <f>IFERROR(__xludf.DUMMYFUNCTION("""COMPUTED_VALUE"""),"event")</f>
        <v/>
      </c>
      <c r="E477" s="408">
        <f>IFERROR(__xludf.DUMMYFUNCTION("""COMPUTED_VALUE"""),"チャレンジ")</f>
        <v/>
      </c>
      <c r="F477" s="408">
        <f>IFERROR(__xludf.DUMMYFUNCTION("""COMPUTED_VALUE"""),"quest_event_mag1_challenge01")</f>
        <v/>
      </c>
      <c r="G477" s="334">
        <f>IFERROR(__xludf.DUMMYFUNCTION("""COMPUTED_VALUE"""),"色々な魔法少女")</f>
        <v/>
      </c>
      <c r="H477" s="408">
        <f>IFERROR(__xludf.DUMMYFUNCTION("""COMPUTED_VALUE"""),"04")</f>
        <v/>
      </c>
      <c r="I477" s="334">
        <f>IFERROR(__xludf.DUMMYFUNCTION("""COMPUTED_VALUE"""),"event_mag1_challenge01_00004")</f>
        <v/>
      </c>
      <c r="J477" s="334" t="n"/>
      <c r="K477" s="334" t="n"/>
      <c r="L477" s="334" t="n"/>
      <c r="M477" s="334" t="n"/>
      <c r="N477" s="339" t="n"/>
      <c r="O477" s="368" t="n"/>
      <c r="P477" s="334" t="n"/>
    </row>
    <row r="478">
      <c r="A478" s="334">
        <f>IFERROR(__xludf.DUMMYFUNCTION("""COMPUTED_VALUE"""),"mag1")</f>
        <v/>
      </c>
      <c r="B478" s="334">
        <f>IFERROR(__xludf.DUMMYFUNCTION("""COMPUTED_VALUE"""),"株式会社マジルミエ")</f>
        <v/>
      </c>
      <c r="C478" s="334">
        <f>IFERROR(__xludf.DUMMYFUNCTION("""COMPUTED_VALUE"""),"savage")</f>
        <v/>
      </c>
      <c r="D478" s="334">
        <f>IFERROR(__xludf.DUMMYFUNCTION("""COMPUTED_VALUE"""),"event")</f>
        <v/>
      </c>
      <c r="E478" s="408">
        <f>IFERROR(__xludf.DUMMYFUNCTION("""COMPUTED_VALUE"""),"高難易度")</f>
        <v/>
      </c>
      <c r="F478" s="408">
        <f>IFERROR(__xludf.DUMMYFUNCTION("""COMPUTED_VALUE"""),"quest_event_mag1_savage")</f>
        <v/>
      </c>
      <c r="G478" s="334">
        <f>IFERROR(__xludf.DUMMYFUNCTION("""COMPUTED_VALUE"""),"「怪異」現象")</f>
        <v/>
      </c>
      <c r="H478" s="408">
        <f>IFERROR(__xludf.DUMMYFUNCTION("""COMPUTED_VALUE"""),"01")</f>
        <v/>
      </c>
      <c r="I478" s="334">
        <f>IFERROR(__xludf.DUMMYFUNCTION("""COMPUTED_VALUE"""),"event_mag1_savage_00001")</f>
        <v/>
      </c>
      <c r="J478" s="334" t="n"/>
      <c r="K478" s="334">
        <f>IFERROR(__xludf.DUMMYFUNCTION("""COMPUTED_VALUE"""),"mag1_savage_quest_select_cell")</f>
        <v/>
      </c>
      <c r="L478" s="334" t="n"/>
      <c r="M478" s="334" t="n"/>
      <c r="N478" s="339" t="n"/>
      <c r="O478" s="368" t="n"/>
      <c r="P478" s="334" t="n"/>
    </row>
    <row r="479">
      <c r="A479" s="334">
        <f>IFERROR(__xludf.DUMMYFUNCTION("""COMPUTED_VALUE"""),"mag1")</f>
        <v/>
      </c>
      <c r="B479" s="334">
        <f>IFERROR(__xludf.DUMMYFUNCTION("""COMPUTED_VALUE"""),"株式会社マジルミエ")</f>
        <v/>
      </c>
      <c r="C479" s="334">
        <f>IFERROR(__xludf.DUMMYFUNCTION("""COMPUTED_VALUE"""),"savage")</f>
        <v/>
      </c>
      <c r="D479" s="334">
        <f>IFERROR(__xludf.DUMMYFUNCTION("""COMPUTED_VALUE"""),"event")</f>
        <v/>
      </c>
      <c r="E479" s="408">
        <f>IFERROR(__xludf.DUMMYFUNCTION("""COMPUTED_VALUE"""),"高難易度")</f>
        <v/>
      </c>
      <c r="F479" s="408">
        <f>IFERROR(__xludf.DUMMYFUNCTION("""COMPUTED_VALUE"""),"quest_event_mag1_savage")</f>
        <v/>
      </c>
      <c r="G479" s="334">
        <f>IFERROR(__xludf.DUMMYFUNCTION("""COMPUTED_VALUE"""),"「怪異」現象")</f>
        <v/>
      </c>
      <c r="H479" s="408">
        <f>IFERROR(__xludf.DUMMYFUNCTION("""COMPUTED_VALUE"""),"02")</f>
        <v/>
      </c>
      <c r="I479" s="334">
        <f>IFERROR(__xludf.DUMMYFUNCTION("""COMPUTED_VALUE"""),"event_mag1_savage_00002")</f>
        <v/>
      </c>
      <c r="J479" s="334" t="n"/>
      <c r="K479" s="334" t="n"/>
      <c r="L479" s="334" t="n"/>
      <c r="M479" s="334" t="n"/>
      <c r="N479" s="339" t="n"/>
      <c r="O479" s="368" t="n"/>
      <c r="P479" s="334" t="n"/>
    </row>
    <row r="480">
      <c r="A480" s="334" t="n"/>
      <c r="B480" s="334" t="n"/>
      <c r="C480" s="334" t="n"/>
      <c r="D480" s="334" t="n"/>
      <c r="E480" s="334" t="n"/>
      <c r="F480" s="334" t="n"/>
      <c r="G480" s="334" t="n"/>
      <c r="H480" s="334" t="n"/>
      <c r="I480" s="334" t="n"/>
      <c r="J480" s="334" t="n"/>
      <c r="K480" s="334" t="n"/>
      <c r="L480" s="334" t="n"/>
      <c r="M480" s="334" t="n"/>
      <c r="N480" s="339" t="n"/>
      <c r="O480" s="368" t="n"/>
      <c r="P480" s="334" t="n"/>
    </row>
    <row r="481">
      <c r="A481" s="334">
        <f>IFERROR(__xludf.DUMMYFUNCTION("""COMPUTED_VALUE"""),"yuw1")</f>
        <v/>
      </c>
      <c r="B481" s="334">
        <f>IFERROR(__xludf.DUMMYFUNCTION("""COMPUTED_VALUE"""),"2.5次元の誘惑")</f>
        <v/>
      </c>
      <c r="C481" s="334">
        <f>IFERROR(__xludf.DUMMYFUNCTION("""COMPUTED_VALUE"""),"1day")</f>
        <v/>
      </c>
      <c r="D481" s="334">
        <f>IFERROR(__xludf.DUMMYFUNCTION("""COMPUTED_VALUE"""),"event")</f>
        <v/>
      </c>
      <c r="E481" s="408">
        <f>IFERROR(__xludf.DUMMYFUNCTION("""COMPUTED_VALUE"""),"デイリー")</f>
        <v/>
      </c>
      <c r="F481" s="408">
        <f>IFERROR(__xludf.DUMMYFUNCTION("""COMPUTED_VALUE"""),"quest_event_yuw1_1day")</f>
        <v/>
      </c>
      <c r="G481" s="334">
        <f>IFERROR(__xludf.DUMMYFUNCTION("""COMPUTED_VALUE"""),"はじめての撮影会")</f>
        <v/>
      </c>
      <c r="H481" s="408">
        <f>IFERROR(__xludf.DUMMYFUNCTION("""COMPUTED_VALUE"""),"01")</f>
        <v/>
      </c>
      <c r="I481" s="334">
        <f>IFERROR(__xludf.DUMMYFUNCTION("""COMPUTED_VALUE"""),"event_yuw1_1day_00001")</f>
        <v/>
      </c>
      <c r="J481" s="334" t="n"/>
      <c r="K481" s="334">
        <f>IFERROR(__xludf.DUMMYFUNCTION("""COMPUTED_VALUE"""),"yuw1_1day_quest_select_cell")</f>
        <v/>
      </c>
      <c r="L481" s="334" t="n"/>
      <c r="M481" s="334" t="n"/>
      <c r="N481" s="339" t="n"/>
      <c r="O481" s="368" t="n"/>
      <c r="P481" s="334" t="n"/>
    </row>
    <row r="482">
      <c r="A482" s="334">
        <f>IFERROR(__xludf.DUMMYFUNCTION("""COMPUTED_VALUE"""),"yuw1")</f>
        <v/>
      </c>
      <c r="B482" s="334">
        <f>IFERROR(__xludf.DUMMYFUNCTION("""COMPUTED_VALUE"""),"2.5次元の誘惑")</f>
        <v/>
      </c>
      <c r="C482" s="334">
        <f>IFERROR(__xludf.DUMMYFUNCTION("""COMPUTED_VALUE"""),"charaget01")</f>
        <v/>
      </c>
      <c r="D482" s="334">
        <f>IFERROR(__xludf.DUMMYFUNCTION("""COMPUTED_VALUE"""),"event")</f>
        <v/>
      </c>
      <c r="E482" s="408">
        <f>IFERROR(__xludf.DUMMYFUNCTION("""COMPUTED_VALUE"""),"ストーリー")</f>
        <v/>
      </c>
      <c r="F482" s="408">
        <f>IFERROR(__xludf.DUMMYFUNCTION("""COMPUTED_VALUE"""),"quest_event_yuw1_charaget01")</f>
        <v/>
      </c>
      <c r="G482" s="334">
        <f>IFERROR(__xludf.DUMMYFUNCTION("""COMPUTED_VALUE"""),"コスプレをしに来たんだよ")</f>
        <v/>
      </c>
      <c r="H482" s="408">
        <f>IFERROR(__xludf.DUMMYFUNCTION("""COMPUTED_VALUE"""),"01")</f>
        <v/>
      </c>
      <c r="I482" s="334">
        <f>IFERROR(__xludf.DUMMYFUNCTION("""COMPUTED_VALUE"""),"event_yuw1_charaget01_00001")</f>
        <v/>
      </c>
      <c r="J482" s="334" t="n"/>
      <c r="K482" s="334">
        <f>IFERROR(__xludf.DUMMYFUNCTION("""COMPUTED_VALUE"""),"yuw1_charaget01_quest_select_cell")</f>
        <v/>
      </c>
      <c r="L482" s="334" t="n"/>
      <c r="M482" s="334" t="n"/>
      <c r="N482" s="339" t="n"/>
      <c r="O482" s="368" t="n"/>
      <c r="P482" s="334" t="n"/>
    </row>
    <row r="483">
      <c r="A483" s="334">
        <f>IFERROR(__xludf.DUMMYFUNCTION("""COMPUTED_VALUE"""),"yuw1")</f>
        <v/>
      </c>
      <c r="B483" s="334">
        <f>IFERROR(__xludf.DUMMYFUNCTION("""COMPUTED_VALUE"""),"2.5次元の誘惑")</f>
        <v/>
      </c>
      <c r="C483" s="334">
        <f>IFERROR(__xludf.DUMMYFUNCTION("""COMPUTED_VALUE"""),"charaget01")</f>
        <v/>
      </c>
      <c r="D483" s="334">
        <f>IFERROR(__xludf.DUMMYFUNCTION("""COMPUTED_VALUE"""),"event")</f>
        <v/>
      </c>
      <c r="E483" s="408">
        <f>IFERROR(__xludf.DUMMYFUNCTION("""COMPUTED_VALUE"""),"ストーリー")</f>
        <v/>
      </c>
      <c r="F483" s="408">
        <f>IFERROR(__xludf.DUMMYFUNCTION("""COMPUTED_VALUE"""),"quest_event_yuw1_charaget01")</f>
        <v/>
      </c>
      <c r="G483" s="334">
        <f>IFERROR(__xludf.DUMMYFUNCTION("""COMPUTED_VALUE"""),"コスプレをしに来たんだよ")</f>
        <v/>
      </c>
      <c r="H483" s="408">
        <f>IFERROR(__xludf.DUMMYFUNCTION("""COMPUTED_VALUE"""),"02")</f>
        <v/>
      </c>
      <c r="I483" s="334">
        <f>IFERROR(__xludf.DUMMYFUNCTION("""COMPUTED_VALUE"""),"event_yuw1_charaget01_00002")</f>
        <v/>
      </c>
      <c r="J483" s="334" t="n"/>
      <c r="K483" s="334" t="n"/>
      <c r="L483" s="334" t="n"/>
      <c r="M483" s="334" t="n"/>
      <c r="N483" s="339" t="n"/>
      <c r="O483" s="368" t="n"/>
      <c r="P483" s="334" t="n"/>
    </row>
    <row r="484">
      <c r="A484" s="334">
        <f>IFERROR(__xludf.DUMMYFUNCTION("""COMPUTED_VALUE"""),"yuw1")</f>
        <v/>
      </c>
      <c r="B484" s="334">
        <f>IFERROR(__xludf.DUMMYFUNCTION("""COMPUTED_VALUE"""),"2.5次元の誘惑")</f>
        <v/>
      </c>
      <c r="C484" s="334">
        <f>IFERROR(__xludf.DUMMYFUNCTION("""COMPUTED_VALUE"""),"charaget01")</f>
        <v/>
      </c>
      <c r="D484" s="334">
        <f>IFERROR(__xludf.DUMMYFUNCTION("""COMPUTED_VALUE"""),"event")</f>
        <v/>
      </c>
      <c r="E484" s="408">
        <f>IFERROR(__xludf.DUMMYFUNCTION("""COMPUTED_VALUE"""),"ストーリー")</f>
        <v/>
      </c>
      <c r="F484" s="408">
        <f>IFERROR(__xludf.DUMMYFUNCTION("""COMPUTED_VALUE"""),"quest_event_yuw1_charaget01")</f>
        <v/>
      </c>
      <c r="G484" s="334">
        <f>IFERROR(__xludf.DUMMYFUNCTION("""COMPUTED_VALUE"""),"コスプレをしに来たんだよ")</f>
        <v/>
      </c>
      <c r="H484" s="408">
        <f>IFERROR(__xludf.DUMMYFUNCTION("""COMPUTED_VALUE"""),"03")</f>
        <v/>
      </c>
      <c r="I484" s="334">
        <f>IFERROR(__xludf.DUMMYFUNCTION("""COMPUTED_VALUE"""),"event_yuw1_charaget01_00003")</f>
        <v/>
      </c>
      <c r="J484" s="334" t="n"/>
      <c r="K484" s="334" t="n"/>
      <c r="L484" s="334" t="n"/>
      <c r="M484" s="334" t="n"/>
      <c r="N484" s="339" t="n"/>
      <c r="O484" s="368" t="n"/>
      <c r="P484" s="334" t="n"/>
    </row>
    <row r="485">
      <c r="A485" s="334">
        <f>IFERROR(__xludf.DUMMYFUNCTION("""COMPUTED_VALUE"""),"yuw1")</f>
        <v/>
      </c>
      <c r="B485" s="334">
        <f>IFERROR(__xludf.DUMMYFUNCTION("""COMPUTED_VALUE"""),"2.5次元の誘惑")</f>
        <v/>
      </c>
      <c r="C485" s="334">
        <f>IFERROR(__xludf.DUMMYFUNCTION("""COMPUTED_VALUE"""),"charaget01")</f>
        <v/>
      </c>
      <c r="D485" s="334">
        <f>IFERROR(__xludf.DUMMYFUNCTION("""COMPUTED_VALUE"""),"event")</f>
        <v/>
      </c>
      <c r="E485" s="408">
        <f>IFERROR(__xludf.DUMMYFUNCTION("""COMPUTED_VALUE"""),"ストーリー")</f>
        <v/>
      </c>
      <c r="F485" s="408">
        <f>IFERROR(__xludf.DUMMYFUNCTION("""COMPUTED_VALUE"""),"quest_event_yuw1_charaget01")</f>
        <v/>
      </c>
      <c r="G485" s="334">
        <f>IFERROR(__xludf.DUMMYFUNCTION("""COMPUTED_VALUE"""),"コスプレをしに来たんだよ")</f>
        <v/>
      </c>
      <c r="H485" s="408">
        <f>IFERROR(__xludf.DUMMYFUNCTION("""COMPUTED_VALUE"""),"04")</f>
        <v/>
      </c>
      <c r="I485" s="334">
        <f>IFERROR(__xludf.DUMMYFUNCTION("""COMPUTED_VALUE"""),"event_yuw1_charaget01_00004")</f>
        <v/>
      </c>
      <c r="J485" s="334" t="n"/>
      <c r="K485" s="334" t="n"/>
      <c r="L485" s="334" t="n"/>
      <c r="M485" s="334" t="n"/>
      <c r="N485" s="339" t="n"/>
      <c r="O485" s="368" t="n"/>
      <c r="P485" s="334" t="n"/>
    </row>
    <row r="486">
      <c r="A486" s="334">
        <f>IFERROR(__xludf.DUMMYFUNCTION("""COMPUTED_VALUE"""),"yuw1")</f>
        <v/>
      </c>
      <c r="B486" s="334">
        <f>IFERROR(__xludf.DUMMYFUNCTION("""COMPUTED_VALUE"""),"2.5次元の誘惑")</f>
        <v/>
      </c>
      <c r="C486" s="334">
        <f>IFERROR(__xludf.DUMMYFUNCTION("""COMPUTED_VALUE"""),"charaget01")</f>
        <v/>
      </c>
      <c r="D486" s="334">
        <f>IFERROR(__xludf.DUMMYFUNCTION("""COMPUTED_VALUE"""),"event")</f>
        <v/>
      </c>
      <c r="E486" s="408">
        <f>IFERROR(__xludf.DUMMYFUNCTION("""COMPUTED_VALUE"""),"ストーリー")</f>
        <v/>
      </c>
      <c r="F486" s="408">
        <f>IFERROR(__xludf.DUMMYFUNCTION("""COMPUTED_VALUE"""),"quest_event_yuw1_charaget01")</f>
        <v/>
      </c>
      <c r="G486" s="334">
        <f>IFERROR(__xludf.DUMMYFUNCTION("""COMPUTED_VALUE"""),"コスプレをしに来たんだよ")</f>
        <v/>
      </c>
      <c r="H486" s="408">
        <f>IFERROR(__xludf.DUMMYFUNCTION("""COMPUTED_VALUE"""),"05")</f>
        <v/>
      </c>
      <c r="I486" s="334">
        <f>IFERROR(__xludf.DUMMYFUNCTION("""COMPUTED_VALUE"""),"event_yuw1_charaget01_00005")</f>
        <v/>
      </c>
      <c r="J486" s="334" t="n"/>
      <c r="K486" s="334" t="n"/>
      <c r="L486" s="334" t="n"/>
      <c r="M486" s="334" t="n"/>
      <c r="N486" s="339" t="n"/>
      <c r="O486" s="368" t="n"/>
      <c r="P486" s="334" t="n"/>
    </row>
    <row r="487">
      <c r="A487" s="334">
        <f>IFERROR(__xludf.DUMMYFUNCTION("""COMPUTED_VALUE"""),"yuw1")</f>
        <v/>
      </c>
      <c r="B487" s="334">
        <f>IFERROR(__xludf.DUMMYFUNCTION("""COMPUTED_VALUE"""),"2.5次元の誘惑")</f>
        <v/>
      </c>
      <c r="C487" s="334">
        <f>IFERROR(__xludf.DUMMYFUNCTION("""COMPUTED_VALUE"""),"charaget01")</f>
        <v/>
      </c>
      <c r="D487" s="334">
        <f>IFERROR(__xludf.DUMMYFUNCTION("""COMPUTED_VALUE"""),"event")</f>
        <v/>
      </c>
      <c r="E487" s="408">
        <f>IFERROR(__xludf.DUMMYFUNCTION("""COMPUTED_VALUE"""),"ストーリー")</f>
        <v/>
      </c>
      <c r="F487" s="408">
        <f>IFERROR(__xludf.DUMMYFUNCTION("""COMPUTED_VALUE"""),"quest_event_yuw1_charaget01")</f>
        <v/>
      </c>
      <c r="G487" s="334">
        <f>IFERROR(__xludf.DUMMYFUNCTION("""COMPUTED_VALUE"""),"コスプレをしに来たんだよ")</f>
        <v/>
      </c>
      <c r="H487" s="408">
        <f>IFERROR(__xludf.DUMMYFUNCTION("""COMPUTED_VALUE"""),"06")</f>
        <v/>
      </c>
      <c r="I487" s="334">
        <f>IFERROR(__xludf.DUMMYFUNCTION("""COMPUTED_VALUE"""),"event_yuw1_charaget01_00006")</f>
        <v/>
      </c>
      <c r="J487" s="334" t="n"/>
      <c r="K487" s="334" t="n"/>
      <c r="L487" s="334" t="n"/>
      <c r="M487" s="334" t="n"/>
      <c r="N487" s="339" t="n"/>
      <c r="O487" s="368" t="n"/>
      <c r="P487" s="334" t="n"/>
    </row>
    <row r="488">
      <c r="A488" s="334">
        <f>IFERROR(__xludf.DUMMYFUNCTION("""COMPUTED_VALUE"""),"yuw1")</f>
        <v/>
      </c>
      <c r="B488" s="334">
        <f>IFERROR(__xludf.DUMMYFUNCTION("""COMPUTED_VALUE"""),"2.5次元の誘惑")</f>
        <v/>
      </c>
      <c r="C488" s="334">
        <f>IFERROR(__xludf.DUMMYFUNCTION("""COMPUTED_VALUE"""),"charaget01")</f>
        <v/>
      </c>
      <c r="D488" s="334">
        <f>IFERROR(__xludf.DUMMYFUNCTION("""COMPUTED_VALUE"""),"event")</f>
        <v/>
      </c>
      <c r="E488" s="408">
        <f>IFERROR(__xludf.DUMMYFUNCTION("""COMPUTED_VALUE"""),"ストーリー")</f>
        <v/>
      </c>
      <c r="F488" s="408">
        <f>IFERROR(__xludf.DUMMYFUNCTION("""COMPUTED_VALUE"""),"quest_event_yuw1_charaget01")</f>
        <v/>
      </c>
      <c r="G488" s="334">
        <f>IFERROR(__xludf.DUMMYFUNCTION("""COMPUTED_VALUE"""),"コスプレをしに来たんだよ")</f>
        <v/>
      </c>
      <c r="H488" s="408">
        <f>IFERROR(__xludf.DUMMYFUNCTION("""COMPUTED_VALUE"""),"07")</f>
        <v/>
      </c>
      <c r="I488" s="334">
        <f>IFERROR(__xludf.DUMMYFUNCTION("""COMPUTED_VALUE"""),"event_yuw1_charaget01_00007")</f>
        <v/>
      </c>
      <c r="J488" s="334" t="n"/>
      <c r="K488" s="334" t="n"/>
      <c r="L488" s="334" t="n"/>
      <c r="M488" s="334" t="n"/>
      <c r="N488" s="339" t="n"/>
      <c r="O488" s="368" t="n"/>
      <c r="P488" s="334" t="n"/>
    </row>
    <row r="489">
      <c r="A489" s="334">
        <f>IFERROR(__xludf.DUMMYFUNCTION("""COMPUTED_VALUE"""),"yuw1")</f>
        <v/>
      </c>
      <c r="B489" s="334">
        <f>IFERROR(__xludf.DUMMYFUNCTION("""COMPUTED_VALUE"""),"2.5次元の誘惑")</f>
        <v/>
      </c>
      <c r="C489" s="334">
        <f>IFERROR(__xludf.DUMMYFUNCTION("""COMPUTED_VALUE"""),"charaget01")</f>
        <v/>
      </c>
      <c r="D489" s="334">
        <f>IFERROR(__xludf.DUMMYFUNCTION("""COMPUTED_VALUE"""),"event")</f>
        <v/>
      </c>
      <c r="E489" s="408">
        <f>IFERROR(__xludf.DUMMYFUNCTION("""COMPUTED_VALUE"""),"ストーリー")</f>
        <v/>
      </c>
      <c r="F489" s="408">
        <f>IFERROR(__xludf.DUMMYFUNCTION("""COMPUTED_VALUE"""),"quest_event_yuw1_charaget01")</f>
        <v/>
      </c>
      <c r="G489" s="334">
        <f>IFERROR(__xludf.DUMMYFUNCTION("""COMPUTED_VALUE"""),"コスプレをしに来たんだよ")</f>
        <v/>
      </c>
      <c r="H489" s="408">
        <f>IFERROR(__xludf.DUMMYFUNCTION("""COMPUTED_VALUE"""),"08")</f>
        <v/>
      </c>
      <c r="I489" s="334">
        <f>IFERROR(__xludf.DUMMYFUNCTION("""COMPUTED_VALUE"""),"event_yuw1_charaget01_00008")</f>
        <v/>
      </c>
      <c r="J489" s="334" t="n"/>
      <c r="K489" s="334" t="n"/>
      <c r="L489" s="334" t="n"/>
      <c r="M489" s="334" t="n"/>
      <c r="N489" s="339" t="n"/>
      <c r="O489" s="368" t="n"/>
      <c r="P489" s="334" t="n"/>
    </row>
    <row r="490">
      <c r="A490" s="334">
        <f>IFERROR(__xludf.DUMMYFUNCTION("""COMPUTED_VALUE"""),"yuw1")</f>
        <v/>
      </c>
      <c r="B490" s="334">
        <f>IFERROR(__xludf.DUMMYFUNCTION("""COMPUTED_VALUE"""),"2.5次元の誘惑")</f>
        <v/>
      </c>
      <c r="C490" s="334">
        <f>IFERROR(__xludf.DUMMYFUNCTION("""COMPUTED_VALUE"""),"charaget02")</f>
        <v/>
      </c>
      <c r="D490" s="334">
        <f>IFERROR(__xludf.DUMMYFUNCTION("""COMPUTED_VALUE"""),"event")</f>
        <v/>
      </c>
      <c r="E490" s="408">
        <f>IFERROR(__xludf.DUMMYFUNCTION("""COMPUTED_VALUE"""),"ストーリー")</f>
        <v/>
      </c>
      <c r="F490" s="408">
        <f>IFERROR(__xludf.DUMMYFUNCTION("""COMPUTED_VALUE"""),"quest_event_yuw1_charaget02")</f>
        <v/>
      </c>
      <c r="G490" s="334">
        <f>IFERROR(__xludf.DUMMYFUNCTION("""COMPUTED_VALUE"""),"俺はずっとオタクなだけです")</f>
        <v/>
      </c>
      <c r="H490" s="408">
        <f>IFERROR(__xludf.DUMMYFUNCTION("""COMPUTED_VALUE"""),"01")</f>
        <v/>
      </c>
      <c r="I490" s="334">
        <f>IFERROR(__xludf.DUMMYFUNCTION("""COMPUTED_VALUE"""),"event_yuw1_charaget02_00001")</f>
        <v/>
      </c>
      <c r="J490" s="334" t="n"/>
      <c r="K490" s="334">
        <f>IFERROR(__xludf.DUMMYFUNCTION("""COMPUTED_VALUE"""),"yuw1_charaget02_quest_select_cell")</f>
        <v/>
      </c>
      <c r="L490" s="334" t="n"/>
      <c r="M490" s="334" t="n"/>
      <c r="N490" s="339" t="n"/>
      <c r="O490" s="368" t="n"/>
      <c r="P490" s="334" t="n"/>
    </row>
    <row r="491">
      <c r="A491" s="334">
        <f>IFERROR(__xludf.DUMMYFUNCTION("""COMPUTED_VALUE"""),"yuw1")</f>
        <v/>
      </c>
      <c r="B491" s="334">
        <f>IFERROR(__xludf.DUMMYFUNCTION("""COMPUTED_VALUE"""),"2.5次元の誘惑")</f>
        <v/>
      </c>
      <c r="C491" s="334">
        <f>IFERROR(__xludf.DUMMYFUNCTION("""COMPUTED_VALUE"""),"charaget02")</f>
        <v/>
      </c>
      <c r="D491" s="334">
        <f>IFERROR(__xludf.DUMMYFUNCTION("""COMPUTED_VALUE"""),"event")</f>
        <v/>
      </c>
      <c r="E491" s="408">
        <f>IFERROR(__xludf.DUMMYFUNCTION("""COMPUTED_VALUE"""),"ストーリー")</f>
        <v/>
      </c>
      <c r="F491" s="408">
        <f>IFERROR(__xludf.DUMMYFUNCTION("""COMPUTED_VALUE"""),"quest_event_yuw1_charaget02")</f>
        <v/>
      </c>
      <c r="G491" s="334">
        <f>IFERROR(__xludf.DUMMYFUNCTION("""COMPUTED_VALUE"""),"俺はずっとオタクなだけです")</f>
        <v/>
      </c>
      <c r="H491" s="408">
        <f>IFERROR(__xludf.DUMMYFUNCTION("""COMPUTED_VALUE"""),"02")</f>
        <v/>
      </c>
      <c r="I491" s="334">
        <f>IFERROR(__xludf.DUMMYFUNCTION("""COMPUTED_VALUE"""),"event_yuw1_charaget02_00002")</f>
        <v/>
      </c>
      <c r="J491" s="334" t="n"/>
      <c r="K491" s="334" t="n"/>
      <c r="L491" s="334" t="n"/>
      <c r="M491" s="334" t="n"/>
      <c r="N491" s="339" t="n"/>
      <c r="O491" s="368" t="n"/>
      <c r="P491" s="334" t="n"/>
    </row>
    <row r="492">
      <c r="A492" s="334">
        <f>IFERROR(__xludf.DUMMYFUNCTION("""COMPUTED_VALUE"""),"yuw1")</f>
        <v/>
      </c>
      <c r="B492" s="334">
        <f>IFERROR(__xludf.DUMMYFUNCTION("""COMPUTED_VALUE"""),"2.5次元の誘惑")</f>
        <v/>
      </c>
      <c r="C492" s="334">
        <f>IFERROR(__xludf.DUMMYFUNCTION("""COMPUTED_VALUE"""),"charaget02")</f>
        <v/>
      </c>
      <c r="D492" s="334">
        <f>IFERROR(__xludf.DUMMYFUNCTION("""COMPUTED_VALUE"""),"event")</f>
        <v/>
      </c>
      <c r="E492" s="408">
        <f>IFERROR(__xludf.DUMMYFUNCTION("""COMPUTED_VALUE"""),"ストーリー")</f>
        <v/>
      </c>
      <c r="F492" s="408">
        <f>IFERROR(__xludf.DUMMYFUNCTION("""COMPUTED_VALUE"""),"quest_event_yuw1_charaget02")</f>
        <v/>
      </c>
      <c r="G492" s="334">
        <f>IFERROR(__xludf.DUMMYFUNCTION("""COMPUTED_VALUE"""),"俺はずっとオタクなだけです")</f>
        <v/>
      </c>
      <c r="H492" s="408">
        <f>IFERROR(__xludf.DUMMYFUNCTION("""COMPUTED_VALUE"""),"03")</f>
        <v/>
      </c>
      <c r="I492" s="334">
        <f>IFERROR(__xludf.DUMMYFUNCTION("""COMPUTED_VALUE"""),"event_yuw1_charaget02_00003")</f>
        <v/>
      </c>
      <c r="J492" s="334" t="n"/>
      <c r="K492" s="334" t="n"/>
      <c r="L492" s="334" t="n"/>
      <c r="M492" s="334" t="n"/>
      <c r="N492" s="339" t="n"/>
      <c r="O492" s="368" t="n"/>
      <c r="P492" s="334" t="n"/>
    </row>
    <row r="493">
      <c r="A493" s="334">
        <f>IFERROR(__xludf.DUMMYFUNCTION("""COMPUTED_VALUE"""),"yuw1")</f>
        <v/>
      </c>
      <c r="B493" s="334">
        <f>IFERROR(__xludf.DUMMYFUNCTION("""COMPUTED_VALUE"""),"2.5次元の誘惑")</f>
        <v/>
      </c>
      <c r="C493" s="334">
        <f>IFERROR(__xludf.DUMMYFUNCTION("""COMPUTED_VALUE"""),"charaget02")</f>
        <v/>
      </c>
      <c r="D493" s="334">
        <f>IFERROR(__xludf.DUMMYFUNCTION("""COMPUTED_VALUE"""),"event")</f>
        <v/>
      </c>
      <c r="E493" s="408">
        <f>IFERROR(__xludf.DUMMYFUNCTION("""COMPUTED_VALUE"""),"ストーリー")</f>
        <v/>
      </c>
      <c r="F493" s="408">
        <f>IFERROR(__xludf.DUMMYFUNCTION("""COMPUTED_VALUE"""),"quest_event_yuw1_charaget02")</f>
        <v/>
      </c>
      <c r="G493" s="334">
        <f>IFERROR(__xludf.DUMMYFUNCTION("""COMPUTED_VALUE"""),"俺はずっとオタクなだけです")</f>
        <v/>
      </c>
      <c r="H493" s="408">
        <f>IFERROR(__xludf.DUMMYFUNCTION("""COMPUTED_VALUE"""),"04")</f>
        <v/>
      </c>
      <c r="I493" s="334">
        <f>IFERROR(__xludf.DUMMYFUNCTION("""COMPUTED_VALUE"""),"event_yuw1_charaget02_00004")</f>
        <v/>
      </c>
      <c r="J493" s="334" t="n"/>
      <c r="K493" s="334" t="n"/>
      <c r="L493" s="334" t="n"/>
      <c r="M493" s="334" t="n"/>
      <c r="N493" s="339" t="n"/>
      <c r="O493" s="368" t="n"/>
      <c r="P493" s="334" t="n"/>
    </row>
    <row r="494">
      <c r="A494" s="334">
        <f>IFERROR(__xludf.DUMMYFUNCTION("""COMPUTED_VALUE"""),"yuw1")</f>
        <v/>
      </c>
      <c r="B494" s="334">
        <f>IFERROR(__xludf.DUMMYFUNCTION("""COMPUTED_VALUE"""),"2.5次元の誘惑")</f>
        <v/>
      </c>
      <c r="C494" s="334">
        <f>IFERROR(__xludf.DUMMYFUNCTION("""COMPUTED_VALUE"""),"charaget02")</f>
        <v/>
      </c>
      <c r="D494" s="334">
        <f>IFERROR(__xludf.DUMMYFUNCTION("""COMPUTED_VALUE"""),"event")</f>
        <v/>
      </c>
      <c r="E494" s="408">
        <f>IFERROR(__xludf.DUMMYFUNCTION("""COMPUTED_VALUE"""),"ストーリー")</f>
        <v/>
      </c>
      <c r="F494" s="408">
        <f>IFERROR(__xludf.DUMMYFUNCTION("""COMPUTED_VALUE"""),"quest_event_yuw1_charaget02")</f>
        <v/>
      </c>
      <c r="G494" s="334">
        <f>IFERROR(__xludf.DUMMYFUNCTION("""COMPUTED_VALUE"""),"俺はずっとオタクなだけです")</f>
        <v/>
      </c>
      <c r="H494" s="408">
        <f>IFERROR(__xludf.DUMMYFUNCTION("""COMPUTED_VALUE"""),"05")</f>
        <v/>
      </c>
      <c r="I494" s="334">
        <f>IFERROR(__xludf.DUMMYFUNCTION("""COMPUTED_VALUE"""),"event_yuw1_charaget02_00005")</f>
        <v/>
      </c>
      <c r="J494" s="334" t="n"/>
      <c r="K494" s="334" t="n"/>
      <c r="L494" s="334" t="n"/>
      <c r="M494" s="334" t="n"/>
      <c r="N494" s="339" t="n"/>
      <c r="O494" s="368" t="n"/>
      <c r="P494" s="334" t="n"/>
    </row>
    <row r="495">
      <c r="A495" s="334">
        <f>IFERROR(__xludf.DUMMYFUNCTION("""COMPUTED_VALUE"""),"yuw1")</f>
        <v/>
      </c>
      <c r="B495" s="334">
        <f>IFERROR(__xludf.DUMMYFUNCTION("""COMPUTED_VALUE"""),"2.5次元の誘惑")</f>
        <v/>
      </c>
      <c r="C495" s="334">
        <f>IFERROR(__xludf.DUMMYFUNCTION("""COMPUTED_VALUE"""),"charaget02")</f>
        <v/>
      </c>
      <c r="D495" s="334">
        <f>IFERROR(__xludf.DUMMYFUNCTION("""COMPUTED_VALUE"""),"event")</f>
        <v/>
      </c>
      <c r="E495" s="408">
        <f>IFERROR(__xludf.DUMMYFUNCTION("""COMPUTED_VALUE"""),"ストーリー")</f>
        <v/>
      </c>
      <c r="F495" s="408">
        <f>IFERROR(__xludf.DUMMYFUNCTION("""COMPUTED_VALUE"""),"quest_event_yuw1_charaget02")</f>
        <v/>
      </c>
      <c r="G495" s="334">
        <f>IFERROR(__xludf.DUMMYFUNCTION("""COMPUTED_VALUE"""),"俺はずっとオタクなだけです")</f>
        <v/>
      </c>
      <c r="H495" s="408">
        <f>IFERROR(__xludf.DUMMYFUNCTION("""COMPUTED_VALUE"""),"06")</f>
        <v/>
      </c>
      <c r="I495" s="334">
        <f>IFERROR(__xludf.DUMMYFUNCTION("""COMPUTED_VALUE"""),"event_yuw1_charaget02_00006")</f>
        <v/>
      </c>
      <c r="J495" s="334" t="n"/>
      <c r="K495" s="334" t="n"/>
      <c r="L495" s="334" t="n"/>
      <c r="M495" s="334" t="n"/>
      <c r="N495" s="339" t="n"/>
      <c r="O495" s="368" t="n"/>
      <c r="P495" s="334" t="n"/>
    </row>
    <row r="496">
      <c r="A496" s="334">
        <f>IFERROR(__xludf.DUMMYFUNCTION("""COMPUTED_VALUE"""),"yuw1")</f>
        <v/>
      </c>
      <c r="B496" s="334">
        <f>IFERROR(__xludf.DUMMYFUNCTION("""COMPUTED_VALUE"""),"2.5次元の誘惑")</f>
        <v/>
      </c>
      <c r="C496" s="334">
        <f>IFERROR(__xludf.DUMMYFUNCTION("""COMPUTED_VALUE"""),"charaget02")</f>
        <v/>
      </c>
      <c r="D496" s="334">
        <f>IFERROR(__xludf.DUMMYFUNCTION("""COMPUTED_VALUE"""),"event")</f>
        <v/>
      </c>
      <c r="E496" s="408">
        <f>IFERROR(__xludf.DUMMYFUNCTION("""COMPUTED_VALUE"""),"ストーリー")</f>
        <v/>
      </c>
      <c r="F496" s="408">
        <f>IFERROR(__xludf.DUMMYFUNCTION("""COMPUTED_VALUE"""),"quest_event_yuw1_charaget02")</f>
        <v/>
      </c>
      <c r="G496" s="334">
        <f>IFERROR(__xludf.DUMMYFUNCTION("""COMPUTED_VALUE"""),"俺はずっとオタクなだけです")</f>
        <v/>
      </c>
      <c r="H496" s="408">
        <f>IFERROR(__xludf.DUMMYFUNCTION("""COMPUTED_VALUE"""),"07")</f>
        <v/>
      </c>
      <c r="I496" s="334">
        <f>IFERROR(__xludf.DUMMYFUNCTION("""COMPUTED_VALUE"""),"event_yuw1_charaget02_00007")</f>
        <v/>
      </c>
      <c r="J496" s="334" t="n"/>
      <c r="K496" s="334" t="n"/>
      <c r="L496" s="334" t="n"/>
      <c r="M496" s="334" t="n"/>
      <c r="N496" s="339" t="n"/>
      <c r="O496" s="368" t="n"/>
      <c r="P496" s="334" t="n"/>
    </row>
    <row r="497">
      <c r="A497" s="334">
        <f>IFERROR(__xludf.DUMMYFUNCTION("""COMPUTED_VALUE"""),"yuw1")</f>
        <v/>
      </c>
      <c r="B497" s="334">
        <f>IFERROR(__xludf.DUMMYFUNCTION("""COMPUTED_VALUE"""),"2.5次元の誘惑")</f>
        <v/>
      </c>
      <c r="C497" s="334">
        <f>IFERROR(__xludf.DUMMYFUNCTION("""COMPUTED_VALUE"""),"charaget02")</f>
        <v/>
      </c>
      <c r="D497" s="334">
        <f>IFERROR(__xludf.DUMMYFUNCTION("""COMPUTED_VALUE"""),"event")</f>
        <v/>
      </c>
      <c r="E497" s="408">
        <f>IFERROR(__xludf.DUMMYFUNCTION("""COMPUTED_VALUE"""),"ストーリー")</f>
        <v/>
      </c>
      <c r="F497" s="408">
        <f>IFERROR(__xludf.DUMMYFUNCTION("""COMPUTED_VALUE"""),"quest_event_yuw1_charaget02")</f>
        <v/>
      </c>
      <c r="G497" s="334">
        <f>IFERROR(__xludf.DUMMYFUNCTION("""COMPUTED_VALUE"""),"俺はずっとオタクなだけです")</f>
        <v/>
      </c>
      <c r="H497" s="408">
        <f>IFERROR(__xludf.DUMMYFUNCTION("""COMPUTED_VALUE"""),"08")</f>
        <v/>
      </c>
      <c r="I497" s="334">
        <f>IFERROR(__xludf.DUMMYFUNCTION("""COMPUTED_VALUE"""),"event_yuw1_charaget02_00008")</f>
        <v/>
      </c>
      <c r="J497" s="334" t="n"/>
      <c r="K497" s="334" t="n"/>
      <c r="L497" s="334" t="n"/>
      <c r="M497" s="334" t="n"/>
      <c r="N497" s="339" t="n"/>
      <c r="O497" s="368" t="n"/>
      <c r="P497" s="334" t="n"/>
    </row>
    <row r="498">
      <c r="A498" s="334">
        <f>IFERROR(__xludf.DUMMYFUNCTION("""COMPUTED_VALUE"""),"yuw1")</f>
        <v/>
      </c>
      <c r="B498" s="334">
        <f>IFERROR(__xludf.DUMMYFUNCTION("""COMPUTED_VALUE"""),"2.5次元の誘惑")</f>
        <v/>
      </c>
      <c r="C498" s="334">
        <f>IFERROR(__xludf.DUMMYFUNCTION("""COMPUTED_VALUE"""),"challenge01")</f>
        <v/>
      </c>
      <c r="D498" s="334">
        <f>IFERROR(__xludf.DUMMYFUNCTION("""COMPUTED_VALUE"""),"event")</f>
        <v/>
      </c>
      <c r="E498" s="408">
        <f>IFERROR(__xludf.DUMMYFUNCTION("""COMPUTED_VALUE"""),"チャレンジ")</f>
        <v/>
      </c>
      <c r="F498" s="408">
        <f>IFERROR(__xludf.DUMMYFUNCTION("""COMPUTED_VALUE"""),"quest_event_yuw1_challenge01")</f>
        <v/>
      </c>
      <c r="G498" s="334">
        <f>IFERROR(__xludf.DUMMYFUNCTION("""COMPUTED_VALUE"""),"幸せです…")</f>
        <v/>
      </c>
      <c r="H498" s="408">
        <f>IFERROR(__xludf.DUMMYFUNCTION("""COMPUTED_VALUE"""),"01")</f>
        <v/>
      </c>
      <c r="I498" s="334">
        <f>IFERROR(__xludf.DUMMYFUNCTION("""COMPUTED_VALUE"""),"event_yuw1_challenge01_00001")</f>
        <v/>
      </c>
      <c r="J498" s="334" t="n"/>
      <c r="K498" s="334">
        <f>IFERROR(__xludf.DUMMYFUNCTION("""COMPUTED_VALUE"""),"yuw1_challenge01_quest_select_cell")</f>
        <v/>
      </c>
      <c r="L498" s="334" t="n"/>
      <c r="M498" s="334" t="n"/>
      <c r="N498" s="339" t="n"/>
      <c r="O498" s="368" t="n"/>
      <c r="P498" s="334" t="n"/>
    </row>
    <row r="499">
      <c r="A499" s="334">
        <f>IFERROR(__xludf.DUMMYFUNCTION("""COMPUTED_VALUE"""),"yuw1")</f>
        <v/>
      </c>
      <c r="B499" s="334">
        <f>IFERROR(__xludf.DUMMYFUNCTION("""COMPUTED_VALUE"""),"2.5次元の誘惑")</f>
        <v/>
      </c>
      <c r="C499" s="334">
        <f>IFERROR(__xludf.DUMMYFUNCTION("""COMPUTED_VALUE"""),"challenge01")</f>
        <v/>
      </c>
      <c r="D499" s="334">
        <f>IFERROR(__xludf.DUMMYFUNCTION("""COMPUTED_VALUE"""),"event")</f>
        <v/>
      </c>
      <c r="E499" s="408">
        <f>IFERROR(__xludf.DUMMYFUNCTION("""COMPUTED_VALUE"""),"チャレンジ")</f>
        <v/>
      </c>
      <c r="F499" s="408">
        <f>IFERROR(__xludf.DUMMYFUNCTION("""COMPUTED_VALUE"""),"quest_event_yuw1_challenge01")</f>
        <v/>
      </c>
      <c r="G499" s="334">
        <f>IFERROR(__xludf.DUMMYFUNCTION("""COMPUTED_VALUE"""),"幸せです…")</f>
        <v/>
      </c>
      <c r="H499" s="408">
        <f>IFERROR(__xludf.DUMMYFUNCTION("""COMPUTED_VALUE"""),"02")</f>
        <v/>
      </c>
      <c r="I499" s="334">
        <f>IFERROR(__xludf.DUMMYFUNCTION("""COMPUTED_VALUE"""),"event_yuw1_challenge01_00002")</f>
        <v/>
      </c>
      <c r="J499" s="334" t="n"/>
      <c r="K499" s="334" t="n"/>
      <c r="L499" s="334" t="n"/>
      <c r="M499" s="334" t="n"/>
      <c r="N499" s="339" t="n"/>
      <c r="O499" s="368" t="n"/>
      <c r="P499" s="334" t="n"/>
    </row>
    <row r="500">
      <c r="A500" s="334">
        <f>IFERROR(__xludf.DUMMYFUNCTION("""COMPUTED_VALUE"""),"yuw1")</f>
        <v/>
      </c>
      <c r="B500" s="334">
        <f>IFERROR(__xludf.DUMMYFUNCTION("""COMPUTED_VALUE"""),"2.5次元の誘惑")</f>
        <v/>
      </c>
      <c r="C500" s="334">
        <f>IFERROR(__xludf.DUMMYFUNCTION("""COMPUTED_VALUE"""),"challenge01")</f>
        <v/>
      </c>
      <c r="D500" s="334">
        <f>IFERROR(__xludf.DUMMYFUNCTION("""COMPUTED_VALUE"""),"event")</f>
        <v/>
      </c>
      <c r="E500" s="408">
        <f>IFERROR(__xludf.DUMMYFUNCTION("""COMPUTED_VALUE"""),"チャレンジ")</f>
        <v/>
      </c>
      <c r="F500" s="408">
        <f>IFERROR(__xludf.DUMMYFUNCTION("""COMPUTED_VALUE"""),"quest_event_yuw1_challenge01")</f>
        <v/>
      </c>
      <c r="G500" s="334">
        <f>IFERROR(__xludf.DUMMYFUNCTION("""COMPUTED_VALUE"""),"幸せです…")</f>
        <v/>
      </c>
      <c r="H500" s="408">
        <f>IFERROR(__xludf.DUMMYFUNCTION("""COMPUTED_VALUE"""),"03")</f>
        <v/>
      </c>
      <c r="I500" s="334">
        <f>IFERROR(__xludf.DUMMYFUNCTION("""COMPUTED_VALUE"""),"event_yuw1_challenge01_00003")</f>
        <v/>
      </c>
      <c r="J500" s="334" t="n"/>
      <c r="K500" s="334" t="n"/>
      <c r="L500" s="334" t="n"/>
      <c r="M500" s="334" t="n"/>
      <c r="N500" s="339" t="n"/>
      <c r="O500" s="368" t="n"/>
      <c r="P500" s="334" t="n"/>
    </row>
    <row r="501">
      <c r="A501" s="334">
        <f>IFERROR(__xludf.DUMMYFUNCTION("""COMPUTED_VALUE"""),"yuw1")</f>
        <v/>
      </c>
      <c r="B501" s="334">
        <f>IFERROR(__xludf.DUMMYFUNCTION("""COMPUTED_VALUE"""),"2.5次元の誘惑")</f>
        <v/>
      </c>
      <c r="C501" s="334">
        <f>IFERROR(__xludf.DUMMYFUNCTION("""COMPUTED_VALUE"""),"challenge01")</f>
        <v/>
      </c>
      <c r="D501" s="334">
        <f>IFERROR(__xludf.DUMMYFUNCTION("""COMPUTED_VALUE"""),"event")</f>
        <v/>
      </c>
      <c r="E501" s="408">
        <f>IFERROR(__xludf.DUMMYFUNCTION("""COMPUTED_VALUE"""),"チャレンジ")</f>
        <v/>
      </c>
      <c r="F501" s="408">
        <f>IFERROR(__xludf.DUMMYFUNCTION("""COMPUTED_VALUE"""),"quest_event_yuw1_challenge01")</f>
        <v/>
      </c>
      <c r="G501" s="334">
        <f>IFERROR(__xludf.DUMMYFUNCTION("""COMPUTED_VALUE"""),"幸せです…")</f>
        <v/>
      </c>
      <c r="H501" s="408">
        <f>IFERROR(__xludf.DUMMYFUNCTION("""COMPUTED_VALUE"""),"04")</f>
        <v/>
      </c>
      <c r="I501" s="334">
        <f>IFERROR(__xludf.DUMMYFUNCTION("""COMPUTED_VALUE"""),"event_yuw1_challenge01_00004")</f>
        <v/>
      </c>
      <c r="J501" s="334" t="n"/>
      <c r="K501" s="334" t="n"/>
      <c r="L501" s="334" t="n"/>
      <c r="M501" s="334" t="n"/>
      <c r="N501" s="339" t="n"/>
      <c r="O501" s="368" t="n"/>
      <c r="P501" s="334" t="n"/>
    </row>
    <row r="502">
      <c r="A502" s="334">
        <f>IFERROR(__xludf.DUMMYFUNCTION("""COMPUTED_VALUE"""),"yuw1")</f>
        <v/>
      </c>
      <c r="B502" s="334">
        <f>IFERROR(__xludf.DUMMYFUNCTION("""COMPUTED_VALUE"""),"2.5次元の誘惑")</f>
        <v/>
      </c>
      <c r="C502" s="334">
        <f>IFERROR(__xludf.DUMMYFUNCTION("""COMPUTED_VALUE"""),"savage")</f>
        <v/>
      </c>
      <c r="D502" s="334">
        <f>IFERROR(__xludf.DUMMYFUNCTION("""COMPUTED_VALUE"""),"event")</f>
        <v/>
      </c>
      <c r="E502" s="408">
        <f>IFERROR(__xludf.DUMMYFUNCTION("""COMPUTED_VALUE"""),"高難易度")</f>
        <v/>
      </c>
      <c r="F502" s="408">
        <f>IFERROR(__xludf.DUMMYFUNCTION("""COMPUTED_VALUE"""),"quest_event_yuw1_savage")</f>
        <v/>
      </c>
      <c r="G502" s="334">
        <f>IFERROR(__xludf.DUMMYFUNCTION("""COMPUTED_VALUE"""),"これがこの世界の頂上")</f>
        <v/>
      </c>
      <c r="H502" s="408">
        <f>IFERROR(__xludf.DUMMYFUNCTION("""COMPUTED_VALUE"""),"01")</f>
        <v/>
      </c>
      <c r="I502" s="334">
        <f>IFERROR(__xludf.DUMMYFUNCTION("""COMPUTED_VALUE"""),"event_yuw1_savage_00001")</f>
        <v/>
      </c>
      <c r="J502" s="334" t="n"/>
      <c r="K502" s="334">
        <f>IFERROR(__xludf.DUMMYFUNCTION("""COMPUTED_VALUE"""),"yuw1_savage_quest_select_cell")</f>
        <v/>
      </c>
      <c r="L502" s="334" t="n"/>
      <c r="M502" s="334" t="n"/>
      <c r="N502" s="339" t="n"/>
      <c r="O502" s="368" t="n"/>
      <c r="P502" s="334" t="n"/>
    </row>
    <row r="503">
      <c r="A503" s="334">
        <f>IFERROR(__xludf.DUMMYFUNCTION("""COMPUTED_VALUE"""),"yuw1")</f>
        <v/>
      </c>
      <c r="B503" s="334">
        <f>IFERROR(__xludf.DUMMYFUNCTION("""COMPUTED_VALUE"""),"2.5次元の誘惑")</f>
        <v/>
      </c>
      <c r="C503" s="334">
        <f>IFERROR(__xludf.DUMMYFUNCTION("""COMPUTED_VALUE"""),"savage")</f>
        <v/>
      </c>
      <c r="D503" s="334">
        <f>IFERROR(__xludf.DUMMYFUNCTION("""COMPUTED_VALUE"""),"event")</f>
        <v/>
      </c>
      <c r="E503" s="408">
        <f>IFERROR(__xludf.DUMMYFUNCTION("""COMPUTED_VALUE"""),"高難易度")</f>
        <v/>
      </c>
      <c r="F503" s="408">
        <f>IFERROR(__xludf.DUMMYFUNCTION("""COMPUTED_VALUE"""),"quest_event_yuw1_savage")</f>
        <v/>
      </c>
      <c r="G503" s="334">
        <f>IFERROR(__xludf.DUMMYFUNCTION("""COMPUTED_VALUE"""),"これがこの世界の頂上")</f>
        <v/>
      </c>
      <c r="H503" s="408">
        <f>IFERROR(__xludf.DUMMYFUNCTION("""COMPUTED_VALUE"""),"02")</f>
        <v/>
      </c>
      <c r="I503" s="334">
        <f>IFERROR(__xludf.DUMMYFUNCTION("""COMPUTED_VALUE"""),"event_yuw1_savage_00002")</f>
        <v/>
      </c>
      <c r="J503" s="334" t="n"/>
      <c r="K503" s="334" t="n"/>
      <c r="L503" s="334" t="n"/>
      <c r="M503" s="334" t="n"/>
      <c r="N503" s="339" t="n"/>
      <c r="O503" s="368" t="n"/>
      <c r="P503" s="334" t="n"/>
    </row>
    <row r="504">
      <c r="A504" s="334">
        <f>IFERROR(__xludf.DUMMYFUNCTION("""COMPUTED_VALUE"""),"yuw1")</f>
        <v/>
      </c>
      <c r="B504" s="334">
        <f>IFERROR(__xludf.DUMMYFUNCTION("""COMPUTED_VALUE"""),"2.5次元の誘惑")</f>
        <v/>
      </c>
      <c r="C504" s="334">
        <f>IFERROR(__xludf.DUMMYFUNCTION("""COMPUTED_VALUE"""),"savage")</f>
        <v/>
      </c>
      <c r="D504" s="334">
        <f>IFERROR(__xludf.DUMMYFUNCTION("""COMPUTED_VALUE"""),"event")</f>
        <v/>
      </c>
      <c r="E504" s="408">
        <f>IFERROR(__xludf.DUMMYFUNCTION("""COMPUTED_VALUE"""),"高難易度")</f>
        <v/>
      </c>
      <c r="F504" s="408">
        <f>IFERROR(__xludf.DUMMYFUNCTION("""COMPUTED_VALUE"""),"quest_event_yuw1_savage")</f>
        <v/>
      </c>
      <c r="G504" s="334">
        <f>IFERROR(__xludf.DUMMYFUNCTION("""COMPUTED_VALUE"""),"これがこの世界の頂上")</f>
        <v/>
      </c>
      <c r="H504" s="408">
        <f>IFERROR(__xludf.DUMMYFUNCTION("""COMPUTED_VALUE"""),"03")</f>
        <v/>
      </c>
      <c r="I504" s="334">
        <f>IFERROR(__xludf.DUMMYFUNCTION("""COMPUTED_VALUE"""),"event_yuw1_savage_00003")</f>
        <v/>
      </c>
      <c r="J504" s="334" t="n"/>
      <c r="K504" s="334" t="n"/>
      <c r="L504" s="334" t="n"/>
      <c r="M504" s="334" t="n"/>
      <c r="N504" s="339" t="n"/>
      <c r="O504" s="368" t="n"/>
      <c r="P504" s="334" t="n"/>
    </row>
    <row r="505">
      <c r="A505" s="334">
        <f>IFERROR(__xludf.DUMMYFUNCTION("""COMPUTED_VALUE"""),"yuw1")</f>
        <v/>
      </c>
      <c r="B505" s="334">
        <f>IFERROR(__xludf.DUMMYFUNCTION("""COMPUTED_VALUE"""),"2.5次元の誘惑")</f>
        <v/>
      </c>
      <c r="C505" s="334">
        <f>IFERROR(__xludf.DUMMYFUNCTION("""COMPUTED_VALUE"""),"savage02")</f>
        <v/>
      </c>
      <c r="D505" s="334">
        <f>IFERROR(__xludf.DUMMYFUNCTION("""COMPUTED_VALUE"""),"event")</f>
        <v/>
      </c>
      <c r="E505" s="408">
        <f>IFERROR(__xludf.DUMMYFUNCTION("""COMPUTED_VALUE"""),"高難易度")</f>
        <v/>
      </c>
      <c r="F505" s="408">
        <f>IFERROR(__xludf.DUMMYFUNCTION("""COMPUTED_VALUE"""),"quest_event_yuw1_savage02")</f>
        <v/>
      </c>
      <c r="G505" s="334">
        <f>IFERROR(__xludf.DUMMYFUNCTION("""COMPUTED_VALUE"""),"クリスマスバトル!!")</f>
        <v/>
      </c>
      <c r="H505" s="408">
        <f>IFERROR(__xludf.DUMMYFUNCTION("""COMPUTED_VALUE"""),"01")</f>
        <v/>
      </c>
      <c r="I505" s="334">
        <f>IFERROR(__xludf.DUMMYFUNCTION("""COMPUTED_VALUE"""),"event_yuw1_savage02_00001")</f>
        <v/>
      </c>
      <c r="J505" s="334" t="n"/>
      <c r="K505" s="334">
        <f>IFERROR(__xludf.DUMMYFUNCTION("""COMPUTED_VALUE"""),"yuw1_savage02_quest_select_cell")</f>
        <v/>
      </c>
      <c r="L505" s="334" t="n"/>
      <c r="M505" s="334" t="n"/>
      <c r="N505" s="339" t="n"/>
      <c r="O505" s="368" t="n"/>
      <c r="P505" s="334" t="n"/>
    </row>
    <row r="506">
      <c r="A506" s="334">
        <f>IFERROR(__xludf.DUMMYFUNCTION("""COMPUTED_VALUE"""),"yuw1")</f>
        <v/>
      </c>
      <c r="B506" s="334">
        <f>IFERROR(__xludf.DUMMYFUNCTION("""COMPUTED_VALUE"""),"2.5次元の誘惑")</f>
        <v/>
      </c>
      <c r="C506" s="334">
        <f>IFERROR(__xludf.DUMMYFUNCTION("""COMPUTED_VALUE"""),"savage02")</f>
        <v/>
      </c>
      <c r="D506" s="334">
        <f>IFERROR(__xludf.DUMMYFUNCTION("""COMPUTED_VALUE"""),"event")</f>
        <v/>
      </c>
      <c r="E506" s="408">
        <f>IFERROR(__xludf.DUMMYFUNCTION("""COMPUTED_VALUE"""),"高難易度")</f>
        <v/>
      </c>
      <c r="F506" s="408">
        <f>IFERROR(__xludf.DUMMYFUNCTION("""COMPUTED_VALUE"""),"quest_event_yuw1_savage02")</f>
        <v/>
      </c>
      <c r="G506" s="334">
        <f>IFERROR(__xludf.DUMMYFUNCTION("""COMPUTED_VALUE"""),"クリスマスバトル!!")</f>
        <v/>
      </c>
      <c r="H506" s="408">
        <f>IFERROR(__xludf.DUMMYFUNCTION("""COMPUTED_VALUE"""),"02")</f>
        <v/>
      </c>
      <c r="I506" s="334">
        <f>IFERROR(__xludf.DUMMYFUNCTION("""COMPUTED_VALUE"""),"event_yuw1_savage02_00002")</f>
        <v/>
      </c>
      <c r="J506" s="334" t="n"/>
      <c r="K506" s="334" t="n"/>
      <c r="L506" s="334" t="n"/>
      <c r="M506" s="334" t="n"/>
      <c r="N506" s="339" t="n"/>
      <c r="O506" s="368" t="n"/>
      <c r="P506" s="334" t="n"/>
    </row>
    <row r="507">
      <c r="A507" s="334" t="n"/>
      <c r="B507" s="334" t="n"/>
      <c r="C507" s="334" t="n"/>
      <c r="D507" s="334" t="n"/>
      <c r="E507" s="334" t="n"/>
      <c r="F507" s="334" t="n"/>
      <c r="G507" s="334" t="n"/>
      <c r="H507" s="334" t="n"/>
      <c r="I507" s="334" t="n"/>
      <c r="J507" s="334" t="n"/>
      <c r="K507" s="334" t="n"/>
      <c r="L507" s="334" t="n"/>
      <c r="M507" s="334" t="n"/>
      <c r="N507" s="339" t="n"/>
      <c r="O507" s="368" t="n"/>
      <c r="P507" s="334" t="n"/>
    </row>
    <row r="508">
      <c r="A508" s="334">
        <f>IFERROR(__xludf.DUMMYFUNCTION("""COMPUTED_VALUE"""),"sur1")</f>
        <v/>
      </c>
      <c r="B508" s="334">
        <f>IFERROR(__xludf.DUMMYFUNCTION("""COMPUTED_VALUE"""),"魔都精兵のスレイブ")</f>
        <v/>
      </c>
      <c r="C508" s="334">
        <f>IFERROR(__xludf.DUMMYFUNCTION("""COMPUTED_VALUE"""),"1day")</f>
        <v/>
      </c>
      <c r="D508" s="334">
        <f>IFERROR(__xludf.DUMMYFUNCTION("""COMPUTED_VALUE"""),"event")</f>
        <v/>
      </c>
      <c r="E508" s="408">
        <f>IFERROR(__xludf.DUMMYFUNCTION("""COMPUTED_VALUE"""),"デイリー")</f>
        <v/>
      </c>
      <c r="F508" s="408">
        <f>IFERROR(__xludf.DUMMYFUNCTION("""COMPUTED_VALUE"""),"quest_event_sur1_1day")</f>
        <v/>
      </c>
      <c r="G508" s="334">
        <f>IFERROR(__xludf.DUMMYFUNCTION("""COMPUTED_VALUE"""),"精兵と管理人")</f>
        <v/>
      </c>
      <c r="H508" s="408">
        <f>IFERROR(__xludf.DUMMYFUNCTION("""COMPUTED_VALUE"""),"01")</f>
        <v/>
      </c>
      <c r="I508" s="334">
        <f>IFERROR(__xludf.DUMMYFUNCTION("""COMPUTED_VALUE"""),"event_sur1_1day_00001")</f>
        <v/>
      </c>
      <c r="J508" s="334" t="n"/>
      <c r="K508" s="334">
        <f>IFERROR(__xludf.DUMMYFUNCTION("""COMPUTED_VALUE"""),"sur1_1day_quest_select_cell")</f>
        <v/>
      </c>
      <c r="L508" s="334" t="n"/>
      <c r="M508" s="334" t="n"/>
      <c r="N508" s="339" t="n"/>
      <c r="O508" s="368" t="n"/>
      <c r="P508" s="334" t="n"/>
    </row>
    <row r="509">
      <c r="A509" s="334">
        <f>IFERROR(__xludf.DUMMYFUNCTION("""COMPUTED_VALUE"""),"sur1")</f>
        <v/>
      </c>
      <c r="B509" s="334">
        <f>IFERROR(__xludf.DUMMYFUNCTION("""COMPUTED_VALUE"""),"魔都精兵のスレイブ")</f>
        <v/>
      </c>
      <c r="C509" s="334">
        <f>IFERROR(__xludf.DUMMYFUNCTION("""COMPUTED_VALUE"""),"charaget01")</f>
        <v/>
      </c>
      <c r="D509" s="334">
        <f>IFERROR(__xludf.DUMMYFUNCTION("""COMPUTED_VALUE"""),"event")</f>
        <v/>
      </c>
      <c r="E509" s="408">
        <f>IFERROR(__xludf.DUMMYFUNCTION("""COMPUTED_VALUE"""),"ストーリー")</f>
        <v/>
      </c>
      <c r="F509" s="408">
        <f>IFERROR(__xludf.DUMMYFUNCTION("""COMPUTED_VALUE"""),"quest_event_sur1_charaget01")</f>
        <v/>
      </c>
      <c r="G509" s="334">
        <f>IFERROR(__xludf.DUMMYFUNCTION("""COMPUTED_VALUE"""),"スレイブの誕生")</f>
        <v/>
      </c>
      <c r="H509" s="408">
        <f>IFERROR(__xludf.DUMMYFUNCTION("""COMPUTED_VALUE"""),"01")</f>
        <v/>
      </c>
      <c r="I509" s="334">
        <f>IFERROR(__xludf.DUMMYFUNCTION("""COMPUTED_VALUE"""),"event_sur1_charaget01_00001")</f>
        <v/>
      </c>
      <c r="J509" s="334" t="n"/>
      <c r="K509" s="334">
        <f>IFERROR(__xludf.DUMMYFUNCTION("""COMPUTED_VALUE"""),"sur1_charaget01_quest_select_cell")</f>
        <v/>
      </c>
      <c r="L509" s="334" t="n"/>
      <c r="M509" s="334" t="n"/>
      <c r="N509" s="339" t="n"/>
      <c r="O509" s="368" t="n"/>
      <c r="P509" s="334" t="n"/>
    </row>
    <row r="510">
      <c r="A510" s="334">
        <f>IFERROR(__xludf.DUMMYFUNCTION("""COMPUTED_VALUE"""),"sur1")</f>
        <v/>
      </c>
      <c r="B510" s="334">
        <f>IFERROR(__xludf.DUMMYFUNCTION("""COMPUTED_VALUE"""),"魔都精兵のスレイブ")</f>
        <v/>
      </c>
      <c r="C510" s="334">
        <f>IFERROR(__xludf.DUMMYFUNCTION("""COMPUTED_VALUE"""),"charaget01")</f>
        <v/>
      </c>
      <c r="D510" s="334">
        <f>IFERROR(__xludf.DUMMYFUNCTION("""COMPUTED_VALUE"""),"event")</f>
        <v/>
      </c>
      <c r="E510" s="408">
        <f>IFERROR(__xludf.DUMMYFUNCTION("""COMPUTED_VALUE"""),"ストーリー")</f>
        <v/>
      </c>
      <c r="F510" s="408">
        <f>IFERROR(__xludf.DUMMYFUNCTION("""COMPUTED_VALUE"""),"quest_event_sur1_charaget01")</f>
        <v/>
      </c>
      <c r="G510" s="334">
        <f>IFERROR(__xludf.DUMMYFUNCTION("""COMPUTED_VALUE"""),"スレイブの誕生")</f>
        <v/>
      </c>
      <c r="H510" s="408">
        <f>IFERROR(__xludf.DUMMYFUNCTION("""COMPUTED_VALUE"""),"02")</f>
        <v/>
      </c>
      <c r="I510" s="334">
        <f>IFERROR(__xludf.DUMMYFUNCTION("""COMPUTED_VALUE"""),"event_sur1_charaget01_00002")</f>
        <v/>
      </c>
      <c r="J510" s="334" t="n"/>
      <c r="K510" s="334" t="n"/>
      <c r="L510" s="334" t="n"/>
      <c r="M510" s="334" t="n"/>
      <c r="N510" s="339" t="n"/>
      <c r="O510" s="368" t="n"/>
      <c r="P510" s="334" t="n"/>
    </row>
    <row r="511">
      <c r="A511" s="334">
        <f>IFERROR(__xludf.DUMMYFUNCTION("""COMPUTED_VALUE"""),"sur1")</f>
        <v/>
      </c>
      <c r="B511" s="334">
        <f>IFERROR(__xludf.DUMMYFUNCTION("""COMPUTED_VALUE"""),"魔都精兵のスレイブ")</f>
        <v/>
      </c>
      <c r="C511" s="334">
        <f>IFERROR(__xludf.DUMMYFUNCTION("""COMPUTED_VALUE"""),"charaget01")</f>
        <v/>
      </c>
      <c r="D511" s="334">
        <f>IFERROR(__xludf.DUMMYFUNCTION("""COMPUTED_VALUE"""),"event")</f>
        <v/>
      </c>
      <c r="E511" s="408">
        <f>IFERROR(__xludf.DUMMYFUNCTION("""COMPUTED_VALUE"""),"ストーリー")</f>
        <v/>
      </c>
      <c r="F511" s="408">
        <f>IFERROR(__xludf.DUMMYFUNCTION("""COMPUTED_VALUE"""),"quest_event_sur1_charaget01")</f>
        <v/>
      </c>
      <c r="G511" s="334">
        <f>IFERROR(__xludf.DUMMYFUNCTION("""COMPUTED_VALUE"""),"スレイブの誕生")</f>
        <v/>
      </c>
      <c r="H511" s="408">
        <f>IFERROR(__xludf.DUMMYFUNCTION("""COMPUTED_VALUE"""),"03")</f>
        <v/>
      </c>
      <c r="I511" s="334">
        <f>IFERROR(__xludf.DUMMYFUNCTION("""COMPUTED_VALUE"""),"event_sur1_charaget01_00003")</f>
        <v/>
      </c>
      <c r="J511" s="334" t="n"/>
      <c r="K511" s="334" t="n"/>
      <c r="L511" s="334" t="n"/>
      <c r="M511" s="334" t="n"/>
      <c r="N511" s="339" t="n"/>
      <c r="O511" s="368" t="n"/>
      <c r="P511" s="334" t="n"/>
    </row>
    <row r="512">
      <c r="A512" s="334">
        <f>IFERROR(__xludf.DUMMYFUNCTION("""COMPUTED_VALUE"""),"sur1")</f>
        <v/>
      </c>
      <c r="B512" s="334">
        <f>IFERROR(__xludf.DUMMYFUNCTION("""COMPUTED_VALUE"""),"魔都精兵のスレイブ")</f>
        <v/>
      </c>
      <c r="C512" s="334">
        <f>IFERROR(__xludf.DUMMYFUNCTION("""COMPUTED_VALUE"""),"charaget01")</f>
        <v/>
      </c>
      <c r="D512" s="334">
        <f>IFERROR(__xludf.DUMMYFUNCTION("""COMPUTED_VALUE"""),"event")</f>
        <v/>
      </c>
      <c r="E512" s="408">
        <f>IFERROR(__xludf.DUMMYFUNCTION("""COMPUTED_VALUE"""),"ストーリー")</f>
        <v/>
      </c>
      <c r="F512" s="408">
        <f>IFERROR(__xludf.DUMMYFUNCTION("""COMPUTED_VALUE"""),"quest_event_sur1_charaget01")</f>
        <v/>
      </c>
      <c r="G512" s="334">
        <f>IFERROR(__xludf.DUMMYFUNCTION("""COMPUTED_VALUE"""),"スレイブの誕生")</f>
        <v/>
      </c>
      <c r="H512" s="408">
        <f>IFERROR(__xludf.DUMMYFUNCTION("""COMPUTED_VALUE"""),"04")</f>
        <v/>
      </c>
      <c r="I512" s="334">
        <f>IFERROR(__xludf.DUMMYFUNCTION("""COMPUTED_VALUE"""),"event_sur1_charaget01_00004")</f>
        <v/>
      </c>
      <c r="J512" s="334" t="n"/>
      <c r="K512" s="334" t="n"/>
      <c r="L512" s="334" t="n"/>
      <c r="M512" s="334" t="n"/>
      <c r="N512" s="339" t="n"/>
      <c r="O512" s="368" t="n"/>
      <c r="P512" s="334" t="n"/>
    </row>
    <row r="513">
      <c r="A513" s="334">
        <f>IFERROR(__xludf.DUMMYFUNCTION("""COMPUTED_VALUE"""),"sur1")</f>
        <v/>
      </c>
      <c r="B513" s="334">
        <f>IFERROR(__xludf.DUMMYFUNCTION("""COMPUTED_VALUE"""),"魔都精兵のスレイブ")</f>
        <v/>
      </c>
      <c r="C513" s="334">
        <f>IFERROR(__xludf.DUMMYFUNCTION("""COMPUTED_VALUE"""),"charaget01")</f>
        <v/>
      </c>
      <c r="D513" s="334">
        <f>IFERROR(__xludf.DUMMYFUNCTION("""COMPUTED_VALUE"""),"event")</f>
        <v/>
      </c>
      <c r="E513" s="408">
        <f>IFERROR(__xludf.DUMMYFUNCTION("""COMPUTED_VALUE"""),"ストーリー")</f>
        <v/>
      </c>
      <c r="F513" s="408">
        <f>IFERROR(__xludf.DUMMYFUNCTION("""COMPUTED_VALUE"""),"quest_event_sur1_charaget01")</f>
        <v/>
      </c>
      <c r="G513" s="334">
        <f>IFERROR(__xludf.DUMMYFUNCTION("""COMPUTED_VALUE"""),"スレイブの誕生")</f>
        <v/>
      </c>
      <c r="H513" s="408">
        <f>IFERROR(__xludf.DUMMYFUNCTION("""COMPUTED_VALUE"""),"05")</f>
        <v/>
      </c>
      <c r="I513" s="334">
        <f>IFERROR(__xludf.DUMMYFUNCTION("""COMPUTED_VALUE"""),"event_sur1_charaget01_00005")</f>
        <v/>
      </c>
      <c r="J513" s="334" t="n"/>
      <c r="K513" s="334" t="n"/>
      <c r="L513" s="334" t="n"/>
      <c r="M513" s="334" t="n"/>
      <c r="N513" s="339" t="n"/>
      <c r="O513" s="368" t="n"/>
      <c r="P513" s="334" t="n"/>
    </row>
    <row r="514">
      <c r="A514" s="334">
        <f>IFERROR(__xludf.DUMMYFUNCTION("""COMPUTED_VALUE"""),"sur1")</f>
        <v/>
      </c>
      <c r="B514" s="334">
        <f>IFERROR(__xludf.DUMMYFUNCTION("""COMPUTED_VALUE"""),"魔都精兵のスレイブ")</f>
        <v/>
      </c>
      <c r="C514" s="334">
        <f>IFERROR(__xludf.DUMMYFUNCTION("""COMPUTED_VALUE"""),"charaget01")</f>
        <v/>
      </c>
      <c r="D514" s="334">
        <f>IFERROR(__xludf.DUMMYFUNCTION("""COMPUTED_VALUE"""),"event")</f>
        <v/>
      </c>
      <c r="E514" s="408">
        <f>IFERROR(__xludf.DUMMYFUNCTION("""COMPUTED_VALUE"""),"ストーリー")</f>
        <v/>
      </c>
      <c r="F514" s="408">
        <f>IFERROR(__xludf.DUMMYFUNCTION("""COMPUTED_VALUE"""),"quest_event_sur1_charaget01")</f>
        <v/>
      </c>
      <c r="G514" s="334">
        <f>IFERROR(__xludf.DUMMYFUNCTION("""COMPUTED_VALUE"""),"スレイブの誕生")</f>
        <v/>
      </c>
      <c r="H514" s="408">
        <f>IFERROR(__xludf.DUMMYFUNCTION("""COMPUTED_VALUE"""),"06")</f>
        <v/>
      </c>
      <c r="I514" s="334">
        <f>IFERROR(__xludf.DUMMYFUNCTION("""COMPUTED_VALUE"""),"event_sur1_charaget01_00006")</f>
        <v/>
      </c>
      <c r="J514" s="334" t="n"/>
      <c r="K514" s="334" t="n"/>
      <c r="L514" s="334" t="n"/>
      <c r="M514" s="334" t="n"/>
      <c r="N514" s="339" t="n"/>
      <c r="O514" s="368" t="n"/>
      <c r="P514" s="334" t="n"/>
    </row>
    <row r="515">
      <c r="A515" s="334">
        <f>IFERROR(__xludf.DUMMYFUNCTION("""COMPUTED_VALUE"""),"sur1")</f>
        <v/>
      </c>
      <c r="B515" s="334">
        <f>IFERROR(__xludf.DUMMYFUNCTION("""COMPUTED_VALUE"""),"魔都精兵のスレイブ")</f>
        <v/>
      </c>
      <c r="C515" s="334">
        <f>IFERROR(__xludf.DUMMYFUNCTION("""COMPUTED_VALUE"""),"charaget01")</f>
        <v/>
      </c>
      <c r="D515" s="334">
        <f>IFERROR(__xludf.DUMMYFUNCTION("""COMPUTED_VALUE"""),"event")</f>
        <v/>
      </c>
      <c r="E515" s="408">
        <f>IFERROR(__xludf.DUMMYFUNCTION("""COMPUTED_VALUE"""),"ストーリー")</f>
        <v/>
      </c>
      <c r="F515" s="408">
        <f>IFERROR(__xludf.DUMMYFUNCTION("""COMPUTED_VALUE"""),"quest_event_sur1_charaget01")</f>
        <v/>
      </c>
      <c r="G515" s="334">
        <f>IFERROR(__xludf.DUMMYFUNCTION("""COMPUTED_VALUE"""),"スレイブの誕生")</f>
        <v/>
      </c>
      <c r="H515" s="408">
        <f>IFERROR(__xludf.DUMMYFUNCTION("""COMPUTED_VALUE"""),"07")</f>
        <v/>
      </c>
      <c r="I515" s="334">
        <f>IFERROR(__xludf.DUMMYFUNCTION("""COMPUTED_VALUE"""),"event_sur1_charaget01_00007")</f>
        <v/>
      </c>
      <c r="J515" s="334" t="n"/>
      <c r="K515" s="334" t="n"/>
      <c r="L515" s="334" t="n"/>
      <c r="M515" s="334" t="n"/>
      <c r="N515" s="339" t="n"/>
      <c r="O515" s="368" t="n"/>
      <c r="P515" s="334" t="n"/>
    </row>
    <row r="516">
      <c r="A516" s="334">
        <f>IFERROR(__xludf.DUMMYFUNCTION("""COMPUTED_VALUE"""),"sur1")</f>
        <v/>
      </c>
      <c r="B516" s="334">
        <f>IFERROR(__xludf.DUMMYFUNCTION("""COMPUTED_VALUE"""),"魔都精兵のスレイブ")</f>
        <v/>
      </c>
      <c r="C516" s="334">
        <f>IFERROR(__xludf.DUMMYFUNCTION("""COMPUTED_VALUE"""),"charaget01")</f>
        <v/>
      </c>
      <c r="D516" s="334">
        <f>IFERROR(__xludf.DUMMYFUNCTION("""COMPUTED_VALUE"""),"event")</f>
        <v/>
      </c>
      <c r="E516" s="408">
        <f>IFERROR(__xludf.DUMMYFUNCTION("""COMPUTED_VALUE"""),"ストーリー")</f>
        <v/>
      </c>
      <c r="F516" s="408">
        <f>IFERROR(__xludf.DUMMYFUNCTION("""COMPUTED_VALUE"""),"quest_event_sur1_charaget01")</f>
        <v/>
      </c>
      <c r="G516" s="334">
        <f>IFERROR(__xludf.DUMMYFUNCTION("""COMPUTED_VALUE"""),"スレイブの誕生")</f>
        <v/>
      </c>
      <c r="H516" s="408">
        <f>IFERROR(__xludf.DUMMYFUNCTION("""COMPUTED_VALUE"""),"08")</f>
        <v/>
      </c>
      <c r="I516" s="334">
        <f>IFERROR(__xludf.DUMMYFUNCTION("""COMPUTED_VALUE"""),"event_sur1_charaget01_00008")</f>
        <v/>
      </c>
      <c r="J516" s="334" t="n"/>
      <c r="K516" s="334" t="n"/>
      <c r="L516" s="334" t="n"/>
      <c r="M516" s="334" t="n"/>
      <c r="N516" s="339" t="n"/>
      <c r="O516" s="368" t="n"/>
      <c r="P516" s="334" t="n"/>
    </row>
    <row r="517">
      <c r="A517" s="334">
        <f>IFERROR(__xludf.DUMMYFUNCTION("""COMPUTED_VALUE"""),"sur1")</f>
        <v/>
      </c>
      <c r="B517" s="334">
        <f>IFERROR(__xludf.DUMMYFUNCTION("""COMPUTED_VALUE"""),"魔都精兵のスレイブ")</f>
        <v/>
      </c>
      <c r="C517" s="334">
        <f>IFERROR(__xludf.DUMMYFUNCTION("""COMPUTED_VALUE"""),"charaget02")</f>
        <v/>
      </c>
      <c r="D517" s="334">
        <f>IFERROR(__xludf.DUMMYFUNCTION("""COMPUTED_VALUE"""),"event")</f>
        <v/>
      </c>
      <c r="E517" s="408">
        <f>IFERROR(__xludf.DUMMYFUNCTION("""COMPUTED_VALUE"""),"ストーリー")</f>
        <v/>
      </c>
      <c r="F517" s="408">
        <f>IFERROR(__xludf.DUMMYFUNCTION("""COMPUTED_VALUE"""),"quest_event_sur1_charaget02")</f>
        <v/>
      </c>
      <c r="G517" s="334">
        <f>IFERROR(__xludf.DUMMYFUNCTION("""COMPUTED_VALUE"""),"隠れ里の戦い")</f>
        <v/>
      </c>
      <c r="H517" s="408">
        <f>IFERROR(__xludf.DUMMYFUNCTION("""COMPUTED_VALUE"""),"01")</f>
        <v/>
      </c>
      <c r="I517" s="334">
        <f>IFERROR(__xludf.DUMMYFUNCTION("""COMPUTED_VALUE"""),"event_sur1_charaget02_00001")</f>
        <v/>
      </c>
      <c r="J517" s="334" t="n"/>
      <c r="K517" s="334">
        <f>IFERROR(__xludf.DUMMYFUNCTION("""COMPUTED_VALUE"""),"sur1_charaget02_quest_select_cell")</f>
        <v/>
      </c>
      <c r="L517" s="334" t="n"/>
      <c r="M517" s="334" t="n"/>
      <c r="N517" s="339" t="n"/>
      <c r="O517" s="368" t="n"/>
      <c r="P517" s="334" t="n"/>
    </row>
    <row r="518">
      <c r="A518" s="334">
        <f>IFERROR(__xludf.DUMMYFUNCTION("""COMPUTED_VALUE"""),"sur1")</f>
        <v/>
      </c>
      <c r="B518" s="334">
        <f>IFERROR(__xludf.DUMMYFUNCTION("""COMPUTED_VALUE"""),"魔都精兵のスレイブ")</f>
        <v/>
      </c>
      <c r="C518" s="334">
        <f>IFERROR(__xludf.DUMMYFUNCTION("""COMPUTED_VALUE"""),"charaget02")</f>
        <v/>
      </c>
      <c r="D518" s="334">
        <f>IFERROR(__xludf.DUMMYFUNCTION("""COMPUTED_VALUE"""),"event")</f>
        <v/>
      </c>
      <c r="E518" s="408">
        <f>IFERROR(__xludf.DUMMYFUNCTION("""COMPUTED_VALUE"""),"ストーリー")</f>
        <v/>
      </c>
      <c r="F518" s="408">
        <f>IFERROR(__xludf.DUMMYFUNCTION("""COMPUTED_VALUE"""),"quest_event_sur1_charaget02")</f>
        <v/>
      </c>
      <c r="G518" s="334">
        <f>IFERROR(__xludf.DUMMYFUNCTION("""COMPUTED_VALUE"""),"隠れ里の戦い")</f>
        <v/>
      </c>
      <c r="H518" s="408">
        <f>IFERROR(__xludf.DUMMYFUNCTION("""COMPUTED_VALUE"""),"02")</f>
        <v/>
      </c>
      <c r="I518" s="334">
        <f>IFERROR(__xludf.DUMMYFUNCTION("""COMPUTED_VALUE"""),"event_sur1_charaget02_00002")</f>
        <v/>
      </c>
      <c r="J518" s="334" t="n"/>
      <c r="K518" s="334" t="n"/>
      <c r="L518" s="334" t="n"/>
      <c r="M518" s="334" t="n"/>
      <c r="N518" s="339" t="n"/>
      <c r="O518" s="368" t="n"/>
      <c r="P518" s="334" t="n"/>
    </row>
    <row r="519">
      <c r="A519" s="334">
        <f>IFERROR(__xludf.DUMMYFUNCTION("""COMPUTED_VALUE"""),"sur1")</f>
        <v/>
      </c>
      <c r="B519" s="334">
        <f>IFERROR(__xludf.DUMMYFUNCTION("""COMPUTED_VALUE"""),"魔都精兵のスレイブ")</f>
        <v/>
      </c>
      <c r="C519" s="334">
        <f>IFERROR(__xludf.DUMMYFUNCTION("""COMPUTED_VALUE"""),"charaget02")</f>
        <v/>
      </c>
      <c r="D519" s="334">
        <f>IFERROR(__xludf.DUMMYFUNCTION("""COMPUTED_VALUE"""),"event")</f>
        <v/>
      </c>
      <c r="E519" s="408">
        <f>IFERROR(__xludf.DUMMYFUNCTION("""COMPUTED_VALUE"""),"ストーリー")</f>
        <v/>
      </c>
      <c r="F519" s="408">
        <f>IFERROR(__xludf.DUMMYFUNCTION("""COMPUTED_VALUE"""),"quest_event_sur1_charaget02")</f>
        <v/>
      </c>
      <c r="G519" s="334">
        <f>IFERROR(__xludf.DUMMYFUNCTION("""COMPUTED_VALUE"""),"隠れ里の戦い")</f>
        <v/>
      </c>
      <c r="H519" s="408">
        <f>IFERROR(__xludf.DUMMYFUNCTION("""COMPUTED_VALUE"""),"03")</f>
        <v/>
      </c>
      <c r="I519" s="334">
        <f>IFERROR(__xludf.DUMMYFUNCTION("""COMPUTED_VALUE"""),"event_sur1_charaget02_00003")</f>
        <v/>
      </c>
      <c r="J519" s="334" t="n"/>
      <c r="K519" s="334" t="n"/>
      <c r="L519" s="334" t="n"/>
      <c r="M519" s="334" t="n"/>
      <c r="N519" s="339" t="n"/>
      <c r="O519" s="368" t="n"/>
      <c r="P519" s="334" t="n"/>
    </row>
    <row r="520">
      <c r="A520" s="334">
        <f>IFERROR(__xludf.DUMMYFUNCTION("""COMPUTED_VALUE"""),"sur1")</f>
        <v/>
      </c>
      <c r="B520" s="334">
        <f>IFERROR(__xludf.DUMMYFUNCTION("""COMPUTED_VALUE"""),"魔都精兵のスレイブ")</f>
        <v/>
      </c>
      <c r="C520" s="334">
        <f>IFERROR(__xludf.DUMMYFUNCTION("""COMPUTED_VALUE"""),"charaget02")</f>
        <v/>
      </c>
      <c r="D520" s="334">
        <f>IFERROR(__xludf.DUMMYFUNCTION("""COMPUTED_VALUE"""),"event")</f>
        <v/>
      </c>
      <c r="E520" s="408">
        <f>IFERROR(__xludf.DUMMYFUNCTION("""COMPUTED_VALUE"""),"ストーリー")</f>
        <v/>
      </c>
      <c r="F520" s="408">
        <f>IFERROR(__xludf.DUMMYFUNCTION("""COMPUTED_VALUE"""),"quest_event_sur1_charaget02")</f>
        <v/>
      </c>
      <c r="G520" s="334">
        <f>IFERROR(__xludf.DUMMYFUNCTION("""COMPUTED_VALUE"""),"隠れ里の戦い")</f>
        <v/>
      </c>
      <c r="H520" s="408">
        <f>IFERROR(__xludf.DUMMYFUNCTION("""COMPUTED_VALUE"""),"04")</f>
        <v/>
      </c>
      <c r="I520" s="334">
        <f>IFERROR(__xludf.DUMMYFUNCTION("""COMPUTED_VALUE"""),"event_sur1_charaget02_00004")</f>
        <v/>
      </c>
      <c r="J520" s="334" t="n"/>
      <c r="K520" s="334" t="n"/>
      <c r="L520" s="334" t="n"/>
      <c r="M520" s="334" t="n"/>
      <c r="N520" s="339" t="n"/>
      <c r="O520" s="368" t="n"/>
      <c r="P520" s="334" t="n"/>
    </row>
    <row r="521">
      <c r="A521" s="334">
        <f>IFERROR(__xludf.DUMMYFUNCTION("""COMPUTED_VALUE"""),"sur1")</f>
        <v/>
      </c>
      <c r="B521" s="334">
        <f>IFERROR(__xludf.DUMMYFUNCTION("""COMPUTED_VALUE"""),"魔都精兵のスレイブ")</f>
        <v/>
      </c>
      <c r="C521" s="334">
        <f>IFERROR(__xludf.DUMMYFUNCTION("""COMPUTED_VALUE"""),"charaget02")</f>
        <v/>
      </c>
      <c r="D521" s="334">
        <f>IFERROR(__xludf.DUMMYFUNCTION("""COMPUTED_VALUE"""),"event")</f>
        <v/>
      </c>
      <c r="E521" s="408">
        <f>IFERROR(__xludf.DUMMYFUNCTION("""COMPUTED_VALUE"""),"ストーリー")</f>
        <v/>
      </c>
      <c r="F521" s="408">
        <f>IFERROR(__xludf.DUMMYFUNCTION("""COMPUTED_VALUE"""),"quest_event_sur1_charaget02")</f>
        <v/>
      </c>
      <c r="G521" s="334">
        <f>IFERROR(__xludf.DUMMYFUNCTION("""COMPUTED_VALUE"""),"隠れ里の戦い")</f>
        <v/>
      </c>
      <c r="H521" s="408">
        <f>IFERROR(__xludf.DUMMYFUNCTION("""COMPUTED_VALUE"""),"05")</f>
        <v/>
      </c>
      <c r="I521" s="334">
        <f>IFERROR(__xludf.DUMMYFUNCTION("""COMPUTED_VALUE"""),"event_sur1_charaget02_00005")</f>
        <v/>
      </c>
      <c r="J521" s="334" t="n"/>
      <c r="K521" s="334" t="n"/>
      <c r="L521" s="334" t="n"/>
      <c r="M521" s="334" t="n"/>
      <c r="N521" s="339" t="n"/>
      <c r="O521" s="368" t="n"/>
      <c r="P521" s="334" t="n"/>
    </row>
    <row r="522">
      <c r="A522" s="334">
        <f>IFERROR(__xludf.DUMMYFUNCTION("""COMPUTED_VALUE"""),"sur1")</f>
        <v/>
      </c>
      <c r="B522" s="334">
        <f>IFERROR(__xludf.DUMMYFUNCTION("""COMPUTED_VALUE"""),"魔都精兵のスレイブ")</f>
        <v/>
      </c>
      <c r="C522" s="334">
        <f>IFERROR(__xludf.DUMMYFUNCTION("""COMPUTED_VALUE"""),"charaget02")</f>
        <v/>
      </c>
      <c r="D522" s="334">
        <f>IFERROR(__xludf.DUMMYFUNCTION("""COMPUTED_VALUE"""),"event")</f>
        <v/>
      </c>
      <c r="E522" s="408">
        <f>IFERROR(__xludf.DUMMYFUNCTION("""COMPUTED_VALUE"""),"ストーリー")</f>
        <v/>
      </c>
      <c r="F522" s="408">
        <f>IFERROR(__xludf.DUMMYFUNCTION("""COMPUTED_VALUE"""),"quest_event_sur1_charaget02")</f>
        <v/>
      </c>
      <c r="G522" s="334">
        <f>IFERROR(__xludf.DUMMYFUNCTION("""COMPUTED_VALUE"""),"隠れ里の戦い")</f>
        <v/>
      </c>
      <c r="H522" s="408">
        <f>IFERROR(__xludf.DUMMYFUNCTION("""COMPUTED_VALUE"""),"06")</f>
        <v/>
      </c>
      <c r="I522" s="334">
        <f>IFERROR(__xludf.DUMMYFUNCTION("""COMPUTED_VALUE"""),"event_sur1_charaget02_00006")</f>
        <v/>
      </c>
      <c r="J522" s="334" t="n"/>
      <c r="K522" s="334" t="n"/>
      <c r="L522" s="334" t="n"/>
      <c r="M522" s="334" t="n"/>
      <c r="N522" s="339" t="n"/>
      <c r="O522" s="368" t="n"/>
      <c r="P522" s="334" t="n"/>
    </row>
    <row r="523">
      <c r="A523" s="334">
        <f>IFERROR(__xludf.DUMMYFUNCTION("""COMPUTED_VALUE"""),"sur1")</f>
        <v/>
      </c>
      <c r="B523" s="334">
        <f>IFERROR(__xludf.DUMMYFUNCTION("""COMPUTED_VALUE"""),"魔都精兵のスレイブ")</f>
        <v/>
      </c>
      <c r="C523" s="334">
        <f>IFERROR(__xludf.DUMMYFUNCTION("""COMPUTED_VALUE"""),"charaget02")</f>
        <v/>
      </c>
      <c r="D523" s="334">
        <f>IFERROR(__xludf.DUMMYFUNCTION("""COMPUTED_VALUE"""),"event")</f>
        <v/>
      </c>
      <c r="E523" s="408">
        <f>IFERROR(__xludf.DUMMYFUNCTION("""COMPUTED_VALUE"""),"ストーリー")</f>
        <v/>
      </c>
      <c r="F523" s="408">
        <f>IFERROR(__xludf.DUMMYFUNCTION("""COMPUTED_VALUE"""),"quest_event_sur1_charaget02")</f>
        <v/>
      </c>
      <c r="G523" s="334">
        <f>IFERROR(__xludf.DUMMYFUNCTION("""COMPUTED_VALUE"""),"隠れ里の戦い")</f>
        <v/>
      </c>
      <c r="H523" s="408">
        <f>IFERROR(__xludf.DUMMYFUNCTION("""COMPUTED_VALUE"""),"07")</f>
        <v/>
      </c>
      <c r="I523" s="334">
        <f>IFERROR(__xludf.DUMMYFUNCTION("""COMPUTED_VALUE"""),"event_sur1_charaget02_00007")</f>
        <v/>
      </c>
      <c r="J523" s="334" t="n"/>
      <c r="K523" s="334" t="n"/>
      <c r="L523" s="334" t="n"/>
      <c r="M523" s="334" t="n"/>
      <c r="N523" s="339" t="n"/>
      <c r="O523" s="368" t="n"/>
      <c r="P523" s="334" t="n"/>
    </row>
    <row r="524">
      <c r="A524" s="334">
        <f>IFERROR(__xludf.DUMMYFUNCTION("""COMPUTED_VALUE"""),"sur1")</f>
        <v/>
      </c>
      <c r="B524" s="334">
        <f>IFERROR(__xludf.DUMMYFUNCTION("""COMPUTED_VALUE"""),"魔都精兵のスレイブ")</f>
        <v/>
      </c>
      <c r="C524" s="334">
        <f>IFERROR(__xludf.DUMMYFUNCTION("""COMPUTED_VALUE"""),"charaget02")</f>
        <v/>
      </c>
      <c r="D524" s="334">
        <f>IFERROR(__xludf.DUMMYFUNCTION("""COMPUTED_VALUE"""),"event")</f>
        <v/>
      </c>
      <c r="E524" s="408">
        <f>IFERROR(__xludf.DUMMYFUNCTION("""COMPUTED_VALUE"""),"ストーリー")</f>
        <v/>
      </c>
      <c r="F524" s="408">
        <f>IFERROR(__xludf.DUMMYFUNCTION("""COMPUTED_VALUE"""),"quest_event_sur1_charaget02")</f>
        <v/>
      </c>
      <c r="G524" s="334">
        <f>IFERROR(__xludf.DUMMYFUNCTION("""COMPUTED_VALUE"""),"隠れ里の戦い")</f>
        <v/>
      </c>
      <c r="H524" s="408">
        <f>IFERROR(__xludf.DUMMYFUNCTION("""COMPUTED_VALUE"""),"08")</f>
        <v/>
      </c>
      <c r="I524" s="334">
        <f>IFERROR(__xludf.DUMMYFUNCTION("""COMPUTED_VALUE"""),"event_sur1_charaget02_00008")</f>
        <v/>
      </c>
      <c r="J524" s="334" t="n"/>
      <c r="K524" s="334" t="n"/>
      <c r="L524" s="334" t="n"/>
      <c r="M524" s="334" t="n"/>
      <c r="N524" s="339" t="n"/>
      <c r="O524" s="368" t="n"/>
      <c r="P524" s="334" t="n"/>
    </row>
    <row r="525">
      <c r="A525" s="334">
        <f>IFERROR(__xludf.DUMMYFUNCTION("""COMPUTED_VALUE"""),"sur1")</f>
        <v/>
      </c>
      <c r="B525" s="334">
        <f>IFERROR(__xludf.DUMMYFUNCTION("""COMPUTED_VALUE"""),"魔都精兵のスレイブ")</f>
        <v/>
      </c>
      <c r="C525" s="334">
        <f>IFERROR(__xludf.DUMMYFUNCTION("""COMPUTED_VALUE"""),"challenge01")</f>
        <v/>
      </c>
      <c r="D525" s="334">
        <f>IFERROR(__xludf.DUMMYFUNCTION("""COMPUTED_VALUE"""),"event")</f>
        <v/>
      </c>
      <c r="E525" s="408">
        <f>IFERROR(__xludf.DUMMYFUNCTION("""COMPUTED_VALUE"""),"チャレンジ")</f>
        <v/>
      </c>
      <c r="F525" s="408">
        <f>IFERROR(__xludf.DUMMYFUNCTION("""COMPUTED_VALUE"""),"quest_event_sur1_challenge01")</f>
        <v/>
      </c>
      <c r="G525" s="334">
        <f>IFERROR(__xludf.DUMMYFUNCTION("""COMPUTED_VALUE"""),"魔都防衛隊")</f>
        <v/>
      </c>
      <c r="H525" s="408">
        <f>IFERROR(__xludf.DUMMYFUNCTION("""COMPUTED_VALUE"""),"01")</f>
        <v/>
      </c>
      <c r="I525" s="334">
        <f>IFERROR(__xludf.DUMMYFUNCTION("""COMPUTED_VALUE"""),"event_sur1_challenge01_00001")</f>
        <v/>
      </c>
      <c r="J525" s="334" t="n"/>
      <c r="K525" s="334">
        <f>IFERROR(__xludf.DUMMYFUNCTION("""COMPUTED_VALUE"""),"sur1_challenge01_quest_select_cell")</f>
        <v/>
      </c>
      <c r="L525" s="334" t="n"/>
      <c r="M525" s="334" t="n"/>
      <c r="N525" s="339" t="n"/>
      <c r="O525" s="368" t="n"/>
      <c r="P525" s="334" t="n"/>
    </row>
    <row r="526">
      <c r="A526" s="334">
        <f>IFERROR(__xludf.DUMMYFUNCTION("""COMPUTED_VALUE"""),"sur1")</f>
        <v/>
      </c>
      <c r="B526" s="334">
        <f>IFERROR(__xludf.DUMMYFUNCTION("""COMPUTED_VALUE"""),"魔都精兵のスレイブ")</f>
        <v/>
      </c>
      <c r="C526" s="334">
        <f>IFERROR(__xludf.DUMMYFUNCTION("""COMPUTED_VALUE"""),"challenge01")</f>
        <v/>
      </c>
      <c r="D526" s="334">
        <f>IFERROR(__xludf.DUMMYFUNCTION("""COMPUTED_VALUE"""),"event")</f>
        <v/>
      </c>
      <c r="E526" s="408">
        <f>IFERROR(__xludf.DUMMYFUNCTION("""COMPUTED_VALUE"""),"チャレンジ")</f>
        <v/>
      </c>
      <c r="F526" s="408">
        <f>IFERROR(__xludf.DUMMYFUNCTION("""COMPUTED_VALUE"""),"quest_event_sur1_challenge01")</f>
        <v/>
      </c>
      <c r="G526" s="334">
        <f>IFERROR(__xludf.DUMMYFUNCTION("""COMPUTED_VALUE"""),"魔都防衛隊")</f>
        <v/>
      </c>
      <c r="H526" s="408">
        <f>IFERROR(__xludf.DUMMYFUNCTION("""COMPUTED_VALUE"""),"02")</f>
        <v/>
      </c>
      <c r="I526" s="334">
        <f>IFERROR(__xludf.DUMMYFUNCTION("""COMPUTED_VALUE"""),"event_sur1_challenge01_00002")</f>
        <v/>
      </c>
      <c r="J526" s="334" t="n"/>
      <c r="K526" s="334" t="n"/>
      <c r="L526" s="334" t="n"/>
      <c r="M526" s="334" t="n"/>
      <c r="N526" s="339" t="n"/>
      <c r="O526" s="368" t="n"/>
      <c r="P526" s="334" t="n"/>
    </row>
    <row r="527">
      <c r="A527" s="334">
        <f>IFERROR(__xludf.DUMMYFUNCTION("""COMPUTED_VALUE"""),"sur1")</f>
        <v/>
      </c>
      <c r="B527" s="334">
        <f>IFERROR(__xludf.DUMMYFUNCTION("""COMPUTED_VALUE"""),"魔都精兵のスレイブ")</f>
        <v/>
      </c>
      <c r="C527" s="334">
        <f>IFERROR(__xludf.DUMMYFUNCTION("""COMPUTED_VALUE"""),"challenge01")</f>
        <v/>
      </c>
      <c r="D527" s="334">
        <f>IFERROR(__xludf.DUMMYFUNCTION("""COMPUTED_VALUE"""),"event")</f>
        <v/>
      </c>
      <c r="E527" s="408">
        <f>IFERROR(__xludf.DUMMYFUNCTION("""COMPUTED_VALUE"""),"チャレンジ")</f>
        <v/>
      </c>
      <c r="F527" s="408">
        <f>IFERROR(__xludf.DUMMYFUNCTION("""COMPUTED_VALUE"""),"quest_event_sur1_challenge01")</f>
        <v/>
      </c>
      <c r="G527" s="334">
        <f>IFERROR(__xludf.DUMMYFUNCTION("""COMPUTED_VALUE"""),"魔都防衛隊")</f>
        <v/>
      </c>
      <c r="H527" s="408">
        <f>IFERROR(__xludf.DUMMYFUNCTION("""COMPUTED_VALUE"""),"03")</f>
        <v/>
      </c>
      <c r="I527" s="334">
        <f>IFERROR(__xludf.DUMMYFUNCTION("""COMPUTED_VALUE"""),"event_sur1_challenge01_00003")</f>
        <v/>
      </c>
      <c r="J527" s="334" t="n"/>
      <c r="K527" s="334" t="n"/>
      <c r="L527" s="334" t="n"/>
      <c r="M527" s="334" t="n"/>
      <c r="N527" s="339" t="n"/>
      <c r="O527" s="368" t="n"/>
      <c r="P527" s="334" t="n"/>
    </row>
    <row r="528">
      <c r="A528" s="334">
        <f>IFERROR(__xludf.DUMMYFUNCTION("""COMPUTED_VALUE"""),"sur1")</f>
        <v/>
      </c>
      <c r="B528" s="334">
        <f>IFERROR(__xludf.DUMMYFUNCTION("""COMPUTED_VALUE"""),"魔都精兵のスレイブ")</f>
        <v/>
      </c>
      <c r="C528" s="334">
        <f>IFERROR(__xludf.DUMMYFUNCTION("""COMPUTED_VALUE"""),"challenge01")</f>
        <v/>
      </c>
      <c r="D528" s="334">
        <f>IFERROR(__xludf.DUMMYFUNCTION("""COMPUTED_VALUE"""),"event")</f>
        <v/>
      </c>
      <c r="E528" s="408">
        <f>IFERROR(__xludf.DUMMYFUNCTION("""COMPUTED_VALUE"""),"チャレンジ")</f>
        <v/>
      </c>
      <c r="F528" s="408">
        <f>IFERROR(__xludf.DUMMYFUNCTION("""COMPUTED_VALUE"""),"quest_event_sur1_challenge01")</f>
        <v/>
      </c>
      <c r="G528" s="334">
        <f>IFERROR(__xludf.DUMMYFUNCTION("""COMPUTED_VALUE"""),"魔都防衛隊")</f>
        <v/>
      </c>
      <c r="H528" s="408">
        <f>IFERROR(__xludf.DUMMYFUNCTION("""COMPUTED_VALUE"""),"04")</f>
        <v/>
      </c>
      <c r="I528" s="334">
        <f>IFERROR(__xludf.DUMMYFUNCTION("""COMPUTED_VALUE"""),"event_sur1_challenge01_00004")</f>
        <v/>
      </c>
      <c r="J528" s="334" t="n"/>
      <c r="K528" s="334" t="n"/>
      <c r="L528" s="334" t="n"/>
      <c r="M528" s="334" t="n"/>
      <c r="N528" s="339" t="n"/>
      <c r="O528" s="368" t="n"/>
      <c r="P528" s="334" t="n"/>
    </row>
    <row r="529">
      <c r="A529" s="334">
        <f>IFERROR(__xludf.DUMMYFUNCTION("""COMPUTED_VALUE"""),"sur1")</f>
        <v/>
      </c>
      <c r="B529" s="334">
        <f>IFERROR(__xludf.DUMMYFUNCTION("""COMPUTED_VALUE"""),"魔都精兵のスレイブ")</f>
        <v/>
      </c>
      <c r="C529" s="334">
        <f>IFERROR(__xludf.DUMMYFUNCTION("""COMPUTED_VALUE"""),"savage")</f>
        <v/>
      </c>
      <c r="D529" s="334">
        <f>IFERROR(__xludf.DUMMYFUNCTION("""COMPUTED_VALUE"""),"event")</f>
        <v/>
      </c>
      <c r="E529" s="408">
        <f>IFERROR(__xludf.DUMMYFUNCTION("""COMPUTED_VALUE"""),"高難易度")</f>
        <v/>
      </c>
      <c r="F529" s="408">
        <f>IFERROR(__xludf.DUMMYFUNCTION("""COMPUTED_VALUE"""),"quest_event_sur1_savage")</f>
        <v/>
      </c>
      <c r="G529" s="334">
        <f>IFERROR(__xludf.DUMMYFUNCTION("""COMPUTED_VALUE"""),"スレイブと組長")</f>
        <v/>
      </c>
      <c r="H529" s="408">
        <f>IFERROR(__xludf.DUMMYFUNCTION("""COMPUTED_VALUE"""),"01")</f>
        <v/>
      </c>
      <c r="I529" s="334">
        <f>IFERROR(__xludf.DUMMYFUNCTION("""COMPUTED_VALUE"""),"event_sur1_savage_00001")</f>
        <v/>
      </c>
      <c r="J529" s="334" t="n"/>
      <c r="K529" s="334">
        <f>IFERROR(__xludf.DUMMYFUNCTION("""COMPUTED_VALUE"""),"sur1_savage_quest_select_cell")</f>
        <v/>
      </c>
      <c r="L529" s="334" t="n"/>
      <c r="M529" s="334" t="n"/>
      <c r="N529" s="339" t="n"/>
      <c r="O529" s="368" t="n"/>
      <c r="P529" s="334" t="n"/>
    </row>
    <row r="530">
      <c r="A530" s="334">
        <f>IFERROR(__xludf.DUMMYFUNCTION("""COMPUTED_VALUE"""),"sur1")</f>
        <v/>
      </c>
      <c r="B530" s="334">
        <f>IFERROR(__xludf.DUMMYFUNCTION("""COMPUTED_VALUE"""),"魔都精兵のスレイブ")</f>
        <v/>
      </c>
      <c r="C530" s="334">
        <f>IFERROR(__xludf.DUMMYFUNCTION("""COMPUTED_VALUE"""),"savage")</f>
        <v/>
      </c>
      <c r="D530" s="334">
        <f>IFERROR(__xludf.DUMMYFUNCTION("""COMPUTED_VALUE"""),"event")</f>
        <v/>
      </c>
      <c r="E530" s="408">
        <f>IFERROR(__xludf.DUMMYFUNCTION("""COMPUTED_VALUE"""),"高難易度")</f>
        <v/>
      </c>
      <c r="F530" s="408">
        <f>IFERROR(__xludf.DUMMYFUNCTION("""COMPUTED_VALUE"""),"quest_event_sur1_savage")</f>
        <v/>
      </c>
      <c r="G530" s="334">
        <f>IFERROR(__xludf.DUMMYFUNCTION("""COMPUTED_VALUE"""),"スレイブと組長")</f>
        <v/>
      </c>
      <c r="H530" s="408">
        <f>IFERROR(__xludf.DUMMYFUNCTION("""COMPUTED_VALUE"""),"02")</f>
        <v/>
      </c>
      <c r="I530" s="334">
        <f>IFERROR(__xludf.DUMMYFUNCTION("""COMPUTED_VALUE"""),"event_sur1_savage_00002")</f>
        <v/>
      </c>
      <c r="J530" s="334" t="n"/>
      <c r="K530" s="334" t="n"/>
      <c r="L530" s="334" t="n"/>
      <c r="M530" s="334" t="n"/>
      <c r="N530" s="339" t="n"/>
      <c r="O530" s="368" t="n"/>
      <c r="P530" s="334" t="n"/>
    </row>
    <row r="531">
      <c r="A531" s="334">
        <f>IFERROR(__xludf.DUMMYFUNCTION("""COMPUTED_VALUE"""),"sur1")</f>
        <v/>
      </c>
      <c r="B531" s="334">
        <f>IFERROR(__xludf.DUMMYFUNCTION("""COMPUTED_VALUE"""),"魔都精兵のスレイブ")</f>
        <v/>
      </c>
      <c r="C531" s="334">
        <f>IFERROR(__xludf.DUMMYFUNCTION("""COMPUTED_VALUE"""),"savage")</f>
        <v/>
      </c>
      <c r="D531" s="334">
        <f>IFERROR(__xludf.DUMMYFUNCTION("""COMPUTED_VALUE"""),"event")</f>
        <v/>
      </c>
      <c r="E531" s="408">
        <f>IFERROR(__xludf.DUMMYFUNCTION("""COMPUTED_VALUE"""),"高難易度")</f>
        <v/>
      </c>
      <c r="F531" s="408">
        <f>IFERROR(__xludf.DUMMYFUNCTION("""COMPUTED_VALUE"""),"quest_event_sur1_savage")</f>
        <v/>
      </c>
      <c r="G531" s="334">
        <f>IFERROR(__xludf.DUMMYFUNCTION("""COMPUTED_VALUE"""),"スレイブと組長")</f>
        <v/>
      </c>
      <c r="H531" s="408">
        <f>IFERROR(__xludf.DUMMYFUNCTION("""COMPUTED_VALUE"""),"03")</f>
        <v/>
      </c>
      <c r="I531" s="334">
        <f>IFERROR(__xludf.DUMMYFUNCTION("""COMPUTED_VALUE"""),"event_sur1_savage_00003")</f>
        <v/>
      </c>
      <c r="J531" s="334" t="n"/>
      <c r="K531" s="334" t="n"/>
      <c r="L531" s="334" t="n"/>
      <c r="M531" s="334" t="n"/>
      <c r="N531" s="339" t="n"/>
      <c r="O531" s="368" t="n"/>
      <c r="P531" s="334" t="n"/>
    </row>
    <row r="532">
      <c r="A532" s="334" t="n"/>
      <c r="B532" s="334" t="n"/>
      <c r="C532" s="334" t="n"/>
      <c r="D532" s="334" t="n"/>
      <c r="E532" s="334" t="n"/>
      <c r="F532" s="334" t="n"/>
      <c r="G532" s="334" t="n"/>
      <c r="H532" s="334" t="n"/>
      <c r="I532" s="334" t="n"/>
      <c r="J532" s="334" t="n"/>
      <c r="K532" s="334" t="n"/>
      <c r="L532" s="334" t="n"/>
      <c r="M532" s="334" t="n"/>
      <c r="N532" s="339" t="n"/>
      <c r="O532" s="368" t="n"/>
      <c r="P532" s="334" t="n"/>
    </row>
    <row r="533">
      <c r="A533" s="334">
        <f>IFERROR(__xludf.DUMMYFUNCTION("""COMPUTED_VALUE"""),"osh1")</f>
        <v/>
      </c>
      <c r="B533" s="334">
        <f>IFERROR(__xludf.DUMMYFUNCTION("""COMPUTED_VALUE"""),"【推しの子】")</f>
        <v/>
      </c>
      <c r="C533" s="334">
        <f>IFERROR(__xludf.DUMMYFUNCTION("""COMPUTED_VALUE"""),"1day")</f>
        <v/>
      </c>
      <c r="D533" s="334">
        <f>IFERROR(__xludf.DUMMYFUNCTION("""COMPUTED_VALUE"""),"event")</f>
        <v/>
      </c>
      <c r="E533" s="408">
        <f>IFERROR(__xludf.DUMMYFUNCTION("""COMPUTED_VALUE"""),"デイリー")</f>
        <v/>
      </c>
      <c r="F533" s="408">
        <f>IFERROR(__xludf.DUMMYFUNCTION("""COMPUTED_VALUE"""),"quest_event_osh1_1day")</f>
        <v/>
      </c>
      <c r="G533" s="334">
        <f>IFERROR(__xludf.DUMMYFUNCTION("""COMPUTED_VALUE"""),"ファンと推し合戦!")</f>
        <v/>
      </c>
      <c r="H533" s="408">
        <f>IFERROR(__xludf.DUMMYFUNCTION("""COMPUTED_VALUE"""),"01")</f>
        <v/>
      </c>
      <c r="I533" s="334">
        <f>IFERROR(__xludf.DUMMYFUNCTION("""COMPUTED_VALUE"""),"event_osh1_1day_00001")</f>
        <v/>
      </c>
      <c r="J533" s="334" t="n"/>
      <c r="K533" s="334">
        <f>IFERROR(__xludf.DUMMYFUNCTION("""COMPUTED_VALUE"""),"osh1_1day_quest_select_cell")</f>
        <v/>
      </c>
      <c r="L533" s="334" t="n"/>
      <c r="M533" s="334" t="n"/>
      <c r="N533" s="339" t="n"/>
      <c r="O533" s="368" t="n"/>
      <c r="P533" s="334" t="n"/>
    </row>
    <row r="534">
      <c r="A534" s="334">
        <f>IFERROR(__xludf.DUMMYFUNCTION("""COMPUTED_VALUE"""),"osh1")</f>
        <v/>
      </c>
      <c r="B534" s="334">
        <f>IFERROR(__xludf.DUMMYFUNCTION("""COMPUTED_VALUE"""),"【推しの子】")</f>
        <v/>
      </c>
      <c r="C534" s="334">
        <f>IFERROR(__xludf.DUMMYFUNCTION("""COMPUTED_VALUE"""),"charaget01")</f>
        <v/>
      </c>
      <c r="D534" s="334">
        <f>IFERROR(__xludf.DUMMYFUNCTION("""COMPUTED_VALUE"""),"event")</f>
        <v/>
      </c>
      <c r="E534" s="408">
        <f>IFERROR(__xludf.DUMMYFUNCTION("""COMPUTED_VALUE"""),"ストーリー")</f>
        <v/>
      </c>
      <c r="F534" s="408">
        <f>IFERROR(__xludf.DUMMYFUNCTION("""COMPUTED_VALUE"""),"quest_event_osh1_charaget01")</f>
        <v/>
      </c>
      <c r="G534" s="334">
        <f>IFERROR(__xludf.DUMMYFUNCTION("""COMPUTED_VALUE"""),"芸能界へ!")</f>
        <v/>
      </c>
      <c r="H534" s="408">
        <f>IFERROR(__xludf.DUMMYFUNCTION("""COMPUTED_VALUE"""),"01")</f>
        <v/>
      </c>
      <c r="I534" s="334">
        <f>IFERROR(__xludf.DUMMYFUNCTION("""COMPUTED_VALUE"""),"event_osh1_charaget01_00001")</f>
        <v/>
      </c>
      <c r="J534" s="334" t="n"/>
      <c r="K534" s="334">
        <f>IFERROR(__xludf.DUMMYFUNCTION("""COMPUTED_VALUE"""),"osh1_charaget01_quest_select_cell")</f>
        <v/>
      </c>
      <c r="L534" s="334" t="n"/>
      <c r="M534" s="334" t="n"/>
      <c r="N534" s="339" t="n"/>
      <c r="O534" s="368" t="n"/>
      <c r="P534" s="334" t="n"/>
    </row>
    <row r="535">
      <c r="A535" s="334">
        <f>IFERROR(__xludf.DUMMYFUNCTION("""COMPUTED_VALUE"""),"osh1")</f>
        <v/>
      </c>
      <c r="B535" s="334">
        <f>IFERROR(__xludf.DUMMYFUNCTION("""COMPUTED_VALUE"""),"【推しの子】")</f>
        <v/>
      </c>
      <c r="C535" s="334">
        <f>IFERROR(__xludf.DUMMYFUNCTION("""COMPUTED_VALUE"""),"charaget01")</f>
        <v/>
      </c>
      <c r="D535" s="334">
        <f>IFERROR(__xludf.DUMMYFUNCTION("""COMPUTED_VALUE"""),"event")</f>
        <v/>
      </c>
      <c r="E535" s="408">
        <f>IFERROR(__xludf.DUMMYFUNCTION("""COMPUTED_VALUE"""),"ストーリー")</f>
        <v/>
      </c>
      <c r="F535" s="408">
        <f>IFERROR(__xludf.DUMMYFUNCTION("""COMPUTED_VALUE"""),"quest_event_osh1_charaget01")</f>
        <v/>
      </c>
      <c r="G535" s="334">
        <f>IFERROR(__xludf.DUMMYFUNCTION("""COMPUTED_VALUE"""),"芸能界へ!")</f>
        <v/>
      </c>
      <c r="H535" s="408">
        <f>IFERROR(__xludf.DUMMYFUNCTION("""COMPUTED_VALUE"""),"02")</f>
        <v/>
      </c>
      <c r="I535" s="334">
        <f>IFERROR(__xludf.DUMMYFUNCTION("""COMPUTED_VALUE"""),"event_osh1_charaget01_00002")</f>
        <v/>
      </c>
      <c r="J535" s="334" t="n"/>
      <c r="K535" s="334" t="n"/>
      <c r="L535" s="334" t="n"/>
      <c r="M535" s="334" t="n"/>
      <c r="N535" s="339" t="n"/>
      <c r="O535" s="368" t="n"/>
      <c r="P535" s="334" t="n"/>
    </row>
    <row r="536">
      <c r="A536" s="334">
        <f>IFERROR(__xludf.DUMMYFUNCTION("""COMPUTED_VALUE"""),"osh1")</f>
        <v/>
      </c>
      <c r="B536" s="334">
        <f>IFERROR(__xludf.DUMMYFUNCTION("""COMPUTED_VALUE"""),"【推しの子】")</f>
        <v/>
      </c>
      <c r="C536" s="334">
        <f>IFERROR(__xludf.DUMMYFUNCTION("""COMPUTED_VALUE"""),"charaget01")</f>
        <v/>
      </c>
      <c r="D536" s="334">
        <f>IFERROR(__xludf.DUMMYFUNCTION("""COMPUTED_VALUE"""),"event")</f>
        <v/>
      </c>
      <c r="E536" s="408">
        <f>IFERROR(__xludf.DUMMYFUNCTION("""COMPUTED_VALUE"""),"ストーリー")</f>
        <v/>
      </c>
      <c r="F536" s="408">
        <f>IFERROR(__xludf.DUMMYFUNCTION("""COMPUTED_VALUE"""),"quest_event_osh1_charaget01")</f>
        <v/>
      </c>
      <c r="G536" s="334">
        <f>IFERROR(__xludf.DUMMYFUNCTION("""COMPUTED_VALUE"""),"芸能界へ!")</f>
        <v/>
      </c>
      <c r="H536" s="408">
        <f>IFERROR(__xludf.DUMMYFUNCTION("""COMPUTED_VALUE"""),"03")</f>
        <v/>
      </c>
      <c r="I536" s="334">
        <f>IFERROR(__xludf.DUMMYFUNCTION("""COMPUTED_VALUE"""),"event_osh1_charaget01_00003")</f>
        <v/>
      </c>
      <c r="J536" s="334" t="n"/>
      <c r="K536" s="334" t="n"/>
      <c r="L536" s="334" t="n"/>
      <c r="M536" s="334" t="n"/>
      <c r="N536" s="339" t="n"/>
      <c r="O536" s="368" t="n"/>
      <c r="P536" s="334" t="n"/>
    </row>
    <row r="537">
      <c r="A537" s="334">
        <f>IFERROR(__xludf.DUMMYFUNCTION("""COMPUTED_VALUE"""),"osh1")</f>
        <v/>
      </c>
      <c r="B537" s="334">
        <f>IFERROR(__xludf.DUMMYFUNCTION("""COMPUTED_VALUE"""),"【推しの子】")</f>
        <v/>
      </c>
      <c r="C537" s="334">
        <f>IFERROR(__xludf.DUMMYFUNCTION("""COMPUTED_VALUE"""),"challenge01")</f>
        <v/>
      </c>
      <c r="D537" s="334">
        <f>IFERROR(__xludf.DUMMYFUNCTION("""COMPUTED_VALUE"""),"event")</f>
        <v/>
      </c>
      <c r="E537" s="408">
        <f>IFERROR(__xludf.DUMMYFUNCTION("""COMPUTED_VALUE"""),"収集")</f>
        <v/>
      </c>
      <c r="F537" s="408">
        <f>IFERROR(__xludf.DUMMYFUNCTION("""COMPUTED_VALUE"""),"quest_event_osh1_challenge01")</f>
        <v/>
      </c>
      <c r="G537" s="334">
        <f>IFERROR(__xludf.DUMMYFUNCTION("""COMPUTED_VALUE"""),"推しの子になってやる")</f>
        <v/>
      </c>
      <c r="H537" s="408">
        <f>IFERROR(__xludf.DUMMYFUNCTION("""COMPUTED_VALUE"""),"01")</f>
        <v/>
      </c>
      <c r="I537" s="334">
        <f>IFERROR(__xludf.DUMMYFUNCTION("""COMPUTED_VALUE"""),"event_osh1_challenge01_00001")</f>
        <v/>
      </c>
      <c r="J537" s="334" t="n"/>
      <c r="K537" s="334">
        <f>IFERROR(__xludf.DUMMYFUNCTION("""COMPUTED_VALUE"""),"osh1_challenge01_quest_select_cell")</f>
        <v/>
      </c>
      <c r="L537" s="334" t="n"/>
      <c r="M537" s="334" t="n"/>
      <c r="N537" s="339" t="n"/>
      <c r="O537" s="368" t="n"/>
      <c r="P537" s="334" t="n"/>
    </row>
    <row r="538">
      <c r="A538" s="334">
        <f>IFERROR(__xludf.DUMMYFUNCTION("""COMPUTED_VALUE"""),"osh1")</f>
        <v/>
      </c>
      <c r="B538" s="334">
        <f>IFERROR(__xludf.DUMMYFUNCTION("""COMPUTED_VALUE"""),"【推しの子】")</f>
        <v/>
      </c>
      <c r="C538" s="334">
        <f>IFERROR(__xludf.DUMMYFUNCTION("""COMPUTED_VALUE"""),"challenge01")</f>
        <v/>
      </c>
      <c r="D538" s="334">
        <f>IFERROR(__xludf.DUMMYFUNCTION("""COMPUTED_VALUE"""),"event")</f>
        <v/>
      </c>
      <c r="E538" s="408">
        <f>IFERROR(__xludf.DUMMYFUNCTION("""COMPUTED_VALUE"""),"収集")</f>
        <v/>
      </c>
      <c r="F538" s="408">
        <f>IFERROR(__xludf.DUMMYFUNCTION("""COMPUTED_VALUE"""),"quest_event_osh1_challenge01")</f>
        <v/>
      </c>
      <c r="G538" s="334">
        <f>IFERROR(__xludf.DUMMYFUNCTION("""COMPUTED_VALUE"""),"推しの子になってやる")</f>
        <v/>
      </c>
      <c r="H538" s="408">
        <f>IFERROR(__xludf.DUMMYFUNCTION("""COMPUTED_VALUE"""),"02")</f>
        <v/>
      </c>
      <c r="I538" s="334">
        <f>IFERROR(__xludf.DUMMYFUNCTION("""COMPUTED_VALUE"""),"event_osh1_challenge01_00002")</f>
        <v/>
      </c>
      <c r="J538" s="334" t="n"/>
      <c r="K538" s="334" t="n"/>
      <c r="L538" s="334" t="n"/>
      <c r="M538" s="334" t="n"/>
      <c r="N538" s="339" t="n"/>
      <c r="O538" s="368" t="n"/>
      <c r="P538" s="334" t="n"/>
    </row>
    <row r="539">
      <c r="A539" s="334">
        <f>IFERROR(__xludf.DUMMYFUNCTION("""COMPUTED_VALUE"""),"osh1")</f>
        <v/>
      </c>
      <c r="B539" s="334">
        <f>IFERROR(__xludf.DUMMYFUNCTION("""COMPUTED_VALUE"""),"【推しの子】")</f>
        <v/>
      </c>
      <c r="C539" s="334">
        <f>IFERROR(__xludf.DUMMYFUNCTION("""COMPUTED_VALUE"""),"challenge01")</f>
        <v/>
      </c>
      <c r="D539" s="334">
        <f>IFERROR(__xludf.DUMMYFUNCTION("""COMPUTED_VALUE"""),"event")</f>
        <v/>
      </c>
      <c r="E539" s="408">
        <f>IFERROR(__xludf.DUMMYFUNCTION("""COMPUTED_VALUE"""),"収集")</f>
        <v/>
      </c>
      <c r="F539" s="408">
        <f>IFERROR(__xludf.DUMMYFUNCTION("""COMPUTED_VALUE"""),"quest_event_osh1_challenge01")</f>
        <v/>
      </c>
      <c r="G539" s="334">
        <f>IFERROR(__xludf.DUMMYFUNCTION("""COMPUTED_VALUE"""),"推しの子になってやる")</f>
        <v/>
      </c>
      <c r="H539" s="408">
        <f>IFERROR(__xludf.DUMMYFUNCTION("""COMPUTED_VALUE"""),"03")</f>
        <v/>
      </c>
      <c r="I539" s="334">
        <f>IFERROR(__xludf.DUMMYFUNCTION("""COMPUTED_VALUE"""),"event_osh1_challenge01_00003")</f>
        <v/>
      </c>
      <c r="J539" s="334" t="n"/>
      <c r="K539" s="334" t="n"/>
      <c r="L539" s="334" t="n"/>
      <c r="M539" s="334" t="n"/>
      <c r="N539" s="339" t="n"/>
      <c r="O539" s="368" t="n"/>
      <c r="P539" s="334" t="n"/>
    </row>
    <row r="540">
      <c r="A540" s="334">
        <f>IFERROR(__xludf.DUMMYFUNCTION("""COMPUTED_VALUE"""),"osh1")</f>
        <v/>
      </c>
      <c r="B540" s="334">
        <f>IFERROR(__xludf.DUMMYFUNCTION("""COMPUTED_VALUE"""),"【推しの子】")</f>
        <v/>
      </c>
      <c r="C540" s="334">
        <f>IFERROR(__xludf.DUMMYFUNCTION("""COMPUTED_VALUE"""),"challenge01")</f>
        <v/>
      </c>
      <c r="D540" s="334">
        <f>IFERROR(__xludf.DUMMYFUNCTION("""COMPUTED_VALUE"""),"event")</f>
        <v/>
      </c>
      <c r="E540" s="408">
        <f>IFERROR(__xludf.DUMMYFUNCTION("""COMPUTED_VALUE"""),"収集")</f>
        <v/>
      </c>
      <c r="F540" s="408">
        <f>IFERROR(__xludf.DUMMYFUNCTION("""COMPUTED_VALUE"""),"quest_event_osh1_challenge01")</f>
        <v/>
      </c>
      <c r="G540" s="334">
        <f>IFERROR(__xludf.DUMMYFUNCTION("""COMPUTED_VALUE"""),"推しの子になってやる")</f>
        <v/>
      </c>
      <c r="H540" s="408">
        <f>IFERROR(__xludf.DUMMYFUNCTION("""COMPUTED_VALUE"""),"04")</f>
        <v/>
      </c>
      <c r="I540" s="334">
        <f>IFERROR(__xludf.DUMMYFUNCTION("""COMPUTED_VALUE"""),"event_osh1_challenge01_00004")</f>
        <v/>
      </c>
      <c r="J540" s="334" t="n"/>
      <c r="K540" s="334" t="n"/>
      <c r="L540" s="334" t="n"/>
      <c r="M540" s="334" t="n"/>
      <c r="N540" s="339" t="n"/>
      <c r="O540" s="368" t="n"/>
      <c r="P540" s="334" t="n"/>
    </row>
    <row r="541">
      <c r="A541" s="334">
        <f>IFERROR(__xludf.DUMMYFUNCTION("""COMPUTED_VALUE"""),"osh1")</f>
        <v/>
      </c>
      <c r="B541" s="334">
        <f>IFERROR(__xludf.DUMMYFUNCTION("""COMPUTED_VALUE"""),"【推しの子】")</f>
        <v/>
      </c>
      <c r="C541" s="334">
        <f>IFERROR(__xludf.DUMMYFUNCTION("""COMPUTED_VALUE"""),"charaget02")</f>
        <v/>
      </c>
      <c r="D541" s="334">
        <f>IFERROR(__xludf.DUMMYFUNCTION("""COMPUTED_VALUE"""),"event")</f>
        <v/>
      </c>
      <c r="E541" s="408">
        <f>IFERROR(__xludf.DUMMYFUNCTION("""COMPUTED_VALUE"""),"強化")</f>
        <v/>
      </c>
      <c r="F541" s="408">
        <f>IFERROR(__xludf.DUMMYFUNCTION("""COMPUTED_VALUE"""),"quest_event_osh1_charaget02")</f>
        <v/>
      </c>
      <c r="G541" s="334">
        <f>IFERROR(__xludf.DUMMYFUNCTION("""COMPUTED_VALUE"""),"ぴえヨンのブートクエスト")</f>
        <v/>
      </c>
      <c r="H541" s="408">
        <f>IFERROR(__xludf.DUMMYFUNCTION("""COMPUTED_VALUE"""),"01")</f>
        <v/>
      </c>
      <c r="I541" s="334">
        <f>IFERROR(__xludf.DUMMYFUNCTION("""COMPUTED_VALUE"""),"event_osh1_charaget02_00001")</f>
        <v/>
      </c>
      <c r="J541" s="334" t="n"/>
      <c r="K541" s="334">
        <f>IFERROR(__xludf.DUMMYFUNCTION("""COMPUTED_VALUE"""),"osh1_charaget02_quest_select_cell")</f>
        <v/>
      </c>
      <c r="L541" s="334" t="n"/>
      <c r="M541" s="334" t="n"/>
      <c r="N541" s="339" t="n"/>
      <c r="O541" s="368" t="n"/>
      <c r="P541" s="334" t="n"/>
    </row>
    <row r="542">
      <c r="A542" s="334">
        <f>IFERROR(__xludf.DUMMYFUNCTION("""COMPUTED_VALUE"""),"osh1")</f>
        <v/>
      </c>
      <c r="B542" s="334">
        <f>IFERROR(__xludf.DUMMYFUNCTION("""COMPUTED_VALUE"""),"【推しの子】")</f>
        <v/>
      </c>
      <c r="C542" s="334">
        <f>IFERROR(__xludf.DUMMYFUNCTION("""COMPUTED_VALUE"""),"charaget02")</f>
        <v/>
      </c>
      <c r="D542" s="334">
        <f>IFERROR(__xludf.DUMMYFUNCTION("""COMPUTED_VALUE"""),"event")</f>
        <v/>
      </c>
      <c r="E542" s="408">
        <f>IFERROR(__xludf.DUMMYFUNCTION("""COMPUTED_VALUE"""),"強化")</f>
        <v/>
      </c>
      <c r="F542" s="408">
        <f>IFERROR(__xludf.DUMMYFUNCTION("""COMPUTED_VALUE"""),"quest_event_osh1_charaget02")</f>
        <v/>
      </c>
      <c r="G542" s="334">
        <f>IFERROR(__xludf.DUMMYFUNCTION("""COMPUTED_VALUE"""),"ぴえヨンのブートクエスト")</f>
        <v/>
      </c>
      <c r="H542" s="408">
        <f>IFERROR(__xludf.DUMMYFUNCTION("""COMPUTED_VALUE"""),"02")</f>
        <v/>
      </c>
      <c r="I542" s="334">
        <f>IFERROR(__xludf.DUMMYFUNCTION("""COMPUTED_VALUE"""),"event_osh1_charaget02_00002")</f>
        <v/>
      </c>
      <c r="J542" s="334" t="n"/>
      <c r="K542" s="334" t="n"/>
      <c r="L542" s="334" t="n"/>
      <c r="M542" s="334" t="n"/>
      <c r="N542" s="339" t="n"/>
      <c r="O542" s="368" t="n"/>
      <c r="P542" s="334" t="n"/>
    </row>
    <row r="543">
      <c r="A543" s="334">
        <f>IFERROR(__xludf.DUMMYFUNCTION("""COMPUTED_VALUE"""),"osh1")</f>
        <v/>
      </c>
      <c r="B543" s="334">
        <f>IFERROR(__xludf.DUMMYFUNCTION("""COMPUTED_VALUE"""),"【推しの子】")</f>
        <v/>
      </c>
      <c r="C543" s="334">
        <f>IFERROR(__xludf.DUMMYFUNCTION("""COMPUTED_VALUE"""),"charaget02")</f>
        <v/>
      </c>
      <c r="D543" s="334">
        <f>IFERROR(__xludf.DUMMYFUNCTION("""COMPUTED_VALUE"""),"event")</f>
        <v/>
      </c>
      <c r="E543" s="408">
        <f>IFERROR(__xludf.DUMMYFUNCTION("""COMPUTED_VALUE"""),"強化")</f>
        <v/>
      </c>
      <c r="F543" s="408">
        <f>IFERROR(__xludf.DUMMYFUNCTION("""COMPUTED_VALUE"""),"quest_event_osh1_charaget02")</f>
        <v/>
      </c>
      <c r="G543" s="334">
        <f>IFERROR(__xludf.DUMMYFUNCTION("""COMPUTED_VALUE"""),"ぴえヨンのブートクエスト")</f>
        <v/>
      </c>
      <c r="H543" s="408">
        <f>IFERROR(__xludf.DUMMYFUNCTION("""COMPUTED_VALUE"""),"03")</f>
        <v/>
      </c>
      <c r="I543" s="334">
        <f>IFERROR(__xludf.DUMMYFUNCTION("""COMPUTED_VALUE"""),"event_osh1_charaget02_00003")</f>
        <v/>
      </c>
      <c r="J543" s="334" t="n"/>
      <c r="K543" s="334" t="n"/>
      <c r="L543" s="334" t="n"/>
      <c r="M543" s="334" t="n"/>
      <c r="N543" s="339" t="n"/>
      <c r="O543" s="368" t="n"/>
      <c r="P543" s="334" t="n"/>
    </row>
    <row r="544">
      <c r="A544" s="334">
        <f>IFERROR(__xludf.DUMMYFUNCTION("""COMPUTED_VALUE"""),"osh1")</f>
        <v/>
      </c>
      <c r="B544" s="334">
        <f>IFERROR(__xludf.DUMMYFUNCTION("""COMPUTED_VALUE"""),"【推しの子】")</f>
        <v/>
      </c>
      <c r="C544" s="334">
        <f>IFERROR(__xludf.DUMMYFUNCTION("""COMPUTED_VALUE"""),"charaget02")</f>
        <v/>
      </c>
      <c r="D544" s="334">
        <f>IFERROR(__xludf.DUMMYFUNCTION("""COMPUTED_VALUE"""),"event")</f>
        <v/>
      </c>
      <c r="E544" s="408">
        <f>IFERROR(__xludf.DUMMYFUNCTION("""COMPUTED_VALUE"""),"強化")</f>
        <v/>
      </c>
      <c r="F544" s="408">
        <f>IFERROR(__xludf.DUMMYFUNCTION("""COMPUTED_VALUE"""),"quest_event_osh1_charaget02")</f>
        <v/>
      </c>
      <c r="G544" s="334">
        <f>IFERROR(__xludf.DUMMYFUNCTION("""COMPUTED_VALUE"""),"ぴえヨンのブートクエスト")</f>
        <v/>
      </c>
      <c r="H544" s="408">
        <f>IFERROR(__xludf.DUMMYFUNCTION("""COMPUTED_VALUE"""),"04")</f>
        <v/>
      </c>
      <c r="I544" s="334">
        <f>IFERROR(__xludf.DUMMYFUNCTION("""COMPUTED_VALUE"""),"event_osh1_charaget02_00004")</f>
        <v/>
      </c>
      <c r="J544" s="334" t="n"/>
      <c r="K544" s="334" t="n"/>
      <c r="L544" s="334" t="n"/>
      <c r="M544" s="334" t="n"/>
      <c r="N544" s="339" t="n"/>
      <c r="O544" s="368" t="n"/>
      <c r="P544" s="334" t="n"/>
    </row>
    <row r="545">
      <c r="A545" s="334">
        <f>IFERROR(__xludf.DUMMYFUNCTION("""COMPUTED_VALUE"""),"osh1")</f>
        <v/>
      </c>
      <c r="B545" s="334">
        <f>IFERROR(__xludf.DUMMYFUNCTION("""COMPUTED_VALUE"""),"【推しの子】")</f>
        <v/>
      </c>
      <c r="C545" s="334">
        <f>IFERROR(__xludf.DUMMYFUNCTION("""COMPUTED_VALUE"""),"savage")</f>
        <v/>
      </c>
      <c r="D545" s="334">
        <f>IFERROR(__xludf.DUMMYFUNCTION("""COMPUTED_VALUE"""),"event")</f>
        <v/>
      </c>
      <c r="E545" s="408">
        <f>IFERROR(__xludf.DUMMYFUNCTION("""COMPUTED_VALUE"""),"高難易度")</f>
        <v/>
      </c>
      <c r="F545" s="408">
        <f>IFERROR(__xludf.DUMMYFUNCTION("""COMPUTED_VALUE"""),"quest_event_osh1_savage")</f>
        <v/>
      </c>
      <c r="G545" s="334">
        <f>IFERROR(__xludf.DUMMYFUNCTION("""COMPUTED_VALUE"""),"芸能界には才能が集まる")</f>
        <v/>
      </c>
      <c r="H545" s="408">
        <f>IFERROR(__xludf.DUMMYFUNCTION("""COMPUTED_VALUE"""),"01")</f>
        <v/>
      </c>
      <c r="I545" s="334">
        <f>IFERROR(__xludf.DUMMYFUNCTION("""COMPUTED_VALUE"""),"event_osh1_savage_00001")</f>
        <v/>
      </c>
      <c r="J545" s="334" t="n"/>
      <c r="K545" s="334">
        <f>IFERROR(__xludf.DUMMYFUNCTION("""COMPUTED_VALUE"""),"osh1_savage_quest_select_cell")</f>
        <v/>
      </c>
      <c r="L545" s="334" t="n"/>
      <c r="M545" s="334" t="n"/>
      <c r="N545" s="339" t="n"/>
      <c r="O545" s="368" t="n"/>
      <c r="P545" s="334" t="n"/>
    </row>
    <row r="546">
      <c r="A546" s="334">
        <f>IFERROR(__xludf.DUMMYFUNCTION("""COMPUTED_VALUE"""),"osh1")</f>
        <v/>
      </c>
      <c r="B546" s="334">
        <f>IFERROR(__xludf.DUMMYFUNCTION("""COMPUTED_VALUE"""),"【推しの子】")</f>
        <v/>
      </c>
      <c r="C546" s="334">
        <f>IFERROR(__xludf.DUMMYFUNCTION("""COMPUTED_VALUE"""),"savage")</f>
        <v/>
      </c>
      <c r="D546" s="334">
        <f>IFERROR(__xludf.DUMMYFUNCTION("""COMPUTED_VALUE"""),"event")</f>
        <v/>
      </c>
      <c r="E546" s="408">
        <f>IFERROR(__xludf.DUMMYFUNCTION("""COMPUTED_VALUE"""),"高難易度")</f>
        <v/>
      </c>
      <c r="F546" s="408">
        <f>IFERROR(__xludf.DUMMYFUNCTION("""COMPUTED_VALUE"""),"quest_event_osh1_savage")</f>
        <v/>
      </c>
      <c r="G546" s="334">
        <f>IFERROR(__xludf.DUMMYFUNCTION("""COMPUTED_VALUE"""),"芸能界には才能が集まる")</f>
        <v/>
      </c>
      <c r="H546" s="408">
        <f>IFERROR(__xludf.DUMMYFUNCTION("""COMPUTED_VALUE"""),"02")</f>
        <v/>
      </c>
      <c r="I546" s="334">
        <f>IFERROR(__xludf.DUMMYFUNCTION("""COMPUTED_VALUE"""),"event_osh1_savage_00002")</f>
        <v/>
      </c>
      <c r="J546" s="334" t="n"/>
      <c r="K546" s="334" t="n"/>
      <c r="L546" s="334" t="n"/>
      <c r="M546" s="334" t="n"/>
      <c r="N546" s="339" t="n"/>
      <c r="O546" s="368" t="n"/>
      <c r="P546" s="334" t="n"/>
    </row>
    <row r="547">
      <c r="A547" s="334">
        <f>IFERROR(__xludf.DUMMYFUNCTION("""COMPUTED_VALUE"""),"osh1")</f>
        <v/>
      </c>
      <c r="B547" s="334">
        <f>IFERROR(__xludf.DUMMYFUNCTION("""COMPUTED_VALUE"""),"【推しの子】")</f>
        <v/>
      </c>
      <c r="C547" s="334">
        <f>IFERROR(__xludf.DUMMYFUNCTION("""COMPUTED_VALUE"""),"savage")</f>
        <v/>
      </c>
      <c r="D547" s="334">
        <f>IFERROR(__xludf.DUMMYFUNCTION("""COMPUTED_VALUE"""),"event")</f>
        <v/>
      </c>
      <c r="E547" s="408">
        <f>IFERROR(__xludf.DUMMYFUNCTION("""COMPUTED_VALUE"""),"高難易度")</f>
        <v/>
      </c>
      <c r="F547" s="408">
        <f>IFERROR(__xludf.DUMMYFUNCTION("""COMPUTED_VALUE"""),"quest_event_osh1_savage")</f>
        <v/>
      </c>
      <c r="G547" s="334">
        <f>IFERROR(__xludf.DUMMYFUNCTION("""COMPUTED_VALUE"""),"芸能界には才能が集まる")</f>
        <v/>
      </c>
      <c r="H547" s="408">
        <f>IFERROR(__xludf.DUMMYFUNCTION("""COMPUTED_VALUE"""),"03")</f>
        <v/>
      </c>
      <c r="I547" s="334">
        <f>IFERROR(__xludf.DUMMYFUNCTION("""COMPUTED_VALUE"""),"event_osh1_savage_00003")</f>
        <v/>
      </c>
      <c r="J547" s="334" t="n"/>
      <c r="K547" s="334" t="n"/>
      <c r="L547" s="334" t="n"/>
      <c r="M547" s="334" t="n"/>
      <c r="N547" s="339" t="n"/>
      <c r="O547" s="368" t="n"/>
      <c r="P547" s="334" t="n"/>
    </row>
    <row r="548">
      <c r="A548" s="334" t="n"/>
      <c r="B548" s="334" t="n"/>
      <c r="C548" s="334" t="n"/>
      <c r="D548" s="334" t="n"/>
      <c r="E548" s="334" t="n"/>
      <c r="F548" s="334" t="n"/>
      <c r="G548" s="334" t="n"/>
      <c r="H548" s="334" t="n"/>
      <c r="I548" s="334" t="n"/>
      <c r="J548" s="334" t="n"/>
      <c r="K548" s="334" t="n"/>
      <c r="L548" s="334" t="n"/>
      <c r="M548" s="334" t="n"/>
      <c r="N548" s="339" t="n"/>
      <c r="O548" s="368" t="n"/>
      <c r="P548" s="334" t="n"/>
    </row>
    <row r="549">
      <c r="A549" s="334">
        <f>IFERROR(__xludf.DUMMYFUNCTION("""COMPUTED_VALUE"""),"glo1")</f>
        <v/>
      </c>
      <c r="B549" s="334">
        <f>IFERROR(__xludf.DUMMYFUNCTION("""COMPUTED_VALUE"""),"GLOW")</f>
        <v/>
      </c>
      <c r="C549" s="334">
        <f>IFERROR(__xludf.DUMMYFUNCTION("""COMPUTED_VALUE"""),"1day")</f>
        <v/>
      </c>
      <c r="D549" s="334">
        <f>IFERROR(__xludf.DUMMYFUNCTION("""COMPUTED_VALUE"""),"event")</f>
        <v/>
      </c>
      <c r="E549" s="408">
        <f>IFERROR(__xludf.DUMMYFUNCTION("""COMPUTED_VALUE"""),"デイリー")</f>
        <v/>
      </c>
      <c r="F549" s="408">
        <f>IFERROR(__xludf.DUMMYFUNCTION("""COMPUTED_VALUE"""),"quest_event_glo1_1day")</f>
        <v/>
      </c>
      <c r="G549" s="334">
        <f>IFERROR(__xludf.DUMMYFUNCTION("""COMPUTED_VALUE"""),"開運!ジャンブル運試し")</f>
        <v/>
      </c>
      <c r="H549" s="408">
        <f>IFERROR(__xludf.DUMMYFUNCTION("""COMPUTED_VALUE"""),"02")</f>
        <v/>
      </c>
      <c r="I549" s="334">
        <f>IFERROR(__xludf.DUMMYFUNCTION("""COMPUTED_VALUE"""),"event_glo1_1day_00002")</f>
        <v/>
      </c>
      <c r="J549" s="334" t="n"/>
      <c r="K549" s="334">
        <f>IFERROR(__xludf.DUMMYFUNCTION("""COMPUTED_VALUE"""),"glo1_1day_quest_select_cell")</f>
        <v/>
      </c>
      <c r="L549" s="334" t="n"/>
      <c r="M549" s="334" t="n"/>
      <c r="N549" s="339" t="n"/>
      <c r="O549" s="368" t="n"/>
      <c r="P549" s="334" t="n"/>
    </row>
    <row r="550">
      <c r="A550" s="334" t="n"/>
      <c r="B550" s="334" t="n"/>
      <c r="C550" s="334" t="n"/>
      <c r="D550" s="334" t="n"/>
      <c r="E550" s="334" t="n"/>
      <c r="F550" s="334" t="n"/>
      <c r="G550" s="334" t="n"/>
      <c r="H550" s="334" t="n"/>
      <c r="I550" s="334" t="n"/>
      <c r="J550" s="334" t="n"/>
      <c r="K550" s="334" t="n"/>
      <c r="L550" s="334" t="n"/>
      <c r="M550" s="334" t="n"/>
      <c r="N550" s="339" t="n"/>
      <c r="O550" s="368" t="n"/>
      <c r="P550" s="334" t="n"/>
    </row>
    <row r="551">
      <c r="A551" s="334">
        <f>IFERROR(__xludf.DUMMYFUNCTION("""COMPUTED_VALUE"""),"jig1")</f>
        <v/>
      </c>
      <c r="B551" s="334">
        <f>IFERROR(__xludf.DUMMYFUNCTION("""COMPUTED_VALUE"""),"地獄楽")</f>
        <v/>
      </c>
      <c r="C551" s="334">
        <f>IFERROR(__xludf.DUMMYFUNCTION("""COMPUTED_VALUE"""),"1day")</f>
        <v/>
      </c>
      <c r="D551" s="334">
        <f>IFERROR(__xludf.DUMMYFUNCTION("""COMPUTED_VALUE"""),"event")</f>
        <v/>
      </c>
      <c r="E551" s="408">
        <f>IFERROR(__xludf.DUMMYFUNCTION("""COMPUTED_VALUE"""),"デイリー")</f>
        <v/>
      </c>
      <c r="F551" s="408">
        <f>IFERROR(__xludf.DUMMYFUNCTION("""COMPUTED_VALUE"""),"quest_event_jig1_1day")</f>
        <v/>
      </c>
      <c r="G551" s="334">
        <f>IFERROR(__xludf.DUMMYFUNCTION("""COMPUTED_VALUE"""),"本能が告げている 危険だと")</f>
        <v/>
      </c>
      <c r="H551" s="408">
        <f>IFERROR(__xludf.DUMMYFUNCTION("""COMPUTED_VALUE"""),"01")</f>
        <v/>
      </c>
      <c r="I551" s="334">
        <f>IFERROR(__xludf.DUMMYFUNCTION("""COMPUTED_VALUE"""),"event_jig1_1day_00001")</f>
        <v/>
      </c>
      <c r="J551" s="334" t="n"/>
      <c r="K551" s="334">
        <f>IFERROR(__xludf.DUMMYFUNCTION("""COMPUTED_VALUE"""),"jig1_1day_quest_select_cell")</f>
        <v/>
      </c>
      <c r="L551" s="334" t="n"/>
      <c r="M551" s="334" t="n"/>
      <c r="N551" s="339" t="n"/>
      <c r="O551" s="368" t="n"/>
      <c r="P551" s="334" t="n"/>
    </row>
    <row r="552">
      <c r="A552" s="334">
        <f>IFERROR(__xludf.DUMMYFUNCTION("""COMPUTED_VALUE"""),"jig1")</f>
        <v/>
      </c>
      <c r="B552" s="334">
        <f>IFERROR(__xludf.DUMMYFUNCTION("""COMPUTED_VALUE"""),"地獄楽")</f>
        <v/>
      </c>
      <c r="C552" s="334">
        <f>IFERROR(__xludf.DUMMYFUNCTION("""COMPUTED_VALUE"""),"charaget01")</f>
        <v/>
      </c>
      <c r="D552" s="334">
        <f>IFERROR(__xludf.DUMMYFUNCTION("""COMPUTED_VALUE"""),"event")</f>
        <v/>
      </c>
      <c r="E552" s="408">
        <f>IFERROR(__xludf.DUMMYFUNCTION("""COMPUTED_VALUE"""),"ストーリー")</f>
        <v/>
      </c>
      <c r="F552" s="408">
        <f>IFERROR(__xludf.DUMMYFUNCTION("""COMPUTED_VALUE"""),"quest_event_jig1_charaget01")</f>
        <v/>
      </c>
      <c r="G552" s="334">
        <f>IFERROR(__xludf.DUMMYFUNCTION("""COMPUTED_VALUE"""),"必ず生きて帰る")</f>
        <v/>
      </c>
      <c r="H552" s="408">
        <f>IFERROR(__xludf.DUMMYFUNCTION("""COMPUTED_VALUE"""),"01")</f>
        <v/>
      </c>
      <c r="I552" s="334">
        <f>IFERROR(__xludf.DUMMYFUNCTION("""COMPUTED_VALUE"""),"event_jig1_charaget01_00001")</f>
        <v/>
      </c>
      <c r="J552" s="334" t="n"/>
      <c r="K552" s="334">
        <f>IFERROR(__xludf.DUMMYFUNCTION("""COMPUTED_VALUE"""),"jig1_charaget01_quest_select_cell")</f>
        <v/>
      </c>
      <c r="L552" s="334" t="n"/>
      <c r="M552" s="334" t="n"/>
      <c r="N552" s="339" t="n"/>
      <c r="O552" s="368" t="n"/>
      <c r="P552" s="334" t="n"/>
    </row>
    <row r="553">
      <c r="A553" s="334">
        <f>IFERROR(__xludf.DUMMYFUNCTION("""COMPUTED_VALUE"""),"jig1")</f>
        <v/>
      </c>
      <c r="B553" s="334">
        <f>IFERROR(__xludf.DUMMYFUNCTION("""COMPUTED_VALUE"""),"地獄楽")</f>
        <v/>
      </c>
      <c r="C553" s="334">
        <f>IFERROR(__xludf.DUMMYFUNCTION("""COMPUTED_VALUE"""),"charaget01")</f>
        <v/>
      </c>
      <c r="D553" s="334">
        <f>IFERROR(__xludf.DUMMYFUNCTION("""COMPUTED_VALUE"""),"event")</f>
        <v/>
      </c>
      <c r="E553" s="408">
        <f>IFERROR(__xludf.DUMMYFUNCTION("""COMPUTED_VALUE"""),"ストーリー")</f>
        <v/>
      </c>
      <c r="F553" s="408">
        <f>IFERROR(__xludf.DUMMYFUNCTION("""COMPUTED_VALUE"""),"quest_event_jig1_charaget01")</f>
        <v/>
      </c>
      <c r="G553" s="334">
        <f>IFERROR(__xludf.DUMMYFUNCTION("""COMPUTED_VALUE"""),"必ず生きて帰る")</f>
        <v/>
      </c>
      <c r="H553" s="408">
        <f>IFERROR(__xludf.DUMMYFUNCTION("""COMPUTED_VALUE"""),"02")</f>
        <v/>
      </c>
      <c r="I553" s="334">
        <f>IFERROR(__xludf.DUMMYFUNCTION("""COMPUTED_VALUE"""),"event_jig1_charaget01_00002")</f>
        <v/>
      </c>
      <c r="J553" s="334" t="n"/>
      <c r="K553" s="334" t="n"/>
      <c r="L553" s="334" t="n"/>
      <c r="M553" s="334" t="n"/>
      <c r="N553" s="339" t="n"/>
      <c r="O553" s="368" t="n"/>
      <c r="P553" s="334" t="n"/>
    </row>
    <row r="554">
      <c r="A554" s="334">
        <f>IFERROR(__xludf.DUMMYFUNCTION("""COMPUTED_VALUE"""),"jig1")</f>
        <v/>
      </c>
      <c r="B554" s="334">
        <f>IFERROR(__xludf.DUMMYFUNCTION("""COMPUTED_VALUE"""),"地獄楽")</f>
        <v/>
      </c>
      <c r="C554" s="334">
        <f>IFERROR(__xludf.DUMMYFUNCTION("""COMPUTED_VALUE"""),"charaget01")</f>
        <v/>
      </c>
      <c r="D554" s="334">
        <f>IFERROR(__xludf.DUMMYFUNCTION("""COMPUTED_VALUE"""),"event")</f>
        <v/>
      </c>
      <c r="E554" s="408">
        <f>IFERROR(__xludf.DUMMYFUNCTION("""COMPUTED_VALUE"""),"ストーリー")</f>
        <v/>
      </c>
      <c r="F554" s="408">
        <f>IFERROR(__xludf.DUMMYFUNCTION("""COMPUTED_VALUE"""),"quest_event_jig1_charaget01")</f>
        <v/>
      </c>
      <c r="G554" s="334">
        <f>IFERROR(__xludf.DUMMYFUNCTION("""COMPUTED_VALUE"""),"必ず生きて帰る")</f>
        <v/>
      </c>
      <c r="H554" s="408">
        <f>IFERROR(__xludf.DUMMYFUNCTION("""COMPUTED_VALUE"""),"03")</f>
        <v/>
      </c>
      <c r="I554" s="334">
        <f>IFERROR(__xludf.DUMMYFUNCTION("""COMPUTED_VALUE"""),"event_jig1_charaget01_00003")</f>
        <v/>
      </c>
      <c r="J554" s="334" t="n"/>
      <c r="K554" s="334" t="n"/>
      <c r="L554" s="334" t="n"/>
      <c r="M554" s="334" t="n"/>
      <c r="N554" s="339" t="n"/>
      <c r="O554" s="368" t="n"/>
      <c r="P554" s="334" t="n"/>
    </row>
    <row r="555">
      <c r="A555" s="334">
        <f>IFERROR(__xludf.DUMMYFUNCTION("""COMPUTED_VALUE"""),"jig1")</f>
        <v/>
      </c>
      <c r="B555" s="334">
        <f>IFERROR(__xludf.DUMMYFUNCTION("""COMPUTED_VALUE"""),"地獄楽")</f>
        <v/>
      </c>
      <c r="C555" s="334">
        <f>IFERROR(__xludf.DUMMYFUNCTION("""COMPUTED_VALUE"""),"charaget01")</f>
        <v/>
      </c>
      <c r="D555" s="334">
        <f>IFERROR(__xludf.DUMMYFUNCTION("""COMPUTED_VALUE"""),"event")</f>
        <v/>
      </c>
      <c r="E555" s="408">
        <f>IFERROR(__xludf.DUMMYFUNCTION("""COMPUTED_VALUE"""),"ストーリー")</f>
        <v/>
      </c>
      <c r="F555" s="408">
        <f>IFERROR(__xludf.DUMMYFUNCTION("""COMPUTED_VALUE"""),"quest_event_jig1_charaget01")</f>
        <v/>
      </c>
      <c r="G555" s="334">
        <f>IFERROR(__xludf.DUMMYFUNCTION("""COMPUTED_VALUE"""),"必ず生きて帰る")</f>
        <v/>
      </c>
      <c r="H555" s="408">
        <f>IFERROR(__xludf.DUMMYFUNCTION("""COMPUTED_VALUE"""),"04")</f>
        <v/>
      </c>
      <c r="I555" s="334">
        <f>IFERROR(__xludf.DUMMYFUNCTION("""COMPUTED_VALUE"""),"event_jig1_charaget01_00004")</f>
        <v/>
      </c>
      <c r="J555" s="334" t="n"/>
      <c r="K555" s="334" t="n"/>
      <c r="L555" s="334" t="n"/>
      <c r="M555" s="334" t="n"/>
      <c r="N555" s="339" t="n"/>
      <c r="O555" s="368" t="n"/>
      <c r="P555" s="334" t="n"/>
    </row>
    <row r="556">
      <c r="A556" s="334">
        <f>IFERROR(__xludf.DUMMYFUNCTION("""COMPUTED_VALUE"""),"jig1")</f>
        <v/>
      </c>
      <c r="B556" s="334">
        <f>IFERROR(__xludf.DUMMYFUNCTION("""COMPUTED_VALUE"""),"地獄楽")</f>
        <v/>
      </c>
      <c r="C556" s="334">
        <f>IFERROR(__xludf.DUMMYFUNCTION("""COMPUTED_VALUE"""),"charaget01")</f>
        <v/>
      </c>
      <c r="D556" s="334">
        <f>IFERROR(__xludf.DUMMYFUNCTION("""COMPUTED_VALUE"""),"event")</f>
        <v/>
      </c>
      <c r="E556" s="408">
        <f>IFERROR(__xludf.DUMMYFUNCTION("""COMPUTED_VALUE"""),"ストーリー")</f>
        <v/>
      </c>
      <c r="F556" s="408">
        <f>IFERROR(__xludf.DUMMYFUNCTION("""COMPUTED_VALUE"""),"quest_event_jig1_charaget01")</f>
        <v/>
      </c>
      <c r="G556" s="334">
        <f>IFERROR(__xludf.DUMMYFUNCTION("""COMPUTED_VALUE"""),"必ず生きて帰る")</f>
        <v/>
      </c>
      <c r="H556" s="408">
        <f>IFERROR(__xludf.DUMMYFUNCTION("""COMPUTED_VALUE"""),"05")</f>
        <v/>
      </c>
      <c r="I556" s="334">
        <f>IFERROR(__xludf.DUMMYFUNCTION("""COMPUTED_VALUE"""),"event_jig1_charaget01_00005")</f>
        <v/>
      </c>
      <c r="J556" s="334" t="n"/>
      <c r="K556" s="334" t="n"/>
      <c r="L556" s="334" t="n"/>
      <c r="M556" s="334" t="n"/>
      <c r="N556" s="339" t="n"/>
      <c r="O556" s="368" t="n"/>
      <c r="P556" s="334" t="n"/>
    </row>
    <row r="557">
      <c r="A557" s="334">
        <f>IFERROR(__xludf.DUMMYFUNCTION("""COMPUTED_VALUE"""),"jig1")</f>
        <v/>
      </c>
      <c r="B557" s="334">
        <f>IFERROR(__xludf.DUMMYFUNCTION("""COMPUTED_VALUE"""),"地獄楽")</f>
        <v/>
      </c>
      <c r="C557" s="334">
        <f>IFERROR(__xludf.DUMMYFUNCTION("""COMPUTED_VALUE"""),"charaget01")</f>
        <v/>
      </c>
      <c r="D557" s="334">
        <f>IFERROR(__xludf.DUMMYFUNCTION("""COMPUTED_VALUE"""),"event")</f>
        <v/>
      </c>
      <c r="E557" s="408">
        <f>IFERROR(__xludf.DUMMYFUNCTION("""COMPUTED_VALUE"""),"ストーリー")</f>
        <v/>
      </c>
      <c r="F557" s="408">
        <f>IFERROR(__xludf.DUMMYFUNCTION("""COMPUTED_VALUE"""),"quest_event_jig1_charaget01")</f>
        <v/>
      </c>
      <c r="G557" s="334">
        <f>IFERROR(__xludf.DUMMYFUNCTION("""COMPUTED_VALUE"""),"必ず生きて帰る")</f>
        <v/>
      </c>
      <c r="H557" s="408">
        <f>IFERROR(__xludf.DUMMYFUNCTION("""COMPUTED_VALUE"""),"06")</f>
        <v/>
      </c>
      <c r="I557" s="334">
        <f>IFERROR(__xludf.DUMMYFUNCTION("""COMPUTED_VALUE"""),"event_jig1_charaget01_00006")</f>
        <v/>
      </c>
      <c r="J557" s="334" t="n"/>
      <c r="K557" s="334" t="n"/>
      <c r="L557" s="334" t="n"/>
      <c r="M557" s="334" t="n"/>
      <c r="N557" s="339" t="n"/>
      <c r="O557" s="368" t="n"/>
      <c r="P557" s="334" t="n"/>
    </row>
    <row r="558">
      <c r="A558" s="334">
        <f>IFERROR(__xludf.DUMMYFUNCTION("""COMPUTED_VALUE"""),"jig1")</f>
        <v/>
      </c>
      <c r="B558" s="334">
        <f>IFERROR(__xludf.DUMMYFUNCTION("""COMPUTED_VALUE"""),"地獄楽")</f>
        <v/>
      </c>
      <c r="C558" s="334">
        <f>IFERROR(__xludf.DUMMYFUNCTION("""COMPUTED_VALUE"""),"charaget01")</f>
        <v/>
      </c>
      <c r="D558" s="334">
        <f>IFERROR(__xludf.DUMMYFUNCTION("""COMPUTED_VALUE"""),"event")</f>
        <v/>
      </c>
      <c r="E558" s="408">
        <f>IFERROR(__xludf.DUMMYFUNCTION("""COMPUTED_VALUE"""),"ストーリー")</f>
        <v/>
      </c>
      <c r="F558" s="408">
        <f>IFERROR(__xludf.DUMMYFUNCTION("""COMPUTED_VALUE"""),"quest_event_jig1_charaget01")</f>
        <v/>
      </c>
      <c r="G558" s="334">
        <f>IFERROR(__xludf.DUMMYFUNCTION("""COMPUTED_VALUE"""),"必ず生きて帰る")</f>
        <v/>
      </c>
      <c r="H558" s="408">
        <f>IFERROR(__xludf.DUMMYFUNCTION("""COMPUTED_VALUE"""),"07")</f>
        <v/>
      </c>
      <c r="I558" s="334">
        <f>IFERROR(__xludf.DUMMYFUNCTION("""COMPUTED_VALUE"""),"event_jig1_charaget01_00007")</f>
        <v/>
      </c>
      <c r="J558" s="334" t="n"/>
      <c r="K558" s="334" t="n"/>
      <c r="L558" s="334" t="n"/>
      <c r="M558" s="334" t="n"/>
      <c r="N558" s="339" t="n"/>
      <c r="O558" s="368" t="n"/>
      <c r="P558" s="334" t="n"/>
    </row>
    <row r="559">
      <c r="A559" s="334">
        <f>IFERROR(__xludf.DUMMYFUNCTION("""COMPUTED_VALUE"""),"jig1")</f>
        <v/>
      </c>
      <c r="B559" s="334">
        <f>IFERROR(__xludf.DUMMYFUNCTION("""COMPUTED_VALUE"""),"地獄楽")</f>
        <v/>
      </c>
      <c r="C559" s="334">
        <f>IFERROR(__xludf.DUMMYFUNCTION("""COMPUTED_VALUE"""),"charaget01")</f>
        <v/>
      </c>
      <c r="D559" s="334">
        <f>IFERROR(__xludf.DUMMYFUNCTION("""COMPUTED_VALUE"""),"event")</f>
        <v/>
      </c>
      <c r="E559" s="408">
        <f>IFERROR(__xludf.DUMMYFUNCTION("""COMPUTED_VALUE"""),"ストーリー")</f>
        <v/>
      </c>
      <c r="F559" s="408">
        <f>IFERROR(__xludf.DUMMYFUNCTION("""COMPUTED_VALUE"""),"quest_event_jig1_charaget01")</f>
        <v/>
      </c>
      <c r="G559" s="334">
        <f>IFERROR(__xludf.DUMMYFUNCTION("""COMPUTED_VALUE"""),"必ず生きて帰る")</f>
        <v/>
      </c>
      <c r="H559" s="408">
        <f>IFERROR(__xludf.DUMMYFUNCTION("""COMPUTED_VALUE"""),"08")</f>
        <v/>
      </c>
      <c r="I559" s="334">
        <f>IFERROR(__xludf.DUMMYFUNCTION("""COMPUTED_VALUE"""),"event_jig1_charaget01_00008")</f>
        <v/>
      </c>
      <c r="J559" s="334" t="n"/>
      <c r="K559" s="334" t="n"/>
      <c r="L559" s="334" t="n"/>
      <c r="M559" s="334" t="n"/>
      <c r="N559" s="339" t="n"/>
      <c r="O559" s="368" t="n"/>
      <c r="P559" s="334" t="n"/>
    </row>
    <row r="560">
      <c r="A560" s="334">
        <f>IFERROR(__xludf.DUMMYFUNCTION("""COMPUTED_VALUE"""),"jig1")</f>
        <v/>
      </c>
      <c r="B560" s="334">
        <f>IFERROR(__xludf.DUMMYFUNCTION("""COMPUTED_VALUE"""),"地獄楽")</f>
        <v/>
      </c>
      <c r="C560" s="334">
        <f>IFERROR(__xludf.DUMMYFUNCTION("""COMPUTED_VALUE"""),"charaget02")</f>
        <v/>
      </c>
      <c r="D560" s="334">
        <f>IFERROR(__xludf.DUMMYFUNCTION("""COMPUTED_VALUE"""),"event")</f>
        <v/>
      </c>
      <c r="E560" s="408">
        <f>IFERROR(__xludf.DUMMYFUNCTION("""COMPUTED_VALUE"""),"ストーリー")</f>
        <v/>
      </c>
      <c r="F560" s="408">
        <f>IFERROR(__xludf.DUMMYFUNCTION("""COMPUTED_VALUE"""),"quest_event_jig1_charaget02")</f>
        <v/>
      </c>
      <c r="G560" s="334">
        <f>IFERROR(__xludf.DUMMYFUNCTION("""COMPUTED_VALUE"""),"朱印の者たち")</f>
        <v/>
      </c>
      <c r="H560" s="408">
        <f>IFERROR(__xludf.DUMMYFUNCTION("""COMPUTED_VALUE"""),"01")</f>
        <v/>
      </c>
      <c r="I560" s="334">
        <f>IFERROR(__xludf.DUMMYFUNCTION("""COMPUTED_VALUE"""),"event_jig1_charaget02_00001")</f>
        <v/>
      </c>
      <c r="J560" s="334" t="n"/>
      <c r="K560" s="334">
        <f>IFERROR(__xludf.DUMMYFUNCTION("""COMPUTED_VALUE"""),"jig1_charaget02_quest_select_cell")</f>
        <v/>
      </c>
      <c r="L560" s="334" t="n"/>
      <c r="M560" s="334" t="n"/>
      <c r="N560" s="339" t="n"/>
      <c r="O560" s="368" t="n"/>
      <c r="P560" s="334" t="n"/>
    </row>
    <row r="561">
      <c r="A561" s="334">
        <f>IFERROR(__xludf.DUMMYFUNCTION("""COMPUTED_VALUE"""),"jig1")</f>
        <v/>
      </c>
      <c r="B561" s="334">
        <f>IFERROR(__xludf.DUMMYFUNCTION("""COMPUTED_VALUE"""),"地獄楽")</f>
        <v/>
      </c>
      <c r="C561" s="334">
        <f>IFERROR(__xludf.DUMMYFUNCTION("""COMPUTED_VALUE"""),"charaget02")</f>
        <v/>
      </c>
      <c r="D561" s="334">
        <f>IFERROR(__xludf.DUMMYFUNCTION("""COMPUTED_VALUE"""),"event")</f>
        <v/>
      </c>
      <c r="E561" s="408">
        <f>IFERROR(__xludf.DUMMYFUNCTION("""COMPUTED_VALUE"""),"ストーリー")</f>
        <v/>
      </c>
      <c r="F561" s="408">
        <f>IFERROR(__xludf.DUMMYFUNCTION("""COMPUTED_VALUE"""),"quest_event_jig1_charaget02")</f>
        <v/>
      </c>
      <c r="G561" s="334">
        <f>IFERROR(__xludf.DUMMYFUNCTION("""COMPUTED_VALUE"""),"朱印の者たち")</f>
        <v/>
      </c>
      <c r="H561" s="408">
        <f>IFERROR(__xludf.DUMMYFUNCTION("""COMPUTED_VALUE"""),"02")</f>
        <v/>
      </c>
      <c r="I561" s="334">
        <f>IFERROR(__xludf.DUMMYFUNCTION("""COMPUTED_VALUE"""),"event_jig1_charaget02_00002")</f>
        <v/>
      </c>
      <c r="J561" s="334" t="n"/>
      <c r="K561" s="334" t="n"/>
      <c r="L561" s="334" t="n"/>
      <c r="M561" s="334" t="n"/>
      <c r="N561" s="339" t="n"/>
      <c r="O561" s="368" t="n"/>
      <c r="P561" s="334" t="n"/>
    </row>
    <row r="562">
      <c r="A562" s="334">
        <f>IFERROR(__xludf.DUMMYFUNCTION("""COMPUTED_VALUE"""),"jig1")</f>
        <v/>
      </c>
      <c r="B562" s="334">
        <f>IFERROR(__xludf.DUMMYFUNCTION("""COMPUTED_VALUE"""),"地獄楽")</f>
        <v/>
      </c>
      <c r="C562" s="334">
        <f>IFERROR(__xludf.DUMMYFUNCTION("""COMPUTED_VALUE"""),"charaget02")</f>
        <v/>
      </c>
      <c r="D562" s="334">
        <f>IFERROR(__xludf.DUMMYFUNCTION("""COMPUTED_VALUE"""),"event")</f>
        <v/>
      </c>
      <c r="E562" s="408">
        <f>IFERROR(__xludf.DUMMYFUNCTION("""COMPUTED_VALUE"""),"ストーリー")</f>
        <v/>
      </c>
      <c r="F562" s="408">
        <f>IFERROR(__xludf.DUMMYFUNCTION("""COMPUTED_VALUE"""),"quest_event_jig1_charaget02")</f>
        <v/>
      </c>
      <c r="G562" s="334">
        <f>IFERROR(__xludf.DUMMYFUNCTION("""COMPUTED_VALUE"""),"朱印の者たち")</f>
        <v/>
      </c>
      <c r="H562" s="408">
        <f>IFERROR(__xludf.DUMMYFUNCTION("""COMPUTED_VALUE"""),"03")</f>
        <v/>
      </c>
      <c r="I562" s="334">
        <f>IFERROR(__xludf.DUMMYFUNCTION("""COMPUTED_VALUE"""),"event_jig1_charaget02_00003")</f>
        <v/>
      </c>
      <c r="J562" s="334" t="n"/>
      <c r="K562" s="334" t="n"/>
      <c r="L562" s="334" t="n"/>
      <c r="M562" s="334" t="n"/>
      <c r="N562" s="339" t="n"/>
      <c r="O562" s="368" t="n"/>
      <c r="P562" s="334" t="n"/>
    </row>
    <row r="563">
      <c r="A563" s="334">
        <f>IFERROR(__xludf.DUMMYFUNCTION("""COMPUTED_VALUE"""),"jig1")</f>
        <v/>
      </c>
      <c r="B563" s="334">
        <f>IFERROR(__xludf.DUMMYFUNCTION("""COMPUTED_VALUE"""),"地獄楽")</f>
        <v/>
      </c>
      <c r="C563" s="334">
        <f>IFERROR(__xludf.DUMMYFUNCTION("""COMPUTED_VALUE"""),"charaget02")</f>
        <v/>
      </c>
      <c r="D563" s="334">
        <f>IFERROR(__xludf.DUMMYFUNCTION("""COMPUTED_VALUE"""),"event")</f>
        <v/>
      </c>
      <c r="E563" s="408">
        <f>IFERROR(__xludf.DUMMYFUNCTION("""COMPUTED_VALUE"""),"ストーリー")</f>
        <v/>
      </c>
      <c r="F563" s="408">
        <f>IFERROR(__xludf.DUMMYFUNCTION("""COMPUTED_VALUE"""),"quest_event_jig1_charaget02")</f>
        <v/>
      </c>
      <c r="G563" s="334">
        <f>IFERROR(__xludf.DUMMYFUNCTION("""COMPUTED_VALUE"""),"朱印の者たち")</f>
        <v/>
      </c>
      <c r="H563" s="408">
        <f>IFERROR(__xludf.DUMMYFUNCTION("""COMPUTED_VALUE"""),"04")</f>
        <v/>
      </c>
      <c r="I563" s="334">
        <f>IFERROR(__xludf.DUMMYFUNCTION("""COMPUTED_VALUE"""),"event_jig1_charaget02_00004")</f>
        <v/>
      </c>
      <c r="J563" s="334" t="n"/>
      <c r="K563" s="334" t="n"/>
      <c r="L563" s="334" t="n"/>
      <c r="M563" s="334" t="n"/>
      <c r="N563" s="339" t="n"/>
      <c r="O563" s="368" t="n"/>
      <c r="P563" s="334" t="n"/>
    </row>
    <row r="564">
      <c r="A564" s="334">
        <f>IFERROR(__xludf.DUMMYFUNCTION("""COMPUTED_VALUE"""),"jig1")</f>
        <v/>
      </c>
      <c r="B564" s="334">
        <f>IFERROR(__xludf.DUMMYFUNCTION("""COMPUTED_VALUE"""),"地獄楽")</f>
        <v/>
      </c>
      <c r="C564" s="334">
        <f>IFERROR(__xludf.DUMMYFUNCTION("""COMPUTED_VALUE"""),"charaget02")</f>
        <v/>
      </c>
      <c r="D564" s="334">
        <f>IFERROR(__xludf.DUMMYFUNCTION("""COMPUTED_VALUE"""),"event")</f>
        <v/>
      </c>
      <c r="E564" s="408">
        <f>IFERROR(__xludf.DUMMYFUNCTION("""COMPUTED_VALUE"""),"ストーリー")</f>
        <v/>
      </c>
      <c r="F564" s="408">
        <f>IFERROR(__xludf.DUMMYFUNCTION("""COMPUTED_VALUE"""),"quest_event_jig1_charaget02")</f>
        <v/>
      </c>
      <c r="G564" s="334">
        <f>IFERROR(__xludf.DUMMYFUNCTION("""COMPUTED_VALUE"""),"朱印の者たち")</f>
        <v/>
      </c>
      <c r="H564" s="408">
        <f>IFERROR(__xludf.DUMMYFUNCTION("""COMPUTED_VALUE"""),"05")</f>
        <v/>
      </c>
      <c r="I564" s="334">
        <f>IFERROR(__xludf.DUMMYFUNCTION("""COMPUTED_VALUE"""),"event_jig1_charaget02_00005")</f>
        <v/>
      </c>
      <c r="J564" s="334" t="n"/>
      <c r="K564" s="334" t="n"/>
      <c r="L564" s="334" t="n"/>
      <c r="M564" s="334" t="n"/>
      <c r="N564" s="339" t="n"/>
      <c r="O564" s="368" t="n"/>
      <c r="P564" s="334" t="n"/>
    </row>
    <row r="565">
      <c r="A565" s="334">
        <f>IFERROR(__xludf.DUMMYFUNCTION("""COMPUTED_VALUE"""),"jig1")</f>
        <v/>
      </c>
      <c r="B565" s="334">
        <f>IFERROR(__xludf.DUMMYFUNCTION("""COMPUTED_VALUE"""),"地獄楽")</f>
        <v/>
      </c>
      <c r="C565" s="334">
        <f>IFERROR(__xludf.DUMMYFUNCTION("""COMPUTED_VALUE"""),"charaget02")</f>
        <v/>
      </c>
      <c r="D565" s="334">
        <f>IFERROR(__xludf.DUMMYFUNCTION("""COMPUTED_VALUE"""),"event")</f>
        <v/>
      </c>
      <c r="E565" s="408">
        <f>IFERROR(__xludf.DUMMYFUNCTION("""COMPUTED_VALUE"""),"ストーリー")</f>
        <v/>
      </c>
      <c r="F565" s="408">
        <f>IFERROR(__xludf.DUMMYFUNCTION("""COMPUTED_VALUE"""),"quest_event_jig1_charaget02")</f>
        <v/>
      </c>
      <c r="G565" s="334">
        <f>IFERROR(__xludf.DUMMYFUNCTION("""COMPUTED_VALUE"""),"朱印の者たち")</f>
        <v/>
      </c>
      <c r="H565" s="408">
        <f>IFERROR(__xludf.DUMMYFUNCTION("""COMPUTED_VALUE"""),"06")</f>
        <v/>
      </c>
      <c r="I565" s="334">
        <f>IFERROR(__xludf.DUMMYFUNCTION("""COMPUTED_VALUE"""),"event_jig1_charaget02_00006")</f>
        <v/>
      </c>
      <c r="J565" s="334" t="n"/>
      <c r="K565" s="334" t="n"/>
      <c r="L565" s="334" t="n"/>
      <c r="M565" s="334" t="n"/>
      <c r="N565" s="339" t="n"/>
      <c r="O565" s="368" t="n"/>
      <c r="P565" s="334" t="n"/>
    </row>
    <row r="566">
      <c r="A566" s="334">
        <f>IFERROR(__xludf.DUMMYFUNCTION("""COMPUTED_VALUE"""),"jig1")</f>
        <v/>
      </c>
      <c r="B566" s="334">
        <f>IFERROR(__xludf.DUMMYFUNCTION("""COMPUTED_VALUE"""),"地獄楽")</f>
        <v/>
      </c>
      <c r="C566" s="334">
        <f>IFERROR(__xludf.DUMMYFUNCTION("""COMPUTED_VALUE"""),"charaget02")</f>
        <v/>
      </c>
      <c r="D566" s="334">
        <f>IFERROR(__xludf.DUMMYFUNCTION("""COMPUTED_VALUE"""),"event")</f>
        <v/>
      </c>
      <c r="E566" s="408">
        <f>IFERROR(__xludf.DUMMYFUNCTION("""COMPUTED_VALUE"""),"ストーリー")</f>
        <v/>
      </c>
      <c r="F566" s="408">
        <f>IFERROR(__xludf.DUMMYFUNCTION("""COMPUTED_VALUE"""),"quest_event_jig1_charaget02")</f>
        <v/>
      </c>
      <c r="G566" s="334">
        <f>IFERROR(__xludf.DUMMYFUNCTION("""COMPUTED_VALUE"""),"朱印の者たち")</f>
        <v/>
      </c>
      <c r="H566" s="408">
        <f>IFERROR(__xludf.DUMMYFUNCTION("""COMPUTED_VALUE"""),"07")</f>
        <v/>
      </c>
      <c r="I566" s="334">
        <f>IFERROR(__xludf.DUMMYFUNCTION("""COMPUTED_VALUE"""),"event_jig1_charaget02_00007")</f>
        <v/>
      </c>
      <c r="J566" s="334" t="n"/>
      <c r="K566" s="334" t="n"/>
      <c r="L566" s="334" t="n"/>
      <c r="M566" s="334" t="n"/>
      <c r="N566" s="339" t="n"/>
      <c r="O566" s="368" t="n"/>
      <c r="P566" s="334" t="n"/>
    </row>
    <row r="567">
      <c r="A567" s="334">
        <f>IFERROR(__xludf.DUMMYFUNCTION("""COMPUTED_VALUE"""),"jig1")</f>
        <v/>
      </c>
      <c r="B567" s="334">
        <f>IFERROR(__xludf.DUMMYFUNCTION("""COMPUTED_VALUE"""),"地獄楽")</f>
        <v/>
      </c>
      <c r="C567" s="334">
        <f>IFERROR(__xludf.DUMMYFUNCTION("""COMPUTED_VALUE"""),"charaget02")</f>
        <v/>
      </c>
      <c r="D567" s="334">
        <f>IFERROR(__xludf.DUMMYFUNCTION("""COMPUTED_VALUE"""),"event")</f>
        <v/>
      </c>
      <c r="E567" s="408">
        <f>IFERROR(__xludf.DUMMYFUNCTION("""COMPUTED_VALUE"""),"ストーリー")</f>
        <v/>
      </c>
      <c r="F567" s="408">
        <f>IFERROR(__xludf.DUMMYFUNCTION("""COMPUTED_VALUE"""),"quest_event_jig1_charaget02")</f>
        <v/>
      </c>
      <c r="G567" s="334">
        <f>IFERROR(__xludf.DUMMYFUNCTION("""COMPUTED_VALUE"""),"朱印の者たち")</f>
        <v/>
      </c>
      <c r="H567" s="408">
        <f>IFERROR(__xludf.DUMMYFUNCTION("""COMPUTED_VALUE"""),"08")</f>
        <v/>
      </c>
      <c r="I567" s="334">
        <f>IFERROR(__xludf.DUMMYFUNCTION("""COMPUTED_VALUE"""),"event_jig1_charaget02_00008")</f>
        <v/>
      </c>
      <c r="J567" s="334" t="n"/>
      <c r="K567" s="334" t="n"/>
      <c r="L567" s="334" t="n"/>
      <c r="M567" s="334" t="n"/>
      <c r="N567" s="339" t="n"/>
      <c r="O567" s="368" t="n"/>
      <c r="P567" s="334" t="n"/>
    </row>
    <row r="568">
      <c r="A568" s="334">
        <f>IFERROR(__xludf.DUMMYFUNCTION("""COMPUTED_VALUE"""),"jig1")</f>
        <v/>
      </c>
      <c r="B568" s="334">
        <f>IFERROR(__xludf.DUMMYFUNCTION("""COMPUTED_VALUE"""),"地獄楽")</f>
        <v/>
      </c>
      <c r="C568" s="334">
        <f>IFERROR(__xludf.DUMMYFUNCTION("""COMPUTED_VALUE"""),"challenge01")</f>
        <v/>
      </c>
      <c r="D568" s="334">
        <f>IFERROR(__xludf.DUMMYFUNCTION("""COMPUTED_VALUE"""),"event")</f>
        <v/>
      </c>
      <c r="E568" s="408">
        <f>IFERROR(__xludf.DUMMYFUNCTION("""COMPUTED_VALUE"""),"チャレンジ")</f>
        <v/>
      </c>
      <c r="F568" s="408">
        <f>IFERROR(__xludf.DUMMYFUNCTION("""COMPUTED_VALUE"""),"quest_event_jig1_challenge01")</f>
        <v/>
      </c>
      <c r="G568" s="334">
        <f>IFERROR(__xludf.DUMMYFUNCTION("""COMPUTED_VALUE"""),"死罪人と首切り役人")</f>
        <v/>
      </c>
      <c r="H568" s="408">
        <f>IFERROR(__xludf.DUMMYFUNCTION("""COMPUTED_VALUE"""),"01")</f>
        <v/>
      </c>
      <c r="I568" s="334">
        <f>IFERROR(__xludf.DUMMYFUNCTION("""COMPUTED_VALUE"""),"event_jig1_challenge01_00001")</f>
        <v/>
      </c>
      <c r="J568" s="334" t="n"/>
      <c r="K568" s="334">
        <f>IFERROR(__xludf.DUMMYFUNCTION("""COMPUTED_VALUE"""),"jig1_challenge01_quest_select_cell")</f>
        <v/>
      </c>
      <c r="L568" s="334" t="n"/>
      <c r="M568" s="334" t="n"/>
      <c r="N568" s="339" t="n"/>
      <c r="O568" s="368" t="n"/>
      <c r="P568" s="334" t="n"/>
    </row>
    <row r="569">
      <c r="A569" s="334">
        <f>IFERROR(__xludf.DUMMYFUNCTION("""COMPUTED_VALUE"""),"jig1")</f>
        <v/>
      </c>
      <c r="B569" s="334">
        <f>IFERROR(__xludf.DUMMYFUNCTION("""COMPUTED_VALUE"""),"地獄楽")</f>
        <v/>
      </c>
      <c r="C569" s="334">
        <f>IFERROR(__xludf.DUMMYFUNCTION("""COMPUTED_VALUE"""),"challenge01")</f>
        <v/>
      </c>
      <c r="D569" s="334">
        <f>IFERROR(__xludf.DUMMYFUNCTION("""COMPUTED_VALUE"""),"event")</f>
        <v/>
      </c>
      <c r="E569" s="408">
        <f>IFERROR(__xludf.DUMMYFUNCTION("""COMPUTED_VALUE"""),"チャレンジ")</f>
        <v/>
      </c>
      <c r="F569" s="408">
        <f>IFERROR(__xludf.DUMMYFUNCTION("""COMPUTED_VALUE"""),"quest_event_jig1_challenge01")</f>
        <v/>
      </c>
      <c r="G569" s="334">
        <f>IFERROR(__xludf.DUMMYFUNCTION("""COMPUTED_VALUE"""),"死罪人と首切り役人")</f>
        <v/>
      </c>
      <c r="H569" s="408">
        <f>IFERROR(__xludf.DUMMYFUNCTION("""COMPUTED_VALUE"""),"02")</f>
        <v/>
      </c>
      <c r="I569" s="334">
        <f>IFERROR(__xludf.DUMMYFUNCTION("""COMPUTED_VALUE"""),"event_jig1_challenge01_00002")</f>
        <v/>
      </c>
      <c r="J569" s="334" t="n"/>
      <c r="K569" s="334" t="n"/>
      <c r="L569" s="334" t="n"/>
      <c r="M569" s="334" t="n"/>
      <c r="N569" s="339" t="n"/>
      <c r="O569" s="368" t="n"/>
      <c r="P569" s="334" t="n"/>
    </row>
    <row r="570">
      <c r="A570" s="334">
        <f>IFERROR(__xludf.DUMMYFUNCTION("""COMPUTED_VALUE"""),"jig1")</f>
        <v/>
      </c>
      <c r="B570" s="334">
        <f>IFERROR(__xludf.DUMMYFUNCTION("""COMPUTED_VALUE"""),"地獄楽")</f>
        <v/>
      </c>
      <c r="C570" s="334">
        <f>IFERROR(__xludf.DUMMYFUNCTION("""COMPUTED_VALUE"""),"challenge01")</f>
        <v/>
      </c>
      <c r="D570" s="334">
        <f>IFERROR(__xludf.DUMMYFUNCTION("""COMPUTED_VALUE"""),"event")</f>
        <v/>
      </c>
      <c r="E570" s="408">
        <f>IFERROR(__xludf.DUMMYFUNCTION("""COMPUTED_VALUE"""),"チャレンジ")</f>
        <v/>
      </c>
      <c r="F570" s="408">
        <f>IFERROR(__xludf.DUMMYFUNCTION("""COMPUTED_VALUE"""),"quest_event_jig1_challenge01")</f>
        <v/>
      </c>
      <c r="G570" s="334">
        <f>IFERROR(__xludf.DUMMYFUNCTION("""COMPUTED_VALUE"""),"死罪人と首切り役人")</f>
        <v/>
      </c>
      <c r="H570" s="408">
        <f>IFERROR(__xludf.DUMMYFUNCTION("""COMPUTED_VALUE"""),"03")</f>
        <v/>
      </c>
      <c r="I570" s="334">
        <f>IFERROR(__xludf.DUMMYFUNCTION("""COMPUTED_VALUE"""),"event_jig1_challenge01_00003")</f>
        <v/>
      </c>
      <c r="J570" s="334" t="n"/>
      <c r="K570" s="334" t="n"/>
      <c r="L570" s="334" t="n"/>
      <c r="M570" s="334" t="n"/>
      <c r="N570" s="339" t="n"/>
      <c r="O570" s="368" t="n"/>
      <c r="P570" s="334" t="n"/>
    </row>
    <row r="571">
      <c r="A571" s="334">
        <f>IFERROR(__xludf.DUMMYFUNCTION("""COMPUTED_VALUE"""),"jig1")</f>
        <v/>
      </c>
      <c r="B571" s="334">
        <f>IFERROR(__xludf.DUMMYFUNCTION("""COMPUTED_VALUE"""),"地獄楽")</f>
        <v/>
      </c>
      <c r="C571" s="334">
        <f>IFERROR(__xludf.DUMMYFUNCTION("""COMPUTED_VALUE"""),"challenge01")</f>
        <v/>
      </c>
      <c r="D571" s="334">
        <f>IFERROR(__xludf.DUMMYFUNCTION("""COMPUTED_VALUE"""),"event")</f>
        <v/>
      </c>
      <c r="E571" s="408">
        <f>IFERROR(__xludf.DUMMYFUNCTION("""COMPUTED_VALUE"""),"チャレンジ")</f>
        <v/>
      </c>
      <c r="F571" s="408">
        <f>IFERROR(__xludf.DUMMYFUNCTION("""COMPUTED_VALUE"""),"quest_event_jig1_challenge01")</f>
        <v/>
      </c>
      <c r="G571" s="334">
        <f>IFERROR(__xludf.DUMMYFUNCTION("""COMPUTED_VALUE"""),"死罪人と首切り役人")</f>
        <v/>
      </c>
      <c r="H571" s="408">
        <f>IFERROR(__xludf.DUMMYFUNCTION("""COMPUTED_VALUE"""),"04")</f>
        <v/>
      </c>
      <c r="I571" s="334">
        <f>IFERROR(__xludf.DUMMYFUNCTION("""COMPUTED_VALUE"""),"event_jig1_challenge01_00004")</f>
        <v/>
      </c>
      <c r="J571" s="334" t="n"/>
      <c r="K571" s="334" t="n"/>
      <c r="L571" s="334" t="n"/>
      <c r="M571" s="334" t="n"/>
      <c r="N571" s="339" t="n"/>
      <c r="O571" s="368" t="n"/>
      <c r="P571" s="334" t="n"/>
    </row>
    <row r="572">
      <c r="A572" s="334">
        <f>IFERROR(__xludf.DUMMYFUNCTION("""COMPUTED_VALUE"""),"jig1")</f>
        <v/>
      </c>
      <c r="B572" s="334">
        <f>IFERROR(__xludf.DUMMYFUNCTION("""COMPUTED_VALUE"""),"地獄楽")</f>
        <v/>
      </c>
      <c r="C572" s="334">
        <f>IFERROR(__xludf.DUMMYFUNCTION("""COMPUTED_VALUE"""),"savage")</f>
        <v/>
      </c>
      <c r="D572" s="334">
        <f>IFERROR(__xludf.DUMMYFUNCTION("""COMPUTED_VALUE"""),"event")</f>
        <v/>
      </c>
      <c r="E572" s="408">
        <f>IFERROR(__xludf.DUMMYFUNCTION("""COMPUTED_VALUE"""),"高難易度")</f>
        <v/>
      </c>
      <c r="F572" s="408">
        <f>IFERROR(__xludf.DUMMYFUNCTION("""COMPUTED_VALUE"""),"quest_event_jig1_savage")</f>
        <v/>
      </c>
      <c r="G572" s="334">
        <f>IFERROR(__xludf.DUMMYFUNCTION("""COMPUTED_VALUE"""),"手負いの獣は恐ろしいぞ")</f>
        <v/>
      </c>
      <c r="H572" s="408">
        <f>IFERROR(__xludf.DUMMYFUNCTION("""COMPUTED_VALUE"""),"01")</f>
        <v/>
      </c>
      <c r="I572" s="334">
        <f>IFERROR(__xludf.DUMMYFUNCTION("""COMPUTED_VALUE"""),"event_jig1_savage_00001")</f>
        <v/>
      </c>
      <c r="J572" s="334" t="n"/>
      <c r="K572" s="334">
        <f>IFERROR(__xludf.DUMMYFUNCTION("""COMPUTED_VALUE"""),"jig1_savage_quest_select_cell")</f>
        <v/>
      </c>
      <c r="L572" s="334" t="n"/>
      <c r="M572" s="334" t="n"/>
      <c r="N572" s="339" t="n"/>
      <c r="O572" s="368" t="n"/>
      <c r="P572" s="334" t="n"/>
    </row>
    <row r="573">
      <c r="A573" s="334">
        <f>IFERROR(__xludf.DUMMYFUNCTION("""COMPUTED_VALUE"""),"jig1")</f>
        <v/>
      </c>
      <c r="B573" s="334">
        <f>IFERROR(__xludf.DUMMYFUNCTION("""COMPUTED_VALUE"""),"地獄楽")</f>
        <v/>
      </c>
      <c r="C573" s="334">
        <f>IFERROR(__xludf.DUMMYFUNCTION("""COMPUTED_VALUE"""),"savage")</f>
        <v/>
      </c>
      <c r="D573" s="334">
        <f>IFERROR(__xludf.DUMMYFUNCTION("""COMPUTED_VALUE"""),"event")</f>
        <v/>
      </c>
      <c r="E573" s="408">
        <f>IFERROR(__xludf.DUMMYFUNCTION("""COMPUTED_VALUE"""),"高難易度")</f>
        <v/>
      </c>
      <c r="F573" s="408">
        <f>IFERROR(__xludf.DUMMYFUNCTION("""COMPUTED_VALUE"""),"quest_event_jig1_savage")</f>
        <v/>
      </c>
      <c r="G573" s="334">
        <f>IFERROR(__xludf.DUMMYFUNCTION("""COMPUTED_VALUE"""),"手負いの獣は恐ろしいぞ")</f>
        <v/>
      </c>
      <c r="H573" s="408">
        <f>IFERROR(__xludf.DUMMYFUNCTION("""COMPUTED_VALUE"""),"02")</f>
        <v/>
      </c>
      <c r="I573" s="334">
        <f>IFERROR(__xludf.DUMMYFUNCTION("""COMPUTED_VALUE"""),"event_jig1_savage_00002")</f>
        <v/>
      </c>
      <c r="J573" s="334" t="n"/>
      <c r="K573" s="334" t="n"/>
      <c r="L573" s="334" t="n"/>
      <c r="M573" s="334" t="n"/>
      <c r="N573" s="339" t="n"/>
      <c r="O573" s="368" t="n"/>
      <c r="P573" s="334" t="n"/>
    </row>
    <row r="574">
      <c r="A574" s="334">
        <f>IFERROR(__xludf.DUMMYFUNCTION("""COMPUTED_VALUE"""),"jig1")</f>
        <v/>
      </c>
      <c r="B574" s="334">
        <f>IFERROR(__xludf.DUMMYFUNCTION("""COMPUTED_VALUE"""),"地獄楽")</f>
        <v/>
      </c>
      <c r="C574" s="334">
        <f>IFERROR(__xludf.DUMMYFUNCTION("""COMPUTED_VALUE"""),"savage")</f>
        <v/>
      </c>
      <c r="D574" s="334">
        <f>IFERROR(__xludf.DUMMYFUNCTION("""COMPUTED_VALUE"""),"event")</f>
        <v/>
      </c>
      <c r="E574" s="408">
        <f>IFERROR(__xludf.DUMMYFUNCTION("""COMPUTED_VALUE"""),"高難易度")</f>
        <v/>
      </c>
      <c r="F574" s="408">
        <f>IFERROR(__xludf.DUMMYFUNCTION("""COMPUTED_VALUE"""),"quest_event_jig1_savage")</f>
        <v/>
      </c>
      <c r="G574" s="334">
        <f>IFERROR(__xludf.DUMMYFUNCTION("""COMPUTED_VALUE"""),"手負いの獣は恐ろしいぞ")</f>
        <v/>
      </c>
      <c r="H574" s="408">
        <f>IFERROR(__xludf.DUMMYFUNCTION("""COMPUTED_VALUE"""),"03")</f>
        <v/>
      </c>
      <c r="I574" s="334">
        <f>IFERROR(__xludf.DUMMYFUNCTION("""COMPUTED_VALUE"""),"event_jig1_savage_00003")</f>
        <v/>
      </c>
      <c r="J574" s="334" t="n"/>
      <c r="K574" s="334" t="n"/>
      <c r="L574" s="334" t="n"/>
      <c r="M574" s="334" t="n"/>
      <c r="N574" s="339" t="n"/>
      <c r="O574" s="368" t="n"/>
      <c r="P574" s="334" t="n"/>
    </row>
    <row r="575">
      <c r="A575" s="334" t="n"/>
      <c r="B575" s="334" t="n"/>
      <c r="C575" s="334" t="n"/>
      <c r="D575" s="334" t="n"/>
      <c r="E575" s="334" t="n"/>
      <c r="F575" s="334" t="n"/>
      <c r="G575" s="334" t="n"/>
      <c r="H575" s="334" t="n"/>
      <c r="I575" s="334" t="n"/>
      <c r="J575" s="334" t="n"/>
      <c r="K575" s="334" t="n"/>
      <c r="L575" s="334" t="n"/>
      <c r="M575" s="334" t="n"/>
      <c r="N575" s="339" t="n"/>
      <c r="O575" s="368" t="n"/>
      <c r="P575" s="334" t="n"/>
    </row>
    <row r="576">
      <c r="A576" s="334">
        <f>IFERROR(__xludf.DUMMYFUNCTION("""COMPUTED_VALUE"""),"you1")</f>
        <v/>
      </c>
      <c r="B576" s="334">
        <f>IFERROR(__xludf.DUMMYFUNCTION("""COMPUTED_VALUE"""),"幼稚園WARS")</f>
        <v/>
      </c>
      <c r="C576" s="334">
        <f>IFERROR(__xludf.DUMMYFUNCTION("""COMPUTED_VALUE"""),"1day")</f>
        <v/>
      </c>
      <c r="D576" s="334">
        <f>IFERROR(__xludf.DUMMYFUNCTION("""COMPUTED_VALUE"""),"event")</f>
        <v/>
      </c>
      <c r="E576" s="408">
        <f>IFERROR(__xludf.DUMMYFUNCTION("""COMPUTED_VALUE"""),"デイリー")</f>
        <v/>
      </c>
      <c r="F576" s="408">
        <f>IFERROR(__xludf.DUMMYFUNCTION("""COMPUTED_VALUE"""),"quest_event_you1_1day")</f>
        <v/>
      </c>
      <c r="G576" s="334">
        <f>IFERROR(__xludf.DUMMYFUNCTION("""COMPUTED_VALUE"""),"お遊戯の時間です")</f>
        <v/>
      </c>
      <c r="H576" s="408">
        <f>IFERROR(__xludf.DUMMYFUNCTION("""COMPUTED_VALUE"""),"01")</f>
        <v/>
      </c>
      <c r="I576" s="334">
        <f>IFERROR(__xludf.DUMMYFUNCTION("""COMPUTED_VALUE"""),"event_you1_1day_00001")</f>
        <v/>
      </c>
      <c r="J576" s="334" t="n"/>
      <c r="K576" s="334">
        <f>IFERROR(__xludf.DUMMYFUNCTION("""COMPUTED_VALUE"""),"you1_1day_quest_select_cell")</f>
        <v/>
      </c>
      <c r="L576" s="334">
        <f>IFERROR(__xludf.DUMMYFUNCTION("""COMPUTED_VALUE"""),2.0260201E8)</f>
        <v/>
      </c>
      <c r="M576" s="334" t="n"/>
      <c r="N576" s="339" t="n"/>
      <c r="O576" s="368" t="n"/>
      <c r="P576" s="334" t="n"/>
    </row>
    <row r="577">
      <c r="A577" s="334">
        <f>IFERROR(__xludf.DUMMYFUNCTION("""COMPUTED_VALUE"""),"you1")</f>
        <v/>
      </c>
      <c r="B577" s="334">
        <f>IFERROR(__xludf.DUMMYFUNCTION("""COMPUTED_VALUE"""),"幼稚園WARS")</f>
        <v/>
      </c>
      <c r="C577" s="334">
        <f>IFERROR(__xludf.DUMMYFUNCTION("""COMPUTED_VALUE"""),"charaget01")</f>
        <v/>
      </c>
      <c r="D577" s="334">
        <f>IFERROR(__xludf.DUMMYFUNCTION("""COMPUTED_VALUE"""),"event")</f>
        <v/>
      </c>
      <c r="E577" s="408">
        <f>IFERROR(__xludf.DUMMYFUNCTION("""COMPUTED_VALUE"""),"ストーリー")</f>
        <v/>
      </c>
      <c r="F577" s="408">
        <f>IFERROR(__xludf.DUMMYFUNCTION("""COMPUTED_VALUE"""),"quest_event_you1_charaget01")</f>
        <v/>
      </c>
      <c r="G577" s="334">
        <f>IFERROR(__xludf.DUMMYFUNCTION("""COMPUTED_VALUE"""),"先輩は敬いたまえ")</f>
        <v/>
      </c>
      <c r="H577" s="408">
        <f>IFERROR(__xludf.DUMMYFUNCTION("""COMPUTED_VALUE"""),"01")</f>
        <v/>
      </c>
      <c r="I577" s="334">
        <f>IFERROR(__xludf.DUMMYFUNCTION("""COMPUTED_VALUE"""),"event_you1_charaget01_00001")</f>
        <v/>
      </c>
      <c r="J577" s="334" t="n"/>
      <c r="K577" s="334">
        <f>IFERROR(__xludf.DUMMYFUNCTION("""COMPUTED_VALUE"""),"you1_charaget01_quest_select_cell")</f>
        <v/>
      </c>
      <c r="L577" s="334">
        <f>IFERROR(__xludf.DUMMYFUNCTION("""COMPUTED_VALUE"""),2.0260201E8)</f>
        <v/>
      </c>
      <c r="M577" s="334" t="n"/>
      <c r="N577" s="339" t="n"/>
      <c r="O577" s="368" t="n"/>
      <c r="P577" s="334" t="n"/>
    </row>
    <row r="578">
      <c r="A578" s="334">
        <f>IFERROR(__xludf.DUMMYFUNCTION("""COMPUTED_VALUE"""),"you1")</f>
        <v/>
      </c>
      <c r="B578" s="334">
        <f>IFERROR(__xludf.DUMMYFUNCTION("""COMPUTED_VALUE"""),"幼稚園WARS")</f>
        <v/>
      </c>
      <c r="C578" s="334">
        <f>IFERROR(__xludf.DUMMYFUNCTION("""COMPUTED_VALUE"""),"charaget01")</f>
        <v/>
      </c>
      <c r="D578" s="334">
        <f>IFERROR(__xludf.DUMMYFUNCTION("""COMPUTED_VALUE"""),"event")</f>
        <v/>
      </c>
      <c r="E578" s="408">
        <f>IFERROR(__xludf.DUMMYFUNCTION("""COMPUTED_VALUE"""),"ストーリー")</f>
        <v/>
      </c>
      <c r="F578" s="408">
        <f>IFERROR(__xludf.DUMMYFUNCTION("""COMPUTED_VALUE"""),"quest_event_you1_charaget01")</f>
        <v/>
      </c>
      <c r="G578" s="334">
        <f>IFERROR(__xludf.DUMMYFUNCTION("""COMPUTED_VALUE"""),"先輩は敬いたまえ")</f>
        <v/>
      </c>
      <c r="H578" s="408">
        <f>IFERROR(__xludf.DUMMYFUNCTION("""COMPUTED_VALUE"""),"02")</f>
        <v/>
      </c>
      <c r="I578" s="334">
        <f>IFERROR(__xludf.DUMMYFUNCTION("""COMPUTED_VALUE"""),"event_you1_charaget01_00002")</f>
        <v/>
      </c>
      <c r="J578" s="334" t="n"/>
      <c r="K578" s="334" t="n"/>
      <c r="L578" s="334">
        <f>IFERROR(__xludf.DUMMYFUNCTION("""COMPUTED_VALUE"""),2.0260201E8)</f>
        <v/>
      </c>
      <c r="M578" s="334" t="n"/>
      <c r="N578" s="339" t="n"/>
      <c r="O578" s="368" t="n"/>
      <c r="P578" s="334" t="n"/>
    </row>
    <row r="579">
      <c r="A579" s="334">
        <f>IFERROR(__xludf.DUMMYFUNCTION("""COMPUTED_VALUE"""),"you1")</f>
        <v/>
      </c>
      <c r="B579" s="334">
        <f>IFERROR(__xludf.DUMMYFUNCTION("""COMPUTED_VALUE"""),"幼稚園WARS")</f>
        <v/>
      </c>
      <c r="C579" s="334">
        <f>IFERROR(__xludf.DUMMYFUNCTION("""COMPUTED_VALUE"""),"charaget01")</f>
        <v/>
      </c>
      <c r="D579" s="334">
        <f>IFERROR(__xludf.DUMMYFUNCTION("""COMPUTED_VALUE"""),"event")</f>
        <v/>
      </c>
      <c r="E579" s="408">
        <f>IFERROR(__xludf.DUMMYFUNCTION("""COMPUTED_VALUE"""),"ストーリー")</f>
        <v/>
      </c>
      <c r="F579" s="408">
        <f>IFERROR(__xludf.DUMMYFUNCTION("""COMPUTED_VALUE"""),"quest_event_you1_charaget01")</f>
        <v/>
      </c>
      <c r="G579" s="334">
        <f>IFERROR(__xludf.DUMMYFUNCTION("""COMPUTED_VALUE"""),"先輩は敬いたまえ")</f>
        <v/>
      </c>
      <c r="H579" s="408">
        <f>IFERROR(__xludf.DUMMYFUNCTION("""COMPUTED_VALUE"""),"03")</f>
        <v/>
      </c>
      <c r="I579" s="334">
        <f>IFERROR(__xludf.DUMMYFUNCTION("""COMPUTED_VALUE"""),"event_you1_charaget01_00003")</f>
        <v/>
      </c>
      <c r="J579" s="334" t="n"/>
      <c r="K579" s="334" t="n"/>
      <c r="L579" s="334">
        <f>IFERROR(__xludf.DUMMYFUNCTION("""COMPUTED_VALUE"""),2.0260201E8)</f>
        <v/>
      </c>
      <c r="M579" s="334" t="n"/>
      <c r="N579" s="339" t="n"/>
      <c r="O579" s="368" t="n"/>
      <c r="P579" s="334" t="n"/>
    </row>
    <row r="580">
      <c r="A580" s="334">
        <f>IFERROR(__xludf.DUMMYFUNCTION("""COMPUTED_VALUE"""),"you1")</f>
        <v/>
      </c>
      <c r="B580" s="334">
        <f>IFERROR(__xludf.DUMMYFUNCTION("""COMPUTED_VALUE"""),"幼稚園WARS")</f>
        <v/>
      </c>
      <c r="C580" s="334">
        <f>IFERROR(__xludf.DUMMYFUNCTION("""COMPUTED_VALUE"""),"charaget01")</f>
        <v/>
      </c>
      <c r="D580" s="334">
        <f>IFERROR(__xludf.DUMMYFUNCTION("""COMPUTED_VALUE"""),"event")</f>
        <v/>
      </c>
      <c r="E580" s="408">
        <f>IFERROR(__xludf.DUMMYFUNCTION("""COMPUTED_VALUE"""),"ストーリー")</f>
        <v/>
      </c>
      <c r="F580" s="408">
        <f>IFERROR(__xludf.DUMMYFUNCTION("""COMPUTED_VALUE"""),"quest_event_you1_charaget01")</f>
        <v/>
      </c>
      <c r="G580" s="334">
        <f>IFERROR(__xludf.DUMMYFUNCTION("""COMPUTED_VALUE"""),"先輩は敬いたまえ")</f>
        <v/>
      </c>
      <c r="H580" s="408">
        <f>IFERROR(__xludf.DUMMYFUNCTION("""COMPUTED_VALUE"""),"04")</f>
        <v/>
      </c>
      <c r="I580" s="334">
        <f>IFERROR(__xludf.DUMMYFUNCTION("""COMPUTED_VALUE"""),"event_you1_charaget01_00004")</f>
        <v/>
      </c>
      <c r="J580" s="334" t="n"/>
      <c r="K580" s="334" t="n"/>
      <c r="L580" s="334">
        <f>IFERROR(__xludf.DUMMYFUNCTION("""COMPUTED_VALUE"""),2.0260201E8)</f>
        <v/>
      </c>
      <c r="M580" s="334" t="n"/>
      <c r="N580" s="339" t="n"/>
      <c r="O580" s="368" t="n"/>
      <c r="P580" s="334" t="n"/>
    </row>
    <row r="581">
      <c r="A581" s="334">
        <f>IFERROR(__xludf.DUMMYFUNCTION("""COMPUTED_VALUE"""),"you1")</f>
        <v/>
      </c>
      <c r="B581" s="334">
        <f>IFERROR(__xludf.DUMMYFUNCTION("""COMPUTED_VALUE"""),"幼稚園WARS")</f>
        <v/>
      </c>
      <c r="C581" s="334">
        <f>IFERROR(__xludf.DUMMYFUNCTION("""COMPUTED_VALUE"""),"charaget01")</f>
        <v/>
      </c>
      <c r="D581" s="334">
        <f>IFERROR(__xludf.DUMMYFUNCTION("""COMPUTED_VALUE"""),"event")</f>
        <v/>
      </c>
      <c r="E581" s="408">
        <f>IFERROR(__xludf.DUMMYFUNCTION("""COMPUTED_VALUE"""),"ストーリー")</f>
        <v/>
      </c>
      <c r="F581" s="408">
        <f>IFERROR(__xludf.DUMMYFUNCTION("""COMPUTED_VALUE"""),"quest_event_you1_charaget01")</f>
        <v/>
      </c>
      <c r="G581" s="334">
        <f>IFERROR(__xludf.DUMMYFUNCTION("""COMPUTED_VALUE"""),"先輩は敬いたまえ")</f>
        <v/>
      </c>
      <c r="H581" s="408">
        <f>IFERROR(__xludf.DUMMYFUNCTION("""COMPUTED_VALUE"""),"05")</f>
        <v/>
      </c>
      <c r="I581" s="334">
        <f>IFERROR(__xludf.DUMMYFUNCTION("""COMPUTED_VALUE"""),"event_you1_charaget01_00005")</f>
        <v/>
      </c>
      <c r="J581" s="334" t="n"/>
      <c r="K581" s="334" t="n"/>
      <c r="L581" s="334">
        <f>IFERROR(__xludf.DUMMYFUNCTION("""COMPUTED_VALUE"""),2.0260201E8)</f>
        <v/>
      </c>
      <c r="M581" s="334" t="n"/>
      <c r="N581" s="339" t="n"/>
      <c r="O581" s="368" t="n"/>
      <c r="P581" s="334" t="n"/>
    </row>
    <row r="582">
      <c r="A582" s="334">
        <f>IFERROR(__xludf.DUMMYFUNCTION("""COMPUTED_VALUE"""),"you1")</f>
        <v/>
      </c>
      <c r="B582" s="334">
        <f>IFERROR(__xludf.DUMMYFUNCTION("""COMPUTED_VALUE"""),"幼稚園WARS")</f>
        <v/>
      </c>
      <c r="C582" s="334">
        <f>IFERROR(__xludf.DUMMYFUNCTION("""COMPUTED_VALUE"""),"charaget01")</f>
        <v/>
      </c>
      <c r="D582" s="334">
        <f>IFERROR(__xludf.DUMMYFUNCTION("""COMPUTED_VALUE"""),"event")</f>
        <v/>
      </c>
      <c r="E582" s="408">
        <f>IFERROR(__xludf.DUMMYFUNCTION("""COMPUTED_VALUE"""),"ストーリー")</f>
        <v/>
      </c>
      <c r="F582" s="408">
        <f>IFERROR(__xludf.DUMMYFUNCTION("""COMPUTED_VALUE"""),"quest_event_you1_charaget01")</f>
        <v/>
      </c>
      <c r="G582" s="334">
        <f>IFERROR(__xludf.DUMMYFUNCTION("""COMPUTED_VALUE"""),"先輩は敬いたまえ")</f>
        <v/>
      </c>
      <c r="H582" s="408">
        <f>IFERROR(__xludf.DUMMYFUNCTION("""COMPUTED_VALUE"""),"06")</f>
        <v/>
      </c>
      <c r="I582" s="334">
        <f>IFERROR(__xludf.DUMMYFUNCTION("""COMPUTED_VALUE"""),"event_you1_charaget01_00006")</f>
        <v/>
      </c>
      <c r="J582" s="334" t="n"/>
      <c r="K582" s="334" t="n"/>
      <c r="L582" s="334">
        <f>IFERROR(__xludf.DUMMYFUNCTION("""COMPUTED_VALUE"""),2.0260201E8)</f>
        <v/>
      </c>
      <c r="M582" s="334" t="n"/>
      <c r="N582" s="339" t="n"/>
      <c r="O582" s="368" t="n"/>
      <c r="P582" s="334" t="n"/>
    </row>
    <row r="583">
      <c r="A583" s="334">
        <f>IFERROR(__xludf.DUMMYFUNCTION("""COMPUTED_VALUE"""),"you1")</f>
        <v/>
      </c>
      <c r="B583" s="334">
        <f>IFERROR(__xludf.DUMMYFUNCTION("""COMPUTED_VALUE"""),"幼稚園WARS")</f>
        <v/>
      </c>
      <c r="C583" s="334">
        <f>IFERROR(__xludf.DUMMYFUNCTION("""COMPUTED_VALUE"""),"charaget02")</f>
        <v/>
      </c>
      <c r="D583" s="334">
        <f>IFERROR(__xludf.DUMMYFUNCTION("""COMPUTED_VALUE"""),"event")</f>
        <v/>
      </c>
      <c r="E583" s="408">
        <f>IFERROR(__xludf.DUMMYFUNCTION("""COMPUTED_VALUE"""),"ストーリー")</f>
        <v/>
      </c>
      <c r="F583" s="408">
        <f>IFERROR(__xludf.DUMMYFUNCTION("""COMPUTED_VALUE"""),"quest_event_you1_charaget02")</f>
        <v/>
      </c>
      <c r="G583" s="334">
        <f>IFERROR(__xludf.DUMMYFUNCTION("""COMPUTED_VALUE"""),"兄を助けてくれないか?")</f>
        <v/>
      </c>
      <c r="H583" s="408">
        <f>IFERROR(__xludf.DUMMYFUNCTION("""COMPUTED_VALUE"""),"01")</f>
        <v/>
      </c>
      <c r="I583" s="334">
        <f>IFERROR(__xludf.DUMMYFUNCTION("""COMPUTED_VALUE"""),"event_you1_charaget02_00001")</f>
        <v/>
      </c>
      <c r="J583" s="334" t="n"/>
      <c r="K583" s="334">
        <f>IFERROR(__xludf.DUMMYFUNCTION("""COMPUTED_VALUE"""),"you1_charaget02_quest_select_cell")</f>
        <v/>
      </c>
      <c r="L583" s="334">
        <f>IFERROR(__xludf.DUMMYFUNCTION("""COMPUTED_VALUE"""),2.0260201E8)</f>
        <v/>
      </c>
      <c r="M583" s="334" t="n"/>
      <c r="N583" s="339" t="n"/>
      <c r="O583" s="368" t="n"/>
      <c r="P583" s="334" t="n"/>
    </row>
    <row r="584">
      <c r="A584" s="334">
        <f>IFERROR(__xludf.DUMMYFUNCTION("""COMPUTED_VALUE"""),"you1")</f>
        <v/>
      </c>
      <c r="B584" s="334">
        <f>IFERROR(__xludf.DUMMYFUNCTION("""COMPUTED_VALUE"""),"幼稚園WARS")</f>
        <v/>
      </c>
      <c r="C584" s="334">
        <f>IFERROR(__xludf.DUMMYFUNCTION("""COMPUTED_VALUE"""),"charaget02")</f>
        <v/>
      </c>
      <c r="D584" s="334">
        <f>IFERROR(__xludf.DUMMYFUNCTION("""COMPUTED_VALUE"""),"event")</f>
        <v/>
      </c>
      <c r="E584" s="408">
        <f>IFERROR(__xludf.DUMMYFUNCTION("""COMPUTED_VALUE"""),"ストーリー")</f>
        <v/>
      </c>
      <c r="F584" s="408">
        <f>IFERROR(__xludf.DUMMYFUNCTION("""COMPUTED_VALUE"""),"quest_event_you1_charaget02")</f>
        <v/>
      </c>
      <c r="G584" s="334">
        <f>IFERROR(__xludf.DUMMYFUNCTION("""COMPUTED_VALUE"""),"兄を助けてくれないか?")</f>
        <v/>
      </c>
      <c r="H584" s="408">
        <f>IFERROR(__xludf.DUMMYFUNCTION("""COMPUTED_VALUE"""),"02")</f>
        <v/>
      </c>
      <c r="I584" s="334">
        <f>IFERROR(__xludf.DUMMYFUNCTION("""COMPUTED_VALUE"""),"event_you1_charaget02_00002")</f>
        <v/>
      </c>
      <c r="J584" s="334" t="n"/>
      <c r="K584" s="334" t="n"/>
      <c r="L584" s="334">
        <f>IFERROR(__xludf.DUMMYFUNCTION("""COMPUTED_VALUE"""),2.0260201E8)</f>
        <v/>
      </c>
      <c r="M584" s="334" t="n"/>
      <c r="N584" s="339" t="n"/>
      <c r="O584" s="368" t="n"/>
      <c r="P584" s="334" t="n"/>
    </row>
    <row r="585">
      <c r="A585" s="334">
        <f>IFERROR(__xludf.DUMMYFUNCTION("""COMPUTED_VALUE"""),"you1")</f>
        <v/>
      </c>
      <c r="B585" s="334">
        <f>IFERROR(__xludf.DUMMYFUNCTION("""COMPUTED_VALUE"""),"幼稚園WARS")</f>
        <v/>
      </c>
      <c r="C585" s="334">
        <f>IFERROR(__xludf.DUMMYFUNCTION("""COMPUTED_VALUE"""),"charaget02")</f>
        <v/>
      </c>
      <c r="D585" s="334">
        <f>IFERROR(__xludf.DUMMYFUNCTION("""COMPUTED_VALUE"""),"event")</f>
        <v/>
      </c>
      <c r="E585" s="408">
        <f>IFERROR(__xludf.DUMMYFUNCTION("""COMPUTED_VALUE"""),"ストーリー")</f>
        <v/>
      </c>
      <c r="F585" s="408">
        <f>IFERROR(__xludf.DUMMYFUNCTION("""COMPUTED_VALUE"""),"quest_event_you1_charaget02")</f>
        <v/>
      </c>
      <c r="G585" s="334">
        <f>IFERROR(__xludf.DUMMYFUNCTION("""COMPUTED_VALUE"""),"兄を助けてくれないか?")</f>
        <v/>
      </c>
      <c r="H585" s="408">
        <f>IFERROR(__xludf.DUMMYFUNCTION("""COMPUTED_VALUE"""),"03")</f>
        <v/>
      </c>
      <c r="I585" s="334">
        <f>IFERROR(__xludf.DUMMYFUNCTION("""COMPUTED_VALUE"""),"event_you1_charaget02_00003")</f>
        <v/>
      </c>
      <c r="J585" s="334" t="n"/>
      <c r="K585" s="334" t="n"/>
      <c r="L585" s="334">
        <f>IFERROR(__xludf.DUMMYFUNCTION("""COMPUTED_VALUE"""),2.0260201E8)</f>
        <v/>
      </c>
      <c r="M585" s="334" t="n"/>
      <c r="N585" s="339" t="n"/>
      <c r="O585" s="368" t="n"/>
      <c r="P585" s="334" t="n"/>
    </row>
    <row r="586">
      <c r="A586" s="334">
        <f>IFERROR(__xludf.DUMMYFUNCTION("""COMPUTED_VALUE"""),"you1")</f>
        <v/>
      </c>
      <c r="B586" s="334">
        <f>IFERROR(__xludf.DUMMYFUNCTION("""COMPUTED_VALUE"""),"幼稚園WARS")</f>
        <v/>
      </c>
      <c r="C586" s="334">
        <f>IFERROR(__xludf.DUMMYFUNCTION("""COMPUTED_VALUE"""),"charaget02")</f>
        <v/>
      </c>
      <c r="D586" s="334">
        <f>IFERROR(__xludf.DUMMYFUNCTION("""COMPUTED_VALUE"""),"event")</f>
        <v/>
      </c>
      <c r="E586" s="408">
        <f>IFERROR(__xludf.DUMMYFUNCTION("""COMPUTED_VALUE"""),"ストーリー")</f>
        <v/>
      </c>
      <c r="F586" s="408">
        <f>IFERROR(__xludf.DUMMYFUNCTION("""COMPUTED_VALUE"""),"quest_event_you1_charaget02")</f>
        <v/>
      </c>
      <c r="G586" s="334">
        <f>IFERROR(__xludf.DUMMYFUNCTION("""COMPUTED_VALUE"""),"兄を助けてくれないか?")</f>
        <v/>
      </c>
      <c r="H586" s="408">
        <f>IFERROR(__xludf.DUMMYFUNCTION("""COMPUTED_VALUE"""),"04")</f>
        <v/>
      </c>
      <c r="I586" s="334">
        <f>IFERROR(__xludf.DUMMYFUNCTION("""COMPUTED_VALUE"""),"event_you1_charaget02_00004")</f>
        <v/>
      </c>
      <c r="J586" s="334" t="n"/>
      <c r="K586" s="334" t="n"/>
      <c r="L586" s="334">
        <f>IFERROR(__xludf.DUMMYFUNCTION("""COMPUTED_VALUE"""),2.0260201E8)</f>
        <v/>
      </c>
      <c r="M586" s="334" t="n"/>
      <c r="N586" s="339" t="n"/>
      <c r="O586" s="368" t="n"/>
      <c r="P586" s="334" t="n"/>
    </row>
    <row r="587">
      <c r="A587" s="334">
        <f>IFERROR(__xludf.DUMMYFUNCTION("""COMPUTED_VALUE"""),"you1")</f>
        <v/>
      </c>
      <c r="B587" s="334">
        <f>IFERROR(__xludf.DUMMYFUNCTION("""COMPUTED_VALUE"""),"幼稚園WARS")</f>
        <v/>
      </c>
      <c r="C587" s="334">
        <f>IFERROR(__xludf.DUMMYFUNCTION("""COMPUTED_VALUE"""),"charaget02")</f>
        <v/>
      </c>
      <c r="D587" s="334">
        <f>IFERROR(__xludf.DUMMYFUNCTION("""COMPUTED_VALUE"""),"event")</f>
        <v/>
      </c>
      <c r="E587" s="408">
        <f>IFERROR(__xludf.DUMMYFUNCTION("""COMPUTED_VALUE"""),"ストーリー")</f>
        <v/>
      </c>
      <c r="F587" s="408">
        <f>IFERROR(__xludf.DUMMYFUNCTION("""COMPUTED_VALUE"""),"quest_event_you1_charaget02")</f>
        <v/>
      </c>
      <c r="G587" s="334">
        <f>IFERROR(__xludf.DUMMYFUNCTION("""COMPUTED_VALUE"""),"兄を助けてくれないか?")</f>
        <v/>
      </c>
      <c r="H587" s="408">
        <f>IFERROR(__xludf.DUMMYFUNCTION("""COMPUTED_VALUE"""),"05")</f>
        <v/>
      </c>
      <c r="I587" s="334">
        <f>IFERROR(__xludf.DUMMYFUNCTION("""COMPUTED_VALUE"""),"event_you1_charaget02_00005")</f>
        <v/>
      </c>
      <c r="J587" s="334" t="n"/>
      <c r="K587" s="334" t="n"/>
      <c r="L587" s="334">
        <f>IFERROR(__xludf.DUMMYFUNCTION("""COMPUTED_VALUE"""),2.0260201E8)</f>
        <v/>
      </c>
      <c r="M587" s="334" t="n"/>
      <c r="N587" s="339" t="n"/>
      <c r="O587" s="368" t="n"/>
      <c r="P587" s="334" t="n"/>
    </row>
    <row r="588">
      <c r="A588" s="334">
        <f>IFERROR(__xludf.DUMMYFUNCTION("""COMPUTED_VALUE"""),"you1")</f>
        <v/>
      </c>
      <c r="B588" s="334">
        <f>IFERROR(__xludf.DUMMYFUNCTION("""COMPUTED_VALUE"""),"幼稚園WARS")</f>
        <v/>
      </c>
      <c r="C588" s="334">
        <f>IFERROR(__xludf.DUMMYFUNCTION("""COMPUTED_VALUE"""),"charaget02")</f>
        <v/>
      </c>
      <c r="D588" s="334">
        <f>IFERROR(__xludf.DUMMYFUNCTION("""COMPUTED_VALUE"""),"event")</f>
        <v/>
      </c>
      <c r="E588" s="408">
        <f>IFERROR(__xludf.DUMMYFUNCTION("""COMPUTED_VALUE"""),"ストーリー")</f>
        <v/>
      </c>
      <c r="F588" s="408">
        <f>IFERROR(__xludf.DUMMYFUNCTION("""COMPUTED_VALUE"""),"quest_event_you1_charaget02")</f>
        <v/>
      </c>
      <c r="G588" s="334">
        <f>IFERROR(__xludf.DUMMYFUNCTION("""COMPUTED_VALUE"""),"兄を助けてくれないか?")</f>
        <v/>
      </c>
      <c r="H588" s="408">
        <f>IFERROR(__xludf.DUMMYFUNCTION("""COMPUTED_VALUE"""),"06")</f>
        <v/>
      </c>
      <c r="I588" s="334">
        <f>IFERROR(__xludf.DUMMYFUNCTION("""COMPUTED_VALUE"""),"event_you1_charaget02_00006")</f>
        <v/>
      </c>
      <c r="J588" s="334" t="n"/>
      <c r="K588" s="334" t="n"/>
      <c r="L588" s="334">
        <f>IFERROR(__xludf.DUMMYFUNCTION("""COMPUTED_VALUE"""),2.0260201E8)</f>
        <v/>
      </c>
      <c r="M588" s="334" t="n"/>
      <c r="N588" s="339" t="n"/>
      <c r="O588" s="368" t="n"/>
      <c r="P588" s="334" t="n"/>
    </row>
    <row r="589">
      <c r="A589" s="334">
        <f>IFERROR(__xludf.DUMMYFUNCTION("""COMPUTED_VALUE"""),"you1")</f>
        <v/>
      </c>
      <c r="B589" s="334">
        <f>IFERROR(__xludf.DUMMYFUNCTION("""COMPUTED_VALUE"""),"幼稚園WARS")</f>
        <v/>
      </c>
      <c r="C589" s="334">
        <f>IFERROR(__xludf.DUMMYFUNCTION("""COMPUTED_VALUE"""),"challenge")</f>
        <v/>
      </c>
      <c r="D589" s="334">
        <f>IFERROR(__xludf.DUMMYFUNCTION("""COMPUTED_VALUE"""),"event")</f>
        <v/>
      </c>
      <c r="E589" s="408">
        <f>IFERROR(__xludf.DUMMYFUNCTION("""COMPUTED_VALUE"""),"チャレンジ")</f>
        <v/>
      </c>
      <c r="F589" s="408">
        <f>IFERROR(__xludf.DUMMYFUNCTION("""COMPUTED_VALUE"""),"quest_event_you1_challenge")</f>
        <v/>
      </c>
      <c r="G589" s="334">
        <f>IFERROR(__xludf.DUMMYFUNCTION("""COMPUTED_VALUE"""),"世界一安全な幼稚園")</f>
        <v/>
      </c>
      <c r="H589" s="408">
        <f>IFERROR(__xludf.DUMMYFUNCTION("""COMPUTED_VALUE"""),"01")</f>
        <v/>
      </c>
      <c r="I589" s="334">
        <f>IFERROR(__xludf.DUMMYFUNCTION("""COMPUTED_VALUE"""),"event_you1_challenge_00001")</f>
        <v/>
      </c>
      <c r="J589" s="334" t="n"/>
      <c r="K589" s="334">
        <f>IFERROR(__xludf.DUMMYFUNCTION("""COMPUTED_VALUE"""),"you1_challenge_quest_select_cell")</f>
        <v/>
      </c>
      <c r="L589" s="334">
        <f>IFERROR(__xludf.DUMMYFUNCTION("""COMPUTED_VALUE"""),2.0260201E8)</f>
        <v/>
      </c>
      <c r="M589" s="334" t="n"/>
      <c r="N589" s="339" t="n"/>
      <c r="O589" s="368" t="n"/>
      <c r="P589" s="334" t="n"/>
    </row>
    <row r="590">
      <c r="A590" s="334">
        <f>IFERROR(__xludf.DUMMYFUNCTION("""COMPUTED_VALUE"""),"you1")</f>
        <v/>
      </c>
      <c r="B590" s="334">
        <f>IFERROR(__xludf.DUMMYFUNCTION("""COMPUTED_VALUE"""),"幼稚園WARS")</f>
        <v/>
      </c>
      <c r="C590" s="334">
        <f>IFERROR(__xludf.DUMMYFUNCTION("""COMPUTED_VALUE"""),"challenge")</f>
        <v/>
      </c>
      <c r="D590" s="334">
        <f>IFERROR(__xludf.DUMMYFUNCTION("""COMPUTED_VALUE"""),"event")</f>
        <v/>
      </c>
      <c r="E590" s="408">
        <f>IFERROR(__xludf.DUMMYFUNCTION("""COMPUTED_VALUE"""),"チャレンジ")</f>
        <v/>
      </c>
      <c r="F590" s="408">
        <f>IFERROR(__xludf.DUMMYFUNCTION("""COMPUTED_VALUE"""),"quest_event_you1_challenge")</f>
        <v/>
      </c>
      <c r="G590" s="334">
        <f>IFERROR(__xludf.DUMMYFUNCTION("""COMPUTED_VALUE"""),"世界一安全な幼稚園")</f>
        <v/>
      </c>
      <c r="H590" s="408">
        <f>IFERROR(__xludf.DUMMYFUNCTION("""COMPUTED_VALUE"""),"02")</f>
        <v/>
      </c>
      <c r="I590" s="334">
        <f>IFERROR(__xludf.DUMMYFUNCTION("""COMPUTED_VALUE"""),"event_you1_challenge_00002")</f>
        <v/>
      </c>
      <c r="J590" s="334" t="n"/>
      <c r="K590" s="334" t="n"/>
      <c r="L590" s="334">
        <f>IFERROR(__xludf.DUMMYFUNCTION("""COMPUTED_VALUE"""),2.0260201E8)</f>
        <v/>
      </c>
      <c r="M590" s="334" t="n"/>
      <c r="N590" s="339" t="n"/>
      <c r="O590" s="368" t="n"/>
      <c r="P590" s="334" t="n"/>
    </row>
    <row r="591">
      <c r="A591" s="334">
        <f>IFERROR(__xludf.DUMMYFUNCTION("""COMPUTED_VALUE"""),"you1")</f>
        <v/>
      </c>
      <c r="B591" s="334">
        <f>IFERROR(__xludf.DUMMYFUNCTION("""COMPUTED_VALUE"""),"幼稚園WARS")</f>
        <v/>
      </c>
      <c r="C591" s="334">
        <f>IFERROR(__xludf.DUMMYFUNCTION("""COMPUTED_VALUE"""),"challenge")</f>
        <v/>
      </c>
      <c r="D591" s="334">
        <f>IFERROR(__xludf.DUMMYFUNCTION("""COMPUTED_VALUE"""),"event")</f>
        <v/>
      </c>
      <c r="E591" s="408">
        <f>IFERROR(__xludf.DUMMYFUNCTION("""COMPUTED_VALUE"""),"チャレンジ")</f>
        <v/>
      </c>
      <c r="F591" s="408">
        <f>IFERROR(__xludf.DUMMYFUNCTION("""COMPUTED_VALUE"""),"quest_event_you1_challenge")</f>
        <v/>
      </c>
      <c r="G591" s="334">
        <f>IFERROR(__xludf.DUMMYFUNCTION("""COMPUTED_VALUE"""),"世界一安全な幼稚園")</f>
        <v/>
      </c>
      <c r="H591" s="408">
        <f>IFERROR(__xludf.DUMMYFUNCTION("""COMPUTED_VALUE"""),"03")</f>
        <v/>
      </c>
      <c r="I591" s="334">
        <f>IFERROR(__xludf.DUMMYFUNCTION("""COMPUTED_VALUE"""),"event_you1_challenge_00003")</f>
        <v/>
      </c>
      <c r="J591" s="334" t="n"/>
      <c r="K591" s="334" t="n"/>
      <c r="L591" s="334">
        <f>IFERROR(__xludf.DUMMYFUNCTION("""COMPUTED_VALUE"""),2.0260201E8)</f>
        <v/>
      </c>
      <c r="M591" s="334" t="n"/>
      <c r="N591" s="339" t="n"/>
      <c r="O591" s="368" t="n"/>
      <c r="P591" s="334" t="n"/>
    </row>
    <row r="592">
      <c r="A592" s="334">
        <f>IFERROR(__xludf.DUMMYFUNCTION("""COMPUTED_VALUE"""),"you1")</f>
        <v/>
      </c>
      <c r="B592" s="334">
        <f>IFERROR(__xludf.DUMMYFUNCTION("""COMPUTED_VALUE"""),"幼稚園WARS")</f>
        <v/>
      </c>
      <c r="C592" s="334">
        <f>IFERROR(__xludf.DUMMYFUNCTION("""COMPUTED_VALUE"""),"challenge")</f>
        <v/>
      </c>
      <c r="D592" s="334">
        <f>IFERROR(__xludf.DUMMYFUNCTION("""COMPUTED_VALUE"""),"event")</f>
        <v/>
      </c>
      <c r="E592" s="408">
        <f>IFERROR(__xludf.DUMMYFUNCTION("""COMPUTED_VALUE"""),"チャレンジ")</f>
        <v/>
      </c>
      <c r="F592" s="408">
        <f>IFERROR(__xludf.DUMMYFUNCTION("""COMPUTED_VALUE"""),"quest_event_you1_challenge")</f>
        <v/>
      </c>
      <c r="G592" s="334">
        <f>IFERROR(__xludf.DUMMYFUNCTION("""COMPUTED_VALUE"""),"世界一安全な幼稚園")</f>
        <v/>
      </c>
      <c r="H592" s="408">
        <f>IFERROR(__xludf.DUMMYFUNCTION("""COMPUTED_VALUE"""),"04")</f>
        <v/>
      </c>
      <c r="I592" s="334">
        <f>IFERROR(__xludf.DUMMYFUNCTION("""COMPUTED_VALUE"""),"event_you1_challenge_00004")</f>
        <v/>
      </c>
      <c r="J592" s="334" t="n"/>
      <c r="K592" s="334" t="n"/>
      <c r="L592" s="334">
        <f>IFERROR(__xludf.DUMMYFUNCTION("""COMPUTED_VALUE"""),2.0260201E8)</f>
        <v/>
      </c>
      <c r="M592" s="334" t="n"/>
      <c r="N592" s="339" t="n"/>
      <c r="O592" s="368" t="n"/>
      <c r="P592" s="334" t="n"/>
    </row>
    <row r="593">
      <c r="A593" s="334">
        <f>IFERROR(__xludf.DUMMYFUNCTION("""COMPUTED_VALUE"""),"you1")</f>
        <v/>
      </c>
      <c r="B593" s="334">
        <f>IFERROR(__xludf.DUMMYFUNCTION("""COMPUTED_VALUE"""),"幼稚園WARS")</f>
        <v/>
      </c>
      <c r="C593" s="334">
        <f>IFERROR(__xludf.DUMMYFUNCTION("""COMPUTED_VALUE"""),"savage")</f>
        <v/>
      </c>
      <c r="D593" s="334">
        <f>IFERROR(__xludf.DUMMYFUNCTION("""COMPUTED_VALUE"""),"event")</f>
        <v/>
      </c>
      <c r="E593" s="408">
        <f>IFERROR(__xludf.DUMMYFUNCTION("""COMPUTED_VALUE"""),"高難易度")</f>
        <v/>
      </c>
      <c r="F593" s="408">
        <f>IFERROR(__xludf.DUMMYFUNCTION("""COMPUTED_VALUE"""),"quest_event_you1_savage")</f>
        <v/>
      </c>
      <c r="G593" s="334">
        <f>IFERROR(__xludf.DUMMYFUNCTION("""COMPUTED_VALUE"""),"正義だけじゃ何も守れない")</f>
        <v/>
      </c>
      <c r="H593" s="408">
        <f>IFERROR(__xludf.DUMMYFUNCTION("""COMPUTED_VALUE"""),"01")</f>
        <v/>
      </c>
      <c r="I593" s="334">
        <f>IFERROR(__xludf.DUMMYFUNCTION("""COMPUTED_VALUE"""),"event_you1_savage_00001")</f>
        <v/>
      </c>
      <c r="J593" s="334" t="n"/>
      <c r="K593" s="334">
        <f>IFERROR(__xludf.DUMMYFUNCTION("""COMPUTED_VALUE"""),"you1_savage_quest_select_cell")</f>
        <v/>
      </c>
      <c r="L593" s="334">
        <f>IFERROR(__xludf.DUMMYFUNCTION("""COMPUTED_VALUE"""),2.0260201E8)</f>
        <v/>
      </c>
      <c r="M593" s="334" t="n"/>
      <c r="N593" s="339" t="n"/>
      <c r="O593" s="368" t="n"/>
      <c r="P593" s="334" t="n"/>
    </row>
    <row r="594">
      <c r="A594" s="334">
        <f>IFERROR(__xludf.DUMMYFUNCTION("""COMPUTED_VALUE"""),"you1")</f>
        <v/>
      </c>
      <c r="B594" s="334">
        <f>IFERROR(__xludf.DUMMYFUNCTION("""COMPUTED_VALUE"""),"幼稚園WARS")</f>
        <v/>
      </c>
      <c r="C594" s="334">
        <f>IFERROR(__xludf.DUMMYFUNCTION("""COMPUTED_VALUE"""),"savage")</f>
        <v/>
      </c>
      <c r="D594" s="334">
        <f>IFERROR(__xludf.DUMMYFUNCTION("""COMPUTED_VALUE"""),"event")</f>
        <v/>
      </c>
      <c r="E594" s="408">
        <f>IFERROR(__xludf.DUMMYFUNCTION("""COMPUTED_VALUE"""),"高難易度")</f>
        <v/>
      </c>
      <c r="F594" s="408">
        <f>IFERROR(__xludf.DUMMYFUNCTION("""COMPUTED_VALUE"""),"quest_event_you1_savage")</f>
        <v/>
      </c>
      <c r="G594" s="334">
        <f>IFERROR(__xludf.DUMMYFUNCTION("""COMPUTED_VALUE"""),"正義だけじゃ何も守れない")</f>
        <v/>
      </c>
      <c r="H594" s="408">
        <f>IFERROR(__xludf.DUMMYFUNCTION("""COMPUTED_VALUE"""),"02")</f>
        <v/>
      </c>
      <c r="I594" s="334">
        <f>IFERROR(__xludf.DUMMYFUNCTION("""COMPUTED_VALUE"""),"event_you1_savage_00002")</f>
        <v/>
      </c>
      <c r="J594" s="334" t="n"/>
      <c r="K594" s="334" t="n"/>
      <c r="L594" s="334">
        <f>IFERROR(__xludf.DUMMYFUNCTION("""COMPUTED_VALUE"""),2.0260201E8)</f>
        <v/>
      </c>
      <c r="M594" s="334" t="n"/>
      <c r="N594" s="339" t="n"/>
      <c r="O594" s="368" t="n"/>
      <c r="P594" s="334" t="n"/>
    </row>
    <row r="595">
      <c r="A595" s="334">
        <f>IFERROR(__xludf.DUMMYFUNCTION("""COMPUTED_VALUE"""),"you1")</f>
        <v/>
      </c>
      <c r="B595" s="334">
        <f>IFERROR(__xludf.DUMMYFUNCTION("""COMPUTED_VALUE"""),"幼稚園WARS")</f>
        <v/>
      </c>
      <c r="C595" s="334">
        <f>IFERROR(__xludf.DUMMYFUNCTION("""COMPUTED_VALUE"""),"savage")</f>
        <v/>
      </c>
      <c r="D595" s="334">
        <f>IFERROR(__xludf.DUMMYFUNCTION("""COMPUTED_VALUE"""),"event")</f>
        <v/>
      </c>
      <c r="E595" s="408">
        <f>IFERROR(__xludf.DUMMYFUNCTION("""COMPUTED_VALUE"""),"高難易度")</f>
        <v/>
      </c>
      <c r="F595" s="408">
        <f>IFERROR(__xludf.DUMMYFUNCTION("""COMPUTED_VALUE"""),"quest_event_you1_savage")</f>
        <v/>
      </c>
      <c r="G595" s="334">
        <f>IFERROR(__xludf.DUMMYFUNCTION("""COMPUTED_VALUE"""),"正義だけじゃ何も守れない")</f>
        <v/>
      </c>
      <c r="H595" s="408">
        <f>IFERROR(__xludf.DUMMYFUNCTION("""COMPUTED_VALUE"""),"03")</f>
        <v/>
      </c>
      <c r="I595" s="334">
        <f>IFERROR(__xludf.DUMMYFUNCTION("""COMPUTED_VALUE"""),"event_you1_savage_00003")</f>
        <v/>
      </c>
      <c r="J595" s="334" t="n"/>
      <c r="K595" s="334" t="n"/>
      <c r="L595" s="334">
        <f>IFERROR(__xludf.DUMMYFUNCTION("""COMPUTED_VALUE"""),2.0260201E8)</f>
        <v/>
      </c>
      <c r="M595" s="334" t="n"/>
      <c r="N595" s="339" t="n"/>
      <c r="O595" s="368" t="n"/>
      <c r="P595" s="334" t="n"/>
    </row>
    <row r="596">
      <c r="A596" s="334" t="n"/>
      <c r="B596" s="334" t="n"/>
      <c r="C596" s="334" t="n"/>
      <c r="D596" s="334" t="n"/>
      <c r="E596" s="334" t="n"/>
      <c r="F596" s="334" t="n"/>
      <c r="G596" s="334" t="n"/>
      <c r="H596" s="334" t="n"/>
      <c r="I596" s="334" t="n"/>
      <c r="J596" s="334" t="n"/>
      <c r="K596" s="334" t="n"/>
      <c r="L596" s="334" t="n"/>
      <c r="M596" s="334" t="n"/>
      <c r="N596" s="339" t="n"/>
      <c r="O596" s="368" t="n"/>
      <c r="P596" s="334" t="n"/>
    </row>
    <row r="597">
      <c r="A597" s="334">
        <f>IFERROR(__xludf.DUMMYFUNCTION("""COMPUTED_VALUE"""),"kim1")</f>
        <v/>
      </c>
      <c r="B597" s="334">
        <f>IFERROR(__xludf.DUMMYFUNCTION("""COMPUTED_VALUE"""),"君のことが大大大大大好きな100人の彼女")</f>
        <v/>
      </c>
      <c r="C597" s="334">
        <f>IFERROR(__xludf.DUMMYFUNCTION("""COMPUTED_VALUE"""),"1day")</f>
        <v/>
      </c>
      <c r="D597" s="334">
        <f>IFERROR(__xludf.DUMMYFUNCTION("""COMPUTED_VALUE"""),"event")</f>
        <v/>
      </c>
      <c r="E597" s="408">
        <f>IFERROR(__xludf.DUMMYFUNCTION("""COMPUTED_VALUE"""),"デイリー")</f>
        <v/>
      </c>
      <c r="F597" s="408">
        <f>IFERROR(__xludf.DUMMYFUNCTION("""COMPUTED_VALUE"""),"quest_event_kim1_1day")</f>
        <v/>
      </c>
      <c r="G597" s="334">
        <f>IFERROR(__xludf.DUMMYFUNCTION("""COMPUTED_VALUE"""),"恋は盲目")</f>
        <v/>
      </c>
      <c r="H597" s="408">
        <f>IFERROR(__xludf.DUMMYFUNCTION("""COMPUTED_VALUE"""),"01")</f>
        <v/>
      </c>
      <c r="I597" s="334">
        <f>IFERROR(__xludf.DUMMYFUNCTION("""COMPUTED_VALUE"""),"event_kim1_1day_00001")</f>
        <v/>
      </c>
      <c r="J597" s="334" t="n"/>
      <c r="K597" s="334">
        <f>IFERROR(__xludf.DUMMYFUNCTION("""COMPUTED_VALUE"""),"kim1_1day_quest_select_cell")</f>
        <v/>
      </c>
      <c r="L597" s="334">
        <f>IFERROR(__xludf.DUMMYFUNCTION("""COMPUTED_VALUE"""),2.0260202E8)</f>
        <v/>
      </c>
      <c r="M597" s="334" t="n"/>
      <c r="N597" s="339" t="n"/>
      <c r="O597" s="368" t="n"/>
      <c r="P597" s="334" t="n"/>
    </row>
    <row r="598">
      <c r="A598" s="334">
        <f>IFERROR(__xludf.DUMMYFUNCTION("""COMPUTED_VALUE"""),"kim1")</f>
        <v/>
      </c>
      <c r="B598" s="334">
        <f>IFERROR(__xludf.DUMMYFUNCTION("""COMPUTED_VALUE"""),"君のことが大大大大大好きな100人の彼女")</f>
        <v/>
      </c>
      <c r="C598" s="334">
        <f>IFERROR(__xludf.DUMMYFUNCTION("""COMPUTED_VALUE"""),"charaget01")</f>
        <v/>
      </c>
      <c r="D598" s="334">
        <f>IFERROR(__xludf.DUMMYFUNCTION("""COMPUTED_VALUE"""),"event")</f>
        <v/>
      </c>
      <c r="E598" s="408">
        <f>IFERROR(__xludf.DUMMYFUNCTION("""COMPUTED_VALUE"""),"収集")</f>
        <v/>
      </c>
      <c r="F598" s="408">
        <f>IFERROR(__xludf.DUMMYFUNCTION("""COMPUTED_VALUE"""),"quest_event_kim1_charaget01")</f>
        <v/>
      </c>
      <c r="G598" s="334">
        <f>IFERROR(__xludf.DUMMYFUNCTION("""COMPUTED_VALUE"""),"キスゾンビ♡パニック")</f>
        <v/>
      </c>
      <c r="H598" s="408">
        <f>IFERROR(__xludf.DUMMYFUNCTION("""COMPUTED_VALUE"""),"01")</f>
        <v/>
      </c>
      <c r="I598" s="334">
        <f>IFERROR(__xludf.DUMMYFUNCTION("""COMPUTED_VALUE"""),"event_kim1_charaget01_00001")</f>
        <v/>
      </c>
      <c r="J598" s="334" t="n"/>
      <c r="K598" s="334">
        <f>IFERROR(__xludf.DUMMYFUNCTION("""COMPUTED_VALUE"""),"kim1_charaget01_quest_select_cell")</f>
        <v/>
      </c>
      <c r="L598" s="334">
        <f>IFERROR(__xludf.DUMMYFUNCTION("""COMPUTED_VALUE"""),2.0260202E8)</f>
        <v/>
      </c>
      <c r="M598" s="334" t="n"/>
      <c r="N598" s="339" t="n"/>
      <c r="O598" s="368" t="n"/>
      <c r="P598" s="334" t="n"/>
    </row>
    <row r="599">
      <c r="A599" s="334">
        <f>IFERROR(__xludf.DUMMYFUNCTION("""COMPUTED_VALUE"""),"kim1")</f>
        <v/>
      </c>
      <c r="B599" s="334">
        <f>IFERROR(__xludf.DUMMYFUNCTION("""COMPUTED_VALUE"""),"君のことが大大大大大好きな100人の彼女")</f>
        <v/>
      </c>
      <c r="C599" s="334">
        <f>IFERROR(__xludf.DUMMYFUNCTION("""COMPUTED_VALUE"""),"charaget01")</f>
        <v/>
      </c>
      <c r="D599" s="334">
        <f>IFERROR(__xludf.DUMMYFUNCTION("""COMPUTED_VALUE"""),"event")</f>
        <v/>
      </c>
      <c r="E599" s="408">
        <f>IFERROR(__xludf.DUMMYFUNCTION("""COMPUTED_VALUE"""),"収集")</f>
        <v/>
      </c>
      <c r="F599" s="408">
        <f>IFERROR(__xludf.DUMMYFUNCTION("""COMPUTED_VALUE"""),"quest_event_kim1_charaget01")</f>
        <v/>
      </c>
      <c r="G599" s="334">
        <f>IFERROR(__xludf.DUMMYFUNCTION("""COMPUTED_VALUE"""),"キスゾンビ♡パニック")</f>
        <v/>
      </c>
      <c r="H599" s="408">
        <f>IFERROR(__xludf.DUMMYFUNCTION("""COMPUTED_VALUE"""),"02")</f>
        <v/>
      </c>
      <c r="I599" s="334">
        <f>IFERROR(__xludf.DUMMYFUNCTION("""COMPUTED_VALUE"""),"event_kim1_charaget01_00002")</f>
        <v/>
      </c>
      <c r="J599" s="334" t="n"/>
      <c r="K599" s="334" t="n"/>
      <c r="L599" s="334">
        <f>IFERROR(__xludf.DUMMYFUNCTION("""COMPUTED_VALUE"""),2.0260202E8)</f>
        <v/>
      </c>
      <c r="M599" s="334" t="n"/>
      <c r="N599" s="339" t="n"/>
      <c r="O599" s="368" t="n"/>
      <c r="P599" s="334" t="n"/>
    </row>
    <row r="600">
      <c r="A600" s="334">
        <f>IFERROR(__xludf.DUMMYFUNCTION("""COMPUTED_VALUE"""),"kim1")</f>
        <v/>
      </c>
      <c r="B600" s="334">
        <f>IFERROR(__xludf.DUMMYFUNCTION("""COMPUTED_VALUE"""),"君のことが大大大大大好きな100人の彼女")</f>
        <v/>
      </c>
      <c r="C600" s="334">
        <f>IFERROR(__xludf.DUMMYFUNCTION("""COMPUTED_VALUE"""),"charaget01")</f>
        <v/>
      </c>
      <c r="D600" s="334">
        <f>IFERROR(__xludf.DUMMYFUNCTION("""COMPUTED_VALUE"""),"event")</f>
        <v/>
      </c>
      <c r="E600" s="408">
        <f>IFERROR(__xludf.DUMMYFUNCTION("""COMPUTED_VALUE"""),"収集")</f>
        <v/>
      </c>
      <c r="F600" s="408">
        <f>IFERROR(__xludf.DUMMYFUNCTION("""COMPUTED_VALUE"""),"quest_event_kim1_charaget01")</f>
        <v/>
      </c>
      <c r="G600" s="334">
        <f>IFERROR(__xludf.DUMMYFUNCTION("""COMPUTED_VALUE"""),"キスゾンビ♡パニック")</f>
        <v/>
      </c>
      <c r="H600" s="408">
        <f>IFERROR(__xludf.DUMMYFUNCTION("""COMPUTED_VALUE"""),"03")</f>
        <v/>
      </c>
      <c r="I600" s="334">
        <f>IFERROR(__xludf.DUMMYFUNCTION("""COMPUTED_VALUE"""),"event_kim1_charaget01_00003")</f>
        <v/>
      </c>
      <c r="J600" s="334" t="n"/>
      <c r="K600" s="334" t="n"/>
      <c r="L600" s="334">
        <f>IFERROR(__xludf.DUMMYFUNCTION("""COMPUTED_VALUE"""),2.0260202E8)</f>
        <v/>
      </c>
      <c r="M600" s="334" t="n"/>
      <c r="N600" s="339" t="n"/>
      <c r="O600" s="368" t="n"/>
      <c r="P600" s="334" t="n"/>
    </row>
    <row r="601">
      <c r="A601" s="334">
        <f>IFERROR(__xludf.DUMMYFUNCTION("""COMPUTED_VALUE"""),"kim1")</f>
        <v/>
      </c>
      <c r="B601" s="334">
        <f>IFERROR(__xludf.DUMMYFUNCTION("""COMPUTED_VALUE"""),"君のことが大大大大大好きな100人の彼女")</f>
        <v/>
      </c>
      <c r="C601" s="334">
        <f>IFERROR(__xludf.DUMMYFUNCTION("""COMPUTED_VALUE"""),"charaget01")</f>
        <v/>
      </c>
      <c r="D601" s="334">
        <f>IFERROR(__xludf.DUMMYFUNCTION("""COMPUTED_VALUE"""),"event")</f>
        <v/>
      </c>
      <c r="E601" s="408">
        <f>IFERROR(__xludf.DUMMYFUNCTION("""COMPUTED_VALUE"""),"収集")</f>
        <v/>
      </c>
      <c r="F601" s="408">
        <f>IFERROR(__xludf.DUMMYFUNCTION("""COMPUTED_VALUE"""),"quest_event_kim1_charaget01")</f>
        <v/>
      </c>
      <c r="G601" s="334">
        <f>IFERROR(__xludf.DUMMYFUNCTION("""COMPUTED_VALUE"""),"キスゾンビ♡パニック")</f>
        <v/>
      </c>
      <c r="H601" s="408">
        <f>IFERROR(__xludf.DUMMYFUNCTION("""COMPUTED_VALUE"""),"04")</f>
        <v/>
      </c>
      <c r="I601" s="334">
        <f>IFERROR(__xludf.DUMMYFUNCTION("""COMPUTED_VALUE"""),"event_kim1_charaget01_00004")</f>
        <v/>
      </c>
      <c r="J601" s="334" t="n"/>
      <c r="K601" s="334" t="n"/>
      <c r="L601" s="334">
        <f>IFERROR(__xludf.DUMMYFUNCTION("""COMPUTED_VALUE"""),2.0260202E8)</f>
        <v/>
      </c>
      <c r="M601" s="334" t="n"/>
      <c r="N601" s="339" t="n"/>
      <c r="O601" s="368" t="n"/>
      <c r="P601" s="334" t="n"/>
    </row>
    <row r="602">
      <c r="A602" s="334">
        <f>IFERROR(__xludf.DUMMYFUNCTION("""COMPUTED_VALUE"""),"kim1")</f>
        <v/>
      </c>
      <c r="B602" s="334">
        <f>IFERROR(__xludf.DUMMYFUNCTION("""COMPUTED_VALUE"""),"君のことが大大大大大好きな100人の彼女")</f>
        <v/>
      </c>
      <c r="C602" s="334">
        <f>IFERROR(__xludf.DUMMYFUNCTION("""COMPUTED_VALUE"""),"charaget02")</f>
        <v/>
      </c>
      <c r="D602" s="334">
        <f>IFERROR(__xludf.DUMMYFUNCTION("""COMPUTED_VALUE"""),"event")</f>
        <v/>
      </c>
      <c r="E602" s="408">
        <f>IFERROR(__xludf.DUMMYFUNCTION("""COMPUTED_VALUE"""),"ストーリー")</f>
        <v/>
      </c>
      <c r="F602" s="408">
        <f>IFERROR(__xludf.DUMMYFUNCTION("""COMPUTED_VALUE"""),"quest_event_kim1_charaget02")</f>
        <v/>
      </c>
      <c r="G602" s="334">
        <f>IFERROR(__xludf.DUMMYFUNCTION("""COMPUTED_VALUE"""),"最高の恋愛パートナー")</f>
        <v/>
      </c>
      <c r="H602" s="408">
        <f>IFERROR(__xludf.DUMMYFUNCTION("""COMPUTED_VALUE"""),"01")</f>
        <v/>
      </c>
      <c r="I602" s="334">
        <f>IFERROR(__xludf.DUMMYFUNCTION("""COMPUTED_VALUE"""),"event_kim1_charaget02_00001")</f>
        <v/>
      </c>
      <c r="J602" s="334" t="n"/>
      <c r="K602" s="334">
        <f>IFERROR(__xludf.DUMMYFUNCTION("""COMPUTED_VALUE"""),"kim1_charaget02_quest_select_cell")</f>
        <v/>
      </c>
      <c r="L602" s="334">
        <f>IFERROR(__xludf.DUMMYFUNCTION("""COMPUTED_VALUE"""),2.0260202E8)</f>
        <v/>
      </c>
      <c r="M602" s="334" t="n"/>
      <c r="N602" s="339" t="n"/>
      <c r="O602" s="368" t="n"/>
      <c r="P602" s="334" t="n"/>
    </row>
    <row r="603">
      <c r="A603" s="334">
        <f>IFERROR(__xludf.DUMMYFUNCTION("""COMPUTED_VALUE"""),"kim1")</f>
        <v/>
      </c>
      <c r="B603" s="334">
        <f>IFERROR(__xludf.DUMMYFUNCTION("""COMPUTED_VALUE"""),"君のことが大大大大大好きな100人の彼女")</f>
        <v/>
      </c>
      <c r="C603" s="334">
        <f>IFERROR(__xludf.DUMMYFUNCTION("""COMPUTED_VALUE"""),"charaget02")</f>
        <v/>
      </c>
      <c r="D603" s="334">
        <f>IFERROR(__xludf.DUMMYFUNCTION("""COMPUTED_VALUE"""),"event")</f>
        <v/>
      </c>
      <c r="E603" s="408">
        <f>IFERROR(__xludf.DUMMYFUNCTION("""COMPUTED_VALUE"""),"ストーリー")</f>
        <v/>
      </c>
      <c r="F603" s="408">
        <f>IFERROR(__xludf.DUMMYFUNCTION("""COMPUTED_VALUE"""),"quest_event_kim1_charaget02")</f>
        <v/>
      </c>
      <c r="G603" s="334">
        <f>IFERROR(__xludf.DUMMYFUNCTION("""COMPUTED_VALUE"""),"最高の恋愛パートナー")</f>
        <v/>
      </c>
      <c r="H603" s="408">
        <f>IFERROR(__xludf.DUMMYFUNCTION("""COMPUTED_VALUE"""),"02")</f>
        <v/>
      </c>
      <c r="I603" s="334">
        <f>IFERROR(__xludf.DUMMYFUNCTION("""COMPUTED_VALUE"""),"event_kim1_charaget02_00002")</f>
        <v/>
      </c>
      <c r="J603" s="334" t="n"/>
      <c r="K603" s="334" t="n"/>
      <c r="L603" s="334">
        <f>IFERROR(__xludf.DUMMYFUNCTION("""COMPUTED_VALUE"""),2.0260202E8)</f>
        <v/>
      </c>
      <c r="M603" s="334" t="n"/>
      <c r="N603" s="339" t="n"/>
      <c r="O603" s="368" t="n"/>
      <c r="P603" s="334" t="n"/>
    </row>
    <row r="604">
      <c r="A604" s="334">
        <f>IFERROR(__xludf.DUMMYFUNCTION("""COMPUTED_VALUE"""),"kim1")</f>
        <v/>
      </c>
      <c r="B604" s="334">
        <f>IFERROR(__xludf.DUMMYFUNCTION("""COMPUTED_VALUE"""),"君のことが大大大大大好きな100人の彼女")</f>
        <v/>
      </c>
      <c r="C604" s="334">
        <f>IFERROR(__xludf.DUMMYFUNCTION("""COMPUTED_VALUE"""),"charaget02")</f>
        <v/>
      </c>
      <c r="D604" s="334">
        <f>IFERROR(__xludf.DUMMYFUNCTION("""COMPUTED_VALUE"""),"event")</f>
        <v/>
      </c>
      <c r="E604" s="408">
        <f>IFERROR(__xludf.DUMMYFUNCTION("""COMPUTED_VALUE"""),"ストーリー")</f>
        <v/>
      </c>
      <c r="F604" s="408">
        <f>IFERROR(__xludf.DUMMYFUNCTION("""COMPUTED_VALUE"""),"quest_event_kim1_charaget02")</f>
        <v/>
      </c>
      <c r="G604" s="334">
        <f>IFERROR(__xludf.DUMMYFUNCTION("""COMPUTED_VALUE"""),"最高の恋愛パートナー")</f>
        <v/>
      </c>
      <c r="H604" s="408">
        <f>IFERROR(__xludf.DUMMYFUNCTION("""COMPUTED_VALUE"""),"03")</f>
        <v/>
      </c>
      <c r="I604" s="334">
        <f>IFERROR(__xludf.DUMMYFUNCTION("""COMPUTED_VALUE"""),"event_kim1_charaget02_00003")</f>
        <v/>
      </c>
      <c r="J604" s="334" t="n"/>
      <c r="K604" s="334" t="n"/>
      <c r="L604" s="334">
        <f>IFERROR(__xludf.DUMMYFUNCTION("""COMPUTED_VALUE"""),2.0260202E8)</f>
        <v/>
      </c>
      <c r="M604" s="334" t="n"/>
      <c r="N604" s="339" t="n"/>
      <c r="O604" s="368" t="n"/>
      <c r="P604" s="334" t="n"/>
    </row>
    <row r="605">
      <c r="A605" s="334">
        <f>IFERROR(__xludf.DUMMYFUNCTION("""COMPUTED_VALUE"""),"kim1")</f>
        <v/>
      </c>
      <c r="B605" s="334">
        <f>IFERROR(__xludf.DUMMYFUNCTION("""COMPUTED_VALUE"""),"君のことが大大大大大好きな100人の彼女")</f>
        <v/>
      </c>
      <c r="C605" s="334">
        <f>IFERROR(__xludf.DUMMYFUNCTION("""COMPUTED_VALUE"""),"charaget02")</f>
        <v/>
      </c>
      <c r="D605" s="334">
        <f>IFERROR(__xludf.DUMMYFUNCTION("""COMPUTED_VALUE"""),"event")</f>
        <v/>
      </c>
      <c r="E605" s="408">
        <f>IFERROR(__xludf.DUMMYFUNCTION("""COMPUTED_VALUE"""),"ストーリー")</f>
        <v/>
      </c>
      <c r="F605" s="408">
        <f>IFERROR(__xludf.DUMMYFUNCTION("""COMPUTED_VALUE"""),"quest_event_kim1_charaget02")</f>
        <v/>
      </c>
      <c r="G605" s="334">
        <f>IFERROR(__xludf.DUMMYFUNCTION("""COMPUTED_VALUE"""),"最高の恋愛パートナー")</f>
        <v/>
      </c>
      <c r="H605" s="408">
        <f>IFERROR(__xludf.DUMMYFUNCTION("""COMPUTED_VALUE"""),"04")</f>
        <v/>
      </c>
      <c r="I605" s="334">
        <f>IFERROR(__xludf.DUMMYFUNCTION("""COMPUTED_VALUE"""),"event_kim1_charaget02_00004")</f>
        <v/>
      </c>
      <c r="J605" s="334" t="n"/>
      <c r="K605" s="334" t="n"/>
      <c r="L605" s="334">
        <f>IFERROR(__xludf.DUMMYFUNCTION("""COMPUTED_VALUE"""),2.0260202E8)</f>
        <v/>
      </c>
      <c r="M605" s="334" t="n"/>
      <c r="N605" s="339" t="n"/>
      <c r="O605" s="368" t="n"/>
      <c r="P605" s="334" t="n"/>
    </row>
    <row r="606">
      <c r="A606" s="334">
        <f>IFERROR(__xludf.DUMMYFUNCTION("""COMPUTED_VALUE"""),"kim1")</f>
        <v/>
      </c>
      <c r="B606" s="334">
        <f>IFERROR(__xludf.DUMMYFUNCTION("""COMPUTED_VALUE"""),"君のことが大大大大大好きな100人の彼女")</f>
        <v/>
      </c>
      <c r="C606" s="334">
        <f>IFERROR(__xludf.DUMMYFUNCTION("""COMPUTED_VALUE"""),"charaget02")</f>
        <v/>
      </c>
      <c r="D606" s="334">
        <f>IFERROR(__xludf.DUMMYFUNCTION("""COMPUTED_VALUE"""),"event")</f>
        <v/>
      </c>
      <c r="E606" s="408">
        <f>IFERROR(__xludf.DUMMYFUNCTION("""COMPUTED_VALUE"""),"ストーリー")</f>
        <v/>
      </c>
      <c r="F606" s="408">
        <f>IFERROR(__xludf.DUMMYFUNCTION("""COMPUTED_VALUE"""),"quest_event_kim1_charaget02")</f>
        <v/>
      </c>
      <c r="G606" s="334">
        <f>IFERROR(__xludf.DUMMYFUNCTION("""COMPUTED_VALUE"""),"最高の恋愛パートナー")</f>
        <v/>
      </c>
      <c r="H606" s="408">
        <f>IFERROR(__xludf.DUMMYFUNCTION("""COMPUTED_VALUE"""),"05")</f>
        <v/>
      </c>
      <c r="I606" s="334">
        <f>IFERROR(__xludf.DUMMYFUNCTION("""COMPUTED_VALUE"""),"event_kim1_charaget02_00005")</f>
        <v/>
      </c>
      <c r="J606" s="334" t="n"/>
      <c r="K606" s="334" t="n"/>
      <c r="L606" s="334">
        <f>IFERROR(__xludf.DUMMYFUNCTION("""COMPUTED_VALUE"""),2.0260202E8)</f>
        <v/>
      </c>
      <c r="M606" s="334" t="n"/>
      <c r="N606" s="339" t="n"/>
      <c r="O606" s="368" t="n"/>
      <c r="P606" s="334" t="n"/>
    </row>
    <row r="607">
      <c r="A607" s="334">
        <f>IFERROR(__xludf.DUMMYFUNCTION("""COMPUTED_VALUE"""),"kim1")</f>
        <v/>
      </c>
      <c r="B607" s="334">
        <f>IFERROR(__xludf.DUMMYFUNCTION("""COMPUTED_VALUE"""),"君のことが大大大大大好きな100人の彼女")</f>
        <v/>
      </c>
      <c r="C607" s="334">
        <f>IFERROR(__xludf.DUMMYFUNCTION("""COMPUTED_VALUE"""),"charaget02")</f>
        <v/>
      </c>
      <c r="D607" s="334">
        <f>IFERROR(__xludf.DUMMYFUNCTION("""COMPUTED_VALUE"""),"event")</f>
        <v/>
      </c>
      <c r="E607" s="408">
        <f>IFERROR(__xludf.DUMMYFUNCTION("""COMPUTED_VALUE"""),"ストーリー")</f>
        <v/>
      </c>
      <c r="F607" s="408">
        <f>IFERROR(__xludf.DUMMYFUNCTION("""COMPUTED_VALUE"""),"quest_event_kim1_charaget02")</f>
        <v/>
      </c>
      <c r="G607" s="334">
        <f>IFERROR(__xludf.DUMMYFUNCTION("""COMPUTED_VALUE"""),"最高の恋愛パートナー")</f>
        <v/>
      </c>
      <c r="H607" s="408">
        <f>IFERROR(__xludf.DUMMYFUNCTION("""COMPUTED_VALUE"""),"06")</f>
        <v/>
      </c>
      <c r="I607" s="334">
        <f>IFERROR(__xludf.DUMMYFUNCTION("""COMPUTED_VALUE"""),"event_kim1_charaget02_00006")</f>
        <v/>
      </c>
      <c r="J607" s="334" t="n"/>
      <c r="K607" s="334" t="n"/>
      <c r="L607" s="334">
        <f>IFERROR(__xludf.DUMMYFUNCTION("""COMPUTED_VALUE"""),2.0260202E8)</f>
        <v/>
      </c>
      <c r="M607" s="334" t="n"/>
      <c r="N607" s="339" t="n"/>
      <c r="O607" s="368" t="n"/>
      <c r="P607" s="334" t="n"/>
    </row>
    <row r="608">
      <c r="A608" s="334">
        <f>IFERROR(__xludf.DUMMYFUNCTION("""COMPUTED_VALUE"""),"kim1")</f>
        <v/>
      </c>
      <c r="B608" s="334">
        <f>IFERROR(__xludf.DUMMYFUNCTION("""COMPUTED_VALUE"""),"君のことが大大大大大好きな100人の彼女")</f>
        <v/>
      </c>
      <c r="C608" s="334">
        <f>IFERROR(__xludf.DUMMYFUNCTION("""COMPUTED_VALUE"""),"challenge01")</f>
        <v/>
      </c>
      <c r="D608" s="334">
        <f>IFERROR(__xludf.DUMMYFUNCTION("""COMPUTED_VALUE"""),"event")</f>
        <v/>
      </c>
      <c r="E608" s="408">
        <f>IFERROR(__xludf.DUMMYFUNCTION("""COMPUTED_VALUE"""),"チャレンジ")</f>
        <v/>
      </c>
      <c r="F608" s="408">
        <f>IFERROR(__xludf.DUMMYFUNCTION("""COMPUTED_VALUE"""),"quest_event_kim1_challenge01")</f>
        <v/>
      </c>
      <c r="G608" s="334">
        <f>IFERROR(__xludf.DUMMYFUNCTION("""COMPUTED_VALUE"""),"恋太郎ファミリー")</f>
        <v/>
      </c>
      <c r="H608" s="408">
        <f>IFERROR(__xludf.DUMMYFUNCTION("""COMPUTED_VALUE"""),"01")</f>
        <v/>
      </c>
      <c r="I608" s="334">
        <f>IFERROR(__xludf.DUMMYFUNCTION("""COMPUTED_VALUE"""),"event_kim1_challenge01_00001")</f>
        <v/>
      </c>
      <c r="J608" s="334" t="n"/>
      <c r="K608" s="334">
        <f>IFERROR(__xludf.DUMMYFUNCTION("""COMPUTED_VALUE"""),"kim1_challenge01_quest_select_cell")</f>
        <v/>
      </c>
      <c r="L608" s="334">
        <f>IFERROR(__xludf.DUMMYFUNCTION("""COMPUTED_VALUE"""),2.0260202E8)</f>
        <v/>
      </c>
      <c r="M608" s="334" t="n"/>
      <c r="N608" s="339" t="n"/>
      <c r="O608" s="368" t="n"/>
      <c r="P608" s="334" t="n"/>
    </row>
    <row r="609">
      <c r="A609" s="334">
        <f>IFERROR(__xludf.DUMMYFUNCTION("""COMPUTED_VALUE"""),"kim1")</f>
        <v/>
      </c>
      <c r="B609" s="334">
        <f>IFERROR(__xludf.DUMMYFUNCTION("""COMPUTED_VALUE"""),"君のことが大大大大大好きな100人の彼女")</f>
        <v/>
      </c>
      <c r="C609" s="334">
        <f>IFERROR(__xludf.DUMMYFUNCTION("""COMPUTED_VALUE"""),"challenge01")</f>
        <v/>
      </c>
      <c r="D609" s="334">
        <f>IFERROR(__xludf.DUMMYFUNCTION("""COMPUTED_VALUE"""),"event")</f>
        <v/>
      </c>
      <c r="E609" s="408">
        <f>IFERROR(__xludf.DUMMYFUNCTION("""COMPUTED_VALUE"""),"チャレンジ")</f>
        <v/>
      </c>
      <c r="F609" s="408">
        <f>IFERROR(__xludf.DUMMYFUNCTION("""COMPUTED_VALUE"""),"quest_event_kim1_challenge01")</f>
        <v/>
      </c>
      <c r="G609" s="334">
        <f>IFERROR(__xludf.DUMMYFUNCTION("""COMPUTED_VALUE"""),"恋太郎ファミリー")</f>
        <v/>
      </c>
      <c r="H609" s="408">
        <f>IFERROR(__xludf.DUMMYFUNCTION("""COMPUTED_VALUE"""),"02")</f>
        <v/>
      </c>
      <c r="I609" s="334">
        <f>IFERROR(__xludf.DUMMYFUNCTION("""COMPUTED_VALUE"""),"event_kim1_challenge01_00002")</f>
        <v/>
      </c>
      <c r="J609" s="334" t="n"/>
      <c r="K609" s="334" t="n"/>
      <c r="L609" s="334">
        <f>IFERROR(__xludf.DUMMYFUNCTION("""COMPUTED_VALUE"""),2.0260202E8)</f>
        <v/>
      </c>
      <c r="M609" s="334" t="n"/>
      <c r="N609" s="339" t="n"/>
      <c r="O609" s="368" t="n"/>
      <c r="P609" s="334" t="n"/>
    </row>
    <row r="610">
      <c r="A610" s="334">
        <f>IFERROR(__xludf.DUMMYFUNCTION("""COMPUTED_VALUE"""),"kim1")</f>
        <v/>
      </c>
      <c r="B610" s="334">
        <f>IFERROR(__xludf.DUMMYFUNCTION("""COMPUTED_VALUE"""),"君のことが大大大大大好きな100人の彼女")</f>
        <v/>
      </c>
      <c r="C610" s="334">
        <f>IFERROR(__xludf.DUMMYFUNCTION("""COMPUTED_VALUE"""),"challenge01")</f>
        <v/>
      </c>
      <c r="D610" s="334">
        <f>IFERROR(__xludf.DUMMYFUNCTION("""COMPUTED_VALUE"""),"event")</f>
        <v/>
      </c>
      <c r="E610" s="408">
        <f>IFERROR(__xludf.DUMMYFUNCTION("""COMPUTED_VALUE"""),"チャレンジ")</f>
        <v/>
      </c>
      <c r="F610" s="408">
        <f>IFERROR(__xludf.DUMMYFUNCTION("""COMPUTED_VALUE"""),"quest_event_kim1_challenge01")</f>
        <v/>
      </c>
      <c r="G610" s="334">
        <f>IFERROR(__xludf.DUMMYFUNCTION("""COMPUTED_VALUE"""),"恋太郎ファミリー")</f>
        <v/>
      </c>
      <c r="H610" s="408">
        <f>IFERROR(__xludf.DUMMYFUNCTION("""COMPUTED_VALUE"""),"03")</f>
        <v/>
      </c>
      <c r="I610" s="334">
        <f>IFERROR(__xludf.DUMMYFUNCTION("""COMPUTED_VALUE"""),"event_kim1_challenge01_00003")</f>
        <v/>
      </c>
      <c r="J610" s="334" t="n"/>
      <c r="K610" s="334" t="n"/>
      <c r="L610" s="334">
        <f>IFERROR(__xludf.DUMMYFUNCTION("""COMPUTED_VALUE"""),2.0260202E8)</f>
        <v/>
      </c>
      <c r="M610" s="334" t="n"/>
      <c r="N610" s="339" t="n"/>
      <c r="O610" s="368" t="n"/>
      <c r="P610" s="334" t="n"/>
    </row>
    <row r="611">
      <c r="A611" s="334">
        <f>IFERROR(__xludf.DUMMYFUNCTION("""COMPUTED_VALUE"""),"kim1")</f>
        <v/>
      </c>
      <c r="B611" s="334">
        <f>IFERROR(__xludf.DUMMYFUNCTION("""COMPUTED_VALUE"""),"君のことが大大大大大好きな100人の彼女")</f>
        <v/>
      </c>
      <c r="C611" s="334">
        <f>IFERROR(__xludf.DUMMYFUNCTION("""COMPUTED_VALUE"""),"challenge01")</f>
        <v/>
      </c>
      <c r="D611" s="334">
        <f>IFERROR(__xludf.DUMMYFUNCTION("""COMPUTED_VALUE"""),"event")</f>
        <v/>
      </c>
      <c r="E611" s="408">
        <f>IFERROR(__xludf.DUMMYFUNCTION("""COMPUTED_VALUE"""),"チャレンジ")</f>
        <v/>
      </c>
      <c r="F611" s="408">
        <f>IFERROR(__xludf.DUMMYFUNCTION("""COMPUTED_VALUE"""),"quest_event_kim1_challenge01")</f>
        <v/>
      </c>
      <c r="G611" s="334">
        <f>IFERROR(__xludf.DUMMYFUNCTION("""COMPUTED_VALUE"""),"恋太郎ファミリー")</f>
        <v/>
      </c>
      <c r="H611" s="408">
        <f>IFERROR(__xludf.DUMMYFUNCTION("""COMPUTED_VALUE"""),"04")</f>
        <v/>
      </c>
      <c r="I611" s="334">
        <f>IFERROR(__xludf.DUMMYFUNCTION("""COMPUTED_VALUE"""),"event_kim1_challenge01_00004")</f>
        <v/>
      </c>
      <c r="J611" s="334" t="n"/>
      <c r="K611" s="334" t="n"/>
      <c r="L611" s="334">
        <f>IFERROR(__xludf.DUMMYFUNCTION("""COMPUTED_VALUE"""),2.0260202E8)</f>
        <v/>
      </c>
      <c r="M611" s="334" t="n"/>
      <c r="N611" s="339" t="n"/>
      <c r="O611" s="368" t="n"/>
      <c r="P611" s="334" t="n"/>
    </row>
    <row r="612">
      <c r="A612" s="334">
        <f>IFERROR(__xludf.DUMMYFUNCTION("""COMPUTED_VALUE"""),"kim1")</f>
        <v/>
      </c>
      <c r="B612" s="334">
        <f>IFERROR(__xludf.DUMMYFUNCTION("""COMPUTED_VALUE"""),"君のことが大大大大大好きな100人の彼女")</f>
        <v/>
      </c>
      <c r="C612" s="334">
        <f>IFERROR(__xludf.DUMMYFUNCTION("""COMPUTED_VALUE"""),"savage")</f>
        <v/>
      </c>
      <c r="D612" s="334">
        <f>IFERROR(__xludf.DUMMYFUNCTION("""COMPUTED_VALUE"""),"event")</f>
        <v/>
      </c>
      <c r="E612" s="408">
        <f>IFERROR(__xludf.DUMMYFUNCTION("""COMPUTED_VALUE"""),"高難易度")</f>
        <v/>
      </c>
      <c r="F612" s="408">
        <f>IFERROR(__xludf.DUMMYFUNCTION("""COMPUTED_VALUE"""),"quest_event_kim1_savage")</f>
        <v/>
      </c>
      <c r="G612" s="334">
        <f>IFERROR(__xludf.DUMMYFUNCTION("""COMPUTED_VALUE"""),"DEAD OR LOVE")</f>
        <v/>
      </c>
      <c r="H612" s="408">
        <f>IFERROR(__xludf.DUMMYFUNCTION("""COMPUTED_VALUE"""),"01")</f>
        <v/>
      </c>
      <c r="I612" s="334">
        <f>IFERROR(__xludf.DUMMYFUNCTION("""COMPUTED_VALUE"""),"event_kim1_savage_00001")</f>
        <v/>
      </c>
      <c r="J612" s="334" t="n"/>
      <c r="K612" s="334">
        <f>IFERROR(__xludf.DUMMYFUNCTION("""COMPUTED_VALUE"""),"kim1_savage_quest_select_cell")</f>
        <v/>
      </c>
      <c r="L612" s="334">
        <f>IFERROR(__xludf.DUMMYFUNCTION("""COMPUTED_VALUE"""),2.0260202E8)</f>
        <v/>
      </c>
      <c r="M612" s="334" t="n"/>
      <c r="N612" s="339" t="n"/>
      <c r="O612" s="368" t="n"/>
      <c r="P612" s="334" t="n"/>
    </row>
    <row r="613">
      <c r="A613" s="334">
        <f>IFERROR(__xludf.DUMMYFUNCTION("""COMPUTED_VALUE"""),"kim1")</f>
        <v/>
      </c>
      <c r="B613" s="334">
        <f>IFERROR(__xludf.DUMMYFUNCTION("""COMPUTED_VALUE"""),"君のことが大大大大大好きな100人の彼女")</f>
        <v/>
      </c>
      <c r="C613" s="334">
        <f>IFERROR(__xludf.DUMMYFUNCTION("""COMPUTED_VALUE"""),"savage")</f>
        <v/>
      </c>
      <c r="D613" s="334">
        <f>IFERROR(__xludf.DUMMYFUNCTION("""COMPUTED_VALUE"""),"event")</f>
        <v/>
      </c>
      <c r="E613" s="408">
        <f>IFERROR(__xludf.DUMMYFUNCTION("""COMPUTED_VALUE"""),"高難易度")</f>
        <v/>
      </c>
      <c r="F613" s="408">
        <f>IFERROR(__xludf.DUMMYFUNCTION("""COMPUTED_VALUE"""),"quest_event_kim1_savage")</f>
        <v/>
      </c>
      <c r="G613" s="334">
        <f>IFERROR(__xludf.DUMMYFUNCTION("""COMPUTED_VALUE"""),"DEAD OR LOVE")</f>
        <v/>
      </c>
      <c r="H613" s="408">
        <f>IFERROR(__xludf.DUMMYFUNCTION("""COMPUTED_VALUE"""),"02")</f>
        <v/>
      </c>
      <c r="I613" s="334">
        <f>IFERROR(__xludf.DUMMYFUNCTION("""COMPUTED_VALUE"""),"event_kim1_savage_00002")</f>
        <v/>
      </c>
      <c r="J613" s="334" t="n"/>
      <c r="K613" s="334" t="n"/>
      <c r="L613" s="334">
        <f>IFERROR(__xludf.DUMMYFUNCTION("""COMPUTED_VALUE"""),2.0260202E8)</f>
        <v/>
      </c>
      <c r="M613" s="334" t="n"/>
      <c r="N613" s="339" t="n"/>
      <c r="O613" s="368" t="n"/>
      <c r="P613" s="334" t="n"/>
    </row>
    <row r="614">
      <c r="A614" s="334">
        <f>IFERROR(__xludf.DUMMYFUNCTION("""COMPUTED_VALUE"""),"kim1")</f>
        <v/>
      </c>
      <c r="B614" s="334">
        <f>IFERROR(__xludf.DUMMYFUNCTION("""COMPUTED_VALUE"""),"君のことが大大大大大好きな100人の彼女")</f>
        <v/>
      </c>
      <c r="C614" s="334">
        <f>IFERROR(__xludf.DUMMYFUNCTION("""COMPUTED_VALUE"""),"savage")</f>
        <v/>
      </c>
      <c r="D614" s="334">
        <f>IFERROR(__xludf.DUMMYFUNCTION("""COMPUTED_VALUE"""),"event")</f>
        <v/>
      </c>
      <c r="E614" s="408">
        <f>IFERROR(__xludf.DUMMYFUNCTION("""COMPUTED_VALUE"""),"高難易度")</f>
        <v/>
      </c>
      <c r="F614" s="408">
        <f>IFERROR(__xludf.DUMMYFUNCTION("""COMPUTED_VALUE"""),"quest_event_kim1_savage")</f>
        <v/>
      </c>
      <c r="G614" s="334">
        <f>IFERROR(__xludf.DUMMYFUNCTION("""COMPUTED_VALUE"""),"DEAD OR LOVE")</f>
        <v/>
      </c>
      <c r="H614" s="408">
        <f>IFERROR(__xludf.DUMMYFUNCTION("""COMPUTED_VALUE"""),"03")</f>
        <v/>
      </c>
      <c r="I614" s="334">
        <f>IFERROR(__xludf.DUMMYFUNCTION("""COMPUTED_VALUE"""),"event_kim1_savage_00003")</f>
        <v/>
      </c>
      <c r="J614" s="334" t="n"/>
      <c r="K614" s="334" t="n"/>
      <c r="L614" s="334">
        <f>IFERROR(__xludf.DUMMYFUNCTION("""COMPUTED_VALUE"""),2.0260202E8)</f>
        <v/>
      </c>
      <c r="M614" s="334" t="n"/>
      <c r="N614" s="339" t="n"/>
      <c r="O614" s="368" t="n"/>
      <c r="P614" s="334" t="n"/>
    </row>
    <row r="615">
      <c r="A615" s="334" t="n"/>
      <c r="B615" s="334" t="n"/>
      <c r="C615" s="334" t="n"/>
      <c r="D615" s="334" t="n"/>
      <c r="E615" s="334" t="n"/>
      <c r="F615" s="334" t="n"/>
      <c r="G615" s="334" t="n"/>
      <c r="H615" s="334" t="n"/>
      <c r="I615" s="334" t="n"/>
      <c r="J615" s="334" t="n"/>
      <c r="K615" s="334" t="n"/>
      <c r="L615" s="334" t="n"/>
      <c r="M615" s="334" t="n"/>
      <c r="N615" s="339" t="n"/>
      <c r="O615" s="368" t="n"/>
      <c r="P615" s="334" t="n"/>
    </row>
    <row r="616">
      <c r="A616" s="334">
        <f>IFERROR(__xludf.DUMMYFUNCTION("""COMPUTED_VALUE"""),"hut1")</f>
        <v/>
      </c>
      <c r="B616" s="334">
        <f>IFERROR(__xludf.DUMMYFUNCTION("""COMPUTED_VALUE"""),"ふつうの軽音部")</f>
        <v/>
      </c>
      <c r="C616" s="334">
        <f>IFERROR(__xludf.DUMMYFUNCTION("""COMPUTED_VALUE"""),"1day")</f>
        <v/>
      </c>
      <c r="D616" s="334">
        <f>IFERROR(__xludf.DUMMYFUNCTION("""COMPUTED_VALUE"""),"event")</f>
        <v/>
      </c>
      <c r="E616" s="408">
        <f>IFERROR(__xludf.DUMMYFUNCTION("""COMPUTED_VALUE"""),"デイリー")</f>
        <v/>
      </c>
      <c r="F616" s="408">
        <f>IFERROR(__xludf.DUMMYFUNCTION("""COMPUTED_VALUE"""),"quest_event_hut1_1day")</f>
        <v/>
      </c>
      <c r="G616" s="334">
        <f>IFERROR(__xludf.DUMMYFUNCTION("""COMPUTED_VALUE"""),"軽音部に入部する")</f>
        <v/>
      </c>
      <c r="H616" s="408">
        <f>IFERROR(__xludf.DUMMYFUNCTION("""COMPUTED_VALUE"""),"01")</f>
        <v/>
      </c>
      <c r="I616" s="334">
        <f>IFERROR(__xludf.DUMMYFUNCTION("""COMPUTED_VALUE"""),"event_hut1_1day_00001")</f>
        <v/>
      </c>
      <c r="J616" s="334" t="n"/>
      <c r="K616" s="334">
        <f>IFERROR(__xludf.DUMMYFUNCTION("""COMPUTED_VALUE"""),"hut1_1day_quest_select_cell")</f>
        <v/>
      </c>
      <c r="L616" s="334">
        <f>IFERROR(__xludf.DUMMYFUNCTION("""COMPUTED_VALUE"""),2.0260301E8)</f>
        <v/>
      </c>
      <c r="M616" s="334" t="n"/>
      <c r="N616" s="339" t="n"/>
      <c r="O616" s="368" t="n"/>
      <c r="P616" s="334" t="n"/>
    </row>
    <row r="617">
      <c r="A617" s="334">
        <f>IFERROR(__xludf.DUMMYFUNCTION("""COMPUTED_VALUE"""),"hut1")</f>
        <v/>
      </c>
      <c r="B617" s="334">
        <f>IFERROR(__xludf.DUMMYFUNCTION("""COMPUTED_VALUE"""),"ふつうの軽音部")</f>
        <v/>
      </c>
      <c r="C617" s="334">
        <f>IFERROR(__xludf.DUMMYFUNCTION("""COMPUTED_VALUE"""),"charaget01")</f>
        <v/>
      </c>
      <c r="D617" s="334">
        <f>IFERROR(__xludf.DUMMYFUNCTION("""COMPUTED_VALUE"""),"event")</f>
        <v/>
      </c>
      <c r="E617" s="408">
        <f>IFERROR(__xludf.DUMMYFUNCTION("""COMPUTED_VALUE"""),"収集")</f>
        <v/>
      </c>
      <c r="F617" s="408">
        <f>IFERROR(__xludf.DUMMYFUNCTION("""COMPUTED_VALUE"""),"quest_event_hut1_charaget01")</f>
        <v/>
      </c>
      <c r="G617" s="334">
        <f>IFERROR(__xludf.DUMMYFUNCTION("""COMPUTED_VALUE"""),"弾き語り修行をする")</f>
        <v/>
      </c>
      <c r="H617" s="408">
        <f>IFERROR(__xludf.DUMMYFUNCTION("""COMPUTED_VALUE"""),"01")</f>
        <v/>
      </c>
      <c r="I617" s="334">
        <f>IFERROR(__xludf.DUMMYFUNCTION("""COMPUTED_VALUE"""),"event_hut1_charaget01_00001")</f>
        <v/>
      </c>
      <c r="J617" s="334" t="n"/>
      <c r="K617" s="334">
        <f>IFERROR(__xludf.DUMMYFUNCTION("""COMPUTED_VALUE"""),"hut1_charaget01_quest_select_cell")</f>
        <v/>
      </c>
      <c r="L617" s="334">
        <f>IFERROR(__xludf.DUMMYFUNCTION("""COMPUTED_VALUE"""),2.0260301E8)</f>
        <v/>
      </c>
      <c r="M617" s="334" t="n"/>
      <c r="N617" s="339" t="n"/>
      <c r="O617" s="368" t="n"/>
      <c r="P617" s="334" t="n"/>
    </row>
    <row r="618">
      <c r="A618" s="334">
        <f>IFERROR(__xludf.DUMMYFUNCTION("""COMPUTED_VALUE"""),"hut1")</f>
        <v/>
      </c>
      <c r="B618" s="334">
        <f>IFERROR(__xludf.DUMMYFUNCTION("""COMPUTED_VALUE"""),"ふつうの軽音部")</f>
        <v/>
      </c>
      <c r="C618" s="334">
        <f>IFERROR(__xludf.DUMMYFUNCTION("""COMPUTED_VALUE"""),"charaget01")</f>
        <v/>
      </c>
      <c r="D618" s="334">
        <f>IFERROR(__xludf.DUMMYFUNCTION("""COMPUTED_VALUE"""),"event")</f>
        <v/>
      </c>
      <c r="E618" s="408">
        <f>IFERROR(__xludf.DUMMYFUNCTION("""COMPUTED_VALUE"""),"収集")</f>
        <v/>
      </c>
      <c r="F618" s="408">
        <f>IFERROR(__xludf.DUMMYFUNCTION("""COMPUTED_VALUE"""),"quest_event_hut1_charaget01")</f>
        <v/>
      </c>
      <c r="G618" s="334">
        <f>IFERROR(__xludf.DUMMYFUNCTION("""COMPUTED_VALUE"""),"弾き語り修行をする")</f>
        <v/>
      </c>
      <c r="H618" s="408">
        <f>IFERROR(__xludf.DUMMYFUNCTION("""COMPUTED_VALUE"""),"02")</f>
        <v/>
      </c>
      <c r="I618" s="334">
        <f>IFERROR(__xludf.DUMMYFUNCTION("""COMPUTED_VALUE"""),"event_hut1_charaget01_00002")</f>
        <v/>
      </c>
      <c r="J618" s="334" t="n"/>
      <c r="K618" s="334" t="n"/>
      <c r="L618" s="334">
        <f>IFERROR(__xludf.DUMMYFUNCTION("""COMPUTED_VALUE"""),2.0260301E8)</f>
        <v/>
      </c>
      <c r="M618" s="334" t="n"/>
      <c r="N618" s="339" t="n"/>
      <c r="O618" s="368" t="n"/>
      <c r="P618" s="334" t="n"/>
    </row>
    <row r="619">
      <c r="A619" s="334">
        <f>IFERROR(__xludf.DUMMYFUNCTION("""COMPUTED_VALUE"""),"hut1")</f>
        <v/>
      </c>
      <c r="B619" s="334">
        <f>IFERROR(__xludf.DUMMYFUNCTION("""COMPUTED_VALUE"""),"ふつうの軽音部")</f>
        <v/>
      </c>
      <c r="C619" s="334">
        <f>IFERROR(__xludf.DUMMYFUNCTION("""COMPUTED_VALUE"""),"charaget01")</f>
        <v/>
      </c>
      <c r="D619" s="334">
        <f>IFERROR(__xludf.DUMMYFUNCTION("""COMPUTED_VALUE"""),"event")</f>
        <v/>
      </c>
      <c r="E619" s="408">
        <f>IFERROR(__xludf.DUMMYFUNCTION("""COMPUTED_VALUE"""),"収集")</f>
        <v/>
      </c>
      <c r="F619" s="408">
        <f>IFERROR(__xludf.DUMMYFUNCTION("""COMPUTED_VALUE"""),"quest_event_hut1_charaget01")</f>
        <v/>
      </c>
      <c r="G619" s="334">
        <f>IFERROR(__xludf.DUMMYFUNCTION("""COMPUTED_VALUE"""),"弾き語り修行をする")</f>
        <v/>
      </c>
      <c r="H619" s="408">
        <f>IFERROR(__xludf.DUMMYFUNCTION("""COMPUTED_VALUE"""),"03")</f>
        <v/>
      </c>
      <c r="I619" s="334">
        <f>IFERROR(__xludf.DUMMYFUNCTION("""COMPUTED_VALUE"""),"event_hut1_charaget01_00003")</f>
        <v/>
      </c>
      <c r="J619" s="334" t="n"/>
      <c r="K619" s="334" t="n"/>
      <c r="L619" s="334">
        <f>IFERROR(__xludf.DUMMYFUNCTION("""COMPUTED_VALUE"""),2.0260301E8)</f>
        <v/>
      </c>
      <c r="M619" s="334" t="n"/>
      <c r="N619" s="339" t="n"/>
      <c r="O619" s="368" t="n"/>
      <c r="P619" s="334" t="n"/>
    </row>
    <row r="620">
      <c r="A620" s="334">
        <f>IFERROR(__xludf.DUMMYFUNCTION("""COMPUTED_VALUE"""),"hut1")</f>
        <v/>
      </c>
      <c r="B620" s="334">
        <f>IFERROR(__xludf.DUMMYFUNCTION("""COMPUTED_VALUE"""),"ふつうの軽音部")</f>
        <v/>
      </c>
      <c r="C620" s="334">
        <f>IFERROR(__xludf.DUMMYFUNCTION("""COMPUTED_VALUE"""),"charaget01")</f>
        <v/>
      </c>
      <c r="D620" s="334">
        <f>IFERROR(__xludf.DUMMYFUNCTION("""COMPUTED_VALUE"""),"event")</f>
        <v/>
      </c>
      <c r="E620" s="408">
        <f>IFERROR(__xludf.DUMMYFUNCTION("""COMPUTED_VALUE"""),"収集")</f>
        <v/>
      </c>
      <c r="F620" s="408">
        <f>IFERROR(__xludf.DUMMYFUNCTION("""COMPUTED_VALUE"""),"quest_event_hut1_charaget01")</f>
        <v/>
      </c>
      <c r="G620" s="334">
        <f>IFERROR(__xludf.DUMMYFUNCTION("""COMPUTED_VALUE"""),"弾き語り修行をする")</f>
        <v/>
      </c>
      <c r="H620" s="408">
        <f>IFERROR(__xludf.DUMMYFUNCTION("""COMPUTED_VALUE"""),"04")</f>
        <v/>
      </c>
      <c r="I620" s="334">
        <f>IFERROR(__xludf.DUMMYFUNCTION("""COMPUTED_VALUE"""),"event_hut1_charaget01_00004")</f>
        <v/>
      </c>
      <c r="J620" s="334" t="n"/>
      <c r="K620" s="334" t="n"/>
      <c r="L620" s="334">
        <f>IFERROR(__xludf.DUMMYFUNCTION("""COMPUTED_VALUE"""),2.0260301E8)</f>
        <v/>
      </c>
      <c r="M620" s="334" t="n"/>
      <c r="N620" s="339" t="n"/>
      <c r="O620" s="368" t="n"/>
      <c r="P620" s="334" t="n"/>
    </row>
    <row r="621">
      <c r="A621" s="334">
        <f>IFERROR(__xludf.DUMMYFUNCTION("""COMPUTED_VALUE"""),"hut1")</f>
        <v/>
      </c>
      <c r="B621" s="334">
        <f>IFERROR(__xludf.DUMMYFUNCTION("""COMPUTED_VALUE"""),"ふつうの軽音部")</f>
        <v/>
      </c>
      <c r="C621" s="334">
        <f>IFERROR(__xludf.DUMMYFUNCTION("""COMPUTED_VALUE"""),"charaget02")</f>
        <v/>
      </c>
      <c r="D621" s="334">
        <f>IFERROR(__xludf.DUMMYFUNCTION("""COMPUTED_VALUE"""),"event")</f>
        <v/>
      </c>
      <c r="E621" s="408">
        <f>IFERROR(__xludf.DUMMYFUNCTION("""COMPUTED_VALUE"""),"ストーリー")</f>
        <v/>
      </c>
      <c r="F621" s="408">
        <f>IFERROR(__xludf.DUMMYFUNCTION("""COMPUTED_VALUE"""),"quest_event_hut1_charaget02")</f>
        <v/>
      </c>
      <c r="G621" s="334">
        <f>IFERROR(__xludf.DUMMYFUNCTION("""COMPUTED_VALUE"""),"バンドを結成する")</f>
        <v/>
      </c>
      <c r="H621" s="408">
        <f>IFERROR(__xludf.DUMMYFUNCTION("""COMPUTED_VALUE"""),"01")</f>
        <v/>
      </c>
      <c r="I621" s="334">
        <f>IFERROR(__xludf.DUMMYFUNCTION("""COMPUTED_VALUE"""),"event_hut1_charaget02_00001")</f>
        <v/>
      </c>
      <c r="J621" s="334" t="n"/>
      <c r="K621" s="334">
        <f>IFERROR(__xludf.DUMMYFUNCTION("""COMPUTED_VALUE"""),"hut1_charaget02_quest_select_cell")</f>
        <v/>
      </c>
      <c r="L621" s="334">
        <f>IFERROR(__xludf.DUMMYFUNCTION("""COMPUTED_VALUE"""),2.0260301E8)</f>
        <v/>
      </c>
      <c r="M621" s="334" t="n"/>
      <c r="N621" s="339" t="n"/>
      <c r="O621" s="368" t="n"/>
      <c r="P621" s="334" t="n"/>
    </row>
    <row r="622">
      <c r="A622" s="334">
        <f>IFERROR(__xludf.DUMMYFUNCTION("""COMPUTED_VALUE"""),"hut1")</f>
        <v/>
      </c>
      <c r="B622" s="334">
        <f>IFERROR(__xludf.DUMMYFUNCTION("""COMPUTED_VALUE"""),"ふつうの軽音部")</f>
        <v/>
      </c>
      <c r="C622" s="334">
        <f>IFERROR(__xludf.DUMMYFUNCTION("""COMPUTED_VALUE"""),"charaget02")</f>
        <v/>
      </c>
      <c r="D622" s="334">
        <f>IFERROR(__xludf.DUMMYFUNCTION("""COMPUTED_VALUE"""),"event")</f>
        <v/>
      </c>
      <c r="E622" s="408">
        <f>IFERROR(__xludf.DUMMYFUNCTION("""COMPUTED_VALUE"""),"ストーリー")</f>
        <v/>
      </c>
      <c r="F622" s="408">
        <f>IFERROR(__xludf.DUMMYFUNCTION("""COMPUTED_VALUE"""),"quest_event_hut1_charaget02")</f>
        <v/>
      </c>
      <c r="G622" s="334">
        <f>IFERROR(__xludf.DUMMYFUNCTION("""COMPUTED_VALUE"""),"バンドを結成する")</f>
        <v/>
      </c>
      <c r="H622" s="408">
        <f>IFERROR(__xludf.DUMMYFUNCTION("""COMPUTED_VALUE"""),"02")</f>
        <v/>
      </c>
      <c r="I622" s="334">
        <f>IFERROR(__xludf.DUMMYFUNCTION("""COMPUTED_VALUE"""),"event_hut1_charaget02_00002")</f>
        <v/>
      </c>
      <c r="J622" s="334" t="n"/>
      <c r="K622" s="334" t="n"/>
      <c r="L622" s="334">
        <f>IFERROR(__xludf.DUMMYFUNCTION("""COMPUTED_VALUE"""),2.0260301E8)</f>
        <v/>
      </c>
      <c r="M622" s="334" t="n"/>
      <c r="N622" s="339" t="n"/>
      <c r="O622" s="368" t="n"/>
      <c r="P622" s="334" t="n"/>
    </row>
    <row r="623">
      <c r="A623" s="334">
        <f>IFERROR(__xludf.DUMMYFUNCTION("""COMPUTED_VALUE"""),"hut1")</f>
        <v/>
      </c>
      <c r="B623" s="334">
        <f>IFERROR(__xludf.DUMMYFUNCTION("""COMPUTED_VALUE"""),"ふつうの軽音部")</f>
        <v/>
      </c>
      <c r="C623" s="334">
        <f>IFERROR(__xludf.DUMMYFUNCTION("""COMPUTED_VALUE"""),"charaget02")</f>
        <v/>
      </c>
      <c r="D623" s="334">
        <f>IFERROR(__xludf.DUMMYFUNCTION("""COMPUTED_VALUE"""),"event")</f>
        <v/>
      </c>
      <c r="E623" s="408">
        <f>IFERROR(__xludf.DUMMYFUNCTION("""COMPUTED_VALUE"""),"ストーリー")</f>
        <v/>
      </c>
      <c r="F623" s="408">
        <f>IFERROR(__xludf.DUMMYFUNCTION("""COMPUTED_VALUE"""),"quest_event_hut1_charaget02")</f>
        <v/>
      </c>
      <c r="G623" s="334">
        <f>IFERROR(__xludf.DUMMYFUNCTION("""COMPUTED_VALUE"""),"バンドを結成する")</f>
        <v/>
      </c>
      <c r="H623" s="408">
        <f>IFERROR(__xludf.DUMMYFUNCTION("""COMPUTED_VALUE"""),"03")</f>
        <v/>
      </c>
      <c r="I623" s="334">
        <f>IFERROR(__xludf.DUMMYFUNCTION("""COMPUTED_VALUE"""),"event_hut1_charaget02_00003")</f>
        <v/>
      </c>
      <c r="J623" s="334" t="n"/>
      <c r="K623" s="334" t="n"/>
      <c r="L623" s="334">
        <f>IFERROR(__xludf.DUMMYFUNCTION("""COMPUTED_VALUE"""),2.0260301E8)</f>
        <v/>
      </c>
      <c r="M623" s="334" t="n"/>
      <c r="N623" s="339" t="n"/>
      <c r="O623" s="368" t="n"/>
      <c r="P623" s="334" t="n"/>
    </row>
    <row r="624">
      <c r="A624" s="334">
        <f>IFERROR(__xludf.DUMMYFUNCTION("""COMPUTED_VALUE"""),"hut1")</f>
        <v/>
      </c>
      <c r="B624" s="334">
        <f>IFERROR(__xludf.DUMMYFUNCTION("""COMPUTED_VALUE"""),"ふつうの軽音部")</f>
        <v/>
      </c>
      <c r="C624" s="334">
        <f>IFERROR(__xludf.DUMMYFUNCTION("""COMPUTED_VALUE"""),"charaget02")</f>
        <v/>
      </c>
      <c r="D624" s="334">
        <f>IFERROR(__xludf.DUMMYFUNCTION("""COMPUTED_VALUE"""),"event")</f>
        <v/>
      </c>
      <c r="E624" s="408">
        <f>IFERROR(__xludf.DUMMYFUNCTION("""COMPUTED_VALUE"""),"ストーリー")</f>
        <v/>
      </c>
      <c r="F624" s="408">
        <f>IFERROR(__xludf.DUMMYFUNCTION("""COMPUTED_VALUE"""),"quest_event_hut1_charaget02")</f>
        <v/>
      </c>
      <c r="G624" s="334">
        <f>IFERROR(__xludf.DUMMYFUNCTION("""COMPUTED_VALUE"""),"バンドを結成する")</f>
        <v/>
      </c>
      <c r="H624" s="408">
        <f>IFERROR(__xludf.DUMMYFUNCTION("""COMPUTED_VALUE"""),"04")</f>
        <v/>
      </c>
      <c r="I624" s="334">
        <f>IFERROR(__xludf.DUMMYFUNCTION("""COMPUTED_VALUE"""),"event_hut1_charaget02_00004")</f>
        <v/>
      </c>
      <c r="J624" s="334" t="n"/>
      <c r="K624" s="334" t="n"/>
      <c r="L624" s="334">
        <f>IFERROR(__xludf.DUMMYFUNCTION("""COMPUTED_VALUE"""),2.0260301E8)</f>
        <v/>
      </c>
      <c r="M624" s="334" t="n"/>
      <c r="N624" s="339" t="n"/>
      <c r="O624" s="368" t="n"/>
      <c r="P624" s="334" t="n"/>
    </row>
    <row r="625">
      <c r="A625" s="334">
        <f>IFERROR(__xludf.DUMMYFUNCTION("""COMPUTED_VALUE"""),"hut1")</f>
        <v/>
      </c>
      <c r="B625" s="334">
        <f>IFERROR(__xludf.DUMMYFUNCTION("""COMPUTED_VALUE"""),"ふつうの軽音部")</f>
        <v/>
      </c>
      <c r="C625" s="334">
        <f>IFERROR(__xludf.DUMMYFUNCTION("""COMPUTED_VALUE"""),"charaget02")</f>
        <v/>
      </c>
      <c r="D625" s="334">
        <f>IFERROR(__xludf.DUMMYFUNCTION("""COMPUTED_VALUE"""),"event")</f>
        <v/>
      </c>
      <c r="E625" s="408">
        <f>IFERROR(__xludf.DUMMYFUNCTION("""COMPUTED_VALUE"""),"ストーリー")</f>
        <v/>
      </c>
      <c r="F625" s="408">
        <f>IFERROR(__xludf.DUMMYFUNCTION("""COMPUTED_VALUE"""),"quest_event_hut1_charaget02")</f>
        <v/>
      </c>
      <c r="G625" s="334">
        <f>IFERROR(__xludf.DUMMYFUNCTION("""COMPUTED_VALUE"""),"バンドを結成する")</f>
        <v/>
      </c>
      <c r="H625" s="408">
        <f>IFERROR(__xludf.DUMMYFUNCTION("""COMPUTED_VALUE"""),"05")</f>
        <v/>
      </c>
      <c r="I625" s="334">
        <f>IFERROR(__xludf.DUMMYFUNCTION("""COMPUTED_VALUE"""),"event_hut1_charaget02_00005")</f>
        <v/>
      </c>
      <c r="J625" s="334" t="n"/>
      <c r="K625" s="334" t="n"/>
      <c r="L625" s="334">
        <f>IFERROR(__xludf.DUMMYFUNCTION("""COMPUTED_VALUE"""),2.0260301E8)</f>
        <v/>
      </c>
      <c r="M625" s="334" t="n"/>
      <c r="N625" s="339" t="n"/>
      <c r="O625" s="368" t="n"/>
      <c r="P625" s="334" t="n"/>
    </row>
    <row r="626">
      <c r="A626" s="334">
        <f>IFERROR(__xludf.DUMMYFUNCTION("""COMPUTED_VALUE"""),"hut1")</f>
        <v/>
      </c>
      <c r="B626" s="334">
        <f>IFERROR(__xludf.DUMMYFUNCTION("""COMPUTED_VALUE"""),"ふつうの軽音部")</f>
        <v/>
      </c>
      <c r="C626" s="334">
        <f>IFERROR(__xludf.DUMMYFUNCTION("""COMPUTED_VALUE"""),"charaget02")</f>
        <v/>
      </c>
      <c r="D626" s="334">
        <f>IFERROR(__xludf.DUMMYFUNCTION("""COMPUTED_VALUE"""),"event")</f>
        <v/>
      </c>
      <c r="E626" s="408">
        <f>IFERROR(__xludf.DUMMYFUNCTION("""COMPUTED_VALUE"""),"ストーリー")</f>
        <v/>
      </c>
      <c r="F626" s="408">
        <f>IFERROR(__xludf.DUMMYFUNCTION("""COMPUTED_VALUE"""),"quest_event_hut1_charaget02")</f>
        <v/>
      </c>
      <c r="G626" s="334">
        <f>IFERROR(__xludf.DUMMYFUNCTION("""COMPUTED_VALUE"""),"バンドを結成する")</f>
        <v/>
      </c>
      <c r="H626" s="408">
        <f>IFERROR(__xludf.DUMMYFUNCTION("""COMPUTED_VALUE"""),"06")</f>
        <v/>
      </c>
      <c r="I626" s="334">
        <f>IFERROR(__xludf.DUMMYFUNCTION("""COMPUTED_VALUE"""),"event_hut1_charaget02_00006")</f>
        <v/>
      </c>
      <c r="J626" s="334" t="n"/>
      <c r="K626" s="334" t="n"/>
      <c r="L626" s="334">
        <f>IFERROR(__xludf.DUMMYFUNCTION("""COMPUTED_VALUE"""),2.0260301E8)</f>
        <v/>
      </c>
      <c r="M626" s="334" t="n"/>
      <c r="N626" s="339" t="n"/>
      <c r="O626" s="368" t="n"/>
      <c r="P626" s="334" t="n"/>
    </row>
    <row r="627">
      <c r="A627" s="334">
        <f>IFERROR(__xludf.DUMMYFUNCTION("""COMPUTED_VALUE"""),"hut1")</f>
        <v/>
      </c>
      <c r="B627" s="334">
        <f>IFERROR(__xludf.DUMMYFUNCTION("""COMPUTED_VALUE"""),"ふつうの軽音部")</f>
        <v/>
      </c>
      <c r="C627" s="334">
        <f>IFERROR(__xludf.DUMMYFUNCTION("""COMPUTED_VALUE"""),"challenge")</f>
        <v/>
      </c>
      <c r="D627" s="334">
        <f>IFERROR(__xludf.DUMMYFUNCTION("""COMPUTED_VALUE"""),"event")</f>
        <v/>
      </c>
      <c r="E627" s="408">
        <f>IFERROR(__xludf.DUMMYFUNCTION("""COMPUTED_VALUE"""),"チャレンジ")</f>
        <v/>
      </c>
      <c r="F627" s="408">
        <f>IFERROR(__xludf.DUMMYFUNCTION("""COMPUTED_VALUE"""),"quest_event_hut1_challenge")</f>
        <v/>
      </c>
      <c r="G627" s="334">
        <f>IFERROR(__xludf.DUMMYFUNCTION("""COMPUTED_VALUE"""),"文化祭が始まる")</f>
        <v/>
      </c>
      <c r="H627" s="408">
        <f>IFERROR(__xludf.DUMMYFUNCTION("""COMPUTED_VALUE"""),"01")</f>
        <v/>
      </c>
      <c r="I627" s="334">
        <f>IFERROR(__xludf.DUMMYFUNCTION("""COMPUTED_VALUE"""),"event_hut1_challenge_00001")</f>
        <v/>
      </c>
      <c r="J627" s="334" t="n"/>
      <c r="K627" s="334">
        <f>IFERROR(__xludf.DUMMYFUNCTION("""COMPUTED_VALUE"""),"hut1_challenge_quest_select_cell")</f>
        <v/>
      </c>
      <c r="L627" s="334">
        <f>IFERROR(__xludf.DUMMYFUNCTION("""COMPUTED_VALUE"""),2.0260301E8)</f>
        <v/>
      </c>
      <c r="M627" s="334" t="n"/>
      <c r="N627" s="339" t="n"/>
      <c r="O627" s="368" t="n"/>
      <c r="P627" s="334" t="n"/>
    </row>
    <row r="628">
      <c r="A628" s="334">
        <f>IFERROR(__xludf.DUMMYFUNCTION("""COMPUTED_VALUE"""),"hut1")</f>
        <v/>
      </c>
      <c r="B628" s="334">
        <f>IFERROR(__xludf.DUMMYFUNCTION("""COMPUTED_VALUE"""),"ふつうの軽音部")</f>
        <v/>
      </c>
      <c r="C628" s="334">
        <f>IFERROR(__xludf.DUMMYFUNCTION("""COMPUTED_VALUE"""),"challenge")</f>
        <v/>
      </c>
      <c r="D628" s="334">
        <f>IFERROR(__xludf.DUMMYFUNCTION("""COMPUTED_VALUE"""),"event")</f>
        <v/>
      </c>
      <c r="E628" s="408">
        <f>IFERROR(__xludf.DUMMYFUNCTION("""COMPUTED_VALUE"""),"チャレンジ")</f>
        <v/>
      </c>
      <c r="F628" s="408">
        <f>IFERROR(__xludf.DUMMYFUNCTION("""COMPUTED_VALUE"""),"quest_event_hut1_challenge")</f>
        <v/>
      </c>
      <c r="G628" s="334">
        <f>IFERROR(__xludf.DUMMYFUNCTION("""COMPUTED_VALUE"""),"文化祭が始まる")</f>
        <v/>
      </c>
      <c r="H628" s="408">
        <f>IFERROR(__xludf.DUMMYFUNCTION("""COMPUTED_VALUE"""),"02")</f>
        <v/>
      </c>
      <c r="I628" s="334">
        <f>IFERROR(__xludf.DUMMYFUNCTION("""COMPUTED_VALUE"""),"event_hut1_challenge_00002")</f>
        <v/>
      </c>
      <c r="J628" s="334" t="n"/>
      <c r="K628" s="334" t="n"/>
      <c r="L628" s="334">
        <f>IFERROR(__xludf.DUMMYFUNCTION("""COMPUTED_VALUE"""),2.0260301E8)</f>
        <v/>
      </c>
      <c r="M628" s="334" t="n"/>
      <c r="N628" s="339" t="n"/>
      <c r="O628" s="368" t="n"/>
      <c r="P628" s="334" t="n"/>
    </row>
    <row r="629">
      <c r="A629" s="334">
        <f>IFERROR(__xludf.DUMMYFUNCTION("""COMPUTED_VALUE"""),"hut1")</f>
        <v/>
      </c>
      <c r="B629" s="334">
        <f>IFERROR(__xludf.DUMMYFUNCTION("""COMPUTED_VALUE"""),"ふつうの軽音部")</f>
        <v/>
      </c>
      <c r="C629" s="334">
        <f>IFERROR(__xludf.DUMMYFUNCTION("""COMPUTED_VALUE"""),"challenge")</f>
        <v/>
      </c>
      <c r="D629" s="334">
        <f>IFERROR(__xludf.DUMMYFUNCTION("""COMPUTED_VALUE"""),"event")</f>
        <v/>
      </c>
      <c r="E629" s="408">
        <f>IFERROR(__xludf.DUMMYFUNCTION("""COMPUTED_VALUE"""),"チャレンジ")</f>
        <v/>
      </c>
      <c r="F629" s="408">
        <f>IFERROR(__xludf.DUMMYFUNCTION("""COMPUTED_VALUE"""),"quest_event_hut1_challenge")</f>
        <v/>
      </c>
      <c r="G629" s="334">
        <f>IFERROR(__xludf.DUMMYFUNCTION("""COMPUTED_VALUE"""),"文化祭が始まる")</f>
        <v/>
      </c>
      <c r="H629" s="408">
        <f>IFERROR(__xludf.DUMMYFUNCTION("""COMPUTED_VALUE"""),"03")</f>
        <v/>
      </c>
      <c r="I629" s="334">
        <f>IFERROR(__xludf.DUMMYFUNCTION("""COMPUTED_VALUE"""),"event_hut1_challenge_00003")</f>
        <v/>
      </c>
      <c r="J629" s="334" t="n"/>
      <c r="K629" s="334" t="n"/>
      <c r="L629" s="334">
        <f>IFERROR(__xludf.DUMMYFUNCTION("""COMPUTED_VALUE"""),2.0260301E8)</f>
        <v/>
      </c>
      <c r="M629" s="334" t="n"/>
      <c r="N629" s="339" t="n"/>
      <c r="O629" s="368" t="n"/>
      <c r="P629" s="334" t="n"/>
    </row>
    <row r="630">
      <c r="A630" s="334">
        <f>IFERROR(__xludf.DUMMYFUNCTION("""COMPUTED_VALUE"""),"hut1")</f>
        <v/>
      </c>
      <c r="B630" s="334">
        <f>IFERROR(__xludf.DUMMYFUNCTION("""COMPUTED_VALUE"""),"ふつうの軽音部")</f>
        <v/>
      </c>
      <c r="C630" s="334">
        <f>IFERROR(__xludf.DUMMYFUNCTION("""COMPUTED_VALUE"""),"challenge")</f>
        <v/>
      </c>
      <c r="D630" s="334">
        <f>IFERROR(__xludf.DUMMYFUNCTION("""COMPUTED_VALUE"""),"event")</f>
        <v/>
      </c>
      <c r="E630" s="408">
        <f>IFERROR(__xludf.DUMMYFUNCTION("""COMPUTED_VALUE"""),"チャレンジ")</f>
        <v/>
      </c>
      <c r="F630" s="408">
        <f>IFERROR(__xludf.DUMMYFUNCTION("""COMPUTED_VALUE"""),"quest_event_hut1_challenge")</f>
        <v/>
      </c>
      <c r="G630" s="334">
        <f>IFERROR(__xludf.DUMMYFUNCTION("""COMPUTED_VALUE"""),"文化祭が始まる")</f>
        <v/>
      </c>
      <c r="H630" s="408">
        <f>IFERROR(__xludf.DUMMYFUNCTION("""COMPUTED_VALUE"""),"04")</f>
        <v/>
      </c>
      <c r="I630" s="334">
        <f>IFERROR(__xludf.DUMMYFUNCTION("""COMPUTED_VALUE"""),"event_hut1_challenge_00004")</f>
        <v/>
      </c>
      <c r="J630" s="334" t="n"/>
      <c r="K630" s="334" t="n"/>
      <c r="L630" s="334">
        <f>IFERROR(__xludf.DUMMYFUNCTION("""COMPUTED_VALUE"""),2.0260301E8)</f>
        <v/>
      </c>
      <c r="M630" s="334" t="n"/>
      <c r="N630" s="339" t="n"/>
      <c r="O630" s="368" t="n"/>
      <c r="P630" s="334" t="n"/>
    </row>
    <row r="631">
      <c r="A631" s="334">
        <f>IFERROR(__xludf.DUMMYFUNCTION("""COMPUTED_VALUE"""),"hut1")</f>
        <v/>
      </c>
      <c r="B631" s="334">
        <f>IFERROR(__xludf.DUMMYFUNCTION("""COMPUTED_VALUE"""),"ふつうの軽音部")</f>
        <v/>
      </c>
      <c r="C631" s="334">
        <f>IFERROR(__xludf.DUMMYFUNCTION("""COMPUTED_VALUE"""),"savage")</f>
        <v/>
      </c>
      <c r="D631" s="334">
        <f>IFERROR(__xludf.DUMMYFUNCTION("""COMPUTED_VALUE"""),"event")</f>
        <v/>
      </c>
      <c r="E631" s="408">
        <f>IFERROR(__xludf.DUMMYFUNCTION("""COMPUTED_VALUE"""),"高難易度")</f>
        <v/>
      </c>
      <c r="F631" s="408">
        <f>IFERROR(__xludf.DUMMYFUNCTION("""COMPUTED_VALUE"""),"quest_event_hut1_savage")</f>
        <v/>
      </c>
      <c r="G631" s="334">
        <f>IFERROR(__xludf.DUMMYFUNCTION("""COMPUTED_VALUE"""),"ステージに立つ")</f>
        <v/>
      </c>
      <c r="H631" s="408">
        <f>IFERROR(__xludf.DUMMYFUNCTION("""COMPUTED_VALUE"""),"01")</f>
        <v/>
      </c>
      <c r="I631" s="334">
        <f>IFERROR(__xludf.DUMMYFUNCTION("""COMPUTED_VALUE"""),"event_hut1_savage_00001")</f>
        <v/>
      </c>
      <c r="J631" s="334" t="n"/>
      <c r="K631" s="334">
        <f>IFERROR(__xludf.DUMMYFUNCTION("""COMPUTED_VALUE"""),"hut1_savage_quest_select_cell")</f>
        <v/>
      </c>
      <c r="L631" s="334">
        <f>IFERROR(__xludf.DUMMYFUNCTION("""COMPUTED_VALUE"""),2.0260301E8)</f>
        <v/>
      </c>
      <c r="M631" s="334" t="n"/>
      <c r="N631" s="339" t="n"/>
      <c r="O631" s="368" t="n"/>
      <c r="P631" s="334" t="n"/>
    </row>
    <row r="632">
      <c r="A632" s="334">
        <f>IFERROR(__xludf.DUMMYFUNCTION("""COMPUTED_VALUE"""),"hut1")</f>
        <v/>
      </c>
      <c r="B632" s="334">
        <f>IFERROR(__xludf.DUMMYFUNCTION("""COMPUTED_VALUE"""),"ふつうの軽音部")</f>
        <v/>
      </c>
      <c r="C632" s="334">
        <f>IFERROR(__xludf.DUMMYFUNCTION("""COMPUTED_VALUE"""),"savage")</f>
        <v/>
      </c>
      <c r="D632" s="334">
        <f>IFERROR(__xludf.DUMMYFUNCTION("""COMPUTED_VALUE"""),"event")</f>
        <v/>
      </c>
      <c r="E632" s="408">
        <f>IFERROR(__xludf.DUMMYFUNCTION("""COMPUTED_VALUE"""),"高難易度")</f>
        <v/>
      </c>
      <c r="F632" s="408">
        <f>IFERROR(__xludf.DUMMYFUNCTION("""COMPUTED_VALUE"""),"quest_event_hut1_savage")</f>
        <v/>
      </c>
      <c r="G632" s="334">
        <f>IFERROR(__xludf.DUMMYFUNCTION("""COMPUTED_VALUE"""),"ステージに立つ")</f>
        <v/>
      </c>
      <c r="H632" s="408">
        <f>IFERROR(__xludf.DUMMYFUNCTION("""COMPUTED_VALUE"""),"02")</f>
        <v/>
      </c>
      <c r="I632" s="334">
        <f>IFERROR(__xludf.DUMMYFUNCTION("""COMPUTED_VALUE"""),"event_hut1_savage_00002")</f>
        <v/>
      </c>
      <c r="J632" s="334" t="n"/>
      <c r="K632" s="334" t="n"/>
      <c r="L632" s="334">
        <f>IFERROR(__xludf.DUMMYFUNCTION("""COMPUTED_VALUE"""),2.0260301E8)</f>
        <v/>
      </c>
      <c r="M632" s="334" t="n"/>
      <c r="N632" s="339" t="n"/>
      <c r="O632" s="368" t="n"/>
      <c r="P632" s="334" t="n"/>
    </row>
    <row r="633">
      <c r="A633" s="334">
        <f>IFERROR(__xludf.DUMMYFUNCTION("""COMPUTED_VALUE"""),"hut1")</f>
        <v/>
      </c>
      <c r="B633" s="334">
        <f>IFERROR(__xludf.DUMMYFUNCTION("""COMPUTED_VALUE"""),"ふつうの軽音部")</f>
        <v/>
      </c>
      <c r="C633" s="334">
        <f>IFERROR(__xludf.DUMMYFUNCTION("""COMPUTED_VALUE"""),"savage")</f>
        <v/>
      </c>
      <c r="D633" s="334">
        <f>IFERROR(__xludf.DUMMYFUNCTION("""COMPUTED_VALUE"""),"event")</f>
        <v/>
      </c>
      <c r="E633" s="408">
        <f>IFERROR(__xludf.DUMMYFUNCTION("""COMPUTED_VALUE"""),"高難易度")</f>
        <v/>
      </c>
      <c r="F633" s="408">
        <f>IFERROR(__xludf.DUMMYFUNCTION("""COMPUTED_VALUE"""),"quest_event_hut1_savage")</f>
        <v/>
      </c>
      <c r="G633" s="334">
        <f>IFERROR(__xludf.DUMMYFUNCTION("""COMPUTED_VALUE"""),"ステージに立つ")</f>
        <v/>
      </c>
      <c r="H633" s="408">
        <f>IFERROR(__xludf.DUMMYFUNCTION("""COMPUTED_VALUE"""),"03")</f>
        <v/>
      </c>
      <c r="I633" s="334">
        <f>IFERROR(__xludf.DUMMYFUNCTION("""COMPUTED_VALUE"""),"event_hut1_savage_00003")</f>
        <v/>
      </c>
      <c r="J633" s="334" t="n"/>
      <c r="K633" s="334" t="n"/>
      <c r="L633" s="334">
        <f>IFERROR(__xludf.DUMMYFUNCTION("""COMPUTED_VALUE"""),2.0260301E8)</f>
        <v/>
      </c>
      <c r="M633" s="334" t="n"/>
      <c r="N633" s="339" t="n"/>
      <c r="O633" s="368" t="n"/>
      <c r="P633" s="334" t="n"/>
    </row>
    <row r="634">
      <c r="A634" s="334" t="n"/>
      <c r="B634" s="334" t="n"/>
      <c r="C634" s="334" t="n"/>
      <c r="D634" s="334" t="n"/>
      <c r="E634" s="334" t="n"/>
      <c r="F634" s="334" t="n"/>
      <c r="G634" s="334" t="n"/>
      <c r="H634" s="334" t="n"/>
      <c r="I634" s="334" t="n"/>
      <c r="J634" s="334" t="n"/>
      <c r="K634" s="334" t="n"/>
      <c r="L634" s="334" t="n"/>
      <c r="M634" s="334" t="n"/>
      <c r="N634" s="339" t="n"/>
      <c r="O634" s="368" t="n"/>
      <c r="P634" s="334" t="n"/>
    </row>
    <row r="635">
      <c r="A635" s="334">
        <f>IFERROR(__xludf.DUMMYFUNCTION("""COMPUTED_VALUE"""),"f05anniv")</f>
        <v/>
      </c>
      <c r="B635" s="334">
        <f>IFERROR(__xludf.DUMMYFUNCTION("""COMPUTED_VALUE"""),"ハーフアニバーサリー 感謝祭！前半")</f>
        <v/>
      </c>
      <c r="C635" s="334">
        <f>IFERROR(__xludf.DUMMYFUNCTION("""COMPUTED_VALUE"""),"1day")</f>
        <v/>
      </c>
      <c r="D635" s="334">
        <f>IFERROR(__xludf.DUMMYFUNCTION("""COMPUTED_VALUE"""),"event")</f>
        <v/>
      </c>
      <c r="E635" s="408">
        <f>IFERROR(__xludf.DUMMYFUNCTION("""COMPUTED_VALUE"""),"デイリー")</f>
        <v/>
      </c>
      <c r="F635" s="408">
        <f>IFERROR(__xludf.DUMMYFUNCTION("""COMPUTED_VALUE"""),"quest_event_f05anniv_1day")</f>
        <v/>
      </c>
      <c r="G635" s="334">
        <f>IFERROR(__xludf.DUMMYFUNCTION("""COMPUTED_VALUE"""),"感謝祭！前半デイリークエスト")</f>
        <v/>
      </c>
      <c r="H635" s="408">
        <f>IFERROR(__xludf.DUMMYFUNCTION("""COMPUTED_VALUE"""),"01")</f>
        <v/>
      </c>
      <c r="I635" s="334">
        <f>IFERROR(__xludf.DUMMYFUNCTION("""COMPUTED_VALUE"""),"event_f05anniv_1day_00001")</f>
        <v/>
      </c>
      <c r="J635" s="334" t="n"/>
      <c r="K635" s="334">
        <f>IFERROR(__xludf.DUMMYFUNCTION("""COMPUTED_VALUE"""),"f05anniv_1day_quest_select_cell")</f>
        <v/>
      </c>
      <c r="L635" s="334">
        <f>IFERROR(__xludf.DUMMYFUNCTION("""COMPUTED_VALUE"""),2.0260302E8)</f>
        <v/>
      </c>
      <c r="M635" s="334">
        <f>IFERROR(__xludf.DUMMYFUNCTION("""COMPUTED_VALUE"""),"イベント単位でひとまとめにしてます
なので、作品準拠のクエストは作品IDになります")</f>
        <v/>
      </c>
      <c r="N635" s="339" t="n"/>
      <c r="O635" s="368" t="n"/>
      <c r="P635" s="334" t="n"/>
    </row>
    <row r="636">
      <c r="A636" s="334">
        <f>IFERROR(__xludf.DUMMYFUNCTION("""COMPUTED_VALUE"""),"f05anniv")</f>
        <v/>
      </c>
      <c r="B636" s="334">
        <f>IFERROR(__xludf.DUMMYFUNCTION("""COMPUTED_VALUE"""),"ハーフアニバーサリー 感謝祭！前半")</f>
        <v/>
      </c>
      <c r="C636" s="334">
        <f>IFERROR(__xludf.DUMMYFUNCTION("""COMPUTED_VALUE"""),"charaget01")</f>
        <v/>
      </c>
      <c r="D636" s="334">
        <f>IFERROR(__xludf.DUMMYFUNCTION("""COMPUTED_VALUE"""),"event")</f>
        <v/>
      </c>
      <c r="E636" s="408">
        <f>IFERROR(__xludf.DUMMYFUNCTION("""COMPUTED_VALUE"""),"収集")</f>
        <v/>
      </c>
      <c r="F636" s="408">
        <f>IFERROR(__xludf.DUMMYFUNCTION("""COMPUTED_VALUE"""),"quest_event_f05anniv_charaget01")</f>
        <v/>
      </c>
      <c r="G636" s="334">
        <f>IFERROR(__xludf.DUMMYFUNCTION("""COMPUTED_VALUE"""),"地中にはまるで世界が詰まってる")</f>
        <v/>
      </c>
      <c r="H636" s="408">
        <f>IFERROR(__xludf.DUMMYFUNCTION("""COMPUTED_VALUE"""),"01")</f>
        <v/>
      </c>
      <c r="I636" s="334">
        <f>IFERROR(__xludf.DUMMYFUNCTION("""COMPUTED_VALUE"""),"event_f05anniv_charaget01_00001")</f>
        <v/>
      </c>
      <c r="J636" s="334" t="n"/>
      <c r="K636" s="334">
        <f>IFERROR(__xludf.DUMMYFUNCTION("""COMPUTED_VALUE"""),"f05anniv_charaget01_quest_select_cell")</f>
        <v/>
      </c>
      <c r="L636" s="334">
        <f>IFERROR(__xludf.DUMMYFUNCTION("""COMPUTED_VALUE"""),2.0260302E8)</f>
        <v/>
      </c>
      <c r="M636" s="334" t="n"/>
      <c r="N636" s="339" t="n"/>
      <c r="O636" s="368" t="n"/>
      <c r="P636" s="334" t="n"/>
    </row>
    <row r="637">
      <c r="A637" s="334">
        <f>IFERROR(__xludf.DUMMYFUNCTION("""COMPUTED_VALUE"""),"f05anniv")</f>
        <v/>
      </c>
      <c r="B637" s="334">
        <f>IFERROR(__xludf.DUMMYFUNCTION("""COMPUTED_VALUE"""),"ハーフアニバーサリー 感謝祭！前半")</f>
        <v/>
      </c>
      <c r="C637" s="334">
        <f>IFERROR(__xludf.DUMMYFUNCTION("""COMPUTED_VALUE"""),"charaget01")</f>
        <v/>
      </c>
      <c r="D637" s="334">
        <f>IFERROR(__xludf.DUMMYFUNCTION("""COMPUTED_VALUE"""),"event")</f>
        <v/>
      </c>
      <c r="E637" s="408">
        <f>IFERROR(__xludf.DUMMYFUNCTION("""COMPUTED_VALUE"""),"収集")</f>
        <v/>
      </c>
      <c r="F637" s="408">
        <f>IFERROR(__xludf.DUMMYFUNCTION("""COMPUTED_VALUE"""),"quest_event_f05anniv_charaget01")</f>
        <v/>
      </c>
      <c r="G637" s="334">
        <f>IFERROR(__xludf.DUMMYFUNCTION("""COMPUTED_VALUE"""),"地中にはまるで世界が詰まってる")</f>
        <v/>
      </c>
      <c r="H637" s="408">
        <f>IFERROR(__xludf.DUMMYFUNCTION("""COMPUTED_VALUE"""),"02")</f>
        <v/>
      </c>
      <c r="I637" s="334">
        <f>IFERROR(__xludf.DUMMYFUNCTION("""COMPUTED_VALUE"""),"event_f05anniv_charaget01_00002")</f>
        <v/>
      </c>
      <c r="J637" s="334" t="n"/>
      <c r="K637" s="334" t="n"/>
      <c r="L637" s="334">
        <f>IFERROR(__xludf.DUMMYFUNCTION("""COMPUTED_VALUE"""),2.0260302E8)</f>
        <v/>
      </c>
      <c r="M637" s="334" t="n"/>
      <c r="N637" s="339" t="n"/>
      <c r="O637" s="368" t="n"/>
      <c r="P637" s="334" t="n"/>
    </row>
    <row r="638">
      <c r="A638" s="334">
        <f>IFERROR(__xludf.DUMMYFUNCTION("""COMPUTED_VALUE"""),"f05anniv")</f>
        <v/>
      </c>
      <c r="B638" s="334">
        <f>IFERROR(__xludf.DUMMYFUNCTION("""COMPUTED_VALUE"""),"ハーフアニバーサリー 感謝祭！前半")</f>
        <v/>
      </c>
      <c r="C638" s="334">
        <f>IFERROR(__xludf.DUMMYFUNCTION("""COMPUTED_VALUE"""),"charaget01")</f>
        <v/>
      </c>
      <c r="D638" s="334">
        <f>IFERROR(__xludf.DUMMYFUNCTION("""COMPUTED_VALUE"""),"event")</f>
        <v/>
      </c>
      <c r="E638" s="408">
        <f>IFERROR(__xludf.DUMMYFUNCTION("""COMPUTED_VALUE"""),"収集")</f>
        <v/>
      </c>
      <c r="F638" s="408">
        <f>IFERROR(__xludf.DUMMYFUNCTION("""COMPUTED_VALUE"""),"quest_event_f05anniv_charaget01")</f>
        <v/>
      </c>
      <c r="G638" s="334">
        <f>IFERROR(__xludf.DUMMYFUNCTION("""COMPUTED_VALUE"""),"地中にはまるで世界が詰まってる")</f>
        <v/>
      </c>
      <c r="H638" s="408">
        <f>IFERROR(__xludf.DUMMYFUNCTION("""COMPUTED_VALUE"""),"03")</f>
        <v/>
      </c>
      <c r="I638" s="334">
        <f>IFERROR(__xludf.DUMMYFUNCTION("""COMPUTED_VALUE"""),"event_f05anniv_charaget01_00003")</f>
        <v/>
      </c>
      <c r="J638" s="334" t="n"/>
      <c r="K638" s="334" t="n"/>
      <c r="L638" s="334">
        <f>IFERROR(__xludf.DUMMYFUNCTION("""COMPUTED_VALUE"""),2.0260302E8)</f>
        <v/>
      </c>
      <c r="M638" s="334" t="n"/>
      <c r="N638" s="339" t="n"/>
      <c r="O638" s="368" t="n"/>
      <c r="P638" s="334" t="n"/>
    </row>
    <row r="639">
      <c r="A639" s="334">
        <f>IFERROR(__xludf.DUMMYFUNCTION("""COMPUTED_VALUE"""),"f05anniv")</f>
        <v/>
      </c>
      <c r="B639" s="334">
        <f>IFERROR(__xludf.DUMMYFUNCTION("""COMPUTED_VALUE"""),"ハーフアニバーサリー 感謝祭！前半")</f>
        <v/>
      </c>
      <c r="C639" s="334">
        <f>IFERROR(__xludf.DUMMYFUNCTION("""COMPUTED_VALUE"""),"charaget01")</f>
        <v/>
      </c>
      <c r="D639" s="334">
        <f>IFERROR(__xludf.DUMMYFUNCTION("""COMPUTED_VALUE"""),"event")</f>
        <v/>
      </c>
      <c r="E639" s="408">
        <f>IFERROR(__xludf.DUMMYFUNCTION("""COMPUTED_VALUE"""),"収集")</f>
        <v/>
      </c>
      <c r="F639" s="408">
        <f>IFERROR(__xludf.DUMMYFUNCTION("""COMPUTED_VALUE"""),"quest_event_f05anniv_charaget01")</f>
        <v/>
      </c>
      <c r="G639" s="334">
        <f>IFERROR(__xludf.DUMMYFUNCTION("""COMPUTED_VALUE"""),"地中にはまるで世界が詰まってる")</f>
        <v/>
      </c>
      <c r="H639" s="408">
        <f>IFERROR(__xludf.DUMMYFUNCTION("""COMPUTED_VALUE"""),"04")</f>
        <v/>
      </c>
      <c r="I639" s="334">
        <f>IFERROR(__xludf.DUMMYFUNCTION("""COMPUTED_VALUE"""),"event_f05anniv_charaget01_00004")</f>
        <v/>
      </c>
      <c r="J639" s="334" t="n"/>
      <c r="K639" s="334" t="n"/>
      <c r="L639" s="334">
        <f>IFERROR(__xludf.DUMMYFUNCTION("""COMPUTED_VALUE"""),2.0260302E8)</f>
        <v/>
      </c>
      <c r="M639" s="334" t="n"/>
      <c r="N639" s="339" t="n"/>
      <c r="O639" s="368" t="n"/>
      <c r="P639" s="334" t="n"/>
    </row>
    <row r="640">
      <c r="A640" s="334">
        <f>IFERROR(__xludf.DUMMYFUNCTION("""COMPUTED_VALUE"""),"f05anniv")</f>
        <v/>
      </c>
      <c r="B640" s="334">
        <f>IFERROR(__xludf.DUMMYFUNCTION("""COMPUTED_VALUE"""),"ハーフアニバーサリー 感謝祭！前半")</f>
        <v/>
      </c>
      <c r="C640" s="334">
        <f>IFERROR(__xludf.DUMMYFUNCTION("""COMPUTED_VALUE"""),"charaget02")</f>
        <v/>
      </c>
      <c r="D640" s="334">
        <f>IFERROR(__xludf.DUMMYFUNCTION("""COMPUTED_VALUE"""),"event")</f>
        <v/>
      </c>
      <c r="E640" s="408">
        <f>IFERROR(__xludf.DUMMYFUNCTION("""COMPUTED_VALUE"""),"ストーリー")</f>
        <v/>
      </c>
      <c r="F640" s="408">
        <f>IFERROR(__xludf.DUMMYFUNCTION("""COMPUTED_VALUE"""),"quest_event_f05anniv_charaget02")</f>
        <v/>
      </c>
      <c r="G640" s="334">
        <f>IFERROR(__xludf.DUMMYFUNCTION("""COMPUTED_VALUE"""),"世界を買えるカネを寄こせッ‼︎")</f>
        <v/>
      </c>
      <c r="H640" s="408">
        <f>IFERROR(__xludf.DUMMYFUNCTION("""COMPUTED_VALUE"""),"01")</f>
        <v/>
      </c>
      <c r="I640" s="334">
        <f>IFERROR(__xludf.DUMMYFUNCTION("""COMPUTED_VALUE"""),"event_f05anniv_charaget02_00001")</f>
        <v/>
      </c>
      <c r="J640" s="334" t="n"/>
      <c r="K640" s="334">
        <f>IFERROR(__xludf.DUMMYFUNCTION("""COMPUTED_VALUE"""),"f05anniv_charaget02_quest_select_cell")</f>
        <v/>
      </c>
      <c r="L640" s="334">
        <f>IFERROR(__xludf.DUMMYFUNCTION("""COMPUTED_VALUE"""),2.0260302E8)</f>
        <v/>
      </c>
      <c r="M640" s="334" t="n"/>
      <c r="N640" s="339" t="n"/>
      <c r="O640" s="368" t="n"/>
      <c r="P640" s="334" t="n"/>
    </row>
    <row r="641">
      <c r="A641" s="334">
        <f>IFERROR(__xludf.DUMMYFUNCTION("""COMPUTED_VALUE"""),"f05anniv")</f>
        <v/>
      </c>
      <c r="B641" s="334">
        <f>IFERROR(__xludf.DUMMYFUNCTION("""COMPUTED_VALUE"""),"ハーフアニバーサリー 感謝祭！前半")</f>
        <v/>
      </c>
      <c r="C641" s="334">
        <f>IFERROR(__xludf.DUMMYFUNCTION("""COMPUTED_VALUE"""),"charaget02")</f>
        <v/>
      </c>
      <c r="D641" s="334">
        <f>IFERROR(__xludf.DUMMYFUNCTION("""COMPUTED_VALUE"""),"event")</f>
        <v/>
      </c>
      <c r="E641" s="408">
        <f>IFERROR(__xludf.DUMMYFUNCTION("""COMPUTED_VALUE"""),"ストーリー")</f>
        <v/>
      </c>
      <c r="F641" s="408">
        <f>IFERROR(__xludf.DUMMYFUNCTION("""COMPUTED_VALUE"""),"quest_event_f05anniv_charaget02")</f>
        <v/>
      </c>
      <c r="G641" s="334">
        <f>IFERROR(__xludf.DUMMYFUNCTION("""COMPUTED_VALUE"""),"世界を買えるカネを寄こせッ‼︎")</f>
        <v/>
      </c>
      <c r="H641" s="408">
        <f>IFERROR(__xludf.DUMMYFUNCTION("""COMPUTED_VALUE"""),"02")</f>
        <v/>
      </c>
      <c r="I641" s="334">
        <f>IFERROR(__xludf.DUMMYFUNCTION("""COMPUTED_VALUE"""),"event_f05anniv_charaget02_00002")</f>
        <v/>
      </c>
      <c r="J641" s="334" t="n"/>
      <c r="K641" s="334" t="n"/>
      <c r="L641" s="334">
        <f>IFERROR(__xludf.DUMMYFUNCTION("""COMPUTED_VALUE"""),2.0260302E8)</f>
        <v/>
      </c>
      <c r="M641" s="334" t="n"/>
      <c r="N641" s="339" t="n"/>
      <c r="O641" s="368" t="n"/>
      <c r="P641" s="334" t="n"/>
    </row>
    <row r="642">
      <c r="A642" s="334">
        <f>IFERROR(__xludf.DUMMYFUNCTION("""COMPUTED_VALUE"""),"f05anniv")</f>
        <v/>
      </c>
      <c r="B642" s="334">
        <f>IFERROR(__xludf.DUMMYFUNCTION("""COMPUTED_VALUE"""),"ハーフアニバーサリー 感謝祭！前半")</f>
        <v/>
      </c>
      <c r="C642" s="334">
        <f>IFERROR(__xludf.DUMMYFUNCTION("""COMPUTED_VALUE"""),"charaget02")</f>
        <v/>
      </c>
      <c r="D642" s="334">
        <f>IFERROR(__xludf.DUMMYFUNCTION("""COMPUTED_VALUE"""),"event")</f>
        <v/>
      </c>
      <c r="E642" s="408">
        <f>IFERROR(__xludf.DUMMYFUNCTION("""COMPUTED_VALUE"""),"ストーリー")</f>
        <v/>
      </c>
      <c r="F642" s="408">
        <f>IFERROR(__xludf.DUMMYFUNCTION("""COMPUTED_VALUE"""),"quest_event_f05anniv_charaget02")</f>
        <v/>
      </c>
      <c r="G642" s="334">
        <f>IFERROR(__xludf.DUMMYFUNCTION("""COMPUTED_VALUE"""),"世界を買えるカネを寄こせッ‼︎")</f>
        <v/>
      </c>
      <c r="H642" s="408">
        <f>IFERROR(__xludf.DUMMYFUNCTION("""COMPUTED_VALUE"""),"03")</f>
        <v/>
      </c>
      <c r="I642" s="334">
        <f>IFERROR(__xludf.DUMMYFUNCTION("""COMPUTED_VALUE"""),"event_f05anniv_charaget02_00003")</f>
        <v/>
      </c>
      <c r="J642" s="334" t="n"/>
      <c r="K642" s="334" t="n"/>
      <c r="L642" s="334">
        <f>IFERROR(__xludf.DUMMYFUNCTION("""COMPUTED_VALUE"""),2.0260302E8)</f>
        <v/>
      </c>
      <c r="M642" s="334" t="n"/>
      <c r="N642" s="339" t="n"/>
      <c r="O642" s="368" t="n"/>
      <c r="P642" s="334" t="n"/>
    </row>
    <row r="643">
      <c r="A643" s="334">
        <f>IFERROR(__xludf.DUMMYFUNCTION("""COMPUTED_VALUE"""),"f05anniv")</f>
        <v/>
      </c>
      <c r="B643" s="334">
        <f>IFERROR(__xludf.DUMMYFUNCTION("""COMPUTED_VALUE"""),"ハーフアニバーサリー 感謝祭！前半")</f>
        <v/>
      </c>
      <c r="C643" s="334">
        <f>IFERROR(__xludf.DUMMYFUNCTION("""COMPUTED_VALUE"""),"challenge")</f>
        <v/>
      </c>
      <c r="D643" s="334">
        <f>IFERROR(__xludf.DUMMYFUNCTION("""COMPUTED_VALUE"""),"event")</f>
        <v/>
      </c>
      <c r="E643" s="408">
        <f>IFERROR(__xludf.DUMMYFUNCTION("""COMPUTED_VALUE"""),"チャレンジ")</f>
        <v/>
      </c>
      <c r="F643" s="408">
        <f>IFERROR(__xludf.DUMMYFUNCTION("""COMPUTED_VALUE"""),"quest_event_f05anniv_challenge")</f>
        <v/>
      </c>
      <c r="G643" s="334">
        <f>IFERROR(__xludf.DUMMYFUNCTION("""COMPUTED_VALUE"""),"一日ひとつだけ強くなりますわ")</f>
        <v/>
      </c>
      <c r="H643" s="408">
        <f>IFERROR(__xludf.DUMMYFUNCTION("""COMPUTED_VALUE"""),"01")</f>
        <v/>
      </c>
      <c r="I643" s="334">
        <f>IFERROR(__xludf.DUMMYFUNCTION("""COMPUTED_VALUE"""),"event_f05anniv_challenge_00001")</f>
        <v/>
      </c>
      <c r="J643" s="334" t="n"/>
      <c r="K643" s="334">
        <f>IFERROR(__xludf.DUMMYFUNCTION("""COMPUTED_VALUE"""),"f05anniv_challenge_quest_select_cell")</f>
        <v/>
      </c>
      <c r="L643" s="334">
        <f>IFERROR(__xludf.DUMMYFUNCTION("""COMPUTED_VALUE"""),2.0260302E8)</f>
        <v/>
      </c>
      <c r="M643" s="334" t="n"/>
      <c r="N643" s="339" t="n"/>
      <c r="O643" s="368" t="n"/>
      <c r="P643" s="334" t="n"/>
    </row>
    <row r="644">
      <c r="A644" s="334">
        <f>IFERROR(__xludf.DUMMYFUNCTION("""COMPUTED_VALUE"""),"f05anniv")</f>
        <v/>
      </c>
      <c r="B644" s="334">
        <f>IFERROR(__xludf.DUMMYFUNCTION("""COMPUTED_VALUE"""),"ハーフアニバーサリー 感謝祭！前半")</f>
        <v/>
      </c>
      <c r="C644" s="334">
        <f>IFERROR(__xludf.DUMMYFUNCTION("""COMPUTED_VALUE"""),"challenge")</f>
        <v/>
      </c>
      <c r="D644" s="334">
        <f>IFERROR(__xludf.DUMMYFUNCTION("""COMPUTED_VALUE"""),"event")</f>
        <v/>
      </c>
      <c r="E644" s="408">
        <f>IFERROR(__xludf.DUMMYFUNCTION("""COMPUTED_VALUE"""),"チャレンジ")</f>
        <v/>
      </c>
      <c r="F644" s="408">
        <f>IFERROR(__xludf.DUMMYFUNCTION("""COMPUTED_VALUE"""),"quest_event_f05anniv_challenge")</f>
        <v/>
      </c>
      <c r="G644" s="334">
        <f>IFERROR(__xludf.DUMMYFUNCTION("""COMPUTED_VALUE"""),"一日ひとつだけ強くなりますわ")</f>
        <v/>
      </c>
      <c r="H644" s="408">
        <f>IFERROR(__xludf.DUMMYFUNCTION("""COMPUTED_VALUE"""),"02")</f>
        <v/>
      </c>
      <c r="I644" s="334">
        <f>IFERROR(__xludf.DUMMYFUNCTION("""COMPUTED_VALUE"""),"event_f05anniv_challenge_00002")</f>
        <v/>
      </c>
      <c r="J644" s="334" t="n"/>
      <c r="K644" s="334" t="n"/>
      <c r="L644" s="334">
        <f>IFERROR(__xludf.DUMMYFUNCTION("""COMPUTED_VALUE"""),2.0260302E8)</f>
        <v/>
      </c>
      <c r="M644" s="334" t="n"/>
      <c r="N644" s="339" t="n"/>
      <c r="O644" s="368" t="n"/>
      <c r="P644" s="334" t="n"/>
    </row>
    <row r="645">
      <c r="A645" s="334">
        <f>IFERROR(__xludf.DUMMYFUNCTION("""COMPUTED_VALUE"""),"f05anniv")</f>
        <v/>
      </c>
      <c r="B645" s="334">
        <f>IFERROR(__xludf.DUMMYFUNCTION("""COMPUTED_VALUE"""),"ハーフアニバーサリー 感謝祭！前半")</f>
        <v/>
      </c>
      <c r="C645" s="334">
        <f>IFERROR(__xludf.DUMMYFUNCTION("""COMPUTED_VALUE"""),"challenge")</f>
        <v/>
      </c>
      <c r="D645" s="334">
        <f>IFERROR(__xludf.DUMMYFUNCTION("""COMPUTED_VALUE"""),"event")</f>
        <v/>
      </c>
      <c r="E645" s="408">
        <f>IFERROR(__xludf.DUMMYFUNCTION("""COMPUTED_VALUE"""),"チャレンジ")</f>
        <v/>
      </c>
      <c r="F645" s="408">
        <f>IFERROR(__xludf.DUMMYFUNCTION("""COMPUTED_VALUE"""),"quest_event_f05anniv_challenge")</f>
        <v/>
      </c>
      <c r="G645" s="334">
        <f>IFERROR(__xludf.DUMMYFUNCTION("""COMPUTED_VALUE"""),"一日ひとつだけ強くなりますわ")</f>
        <v/>
      </c>
      <c r="H645" s="408">
        <f>IFERROR(__xludf.DUMMYFUNCTION("""COMPUTED_VALUE"""),"03")</f>
        <v/>
      </c>
      <c r="I645" s="334">
        <f>IFERROR(__xludf.DUMMYFUNCTION("""COMPUTED_VALUE"""),"event_f05anniv_challenge_00003")</f>
        <v/>
      </c>
      <c r="J645" s="334" t="n"/>
      <c r="K645" s="334" t="n"/>
      <c r="L645" s="334">
        <f>IFERROR(__xludf.DUMMYFUNCTION("""COMPUTED_VALUE"""),2.0260302E8)</f>
        <v/>
      </c>
      <c r="M645" s="334" t="n"/>
      <c r="N645" s="339" t="n"/>
      <c r="O645" s="368" t="n"/>
      <c r="P645" s="334" t="n"/>
    </row>
    <row r="646">
      <c r="A646" s="334">
        <f>IFERROR(__xludf.DUMMYFUNCTION("""COMPUTED_VALUE"""),"f05anniv")</f>
        <v/>
      </c>
      <c r="B646" s="334">
        <f>IFERROR(__xludf.DUMMYFUNCTION("""COMPUTED_VALUE"""),"ハーフアニバーサリー 感謝祭！前半")</f>
        <v/>
      </c>
      <c r="C646" s="334">
        <f>IFERROR(__xludf.DUMMYFUNCTION("""COMPUTED_VALUE"""),"challenge")</f>
        <v/>
      </c>
      <c r="D646" s="334">
        <f>IFERROR(__xludf.DUMMYFUNCTION("""COMPUTED_VALUE"""),"event")</f>
        <v/>
      </c>
      <c r="E646" s="408">
        <f>IFERROR(__xludf.DUMMYFUNCTION("""COMPUTED_VALUE"""),"チャレンジ")</f>
        <v/>
      </c>
      <c r="F646" s="408">
        <f>IFERROR(__xludf.DUMMYFUNCTION("""COMPUTED_VALUE"""),"quest_event_f05anniv_challenge")</f>
        <v/>
      </c>
      <c r="G646" s="334">
        <f>IFERROR(__xludf.DUMMYFUNCTION("""COMPUTED_VALUE"""),"一日ひとつだけ強くなりますわ")</f>
        <v/>
      </c>
      <c r="H646" s="408">
        <f>IFERROR(__xludf.DUMMYFUNCTION("""COMPUTED_VALUE"""),"04")</f>
        <v/>
      </c>
      <c r="I646" s="334">
        <f>IFERROR(__xludf.DUMMYFUNCTION("""COMPUTED_VALUE"""),"event_f05anniv_challenge_00004")</f>
        <v/>
      </c>
      <c r="J646" s="334" t="n"/>
      <c r="K646" s="334" t="n"/>
      <c r="L646" s="334">
        <f>IFERROR(__xludf.DUMMYFUNCTION("""COMPUTED_VALUE"""),2.0260302E8)</f>
        <v/>
      </c>
      <c r="M646" s="334" t="n"/>
      <c r="N646" s="339" t="n"/>
      <c r="O646" s="368" t="n"/>
      <c r="P646" s="334" t="n"/>
    </row>
    <row r="647">
      <c r="A647" s="334">
        <f>IFERROR(__xludf.DUMMYFUNCTION("""COMPUTED_VALUE"""),"f05anniv")</f>
        <v/>
      </c>
      <c r="B647" s="334">
        <f>IFERROR(__xludf.DUMMYFUNCTION("""COMPUTED_VALUE"""),"ハーフアニバーサリー 感謝祭！前半")</f>
        <v/>
      </c>
      <c r="C647" s="334">
        <f>IFERROR(__xludf.DUMMYFUNCTION("""COMPUTED_VALUE"""),"savage")</f>
        <v/>
      </c>
      <c r="D647" s="334">
        <f>IFERROR(__xludf.DUMMYFUNCTION("""COMPUTED_VALUE"""),"event")</f>
        <v/>
      </c>
      <c r="E647" s="408">
        <f>IFERROR(__xludf.DUMMYFUNCTION("""COMPUTED_VALUE"""),"高難易度")</f>
        <v/>
      </c>
      <c r="F647" s="408">
        <f>IFERROR(__xludf.DUMMYFUNCTION("""COMPUTED_VALUE"""),"quest_event_f05anniv_savage")</f>
        <v/>
      </c>
      <c r="G647" s="334">
        <f>IFERROR(__xludf.DUMMYFUNCTION("""COMPUTED_VALUE"""),"魔都激突戦！")</f>
        <v/>
      </c>
      <c r="H647" s="408">
        <f>IFERROR(__xludf.DUMMYFUNCTION("""COMPUTED_VALUE"""),"01")</f>
        <v/>
      </c>
      <c r="I647" s="334">
        <f>IFERROR(__xludf.DUMMYFUNCTION("""COMPUTED_VALUE"""),"event_f05anniv_savage_00001")</f>
        <v/>
      </c>
      <c r="J647" s="334" t="n"/>
      <c r="K647" s="334">
        <f>IFERROR(__xludf.DUMMYFUNCTION("""COMPUTED_VALUE"""),"f05anniv_savage_quest_select_cell")</f>
        <v/>
      </c>
      <c r="L647" s="334">
        <f>IFERROR(__xludf.DUMMYFUNCTION("""COMPUTED_VALUE"""),2.0260302E8)</f>
        <v/>
      </c>
      <c r="M647" s="334" t="n"/>
      <c r="N647" s="339" t="n"/>
      <c r="O647" s="368" t="n"/>
      <c r="P647" s="334" t="n"/>
    </row>
    <row r="648">
      <c r="A648" s="334">
        <f>IFERROR(__xludf.DUMMYFUNCTION("""COMPUTED_VALUE"""),"f05anniv")</f>
        <v/>
      </c>
      <c r="B648" s="334">
        <f>IFERROR(__xludf.DUMMYFUNCTION("""COMPUTED_VALUE"""),"ハーフアニバーサリー 感謝祭！前半")</f>
        <v/>
      </c>
      <c r="C648" s="334">
        <f>IFERROR(__xludf.DUMMYFUNCTION("""COMPUTED_VALUE"""),"savage")</f>
        <v/>
      </c>
      <c r="D648" s="334">
        <f>IFERROR(__xludf.DUMMYFUNCTION("""COMPUTED_VALUE"""),"event")</f>
        <v/>
      </c>
      <c r="E648" s="408">
        <f>IFERROR(__xludf.DUMMYFUNCTION("""COMPUTED_VALUE"""),"高難易度")</f>
        <v/>
      </c>
      <c r="F648" s="408">
        <f>IFERROR(__xludf.DUMMYFUNCTION("""COMPUTED_VALUE"""),"quest_event_f05anniv_savage")</f>
        <v/>
      </c>
      <c r="G648" s="334">
        <f>IFERROR(__xludf.DUMMYFUNCTION("""COMPUTED_VALUE"""),"魔都激突戦！")</f>
        <v/>
      </c>
      <c r="H648" s="408">
        <f>IFERROR(__xludf.DUMMYFUNCTION("""COMPUTED_VALUE"""),"02")</f>
        <v/>
      </c>
      <c r="I648" s="334">
        <f>IFERROR(__xludf.DUMMYFUNCTION("""COMPUTED_VALUE"""),"event_f05anniv_savage_00002")</f>
        <v/>
      </c>
      <c r="J648" s="334" t="n"/>
      <c r="K648" s="334" t="n"/>
      <c r="L648" s="334">
        <f>IFERROR(__xludf.DUMMYFUNCTION("""COMPUTED_VALUE"""),2.0260302E8)</f>
        <v/>
      </c>
      <c r="M648" s="334" t="n"/>
      <c r="N648" s="339" t="n"/>
      <c r="O648" s="368" t="n"/>
      <c r="P648" s="334" t="n"/>
    </row>
    <row r="649">
      <c r="A649" s="334">
        <f>IFERROR(__xludf.DUMMYFUNCTION("""COMPUTED_VALUE"""),"f05anniv")</f>
        <v/>
      </c>
      <c r="B649" s="334">
        <f>IFERROR(__xludf.DUMMYFUNCTION("""COMPUTED_VALUE"""),"ハーフアニバーサリー 感謝祭！前半")</f>
        <v/>
      </c>
      <c r="C649" s="334">
        <f>IFERROR(__xludf.DUMMYFUNCTION("""COMPUTED_VALUE"""),"savage")</f>
        <v/>
      </c>
      <c r="D649" s="334">
        <f>IFERROR(__xludf.DUMMYFUNCTION("""COMPUTED_VALUE"""),"event")</f>
        <v/>
      </c>
      <c r="E649" s="408">
        <f>IFERROR(__xludf.DUMMYFUNCTION("""COMPUTED_VALUE"""),"高難易度")</f>
        <v/>
      </c>
      <c r="F649" s="408">
        <f>IFERROR(__xludf.DUMMYFUNCTION("""COMPUTED_VALUE"""),"quest_event_f05anniv_savage")</f>
        <v/>
      </c>
      <c r="G649" s="334">
        <f>IFERROR(__xludf.DUMMYFUNCTION("""COMPUTED_VALUE"""),"魔都激突戦！")</f>
        <v/>
      </c>
      <c r="H649" s="408">
        <f>IFERROR(__xludf.DUMMYFUNCTION("""COMPUTED_VALUE"""),"03")</f>
        <v/>
      </c>
      <c r="I649" s="334">
        <f>IFERROR(__xludf.DUMMYFUNCTION("""COMPUTED_VALUE"""),"event_f05anniv_savage_00003")</f>
        <v/>
      </c>
      <c r="J649" s="334" t="n"/>
      <c r="K649" s="334" t="n"/>
      <c r="L649" s="334">
        <f>IFERROR(__xludf.DUMMYFUNCTION("""COMPUTED_VALUE"""),2.0260302E8)</f>
        <v/>
      </c>
      <c r="M649" s="334" t="n"/>
      <c r="N649" s="339" t="n"/>
      <c r="O649" s="368" t="n"/>
      <c r="P649" s="334" t="n"/>
    </row>
    <row r="650">
      <c r="A650" s="334" t="n"/>
      <c r="B650" s="334" t="n"/>
      <c r="C650" s="334" t="n"/>
      <c r="D650" s="334" t="n"/>
      <c r="E650" s="334" t="n"/>
      <c r="F650" s="334" t="n"/>
      <c r="G650" s="334" t="n"/>
      <c r="H650" s="334" t="n"/>
      <c r="I650" s="334" t="n"/>
      <c r="J650" s="334" t="n"/>
      <c r="K650" s="334" t="n"/>
      <c r="L650" s="334" t="n"/>
      <c r="M650" s="334" t="n"/>
      <c r="N650" s="339" t="n"/>
      <c r="O650" s="368" t="n"/>
      <c r="P650" s="334" t="n"/>
    </row>
    <row r="651">
      <c r="A651" s="334">
        <f>IFERROR(__xludf.DUMMYFUNCTION("""COMPUTED_VALUE"""),"l05anniv")</f>
        <v/>
      </c>
      <c r="B651" s="334">
        <f>IFERROR(__xludf.DUMMYFUNCTION("""COMPUTED_VALUE"""),"ハーフアニバーサリー 感謝祭！後半")</f>
        <v/>
      </c>
      <c r="C651" s="334">
        <f>IFERROR(__xludf.DUMMYFUNCTION("""COMPUTED_VALUE"""),"1day")</f>
        <v/>
      </c>
      <c r="D651" s="334">
        <f>IFERROR(__xludf.DUMMYFUNCTION("""COMPUTED_VALUE"""),"event")</f>
        <v/>
      </c>
      <c r="E651" s="408">
        <f>IFERROR(__xludf.DUMMYFUNCTION("""COMPUTED_VALUE"""),"イベント")</f>
        <v/>
      </c>
      <c r="F651" s="408">
        <f>IFERROR(__xludf.DUMMYFUNCTION("""COMPUTED_VALUE"""),"quest_event_l05anniv_1day")</f>
        <v/>
      </c>
      <c r="G651" s="334">
        <f>IFERROR(__xludf.DUMMYFUNCTION("""COMPUTED_VALUE"""),"感謝祭！後半デイリークエスト")</f>
        <v/>
      </c>
      <c r="H651" s="408">
        <f>IFERROR(__xludf.DUMMYFUNCTION("""COMPUTED_VALUE"""),"01")</f>
        <v/>
      </c>
      <c r="I651" s="334">
        <f>IFERROR(__xludf.DUMMYFUNCTION("""COMPUTED_VALUE"""),"event_l05anniv_1day_00001")</f>
        <v/>
      </c>
      <c r="J651" s="334" t="n"/>
      <c r="K651" s="334">
        <f>IFERROR(__xludf.DUMMYFUNCTION("""COMPUTED_VALUE"""),"l05anniv_1day_quest_select_cell")</f>
        <v/>
      </c>
      <c r="L651" s="334">
        <f>IFERROR(__xludf.DUMMYFUNCTION("""COMPUTED_VALUE"""),2.02603025E8)</f>
        <v/>
      </c>
      <c r="M651" s="334">
        <f>IFERROR(__xludf.DUMMYFUNCTION("""COMPUTED_VALUE"""),"イベント単位でひとまとめにしてます
なので、作品準拠のクエストは作品IDになります")</f>
        <v/>
      </c>
      <c r="N651" s="339" t="n"/>
      <c r="O651" s="368" t="n"/>
      <c r="P651" s="334" t="n"/>
    </row>
    <row r="652">
      <c r="A652" s="334">
        <f>IFERROR(__xludf.DUMMYFUNCTION("""COMPUTED_VALUE"""),"l05anniv")</f>
        <v/>
      </c>
      <c r="B652" s="334">
        <f>IFERROR(__xludf.DUMMYFUNCTION("""COMPUTED_VALUE"""),"ハーフアニバーサリー 感謝祭！後半")</f>
        <v/>
      </c>
      <c r="C652" s="334">
        <f>IFERROR(__xludf.DUMMYFUNCTION("""COMPUTED_VALUE"""),"charaget01")</f>
        <v/>
      </c>
      <c r="D652" s="334">
        <f>IFERROR(__xludf.DUMMYFUNCTION("""COMPUTED_VALUE"""),"event")</f>
        <v/>
      </c>
      <c r="E652" s="408">
        <f>IFERROR(__xludf.DUMMYFUNCTION("""COMPUTED_VALUE"""),"イベント")</f>
        <v/>
      </c>
      <c r="F652" s="408">
        <f>IFERROR(__xludf.DUMMYFUNCTION("""COMPUTED_VALUE"""),"quest_event_l05anniv_charaget01")</f>
        <v/>
      </c>
      <c r="G652" s="334">
        <f>IFERROR(__xludf.DUMMYFUNCTION("""COMPUTED_VALUE"""),"一番星のように眩しかった！")</f>
        <v/>
      </c>
      <c r="H652" s="408">
        <f>IFERROR(__xludf.DUMMYFUNCTION("""COMPUTED_VALUE"""),"01")</f>
        <v/>
      </c>
      <c r="I652" s="334">
        <f>IFERROR(__xludf.DUMMYFUNCTION("""COMPUTED_VALUE"""),"event_l05anniv_charaget01_00001")</f>
        <v/>
      </c>
      <c r="J652" s="334" t="n"/>
      <c r="K652" s="334">
        <f>IFERROR(__xludf.DUMMYFUNCTION("""COMPUTED_VALUE"""),"l05anniv_charaget01_quest_select_cell")</f>
        <v/>
      </c>
      <c r="L652" s="334">
        <f>IFERROR(__xludf.DUMMYFUNCTION("""COMPUTED_VALUE"""),2.02603025E8)</f>
        <v/>
      </c>
      <c r="M652" s="334" t="n"/>
      <c r="N652" s="339" t="n"/>
      <c r="O652" s="368" t="n"/>
      <c r="P652" s="334" t="n"/>
    </row>
    <row r="653">
      <c r="A653" s="334">
        <f>IFERROR(__xludf.DUMMYFUNCTION("""COMPUTED_VALUE"""),"l05anniv")</f>
        <v/>
      </c>
      <c r="B653" s="334">
        <f>IFERROR(__xludf.DUMMYFUNCTION("""COMPUTED_VALUE"""),"ハーフアニバーサリー 感謝祭！後半")</f>
        <v/>
      </c>
      <c r="C653" s="334">
        <f>IFERROR(__xludf.DUMMYFUNCTION("""COMPUTED_VALUE"""),"charaget01")</f>
        <v/>
      </c>
      <c r="D653" s="334">
        <f>IFERROR(__xludf.DUMMYFUNCTION("""COMPUTED_VALUE"""),"event")</f>
        <v/>
      </c>
      <c r="E653" s="408">
        <f>IFERROR(__xludf.DUMMYFUNCTION("""COMPUTED_VALUE"""),"イベント")</f>
        <v/>
      </c>
      <c r="F653" s="408">
        <f>IFERROR(__xludf.DUMMYFUNCTION("""COMPUTED_VALUE"""),"quest_event_l05anniv_charaget01")</f>
        <v/>
      </c>
      <c r="G653" s="334">
        <f>IFERROR(__xludf.DUMMYFUNCTION("""COMPUTED_VALUE"""),"一番星のように眩しかった！")</f>
        <v/>
      </c>
      <c r="H653" s="408">
        <f>IFERROR(__xludf.DUMMYFUNCTION("""COMPUTED_VALUE"""),"02")</f>
        <v/>
      </c>
      <c r="I653" s="334">
        <f>IFERROR(__xludf.DUMMYFUNCTION("""COMPUTED_VALUE"""),"event_l05anniv_charaget01_00002")</f>
        <v/>
      </c>
      <c r="J653" s="334" t="n"/>
      <c r="K653" s="334" t="n"/>
      <c r="L653" s="334">
        <f>IFERROR(__xludf.DUMMYFUNCTION("""COMPUTED_VALUE"""),2.02603025E8)</f>
        <v/>
      </c>
      <c r="M653" s="334" t="n"/>
      <c r="N653" s="339" t="n"/>
      <c r="O653" s="368" t="n"/>
      <c r="P653" s="334" t="n"/>
    </row>
    <row r="654">
      <c r="A654" s="334">
        <f>IFERROR(__xludf.DUMMYFUNCTION("""COMPUTED_VALUE"""),"l05anniv")</f>
        <v/>
      </c>
      <c r="B654" s="334">
        <f>IFERROR(__xludf.DUMMYFUNCTION("""COMPUTED_VALUE"""),"ハーフアニバーサリー 感謝祭！後半")</f>
        <v/>
      </c>
      <c r="C654" s="334">
        <f>IFERROR(__xludf.DUMMYFUNCTION("""COMPUTED_VALUE"""),"charaget01")</f>
        <v/>
      </c>
      <c r="D654" s="334">
        <f>IFERROR(__xludf.DUMMYFUNCTION("""COMPUTED_VALUE"""),"event")</f>
        <v/>
      </c>
      <c r="E654" s="408">
        <f>IFERROR(__xludf.DUMMYFUNCTION("""COMPUTED_VALUE"""),"イベント")</f>
        <v/>
      </c>
      <c r="F654" s="408">
        <f>IFERROR(__xludf.DUMMYFUNCTION("""COMPUTED_VALUE"""),"quest_event_l05anniv_charaget01")</f>
        <v/>
      </c>
      <c r="G654" s="334">
        <f>IFERROR(__xludf.DUMMYFUNCTION("""COMPUTED_VALUE"""),"一番星のように眩しかった！")</f>
        <v/>
      </c>
      <c r="H654" s="408">
        <f>IFERROR(__xludf.DUMMYFUNCTION("""COMPUTED_VALUE"""),"03")</f>
        <v/>
      </c>
      <c r="I654" s="334">
        <f>IFERROR(__xludf.DUMMYFUNCTION("""COMPUTED_VALUE"""),"event_l05anniv_charaget01_00003")</f>
        <v/>
      </c>
      <c r="J654" s="334" t="n"/>
      <c r="K654" s="334" t="n"/>
      <c r="L654" s="334">
        <f>IFERROR(__xludf.DUMMYFUNCTION("""COMPUTED_VALUE"""),2.02603025E8)</f>
        <v/>
      </c>
      <c r="M654" s="334" t="n"/>
      <c r="N654" s="339" t="n"/>
      <c r="O654" s="368" t="n"/>
      <c r="P654" s="334" t="n"/>
    </row>
    <row r="655">
      <c r="A655" s="334">
        <f>IFERROR(__xludf.DUMMYFUNCTION("""COMPUTED_VALUE"""),"l05anniv")</f>
        <v/>
      </c>
      <c r="B655" s="334">
        <f>IFERROR(__xludf.DUMMYFUNCTION("""COMPUTED_VALUE"""),"ハーフアニバーサリー 感謝祭！後半")</f>
        <v/>
      </c>
      <c r="C655" s="334">
        <f>IFERROR(__xludf.DUMMYFUNCTION("""COMPUTED_VALUE"""),"challenge01")</f>
        <v/>
      </c>
      <c r="D655" s="334">
        <f>IFERROR(__xludf.DUMMYFUNCTION("""COMPUTED_VALUE"""),"event")</f>
        <v/>
      </c>
      <c r="E655" s="408">
        <f>IFERROR(__xludf.DUMMYFUNCTION("""COMPUTED_VALUE"""),"イベント")</f>
        <v/>
      </c>
      <c r="F655" s="408">
        <f>IFERROR(__xludf.DUMMYFUNCTION("""COMPUTED_VALUE"""),"quest_event_l05anniv_challenge01")</f>
        <v/>
      </c>
      <c r="G655" s="334">
        <f>IFERROR(__xludf.DUMMYFUNCTION("""COMPUTED_VALUE"""),"今日の“拷問”は")</f>
        <v/>
      </c>
      <c r="H655" s="408">
        <f>IFERROR(__xludf.DUMMYFUNCTION("""COMPUTED_VALUE"""),"01")</f>
        <v/>
      </c>
      <c r="I655" s="334">
        <f>IFERROR(__xludf.DUMMYFUNCTION("""COMPUTED_VALUE"""),"event_l05anniv_challenge01_00001")</f>
        <v/>
      </c>
      <c r="J655" s="334" t="n"/>
      <c r="K655" s="334">
        <f>IFERROR(__xludf.DUMMYFUNCTION("""COMPUTED_VALUE"""),"l05anniv_challenge01_quest_select_cell")</f>
        <v/>
      </c>
      <c r="L655" s="334">
        <f>IFERROR(__xludf.DUMMYFUNCTION("""COMPUTED_VALUE"""),2.02603025E8)</f>
        <v/>
      </c>
      <c r="M655" s="334" t="n"/>
      <c r="N655" s="339" t="n"/>
      <c r="O655" s="368" t="n"/>
      <c r="P655" s="334" t="n"/>
    </row>
    <row r="656">
      <c r="A656" s="334">
        <f>IFERROR(__xludf.DUMMYFUNCTION("""COMPUTED_VALUE"""),"l05anniv")</f>
        <v/>
      </c>
      <c r="B656" s="334">
        <f>IFERROR(__xludf.DUMMYFUNCTION("""COMPUTED_VALUE"""),"ハーフアニバーサリー 感謝祭！後半")</f>
        <v/>
      </c>
      <c r="C656" s="334">
        <f>IFERROR(__xludf.DUMMYFUNCTION("""COMPUTED_VALUE"""),"challenge01")</f>
        <v/>
      </c>
      <c r="D656" s="334">
        <f>IFERROR(__xludf.DUMMYFUNCTION("""COMPUTED_VALUE"""),"event")</f>
        <v/>
      </c>
      <c r="E656" s="408">
        <f>IFERROR(__xludf.DUMMYFUNCTION("""COMPUTED_VALUE"""),"イベント")</f>
        <v/>
      </c>
      <c r="F656" s="408">
        <f>IFERROR(__xludf.DUMMYFUNCTION("""COMPUTED_VALUE"""),"quest_event_l05anniv_challenge01")</f>
        <v/>
      </c>
      <c r="G656" s="334">
        <f>IFERROR(__xludf.DUMMYFUNCTION("""COMPUTED_VALUE"""),"今日の“拷問”は")</f>
        <v/>
      </c>
      <c r="H656" s="408">
        <f>IFERROR(__xludf.DUMMYFUNCTION("""COMPUTED_VALUE"""),"02")</f>
        <v/>
      </c>
      <c r="I656" s="334">
        <f>IFERROR(__xludf.DUMMYFUNCTION("""COMPUTED_VALUE"""),"event_l05anniv_challenge01_00002")</f>
        <v/>
      </c>
      <c r="J656" s="334" t="n"/>
      <c r="K656" s="334" t="n"/>
      <c r="L656" s="334">
        <f>IFERROR(__xludf.DUMMYFUNCTION("""COMPUTED_VALUE"""),2.02603025E8)</f>
        <v/>
      </c>
      <c r="M656" s="334" t="n"/>
      <c r="N656" s="339" t="n"/>
      <c r="O656" s="368" t="n"/>
      <c r="P656" s="334" t="n"/>
    </row>
    <row r="657">
      <c r="A657" s="334">
        <f>IFERROR(__xludf.DUMMYFUNCTION("""COMPUTED_VALUE"""),"l05anniv")</f>
        <v/>
      </c>
      <c r="B657" s="334">
        <f>IFERROR(__xludf.DUMMYFUNCTION("""COMPUTED_VALUE"""),"ハーフアニバーサリー 感謝祭！後半")</f>
        <v/>
      </c>
      <c r="C657" s="334">
        <f>IFERROR(__xludf.DUMMYFUNCTION("""COMPUTED_VALUE"""),"challenge01")</f>
        <v/>
      </c>
      <c r="D657" s="334">
        <f>IFERROR(__xludf.DUMMYFUNCTION("""COMPUTED_VALUE"""),"event")</f>
        <v/>
      </c>
      <c r="E657" s="408">
        <f>IFERROR(__xludf.DUMMYFUNCTION("""COMPUTED_VALUE"""),"イベント")</f>
        <v/>
      </c>
      <c r="F657" s="408">
        <f>IFERROR(__xludf.DUMMYFUNCTION("""COMPUTED_VALUE"""),"quest_event_l05anniv_challenge01")</f>
        <v/>
      </c>
      <c r="G657" s="334">
        <f>IFERROR(__xludf.DUMMYFUNCTION("""COMPUTED_VALUE"""),"今日の“拷問”は")</f>
        <v/>
      </c>
      <c r="H657" s="408">
        <f>IFERROR(__xludf.DUMMYFUNCTION("""COMPUTED_VALUE"""),"03")</f>
        <v/>
      </c>
      <c r="I657" s="334">
        <f>IFERROR(__xludf.DUMMYFUNCTION("""COMPUTED_VALUE"""),"event_l05anniv_challenge01_00003")</f>
        <v/>
      </c>
      <c r="J657" s="334" t="n"/>
      <c r="K657" s="334" t="n"/>
      <c r="L657" s="334">
        <f>IFERROR(__xludf.DUMMYFUNCTION("""COMPUTED_VALUE"""),2.02603025E8)</f>
        <v/>
      </c>
      <c r="M657" s="334" t="n"/>
      <c r="N657" s="339" t="n"/>
      <c r="O657" s="368" t="n"/>
      <c r="P657" s="334" t="n"/>
    </row>
    <row r="658">
      <c r="A658" s="334">
        <f>IFERROR(__xludf.DUMMYFUNCTION("""COMPUTED_VALUE"""),"l05anniv")</f>
        <v/>
      </c>
      <c r="B658" s="334">
        <f>IFERROR(__xludf.DUMMYFUNCTION("""COMPUTED_VALUE"""),"ハーフアニバーサリー 感謝祭！後半")</f>
        <v/>
      </c>
      <c r="C658" s="334">
        <f>IFERROR(__xludf.DUMMYFUNCTION("""COMPUTED_VALUE"""),"challenge01")</f>
        <v/>
      </c>
      <c r="D658" s="334">
        <f>IFERROR(__xludf.DUMMYFUNCTION("""COMPUTED_VALUE"""),"event")</f>
        <v/>
      </c>
      <c r="E658" s="408">
        <f>IFERROR(__xludf.DUMMYFUNCTION("""COMPUTED_VALUE"""),"イベント")</f>
        <v/>
      </c>
      <c r="F658" s="408">
        <f>IFERROR(__xludf.DUMMYFUNCTION("""COMPUTED_VALUE"""),"quest_event_l05anniv_challenge01")</f>
        <v/>
      </c>
      <c r="G658" s="334">
        <f>IFERROR(__xludf.DUMMYFUNCTION("""COMPUTED_VALUE"""),"今日の“拷問”は")</f>
        <v/>
      </c>
      <c r="H658" s="408">
        <f>IFERROR(__xludf.DUMMYFUNCTION("""COMPUTED_VALUE"""),"04")</f>
        <v/>
      </c>
      <c r="I658" s="334">
        <f>IFERROR(__xludf.DUMMYFUNCTION("""COMPUTED_VALUE"""),"event_l05anniv_challenge01_00004")</f>
        <v/>
      </c>
      <c r="J658" s="334" t="n"/>
      <c r="K658" s="334" t="n"/>
      <c r="L658" s="334">
        <f>IFERROR(__xludf.DUMMYFUNCTION("""COMPUTED_VALUE"""),2.02603025E8)</f>
        <v/>
      </c>
      <c r="M658" s="334" t="n"/>
      <c r="N658" s="339" t="n"/>
      <c r="O658" s="368" t="n"/>
      <c r="P658" s="334" t="n"/>
    </row>
    <row r="659">
      <c r="A659" s="334">
        <f>IFERROR(__xludf.DUMMYFUNCTION("""COMPUTED_VALUE"""),"l05anniv")</f>
        <v/>
      </c>
      <c r="B659" s="334">
        <f>IFERROR(__xludf.DUMMYFUNCTION("""COMPUTED_VALUE"""),"ハーフアニバーサリー 感謝祭！後半")</f>
        <v/>
      </c>
      <c r="C659" s="334">
        <f>IFERROR(__xludf.DUMMYFUNCTION("""COMPUTED_VALUE"""),"savage")</f>
        <v/>
      </c>
      <c r="D659" s="334">
        <f>IFERROR(__xludf.DUMMYFUNCTION("""COMPUTED_VALUE"""),"event")</f>
        <v/>
      </c>
      <c r="E659" s="408">
        <f>IFERROR(__xludf.DUMMYFUNCTION("""COMPUTED_VALUE"""),"イベント")</f>
        <v/>
      </c>
      <c r="F659" s="408">
        <f>IFERROR(__xludf.DUMMYFUNCTION("""COMPUTED_VALUE"""),"quest_event_l05anniv_savage")</f>
        <v/>
      </c>
      <c r="G659" s="334">
        <f>IFERROR(__xludf.DUMMYFUNCTION("""COMPUTED_VALUE"""),"立川基地激突戦！")</f>
        <v/>
      </c>
      <c r="H659" s="408">
        <f>IFERROR(__xludf.DUMMYFUNCTION("""COMPUTED_VALUE"""),"01")</f>
        <v/>
      </c>
      <c r="I659" s="334">
        <f>IFERROR(__xludf.DUMMYFUNCTION("""COMPUTED_VALUE"""),"event_l05anniv_savage_00001")</f>
        <v/>
      </c>
      <c r="J659" s="334" t="n"/>
      <c r="K659" s="334">
        <f>IFERROR(__xludf.DUMMYFUNCTION("""COMPUTED_VALUE"""),"l05anniv_savage_quest_select_cell")</f>
        <v/>
      </c>
      <c r="L659" s="334">
        <f>IFERROR(__xludf.DUMMYFUNCTION("""COMPUTED_VALUE"""),2.02603025E8)</f>
        <v/>
      </c>
      <c r="M659" s="334" t="n"/>
      <c r="N659" s="339" t="n"/>
      <c r="O659" s="368" t="n"/>
      <c r="P659" s="334" t="n"/>
    </row>
    <row r="660">
      <c r="A660" s="334">
        <f>IFERROR(__xludf.DUMMYFUNCTION("""COMPUTED_VALUE"""),"l05anniv")</f>
        <v/>
      </c>
      <c r="B660" s="334">
        <f>IFERROR(__xludf.DUMMYFUNCTION("""COMPUTED_VALUE"""),"ハーフアニバーサリー 感謝祭！後半")</f>
        <v/>
      </c>
      <c r="C660" s="334">
        <f>IFERROR(__xludf.DUMMYFUNCTION("""COMPUTED_VALUE"""),"savage")</f>
        <v/>
      </c>
      <c r="D660" s="334">
        <f>IFERROR(__xludf.DUMMYFUNCTION("""COMPUTED_VALUE"""),"event")</f>
        <v/>
      </c>
      <c r="E660" s="408">
        <f>IFERROR(__xludf.DUMMYFUNCTION("""COMPUTED_VALUE"""),"イベント")</f>
        <v/>
      </c>
      <c r="F660" s="408">
        <f>IFERROR(__xludf.DUMMYFUNCTION("""COMPUTED_VALUE"""),"quest_event_l05anniv_savage")</f>
        <v/>
      </c>
      <c r="G660" s="334">
        <f>IFERROR(__xludf.DUMMYFUNCTION("""COMPUTED_VALUE"""),"立川基地激突戦！")</f>
        <v/>
      </c>
      <c r="H660" s="408">
        <f>IFERROR(__xludf.DUMMYFUNCTION("""COMPUTED_VALUE"""),"02")</f>
        <v/>
      </c>
      <c r="I660" s="334">
        <f>IFERROR(__xludf.DUMMYFUNCTION("""COMPUTED_VALUE"""),"event_l05anniv_savage_00002")</f>
        <v/>
      </c>
      <c r="J660" s="334" t="n"/>
      <c r="K660" s="334" t="n"/>
      <c r="L660" s="334">
        <f>IFERROR(__xludf.DUMMYFUNCTION("""COMPUTED_VALUE"""),2.02603025E8)</f>
        <v/>
      </c>
      <c r="M660" s="334" t="n"/>
      <c r="N660" s="339" t="n"/>
      <c r="O660" s="368" t="n"/>
      <c r="P660" s="334" t="n"/>
    </row>
    <row r="661">
      <c r="A661" s="334">
        <f>IFERROR(__xludf.DUMMYFUNCTION("""COMPUTED_VALUE"""),"l05anniv")</f>
        <v/>
      </c>
      <c r="B661" s="334">
        <f>IFERROR(__xludf.DUMMYFUNCTION("""COMPUTED_VALUE"""),"ハーフアニバーサリー 感謝祭！後半")</f>
        <v/>
      </c>
      <c r="C661" s="334">
        <f>IFERROR(__xludf.DUMMYFUNCTION("""COMPUTED_VALUE"""),"savage")</f>
        <v/>
      </c>
      <c r="D661" s="334">
        <f>IFERROR(__xludf.DUMMYFUNCTION("""COMPUTED_VALUE"""),"event")</f>
        <v/>
      </c>
      <c r="E661" s="408">
        <f>IFERROR(__xludf.DUMMYFUNCTION("""COMPUTED_VALUE"""),"イベント")</f>
        <v/>
      </c>
      <c r="F661" s="408">
        <f>IFERROR(__xludf.DUMMYFUNCTION("""COMPUTED_VALUE"""),"quest_event_l05anniv_savage")</f>
        <v/>
      </c>
      <c r="G661" s="334">
        <f>IFERROR(__xludf.DUMMYFUNCTION("""COMPUTED_VALUE"""),"立川基地激突戦！")</f>
        <v/>
      </c>
      <c r="H661" s="408">
        <f>IFERROR(__xludf.DUMMYFUNCTION("""COMPUTED_VALUE"""),"03")</f>
        <v/>
      </c>
      <c r="I661" s="334">
        <f>IFERROR(__xludf.DUMMYFUNCTION("""COMPUTED_VALUE"""),"event_l05anniv_savage_00003")</f>
        <v/>
      </c>
      <c r="J661" s="334" t="n"/>
      <c r="K661" s="334" t="n"/>
      <c r="L661" s="334">
        <f>IFERROR(__xludf.DUMMYFUNCTION("""COMPUTED_VALUE"""),2.02603025E8)</f>
        <v/>
      </c>
      <c r="M661" s="334" t="n"/>
      <c r="N661" s="339" t="n"/>
      <c r="O661" s="368" t="n"/>
      <c r="P661" s="334" t="n"/>
    </row>
    <row r="662">
      <c r="A662" s="334" t="n"/>
      <c r="B662" s="334" t="n"/>
      <c r="C662" s="334" t="n"/>
      <c r="D662" s="334" t="n"/>
      <c r="E662" s="334" t="n"/>
      <c r="F662" s="334" t="n"/>
      <c r="G662" s="334" t="n"/>
      <c r="H662" s="334" t="n"/>
      <c r="I662" s="334" t="n"/>
      <c r="J662" s="334" t="n"/>
      <c r="K662" s="334" t="n"/>
      <c r="L662" s="334" t="n"/>
      <c r="M662" s="334" t="n"/>
      <c r="N662" s="339" t="n"/>
      <c r="O662" s="368" t="n"/>
      <c r="P662" s="334" t="n"/>
    </row>
    <row r="663">
      <c r="A663" s="334">
        <f>IFERROR(__xludf.DUMMYFUNCTION("""COMPUTED_VALUE"""),"aya")</f>
        <v/>
      </c>
      <c r="B663" s="334">
        <f>IFERROR(__xludf.DUMMYFUNCTION("""COMPUTED_VALUE"""),"あやかしトライアングル")</f>
        <v/>
      </c>
      <c r="C663" s="334">
        <f>IFERROR(__xludf.DUMMYFUNCTION("""COMPUTED_VALUE"""),"1day")</f>
        <v/>
      </c>
      <c r="D663" s="334">
        <f>IFERROR(__xludf.DUMMYFUNCTION("""COMPUTED_VALUE"""),"event")</f>
        <v/>
      </c>
      <c r="E663" s="408">
        <f>IFERROR(__xludf.DUMMYFUNCTION("""COMPUTED_VALUE"""),"デイリー")</f>
        <v/>
      </c>
      <c r="F663" s="408">
        <f>IFERROR(__xludf.DUMMYFUNCTION("""COMPUTED_VALUE"""),"quest_event_aya_1day")</f>
        <v/>
      </c>
      <c r="G663" s="334">
        <f>IFERROR(__xludf.DUMMYFUNCTION("""COMPUTED_VALUE"""),"秘術！！性・醒・流・転")</f>
        <v/>
      </c>
      <c r="H663" s="408">
        <f>IFERROR(__xludf.DUMMYFUNCTION("""COMPUTED_VALUE"""),"1")</f>
        <v/>
      </c>
      <c r="I663" s="334">
        <f>IFERROR(__xludf.DUMMYFUNCTION("""COMPUTED_VALUE"""),"event_aya_1day_0001")</f>
        <v/>
      </c>
      <c r="J663" s="334" t="n"/>
      <c r="K663" s="334" t="n"/>
      <c r="L663" s="334" t="n"/>
      <c r="M663" s="334" t="n"/>
      <c r="N663" s="339" t="n"/>
      <c r="O663" s="368" t="n"/>
      <c r="P663" s="334" t="n"/>
    </row>
    <row r="664">
      <c r="A664" s="334">
        <f>IFERROR(__xludf.DUMMYFUNCTION("""COMPUTED_VALUE"""),"aya")</f>
        <v/>
      </c>
      <c r="B664" s="334">
        <f>IFERROR(__xludf.DUMMYFUNCTION("""COMPUTED_VALUE"""),"あやかしトライアングル")</f>
        <v/>
      </c>
      <c r="C664" s="334">
        <f>IFERROR(__xludf.DUMMYFUNCTION("""COMPUTED_VALUE"""),"charaget01")</f>
        <v/>
      </c>
      <c r="D664" s="334">
        <f>IFERROR(__xludf.DUMMYFUNCTION("""COMPUTED_VALUE"""),"event")</f>
        <v/>
      </c>
      <c r="E664" s="408">
        <f>IFERROR(__xludf.DUMMYFUNCTION("""COMPUTED_VALUE"""),"収集")</f>
        <v/>
      </c>
      <c r="F664" s="408">
        <f>IFERROR(__xludf.DUMMYFUNCTION("""COMPUTED_VALUE"""),"quest_event_aya_charaget01")</f>
        <v/>
      </c>
      <c r="G664" s="334">
        <f>IFERROR(__xludf.DUMMYFUNCTION("""COMPUTED_VALUE"""),"オモカゲ")</f>
        <v/>
      </c>
      <c r="H664" s="408">
        <f>IFERROR(__xludf.DUMMYFUNCTION("""COMPUTED_VALUE"""),"1")</f>
        <v/>
      </c>
      <c r="I664" s="334">
        <f>IFERROR(__xludf.DUMMYFUNCTION("""COMPUTED_VALUE"""),"event_aya_charaget01_0001")</f>
        <v/>
      </c>
      <c r="J664" s="334" t="n"/>
      <c r="K664" s="334" t="n"/>
      <c r="L664" s="334" t="n"/>
      <c r="M664" s="334" t="n"/>
      <c r="N664" s="339" t="n"/>
      <c r="O664" s="368" t="n"/>
      <c r="P664" s="334" t="n"/>
    </row>
    <row r="665">
      <c r="A665" s="334">
        <f>IFERROR(__xludf.DUMMYFUNCTION("""COMPUTED_VALUE"""),"aya")</f>
        <v/>
      </c>
      <c r="B665" s="334">
        <f>IFERROR(__xludf.DUMMYFUNCTION("""COMPUTED_VALUE"""),"あやかしトライアングル")</f>
        <v/>
      </c>
      <c r="C665" s="334">
        <f>IFERROR(__xludf.DUMMYFUNCTION("""COMPUTED_VALUE"""),"charaget01")</f>
        <v/>
      </c>
      <c r="D665" s="334">
        <f>IFERROR(__xludf.DUMMYFUNCTION("""COMPUTED_VALUE"""),"event")</f>
        <v/>
      </c>
      <c r="E665" s="408">
        <f>IFERROR(__xludf.DUMMYFUNCTION("""COMPUTED_VALUE"""),"収集")</f>
        <v/>
      </c>
      <c r="F665" s="408">
        <f>IFERROR(__xludf.DUMMYFUNCTION("""COMPUTED_VALUE"""),"quest_event_aya_charaget01")</f>
        <v/>
      </c>
      <c r="G665" s="334">
        <f>IFERROR(__xludf.DUMMYFUNCTION("""COMPUTED_VALUE"""),"オモカゲ")</f>
        <v/>
      </c>
      <c r="H665" s="408">
        <f>IFERROR(__xludf.DUMMYFUNCTION("""COMPUTED_VALUE"""),"2")</f>
        <v/>
      </c>
      <c r="I665" s="334">
        <f>IFERROR(__xludf.DUMMYFUNCTION("""COMPUTED_VALUE"""),"event_aya_charaget01_0002")</f>
        <v/>
      </c>
      <c r="J665" s="334" t="n"/>
      <c r="K665" s="334" t="n"/>
      <c r="L665" s="334" t="n"/>
      <c r="M665" s="334" t="n"/>
      <c r="N665" s="339" t="n"/>
      <c r="O665" s="368" t="n"/>
      <c r="P665" s="334" t="n"/>
    </row>
    <row r="666">
      <c r="A666" s="334">
        <f>IFERROR(__xludf.DUMMYFUNCTION("""COMPUTED_VALUE"""),"aya")</f>
        <v/>
      </c>
      <c r="B666" s="334">
        <f>IFERROR(__xludf.DUMMYFUNCTION("""COMPUTED_VALUE"""),"あやかしトライアングル")</f>
        <v/>
      </c>
      <c r="C666" s="334">
        <f>IFERROR(__xludf.DUMMYFUNCTION("""COMPUTED_VALUE"""),"charaget01")</f>
        <v/>
      </c>
      <c r="D666" s="334">
        <f>IFERROR(__xludf.DUMMYFUNCTION("""COMPUTED_VALUE"""),"event")</f>
        <v/>
      </c>
      <c r="E666" s="408">
        <f>IFERROR(__xludf.DUMMYFUNCTION("""COMPUTED_VALUE"""),"収集")</f>
        <v/>
      </c>
      <c r="F666" s="408">
        <f>IFERROR(__xludf.DUMMYFUNCTION("""COMPUTED_VALUE"""),"quest_event_aya_charaget01")</f>
        <v/>
      </c>
      <c r="G666" s="334">
        <f>IFERROR(__xludf.DUMMYFUNCTION("""COMPUTED_VALUE"""),"オモカゲ")</f>
        <v/>
      </c>
      <c r="H666" s="408">
        <f>IFERROR(__xludf.DUMMYFUNCTION("""COMPUTED_VALUE"""),"3")</f>
        <v/>
      </c>
      <c r="I666" s="334">
        <f>IFERROR(__xludf.DUMMYFUNCTION("""COMPUTED_VALUE"""),"event_aya_charaget01_0003")</f>
        <v/>
      </c>
      <c r="J666" s="334" t="n"/>
      <c r="K666" s="334" t="n"/>
      <c r="L666" s="334" t="n"/>
      <c r="M666" s="334" t="n"/>
      <c r="N666" s="339" t="n"/>
      <c r="O666" s="368" t="n"/>
      <c r="P666" s="334" t="n"/>
    </row>
    <row r="667">
      <c r="A667" s="334">
        <f>IFERROR(__xludf.DUMMYFUNCTION("""COMPUTED_VALUE"""),"aya")</f>
        <v/>
      </c>
      <c r="B667" s="334">
        <f>IFERROR(__xludf.DUMMYFUNCTION("""COMPUTED_VALUE"""),"あやかしトライアングル")</f>
        <v/>
      </c>
      <c r="C667" s="334">
        <f>IFERROR(__xludf.DUMMYFUNCTION("""COMPUTED_VALUE"""),"charaget01")</f>
        <v/>
      </c>
      <c r="D667" s="334">
        <f>IFERROR(__xludf.DUMMYFUNCTION("""COMPUTED_VALUE"""),"event")</f>
        <v/>
      </c>
      <c r="E667" s="408">
        <f>IFERROR(__xludf.DUMMYFUNCTION("""COMPUTED_VALUE"""),"収集")</f>
        <v/>
      </c>
      <c r="F667" s="408">
        <f>IFERROR(__xludf.DUMMYFUNCTION("""COMPUTED_VALUE"""),"quest_event_aya_charaget01")</f>
        <v/>
      </c>
      <c r="G667" s="334">
        <f>IFERROR(__xludf.DUMMYFUNCTION("""COMPUTED_VALUE"""),"オモカゲ")</f>
        <v/>
      </c>
      <c r="H667" s="408">
        <f>IFERROR(__xludf.DUMMYFUNCTION("""COMPUTED_VALUE"""),"4")</f>
        <v/>
      </c>
      <c r="I667" s="334">
        <f>IFERROR(__xludf.DUMMYFUNCTION("""COMPUTED_VALUE"""),"event_aya_charaget01_0004")</f>
        <v/>
      </c>
      <c r="J667" s="334" t="n"/>
      <c r="K667" s="334" t="n"/>
      <c r="L667" s="334" t="n"/>
      <c r="M667" s="334" t="n"/>
      <c r="N667" s="339" t="n"/>
      <c r="O667" s="368" t="n"/>
      <c r="P667" s="334" t="n"/>
    </row>
    <row r="668">
      <c r="A668" s="334">
        <f>IFERROR(__xludf.DUMMYFUNCTION("""COMPUTED_VALUE"""),"aya")</f>
        <v/>
      </c>
      <c r="B668" s="334">
        <f>IFERROR(__xludf.DUMMYFUNCTION("""COMPUTED_VALUE"""),"あやかしトライアングル")</f>
        <v/>
      </c>
      <c r="C668" s="334">
        <f>IFERROR(__xludf.DUMMYFUNCTION("""COMPUTED_VALUE"""),"charaget02")</f>
        <v/>
      </c>
      <c r="D668" s="334">
        <f>IFERROR(__xludf.DUMMYFUNCTION("""COMPUTED_VALUE"""),"event")</f>
        <v/>
      </c>
      <c r="E668" s="408">
        <f>IFERROR(__xludf.DUMMYFUNCTION("""COMPUTED_VALUE"""),"ストーリー")</f>
        <v/>
      </c>
      <c r="F668" s="408">
        <f>IFERROR(__xludf.DUMMYFUNCTION("""COMPUTED_VALUE"""),"quest_event_aya_charaget02")</f>
        <v/>
      </c>
      <c r="G668" s="334">
        <f>IFERROR(__xludf.DUMMYFUNCTION("""COMPUTED_VALUE"""),"覚醒の兆し")</f>
        <v/>
      </c>
      <c r="H668" s="408">
        <f>IFERROR(__xludf.DUMMYFUNCTION("""COMPUTED_VALUE"""),"1")</f>
        <v/>
      </c>
      <c r="I668" s="334">
        <f>IFERROR(__xludf.DUMMYFUNCTION("""COMPUTED_VALUE"""),"event_aya_charaget02_0001")</f>
        <v/>
      </c>
      <c r="J668" s="334" t="n"/>
      <c r="K668" s="334" t="n"/>
      <c r="L668" s="334" t="n"/>
      <c r="M668" s="334" t="n"/>
      <c r="N668" s="339" t="n"/>
      <c r="O668" s="368" t="n"/>
      <c r="P668" s="334" t="n"/>
    </row>
    <row r="669">
      <c r="A669" s="334">
        <f>IFERROR(__xludf.DUMMYFUNCTION("""COMPUTED_VALUE"""),"aya")</f>
        <v/>
      </c>
      <c r="B669" s="334">
        <f>IFERROR(__xludf.DUMMYFUNCTION("""COMPUTED_VALUE"""),"あやかしトライアングル")</f>
        <v/>
      </c>
      <c r="C669" s="334">
        <f>IFERROR(__xludf.DUMMYFUNCTION("""COMPUTED_VALUE"""),"charaget02")</f>
        <v/>
      </c>
      <c r="D669" s="334">
        <f>IFERROR(__xludf.DUMMYFUNCTION("""COMPUTED_VALUE"""),"event")</f>
        <v/>
      </c>
      <c r="E669" s="408">
        <f>IFERROR(__xludf.DUMMYFUNCTION("""COMPUTED_VALUE"""),"ストーリー")</f>
        <v/>
      </c>
      <c r="F669" s="408">
        <f>IFERROR(__xludf.DUMMYFUNCTION("""COMPUTED_VALUE"""),"quest_event_aya_charaget02")</f>
        <v/>
      </c>
      <c r="G669" s="334">
        <f>IFERROR(__xludf.DUMMYFUNCTION("""COMPUTED_VALUE"""),"覚醒の兆し")</f>
        <v/>
      </c>
      <c r="H669" s="408">
        <f>IFERROR(__xludf.DUMMYFUNCTION("""COMPUTED_VALUE"""),"2")</f>
        <v/>
      </c>
      <c r="I669" s="334">
        <f>IFERROR(__xludf.DUMMYFUNCTION("""COMPUTED_VALUE"""),"event_aya_charaget02_0002")</f>
        <v/>
      </c>
      <c r="J669" s="334" t="n"/>
      <c r="K669" s="334" t="n"/>
      <c r="L669" s="334" t="n"/>
      <c r="M669" s="334" t="n"/>
      <c r="N669" s="339" t="n"/>
      <c r="O669" s="368" t="n"/>
      <c r="P669" s="334" t="n"/>
    </row>
    <row r="670">
      <c r="A670" s="334">
        <f>IFERROR(__xludf.DUMMYFUNCTION("""COMPUTED_VALUE"""),"aya")</f>
        <v/>
      </c>
      <c r="B670" s="334">
        <f>IFERROR(__xludf.DUMMYFUNCTION("""COMPUTED_VALUE"""),"あやかしトライアングル")</f>
        <v/>
      </c>
      <c r="C670" s="334">
        <f>IFERROR(__xludf.DUMMYFUNCTION("""COMPUTED_VALUE"""),"charaget02")</f>
        <v/>
      </c>
      <c r="D670" s="334">
        <f>IFERROR(__xludf.DUMMYFUNCTION("""COMPUTED_VALUE"""),"event")</f>
        <v/>
      </c>
      <c r="E670" s="408">
        <f>IFERROR(__xludf.DUMMYFUNCTION("""COMPUTED_VALUE"""),"ストーリー")</f>
        <v/>
      </c>
      <c r="F670" s="408">
        <f>IFERROR(__xludf.DUMMYFUNCTION("""COMPUTED_VALUE"""),"quest_event_aya_charaget02")</f>
        <v/>
      </c>
      <c r="G670" s="334">
        <f>IFERROR(__xludf.DUMMYFUNCTION("""COMPUTED_VALUE"""),"覚醒の兆し")</f>
        <v/>
      </c>
      <c r="H670" s="408">
        <f>IFERROR(__xludf.DUMMYFUNCTION("""COMPUTED_VALUE"""),"3")</f>
        <v/>
      </c>
      <c r="I670" s="334">
        <f>IFERROR(__xludf.DUMMYFUNCTION("""COMPUTED_VALUE"""),"event_aya_charaget02_0003")</f>
        <v/>
      </c>
      <c r="J670" s="334" t="n"/>
      <c r="K670" s="334" t="n"/>
      <c r="L670" s="334" t="n"/>
      <c r="M670" s="334" t="n"/>
      <c r="N670" s="339" t="n"/>
      <c r="O670" s="368" t="n"/>
      <c r="P670" s="334" t="n"/>
    </row>
    <row r="671">
      <c r="A671" s="334">
        <f>IFERROR(__xludf.DUMMYFUNCTION("""COMPUTED_VALUE"""),"aya")</f>
        <v/>
      </c>
      <c r="B671" s="334">
        <f>IFERROR(__xludf.DUMMYFUNCTION("""COMPUTED_VALUE"""),"あやかしトライアングル")</f>
        <v/>
      </c>
      <c r="C671" s="334">
        <f>IFERROR(__xludf.DUMMYFUNCTION("""COMPUTED_VALUE"""),"charaget02")</f>
        <v/>
      </c>
      <c r="D671" s="334">
        <f>IFERROR(__xludf.DUMMYFUNCTION("""COMPUTED_VALUE"""),"event")</f>
        <v/>
      </c>
      <c r="E671" s="408">
        <f>IFERROR(__xludf.DUMMYFUNCTION("""COMPUTED_VALUE"""),"ストーリー")</f>
        <v/>
      </c>
      <c r="F671" s="408">
        <f>IFERROR(__xludf.DUMMYFUNCTION("""COMPUTED_VALUE"""),"quest_event_aya_charaget02")</f>
        <v/>
      </c>
      <c r="G671" s="334">
        <f>IFERROR(__xludf.DUMMYFUNCTION("""COMPUTED_VALUE"""),"覚醒の兆し")</f>
        <v/>
      </c>
      <c r="H671" s="408">
        <f>IFERROR(__xludf.DUMMYFUNCTION("""COMPUTED_VALUE"""),"4")</f>
        <v/>
      </c>
      <c r="I671" s="334">
        <f>IFERROR(__xludf.DUMMYFUNCTION("""COMPUTED_VALUE"""),"event_aya_charaget02_0004")</f>
        <v/>
      </c>
      <c r="J671" s="334" t="n"/>
      <c r="K671" s="334" t="n"/>
      <c r="L671" s="334" t="n"/>
      <c r="M671" s="334" t="n"/>
      <c r="N671" s="339" t="n"/>
      <c r="O671" s="368" t="n"/>
      <c r="P671" s="334" t="n"/>
    </row>
    <row r="672">
      <c r="A672" s="334">
        <f>IFERROR(__xludf.DUMMYFUNCTION("""COMPUTED_VALUE"""),"aya")</f>
        <v/>
      </c>
      <c r="B672" s="334">
        <f>IFERROR(__xludf.DUMMYFUNCTION("""COMPUTED_VALUE"""),"あやかしトライアングル")</f>
        <v/>
      </c>
      <c r="C672" s="334">
        <f>IFERROR(__xludf.DUMMYFUNCTION("""COMPUTED_VALUE"""),"charaget02")</f>
        <v/>
      </c>
      <c r="D672" s="334">
        <f>IFERROR(__xludf.DUMMYFUNCTION("""COMPUTED_VALUE"""),"event")</f>
        <v/>
      </c>
      <c r="E672" s="408">
        <f>IFERROR(__xludf.DUMMYFUNCTION("""COMPUTED_VALUE"""),"ストーリー")</f>
        <v/>
      </c>
      <c r="F672" s="408">
        <f>IFERROR(__xludf.DUMMYFUNCTION("""COMPUTED_VALUE"""),"quest_event_aya_charaget02")</f>
        <v/>
      </c>
      <c r="G672" s="334">
        <f>IFERROR(__xludf.DUMMYFUNCTION("""COMPUTED_VALUE"""),"覚醒の兆し")</f>
        <v/>
      </c>
      <c r="H672" s="408">
        <f>IFERROR(__xludf.DUMMYFUNCTION("""COMPUTED_VALUE"""),"5")</f>
        <v/>
      </c>
      <c r="I672" s="334">
        <f>IFERROR(__xludf.DUMMYFUNCTION("""COMPUTED_VALUE"""),"event_aya_charaget02_0005")</f>
        <v/>
      </c>
      <c r="J672" s="334" t="n"/>
      <c r="K672" s="334" t="n"/>
      <c r="L672" s="334" t="n"/>
      <c r="M672" s="334" t="n"/>
      <c r="N672" s="339" t="n"/>
      <c r="O672" s="368" t="n"/>
      <c r="P672" s="334" t="n"/>
    </row>
    <row r="673">
      <c r="A673" s="334">
        <f>IFERROR(__xludf.DUMMYFUNCTION("""COMPUTED_VALUE"""),"aya")</f>
        <v/>
      </c>
      <c r="B673" s="334">
        <f>IFERROR(__xludf.DUMMYFUNCTION("""COMPUTED_VALUE"""),"あやかしトライアングル")</f>
        <v/>
      </c>
      <c r="C673" s="334">
        <f>IFERROR(__xludf.DUMMYFUNCTION("""COMPUTED_VALUE"""),"charaget02")</f>
        <v/>
      </c>
      <c r="D673" s="334">
        <f>IFERROR(__xludf.DUMMYFUNCTION("""COMPUTED_VALUE"""),"event")</f>
        <v/>
      </c>
      <c r="E673" s="408">
        <f>IFERROR(__xludf.DUMMYFUNCTION("""COMPUTED_VALUE"""),"ストーリー")</f>
        <v/>
      </c>
      <c r="F673" s="408">
        <f>IFERROR(__xludf.DUMMYFUNCTION("""COMPUTED_VALUE"""),"quest_event_aya_charaget02")</f>
        <v/>
      </c>
      <c r="G673" s="334">
        <f>IFERROR(__xludf.DUMMYFUNCTION("""COMPUTED_VALUE"""),"覚醒の兆し")</f>
        <v/>
      </c>
      <c r="H673" s="408">
        <f>IFERROR(__xludf.DUMMYFUNCTION("""COMPUTED_VALUE"""),"6")</f>
        <v/>
      </c>
      <c r="I673" s="334">
        <f>IFERROR(__xludf.DUMMYFUNCTION("""COMPUTED_VALUE"""),"event_aya_charaget02_0006")</f>
        <v/>
      </c>
      <c r="J673" s="334" t="n"/>
      <c r="K673" s="334" t="n"/>
      <c r="L673" s="334" t="n"/>
      <c r="M673" s="334" t="n"/>
      <c r="N673" s="339" t="n"/>
      <c r="O673" s="368" t="n"/>
      <c r="P673" s="334" t="n"/>
    </row>
    <row r="674">
      <c r="A674" s="334">
        <f>IFERROR(__xludf.DUMMYFUNCTION("""COMPUTED_VALUE"""),"aya")</f>
        <v/>
      </c>
      <c r="B674" s="334">
        <f>IFERROR(__xludf.DUMMYFUNCTION("""COMPUTED_VALUE"""),"あやかしトライアングル")</f>
        <v/>
      </c>
      <c r="C674" s="334">
        <f>IFERROR(__xludf.DUMMYFUNCTION("""COMPUTED_VALUE"""),"charaget01")</f>
        <v/>
      </c>
      <c r="D674" s="334">
        <f>IFERROR(__xludf.DUMMYFUNCTION("""COMPUTED_VALUE"""),"event")</f>
        <v/>
      </c>
      <c r="E674" s="408">
        <f>IFERROR(__xludf.DUMMYFUNCTION("""COMPUTED_VALUE"""),"チャレンジ")</f>
        <v/>
      </c>
      <c r="F674" s="408">
        <f>IFERROR(__xludf.DUMMYFUNCTION("""COMPUTED_VALUE"""),"quest_event_aya_charaget01")</f>
        <v/>
      </c>
      <c r="G674" s="334">
        <f>IFERROR(__xludf.DUMMYFUNCTION("""COMPUTED_VALUE"""),"妖の王")</f>
        <v/>
      </c>
      <c r="H674" s="408">
        <f>IFERROR(__xludf.DUMMYFUNCTION("""COMPUTED_VALUE"""),"1")</f>
        <v/>
      </c>
      <c r="I674" s="334">
        <f>IFERROR(__xludf.DUMMYFUNCTION("""COMPUTED_VALUE"""),"event_aya_charaget01_0001")</f>
        <v/>
      </c>
      <c r="J674" s="334" t="n"/>
      <c r="K674" s="334" t="n"/>
      <c r="L674" s="334" t="n"/>
      <c r="M674" s="334" t="n"/>
      <c r="N674" s="339" t="n"/>
      <c r="O674" s="368" t="n"/>
      <c r="P674" s="334" t="n"/>
    </row>
    <row r="675">
      <c r="A675" s="334">
        <f>IFERROR(__xludf.DUMMYFUNCTION("""COMPUTED_VALUE"""),"aya")</f>
        <v/>
      </c>
      <c r="B675" s="334">
        <f>IFERROR(__xludf.DUMMYFUNCTION("""COMPUTED_VALUE"""),"あやかしトライアングル")</f>
        <v/>
      </c>
      <c r="C675" s="334">
        <f>IFERROR(__xludf.DUMMYFUNCTION("""COMPUTED_VALUE"""),"charaget01")</f>
        <v/>
      </c>
      <c r="D675" s="334">
        <f>IFERROR(__xludf.DUMMYFUNCTION("""COMPUTED_VALUE"""),"event")</f>
        <v/>
      </c>
      <c r="E675" s="408">
        <f>IFERROR(__xludf.DUMMYFUNCTION("""COMPUTED_VALUE"""),"チャレンジ")</f>
        <v/>
      </c>
      <c r="F675" s="408">
        <f>IFERROR(__xludf.DUMMYFUNCTION("""COMPUTED_VALUE"""),"quest_event_aya_charaget01")</f>
        <v/>
      </c>
      <c r="G675" s="334">
        <f>IFERROR(__xludf.DUMMYFUNCTION("""COMPUTED_VALUE"""),"妖の王")</f>
        <v/>
      </c>
      <c r="H675" s="408">
        <f>IFERROR(__xludf.DUMMYFUNCTION("""COMPUTED_VALUE"""),"2")</f>
        <v/>
      </c>
      <c r="I675" s="334">
        <f>IFERROR(__xludf.DUMMYFUNCTION("""COMPUTED_VALUE"""),"event_aya_charaget01_0002")</f>
        <v/>
      </c>
      <c r="J675" s="334" t="n"/>
      <c r="K675" s="334" t="n"/>
      <c r="L675" s="334" t="n"/>
      <c r="M675" s="334" t="n"/>
      <c r="N675" s="339" t="n"/>
      <c r="O675" s="368" t="n"/>
      <c r="P675" s="334" t="n"/>
    </row>
    <row r="676">
      <c r="A676" s="334">
        <f>IFERROR(__xludf.DUMMYFUNCTION("""COMPUTED_VALUE"""),"aya")</f>
        <v/>
      </c>
      <c r="B676" s="334">
        <f>IFERROR(__xludf.DUMMYFUNCTION("""COMPUTED_VALUE"""),"あやかしトライアングル")</f>
        <v/>
      </c>
      <c r="C676" s="334">
        <f>IFERROR(__xludf.DUMMYFUNCTION("""COMPUTED_VALUE"""),"charaget01")</f>
        <v/>
      </c>
      <c r="D676" s="334">
        <f>IFERROR(__xludf.DUMMYFUNCTION("""COMPUTED_VALUE"""),"event")</f>
        <v/>
      </c>
      <c r="E676" s="408">
        <f>IFERROR(__xludf.DUMMYFUNCTION("""COMPUTED_VALUE"""),"チャレンジ")</f>
        <v/>
      </c>
      <c r="F676" s="408">
        <f>IFERROR(__xludf.DUMMYFUNCTION("""COMPUTED_VALUE"""),"quest_event_aya_charaget01")</f>
        <v/>
      </c>
      <c r="G676" s="334">
        <f>IFERROR(__xludf.DUMMYFUNCTION("""COMPUTED_VALUE"""),"妖の王")</f>
        <v/>
      </c>
      <c r="H676" s="408">
        <f>IFERROR(__xludf.DUMMYFUNCTION("""COMPUTED_VALUE"""),"3")</f>
        <v/>
      </c>
      <c r="I676" s="334">
        <f>IFERROR(__xludf.DUMMYFUNCTION("""COMPUTED_VALUE"""),"event_aya_charaget01_0003")</f>
        <v/>
      </c>
      <c r="J676" s="334" t="n"/>
      <c r="K676" s="334" t="n"/>
      <c r="L676" s="334" t="n"/>
      <c r="M676" s="334" t="n"/>
      <c r="N676" s="339" t="n"/>
      <c r="O676" s="368" t="n"/>
      <c r="P676" s="334" t="n"/>
    </row>
    <row r="677">
      <c r="A677" s="334">
        <f>IFERROR(__xludf.DUMMYFUNCTION("""COMPUTED_VALUE"""),"aya")</f>
        <v/>
      </c>
      <c r="B677" s="334">
        <f>IFERROR(__xludf.DUMMYFUNCTION("""COMPUTED_VALUE"""),"あやかしトライアングル")</f>
        <v/>
      </c>
      <c r="C677" s="334">
        <f>IFERROR(__xludf.DUMMYFUNCTION("""COMPUTED_VALUE"""),"charaget01")</f>
        <v/>
      </c>
      <c r="D677" s="334">
        <f>IFERROR(__xludf.DUMMYFUNCTION("""COMPUTED_VALUE"""),"event")</f>
        <v/>
      </c>
      <c r="E677" s="408">
        <f>IFERROR(__xludf.DUMMYFUNCTION("""COMPUTED_VALUE"""),"チャレンジ")</f>
        <v/>
      </c>
      <c r="F677" s="408">
        <f>IFERROR(__xludf.DUMMYFUNCTION("""COMPUTED_VALUE"""),"quest_event_aya_charaget01")</f>
        <v/>
      </c>
      <c r="G677" s="334">
        <f>IFERROR(__xludf.DUMMYFUNCTION("""COMPUTED_VALUE"""),"妖の王")</f>
        <v/>
      </c>
      <c r="H677" s="408">
        <f>IFERROR(__xludf.DUMMYFUNCTION("""COMPUTED_VALUE"""),"4")</f>
        <v/>
      </c>
      <c r="I677" s="334">
        <f>IFERROR(__xludf.DUMMYFUNCTION("""COMPUTED_VALUE"""),"event_aya_charaget01_0004")</f>
        <v/>
      </c>
      <c r="J677" s="334" t="n"/>
      <c r="K677" s="334" t="n"/>
      <c r="L677" s="334" t="n"/>
      <c r="M677" s="334" t="n"/>
      <c r="N677" s="339" t="n"/>
      <c r="O677" s="368" t="n"/>
      <c r="P677" s="334" t="n"/>
    </row>
    <row r="678">
      <c r="A678" s="334">
        <f>IFERROR(__xludf.DUMMYFUNCTION("""COMPUTED_VALUE"""),"aya")</f>
        <v/>
      </c>
      <c r="B678" s="334">
        <f>IFERROR(__xludf.DUMMYFUNCTION("""COMPUTED_VALUE"""),"あやかしトライアングル")</f>
        <v/>
      </c>
      <c r="C678" s="334">
        <f>IFERROR(__xludf.DUMMYFUNCTION("""COMPUTED_VALUE"""),"savage")</f>
        <v/>
      </c>
      <c r="D678" s="334">
        <f>IFERROR(__xludf.DUMMYFUNCTION("""COMPUTED_VALUE"""),"event")</f>
        <v/>
      </c>
      <c r="E678" s="408">
        <f>IFERROR(__xludf.DUMMYFUNCTION("""COMPUTED_VALUE"""),"高難易度")</f>
        <v/>
      </c>
      <c r="F678" s="408">
        <f>IFERROR(__xludf.DUMMYFUNCTION("""COMPUTED_VALUE"""),"quest_event_aya_savage")</f>
        <v/>
      </c>
      <c r="G678" s="334">
        <f>IFERROR(__xludf.DUMMYFUNCTION("""COMPUTED_VALUE"""),"祓忍法")</f>
        <v/>
      </c>
      <c r="H678" s="408">
        <f>IFERROR(__xludf.DUMMYFUNCTION("""COMPUTED_VALUE"""),"1")</f>
        <v/>
      </c>
      <c r="I678" s="334">
        <f>IFERROR(__xludf.DUMMYFUNCTION("""COMPUTED_VALUE"""),"event_aya_savage_0001")</f>
        <v/>
      </c>
      <c r="J678" s="334" t="n"/>
      <c r="K678" s="334" t="n"/>
      <c r="L678" s="334" t="n"/>
      <c r="M678" s="334" t="n"/>
      <c r="N678" s="339" t="n"/>
      <c r="O678" s="368" t="n"/>
      <c r="P678" s="334" t="n"/>
    </row>
    <row r="679">
      <c r="A679" s="334">
        <f>IFERROR(__xludf.DUMMYFUNCTION("""COMPUTED_VALUE"""),"aya")</f>
        <v/>
      </c>
      <c r="B679" s="334">
        <f>IFERROR(__xludf.DUMMYFUNCTION("""COMPUTED_VALUE"""),"あやかしトライアングル")</f>
        <v/>
      </c>
      <c r="C679" s="334">
        <f>IFERROR(__xludf.DUMMYFUNCTION("""COMPUTED_VALUE"""),"savage")</f>
        <v/>
      </c>
      <c r="D679" s="334">
        <f>IFERROR(__xludf.DUMMYFUNCTION("""COMPUTED_VALUE"""),"event")</f>
        <v/>
      </c>
      <c r="E679" s="408">
        <f>IFERROR(__xludf.DUMMYFUNCTION("""COMPUTED_VALUE"""),"高難易度")</f>
        <v/>
      </c>
      <c r="F679" s="408">
        <f>IFERROR(__xludf.DUMMYFUNCTION("""COMPUTED_VALUE"""),"quest_event_aya_savage")</f>
        <v/>
      </c>
      <c r="G679" s="334">
        <f>IFERROR(__xludf.DUMMYFUNCTION("""COMPUTED_VALUE"""),"祓忍法")</f>
        <v/>
      </c>
      <c r="H679" s="408">
        <f>IFERROR(__xludf.DUMMYFUNCTION("""COMPUTED_VALUE"""),"2")</f>
        <v/>
      </c>
      <c r="I679" s="334">
        <f>IFERROR(__xludf.DUMMYFUNCTION("""COMPUTED_VALUE"""),"event_aya_savage_0002")</f>
        <v/>
      </c>
      <c r="J679" s="334" t="n"/>
      <c r="K679" s="334" t="n"/>
      <c r="L679" s="334" t="n"/>
      <c r="M679" s="334" t="n"/>
      <c r="N679" s="339" t="n"/>
      <c r="O679" s="368" t="n"/>
      <c r="P679" s="334" t="n"/>
    </row>
    <row r="680">
      <c r="A680" s="334">
        <f>IFERROR(__xludf.DUMMYFUNCTION("""COMPUTED_VALUE"""),"aya")</f>
        <v/>
      </c>
      <c r="B680" s="334">
        <f>IFERROR(__xludf.DUMMYFUNCTION("""COMPUTED_VALUE"""),"あやかしトライアングル")</f>
        <v/>
      </c>
      <c r="C680" s="334">
        <f>IFERROR(__xludf.DUMMYFUNCTION("""COMPUTED_VALUE"""),"savage")</f>
        <v/>
      </c>
      <c r="D680" s="334">
        <f>IFERROR(__xludf.DUMMYFUNCTION("""COMPUTED_VALUE"""),"event")</f>
        <v/>
      </c>
      <c r="E680" s="408">
        <f>IFERROR(__xludf.DUMMYFUNCTION("""COMPUTED_VALUE"""),"高難易度")</f>
        <v/>
      </c>
      <c r="F680" s="408">
        <f>IFERROR(__xludf.DUMMYFUNCTION("""COMPUTED_VALUE"""),"quest_event_aya_savage")</f>
        <v/>
      </c>
      <c r="G680" s="334">
        <f>IFERROR(__xludf.DUMMYFUNCTION("""COMPUTED_VALUE"""),"祓忍法")</f>
        <v/>
      </c>
      <c r="H680" s="408">
        <f>IFERROR(__xludf.DUMMYFUNCTION("""COMPUTED_VALUE"""),"3")</f>
        <v/>
      </c>
      <c r="I680" s="334">
        <f>IFERROR(__xludf.DUMMYFUNCTION("""COMPUTED_VALUE"""),"event_aya_savage_0003")</f>
        <v/>
      </c>
      <c r="J680" s="334" t="n"/>
      <c r="K680" s="334" t="n"/>
      <c r="L680" s="334" t="n"/>
      <c r="M680" s="334" t="n"/>
      <c r="N680" s="339" t="n"/>
      <c r="O680" s="368" t="n"/>
      <c r="P680" s="334" t="n"/>
    </row>
    <row r="681">
      <c r="A681" s="334" t="n"/>
      <c r="B681" s="334" t="n"/>
      <c r="C681" s="334" t="n"/>
      <c r="D681" s="334" t="n"/>
      <c r="E681" s="334" t="n"/>
      <c r="F681" s="334" t="n"/>
      <c r="G681" s="334" t="n"/>
      <c r="H681" s="334" t="n"/>
      <c r="I681" s="334" t="n"/>
      <c r="J681" s="334" t="n"/>
      <c r="K681" s="334" t="n"/>
      <c r="L681" s="334" t="n"/>
      <c r="M681" s="334" t="n"/>
      <c r="N681" s="339" t="n"/>
      <c r="O681" s="368" t="n"/>
      <c r="P681" s="334" t="n"/>
    </row>
    <row r="682">
      <c r="A682" s="334">
        <f>IFERROR(__xludf.DUMMYFUNCTION("""COMPUTED_VALUE"""),"mar")</f>
        <v/>
      </c>
      <c r="B682" s="334">
        <f>IFERROR(__xludf.DUMMYFUNCTION("""COMPUTED_VALUE"""),"マリッジトキシン")</f>
        <v/>
      </c>
      <c r="C682" s="334">
        <f>IFERROR(__xludf.DUMMYFUNCTION("""COMPUTED_VALUE"""),"1day")</f>
        <v/>
      </c>
      <c r="D682" s="334">
        <f>IFERROR(__xludf.DUMMYFUNCTION("""COMPUTED_VALUE"""),"event")</f>
        <v/>
      </c>
      <c r="E682" s="408">
        <f>IFERROR(__xludf.DUMMYFUNCTION("""COMPUTED_VALUE"""),"デイリー")</f>
        <v/>
      </c>
      <c r="F682" s="408">
        <f>IFERROR(__xludf.DUMMYFUNCTION("""COMPUTED_VALUE"""),"quest_event_mar_1day")</f>
        <v/>
      </c>
      <c r="G682" s="334">
        <f>IFERROR(__xludf.DUMMYFUNCTION("""COMPUTED_VALUE"""),"そんな提案[プロポーズ]初めて")</f>
        <v/>
      </c>
      <c r="H682" s="408">
        <f>IFERROR(__xludf.DUMMYFUNCTION("""COMPUTED_VALUE"""),"1")</f>
        <v/>
      </c>
      <c r="I682" s="334">
        <f>IFERROR(__xludf.DUMMYFUNCTION("""COMPUTED_VALUE"""),"event_mar_1day_0001")</f>
        <v/>
      </c>
      <c r="J682" s="334" t="n"/>
      <c r="K682" s="334" t="n"/>
      <c r="L682" s="334" t="n"/>
      <c r="M682" s="334" t="n"/>
      <c r="N682" s="339" t="n"/>
      <c r="O682" s="368" t="n"/>
      <c r="P682" s="334" t="n"/>
    </row>
    <row r="683">
      <c r="A683" s="334">
        <f>IFERROR(__xludf.DUMMYFUNCTION("""COMPUTED_VALUE"""),"mar")</f>
        <v/>
      </c>
      <c r="B683" s="334">
        <f>IFERROR(__xludf.DUMMYFUNCTION("""COMPUTED_VALUE"""),"マリッジトキシン")</f>
        <v/>
      </c>
      <c r="C683" s="334">
        <f>IFERROR(__xludf.DUMMYFUNCTION("""COMPUTED_VALUE"""),"charaget01")</f>
        <v/>
      </c>
      <c r="D683" s="334">
        <f>IFERROR(__xludf.DUMMYFUNCTION("""COMPUTED_VALUE"""),"event")</f>
        <v/>
      </c>
      <c r="E683" s="408">
        <f>IFERROR(__xludf.DUMMYFUNCTION("""COMPUTED_VALUE"""),"ストーリー")</f>
        <v/>
      </c>
      <c r="F683" s="408">
        <f>IFERROR(__xludf.DUMMYFUNCTION("""COMPUTED_VALUE"""),"quest_event_mar_charaget01")</f>
        <v/>
      </c>
      <c r="G683" s="334">
        <f>IFERROR(__xludf.DUMMYFUNCTION("""COMPUTED_VALUE"""),"初めての相手")</f>
        <v/>
      </c>
      <c r="H683" s="408">
        <f>IFERROR(__xludf.DUMMYFUNCTION("""COMPUTED_VALUE"""),"1")</f>
        <v/>
      </c>
      <c r="I683" s="334">
        <f>IFERROR(__xludf.DUMMYFUNCTION("""COMPUTED_VALUE"""),"event_mar_charaget01_0001")</f>
        <v/>
      </c>
      <c r="J683" s="334" t="n"/>
      <c r="K683" s="334" t="n"/>
      <c r="L683" s="334" t="n"/>
      <c r="M683" s="334" t="n"/>
      <c r="N683" s="339" t="n"/>
      <c r="O683" s="368" t="n"/>
      <c r="P683" s="334" t="n"/>
    </row>
    <row r="684">
      <c r="A684" s="334">
        <f>IFERROR(__xludf.DUMMYFUNCTION("""COMPUTED_VALUE"""),"mar")</f>
        <v/>
      </c>
      <c r="B684" s="334">
        <f>IFERROR(__xludf.DUMMYFUNCTION("""COMPUTED_VALUE"""),"マリッジトキシン")</f>
        <v/>
      </c>
      <c r="C684" s="334">
        <f>IFERROR(__xludf.DUMMYFUNCTION("""COMPUTED_VALUE"""),"charaget01")</f>
        <v/>
      </c>
      <c r="D684" s="334">
        <f>IFERROR(__xludf.DUMMYFUNCTION("""COMPUTED_VALUE"""),"event")</f>
        <v/>
      </c>
      <c r="E684" s="408">
        <f>IFERROR(__xludf.DUMMYFUNCTION("""COMPUTED_VALUE"""),"ストーリー")</f>
        <v/>
      </c>
      <c r="F684" s="408">
        <f>IFERROR(__xludf.DUMMYFUNCTION("""COMPUTED_VALUE"""),"quest_event_mar_charaget01")</f>
        <v/>
      </c>
      <c r="G684" s="334">
        <f>IFERROR(__xludf.DUMMYFUNCTION("""COMPUTED_VALUE"""),"初めての相手")</f>
        <v/>
      </c>
      <c r="H684" s="408">
        <f>IFERROR(__xludf.DUMMYFUNCTION("""COMPUTED_VALUE"""),"2")</f>
        <v/>
      </c>
      <c r="I684" s="334">
        <f>IFERROR(__xludf.DUMMYFUNCTION("""COMPUTED_VALUE"""),"event_mar_charaget01_0002")</f>
        <v/>
      </c>
      <c r="J684" s="334" t="n"/>
      <c r="K684" s="334" t="n"/>
      <c r="L684" s="334" t="n"/>
      <c r="M684" s="334" t="n"/>
      <c r="N684" s="339" t="n"/>
      <c r="O684" s="368" t="n"/>
      <c r="P684" s="334" t="n"/>
    </row>
    <row r="685">
      <c r="A685" s="334">
        <f>IFERROR(__xludf.DUMMYFUNCTION("""COMPUTED_VALUE"""),"mar")</f>
        <v/>
      </c>
      <c r="B685" s="334">
        <f>IFERROR(__xludf.DUMMYFUNCTION("""COMPUTED_VALUE"""),"マリッジトキシン")</f>
        <v/>
      </c>
      <c r="C685" s="334">
        <f>IFERROR(__xludf.DUMMYFUNCTION("""COMPUTED_VALUE"""),"charaget01")</f>
        <v/>
      </c>
      <c r="D685" s="334">
        <f>IFERROR(__xludf.DUMMYFUNCTION("""COMPUTED_VALUE"""),"event")</f>
        <v/>
      </c>
      <c r="E685" s="408">
        <f>IFERROR(__xludf.DUMMYFUNCTION("""COMPUTED_VALUE"""),"ストーリー")</f>
        <v/>
      </c>
      <c r="F685" s="408">
        <f>IFERROR(__xludf.DUMMYFUNCTION("""COMPUTED_VALUE"""),"quest_event_mar_charaget01")</f>
        <v/>
      </c>
      <c r="G685" s="334">
        <f>IFERROR(__xludf.DUMMYFUNCTION("""COMPUTED_VALUE"""),"初めての相手")</f>
        <v/>
      </c>
      <c r="H685" s="408">
        <f>IFERROR(__xludf.DUMMYFUNCTION("""COMPUTED_VALUE"""),"3")</f>
        <v/>
      </c>
      <c r="I685" s="334">
        <f>IFERROR(__xludf.DUMMYFUNCTION("""COMPUTED_VALUE"""),"event_mar_charaget01_0003")</f>
        <v/>
      </c>
      <c r="J685" s="334" t="n"/>
      <c r="K685" s="334" t="n"/>
      <c r="L685" s="334" t="n"/>
      <c r="M685" s="334" t="n"/>
      <c r="N685" s="339" t="n"/>
      <c r="O685" s="368" t="n"/>
      <c r="P685" s="334" t="n"/>
    </row>
    <row r="686">
      <c r="A686" s="334">
        <f>IFERROR(__xludf.DUMMYFUNCTION("""COMPUTED_VALUE"""),"mar")</f>
        <v/>
      </c>
      <c r="B686" s="334">
        <f>IFERROR(__xludf.DUMMYFUNCTION("""COMPUTED_VALUE"""),"マリッジトキシン")</f>
        <v/>
      </c>
      <c r="C686" s="334">
        <f>IFERROR(__xludf.DUMMYFUNCTION("""COMPUTED_VALUE"""),"charaget01")</f>
        <v/>
      </c>
      <c r="D686" s="334">
        <f>IFERROR(__xludf.DUMMYFUNCTION("""COMPUTED_VALUE"""),"event")</f>
        <v/>
      </c>
      <c r="E686" s="408">
        <f>IFERROR(__xludf.DUMMYFUNCTION("""COMPUTED_VALUE"""),"ストーリー")</f>
        <v/>
      </c>
      <c r="F686" s="408">
        <f>IFERROR(__xludf.DUMMYFUNCTION("""COMPUTED_VALUE"""),"quest_event_mar_charaget01")</f>
        <v/>
      </c>
      <c r="G686" s="334">
        <f>IFERROR(__xludf.DUMMYFUNCTION("""COMPUTED_VALUE"""),"初めての相手")</f>
        <v/>
      </c>
      <c r="H686" s="408">
        <f>IFERROR(__xludf.DUMMYFUNCTION("""COMPUTED_VALUE"""),"4")</f>
        <v/>
      </c>
      <c r="I686" s="334">
        <f>IFERROR(__xludf.DUMMYFUNCTION("""COMPUTED_VALUE"""),"event_mar_charaget01_0004")</f>
        <v/>
      </c>
      <c r="J686" s="334" t="n"/>
      <c r="K686" s="334" t="n"/>
      <c r="L686" s="334" t="n"/>
      <c r="M686" s="334" t="n"/>
      <c r="N686" s="339" t="n"/>
      <c r="O686" s="368" t="n"/>
      <c r="P686" s="334" t="n"/>
    </row>
    <row r="687">
      <c r="A687" s="334">
        <f>IFERROR(__xludf.DUMMYFUNCTION("""COMPUTED_VALUE"""),"mar")</f>
        <v/>
      </c>
      <c r="B687" s="334">
        <f>IFERROR(__xludf.DUMMYFUNCTION("""COMPUTED_VALUE"""),"マリッジトキシン")</f>
        <v/>
      </c>
      <c r="C687" s="334">
        <f>IFERROR(__xludf.DUMMYFUNCTION("""COMPUTED_VALUE"""),"charaget01")</f>
        <v/>
      </c>
      <c r="D687" s="334">
        <f>IFERROR(__xludf.DUMMYFUNCTION("""COMPUTED_VALUE"""),"event")</f>
        <v/>
      </c>
      <c r="E687" s="408">
        <f>IFERROR(__xludf.DUMMYFUNCTION("""COMPUTED_VALUE"""),"ストーリー")</f>
        <v/>
      </c>
      <c r="F687" s="408">
        <f>IFERROR(__xludf.DUMMYFUNCTION("""COMPUTED_VALUE"""),"quest_event_mar_charaget01")</f>
        <v/>
      </c>
      <c r="G687" s="334">
        <f>IFERROR(__xludf.DUMMYFUNCTION("""COMPUTED_VALUE"""),"初めての相手")</f>
        <v/>
      </c>
      <c r="H687" s="408">
        <f>IFERROR(__xludf.DUMMYFUNCTION("""COMPUTED_VALUE"""),"5")</f>
        <v/>
      </c>
      <c r="I687" s="334">
        <f>IFERROR(__xludf.DUMMYFUNCTION("""COMPUTED_VALUE"""),"event_mar_charaget01_0005")</f>
        <v/>
      </c>
      <c r="J687" s="334" t="n"/>
      <c r="K687" s="334" t="n"/>
      <c r="L687" s="334" t="n"/>
      <c r="M687" s="334" t="n"/>
      <c r="N687" s="339" t="n"/>
      <c r="O687" s="368" t="n"/>
      <c r="P687" s="334" t="n"/>
    </row>
    <row r="688">
      <c r="A688" s="334">
        <f>IFERROR(__xludf.DUMMYFUNCTION("""COMPUTED_VALUE"""),"mar")</f>
        <v/>
      </c>
      <c r="B688" s="334">
        <f>IFERROR(__xludf.DUMMYFUNCTION("""COMPUTED_VALUE"""),"マリッジトキシン")</f>
        <v/>
      </c>
      <c r="C688" s="334">
        <f>IFERROR(__xludf.DUMMYFUNCTION("""COMPUTED_VALUE"""),"charaget01")</f>
        <v/>
      </c>
      <c r="D688" s="334">
        <f>IFERROR(__xludf.DUMMYFUNCTION("""COMPUTED_VALUE"""),"event")</f>
        <v/>
      </c>
      <c r="E688" s="408">
        <f>IFERROR(__xludf.DUMMYFUNCTION("""COMPUTED_VALUE"""),"ストーリー")</f>
        <v/>
      </c>
      <c r="F688" s="408">
        <f>IFERROR(__xludf.DUMMYFUNCTION("""COMPUTED_VALUE"""),"quest_event_mar_charaget01")</f>
        <v/>
      </c>
      <c r="G688" s="334">
        <f>IFERROR(__xludf.DUMMYFUNCTION("""COMPUTED_VALUE"""),"初めての相手")</f>
        <v/>
      </c>
      <c r="H688" s="408">
        <f>IFERROR(__xludf.DUMMYFUNCTION("""COMPUTED_VALUE"""),"6")</f>
        <v/>
      </c>
      <c r="I688" s="334">
        <f>IFERROR(__xludf.DUMMYFUNCTION("""COMPUTED_VALUE"""),"event_mar_charaget01_0006")</f>
        <v/>
      </c>
      <c r="J688" s="334" t="n"/>
      <c r="K688" s="334" t="n"/>
      <c r="L688" s="334" t="n"/>
      <c r="M688" s="334" t="n"/>
      <c r="N688" s="339" t="n"/>
      <c r="O688" s="368" t="n"/>
      <c r="P688" s="334" t="n"/>
    </row>
    <row r="689">
      <c r="A689" s="334">
        <f>IFERROR(__xludf.DUMMYFUNCTION("""COMPUTED_VALUE"""),"mar")</f>
        <v/>
      </c>
      <c r="B689" s="334">
        <f>IFERROR(__xludf.DUMMYFUNCTION("""COMPUTED_VALUE"""),"マリッジトキシン")</f>
        <v/>
      </c>
      <c r="C689" s="334">
        <f>IFERROR(__xludf.DUMMYFUNCTION("""COMPUTED_VALUE"""),"charaget01")</f>
        <v/>
      </c>
      <c r="D689" s="334">
        <f>IFERROR(__xludf.DUMMYFUNCTION("""COMPUTED_VALUE"""),"event")</f>
        <v/>
      </c>
      <c r="E689" s="408">
        <f>IFERROR(__xludf.DUMMYFUNCTION("""COMPUTED_VALUE"""),"ストーリー")</f>
        <v/>
      </c>
      <c r="F689" s="408">
        <f>IFERROR(__xludf.DUMMYFUNCTION("""COMPUTED_VALUE"""),"quest_event_mar_charaget01")</f>
        <v/>
      </c>
      <c r="G689" s="334">
        <f>IFERROR(__xludf.DUMMYFUNCTION("""COMPUTED_VALUE"""),"運命にド感謝")</f>
        <v/>
      </c>
      <c r="H689" s="408">
        <f>IFERROR(__xludf.DUMMYFUNCTION("""COMPUTED_VALUE"""),"1")</f>
        <v/>
      </c>
      <c r="I689" s="334">
        <f>IFERROR(__xludf.DUMMYFUNCTION("""COMPUTED_VALUE"""),"event_mar_charaget01_0001")</f>
        <v/>
      </c>
      <c r="J689" s="334" t="n"/>
      <c r="K689" s="334" t="n"/>
      <c r="L689" s="334" t="n"/>
      <c r="M689" s="334" t="n"/>
      <c r="N689" s="339" t="n"/>
      <c r="O689" s="368" t="n"/>
      <c r="P689" s="334" t="n"/>
    </row>
    <row r="690">
      <c r="A690" s="334">
        <f>IFERROR(__xludf.DUMMYFUNCTION("""COMPUTED_VALUE"""),"mar")</f>
        <v/>
      </c>
      <c r="B690" s="334">
        <f>IFERROR(__xludf.DUMMYFUNCTION("""COMPUTED_VALUE"""),"マリッジトキシン")</f>
        <v/>
      </c>
      <c r="C690" s="334">
        <f>IFERROR(__xludf.DUMMYFUNCTION("""COMPUTED_VALUE"""),"charaget02")</f>
        <v/>
      </c>
      <c r="D690" s="334">
        <f>IFERROR(__xludf.DUMMYFUNCTION("""COMPUTED_VALUE"""),"event")</f>
        <v/>
      </c>
      <c r="E690" s="408">
        <f>IFERROR(__xludf.DUMMYFUNCTION("""COMPUTED_VALUE"""),"ストーリー")</f>
        <v/>
      </c>
      <c r="F690" s="408">
        <f>IFERROR(__xludf.DUMMYFUNCTION("""COMPUTED_VALUE"""),"quest_event_mar_charaget02")</f>
        <v/>
      </c>
      <c r="G690" s="334">
        <f>IFERROR(__xludf.DUMMYFUNCTION("""COMPUTED_VALUE"""),"運命にド感謝")</f>
        <v/>
      </c>
      <c r="H690" s="408">
        <f>IFERROR(__xludf.DUMMYFUNCTION("""COMPUTED_VALUE"""),"2")</f>
        <v/>
      </c>
      <c r="I690" s="334">
        <f>IFERROR(__xludf.DUMMYFUNCTION("""COMPUTED_VALUE"""),"event_mar_charaget02_0002")</f>
        <v/>
      </c>
      <c r="J690" s="334" t="n"/>
      <c r="K690" s="334" t="n"/>
      <c r="L690" s="334" t="n"/>
      <c r="M690" s="334" t="n"/>
      <c r="N690" s="339" t="n"/>
      <c r="O690" s="368" t="n"/>
      <c r="P690" s="334" t="n"/>
    </row>
    <row r="691">
      <c r="A691" s="334">
        <f>IFERROR(__xludf.DUMMYFUNCTION("""COMPUTED_VALUE"""),"mar")</f>
        <v/>
      </c>
      <c r="B691" s="334">
        <f>IFERROR(__xludf.DUMMYFUNCTION("""COMPUTED_VALUE"""),"マリッジトキシン")</f>
        <v/>
      </c>
      <c r="C691" s="334">
        <f>IFERROR(__xludf.DUMMYFUNCTION("""COMPUTED_VALUE"""),"charaget02")</f>
        <v/>
      </c>
      <c r="D691" s="334">
        <f>IFERROR(__xludf.DUMMYFUNCTION("""COMPUTED_VALUE"""),"event")</f>
        <v/>
      </c>
      <c r="E691" s="408">
        <f>IFERROR(__xludf.DUMMYFUNCTION("""COMPUTED_VALUE"""),"ストーリー")</f>
        <v/>
      </c>
      <c r="F691" s="408">
        <f>IFERROR(__xludf.DUMMYFUNCTION("""COMPUTED_VALUE"""),"quest_event_mar_charaget02")</f>
        <v/>
      </c>
      <c r="G691" s="334">
        <f>IFERROR(__xludf.DUMMYFUNCTION("""COMPUTED_VALUE"""),"運命にド感謝")</f>
        <v/>
      </c>
      <c r="H691" s="408">
        <f>IFERROR(__xludf.DUMMYFUNCTION("""COMPUTED_VALUE"""),"3")</f>
        <v/>
      </c>
      <c r="I691" s="334">
        <f>IFERROR(__xludf.DUMMYFUNCTION("""COMPUTED_VALUE"""),"event_mar_charaget02_0003")</f>
        <v/>
      </c>
      <c r="J691" s="334" t="n"/>
      <c r="K691" s="334" t="n"/>
      <c r="L691" s="334" t="n"/>
      <c r="M691" s="334" t="n"/>
      <c r="N691" s="339" t="n"/>
      <c r="O691" s="368" t="n"/>
      <c r="P691" s="334" t="n"/>
    </row>
    <row r="692">
      <c r="A692" s="334">
        <f>IFERROR(__xludf.DUMMYFUNCTION("""COMPUTED_VALUE"""),"mar")</f>
        <v/>
      </c>
      <c r="B692" s="334">
        <f>IFERROR(__xludf.DUMMYFUNCTION("""COMPUTED_VALUE"""),"マリッジトキシン")</f>
        <v/>
      </c>
      <c r="C692" s="334">
        <f>IFERROR(__xludf.DUMMYFUNCTION("""COMPUTED_VALUE"""),"charaget02")</f>
        <v/>
      </c>
      <c r="D692" s="334">
        <f>IFERROR(__xludf.DUMMYFUNCTION("""COMPUTED_VALUE"""),"event")</f>
        <v/>
      </c>
      <c r="E692" s="408">
        <f>IFERROR(__xludf.DUMMYFUNCTION("""COMPUTED_VALUE"""),"ストーリー")</f>
        <v/>
      </c>
      <c r="F692" s="408">
        <f>IFERROR(__xludf.DUMMYFUNCTION("""COMPUTED_VALUE"""),"quest_event_mar_charaget02")</f>
        <v/>
      </c>
      <c r="G692" s="334">
        <f>IFERROR(__xludf.DUMMYFUNCTION("""COMPUTED_VALUE"""),"運命にド感謝")</f>
        <v/>
      </c>
      <c r="H692" s="408">
        <f>IFERROR(__xludf.DUMMYFUNCTION("""COMPUTED_VALUE"""),"4")</f>
        <v/>
      </c>
      <c r="I692" s="334">
        <f>IFERROR(__xludf.DUMMYFUNCTION("""COMPUTED_VALUE"""),"event_mar_charaget02_0004")</f>
        <v/>
      </c>
      <c r="J692" s="334" t="n"/>
      <c r="K692" s="334" t="n"/>
      <c r="L692" s="334" t="n"/>
      <c r="M692" s="334" t="n"/>
      <c r="N692" s="339" t="n"/>
      <c r="O692" s="368" t="n"/>
      <c r="P692" s="334" t="n"/>
    </row>
    <row r="693">
      <c r="A693" s="334">
        <f>IFERROR(__xludf.DUMMYFUNCTION("""COMPUTED_VALUE"""),"mar")</f>
        <v/>
      </c>
      <c r="B693" s="334">
        <f>IFERROR(__xludf.DUMMYFUNCTION("""COMPUTED_VALUE"""),"マリッジトキシン")</f>
        <v/>
      </c>
      <c r="C693" s="334">
        <f>IFERROR(__xludf.DUMMYFUNCTION("""COMPUTED_VALUE"""),"charaget02")</f>
        <v/>
      </c>
      <c r="D693" s="334">
        <f>IFERROR(__xludf.DUMMYFUNCTION("""COMPUTED_VALUE"""),"event")</f>
        <v/>
      </c>
      <c r="E693" s="408">
        <f>IFERROR(__xludf.DUMMYFUNCTION("""COMPUTED_VALUE"""),"ストーリー")</f>
        <v/>
      </c>
      <c r="F693" s="408">
        <f>IFERROR(__xludf.DUMMYFUNCTION("""COMPUTED_VALUE"""),"quest_event_mar_charaget02")</f>
        <v/>
      </c>
      <c r="G693" s="334">
        <f>IFERROR(__xludf.DUMMYFUNCTION("""COMPUTED_VALUE"""),"運命にド感謝")</f>
        <v/>
      </c>
      <c r="H693" s="408">
        <f>IFERROR(__xludf.DUMMYFUNCTION("""COMPUTED_VALUE"""),"5")</f>
        <v/>
      </c>
      <c r="I693" s="334">
        <f>IFERROR(__xludf.DUMMYFUNCTION("""COMPUTED_VALUE"""),"event_mar_charaget02_0005")</f>
        <v/>
      </c>
      <c r="J693" s="334" t="n"/>
      <c r="K693" s="334" t="n"/>
      <c r="L693" s="334" t="n"/>
      <c r="M693" s="334" t="n"/>
      <c r="N693" s="339" t="n"/>
      <c r="O693" s="368" t="n"/>
      <c r="P693" s="334" t="n"/>
    </row>
    <row r="694">
      <c r="A694" s="334">
        <f>IFERROR(__xludf.DUMMYFUNCTION("""COMPUTED_VALUE"""),"mar")</f>
        <v/>
      </c>
      <c r="B694" s="334">
        <f>IFERROR(__xludf.DUMMYFUNCTION("""COMPUTED_VALUE"""),"マリッジトキシン")</f>
        <v/>
      </c>
      <c r="C694" s="334">
        <f>IFERROR(__xludf.DUMMYFUNCTION("""COMPUTED_VALUE"""),"charaget02")</f>
        <v/>
      </c>
      <c r="D694" s="334">
        <f>IFERROR(__xludf.DUMMYFUNCTION("""COMPUTED_VALUE"""),"event")</f>
        <v/>
      </c>
      <c r="E694" s="408">
        <f>IFERROR(__xludf.DUMMYFUNCTION("""COMPUTED_VALUE"""),"ストーリー")</f>
        <v/>
      </c>
      <c r="F694" s="408">
        <f>IFERROR(__xludf.DUMMYFUNCTION("""COMPUTED_VALUE"""),"quest_event_mar_charaget02")</f>
        <v/>
      </c>
      <c r="G694" s="334">
        <f>IFERROR(__xludf.DUMMYFUNCTION("""COMPUTED_VALUE"""),"運命にド感謝")</f>
        <v/>
      </c>
      <c r="H694" s="408">
        <f>IFERROR(__xludf.DUMMYFUNCTION("""COMPUTED_VALUE"""),"6")</f>
        <v/>
      </c>
      <c r="I694" s="334">
        <f>IFERROR(__xludf.DUMMYFUNCTION("""COMPUTED_VALUE"""),"event_mar_charaget02_0006")</f>
        <v/>
      </c>
      <c r="J694" s="334" t="n"/>
      <c r="K694" s="334" t="n"/>
      <c r="L694" s="334" t="n"/>
      <c r="M694" s="334" t="n"/>
      <c r="N694" s="339" t="n"/>
      <c r="O694" s="368" t="n"/>
      <c r="P694" s="334" t="n"/>
    </row>
    <row r="695">
      <c r="A695" s="334">
        <f>IFERROR(__xludf.DUMMYFUNCTION("""COMPUTED_VALUE"""),"mar")</f>
        <v/>
      </c>
      <c r="B695" s="334">
        <f>IFERROR(__xludf.DUMMYFUNCTION("""COMPUTED_VALUE"""),"マリッジトキシン")</f>
        <v/>
      </c>
      <c r="C695" s="334">
        <f>IFERROR(__xludf.DUMMYFUNCTION("""COMPUTED_VALUE"""),"charaget01")</f>
        <v/>
      </c>
      <c r="D695" s="334">
        <f>IFERROR(__xludf.DUMMYFUNCTION("""COMPUTED_VALUE"""),"event")</f>
        <v/>
      </c>
      <c r="E695" s="408">
        <f>IFERROR(__xludf.DUMMYFUNCTION("""COMPUTED_VALUE"""),"チャレンジ")</f>
        <v/>
      </c>
      <c r="F695" s="408">
        <f>IFERROR(__xludf.DUMMYFUNCTION("""COMPUTED_VALUE"""),"quest_event_mar_charaget01")</f>
        <v/>
      </c>
      <c r="G695" s="334">
        <f>IFERROR(__xludf.DUMMYFUNCTION("""COMPUTED_VALUE"""),"友達になってくれ")</f>
        <v/>
      </c>
      <c r="H695" s="408">
        <f>IFERROR(__xludf.DUMMYFUNCTION("""COMPUTED_VALUE"""),"1")</f>
        <v/>
      </c>
      <c r="I695" s="334">
        <f>IFERROR(__xludf.DUMMYFUNCTION("""COMPUTED_VALUE"""),"event_mar_charaget01_0001")</f>
        <v/>
      </c>
      <c r="J695" s="334" t="n"/>
      <c r="K695" s="334" t="n"/>
      <c r="L695" s="334" t="n"/>
      <c r="M695" s="334" t="n"/>
      <c r="N695" s="339" t="n"/>
      <c r="O695" s="368" t="n"/>
      <c r="P695" s="334" t="n"/>
    </row>
    <row r="696">
      <c r="A696" s="334">
        <f>IFERROR(__xludf.DUMMYFUNCTION("""COMPUTED_VALUE"""),"mar")</f>
        <v/>
      </c>
      <c r="B696" s="334">
        <f>IFERROR(__xludf.DUMMYFUNCTION("""COMPUTED_VALUE"""),"マリッジトキシン")</f>
        <v/>
      </c>
      <c r="C696" s="334">
        <f>IFERROR(__xludf.DUMMYFUNCTION("""COMPUTED_VALUE"""),"charaget01")</f>
        <v/>
      </c>
      <c r="D696" s="334">
        <f>IFERROR(__xludf.DUMMYFUNCTION("""COMPUTED_VALUE"""),"event")</f>
        <v/>
      </c>
      <c r="E696" s="408">
        <f>IFERROR(__xludf.DUMMYFUNCTION("""COMPUTED_VALUE"""),"チャレンジ")</f>
        <v/>
      </c>
      <c r="F696" s="408">
        <f>IFERROR(__xludf.DUMMYFUNCTION("""COMPUTED_VALUE"""),"quest_event_mar_charaget01")</f>
        <v/>
      </c>
      <c r="G696" s="334">
        <f>IFERROR(__xludf.DUMMYFUNCTION("""COMPUTED_VALUE"""),"友達になってくれ")</f>
        <v/>
      </c>
      <c r="H696" s="408">
        <f>IFERROR(__xludf.DUMMYFUNCTION("""COMPUTED_VALUE"""),"2")</f>
        <v/>
      </c>
      <c r="I696" s="334">
        <f>IFERROR(__xludf.DUMMYFUNCTION("""COMPUTED_VALUE"""),"event_mar_charaget01_0002")</f>
        <v/>
      </c>
      <c r="J696" s="334" t="n"/>
      <c r="K696" s="334" t="n"/>
      <c r="L696" s="334" t="n"/>
      <c r="M696" s="334" t="n"/>
      <c r="N696" s="339" t="n"/>
      <c r="O696" s="368" t="n"/>
      <c r="P696" s="334" t="n"/>
    </row>
    <row r="697">
      <c r="A697" s="334">
        <f>IFERROR(__xludf.DUMMYFUNCTION("""COMPUTED_VALUE"""),"mar")</f>
        <v/>
      </c>
      <c r="B697" s="334">
        <f>IFERROR(__xludf.DUMMYFUNCTION("""COMPUTED_VALUE"""),"マリッジトキシン")</f>
        <v/>
      </c>
      <c r="C697" s="334">
        <f>IFERROR(__xludf.DUMMYFUNCTION("""COMPUTED_VALUE"""),"charaget01")</f>
        <v/>
      </c>
      <c r="D697" s="334">
        <f>IFERROR(__xludf.DUMMYFUNCTION("""COMPUTED_VALUE"""),"event")</f>
        <v/>
      </c>
      <c r="E697" s="408">
        <f>IFERROR(__xludf.DUMMYFUNCTION("""COMPUTED_VALUE"""),"チャレンジ")</f>
        <v/>
      </c>
      <c r="F697" s="408">
        <f>IFERROR(__xludf.DUMMYFUNCTION("""COMPUTED_VALUE"""),"quest_event_mar_charaget01")</f>
        <v/>
      </c>
      <c r="G697" s="334">
        <f>IFERROR(__xludf.DUMMYFUNCTION("""COMPUTED_VALUE"""),"友達になってくれ")</f>
        <v/>
      </c>
      <c r="H697" s="408">
        <f>IFERROR(__xludf.DUMMYFUNCTION("""COMPUTED_VALUE"""),"3")</f>
        <v/>
      </c>
      <c r="I697" s="334">
        <f>IFERROR(__xludf.DUMMYFUNCTION("""COMPUTED_VALUE"""),"event_mar_charaget01_0003")</f>
        <v/>
      </c>
      <c r="J697" s="334" t="n"/>
      <c r="K697" s="334" t="n"/>
      <c r="L697" s="334" t="n"/>
      <c r="M697" s="334" t="n"/>
      <c r="N697" s="339" t="n"/>
      <c r="O697" s="368" t="n"/>
      <c r="P697" s="334" t="n"/>
    </row>
    <row r="698">
      <c r="A698" s="334">
        <f>IFERROR(__xludf.DUMMYFUNCTION("""COMPUTED_VALUE"""),"mar")</f>
        <v/>
      </c>
      <c r="B698" s="334">
        <f>IFERROR(__xludf.DUMMYFUNCTION("""COMPUTED_VALUE"""),"マリッジトキシン")</f>
        <v/>
      </c>
      <c r="C698" s="334">
        <f>IFERROR(__xludf.DUMMYFUNCTION("""COMPUTED_VALUE"""),"charaget01")</f>
        <v/>
      </c>
      <c r="D698" s="334">
        <f>IFERROR(__xludf.DUMMYFUNCTION("""COMPUTED_VALUE"""),"event")</f>
        <v/>
      </c>
      <c r="E698" s="408">
        <f>IFERROR(__xludf.DUMMYFUNCTION("""COMPUTED_VALUE"""),"チャレンジ")</f>
        <v/>
      </c>
      <c r="F698" s="408">
        <f>IFERROR(__xludf.DUMMYFUNCTION("""COMPUTED_VALUE"""),"quest_event_mar_charaget01")</f>
        <v/>
      </c>
      <c r="G698" s="334">
        <f>IFERROR(__xludf.DUMMYFUNCTION("""COMPUTED_VALUE"""),"友達になってくれ")</f>
        <v/>
      </c>
      <c r="H698" s="408">
        <f>IFERROR(__xludf.DUMMYFUNCTION("""COMPUTED_VALUE"""),"4")</f>
        <v/>
      </c>
      <c r="I698" s="334">
        <f>IFERROR(__xludf.DUMMYFUNCTION("""COMPUTED_VALUE"""),"event_mar_charaget01_0004")</f>
        <v/>
      </c>
      <c r="J698" s="334" t="n"/>
      <c r="K698" s="334" t="n"/>
      <c r="L698" s="334" t="n"/>
      <c r="M698" s="334" t="n"/>
      <c r="N698" s="339" t="n"/>
      <c r="O698" s="368" t="n"/>
      <c r="P698" s="334" t="n"/>
    </row>
    <row r="699">
      <c r="A699" s="334">
        <f>IFERROR(__xludf.DUMMYFUNCTION("""COMPUTED_VALUE"""),"mar")</f>
        <v/>
      </c>
      <c r="B699" s="334">
        <f>IFERROR(__xludf.DUMMYFUNCTION("""COMPUTED_VALUE"""),"マリッジトキシン")</f>
        <v/>
      </c>
      <c r="C699" s="334">
        <f>IFERROR(__xludf.DUMMYFUNCTION("""COMPUTED_VALUE"""),"savage")</f>
        <v/>
      </c>
      <c r="D699" s="334">
        <f>IFERROR(__xludf.DUMMYFUNCTION("""COMPUTED_VALUE"""),"event")</f>
        <v/>
      </c>
      <c r="E699" s="408">
        <f>IFERROR(__xludf.DUMMYFUNCTION("""COMPUTED_VALUE"""),"高難易度")</f>
        <v/>
      </c>
      <c r="F699" s="408">
        <f>IFERROR(__xludf.DUMMYFUNCTION("""COMPUTED_VALUE"""),"quest_event_mar_savage")</f>
        <v/>
      </c>
      <c r="G699" s="334">
        <f>IFERROR(__xludf.DUMMYFUNCTION("""COMPUTED_VALUE"""),"毒使いの婚活")</f>
        <v/>
      </c>
      <c r="H699" s="408">
        <f>IFERROR(__xludf.DUMMYFUNCTION("""COMPUTED_VALUE"""),"1")</f>
        <v/>
      </c>
      <c r="I699" s="334">
        <f>IFERROR(__xludf.DUMMYFUNCTION("""COMPUTED_VALUE"""),"event_mar_savage_0001")</f>
        <v/>
      </c>
      <c r="J699" s="334" t="n"/>
      <c r="K699" s="334" t="n"/>
      <c r="L699" s="334" t="n"/>
      <c r="M699" s="334" t="n"/>
      <c r="N699" s="339" t="n"/>
      <c r="O699" s="368" t="n"/>
      <c r="P699" s="334" t="n"/>
    </row>
    <row r="700">
      <c r="A700" s="334">
        <f>IFERROR(__xludf.DUMMYFUNCTION("""COMPUTED_VALUE"""),"mar")</f>
        <v/>
      </c>
      <c r="B700" s="334">
        <f>IFERROR(__xludf.DUMMYFUNCTION("""COMPUTED_VALUE"""),"マリッジトキシン")</f>
        <v/>
      </c>
      <c r="C700" s="334">
        <f>IFERROR(__xludf.DUMMYFUNCTION("""COMPUTED_VALUE"""),"savage")</f>
        <v/>
      </c>
      <c r="D700" s="334">
        <f>IFERROR(__xludf.DUMMYFUNCTION("""COMPUTED_VALUE"""),"event")</f>
        <v/>
      </c>
      <c r="E700" s="408">
        <f>IFERROR(__xludf.DUMMYFUNCTION("""COMPUTED_VALUE"""),"高難易度")</f>
        <v/>
      </c>
      <c r="F700" s="408">
        <f>IFERROR(__xludf.DUMMYFUNCTION("""COMPUTED_VALUE"""),"quest_event_mar_savage")</f>
        <v/>
      </c>
      <c r="G700" s="334">
        <f>IFERROR(__xludf.DUMMYFUNCTION("""COMPUTED_VALUE"""),"毒使いの婚活")</f>
        <v/>
      </c>
      <c r="H700" s="408">
        <f>IFERROR(__xludf.DUMMYFUNCTION("""COMPUTED_VALUE"""),"2")</f>
        <v/>
      </c>
      <c r="I700" s="334">
        <f>IFERROR(__xludf.DUMMYFUNCTION("""COMPUTED_VALUE"""),"event_mar_savage_0002")</f>
        <v/>
      </c>
      <c r="J700" s="334" t="n"/>
      <c r="K700" s="334" t="n"/>
      <c r="L700" s="334" t="n"/>
      <c r="M700" s="334" t="n"/>
      <c r="N700" s="339" t="n"/>
      <c r="O700" s="368" t="n"/>
      <c r="P700" s="334" t="n"/>
    </row>
    <row r="701">
      <c r="A701" s="334">
        <f>IFERROR(__xludf.DUMMYFUNCTION("""COMPUTED_VALUE"""),"mar")</f>
        <v/>
      </c>
      <c r="B701" s="334">
        <f>IFERROR(__xludf.DUMMYFUNCTION("""COMPUTED_VALUE"""),"マリッジトキシン")</f>
        <v/>
      </c>
      <c r="C701" s="334">
        <f>IFERROR(__xludf.DUMMYFUNCTION("""COMPUTED_VALUE"""),"savage")</f>
        <v/>
      </c>
      <c r="D701" s="334">
        <f>IFERROR(__xludf.DUMMYFUNCTION("""COMPUTED_VALUE"""),"event")</f>
        <v/>
      </c>
      <c r="E701" s="408">
        <f>IFERROR(__xludf.DUMMYFUNCTION("""COMPUTED_VALUE"""),"高難易度")</f>
        <v/>
      </c>
      <c r="F701" s="408">
        <f>IFERROR(__xludf.DUMMYFUNCTION("""COMPUTED_VALUE"""),"quest_event_mar_savage")</f>
        <v/>
      </c>
      <c r="G701" s="334">
        <f>IFERROR(__xludf.DUMMYFUNCTION("""COMPUTED_VALUE"""),"毒使いの婚活")</f>
        <v/>
      </c>
      <c r="H701" s="408">
        <f>IFERROR(__xludf.DUMMYFUNCTION("""COMPUTED_VALUE"""),"3")</f>
        <v/>
      </c>
      <c r="I701" s="334">
        <f>IFERROR(__xludf.DUMMYFUNCTION("""COMPUTED_VALUE"""),"event_mar_savage_0003")</f>
        <v/>
      </c>
      <c r="J701" s="334" t="n"/>
      <c r="K701" s="334" t="n"/>
      <c r="L701" s="334" t="n"/>
      <c r="M701" s="334" t="n"/>
      <c r="N701" s="339" t="n"/>
      <c r="O701" s="368" t="n"/>
      <c r="P701" s="334" t="n"/>
    </row>
    <row r="702">
      <c r="A702" s="334" t="n"/>
      <c r="B702" s="334" t="n"/>
      <c r="C702" s="334" t="n"/>
      <c r="D702" s="334" t="n"/>
      <c r="E702" s="334" t="n"/>
      <c r="F702" s="334" t="n"/>
      <c r="G702" s="334" t="n"/>
      <c r="H702" s="334" t="n"/>
      <c r="I702" s="334" t="n"/>
      <c r="J702" s="334" t="n"/>
      <c r="K702" s="334" t="n"/>
      <c r="L702" s="334" t="n"/>
      <c r="M702" s="334" t="n"/>
      <c r="N702" s="339" t="n"/>
      <c r="O702" s="368" t="n"/>
      <c r="P702" s="334" t="n"/>
    </row>
    <row r="703">
      <c r="A703" s="334">
        <f>IFERROR(__xludf.DUMMYFUNCTION("""COMPUTED_VALUE"""),"gw1")</f>
        <v/>
      </c>
      <c r="B703" s="334">
        <f>IFERROR(__xludf.DUMMYFUNCTION("""COMPUTED_VALUE"""),"GWスペシャル 黄金祭")</f>
        <v/>
      </c>
      <c r="C703" s="334">
        <f>IFERROR(__xludf.DUMMYFUNCTION("""COMPUTED_VALUE"""),"charaget01")</f>
        <v/>
      </c>
      <c r="D703" s="334">
        <f>IFERROR(__xludf.DUMMYFUNCTION("""COMPUTED_VALUE"""),"event")</f>
        <v/>
      </c>
      <c r="E703" s="408">
        <f>IFERROR(__xludf.DUMMYFUNCTION("""COMPUTED_VALUE"""),"収集")</f>
        <v/>
      </c>
      <c r="F703" s="408">
        <f>IFERROR(__xludf.DUMMYFUNCTION("""COMPUTED_VALUE"""),"quest_event_gw1_charaget01")</f>
        <v/>
      </c>
      <c r="G703" s="334">
        <f>IFERROR(__xludf.DUMMYFUNCTION("""COMPUTED_VALUE"""),"GWスペシャル大集合")</f>
        <v/>
      </c>
      <c r="H703" s="408">
        <f>IFERROR(__xludf.DUMMYFUNCTION("""COMPUTED_VALUE"""),"1")</f>
        <v/>
      </c>
      <c r="I703" s="334">
        <f>IFERROR(__xludf.DUMMYFUNCTION("""COMPUTED_VALUE"""),"event_gw1_charaget01_0001")</f>
        <v/>
      </c>
      <c r="J703" s="334" t="n"/>
      <c r="K703" s="334" t="n"/>
      <c r="L703" s="334" t="n"/>
      <c r="M703" s="334" t="n"/>
      <c r="N703" s="339" t="n"/>
      <c r="O703" s="368" t="n"/>
      <c r="P703" s="334" t="n"/>
    </row>
    <row r="704">
      <c r="A704" s="334">
        <f>IFERROR(__xludf.DUMMYFUNCTION("""COMPUTED_VALUE"""),"gw1")</f>
        <v/>
      </c>
      <c r="B704" s="334">
        <f>IFERROR(__xludf.DUMMYFUNCTION("""COMPUTED_VALUE"""),"GWスペシャル 黄金祭")</f>
        <v/>
      </c>
      <c r="C704" s="334">
        <f>IFERROR(__xludf.DUMMYFUNCTION("""COMPUTED_VALUE"""),"charaget01")</f>
        <v/>
      </c>
      <c r="D704" s="334">
        <f>IFERROR(__xludf.DUMMYFUNCTION("""COMPUTED_VALUE"""),"event")</f>
        <v/>
      </c>
      <c r="E704" s="408">
        <f>IFERROR(__xludf.DUMMYFUNCTION("""COMPUTED_VALUE"""),"収集")</f>
        <v/>
      </c>
      <c r="F704" s="408">
        <f>IFERROR(__xludf.DUMMYFUNCTION("""COMPUTED_VALUE"""),"quest_event_gw1_charaget01")</f>
        <v/>
      </c>
      <c r="G704" s="334">
        <f>IFERROR(__xludf.DUMMYFUNCTION("""COMPUTED_VALUE"""),"GWスペシャル大集合")</f>
        <v/>
      </c>
      <c r="H704" s="408">
        <f>IFERROR(__xludf.DUMMYFUNCTION("""COMPUTED_VALUE"""),"2")</f>
        <v/>
      </c>
      <c r="I704" s="334">
        <f>IFERROR(__xludf.DUMMYFUNCTION("""COMPUTED_VALUE"""),"event_gw1_charaget01_0002")</f>
        <v/>
      </c>
      <c r="J704" s="334" t="n"/>
      <c r="K704" s="334" t="n"/>
      <c r="L704" s="334" t="n"/>
      <c r="M704" s="334" t="n"/>
      <c r="N704" s="339" t="n"/>
      <c r="O704" s="368" t="n"/>
      <c r="P704" s="334" t="n"/>
    </row>
    <row r="705">
      <c r="A705" s="334">
        <f>IFERROR(__xludf.DUMMYFUNCTION("""COMPUTED_VALUE"""),"gw1")</f>
        <v/>
      </c>
      <c r="B705" s="334">
        <f>IFERROR(__xludf.DUMMYFUNCTION("""COMPUTED_VALUE"""),"GWスペシャル 黄金祭")</f>
        <v/>
      </c>
      <c r="C705" s="334">
        <f>IFERROR(__xludf.DUMMYFUNCTION("""COMPUTED_VALUE"""),"charaget01")</f>
        <v/>
      </c>
      <c r="D705" s="334">
        <f>IFERROR(__xludf.DUMMYFUNCTION("""COMPUTED_VALUE"""),"event")</f>
        <v/>
      </c>
      <c r="E705" s="408">
        <f>IFERROR(__xludf.DUMMYFUNCTION("""COMPUTED_VALUE"""),"収集")</f>
        <v/>
      </c>
      <c r="F705" s="408">
        <f>IFERROR(__xludf.DUMMYFUNCTION("""COMPUTED_VALUE"""),"quest_event_gw1_charaget01")</f>
        <v/>
      </c>
      <c r="G705" s="334">
        <f>IFERROR(__xludf.DUMMYFUNCTION("""COMPUTED_VALUE"""),"GWスペシャル大集合")</f>
        <v/>
      </c>
      <c r="H705" s="408">
        <f>IFERROR(__xludf.DUMMYFUNCTION("""COMPUTED_VALUE"""),"3")</f>
        <v/>
      </c>
      <c r="I705" s="334">
        <f>IFERROR(__xludf.DUMMYFUNCTION("""COMPUTED_VALUE"""),"event_gw1_charaget01_0003")</f>
        <v/>
      </c>
      <c r="J705" s="334" t="n"/>
      <c r="K705" s="334" t="n"/>
      <c r="L705" s="334" t="n"/>
      <c r="M705" s="334" t="n"/>
      <c r="N705" s="339" t="n"/>
      <c r="O705" s="368" t="n"/>
      <c r="P705" s="334" t="n"/>
    </row>
    <row r="706">
      <c r="A706" s="334" t="n"/>
      <c r="B706" s="334" t="n"/>
      <c r="C706" s="334" t="n"/>
      <c r="D706" s="334" t="n"/>
      <c r="E706" s="334" t="n"/>
      <c r="F706" s="334" t="n"/>
      <c r="G706" s="334" t="n"/>
      <c r="H706" s="334" t="n"/>
      <c r="I706" s="334" t="n"/>
      <c r="J706" s="334" t="n"/>
      <c r="K706" s="334" t="n"/>
      <c r="L706" s="334" t="n"/>
      <c r="M706" s="334" t="n"/>
      <c r="N706" s="339" t="n"/>
      <c r="O706" s="368" t="n"/>
      <c r="P706" s="334" t="n"/>
    </row>
    <row r="707">
      <c r="A707" s="334" t="n"/>
      <c r="B707" s="334">
        <f>IFERROR(__xludf.DUMMYFUNCTION("""COMPUTED_VALUE"""),"error")</f>
        <v/>
      </c>
      <c r="C707" s="334" t="n"/>
      <c r="D707" s="334">
        <f>IFERROR(__xludf.DUMMYFUNCTION("""COMPUTED_VALUE"""),"event")</f>
        <v/>
      </c>
      <c r="E707" s="408">
        <f>IFERROR(__xludf.DUMMYFUNCTION("""COMPUTED_VALUE"""),"イベント")</f>
        <v/>
      </c>
      <c r="F707" s="408">
        <f>IFERROR(__xludf.DUMMYFUNCTION("""COMPUTED_VALUE"""),"quest_event__")</f>
        <v/>
      </c>
      <c r="G707" s="334" t="n"/>
      <c r="H707" s="334" t="n"/>
      <c r="I707" s="334">
        <f>IFERROR(__xludf.DUMMYFUNCTION("""COMPUTED_VALUE"""),"event___000")</f>
        <v/>
      </c>
      <c r="J707" s="334" t="n"/>
      <c r="K707" s="334" t="n"/>
      <c r="L707" s="334" t="n"/>
      <c r="M707" s="334" t="n"/>
      <c r="N707" s="339" t="n"/>
      <c r="O707" s="368" t="n"/>
      <c r="P707" s="334" t="n"/>
    </row>
    <row r="708">
      <c r="A708" s="334" t="n"/>
      <c r="B708" s="334">
        <f>IFERROR(__xludf.DUMMYFUNCTION("""COMPUTED_VALUE"""),"error")</f>
        <v/>
      </c>
      <c r="C708" s="334" t="n"/>
      <c r="D708" s="334">
        <f>IFERROR(__xludf.DUMMYFUNCTION("""COMPUTED_VALUE"""),"event")</f>
        <v/>
      </c>
      <c r="E708" s="408">
        <f>IFERROR(__xludf.DUMMYFUNCTION("""COMPUTED_VALUE"""),"イベント")</f>
        <v/>
      </c>
      <c r="F708" s="408">
        <f>IFERROR(__xludf.DUMMYFUNCTION("""COMPUTED_VALUE"""),"quest_event__")</f>
        <v/>
      </c>
      <c r="G708" s="334" t="n"/>
      <c r="H708" s="334" t="n"/>
      <c r="I708" s="334">
        <f>IFERROR(__xludf.DUMMYFUNCTION("""COMPUTED_VALUE"""),"event___000")</f>
        <v/>
      </c>
      <c r="J708" s="334" t="n"/>
      <c r="K708" s="334" t="n"/>
      <c r="L708" s="334" t="n"/>
      <c r="M708" s="334" t="n"/>
      <c r="N708" s="339" t="n"/>
      <c r="O708" s="368" t="n"/>
      <c r="P708" s="334" t="n"/>
    </row>
    <row r="709">
      <c r="A709" s="334" t="n"/>
      <c r="B709" s="334">
        <f>IFERROR(__xludf.DUMMYFUNCTION("""COMPUTED_VALUE"""),"error")</f>
        <v/>
      </c>
      <c r="C709" s="334" t="n"/>
      <c r="D709" s="334">
        <f>IFERROR(__xludf.DUMMYFUNCTION("""COMPUTED_VALUE"""),"event")</f>
        <v/>
      </c>
      <c r="E709" s="408">
        <f>IFERROR(__xludf.DUMMYFUNCTION("""COMPUTED_VALUE"""),"イベント")</f>
        <v/>
      </c>
      <c r="F709" s="408">
        <f>IFERROR(__xludf.DUMMYFUNCTION("""COMPUTED_VALUE"""),"quest_event__")</f>
        <v/>
      </c>
      <c r="G709" s="334" t="n"/>
      <c r="H709" s="334" t="n"/>
      <c r="I709" s="334">
        <f>IFERROR(__xludf.DUMMYFUNCTION("""COMPUTED_VALUE"""),"event___000")</f>
        <v/>
      </c>
      <c r="J709" s="334" t="n"/>
      <c r="K709" s="334" t="n"/>
      <c r="L709" s="334" t="n"/>
      <c r="M709" s="334" t="n"/>
      <c r="N709" s="339" t="n"/>
      <c r="O709" s="368" t="n"/>
      <c r="P709" s="334" t="n"/>
    </row>
    <row r="710">
      <c r="A710" s="334" t="n"/>
      <c r="B710" s="334">
        <f>IFERROR(__xludf.DUMMYFUNCTION("""COMPUTED_VALUE"""),"error")</f>
        <v/>
      </c>
      <c r="C710" s="334" t="n"/>
      <c r="D710" s="334">
        <f>IFERROR(__xludf.DUMMYFUNCTION("""COMPUTED_VALUE"""),"event")</f>
        <v/>
      </c>
      <c r="E710" s="408">
        <f>IFERROR(__xludf.DUMMYFUNCTION("""COMPUTED_VALUE"""),"イベント")</f>
        <v/>
      </c>
      <c r="F710" s="408">
        <f>IFERROR(__xludf.DUMMYFUNCTION("""COMPUTED_VALUE"""),"quest_event__")</f>
        <v/>
      </c>
      <c r="G710" s="334" t="n"/>
      <c r="H710" s="334" t="n"/>
      <c r="I710" s="334">
        <f>IFERROR(__xludf.DUMMYFUNCTION("""COMPUTED_VALUE"""),"event___000")</f>
        <v/>
      </c>
      <c r="J710" s="334" t="n"/>
      <c r="K710" s="334" t="n"/>
      <c r="L710" s="334" t="n"/>
      <c r="M710" s="334" t="n"/>
      <c r="N710" s="339" t="n"/>
      <c r="O710" s="368" t="n"/>
      <c r="P710" s="334" t="n"/>
    </row>
    <row r="711">
      <c r="A711" s="334" t="n"/>
      <c r="B711" s="334">
        <f>IFERROR(__xludf.DUMMYFUNCTION("""COMPUTED_VALUE"""),"error")</f>
        <v/>
      </c>
      <c r="C711" s="334" t="n"/>
      <c r="D711" s="334">
        <f>IFERROR(__xludf.DUMMYFUNCTION("""COMPUTED_VALUE"""),"event")</f>
        <v/>
      </c>
      <c r="E711" s="408">
        <f>IFERROR(__xludf.DUMMYFUNCTION("""COMPUTED_VALUE"""),"イベント")</f>
        <v/>
      </c>
      <c r="F711" s="408">
        <f>IFERROR(__xludf.DUMMYFUNCTION("""COMPUTED_VALUE"""),"quest_event__")</f>
        <v/>
      </c>
      <c r="G711" s="334" t="n"/>
      <c r="H711" s="334" t="n"/>
      <c r="I711" s="334">
        <f>IFERROR(__xludf.DUMMYFUNCTION("""COMPUTED_VALUE"""),"event___000")</f>
        <v/>
      </c>
      <c r="J711" s="334" t="n"/>
      <c r="K711" s="334" t="n"/>
      <c r="L711" s="334" t="n"/>
      <c r="M711" s="334" t="n"/>
      <c r="N711" s="339" t="n"/>
      <c r="O711" s="368" t="n"/>
      <c r="P711" s="334" t="n"/>
    </row>
    <row r="712">
      <c r="A712" s="334" t="n"/>
      <c r="B712" s="334">
        <f>IFERROR(__xludf.DUMMYFUNCTION("""COMPUTED_VALUE"""),"error")</f>
        <v/>
      </c>
      <c r="C712" s="334" t="n"/>
      <c r="D712" s="334">
        <f>IFERROR(__xludf.DUMMYFUNCTION("""COMPUTED_VALUE"""),"event")</f>
        <v/>
      </c>
      <c r="E712" s="408">
        <f>IFERROR(__xludf.DUMMYFUNCTION("""COMPUTED_VALUE"""),"イベント")</f>
        <v/>
      </c>
      <c r="F712" s="408">
        <f>IFERROR(__xludf.DUMMYFUNCTION("""COMPUTED_VALUE"""),"quest_event__")</f>
        <v/>
      </c>
      <c r="G712" s="334" t="n"/>
      <c r="H712" s="334" t="n"/>
      <c r="I712" s="334">
        <f>IFERROR(__xludf.DUMMYFUNCTION("""COMPUTED_VALUE"""),"event___000")</f>
        <v/>
      </c>
      <c r="J712" s="334" t="n"/>
      <c r="K712" s="334" t="n"/>
      <c r="L712" s="334" t="n"/>
      <c r="M712" s="334" t="n"/>
      <c r="N712" s="339" t="n"/>
      <c r="O712" s="368" t="n"/>
      <c r="P712" s="334" t="n"/>
    </row>
    <row r="713">
      <c r="A713" s="334" t="n"/>
      <c r="B713" s="334">
        <f>IFERROR(__xludf.DUMMYFUNCTION("""COMPUTED_VALUE"""),"error")</f>
        <v/>
      </c>
      <c r="C713" s="334" t="n"/>
      <c r="D713" s="334">
        <f>IFERROR(__xludf.DUMMYFUNCTION("""COMPUTED_VALUE"""),"event")</f>
        <v/>
      </c>
      <c r="E713" s="408">
        <f>IFERROR(__xludf.DUMMYFUNCTION("""COMPUTED_VALUE"""),"イベント")</f>
        <v/>
      </c>
      <c r="F713" s="408">
        <f>IFERROR(__xludf.DUMMYFUNCTION("""COMPUTED_VALUE"""),"quest_event__")</f>
        <v/>
      </c>
      <c r="G713" s="334" t="n"/>
      <c r="H713" s="334" t="n"/>
      <c r="I713" s="334">
        <f>IFERROR(__xludf.DUMMYFUNCTION("""COMPUTED_VALUE"""),"event___000")</f>
        <v/>
      </c>
      <c r="J713" s="334" t="n"/>
      <c r="K713" s="334" t="n"/>
      <c r="L713" s="334" t="n"/>
      <c r="M713" s="334" t="n"/>
      <c r="N713" s="339" t="n"/>
      <c r="O713" s="368" t="n"/>
      <c r="P713" s="334" t="n"/>
    </row>
    <row r="714">
      <c r="A714" s="334" t="n"/>
      <c r="B714" s="334">
        <f>IFERROR(__xludf.DUMMYFUNCTION("""COMPUTED_VALUE"""),"error")</f>
        <v/>
      </c>
      <c r="C714" s="334" t="n"/>
      <c r="D714" s="334">
        <f>IFERROR(__xludf.DUMMYFUNCTION("""COMPUTED_VALUE"""),"event")</f>
        <v/>
      </c>
      <c r="E714" s="408">
        <f>IFERROR(__xludf.DUMMYFUNCTION("""COMPUTED_VALUE"""),"イベント")</f>
        <v/>
      </c>
      <c r="F714" s="408">
        <f>IFERROR(__xludf.DUMMYFUNCTION("""COMPUTED_VALUE"""),"quest_event__")</f>
        <v/>
      </c>
      <c r="G714" s="334" t="n"/>
      <c r="H714" s="334" t="n"/>
      <c r="I714" s="334">
        <f>IFERROR(__xludf.DUMMYFUNCTION("""COMPUTED_VALUE"""),"event___000")</f>
        <v/>
      </c>
      <c r="J714" s="334" t="n"/>
      <c r="K714" s="334" t="n"/>
      <c r="L714" s="334" t="n"/>
      <c r="M714" s="334" t="n"/>
      <c r="N714" s="339" t="n"/>
      <c r="O714" s="368" t="n"/>
      <c r="P714" s="334" t="n"/>
    </row>
    <row r="715">
      <c r="A715" s="334" t="n"/>
      <c r="B715" s="334">
        <f>IFERROR(__xludf.DUMMYFUNCTION("""COMPUTED_VALUE"""),"error")</f>
        <v/>
      </c>
      <c r="C715" s="334" t="n"/>
      <c r="D715" s="334">
        <f>IFERROR(__xludf.DUMMYFUNCTION("""COMPUTED_VALUE"""),"event")</f>
        <v/>
      </c>
      <c r="E715" s="408">
        <f>IFERROR(__xludf.DUMMYFUNCTION("""COMPUTED_VALUE"""),"イベント")</f>
        <v/>
      </c>
      <c r="F715" s="408">
        <f>IFERROR(__xludf.DUMMYFUNCTION("""COMPUTED_VALUE"""),"quest_event__")</f>
        <v/>
      </c>
      <c r="G715" s="334" t="n"/>
      <c r="H715" s="334" t="n"/>
      <c r="I715" s="334">
        <f>IFERROR(__xludf.DUMMYFUNCTION("""COMPUTED_VALUE"""),"event___000")</f>
        <v/>
      </c>
      <c r="J715" s="334" t="n"/>
      <c r="K715" s="334" t="n"/>
      <c r="L715" s="334" t="n"/>
      <c r="M715" s="334" t="n"/>
      <c r="N715" s="339" t="n"/>
      <c r="O715" s="368" t="n"/>
      <c r="P715" s="334" t="n"/>
    </row>
    <row r="716">
      <c r="A716" s="334" t="n"/>
      <c r="B716" s="334">
        <f>IFERROR(__xludf.DUMMYFUNCTION("""COMPUTED_VALUE"""),"error")</f>
        <v/>
      </c>
      <c r="C716" s="334" t="n"/>
      <c r="D716" s="334">
        <f>IFERROR(__xludf.DUMMYFUNCTION("""COMPUTED_VALUE"""),"event")</f>
        <v/>
      </c>
      <c r="E716" s="408">
        <f>IFERROR(__xludf.DUMMYFUNCTION("""COMPUTED_VALUE"""),"イベント")</f>
        <v/>
      </c>
      <c r="F716" s="408">
        <f>IFERROR(__xludf.DUMMYFUNCTION("""COMPUTED_VALUE"""),"quest_event__")</f>
        <v/>
      </c>
      <c r="G716" s="334" t="n"/>
      <c r="H716" s="334" t="n"/>
      <c r="I716" s="334">
        <f>IFERROR(__xludf.DUMMYFUNCTION("""COMPUTED_VALUE"""),"event___000")</f>
        <v/>
      </c>
      <c r="J716" s="334" t="n"/>
      <c r="K716" s="334" t="n"/>
      <c r="L716" s="334" t="n"/>
      <c r="M716" s="334" t="n"/>
      <c r="N716" s="339" t="n"/>
      <c r="O716" s="368" t="n"/>
      <c r="P716" s="334" t="n"/>
    </row>
    <row r="717">
      <c r="A717" s="334" t="n"/>
      <c r="B717" s="334">
        <f>IFERROR(__xludf.DUMMYFUNCTION("""COMPUTED_VALUE"""),"error")</f>
        <v/>
      </c>
      <c r="C717" s="334" t="n"/>
      <c r="D717" s="334">
        <f>IFERROR(__xludf.DUMMYFUNCTION("""COMPUTED_VALUE"""),"event")</f>
        <v/>
      </c>
      <c r="E717" s="408">
        <f>IFERROR(__xludf.DUMMYFUNCTION("""COMPUTED_VALUE"""),"イベント")</f>
        <v/>
      </c>
      <c r="F717" s="408">
        <f>IFERROR(__xludf.DUMMYFUNCTION("""COMPUTED_VALUE"""),"quest_event__")</f>
        <v/>
      </c>
      <c r="G717" s="334" t="n"/>
      <c r="H717" s="334" t="n"/>
      <c r="I717" s="334">
        <f>IFERROR(__xludf.DUMMYFUNCTION("""COMPUTED_VALUE"""),"event___000")</f>
        <v/>
      </c>
      <c r="J717" s="334" t="n"/>
      <c r="K717" s="334" t="n"/>
      <c r="L717" s="334" t="n"/>
      <c r="M717" s="334" t="n"/>
      <c r="N717" s="339" t="n"/>
      <c r="O717" s="368" t="n"/>
      <c r="P717" s="334" t="n"/>
    </row>
    <row r="718">
      <c r="A718" s="334">
        <f>IFERROR(__xludf.DUMMYFUNCTION("""COMPUTED_VALUE"""),"▼降臨バトル")</f>
        <v/>
      </c>
      <c r="B718" s="334" t="n"/>
      <c r="C718" s="334" t="n"/>
      <c r="D718" s="334" t="n"/>
      <c r="E718" s="334" t="n"/>
      <c r="F718" s="334" t="n"/>
      <c r="G718" s="334" t="n"/>
      <c r="H718" s="334" t="n"/>
      <c r="I718" s="334" t="n"/>
      <c r="J718" s="334" t="n"/>
      <c r="K718" s="334" t="n"/>
      <c r="L718" s="334" t="n"/>
      <c r="M718" s="334" t="n"/>
      <c r="N718" s="339" t="n"/>
      <c r="O718" s="368" t="n"/>
      <c r="P718" s="334" t="n"/>
    </row>
    <row r="719">
      <c r="A719" s="334" t="n"/>
      <c r="B719" s="334" t="n"/>
      <c r="C719" s="334" t="n"/>
      <c r="D719" s="334" t="n"/>
      <c r="E719" s="334" t="n"/>
      <c r="F719" s="334" t="n"/>
      <c r="G719" s="334" t="n"/>
      <c r="H719" s="334" t="n"/>
      <c r="I719" s="334" t="n"/>
      <c r="J719" s="334" t="n"/>
      <c r="K719" s="334" t="n"/>
      <c r="L719" s="334" t="n"/>
      <c r="M719" s="334" t="n"/>
      <c r="N719" s="339" t="n"/>
      <c r="O719" s="368" t="n"/>
      <c r="P719" s="334" t="n"/>
    </row>
    <row r="720">
      <c r="A720" s="334">
        <f>IFERROR(__xludf.DUMMYFUNCTION("""COMPUTED_VALUE"""),"kai")</f>
        <v/>
      </c>
      <c r="B720" s="334">
        <f>IFERROR(__xludf.DUMMYFUNCTION("""COMPUTED_VALUE"""),"怪獣８号")</f>
        <v/>
      </c>
      <c r="C720" s="334">
        <f>IFERROR(__xludf.DUMMYFUNCTION("""COMPUTED_VALUE"""),"null")</f>
        <v/>
      </c>
      <c r="D720" s="334">
        <f>IFERROR(__xludf.DUMMYFUNCTION("""COMPUTED_VALUE"""),"raid")</f>
        <v/>
      </c>
      <c r="E720" s="408">
        <f>IFERROR(__xludf.DUMMYFUNCTION("""COMPUTED_VALUE"""),"降臨バトル")</f>
        <v/>
      </c>
      <c r="F720" s="408">
        <f>IFERROR(__xludf.DUMMYFUNCTION("""COMPUTED_VALUE"""),"quest_raid_kai_00002")</f>
        <v/>
      </c>
      <c r="G720" s="334">
        <f>IFERROR(__xludf.DUMMYFUNCTION("""COMPUTED_VALUE"""),"怪獣退治の時間")</f>
        <v/>
      </c>
      <c r="H720" s="408">
        <f>IFERROR(__xludf.DUMMYFUNCTION("""COMPUTED_VALUE"""),"00002")</f>
        <v/>
      </c>
      <c r="I720" s="334" t="n"/>
      <c r="J720" s="334" t="n"/>
      <c r="K720" s="334" t="n"/>
      <c r="L720" s="334" t="n"/>
      <c r="M720" s="334">
        <f>IFERROR(__xludf.DUMMYFUNCTION("""COMPUTED_VALUE"""),"不具合あったので「quest_raid_kai_00001」の再開催")</f>
        <v/>
      </c>
      <c r="N720" s="339" t="n"/>
      <c r="O720" s="368" t="n"/>
      <c r="P720" s="334" t="n"/>
    </row>
    <row r="721">
      <c r="A721" s="334">
        <f>IFERROR(__xludf.DUMMYFUNCTION("""COMPUTED_VALUE"""),"spy1")</f>
        <v/>
      </c>
      <c r="B721" s="334">
        <f>IFERROR(__xludf.DUMMYFUNCTION("""COMPUTED_VALUE"""),"SPY×FAMILY")</f>
        <v/>
      </c>
      <c r="C721" s="334">
        <f>IFERROR(__xludf.DUMMYFUNCTION("""COMPUTED_VALUE"""),"null")</f>
        <v/>
      </c>
      <c r="D721" s="334">
        <f>IFERROR(__xludf.DUMMYFUNCTION("""COMPUTED_VALUE"""),"raid")</f>
        <v/>
      </c>
      <c r="E721" s="408">
        <f>IFERROR(__xludf.DUMMYFUNCTION("""COMPUTED_VALUE"""),"降臨バトル")</f>
        <v/>
      </c>
      <c r="F721" s="408">
        <f>IFERROR(__xludf.DUMMYFUNCTION("""COMPUTED_VALUE"""),"quest_raid_spy1_00001")</f>
        <v/>
      </c>
      <c r="G721" s="334">
        <f>IFERROR(__xludf.DUMMYFUNCTION("""COMPUTED_VALUE"""),"SPY×FAMILY")</f>
        <v/>
      </c>
      <c r="H721" s="408">
        <f>IFERROR(__xludf.DUMMYFUNCTION("""COMPUTED_VALUE"""),"00001")</f>
        <v/>
      </c>
      <c r="I721" s="334" t="n"/>
      <c r="J721" s="334" t="n"/>
      <c r="K721" s="334" t="n"/>
      <c r="L721" s="334" t="n"/>
      <c r="M721" s="334" t="n"/>
      <c r="N721" s="339" t="n"/>
      <c r="O721" s="368" t="n"/>
      <c r="P721" s="334" t="n"/>
    </row>
    <row r="722">
      <c r="A722" s="334">
        <f>IFERROR(__xludf.DUMMYFUNCTION("""COMPUTED_VALUE"""),"dan1")</f>
        <v/>
      </c>
      <c r="B722" s="334">
        <f>IFERROR(__xludf.DUMMYFUNCTION("""COMPUTED_VALUE"""),"ダンダダン")</f>
        <v/>
      </c>
      <c r="C722" s="334">
        <f>IFERROR(__xludf.DUMMYFUNCTION("""COMPUTED_VALUE"""),"null")</f>
        <v/>
      </c>
      <c r="D722" s="334">
        <f>IFERROR(__xludf.DUMMYFUNCTION("""COMPUTED_VALUE"""),"raid")</f>
        <v/>
      </c>
      <c r="E722" s="408">
        <f>IFERROR(__xludf.DUMMYFUNCTION("""COMPUTED_VALUE"""),"降臨バトル")</f>
        <v/>
      </c>
      <c r="F722" s="408">
        <f>IFERROR(__xludf.DUMMYFUNCTION("""COMPUTED_VALUE"""),"quest_raid_dan1_00001")</f>
        <v/>
      </c>
      <c r="G722" s="334">
        <f>IFERROR(__xludf.DUMMYFUNCTION("""COMPUTED_VALUE"""),"ダンダダン")</f>
        <v/>
      </c>
      <c r="H722" s="408">
        <f>IFERROR(__xludf.DUMMYFUNCTION("""COMPUTED_VALUE"""),"00001")</f>
        <v/>
      </c>
      <c r="I722" s="334" t="n"/>
      <c r="J722" s="334" t="n"/>
      <c r="K722" s="334" t="n"/>
      <c r="L722" s="334" t="n"/>
      <c r="M722" s="334" t="n"/>
      <c r="N722" s="339" t="n"/>
      <c r="O722" s="368" t="n"/>
      <c r="P722" s="334" t="n"/>
    </row>
    <row r="723">
      <c r="A723" s="334">
        <f>IFERROR(__xludf.DUMMYFUNCTION("""COMPUTED_VALUE"""),"mag1")</f>
        <v/>
      </c>
      <c r="B723" s="334">
        <f>IFERROR(__xludf.DUMMYFUNCTION("""COMPUTED_VALUE"""),"株式会社マジルミエ")</f>
        <v/>
      </c>
      <c r="C723" s="334">
        <f>IFERROR(__xludf.DUMMYFUNCTION("""COMPUTED_VALUE"""),"null")</f>
        <v/>
      </c>
      <c r="D723" s="334">
        <f>IFERROR(__xludf.DUMMYFUNCTION("""COMPUTED_VALUE"""),"raid")</f>
        <v/>
      </c>
      <c r="E723" s="408">
        <f>IFERROR(__xludf.DUMMYFUNCTION("""COMPUTED_VALUE"""),"降臨バトル")</f>
        <v/>
      </c>
      <c r="F723" s="408">
        <f>IFERROR(__xludf.DUMMYFUNCTION("""COMPUTED_VALUE"""),"quest_raid_mag1_00001")</f>
        <v/>
      </c>
      <c r="G723" s="334">
        <f>IFERROR(__xludf.DUMMYFUNCTION("""COMPUTED_VALUE"""),"業務実行!!")</f>
        <v/>
      </c>
      <c r="H723" s="408">
        <f>IFERROR(__xludf.DUMMYFUNCTION("""COMPUTED_VALUE"""),"00001")</f>
        <v/>
      </c>
      <c r="I723" s="334" t="n"/>
      <c r="J723" s="334" t="n"/>
      <c r="K723" s="334" t="n"/>
      <c r="L723" s="334" t="n"/>
      <c r="M723" s="334" t="n"/>
      <c r="N723" s="339" t="n"/>
      <c r="O723" s="368" t="n"/>
      <c r="P723" s="334" t="n"/>
    </row>
    <row r="724">
      <c r="A724" s="334">
        <f>IFERROR(__xludf.DUMMYFUNCTION("""COMPUTED_VALUE"""),"yuw1")</f>
        <v/>
      </c>
      <c r="B724" s="334">
        <f>IFERROR(__xludf.DUMMYFUNCTION("""COMPUTED_VALUE"""),"2.5次元の誘惑")</f>
        <v/>
      </c>
      <c r="C724" s="334">
        <f>IFERROR(__xludf.DUMMYFUNCTION("""COMPUTED_VALUE"""),"null")</f>
        <v/>
      </c>
      <c r="D724" s="334">
        <f>IFERROR(__xludf.DUMMYFUNCTION("""COMPUTED_VALUE"""),"raid")</f>
        <v/>
      </c>
      <c r="E724" s="408">
        <f>IFERROR(__xludf.DUMMYFUNCTION("""COMPUTED_VALUE"""),"降臨バトル")</f>
        <v/>
      </c>
      <c r="F724" s="408">
        <f>IFERROR(__xludf.DUMMYFUNCTION("""COMPUTED_VALUE"""),"quest_raid_yuw1_00001")</f>
        <v/>
      </c>
      <c r="G724" s="334">
        <f>IFERROR(__xludf.DUMMYFUNCTION("""COMPUTED_VALUE"""),"夏コミの魔物")</f>
        <v/>
      </c>
      <c r="H724" s="408">
        <f>IFERROR(__xludf.DUMMYFUNCTION("""COMPUTED_VALUE"""),"00001")</f>
        <v/>
      </c>
      <c r="I724" s="334" t="n"/>
      <c r="J724" s="334" t="n"/>
      <c r="K724" s="334" t="n"/>
      <c r="L724" s="334" t="n"/>
      <c r="M724" s="334" t="n"/>
      <c r="N724" s="339" t="n"/>
      <c r="O724" s="368" t="n"/>
      <c r="P724" s="334" t="n"/>
    </row>
    <row r="725">
      <c r="A725" s="334">
        <f>IFERROR(__xludf.DUMMYFUNCTION("""COMPUTED_VALUE"""),"sur1")</f>
        <v/>
      </c>
      <c r="B725" s="334">
        <f>IFERROR(__xludf.DUMMYFUNCTION("""COMPUTED_VALUE"""),"魔都精兵のスレイブ")</f>
        <v/>
      </c>
      <c r="C725" s="334">
        <f>IFERROR(__xludf.DUMMYFUNCTION("""COMPUTED_VALUE"""),"null")</f>
        <v/>
      </c>
      <c r="D725" s="334">
        <f>IFERROR(__xludf.DUMMYFUNCTION("""COMPUTED_VALUE"""),"raid")</f>
        <v/>
      </c>
      <c r="E725" s="408">
        <f>IFERROR(__xludf.DUMMYFUNCTION("""COMPUTED_VALUE"""),"降臨バトル")</f>
        <v/>
      </c>
      <c r="F725" s="408">
        <f>IFERROR(__xludf.DUMMYFUNCTION("""COMPUTED_VALUE"""),"quest_raid_sur1_00001")</f>
        <v/>
      </c>
      <c r="G725" s="334">
        <f>IFERROR(__xludf.DUMMYFUNCTION("""COMPUTED_VALUE"""),"魔防隊と戦う者")</f>
        <v/>
      </c>
      <c r="H725" s="408">
        <f>IFERROR(__xludf.DUMMYFUNCTION("""COMPUTED_VALUE"""),"00001")</f>
        <v/>
      </c>
      <c r="I725" s="334" t="n"/>
      <c r="J725" s="334" t="n"/>
      <c r="K725" s="334" t="n"/>
      <c r="L725" s="334" t="n"/>
      <c r="M725" s="334" t="n"/>
      <c r="N725" s="339" t="n"/>
      <c r="O725" s="368" t="n"/>
      <c r="P725" s="334" t="n"/>
    </row>
    <row r="726">
      <c r="A726" s="334">
        <f>IFERROR(__xludf.DUMMYFUNCTION("""COMPUTED_VALUE"""),"osh1")</f>
        <v/>
      </c>
      <c r="B726" s="334">
        <f>IFERROR(__xludf.DUMMYFUNCTION("""COMPUTED_VALUE"""),"【推しの子】")</f>
        <v/>
      </c>
      <c r="C726" s="334">
        <f>IFERROR(__xludf.DUMMYFUNCTION("""COMPUTED_VALUE"""),"null")</f>
        <v/>
      </c>
      <c r="D726" s="334">
        <f>IFERROR(__xludf.DUMMYFUNCTION("""COMPUTED_VALUE"""),"raid")</f>
        <v/>
      </c>
      <c r="E726" s="408">
        <f>IFERROR(__xludf.DUMMYFUNCTION("""COMPUTED_VALUE"""),"降臨バトル")</f>
        <v/>
      </c>
      <c r="F726" s="408">
        <f>IFERROR(__xludf.DUMMYFUNCTION("""COMPUTED_VALUE"""),"quest_raid_osh1_00001")</f>
        <v/>
      </c>
      <c r="G726" s="334">
        <f>IFERROR(__xludf.DUMMYFUNCTION("""COMPUTED_VALUE"""),"ファーストライブ")</f>
        <v/>
      </c>
      <c r="H726" s="408">
        <f>IFERROR(__xludf.DUMMYFUNCTION("""COMPUTED_VALUE"""),"00001")</f>
        <v/>
      </c>
      <c r="I726" s="334" t="n"/>
      <c r="J726" s="334" t="n"/>
      <c r="K726" s="334" t="n"/>
      <c r="L726" s="334" t="n"/>
      <c r="M726" s="334" t="n"/>
      <c r="N726" s="339" t="n"/>
      <c r="O726" s="368" t="n"/>
      <c r="P726" s="334" t="n"/>
    </row>
    <row r="727">
      <c r="A727" s="334">
        <f>IFERROR(__xludf.DUMMYFUNCTION("""COMPUTED_VALUE"""),"jig1")</f>
        <v/>
      </c>
      <c r="B727" s="334">
        <f>IFERROR(__xludf.DUMMYFUNCTION("""COMPUTED_VALUE"""),"地獄楽")</f>
        <v/>
      </c>
      <c r="C727" s="334">
        <f>IFERROR(__xludf.DUMMYFUNCTION("""COMPUTED_VALUE"""),"null")</f>
        <v/>
      </c>
      <c r="D727" s="334">
        <f>IFERROR(__xludf.DUMMYFUNCTION("""COMPUTED_VALUE"""),"raid")</f>
        <v/>
      </c>
      <c r="E727" s="408">
        <f>IFERROR(__xludf.DUMMYFUNCTION("""COMPUTED_VALUE"""),"降臨バトル")</f>
        <v/>
      </c>
      <c r="F727" s="408">
        <f>IFERROR(__xludf.DUMMYFUNCTION("""COMPUTED_VALUE"""),"quest_raid_jig1_00001")</f>
        <v/>
      </c>
      <c r="G727" s="334">
        <f>IFERROR(__xludf.DUMMYFUNCTION("""COMPUTED_VALUE"""),"まるで 悪夢を見ているようだ")</f>
        <v/>
      </c>
      <c r="H727" s="408">
        <f>IFERROR(__xludf.DUMMYFUNCTION("""COMPUTED_VALUE"""),"00001")</f>
        <v/>
      </c>
      <c r="I727" s="334" t="n"/>
      <c r="J727" s="334" t="n"/>
      <c r="K727" s="334" t="n"/>
      <c r="L727" s="334" t="n"/>
      <c r="M727" s="334" t="n"/>
      <c r="N727" s="339" t="n"/>
      <c r="O727" s="368" t="n"/>
      <c r="P727" s="334" t="n"/>
    </row>
    <row r="728">
      <c r="A728" s="334">
        <f>IFERROR(__xludf.DUMMYFUNCTION("""COMPUTED_VALUE"""),"you1")</f>
        <v/>
      </c>
      <c r="B728" s="334">
        <f>IFERROR(__xludf.DUMMYFUNCTION("""COMPUTED_VALUE"""),"幼稚園WARS")</f>
        <v/>
      </c>
      <c r="C728" s="334">
        <f>IFERROR(__xludf.DUMMYFUNCTION("""COMPUTED_VALUE"""),"raid")</f>
        <v/>
      </c>
      <c r="D728" s="334">
        <f>IFERROR(__xludf.DUMMYFUNCTION("""COMPUTED_VALUE"""),"raid")</f>
        <v/>
      </c>
      <c r="E728" s="408">
        <f>IFERROR(__xludf.DUMMYFUNCTION("""COMPUTED_VALUE"""),"降臨バトル")</f>
        <v/>
      </c>
      <c r="F728" s="408">
        <f>IFERROR(__xludf.DUMMYFUNCTION("""COMPUTED_VALUE"""),"quest_raid_you1_00001")</f>
        <v/>
      </c>
      <c r="G728" s="334">
        <f>IFERROR(__xludf.DUMMYFUNCTION("""COMPUTED_VALUE"""),"誰の依頼だ？")</f>
        <v/>
      </c>
      <c r="H728" s="408">
        <f>IFERROR(__xludf.DUMMYFUNCTION("""COMPUTED_VALUE"""),"00001")</f>
        <v/>
      </c>
      <c r="I728" s="334" t="n"/>
      <c r="J728" s="334" t="n"/>
      <c r="K728" s="334" t="n"/>
      <c r="L728" s="334" t="n"/>
      <c r="M728" s="334" t="n"/>
      <c r="N728" s="339" t="n"/>
      <c r="O728" s="368" t="n"/>
      <c r="P728" s="334" t="n"/>
    </row>
    <row r="729">
      <c r="A729" s="334">
        <f>IFERROR(__xludf.DUMMYFUNCTION("""COMPUTED_VALUE"""),"kim1")</f>
        <v/>
      </c>
      <c r="B729" s="334">
        <f>IFERROR(__xludf.DUMMYFUNCTION("""COMPUTED_VALUE"""),"君のことが大大大大大好きな100人の彼女")</f>
        <v/>
      </c>
      <c r="C729" s="334">
        <f>IFERROR(__xludf.DUMMYFUNCTION("""COMPUTED_VALUE"""),"raid")</f>
        <v/>
      </c>
      <c r="D729" s="334">
        <f>IFERROR(__xludf.DUMMYFUNCTION("""COMPUTED_VALUE"""),"raid")</f>
        <v/>
      </c>
      <c r="E729" s="408">
        <f>IFERROR(__xludf.DUMMYFUNCTION("""COMPUTED_VALUE"""),"降臨バトル")</f>
        <v/>
      </c>
      <c r="F729" s="408">
        <f>IFERROR(__xludf.DUMMYFUNCTION("""COMPUTED_VALUE"""),"quest_raid_kim1_00001")</f>
        <v/>
      </c>
      <c r="G729" s="334">
        <f>IFERROR(__xludf.DUMMYFUNCTION("""COMPUTED_VALUE"""),"ラブミッション：インポッシブル")</f>
        <v/>
      </c>
      <c r="H729" s="408">
        <f>IFERROR(__xludf.DUMMYFUNCTION("""COMPUTED_VALUE"""),"00001")</f>
        <v/>
      </c>
      <c r="I729" s="334" t="n"/>
      <c r="J729" s="334" t="n"/>
      <c r="K729" s="334" t="n"/>
      <c r="L729" s="334" t="n"/>
      <c r="M729" s="334" t="n"/>
      <c r="N729" s="339" t="n"/>
      <c r="O729" s="368" t="n"/>
      <c r="P729" s="334" t="n"/>
    </row>
    <row r="730">
      <c r="A730" s="334">
        <f>IFERROR(__xludf.DUMMYFUNCTION("""COMPUTED_VALUE"""),"hut1")</f>
        <v/>
      </c>
      <c r="B730" s="334">
        <f>IFERROR(__xludf.DUMMYFUNCTION("""COMPUTED_VALUE"""),"ふつうの軽音部")</f>
        <v/>
      </c>
      <c r="C730" s="334">
        <f>IFERROR(__xludf.DUMMYFUNCTION("""COMPUTED_VALUE"""),"raid")</f>
        <v/>
      </c>
      <c r="D730" s="334">
        <f>IFERROR(__xludf.DUMMYFUNCTION("""COMPUTED_VALUE"""),"raid")</f>
        <v/>
      </c>
      <c r="E730" s="408">
        <f>IFERROR(__xludf.DUMMYFUNCTION("""COMPUTED_VALUE"""),"降臨バトル")</f>
        <v/>
      </c>
      <c r="F730" s="408">
        <f>IFERROR(__xludf.DUMMYFUNCTION("""COMPUTED_VALUE"""),"quest_raid_hut1_00001")</f>
        <v/>
      </c>
      <c r="G730" s="334">
        <f>IFERROR(__xludf.DUMMYFUNCTION("""COMPUTED_VALUE"""),"片鱗を示す")</f>
        <v/>
      </c>
      <c r="H730" s="408">
        <f>IFERROR(__xludf.DUMMYFUNCTION("""COMPUTED_VALUE"""),"00001")</f>
        <v/>
      </c>
      <c r="I730" s="334" t="n"/>
      <c r="J730" s="334" t="n"/>
      <c r="K730" s="334" t="n"/>
      <c r="L730" s="334" t="n"/>
      <c r="M730" s="334" t="n"/>
      <c r="N730" s="339" t="n"/>
      <c r="O730" s="368" t="n"/>
      <c r="P730" s="334" t="n"/>
    </row>
    <row r="731">
      <c r="A731" s="334">
        <f>IFERROR(__xludf.DUMMYFUNCTION("""COMPUTED_VALUE"""),"f05anniv")</f>
        <v/>
      </c>
      <c r="B731" s="334">
        <f>IFERROR(__xludf.DUMMYFUNCTION("""COMPUTED_VALUE"""),"ハーフアニバーサリー 感謝祭！前半")</f>
        <v/>
      </c>
      <c r="C731" s="334">
        <f>IFERROR(__xludf.DUMMYFUNCTION("""COMPUTED_VALUE"""),"raid")</f>
        <v/>
      </c>
      <c r="D731" s="334">
        <f>IFERROR(__xludf.DUMMYFUNCTION("""COMPUTED_VALUE"""),"raid")</f>
        <v/>
      </c>
      <c r="E731" s="408">
        <f>IFERROR(__xludf.DUMMYFUNCTION("""COMPUTED_VALUE"""),"降臨バトル")</f>
        <v/>
      </c>
      <c r="F731" s="408">
        <f>IFERROR(__xludf.DUMMYFUNCTION("""COMPUTED_VALUE"""),"quest_raid_f05anniv_00001")</f>
        <v/>
      </c>
      <c r="G731" s="334">
        <f>IFERROR(__xludf.DUMMYFUNCTION("""COMPUTED_VALUE"""),"覇者への挑戦編")</f>
        <v/>
      </c>
      <c r="H731" s="408">
        <f>IFERROR(__xludf.DUMMYFUNCTION("""COMPUTED_VALUE"""),"00001")</f>
        <v/>
      </c>
      <c r="I731" s="334" t="n"/>
      <c r="J731" s="334" t="n"/>
      <c r="K731" s="334" t="n"/>
      <c r="L731" s="334" t="n"/>
      <c r="M731" s="334" t="n"/>
      <c r="N731" s="339" t="n"/>
      <c r="O731" s="368" t="n"/>
      <c r="P731" s="334" t="n"/>
    </row>
    <row r="732">
      <c r="A732" s="334">
        <f>IFERROR(__xludf.DUMMYFUNCTION("""COMPUTED_VALUE"""),"l05anniv")</f>
        <v/>
      </c>
      <c r="B732" s="334">
        <f>IFERROR(__xludf.DUMMYFUNCTION("""COMPUTED_VALUE"""),"ハーフアニバーサリー 感謝祭！後半")</f>
        <v/>
      </c>
      <c r="C732" s="334">
        <f>IFERROR(__xludf.DUMMYFUNCTION("""COMPUTED_VALUE"""),"raid")</f>
        <v/>
      </c>
      <c r="D732" s="334">
        <f>IFERROR(__xludf.DUMMYFUNCTION("""COMPUTED_VALUE"""),"raid")</f>
        <v/>
      </c>
      <c r="E732" s="408">
        <f>IFERROR(__xludf.DUMMYFUNCTION("""COMPUTED_VALUE"""),"降臨バトル")</f>
        <v/>
      </c>
      <c r="F732" s="408">
        <f>IFERROR(__xludf.DUMMYFUNCTION("""COMPUTED_VALUE"""),"quest_raid_l05anniv_00002")</f>
        <v/>
      </c>
      <c r="G732" s="334">
        <f>IFERROR(__xludf.DUMMYFUNCTION("""COMPUTED_VALUE"""),"英雄への挑戦編")</f>
        <v/>
      </c>
      <c r="H732" s="408">
        <f>IFERROR(__xludf.DUMMYFUNCTION("""COMPUTED_VALUE"""),"00002")</f>
        <v/>
      </c>
      <c r="I732" s="334" t="n"/>
      <c r="J732" s="334" t="n"/>
      <c r="K732" s="334" t="n"/>
      <c r="L732" s="334" t="n"/>
      <c r="M732" s="334" t="n"/>
      <c r="N732" s="339" t="n"/>
      <c r="O732" s="368" t="n"/>
      <c r="P732" s="334" t="n"/>
    </row>
    <row r="733">
      <c r="A733" s="334">
        <f>IFERROR(__xludf.DUMMYFUNCTION("""COMPUTED_VALUE"""),"aya")</f>
        <v/>
      </c>
      <c r="B733" s="334">
        <f>IFERROR(__xludf.DUMMYFUNCTION("""COMPUTED_VALUE"""),"あやかしトライアングル")</f>
        <v/>
      </c>
      <c r="C733" s="334">
        <f>IFERROR(__xludf.DUMMYFUNCTION("""COMPUTED_VALUE"""),"raid")</f>
        <v/>
      </c>
      <c r="D733" s="334">
        <f>IFERROR(__xludf.DUMMYFUNCTION("""COMPUTED_VALUE"""),"raid")</f>
        <v/>
      </c>
      <c r="E733" s="408">
        <f>IFERROR(__xludf.DUMMYFUNCTION("""COMPUTED_VALUE"""),"降臨バトル")</f>
        <v/>
      </c>
      <c r="F733" s="408">
        <f>IFERROR(__xludf.DUMMYFUNCTION("""COMPUTED_VALUE"""),"quest_raid_aya_00001")</f>
        <v/>
      </c>
      <c r="G733" s="334">
        <f>IFERROR(__xludf.DUMMYFUNCTION("""COMPUTED_VALUE"""),"キス‥したい")</f>
        <v/>
      </c>
      <c r="H733" s="408">
        <f>IFERROR(__xludf.DUMMYFUNCTION("""COMPUTED_VALUE"""),"00001")</f>
        <v/>
      </c>
      <c r="I733" s="334" t="n"/>
      <c r="J733" s="334" t="n"/>
      <c r="K733" s="334" t="n"/>
      <c r="L733" s="334" t="n"/>
      <c r="M733" s="334" t="n"/>
      <c r="N733" s="339" t="n"/>
      <c r="O733" s="368" t="n"/>
      <c r="P733" s="334" t="n"/>
    </row>
    <row r="734">
      <c r="A734" s="334">
        <f>IFERROR(__xludf.DUMMYFUNCTION("""COMPUTED_VALUE"""),"mar")</f>
        <v/>
      </c>
      <c r="B734" s="334">
        <f>IFERROR(__xludf.DUMMYFUNCTION("""COMPUTED_VALUE"""),"マリッジトキシン")</f>
        <v/>
      </c>
      <c r="C734" s="334">
        <f>IFERROR(__xludf.DUMMYFUNCTION("""COMPUTED_VALUE"""),"raid")</f>
        <v/>
      </c>
      <c r="D734" s="334">
        <f>IFERROR(__xludf.DUMMYFUNCTION("""COMPUTED_VALUE"""),"raid")</f>
        <v/>
      </c>
      <c r="E734" s="408">
        <f>IFERROR(__xludf.DUMMYFUNCTION("""COMPUTED_VALUE"""),"降臨バトル")</f>
        <v/>
      </c>
      <c r="F734" s="408">
        <f>IFERROR(__xludf.DUMMYFUNCTION("""COMPUTED_VALUE"""),"quest_raid_mar_00001")</f>
        <v/>
      </c>
      <c r="G734" s="334">
        <f>IFERROR(__xludf.DUMMYFUNCTION("""COMPUTED_VALUE"""),"毒使いの魅力")</f>
        <v/>
      </c>
      <c r="H734" s="408">
        <f>IFERROR(__xludf.DUMMYFUNCTION("""COMPUTED_VALUE"""),"00001")</f>
        <v/>
      </c>
      <c r="I734" s="334" t="n"/>
      <c r="J734" s="334" t="n"/>
      <c r="K734" s="334" t="n"/>
      <c r="L734" s="334" t="n"/>
      <c r="M734" s="334" t="n"/>
      <c r="N734" s="339" t="n"/>
      <c r="O734" s="368" t="n"/>
      <c r="P734" s="334" t="n"/>
    </row>
    <row r="735">
      <c r="A735" s="334" t="n"/>
      <c r="B735" s="334">
        <f>IFERROR(__xludf.DUMMYFUNCTION("""COMPUTED_VALUE"""),"error")</f>
        <v/>
      </c>
      <c r="C735" s="334">
        <f>IFERROR(__xludf.DUMMYFUNCTION("""COMPUTED_VALUE"""),"raid")</f>
        <v/>
      </c>
      <c r="D735" s="334">
        <f>IFERROR(__xludf.DUMMYFUNCTION("""COMPUTED_VALUE"""),"raid")</f>
        <v/>
      </c>
      <c r="E735" s="408">
        <f>IFERROR(__xludf.DUMMYFUNCTION("""COMPUTED_VALUE"""),"降臨バトル")</f>
        <v/>
      </c>
      <c r="F735" s="408">
        <f>IFERROR(__xludf.DUMMYFUNCTION("""COMPUTED_VALUE"""),"quest_raid__")</f>
        <v/>
      </c>
      <c r="G735" s="334" t="n"/>
      <c r="H735" s="334" t="n"/>
      <c r="I735" s="334" t="n"/>
      <c r="J735" s="334" t="n"/>
      <c r="K735" s="334" t="n"/>
      <c r="L735" s="334" t="n"/>
      <c r="M735" s="334" t="n"/>
      <c r="N735" s="339" t="n"/>
      <c r="O735" s="368" t="n"/>
      <c r="P735" s="334" t="n"/>
    </row>
    <row r="736">
      <c r="A736" s="334" t="n"/>
      <c r="B736" s="334">
        <f>IFERROR(__xludf.DUMMYFUNCTION("""COMPUTED_VALUE"""),"error")</f>
        <v/>
      </c>
      <c r="C736" s="334">
        <f>IFERROR(__xludf.DUMMYFUNCTION("""COMPUTED_VALUE"""),"raid")</f>
        <v/>
      </c>
      <c r="D736" s="334">
        <f>IFERROR(__xludf.DUMMYFUNCTION("""COMPUTED_VALUE"""),"raid")</f>
        <v/>
      </c>
      <c r="E736" s="408">
        <f>IFERROR(__xludf.DUMMYFUNCTION("""COMPUTED_VALUE"""),"降臨バトル")</f>
        <v/>
      </c>
      <c r="F736" s="408">
        <f>IFERROR(__xludf.DUMMYFUNCTION("""COMPUTED_VALUE"""),"quest_raid__")</f>
        <v/>
      </c>
      <c r="G736" s="334" t="n"/>
      <c r="H736" s="334" t="n"/>
      <c r="I736" s="334" t="n"/>
      <c r="J736" s="334" t="n"/>
      <c r="K736" s="334" t="n"/>
      <c r="L736" s="334" t="n"/>
      <c r="M736" s="334" t="n"/>
      <c r="N736" s="339" t="n"/>
      <c r="O736" s="368" t="n"/>
      <c r="P736" s="334" t="n"/>
    </row>
    <row r="737">
      <c r="A737" s="334" t="n"/>
      <c r="B737" s="334" t="n"/>
      <c r="C737" s="334" t="n"/>
      <c r="D737" s="334" t="n"/>
      <c r="E737" s="334" t="n"/>
      <c r="F737" s="334" t="n"/>
      <c r="G737" s="334" t="n"/>
      <c r="H737" s="334" t="n"/>
      <c r="I737" s="334" t="n"/>
      <c r="J737" s="334" t="n"/>
      <c r="K737" s="334" t="n"/>
      <c r="L737" s="334" t="n"/>
      <c r="M737" s="334" t="n"/>
      <c r="N737" s="339" t="n"/>
      <c r="O737" s="368" t="n"/>
      <c r="P737" s="334" t="n"/>
    </row>
    <row r="738">
      <c r="A738" s="334" t="n"/>
      <c r="B738" s="334" t="n"/>
      <c r="C738" s="334" t="n"/>
      <c r="D738" s="334" t="n"/>
      <c r="E738" s="334" t="n"/>
      <c r="F738" s="334" t="n"/>
      <c r="G738" s="334" t="n"/>
      <c r="H738" s="334" t="n"/>
      <c r="I738" s="334" t="n"/>
      <c r="J738" s="334" t="n"/>
      <c r="K738" s="334" t="n"/>
      <c r="L738" s="334" t="n"/>
      <c r="M738" s="334" t="n"/>
      <c r="N738" s="339" t="n"/>
      <c r="O738" s="368" t="n"/>
      <c r="P738" s="334" t="n"/>
    </row>
    <row r="739">
      <c r="A739" s="334" t="n"/>
      <c r="B739" s="334" t="n"/>
      <c r="C739" s="334" t="n"/>
      <c r="D739" s="334" t="n"/>
      <c r="E739" s="334" t="n"/>
      <c r="F739" s="334" t="n"/>
      <c r="G739" s="334" t="n"/>
      <c r="H739" s="334" t="n"/>
      <c r="I739" s="334" t="n"/>
      <c r="J739" s="334" t="n"/>
      <c r="K739" s="334" t="n"/>
      <c r="L739" s="334" t="n"/>
      <c r="M739" s="334" t="n"/>
      <c r="N739" s="339" t="n"/>
      <c r="O739" s="368" t="n"/>
      <c r="P739" s="334" t="n"/>
    </row>
    <row r="740">
      <c r="A740" s="334" t="n"/>
      <c r="B740" s="334" t="n"/>
      <c r="C740" s="334" t="n"/>
      <c r="D740" s="334" t="n"/>
      <c r="E740" s="334" t="n"/>
      <c r="F740" s="334" t="n"/>
      <c r="G740" s="334" t="n"/>
      <c r="H740" s="334" t="n"/>
      <c r="I740" s="334" t="n"/>
      <c r="J740" s="334" t="n"/>
      <c r="K740" s="334" t="n"/>
      <c r="L740" s="334" t="n"/>
      <c r="M740" s="334" t="n"/>
      <c r="N740" s="339" t="n"/>
      <c r="O740" s="368" t="n"/>
      <c r="P740" s="334" t="n"/>
    </row>
    <row r="741">
      <c r="A741" s="334" t="n"/>
      <c r="B741" s="334" t="n"/>
      <c r="C741" s="334" t="n"/>
      <c r="D741" s="334" t="n"/>
      <c r="E741" s="334" t="n"/>
      <c r="F741" s="334" t="n"/>
      <c r="G741" s="334" t="n"/>
      <c r="H741" s="334" t="n"/>
      <c r="I741" s="334" t="n"/>
      <c r="J741" s="334" t="n"/>
      <c r="K741" s="334" t="n"/>
      <c r="L741" s="334" t="n"/>
      <c r="M741" s="334" t="n"/>
      <c r="N741" s="339" t="n"/>
      <c r="O741" s="368" t="n"/>
      <c r="P741" s="334" t="n"/>
    </row>
    <row r="742">
      <c r="A742" s="334" t="n"/>
      <c r="B742" s="334" t="n"/>
      <c r="C742" s="334" t="n"/>
      <c r="D742" s="334" t="n"/>
      <c r="E742" s="334" t="n"/>
      <c r="F742" s="334" t="n"/>
      <c r="G742" s="334" t="n"/>
      <c r="H742" s="334" t="n"/>
      <c r="I742" s="334" t="n"/>
      <c r="J742" s="334" t="n"/>
      <c r="K742" s="334" t="n"/>
      <c r="L742" s="334" t="n"/>
      <c r="M742" s="334" t="n"/>
      <c r="N742" s="339" t="n"/>
      <c r="O742" s="368" t="n"/>
      <c r="P742" s="334" t="n"/>
    </row>
    <row r="743">
      <c r="A743" s="334" t="n"/>
      <c r="B743" s="334" t="n"/>
      <c r="C743" s="334" t="n"/>
      <c r="D743" s="334" t="n"/>
      <c r="E743" s="334" t="n"/>
      <c r="F743" s="334" t="n"/>
      <c r="G743" s="334" t="n"/>
      <c r="H743" s="334" t="n"/>
      <c r="I743" s="334" t="n"/>
      <c r="J743" s="334" t="n"/>
      <c r="K743" s="334" t="n"/>
      <c r="L743" s="334" t="n"/>
      <c r="M743" s="334" t="n"/>
      <c r="N743" s="339" t="n"/>
      <c r="O743" s="368" t="n"/>
      <c r="P743" s="334" t="n"/>
    </row>
    <row r="744">
      <c r="A744" s="334" t="n"/>
      <c r="B744" s="334" t="n"/>
      <c r="C744" s="334" t="n"/>
      <c r="D744" s="334" t="n"/>
      <c r="E744" s="334" t="n"/>
      <c r="F744" s="334" t="n"/>
      <c r="G744" s="334" t="n"/>
      <c r="H744" s="334" t="n"/>
      <c r="I744" s="334" t="n"/>
      <c r="J744" s="334" t="n"/>
      <c r="K744" s="334" t="n"/>
      <c r="L744" s="334" t="n"/>
      <c r="M744" s="334" t="n"/>
      <c r="N744" s="339" t="n"/>
      <c r="O744" s="368" t="n"/>
      <c r="P744" s="334" t="n"/>
    </row>
    <row r="745">
      <c r="A745" s="334" t="n"/>
      <c r="B745" s="334" t="n"/>
      <c r="C745" s="334" t="n"/>
      <c r="D745" s="334" t="n"/>
      <c r="E745" s="334" t="n"/>
      <c r="F745" s="334" t="n"/>
      <c r="G745" s="334" t="n"/>
      <c r="H745" s="334" t="n"/>
      <c r="I745" s="334" t="n"/>
      <c r="J745" s="334" t="n"/>
      <c r="K745" s="334" t="n"/>
      <c r="L745" s="334" t="n"/>
      <c r="M745" s="334" t="n"/>
      <c r="N745" s="339" t="n"/>
      <c r="O745" s="368" t="n"/>
      <c r="P745" s="334" t="n"/>
    </row>
    <row r="746">
      <c r="A746" s="334" t="n"/>
      <c r="B746" s="334" t="n"/>
      <c r="C746" s="334" t="n"/>
      <c r="D746" s="334" t="n"/>
      <c r="E746" s="334" t="n"/>
      <c r="F746" s="334" t="n"/>
      <c r="G746" s="334" t="n"/>
      <c r="H746" s="334" t="n"/>
      <c r="I746" s="334" t="n"/>
      <c r="J746" s="334" t="n"/>
      <c r="K746" s="334" t="n"/>
      <c r="L746" s="334" t="n"/>
      <c r="M746" s="334" t="n"/>
      <c r="N746" s="339" t="n"/>
      <c r="O746" s="368" t="n"/>
      <c r="P746" s="334" t="n"/>
    </row>
    <row r="747">
      <c r="A747" s="334" t="n"/>
      <c r="B747" s="334" t="n"/>
      <c r="C747" s="334" t="n"/>
      <c r="D747" s="334" t="n"/>
      <c r="E747" s="334" t="n"/>
      <c r="F747" s="334" t="n"/>
      <c r="G747" s="334" t="n"/>
      <c r="H747" s="334" t="n"/>
      <c r="I747" s="334" t="n"/>
      <c r="J747" s="334" t="n"/>
      <c r="K747" s="334" t="n"/>
      <c r="L747" s="334" t="n"/>
      <c r="M747" s="334" t="n"/>
      <c r="N747" s="339" t="n"/>
      <c r="O747" s="368" t="n"/>
      <c r="P747" s="334" t="n"/>
    </row>
    <row r="748">
      <c r="A748" s="334" t="n"/>
      <c r="B748" s="334" t="n"/>
      <c r="C748" s="334" t="n"/>
      <c r="D748" s="334" t="n"/>
      <c r="E748" s="334" t="n"/>
      <c r="F748" s="334" t="n"/>
      <c r="G748" s="334" t="n"/>
      <c r="H748" s="334" t="n"/>
      <c r="I748" s="334" t="n"/>
      <c r="J748" s="334" t="n"/>
      <c r="K748" s="334" t="n"/>
      <c r="L748" s="334" t="n"/>
      <c r="M748" s="334" t="n"/>
      <c r="N748" s="339" t="n"/>
      <c r="O748" s="368" t="n"/>
      <c r="P748" s="334" t="n"/>
    </row>
    <row r="749">
      <c r="A749" s="334" t="n"/>
      <c r="B749" s="334" t="n"/>
      <c r="C749" s="334" t="n"/>
      <c r="D749" s="334" t="n"/>
      <c r="E749" s="334" t="n"/>
      <c r="F749" s="334" t="n"/>
      <c r="G749" s="334" t="n"/>
      <c r="H749" s="334" t="n"/>
      <c r="I749" s="334" t="n"/>
      <c r="J749" s="334" t="n"/>
      <c r="K749" s="334" t="n"/>
      <c r="L749" s="334" t="n"/>
      <c r="M749" s="334" t="n"/>
      <c r="N749" s="339" t="n"/>
      <c r="O749" s="368" t="n"/>
      <c r="P749" s="334" t="n"/>
    </row>
    <row r="750">
      <c r="A750" s="334" t="n"/>
      <c r="B750" s="334" t="n"/>
      <c r="C750" s="334" t="n"/>
      <c r="D750" s="334" t="n"/>
      <c r="E750" s="334" t="n"/>
      <c r="F750" s="334" t="n"/>
      <c r="G750" s="334" t="n"/>
      <c r="H750" s="334" t="n"/>
      <c r="I750" s="334" t="n"/>
      <c r="J750" s="334" t="n"/>
      <c r="K750" s="334" t="n"/>
      <c r="L750" s="334" t="n"/>
      <c r="M750" s="334" t="n"/>
      <c r="N750" s="339" t="n"/>
      <c r="O750" s="368" t="n"/>
      <c r="P750" s="334" t="n"/>
    </row>
    <row r="751">
      <c r="A751" s="334" t="n"/>
      <c r="B751" s="334" t="n"/>
      <c r="C751" s="334" t="n"/>
      <c r="D751" s="334" t="n"/>
      <c r="E751" s="334" t="n"/>
      <c r="F751" s="334" t="n"/>
      <c r="G751" s="334" t="n"/>
      <c r="H751" s="334" t="n"/>
      <c r="I751" s="334" t="n"/>
      <c r="J751" s="334" t="n"/>
      <c r="K751" s="334" t="n"/>
      <c r="L751" s="334" t="n"/>
      <c r="M751" s="334" t="n"/>
      <c r="N751" s="339" t="n"/>
      <c r="O751" s="368" t="n"/>
      <c r="P751" s="334" t="n"/>
    </row>
    <row r="752">
      <c r="A752" s="334" t="n"/>
      <c r="B752" s="334" t="n"/>
      <c r="C752" s="334" t="n"/>
      <c r="D752" s="334" t="n"/>
      <c r="E752" s="334" t="n"/>
      <c r="F752" s="334" t="n"/>
      <c r="G752" s="334" t="n"/>
      <c r="H752" s="334" t="n"/>
      <c r="I752" s="334" t="n"/>
      <c r="J752" s="334" t="n"/>
      <c r="K752" s="334" t="n"/>
      <c r="L752" s="334" t="n"/>
      <c r="M752" s="334" t="n"/>
      <c r="N752" s="339" t="n"/>
      <c r="O752" s="368" t="n"/>
      <c r="P752" s="334" t="n"/>
    </row>
    <row r="753">
      <c r="A753" s="334" t="n"/>
      <c r="B753" s="334" t="n"/>
      <c r="C753" s="334" t="n"/>
      <c r="D753" s="334" t="n"/>
      <c r="E753" s="334" t="n"/>
      <c r="F753" s="334" t="n"/>
      <c r="G753" s="334" t="n"/>
      <c r="H753" s="334" t="n"/>
      <c r="I753" s="334" t="n"/>
      <c r="J753" s="334" t="n"/>
      <c r="K753" s="334" t="n"/>
      <c r="L753" s="334" t="n"/>
      <c r="M753" s="334" t="n"/>
      <c r="N753" s="339" t="n"/>
      <c r="O753" s="368" t="n"/>
      <c r="P753" s="334" t="n"/>
    </row>
    <row r="754">
      <c r="A754" s="334" t="n"/>
      <c r="B754" s="334" t="n"/>
      <c r="C754" s="334" t="n"/>
      <c r="D754" s="334" t="n"/>
      <c r="E754" s="334" t="n"/>
      <c r="F754" s="334" t="n"/>
      <c r="G754" s="334" t="n"/>
      <c r="H754" s="334" t="n"/>
      <c r="I754" s="334" t="n"/>
      <c r="J754" s="334" t="n"/>
      <c r="K754" s="334" t="n"/>
      <c r="L754" s="334" t="n"/>
      <c r="M754" s="334" t="n"/>
      <c r="N754" s="339" t="n"/>
      <c r="O754" s="368" t="n"/>
      <c r="P754" s="334" t="n"/>
    </row>
    <row r="755">
      <c r="A755" s="334" t="n"/>
      <c r="B755" s="334" t="n"/>
      <c r="C755" s="334" t="n"/>
      <c r="D755" s="334" t="n"/>
      <c r="E755" s="334" t="n"/>
      <c r="F755" s="334" t="n"/>
      <c r="G755" s="334" t="n"/>
      <c r="H755" s="334" t="n"/>
      <c r="I755" s="334" t="n"/>
      <c r="J755" s="334" t="n"/>
      <c r="K755" s="334" t="n"/>
      <c r="L755" s="334" t="n"/>
      <c r="M755" s="334" t="n"/>
      <c r="N755" s="339" t="n"/>
      <c r="O755" s="368" t="n"/>
      <c r="P755" s="334" t="n"/>
    </row>
    <row r="756">
      <c r="A756" s="334" t="n"/>
      <c r="B756" s="334" t="n"/>
      <c r="C756" s="334" t="n"/>
      <c r="D756" s="334" t="n"/>
      <c r="E756" s="334" t="n"/>
      <c r="F756" s="334" t="n"/>
      <c r="G756" s="334" t="n"/>
      <c r="H756" s="334" t="n"/>
      <c r="I756" s="334" t="n"/>
      <c r="J756" s="334" t="n"/>
      <c r="K756" s="334" t="n"/>
      <c r="L756" s="334" t="n"/>
      <c r="M756" s="334" t="n"/>
      <c r="N756" s="339" t="n"/>
      <c r="O756" s="368" t="n"/>
      <c r="P756" s="334" t="n"/>
    </row>
    <row r="757">
      <c r="A757" s="334" t="n"/>
      <c r="B757" s="334" t="n"/>
      <c r="C757" s="334" t="n"/>
      <c r="D757" s="334" t="n"/>
      <c r="E757" s="334" t="n"/>
      <c r="F757" s="334" t="n"/>
      <c r="G757" s="334" t="n"/>
      <c r="H757" s="334" t="n"/>
      <c r="I757" s="334" t="n"/>
      <c r="J757" s="334" t="n"/>
      <c r="K757" s="334" t="n"/>
      <c r="L757" s="334" t="n"/>
      <c r="M757" s="334" t="n"/>
      <c r="N757" s="339" t="n"/>
      <c r="O757" s="368" t="n"/>
      <c r="P757" s="334" t="n"/>
    </row>
    <row r="758">
      <c r="A758" s="334" t="n"/>
      <c r="B758" s="334" t="n"/>
      <c r="C758" s="334" t="n"/>
      <c r="D758" s="334" t="n"/>
      <c r="E758" s="334" t="n"/>
      <c r="F758" s="334" t="n"/>
      <c r="G758" s="334" t="n"/>
      <c r="H758" s="334" t="n"/>
      <c r="I758" s="334" t="n"/>
      <c r="J758" s="334" t="n"/>
      <c r="K758" s="334" t="n"/>
      <c r="L758" s="334" t="n"/>
      <c r="M758" s="334" t="n"/>
      <c r="N758" s="339" t="n"/>
      <c r="O758" s="368" t="n"/>
      <c r="P758" s="334" t="n"/>
    </row>
    <row r="759">
      <c r="A759" s="334" t="n"/>
      <c r="B759" s="334" t="n"/>
      <c r="C759" s="334" t="n"/>
      <c r="D759" s="334" t="n"/>
      <c r="E759" s="334" t="n"/>
      <c r="F759" s="334" t="n"/>
      <c r="G759" s="334" t="n"/>
      <c r="H759" s="334" t="n"/>
      <c r="I759" s="334" t="n"/>
      <c r="J759" s="334" t="n"/>
      <c r="K759" s="334" t="n"/>
      <c r="L759" s="334" t="n"/>
      <c r="M759" s="334" t="n"/>
      <c r="N759" s="339" t="n"/>
      <c r="O759" s="368" t="n"/>
      <c r="P759" s="334" t="n"/>
    </row>
    <row r="760">
      <c r="A760" s="334" t="n"/>
      <c r="B760" s="334" t="n"/>
      <c r="C760" s="334" t="n"/>
      <c r="D760" s="334" t="n"/>
      <c r="E760" s="334" t="n"/>
      <c r="F760" s="334" t="n"/>
      <c r="G760" s="334" t="n"/>
      <c r="H760" s="334" t="n"/>
      <c r="I760" s="334" t="n"/>
      <c r="J760" s="334" t="n"/>
      <c r="K760" s="334" t="n"/>
      <c r="L760" s="334" t="n"/>
      <c r="M760" s="334" t="n"/>
      <c r="N760" s="339" t="n"/>
      <c r="O760" s="368" t="n"/>
      <c r="P760" s="334" t="n"/>
    </row>
    <row r="761">
      <c r="A761" s="334" t="n"/>
      <c r="B761" s="334" t="n"/>
      <c r="C761" s="334" t="n"/>
      <c r="D761" s="334" t="n"/>
      <c r="E761" s="334" t="n"/>
      <c r="F761" s="334" t="n"/>
      <c r="G761" s="334" t="n"/>
      <c r="H761" s="334" t="n"/>
      <c r="I761" s="334" t="n"/>
      <c r="J761" s="334" t="n"/>
      <c r="K761" s="334" t="n"/>
      <c r="L761" s="334" t="n"/>
      <c r="M761" s="334" t="n"/>
      <c r="N761" s="339" t="n"/>
      <c r="O761" s="368" t="n"/>
      <c r="P761" s="334" t="n"/>
    </row>
    <row r="762">
      <c r="A762" s="334" t="n"/>
      <c r="B762" s="334" t="n"/>
      <c r="C762" s="334" t="n"/>
      <c r="D762" s="334" t="n"/>
      <c r="E762" s="334" t="n"/>
      <c r="F762" s="334" t="n"/>
      <c r="G762" s="334" t="n"/>
      <c r="H762" s="334" t="n"/>
      <c r="I762" s="334" t="n"/>
      <c r="J762" s="334" t="n"/>
      <c r="K762" s="334" t="n"/>
      <c r="L762" s="334" t="n"/>
      <c r="M762" s="334" t="n"/>
      <c r="N762" s="339" t="n"/>
      <c r="O762" s="368" t="n"/>
      <c r="P762" s="334" t="n"/>
    </row>
    <row r="763">
      <c r="A763" s="334" t="n"/>
      <c r="B763" s="334" t="n"/>
      <c r="C763" s="334" t="n"/>
      <c r="D763" s="334" t="n"/>
      <c r="E763" s="334" t="n"/>
      <c r="F763" s="334" t="n"/>
      <c r="G763" s="334" t="n"/>
      <c r="H763" s="334" t="n"/>
      <c r="I763" s="334" t="n"/>
      <c r="J763" s="334" t="n"/>
      <c r="K763" s="334" t="n"/>
      <c r="L763" s="334" t="n"/>
      <c r="M763" s="334" t="n"/>
      <c r="N763" s="339" t="n"/>
      <c r="O763" s="368" t="n"/>
      <c r="P763" s="334" t="n"/>
    </row>
    <row r="764">
      <c r="A764" s="334" t="n"/>
      <c r="B764" s="334" t="n"/>
      <c r="C764" s="334" t="n"/>
      <c r="D764" s="334" t="n"/>
      <c r="E764" s="334" t="n"/>
      <c r="F764" s="334" t="n"/>
      <c r="G764" s="334" t="n"/>
      <c r="H764" s="334" t="n"/>
      <c r="I764" s="334" t="n"/>
      <c r="J764" s="334" t="n"/>
      <c r="K764" s="334" t="n"/>
      <c r="L764" s="334" t="n"/>
      <c r="M764" s="334" t="n"/>
      <c r="N764" s="339" t="n"/>
      <c r="O764" s="368" t="n"/>
      <c r="P764" s="334" t="n"/>
    </row>
    <row r="765">
      <c r="A765" s="334" t="n"/>
      <c r="B765" s="334" t="n"/>
      <c r="C765" s="334" t="n"/>
      <c r="D765" s="334" t="n"/>
      <c r="E765" s="334" t="n"/>
      <c r="F765" s="334" t="n"/>
      <c r="G765" s="334" t="n"/>
      <c r="H765" s="334" t="n"/>
      <c r="I765" s="334" t="n"/>
      <c r="J765" s="334" t="n"/>
      <c r="K765" s="334" t="n"/>
      <c r="L765" s="334" t="n"/>
      <c r="M765" s="334" t="n"/>
      <c r="N765" s="339" t="n"/>
      <c r="O765" s="368" t="n"/>
      <c r="P765" s="334" t="n"/>
    </row>
    <row r="766">
      <c r="A766" s="334" t="n"/>
      <c r="B766" s="334" t="n"/>
      <c r="C766" s="334" t="n"/>
      <c r="D766" s="334" t="n"/>
      <c r="E766" s="334" t="n"/>
      <c r="F766" s="334" t="n"/>
      <c r="G766" s="334" t="n"/>
      <c r="H766" s="334" t="n"/>
      <c r="I766" s="334" t="n"/>
      <c r="J766" s="334" t="n"/>
      <c r="K766" s="334" t="n"/>
      <c r="L766" s="334" t="n"/>
      <c r="M766" s="334" t="n"/>
      <c r="N766" s="339" t="n"/>
      <c r="O766" s="368" t="n"/>
      <c r="P766" s="334" t="n"/>
    </row>
    <row r="767">
      <c r="A767" s="334" t="n"/>
      <c r="B767" s="334" t="n"/>
      <c r="C767" s="334" t="n"/>
      <c r="D767" s="334" t="n"/>
      <c r="E767" s="334" t="n"/>
      <c r="F767" s="334" t="n"/>
      <c r="G767" s="334" t="n"/>
      <c r="H767" s="334" t="n"/>
      <c r="I767" s="334" t="n"/>
      <c r="J767" s="334" t="n"/>
      <c r="K767" s="334" t="n"/>
      <c r="L767" s="334" t="n"/>
      <c r="M767" s="334" t="n"/>
      <c r="N767" s="339" t="n"/>
      <c r="O767" s="368" t="n"/>
      <c r="P767" s="334" t="n"/>
    </row>
    <row r="768">
      <c r="A768" s="334" t="n"/>
      <c r="B768" s="334" t="n"/>
      <c r="C768" s="334" t="n"/>
      <c r="D768" s="334" t="n"/>
      <c r="E768" s="334" t="n"/>
      <c r="F768" s="334" t="n"/>
      <c r="G768" s="334" t="n"/>
      <c r="H768" s="334" t="n"/>
      <c r="I768" s="334" t="n"/>
      <c r="J768" s="334" t="n"/>
      <c r="K768" s="334" t="n"/>
      <c r="L768" s="334" t="n"/>
      <c r="M768" s="334" t="n"/>
      <c r="N768" s="339" t="n"/>
      <c r="O768" s="368" t="n"/>
      <c r="P768" s="334" t="n"/>
    </row>
    <row r="769">
      <c r="A769" s="334" t="n"/>
      <c r="B769" s="334" t="n"/>
      <c r="C769" s="334" t="n"/>
      <c r="D769" s="334" t="n"/>
      <c r="E769" s="334" t="n"/>
      <c r="F769" s="334" t="n"/>
      <c r="G769" s="334" t="n"/>
      <c r="H769" s="334" t="n"/>
      <c r="I769" s="334" t="n"/>
      <c r="J769" s="334" t="n"/>
      <c r="K769" s="334" t="n"/>
      <c r="L769" s="334" t="n"/>
      <c r="M769" s="334" t="n"/>
      <c r="N769" s="339" t="n"/>
      <c r="O769" s="368" t="n"/>
      <c r="P769" s="334" t="n"/>
    </row>
    <row r="770">
      <c r="A770" s="334" t="n"/>
      <c r="B770" s="334" t="n"/>
      <c r="C770" s="334" t="n"/>
      <c r="D770" s="334" t="n"/>
      <c r="E770" s="334" t="n"/>
      <c r="F770" s="334" t="n"/>
      <c r="G770" s="334" t="n"/>
      <c r="H770" s="334" t="n"/>
      <c r="I770" s="334" t="n"/>
      <c r="J770" s="334" t="n"/>
      <c r="K770" s="334" t="n"/>
      <c r="L770" s="334" t="n"/>
      <c r="M770" s="334" t="n"/>
      <c r="N770" s="339" t="n"/>
      <c r="O770" s="368" t="n"/>
      <c r="P770" s="334" t="n"/>
    </row>
    <row r="771">
      <c r="A771" s="334" t="n"/>
      <c r="B771" s="334" t="n"/>
      <c r="C771" s="334" t="n"/>
      <c r="D771" s="334" t="n"/>
      <c r="E771" s="334" t="n"/>
      <c r="F771" s="334" t="n"/>
      <c r="G771" s="334" t="n"/>
      <c r="H771" s="334" t="n"/>
      <c r="I771" s="334" t="n"/>
      <c r="J771" s="334" t="n"/>
      <c r="K771" s="334" t="n"/>
      <c r="L771" s="334" t="n"/>
      <c r="M771" s="334" t="n"/>
      <c r="N771" s="339" t="n"/>
      <c r="O771" s="368" t="n"/>
      <c r="P771" s="334" t="n"/>
    </row>
    <row r="772">
      <c r="A772" s="334" t="n"/>
      <c r="B772" s="334" t="n"/>
      <c r="C772" s="334" t="n"/>
      <c r="D772" s="334" t="n"/>
      <c r="E772" s="334" t="n"/>
      <c r="F772" s="334" t="n"/>
      <c r="G772" s="334" t="n"/>
      <c r="H772" s="334" t="n"/>
      <c r="I772" s="334" t="n"/>
      <c r="J772" s="334" t="n"/>
      <c r="K772" s="334" t="n"/>
      <c r="L772" s="334" t="n"/>
      <c r="M772" s="334" t="n"/>
      <c r="N772" s="339" t="n"/>
      <c r="O772" s="368" t="n"/>
      <c r="P772" s="334" t="n"/>
    </row>
    <row r="773">
      <c r="A773" s="334" t="n"/>
      <c r="B773" s="334" t="n"/>
      <c r="C773" s="334" t="n"/>
      <c r="D773" s="334" t="n"/>
      <c r="E773" s="334" t="n"/>
      <c r="F773" s="334" t="n"/>
      <c r="G773" s="334" t="n"/>
      <c r="H773" s="334" t="n"/>
      <c r="I773" s="334" t="n"/>
      <c r="J773" s="334" t="n"/>
      <c r="K773" s="334" t="n"/>
      <c r="L773" s="334" t="n"/>
      <c r="M773" s="334" t="n"/>
      <c r="N773" s="339" t="n"/>
      <c r="O773" s="368" t="n"/>
      <c r="P773" s="334" t="n"/>
    </row>
    <row r="774">
      <c r="A774" s="334" t="n"/>
      <c r="B774" s="334" t="n"/>
      <c r="C774" s="334" t="n"/>
      <c r="D774" s="334" t="n"/>
      <c r="E774" s="334" t="n"/>
      <c r="F774" s="334" t="n"/>
      <c r="G774" s="334" t="n"/>
      <c r="H774" s="334" t="n"/>
      <c r="I774" s="334" t="n"/>
      <c r="J774" s="334" t="n"/>
      <c r="K774" s="334" t="n"/>
      <c r="L774" s="334" t="n"/>
      <c r="M774" s="334" t="n"/>
      <c r="N774" s="339" t="n"/>
      <c r="O774" s="368" t="n"/>
      <c r="P774" s="334" t="n"/>
    </row>
    <row r="775">
      <c r="A775" s="334" t="n"/>
      <c r="B775" s="334" t="n"/>
      <c r="C775" s="334" t="n"/>
      <c r="D775" s="334" t="n"/>
      <c r="E775" s="334" t="n"/>
      <c r="F775" s="334" t="n"/>
      <c r="G775" s="334" t="n"/>
      <c r="H775" s="334" t="n"/>
      <c r="I775" s="334" t="n"/>
      <c r="J775" s="334" t="n"/>
      <c r="K775" s="334" t="n"/>
      <c r="L775" s="334" t="n"/>
      <c r="M775" s="334" t="n"/>
      <c r="N775" s="339" t="n"/>
      <c r="O775" s="368" t="n"/>
      <c r="P775" s="334" t="n"/>
    </row>
    <row r="776">
      <c r="A776" s="334" t="n"/>
      <c r="B776" s="334" t="n"/>
      <c r="C776" s="334" t="n"/>
      <c r="D776" s="334" t="n"/>
      <c r="E776" s="334" t="n"/>
      <c r="F776" s="334" t="n"/>
      <c r="G776" s="334" t="n"/>
      <c r="H776" s="334" t="n"/>
      <c r="I776" s="334" t="n"/>
      <c r="J776" s="334" t="n"/>
      <c r="K776" s="334" t="n"/>
      <c r="L776" s="334" t="n"/>
      <c r="M776" s="334" t="n"/>
      <c r="N776" s="339" t="n"/>
      <c r="O776" s="368" t="n"/>
      <c r="P776" s="334" t="n"/>
    </row>
    <row r="777">
      <c r="A777" s="334" t="n"/>
      <c r="B777" s="334" t="n"/>
      <c r="C777" s="334" t="n"/>
      <c r="D777" s="334" t="n"/>
      <c r="E777" s="334" t="n"/>
      <c r="F777" s="334" t="n"/>
      <c r="G777" s="334" t="n"/>
      <c r="H777" s="334" t="n"/>
      <c r="I777" s="334" t="n"/>
      <c r="J777" s="334" t="n"/>
      <c r="K777" s="334" t="n"/>
      <c r="L777" s="334" t="n"/>
      <c r="M777" s="334" t="n"/>
      <c r="N777" s="339" t="n"/>
      <c r="O777" s="368" t="n"/>
      <c r="P777" s="334" t="n"/>
    </row>
    <row r="778">
      <c r="A778" s="334" t="n"/>
      <c r="B778" s="334" t="n"/>
      <c r="C778" s="334" t="n"/>
      <c r="D778" s="334" t="n"/>
      <c r="E778" s="334" t="n"/>
      <c r="F778" s="334" t="n"/>
      <c r="G778" s="334" t="n"/>
      <c r="H778" s="334" t="n"/>
      <c r="I778" s="334" t="n"/>
      <c r="J778" s="334" t="n"/>
      <c r="K778" s="334" t="n"/>
      <c r="L778" s="334" t="n"/>
      <c r="M778" s="334" t="n"/>
      <c r="N778" s="339" t="n"/>
      <c r="O778" s="368" t="n"/>
      <c r="P778" s="334" t="n"/>
    </row>
    <row r="779">
      <c r="A779" s="334" t="n"/>
      <c r="B779" s="334" t="n"/>
      <c r="C779" s="334" t="n"/>
      <c r="D779" s="334" t="n"/>
      <c r="E779" s="334" t="n"/>
      <c r="F779" s="334" t="n"/>
      <c r="G779" s="334" t="n"/>
      <c r="H779" s="334" t="n"/>
      <c r="I779" s="334" t="n"/>
      <c r="J779" s="334" t="n"/>
      <c r="K779" s="334" t="n"/>
      <c r="L779" s="334" t="n"/>
      <c r="M779" s="334" t="n"/>
      <c r="N779" s="339" t="n"/>
      <c r="O779" s="368" t="n"/>
      <c r="P779" s="334" t="n"/>
    </row>
    <row r="780">
      <c r="A780" s="334" t="n"/>
      <c r="B780" s="334" t="n"/>
      <c r="C780" s="334" t="n"/>
      <c r="D780" s="334" t="n"/>
      <c r="E780" s="334" t="n"/>
      <c r="F780" s="334" t="n"/>
      <c r="G780" s="334" t="n"/>
      <c r="H780" s="334" t="n"/>
      <c r="I780" s="334" t="n"/>
      <c r="J780" s="334" t="n"/>
      <c r="K780" s="334" t="n"/>
      <c r="L780" s="334" t="n"/>
      <c r="M780" s="334" t="n"/>
      <c r="N780" s="339" t="n"/>
      <c r="O780" s="368" t="n"/>
      <c r="P780" s="334" t="n"/>
    </row>
    <row r="781">
      <c r="A781" s="334" t="n"/>
      <c r="B781" s="334" t="n"/>
      <c r="C781" s="334" t="n"/>
      <c r="D781" s="334" t="n"/>
      <c r="E781" s="334" t="n"/>
      <c r="F781" s="334" t="n"/>
      <c r="G781" s="334" t="n"/>
      <c r="H781" s="334" t="n"/>
      <c r="I781" s="334" t="n"/>
      <c r="J781" s="334" t="n"/>
      <c r="K781" s="334" t="n"/>
      <c r="L781" s="334" t="n"/>
      <c r="M781" s="334" t="n"/>
      <c r="N781" s="339" t="n"/>
      <c r="O781" s="368" t="n"/>
      <c r="P781" s="334" t="n"/>
    </row>
    <row r="782">
      <c r="A782" s="334" t="n"/>
      <c r="B782" s="334" t="n"/>
      <c r="C782" s="334" t="n"/>
      <c r="D782" s="334" t="n"/>
      <c r="E782" s="334" t="n"/>
      <c r="F782" s="334" t="n"/>
      <c r="G782" s="334" t="n"/>
      <c r="H782" s="334" t="n"/>
      <c r="I782" s="334" t="n"/>
      <c r="J782" s="334" t="n"/>
      <c r="K782" s="334" t="n"/>
      <c r="L782" s="334" t="n"/>
      <c r="M782" s="334" t="n"/>
      <c r="N782" s="339" t="n"/>
      <c r="O782" s="368" t="n"/>
      <c r="P782" s="334" t="n"/>
    </row>
    <row r="783">
      <c r="A783" s="334" t="n"/>
      <c r="B783" s="334" t="n"/>
      <c r="C783" s="334" t="n"/>
      <c r="D783" s="334" t="n"/>
      <c r="E783" s="334" t="n"/>
      <c r="F783" s="334" t="n"/>
      <c r="G783" s="334" t="n"/>
      <c r="H783" s="334" t="n"/>
      <c r="I783" s="334" t="n"/>
      <c r="J783" s="334" t="n"/>
      <c r="K783" s="334" t="n"/>
      <c r="L783" s="334" t="n"/>
      <c r="M783" s="334" t="n"/>
      <c r="N783" s="339" t="n"/>
      <c r="O783" s="368" t="n"/>
      <c r="P783" s="334" t="n"/>
    </row>
    <row r="784">
      <c r="A784" s="334" t="n"/>
      <c r="B784" s="334" t="n"/>
      <c r="C784" s="334" t="n"/>
      <c r="D784" s="334" t="n"/>
      <c r="E784" s="334" t="n"/>
      <c r="F784" s="334" t="n"/>
      <c r="G784" s="334" t="n"/>
      <c r="H784" s="334" t="n"/>
      <c r="I784" s="334" t="n"/>
      <c r="J784" s="334" t="n"/>
      <c r="K784" s="334" t="n"/>
      <c r="L784" s="334" t="n"/>
      <c r="M784" s="334" t="n"/>
      <c r="N784" s="339" t="n"/>
      <c r="O784" s="368" t="n"/>
      <c r="P784" s="334" t="n"/>
    </row>
    <row r="785">
      <c r="A785" s="334" t="n"/>
      <c r="B785" s="334" t="n"/>
      <c r="C785" s="334" t="n"/>
      <c r="D785" s="334" t="n"/>
      <c r="E785" s="334" t="n"/>
      <c r="F785" s="334" t="n"/>
      <c r="G785" s="334" t="n"/>
      <c r="H785" s="334" t="n"/>
      <c r="I785" s="334" t="n"/>
      <c r="J785" s="334" t="n"/>
      <c r="K785" s="334" t="n"/>
      <c r="L785" s="334" t="n"/>
      <c r="M785" s="334" t="n"/>
      <c r="N785" s="339" t="n"/>
      <c r="O785" s="368" t="n"/>
      <c r="P785" s="334" t="n"/>
    </row>
    <row r="786">
      <c r="A786" s="334" t="n"/>
      <c r="B786" s="334" t="n"/>
      <c r="C786" s="334" t="n"/>
      <c r="D786" s="334" t="n"/>
      <c r="E786" s="334" t="n"/>
      <c r="F786" s="334" t="n"/>
      <c r="G786" s="334" t="n"/>
      <c r="H786" s="334" t="n"/>
      <c r="I786" s="334" t="n"/>
      <c r="J786" s="334" t="n"/>
      <c r="K786" s="334" t="n"/>
      <c r="L786" s="334" t="n"/>
      <c r="M786" s="334" t="n"/>
      <c r="N786" s="339" t="n"/>
      <c r="O786" s="368" t="n"/>
      <c r="P786" s="334" t="n"/>
    </row>
    <row r="787">
      <c r="A787" s="334" t="n"/>
      <c r="B787" s="334" t="n"/>
      <c r="C787" s="334" t="n"/>
      <c r="D787" s="334" t="n"/>
      <c r="E787" s="334" t="n"/>
      <c r="F787" s="334" t="n"/>
      <c r="G787" s="334" t="n"/>
      <c r="H787" s="334" t="n"/>
      <c r="I787" s="334" t="n"/>
      <c r="J787" s="334" t="n"/>
      <c r="K787" s="334" t="n"/>
      <c r="L787" s="334" t="n"/>
      <c r="M787" s="334" t="n"/>
      <c r="N787" s="339" t="n"/>
      <c r="O787" s="368" t="n"/>
      <c r="P787" s="334" t="n"/>
    </row>
    <row r="788">
      <c r="A788" s="334" t="n"/>
      <c r="B788" s="334" t="n"/>
      <c r="C788" s="334" t="n"/>
      <c r="D788" s="334" t="n"/>
      <c r="E788" s="334" t="n"/>
      <c r="F788" s="334" t="n"/>
      <c r="G788" s="334" t="n"/>
      <c r="H788" s="334" t="n"/>
      <c r="I788" s="334" t="n"/>
      <c r="J788" s="334" t="n"/>
      <c r="K788" s="334" t="n"/>
      <c r="L788" s="334" t="n"/>
      <c r="M788" s="334" t="n"/>
      <c r="N788" s="339" t="n"/>
      <c r="O788" s="368" t="n"/>
      <c r="P788" s="334" t="n"/>
    </row>
    <row r="789">
      <c r="A789" s="334" t="n"/>
      <c r="B789" s="334" t="n"/>
      <c r="C789" s="334" t="n"/>
      <c r="D789" s="334" t="n"/>
      <c r="E789" s="334" t="n"/>
      <c r="F789" s="334" t="n"/>
      <c r="G789" s="334" t="n"/>
      <c r="H789" s="334" t="n"/>
      <c r="I789" s="334" t="n"/>
      <c r="J789" s="334" t="n"/>
      <c r="K789" s="334" t="n"/>
      <c r="L789" s="334" t="n"/>
      <c r="M789" s="334" t="n"/>
      <c r="N789" s="339" t="n"/>
      <c r="O789" s="368" t="n"/>
      <c r="P789" s="334" t="n"/>
    </row>
    <row r="790">
      <c r="A790" s="334" t="n"/>
      <c r="B790" s="334" t="n"/>
      <c r="C790" s="334" t="n"/>
      <c r="D790" s="334" t="n"/>
      <c r="E790" s="334" t="n"/>
      <c r="F790" s="334" t="n"/>
      <c r="G790" s="334" t="n"/>
      <c r="H790" s="334" t="n"/>
      <c r="I790" s="334" t="n"/>
      <c r="J790" s="334" t="n"/>
      <c r="K790" s="334" t="n"/>
      <c r="L790" s="334" t="n"/>
      <c r="M790" s="334" t="n"/>
      <c r="N790" s="339" t="n"/>
      <c r="O790" s="368" t="n"/>
      <c r="P790" s="334" t="n"/>
    </row>
    <row r="791">
      <c r="A791" s="334" t="n"/>
      <c r="B791" s="334" t="n"/>
      <c r="C791" s="334" t="n"/>
      <c r="D791" s="334" t="n"/>
      <c r="E791" s="334" t="n"/>
      <c r="F791" s="334" t="n"/>
      <c r="G791" s="334" t="n"/>
      <c r="H791" s="334" t="n"/>
      <c r="I791" s="334" t="n"/>
      <c r="J791" s="334" t="n"/>
      <c r="K791" s="334" t="n"/>
      <c r="L791" s="334" t="n"/>
      <c r="M791" s="334" t="n"/>
      <c r="N791" s="339" t="n"/>
      <c r="O791" s="368" t="n"/>
      <c r="P791" s="334" t="n"/>
    </row>
    <row r="792">
      <c r="A792" s="334" t="n"/>
      <c r="B792" s="334" t="n"/>
      <c r="C792" s="334" t="n"/>
      <c r="D792" s="334" t="n"/>
      <c r="E792" s="334" t="n"/>
      <c r="F792" s="334" t="n"/>
      <c r="G792" s="334" t="n"/>
      <c r="H792" s="334" t="n"/>
      <c r="I792" s="334" t="n"/>
      <c r="J792" s="334" t="n"/>
      <c r="K792" s="334" t="n"/>
      <c r="L792" s="334" t="n"/>
      <c r="M792" s="334" t="n"/>
      <c r="N792" s="339" t="n"/>
      <c r="O792" s="368" t="n"/>
      <c r="P792" s="334" t="n"/>
    </row>
    <row r="793">
      <c r="A793" s="334" t="n"/>
      <c r="B793" s="334" t="n"/>
      <c r="C793" s="334" t="n"/>
      <c r="D793" s="334" t="n"/>
      <c r="E793" s="334" t="n"/>
      <c r="F793" s="334" t="n"/>
      <c r="G793" s="334" t="n"/>
      <c r="H793" s="334" t="n"/>
      <c r="I793" s="334" t="n"/>
      <c r="J793" s="334" t="n"/>
      <c r="K793" s="334" t="n"/>
      <c r="L793" s="334" t="n"/>
      <c r="M793" s="334" t="n"/>
      <c r="N793" s="339" t="n"/>
      <c r="O793" s="368" t="n"/>
      <c r="P793" s="334" t="n"/>
    </row>
    <row r="794">
      <c r="A794" s="334" t="n"/>
      <c r="B794" s="334" t="n"/>
      <c r="C794" s="334" t="n"/>
      <c r="D794" s="334" t="n"/>
      <c r="E794" s="334" t="n"/>
      <c r="F794" s="334" t="n"/>
      <c r="G794" s="334" t="n"/>
      <c r="H794" s="334" t="n"/>
      <c r="I794" s="334" t="n"/>
      <c r="J794" s="334" t="n"/>
      <c r="K794" s="334" t="n"/>
      <c r="L794" s="334" t="n"/>
      <c r="M794" s="334" t="n"/>
      <c r="N794" s="339" t="n"/>
      <c r="O794" s="368" t="n"/>
      <c r="P794" s="334" t="n"/>
    </row>
    <row r="795">
      <c r="A795" s="334" t="n"/>
      <c r="B795" s="334" t="n"/>
      <c r="C795" s="334" t="n"/>
      <c r="D795" s="334" t="n"/>
      <c r="E795" s="334" t="n"/>
      <c r="F795" s="334" t="n"/>
      <c r="G795" s="334" t="n"/>
      <c r="H795" s="334" t="n"/>
      <c r="I795" s="334" t="n"/>
      <c r="J795" s="334" t="n"/>
      <c r="K795" s="334" t="n"/>
      <c r="L795" s="334" t="n"/>
      <c r="M795" s="334" t="n"/>
      <c r="N795" s="339" t="n"/>
      <c r="O795" s="368" t="n"/>
      <c r="P795" s="334" t="n"/>
    </row>
    <row r="796">
      <c r="A796" s="334" t="n"/>
      <c r="B796" s="334" t="n"/>
      <c r="C796" s="334" t="n"/>
      <c r="D796" s="334" t="n"/>
      <c r="E796" s="334" t="n"/>
      <c r="F796" s="334" t="n"/>
      <c r="G796" s="334" t="n"/>
      <c r="H796" s="334" t="n"/>
      <c r="I796" s="334" t="n"/>
      <c r="J796" s="334" t="n"/>
      <c r="K796" s="334" t="n"/>
      <c r="L796" s="334" t="n"/>
      <c r="M796" s="334" t="n"/>
      <c r="N796" s="339" t="n"/>
      <c r="O796" s="368" t="n"/>
      <c r="P796" s="334" t="n"/>
    </row>
    <row r="797">
      <c r="A797" s="334" t="n"/>
      <c r="B797" s="334" t="n"/>
      <c r="C797" s="334" t="n"/>
      <c r="D797" s="334" t="n"/>
      <c r="E797" s="334" t="n"/>
      <c r="F797" s="334" t="n"/>
      <c r="G797" s="334" t="n"/>
      <c r="H797" s="334" t="n"/>
      <c r="I797" s="334" t="n"/>
      <c r="J797" s="334" t="n"/>
      <c r="K797" s="334" t="n"/>
      <c r="L797" s="334" t="n"/>
      <c r="M797" s="334" t="n"/>
      <c r="N797" s="339" t="n"/>
      <c r="O797" s="368" t="n"/>
      <c r="P797" s="334" t="n"/>
    </row>
    <row r="798">
      <c r="A798" s="334" t="n"/>
      <c r="B798" s="334" t="n"/>
      <c r="C798" s="334" t="n"/>
      <c r="D798" s="334" t="n"/>
      <c r="E798" s="334" t="n"/>
      <c r="F798" s="334" t="n"/>
      <c r="G798" s="334" t="n"/>
      <c r="H798" s="334" t="n"/>
      <c r="I798" s="334" t="n"/>
      <c r="J798" s="334" t="n"/>
      <c r="K798" s="334" t="n"/>
      <c r="L798" s="334" t="n"/>
      <c r="M798" s="334" t="n"/>
      <c r="N798" s="339" t="n"/>
      <c r="O798" s="368" t="n"/>
      <c r="P798" s="334" t="n"/>
    </row>
    <row r="799">
      <c r="A799" s="334" t="n"/>
      <c r="B799" s="334" t="n"/>
      <c r="C799" s="334" t="n"/>
      <c r="D799" s="334" t="n"/>
      <c r="E799" s="334" t="n"/>
      <c r="F799" s="334" t="n"/>
      <c r="G799" s="334" t="n"/>
      <c r="H799" s="334" t="n"/>
      <c r="I799" s="334" t="n"/>
      <c r="J799" s="334" t="n"/>
      <c r="K799" s="334" t="n"/>
      <c r="L799" s="334" t="n"/>
      <c r="M799" s="334" t="n"/>
      <c r="N799" s="339" t="n"/>
      <c r="O799" s="368" t="n"/>
      <c r="P799" s="334" t="n"/>
    </row>
    <row r="800">
      <c r="A800" s="334" t="n"/>
      <c r="B800" s="334" t="n"/>
      <c r="C800" s="334" t="n"/>
      <c r="D800" s="334" t="n"/>
      <c r="E800" s="334" t="n"/>
      <c r="F800" s="334" t="n"/>
      <c r="G800" s="334" t="n"/>
      <c r="H800" s="334" t="n"/>
      <c r="I800" s="334" t="n"/>
      <c r="J800" s="334" t="n"/>
      <c r="K800" s="334" t="n"/>
      <c r="L800" s="334" t="n"/>
      <c r="M800" s="334" t="n"/>
      <c r="N800" s="339" t="n"/>
      <c r="O800" s="368" t="n"/>
      <c r="P800" s="334" t="n"/>
    </row>
    <row r="801">
      <c r="A801" s="334" t="n"/>
      <c r="B801" s="334" t="n"/>
      <c r="C801" s="334" t="n"/>
      <c r="D801" s="334" t="n"/>
      <c r="E801" s="334" t="n"/>
      <c r="F801" s="334" t="n"/>
      <c r="G801" s="334" t="n"/>
      <c r="H801" s="334" t="n"/>
      <c r="I801" s="334" t="n"/>
      <c r="J801" s="334" t="n"/>
      <c r="K801" s="334" t="n"/>
      <c r="L801" s="334" t="n"/>
      <c r="M801" s="334" t="n"/>
      <c r="N801" s="339" t="n"/>
      <c r="O801" s="368" t="n"/>
      <c r="P801" s="334" t="n"/>
    </row>
    <row r="802">
      <c r="A802" s="334" t="n"/>
      <c r="B802" s="334" t="n"/>
      <c r="C802" s="334" t="n"/>
      <c r="D802" s="334" t="n"/>
      <c r="E802" s="334" t="n"/>
      <c r="F802" s="334" t="n"/>
      <c r="G802" s="334" t="n"/>
      <c r="H802" s="334" t="n"/>
      <c r="I802" s="334" t="n"/>
      <c r="J802" s="334" t="n"/>
      <c r="K802" s="334" t="n"/>
      <c r="L802" s="334" t="n"/>
      <c r="M802" s="334" t="n"/>
      <c r="N802" s="339" t="n"/>
      <c r="O802" s="368" t="n"/>
      <c r="P802" s="334" t="n"/>
    </row>
    <row r="803">
      <c r="A803" s="334" t="n"/>
      <c r="B803" s="334" t="n"/>
      <c r="C803" s="334" t="n"/>
      <c r="D803" s="334" t="n"/>
      <c r="E803" s="334" t="n"/>
      <c r="F803" s="334" t="n"/>
      <c r="G803" s="334" t="n"/>
      <c r="H803" s="334" t="n"/>
      <c r="I803" s="334" t="n"/>
      <c r="J803" s="334" t="n"/>
      <c r="K803" s="334" t="n"/>
      <c r="L803" s="334" t="n"/>
      <c r="M803" s="334" t="n"/>
      <c r="N803" s="339" t="n"/>
      <c r="O803" s="368" t="n"/>
      <c r="P803" s="334" t="n"/>
    </row>
    <row r="804">
      <c r="A804" s="334" t="n"/>
      <c r="B804" s="334" t="n"/>
      <c r="C804" s="334" t="n"/>
      <c r="D804" s="334" t="n"/>
      <c r="E804" s="334" t="n"/>
      <c r="F804" s="334" t="n"/>
      <c r="G804" s="334" t="n"/>
      <c r="H804" s="334" t="n"/>
      <c r="I804" s="334" t="n"/>
      <c r="J804" s="334" t="n"/>
      <c r="K804" s="334" t="n"/>
      <c r="L804" s="334" t="n"/>
      <c r="M804" s="334" t="n"/>
      <c r="N804" s="339" t="n"/>
      <c r="O804" s="368" t="n"/>
      <c r="P804" s="334" t="n"/>
    </row>
    <row r="805">
      <c r="A805" s="334" t="n"/>
      <c r="B805" s="334" t="n"/>
      <c r="C805" s="334" t="n"/>
      <c r="D805" s="334" t="n"/>
      <c r="E805" s="334" t="n"/>
      <c r="F805" s="334" t="n"/>
      <c r="G805" s="334" t="n"/>
      <c r="H805" s="334" t="n"/>
      <c r="I805" s="334" t="n"/>
      <c r="J805" s="334" t="n"/>
      <c r="K805" s="334" t="n"/>
      <c r="L805" s="334" t="n"/>
      <c r="M805" s="334" t="n"/>
      <c r="N805" s="339" t="n"/>
      <c r="O805" s="368" t="n"/>
      <c r="P805" s="334" t="n"/>
    </row>
    <row r="806">
      <c r="A806" s="334" t="n"/>
      <c r="B806" s="334" t="n"/>
      <c r="C806" s="334" t="n"/>
      <c r="D806" s="334" t="n"/>
      <c r="E806" s="334" t="n"/>
      <c r="F806" s="334" t="n"/>
      <c r="G806" s="334" t="n"/>
      <c r="H806" s="334" t="n"/>
      <c r="I806" s="334" t="n"/>
      <c r="J806" s="334" t="n"/>
      <c r="K806" s="334" t="n"/>
      <c r="L806" s="334" t="n"/>
      <c r="M806" s="334" t="n"/>
      <c r="N806" s="339" t="n"/>
      <c r="O806" s="368" t="n"/>
      <c r="P806" s="334" t="n"/>
    </row>
    <row r="807">
      <c r="A807" s="334" t="n"/>
      <c r="B807" s="334" t="n"/>
      <c r="C807" s="334" t="n"/>
      <c r="D807" s="334" t="n"/>
      <c r="E807" s="334" t="n"/>
      <c r="F807" s="334" t="n"/>
      <c r="G807" s="334" t="n"/>
      <c r="H807" s="334" t="n"/>
      <c r="I807" s="334" t="n"/>
      <c r="J807" s="334" t="n"/>
      <c r="K807" s="334" t="n"/>
      <c r="L807" s="334" t="n"/>
      <c r="M807" s="334" t="n"/>
      <c r="N807" s="339" t="n"/>
      <c r="O807" s="368" t="n"/>
      <c r="P807" s="334" t="n"/>
    </row>
    <row r="808">
      <c r="A808" s="334" t="n"/>
      <c r="B808" s="334" t="n"/>
      <c r="C808" s="334" t="n"/>
      <c r="D808" s="334" t="n"/>
      <c r="E808" s="334" t="n"/>
      <c r="F808" s="334" t="n"/>
      <c r="G808" s="334" t="n"/>
      <c r="H808" s="334" t="n"/>
      <c r="I808" s="334" t="n"/>
      <c r="J808" s="334" t="n"/>
      <c r="K808" s="334" t="n"/>
      <c r="L808" s="334" t="n"/>
      <c r="M808" s="334" t="n"/>
      <c r="N808" s="339" t="n"/>
      <c r="O808" s="368" t="n"/>
      <c r="P808" s="334" t="n"/>
    </row>
    <row r="809">
      <c r="A809" s="334" t="n"/>
      <c r="B809" s="334" t="n"/>
      <c r="C809" s="334" t="n"/>
      <c r="D809" s="334" t="n"/>
      <c r="E809" s="334" t="n"/>
      <c r="F809" s="334" t="n"/>
      <c r="G809" s="334" t="n"/>
      <c r="H809" s="334" t="n"/>
      <c r="I809" s="334" t="n"/>
      <c r="J809" s="334" t="n"/>
      <c r="K809" s="334" t="n"/>
      <c r="L809" s="334" t="n"/>
      <c r="M809" s="334" t="n"/>
      <c r="N809" s="339" t="n"/>
      <c r="O809" s="368" t="n"/>
      <c r="P809" s="334" t="n"/>
    </row>
    <row r="810">
      <c r="A810" s="334" t="n"/>
      <c r="B810" s="334" t="n"/>
      <c r="C810" s="334" t="n"/>
      <c r="D810" s="334" t="n"/>
      <c r="E810" s="334" t="n"/>
      <c r="F810" s="334" t="n"/>
      <c r="G810" s="334" t="n"/>
      <c r="H810" s="334" t="n"/>
      <c r="I810" s="334" t="n"/>
      <c r="J810" s="334" t="n"/>
      <c r="K810" s="334" t="n"/>
      <c r="L810" s="334" t="n"/>
      <c r="M810" s="334" t="n"/>
      <c r="N810" s="339" t="n"/>
      <c r="O810" s="368" t="n"/>
      <c r="P810" s="334" t="n"/>
    </row>
    <row r="811">
      <c r="A811" s="334" t="n"/>
      <c r="B811" s="334" t="n"/>
      <c r="C811" s="334" t="n"/>
      <c r="D811" s="334" t="n"/>
      <c r="E811" s="334" t="n"/>
      <c r="F811" s="334" t="n"/>
      <c r="G811" s="334" t="n"/>
      <c r="H811" s="334" t="n"/>
      <c r="I811" s="334" t="n"/>
      <c r="J811" s="334" t="n"/>
      <c r="K811" s="334" t="n"/>
      <c r="L811" s="334" t="n"/>
      <c r="M811" s="334" t="n"/>
      <c r="N811" s="339" t="n"/>
      <c r="O811" s="368" t="n"/>
      <c r="P811" s="334" t="n"/>
    </row>
    <row r="812">
      <c r="A812" s="334" t="n"/>
      <c r="B812" s="334" t="n"/>
      <c r="C812" s="334" t="n"/>
      <c r="D812" s="334" t="n"/>
      <c r="E812" s="334" t="n"/>
      <c r="F812" s="334" t="n"/>
      <c r="G812" s="334" t="n"/>
      <c r="H812" s="334" t="n"/>
      <c r="I812" s="334" t="n"/>
      <c r="J812" s="334" t="n"/>
      <c r="K812" s="334" t="n"/>
      <c r="L812" s="334" t="n"/>
      <c r="M812" s="334" t="n"/>
      <c r="N812" s="339" t="n"/>
      <c r="O812" s="368" t="n"/>
      <c r="P812" s="334" t="n"/>
    </row>
    <row r="813">
      <c r="A813" s="334" t="n"/>
      <c r="B813" s="334" t="n"/>
      <c r="C813" s="334" t="n"/>
      <c r="D813" s="334" t="n"/>
      <c r="E813" s="334" t="n"/>
      <c r="F813" s="334" t="n"/>
      <c r="G813" s="334" t="n"/>
      <c r="H813" s="334" t="n"/>
      <c r="I813" s="334" t="n"/>
      <c r="J813" s="334" t="n"/>
      <c r="K813" s="334" t="n"/>
      <c r="L813" s="334" t="n"/>
      <c r="M813" s="334" t="n"/>
      <c r="N813" s="339" t="n"/>
      <c r="O813" s="368" t="n"/>
      <c r="P813" s="334" t="n"/>
    </row>
    <row r="814">
      <c r="A814" s="334" t="n"/>
      <c r="B814" s="334" t="n"/>
      <c r="C814" s="334" t="n"/>
      <c r="D814" s="334" t="n"/>
      <c r="E814" s="334" t="n"/>
      <c r="F814" s="334" t="n"/>
      <c r="G814" s="334" t="n"/>
      <c r="H814" s="334" t="n"/>
      <c r="I814" s="334" t="n"/>
      <c r="J814" s="334" t="n"/>
      <c r="K814" s="334" t="n"/>
      <c r="L814" s="334" t="n"/>
      <c r="M814" s="334" t="n"/>
      <c r="N814" s="339" t="n"/>
      <c r="O814" s="368" t="n"/>
      <c r="P814" s="334" t="n"/>
    </row>
    <row r="815">
      <c r="A815" s="334" t="n"/>
      <c r="B815" s="334" t="n"/>
      <c r="C815" s="334" t="n"/>
      <c r="D815" s="334" t="n"/>
      <c r="E815" s="334" t="n"/>
      <c r="F815" s="334" t="n"/>
      <c r="G815" s="334" t="n"/>
      <c r="H815" s="334" t="n"/>
      <c r="I815" s="334" t="n"/>
      <c r="J815" s="334" t="n"/>
      <c r="K815" s="334" t="n"/>
      <c r="L815" s="334" t="n"/>
      <c r="M815" s="334" t="n"/>
      <c r="N815" s="339" t="n"/>
      <c r="O815" s="368" t="n"/>
      <c r="P815" s="334" t="n"/>
    </row>
    <row r="816">
      <c r="A816" s="334" t="n"/>
      <c r="B816" s="334" t="n"/>
      <c r="C816" s="334" t="n"/>
      <c r="D816" s="334" t="n"/>
      <c r="E816" s="334" t="n"/>
      <c r="F816" s="334" t="n"/>
      <c r="G816" s="334" t="n"/>
      <c r="H816" s="334" t="n"/>
      <c r="I816" s="334" t="n"/>
      <c r="J816" s="334" t="n"/>
      <c r="K816" s="334" t="n"/>
      <c r="L816" s="334" t="n"/>
      <c r="M816" s="334" t="n"/>
      <c r="N816" s="339" t="n"/>
      <c r="O816" s="368" t="n"/>
      <c r="P816" s="334" t="n"/>
    </row>
    <row r="817">
      <c r="A817" s="334" t="n"/>
      <c r="B817" s="334" t="n"/>
      <c r="C817" s="334" t="n"/>
      <c r="D817" s="334" t="n"/>
      <c r="E817" s="334" t="n"/>
      <c r="F817" s="334" t="n"/>
      <c r="G817" s="334" t="n"/>
      <c r="H817" s="334" t="n"/>
      <c r="I817" s="334" t="n"/>
      <c r="J817" s="334" t="n"/>
      <c r="K817" s="334" t="n"/>
      <c r="L817" s="334" t="n"/>
      <c r="M817" s="334" t="n"/>
      <c r="N817" s="339" t="n"/>
      <c r="O817" s="368" t="n"/>
      <c r="P817" s="334" t="n"/>
    </row>
    <row r="818">
      <c r="A818" s="334" t="n"/>
      <c r="B818" s="334" t="n"/>
      <c r="C818" s="334" t="n"/>
      <c r="D818" s="334" t="n"/>
      <c r="E818" s="334" t="n"/>
      <c r="F818" s="334" t="n"/>
      <c r="G818" s="334" t="n"/>
      <c r="H818" s="334" t="n"/>
      <c r="I818" s="334" t="n"/>
      <c r="J818" s="334" t="n"/>
      <c r="K818" s="334" t="n"/>
      <c r="L818" s="334" t="n"/>
      <c r="M818" s="334" t="n"/>
      <c r="N818" s="339" t="n"/>
      <c r="O818" s="368" t="n"/>
      <c r="P818" s="334" t="n"/>
    </row>
    <row r="819">
      <c r="A819" s="334" t="n"/>
      <c r="B819" s="334" t="n"/>
      <c r="C819" s="334" t="n"/>
      <c r="D819" s="334" t="n"/>
      <c r="E819" s="334" t="n"/>
      <c r="F819" s="334" t="n"/>
      <c r="G819" s="334" t="n"/>
      <c r="H819" s="334" t="n"/>
      <c r="I819" s="334" t="n"/>
      <c r="J819" s="334" t="n"/>
      <c r="K819" s="334" t="n"/>
      <c r="L819" s="334" t="n"/>
      <c r="M819" s="334" t="n"/>
      <c r="N819" s="339" t="n"/>
      <c r="O819" s="368" t="n"/>
      <c r="P819" s="334" t="n"/>
    </row>
    <row r="820">
      <c r="A820" s="334" t="n"/>
      <c r="B820" s="334" t="n"/>
      <c r="C820" s="334" t="n"/>
      <c r="D820" s="334" t="n"/>
      <c r="E820" s="334" t="n"/>
      <c r="F820" s="334" t="n"/>
      <c r="G820" s="334" t="n"/>
      <c r="H820" s="334" t="n"/>
      <c r="I820" s="334" t="n"/>
      <c r="J820" s="334" t="n"/>
      <c r="K820" s="334" t="n"/>
      <c r="L820" s="334" t="n"/>
      <c r="M820" s="334" t="n"/>
      <c r="N820" s="339" t="n"/>
      <c r="O820" s="368" t="n"/>
      <c r="P820" s="334" t="n"/>
    </row>
    <row r="821">
      <c r="A821" s="334" t="n"/>
      <c r="B821" s="334" t="n"/>
      <c r="C821" s="334" t="n"/>
      <c r="D821" s="334" t="n"/>
      <c r="E821" s="334" t="n"/>
      <c r="F821" s="334" t="n"/>
      <c r="G821" s="334" t="n"/>
      <c r="H821" s="334" t="n"/>
      <c r="I821" s="334" t="n"/>
      <c r="J821" s="334" t="n"/>
      <c r="K821" s="334" t="n"/>
      <c r="L821" s="334" t="n"/>
      <c r="M821" s="334" t="n"/>
      <c r="N821" s="339" t="n"/>
      <c r="O821" s="368" t="n"/>
      <c r="P821" s="334" t="n"/>
    </row>
    <row r="822">
      <c r="A822" s="334" t="n"/>
      <c r="B822" s="334" t="n"/>
      <c r="C822" s="334" t="n"/>
      <c r="D822" s="334" t="n"/>
      <c r="E822" s="334" t="n"/>
      <c r="F822" s="334" t="n"/>
      <c r="G822" s="334" t="n"/>
      <c r="H822" s="334" t="n"/>
      <c r="I822" s="334" t="n"/>
      <c r="J822" s="334" t="n"/>
      <c r="K822" s="334" t="n"/>
      <c r="L822" s="334" t="n"/>
      <c r="M822" s="334" t="n"/>
      <c r="N822" s="339" t="n"/>
      <c r="O822" s="368" t="n"/>
      <c r="P822" s="334" t="n"/>
    </row>
    <row r="823">
      <c r="A823" s="334" t="n"/>
      <c r="B823" s="334" t="n"/>
      <c r="C823" s="334" t="n"/>
      <c r="D823" s="334" t="n"/>
      <c r="E823" s="334" t="n"/>
      <c r="F823" s="334" t="n"/>
      <c r="G823" s="334" t="n"/>
      <c r="H823" s="334" t="n"/>
      <c r="I823" s="334" t="n"/>
      <c r="J823" s="334" t="n"/>
      <c r="K823" s="334" t="n"/>
      <c r="L823" s="334" t="n"/>
      <c r="M823" s="334" t="n"/>
      <c r="N823" s="339" t="n"/>
      <c r="O823" s="368" t="n"/>
      <c r="P823" s="334" t="n"/>
    </row>
    <row r="824">
      <c r="A824" s="334" t="n"/>
      <c r="B824" s="334" t="n"/>
      <c r="C824" s="334" t="n"/>
      <c r="D824" s="334" t="n"/>
      <c r="E824" s="334" t="n"/>
      <c r="F824" s="334" t="n"/>
      <c r="G824" s="334" t="n"/>
      <c r="H824" s="334" t="n"/>
      <c r="I824" s="334" t="n"/>
      <c r="J824" s="334" t="n"/>
      <c r="K824" s="334" t="n"/>
      <c r="L824" s="334" t="n"/>
      <c r="M824" s="334" t="n"/>
      <c r="N824" s="339" t="n"/>
      <c r="O824" s="368" t="n"/>
      <c r="P824" s="334" t="n"/>
    </row>
    <row r="825">
      <c r="A825" s="334" t="n"/>
      <c r="B825" s="334" t="n"/>
      <c r="C825" s="334" t="n"/>
      <c r="D825" s="334" t="n"/>
      <c r="E825" s="334" t="n"/>
      <c r="F825" s="334" t="n"/>
      <c r="G825" s="334" t="n"/>
      <c r="H825" s="334" t="n"/>
      <c r="I825" s="334" t="n"/>
      <c r="J825" s="334" t="n"/>
      <c r="K825" s="334" t="n"/>
      <c r="L825" s="334" t="n"/>
      <c r="M825" s="334" t="n"/>
      <c r="N825" s="339" t="n"/>
      <c r="O825" s="368" t="n"/>
      <c r="P825" s="334" t="n"/>
    </row>
    <row r="826">
      <c r="A826" s="334" t="n"/>
      <c r="B826" s="334" t="n"/>
      <c r="C826" s="334" t="n"/>
      <c r="D826" s="334" t="n"/>
      <c r="E826" s="334" t="n"/>
      <c r="F826" s="334" t="n"/>
      <c r="G826" s="334" t="n"/>
      <c r="H826" s="334" t="n"/>
      <c r="I826" s="334" t="n"/>
      <c r="J826" s="334" t="n"/>
      <c r="K826" s="334" t="n"/>
      <c r="L826" s="334" t="n"/>
      <c r="M826" s="334" t="n"/>
      <c r="N826" s="339" t="n"/>
      <c r="O826" s="368" t="n"/>
      <c r="P826" s="334" t="n"/>
    </row>
    <row r="827">
      <c r="A827" s="334" t="n"/>
      <c r="B827" s="334" t="n"/>
      <c r="C827" s="334" t="n"/>
      <c r="D827" s="334" t="n"/>
      <c r="E827" s="334" t="n"/>
      <c r="F827" s="334" t="n"/>
      <c r="G827" s="334" t="n"/>
      <c r="H827" s="334" t="n"/>
      <c r="I827" s="334" t="n"/>
      <c r="J827" s="334" t="n"/>
      <c r="K827" s="334" t="n"/>
      <c r="L827" s="334" t="n"/>
      <c r="M827" s="334" t="n"/>
      <c r="N827" s="339" t="n"/>
      <c r="O827" s="368" t="n"/>
      <c r="P827" s="334" t="n"/>
    </row>
    <row r="828">
      <c r="A828" s="334" t="n"/>
      <c r="B828" s="334" t="n"/>
      <c r="C828" s="334" t="n"/>
      <c r="D828" s="334" t="n"/>
      <c r="E828" s="334" t="n"/>
      <c r="F828" s="334" t="n"/>
      <c r="G828" s="334" t="n"/>
      <c r="H828" s="334" t="n"/>
      <c r="I828" s="334" t="n"/>
      <c r="J828" s="334" t="n"/>
      <c r="K828" s="334" t="n"/>
      <c r="L828" s="334" t="n"/>
      <c r="M828" s="334" t="n"/>
      <c r="N828" s="339" t="n"/>
      <c r="O828" s="368" t="n"/>
      <c r="P828" s="334" t="n"/>
    </row>
    <row r="829">
      <c r="A829" s="334" t="n"/>
      <c r="B829" s="334" t="n"/>
      <c r="C829" s="334" t="n"/>
      <c r="D829" s="334" t="n"/>
      <c r="E829" s="334" t="n"/>
      <c r="F829" s="334" t="n"/>
      <c r="G829" s="334" t="n"/>
      <c r="H829" s="334" t="n"/>
      <c r="I829" s="334" t="n"/>
      <c r="J829" s="334" t="n"/>
      <c r="K829" s="334" t="n"/>
      <c r="L829" s="334" t="n"/>
      <c r="M829" s="334" t="n"/>
      <c r="N829" s="339" t="n"/>
      <c r="O829" s="368" t="n"/>
      <c r="P829" s="334" t="n"/>
    </row>
    <row r="830">
      <c r="A830" s="334" t="n"/>
      <c r="B830" s="334" t="n"/>
      <c r="C830" s="334" t="n"/>
      <c r="D830" s="334" t="n"/>
      <c r="E830" s="334" t="n"/>
      <c r="F830" s="334" t="n"/>
      <c r="G830" s="334" t="n"/>
      <c r="H830" s="334" t="n"/>
      <c r="I830" s="334" t="n"/>
      <c r="J830" s="334" t="n"/>
      <c r="K830" s="334" t="n"/>
      <c r="L830" s="334" t="n"/>
      <c r="M830" s="334" t="n"/>
      <c r="N830" s="339" t="n"/>
      <c r="O830" s="368" t="n"/>
      <c r="P830" s="334" t="n"/>
    </row>
    <row r="831">
      <c r="A831" s="334" t="n"/>
      <c r="B831" s="334" t="n"/>
      <c r="C831" s="334" t="n"/>
      <c r="D831" s="334" t="n"/>
      <c r="E831" s="334" t="n"/>
      <c r="F831" s="334" t="n"/>
      <c r="G831" s="334" t="n"/>
      <c r="H831" s="334" t="n"/>
      <c r="I831" s="334" t="n"/>
      <c r="J831" s="334" t="n"/>
      <c r="K831" s="334" t="n"/>
      <c r="L831" s="334" t="n"/>
      <c r="M831" s="334" t="n"/>
      <c r="N831" s="339" t="n"/>
      <c r="O831" s="368" t="n"/>
      <c r="P831" s="334" t="n"/>
    </row>
    <row r="832">
      <c r="A832" s="334" t="n"/>
      <c r="B832" s="334" t="n"/>
      <c r="C832" s="334" t="n"/>
      <c r="D832" s="334" t="n"/>
      <c r="E832" s="334" t="n"/>
      <c r="F832" s="334" t="n"/>
      <c r="G832" s="334" t="n"/>
      <c r="H832" s="334" t="n"/>
      <c r="I832" s="334" t="n"/>
      <c r="J832" s="334" t="n"/>
      <c r="K832" s="334" t="n"/>
      <c r="L832" s="334" t="n"/>
      <c r="M832" s="334" t="n"/>
      <c r="N832" s="339" t="n"/>
      <c r="O832" s="368" t="n"/>
      <c r="P832" s="334" t="n"/>
    </row>
    <row r="833">
      <c r="A833" s="334" t="n"/>
      <c r="B833" s="334" t="n"/>
      <c r="C833" s="334" t="n"/>
      <c r="D833" s="334" t="n"/>
      <c r="E833" s="334" t="n"/>
      <c r="F833" s="334" t="n"/>
      <c r="G833" s="334" t="n"/>
      <c r="H833" s="334" t="n"/>
      <c r="I833" s="334" t="n"/>
      <c r="J833" s="334" t="n"/>
      <c r="K833" s="334" t="n"/>
      <c r="L833" s="334" t="n"/>
      <c r="M833" s="334" t="n"/>
      <c r="N833" s="339" t="n"/>
      <c r="O833" s="368" t="n"/>
      <c r="P833" s="334" t="n"/>
    </row>
    <row r="834">
      <c r="A834" s="334" t="n"/>
      <c r="B834" s="334" t="n"/>
      <c r="C834" s="334" t="n"/>
      <c r="D834" s="334" t="n"/>
      <c r="E834" s="334" t="n"/>
      <c r="F834" s="334" t="n"/>
      <c r="G834" s="334" t="n"/>
      <c r="H834" s="334" t="n"/>
      <c r="I834" s="334" t="n"/>
      <c r="J834" s="334" t="n"/>
      <c r="K834" s="334" t="n"/>
      <c r="L834" s="334" t="n"/>
      <c r="M834" s="334" t="n"/>
      <c r="N834" s="339" t="n"/>
      <c r="O834" s="368" t="n"/>
      <c r="P834" s="334" t="n"/>
    </row>
    <row r="835">
      <c r="A835" s="334" t="n"/>
      <c r="B835" s="334" t="n"/>
      <c r="C835" s="334" t="n"/>
      <c r="D835" s="334" t="n"/>
      <c r="E835" s="334" t="n"/>
      <c r="F835" s="334" t="n"/>
      <c r="G835" s="334" t="n"/>
      <c r="H835" s="334" t="n"/>
      <c r="I835" s="334" t="n"/>
      <c r="J835" s="334" t="n"/>
      <c r="K835" s="334" t="n"/>
      <c r="L835" s="334" t="n"/>
      <c r="M835" s="334" t="n"/>
      <c r="N835" s="339" t="n"/>
      <c r="O835" s="368" t="n"/>
      <c r="P835" s="334" t="n"/>
    </row>
    <row r="836">
      <c r="A836" s="334" t="n"/>
      <c r="B836" s="334" t="n"/>
      <c r="C836" s="334" t="n"/>
      <c r="D836" s="334" t="n"/>
      <c r="E836" s="334" t="n"/>
      <c r="F836" s="334" t="n"/>
      <c r="G836" s="334" t="n"/>
      <c r="H836" s="334" t="n"/>
      <c r="I836" s="334" t="n"/>
      <c r="J836" s="334" t="n"/>
      <c r="K836" s="334" t="n"/>
      <c r="L836" s="334" t="n"/>
      <c r="M836" s="334" t="n"/>
      <c r="N836" s="339" t="n"/>
      <c r="O836" s="368" t="n"/>
      <c r="P836" s="334" t="n"/>
    </row>
    <row r="837">
      <c r="A837" s="334" t="n"/>
      <c r="B837" s="334" t="n"/>
      <c r="C837" s="334" t="n"/>
      <c r="D837" s="334" t="n"/>
      <c r="E837" s="334" t="n"/>
      <c r="F837" s="334" t="n"/>
      <c r="G837" s="334" t="n"/>
      <c r="H837" s="334" t="n"/>
      <c r="I837" s="334" t="n"/>
      <c r="J837" s="334" t="n"/>
      <c r="K837" s="334" t="n"/>
      <c r="L837" s="334" t="n"/>
      <c r="M837" s="334" t="n"/>
      <c r="N837" s="339" t="n"/>
      <c r="O837" s="368" t="n"/>
      <c r="P837" s="334" t="n"/>
    </row>
    <row r="838">
      <c r="A838" s="334" t="n"/>
      <c r="B838" s="334" t="n"/>
      <c r="C838" s="334" t="n"/>
      <c r="D838" s="334" t="n"/>
      <c r="E838" s="334" t="n"/>
      <c r="F838" s="334" t="n"/>
      <c r="G838" s="334" t="n"/>
      <c r="H838" s="334" t="n"/>
      <c r="I838" s="334" t="n"/>
      <c r="J838" s="334" t="n"/>
      <c r="K838" s="334" t="n"/>
      <c r="L838" s="334" t="n"/>
      <c r="M838" s="334" t="n"/>
      <c r="N838" s="339" t="n"/>
      <c r="O838" s="368" t="n"/>
      <c r="P838" s="334" t="n"/>
    </row>
    <row r="839">
      <c r="A839" s="334" t="n"/>
      <c r="B839" s="334" t="n"/>
      <c r="C839" s="334" t="n"/>
      <c r="D839" s="334" t="n"/>
      <c r="E839" s="334" t="n"/>
      <c r="F839" s="334" t="n"/>
      <c r="G839" s="334" t="n"/>
      <c r="H839" s="334" t="n"/>
      <c r="I839" s="334" t="n"/>
      <c r="J839" s="334" t="n"/>
      <c r="K839" s="334" t="n"/>
      <c r="L839" s="334" t="n"/>
      <c r="M839" s="334" t="n"/>
      <c r="N839" s="339" t="n"/>
      <c r="O839" s="368" t="n"/>
      <c r="P839" s="334" t="n"/>
    </row>
    <row r="840">
      <c r="A840" s="334" t="n"/>
      <c r="B840" s="334" t="n"/>
      <c r="C840" s="334" t="n"/>
      <c r="D840" s="334" t="n"/>
      <c r="E840" s="334" t="n"/>
      <c r="F840" s="334" t="n"/>
      <c r="G840" s="334" t="n"/>
      <c r="H840" s="334" t="n"/>
      <c r="I840" s="334" t="n"/>
      <c r="J840" s="334" t="n"/>
      <c r="K840" s="334" t="n"/>
      <c r="L840" s="334" t="n"/>
      <c r="M840" s="334" t="n"/>
      <c r="N840" s="339" t="n"/>
      <c r="O840" s="368" t="n"/>
      <c r="P840" s="334" t="n"/>
    </row>
    <row r="841">
      <c r="A841" s="334" t="n"/>
      <c r="B841" s="334" t="n"/>
      <c r="C841" s="334" t="n"/>
      <c r="D841" s="334" t="n"/>
      <c r="E841" s="334" t="n"/>
      <c r="F841" s="334" t="n"/>
      <c r="G841" s="334" t="n"/>
      <c r="H841" s="334" t="n"/>
      <c r="I841" s="334" t="n"/>
      <c r="J841" s="334" t="n"/>
      <c r="K841" s="334" t="n"/>
      <c r="L841" s="334" t="n"/>
      <c r="M841" s="334" t="n"/>
      <c r="N841" s="339" t="n"/>
      <c r="O841" s="368" t="n"/>
      <c r="P841" s="334" t="n"/>
    </row>
    <row r="842">
      <c r="A842" s="334" t="n"/>
      <c r="B842" s="334" t="n"/>
      <c r="C842" s="334" t="n"/>
      <c r="D842" s="334" t="n"/>
      <c r="E842" s="334" t="n"/>
      <c r="F842" s="334" t="n"/>
      <c r="G842" s="334" t="n"/>
      <c r="H842" s="334" t="n"/>
      <c r="I842" s="334" t="n"/>
      <c r="J842" s="334" t="n"/>
      <c r="K842" s="334" t="n"/>
      <c r="L842" s="334" t="n"/>
      <c r="M842" s="334" t="n"/>
      <c r="N842" s="339" t="n"/>
      <c r="O842" s="368" t="n"/>
      <c r="P842" s="334" t="n"/>
    </row>
    <row r="843">
      <c r="A843" s="334" t="n"/>
      <c r="B843" s="334" t="n"/>
      <c r="C843" s="334" t="n"/>
      <c r="D843" s="334" t="n"/>
      <c r="E843" s="334" t="n"/>
      <c r="F843" s="334" t="n"/>
      <c r="G843" s="334" t="n"/>
      <c r="H843" s="334" t="n"/>
      <c r="I843" s="334" t="n"/>
      <c r="J843" s="334" t="n"/>
      <c r="K843" s="334" t="n"/>
      <c r="L843" s="334" t="n"/>
      <c r="M843" s="334" t="n"/>
      <c r="N843" s="339" t="n"/>
      <c r="O843" s="368" t="n"/>
      <c r="P843" s="334" t="n"/>
    </row>
    <row r="844">
      <c r="A844" s="334" t="n"/>
      <c r="B844" s="334" t="n"/>
      <c r="C844" s="334" t="n"/>
      <c r="D844" s="334" t="n"/>
      <c r="E844" s="334" t="n"/>
      <c r="F844" s="334" t="n"/>
      <c r="G844" s="334" t="n"/>
      <c r="H844" s="334" t="n"/>
      <c r="I844" s="334" t="n"/>
      <c r="J844" s="334" t="n"/>
      <c r="K844" s="334" t="n"/>
      <c r="L844" s="334" t="n"/>
      <c r="M844" s="334" t="n"/>
      <c r="N844" s="339" t="n"/>
      <c r="O844" s="368" t="n"/>
      <c r="P844" s="334" t="n"/>
    </row>
    <row r="845">
      <c r="A845" s="334" t="n"/>
      <c r="B845" s="334" t="n"/>
      <c r="C845" s="334" t="n"/>
      <c r="D845" s="334" t="n"/>
      <c r="E845" s="334" t="n"/>
      <c r="F845" s="334" t="n"/>
      <c r="G845" s="334" t="n"/>
      <c r="H845" s="334" t="n"/>
      <c r="I845" s="334" t="n"/>
      <c r="J845" s="334" t="n"/>
      <c r="K845" s="334" t="n"/>
      <c r="L845" s="334" t="n"/>
      <c r="M845" s="334" t="n"/>
      <c r="N845" s="339" t="n"/>
      <c r="O845" s="368" t="n"/>
      <c r="P845" s="334" t="n"/>
    </row>
    <row r="846">
      <c r="A846" s="334" t="n"/>
      <c r="B846" s="334" t="n"/>
      <c r="C846" s="334" t="n"/>
      <c r="D846" s="334" t="n"/>
      <c r="E846" s="334" t="n"/>
      <c r="F846" s="334" t="n"/>
      <c r="G846" s="334" t="n"/>
      <c r="H846" s="334" t="n"/>
      <c r="I846" s="334" t="n"/>
      <c r="J846" s="334" t="n"/>
      <c r="K846" s="334" t="n"/>
      <c r="L846" s="334" t="n"/>
      <c r="M846" s="334" t="n"/>
      <c r="N846" s="339" t="n"/>
      <c r="O846" s="368" t="n"/>
      <c r="P846" s="334" t="n"/>
    </row>
    <row r="847">
      <c r="A847" s="334" t="n"/>
      <c r="B847" s="334" t="n"/>
      <c r="C847" s="334" t="n"/>
      <c r="D847" s="334" t="n"/>
      <c r="E847" s="334" t="n"/>
      <c r="F847" s="334" t="n"/>
      <c r="G847" s="334" t="n"/>
      <c r="H847" s="334" t="n"/>
      <c r="I847" s="334" t="n"/>
      <c r="J847" s="334" t="n"/>
      <c r="K847" s="334" t="n"/>
      <c r="L847" s="334" t="n"/>
      <c r="M847" s="334" t="n"/>
      <c r="N847" s="339" t="n"/>
      <c r="O847" s="368" t="n"/>
      <c r="P847" s="334" t="n"/>
    </row>
    <row r="848">
      <c r="A848" s="334" t="n"/>
      <c r="B848" s="334" t="n"/>
      <c r="C848" s="334" t="n"/>
      <c r="D848" s="334" t="n"/>
      <c r="E848" s="334" t="n"/>
      <c r="F848" s="334" t="n"/>
      <c r="G848" s="334" t="n"/>
      <c r="H848" s="334" t="n"/>
      <c r="I848" s="334" t="n"/>
      <c r="J848" s="334" t="n"/>
      <c r="K848" s="334" t="n"/>
      <c r="L848" s="334" t="n"/>
      <c r="M848" s="334" t="n"/>
      <c r="N848" s="339" t="n"/>
      <c r="O848" s="368" t="n"/>
      <c r="P848" s="334" t="n"/>
    </row>
    <row r="849">
      <c r="A849" s="334" t="n"/>
      <c r="B849" s="334" t="n"/>
      <c r="C849" s="334" t="n"/>
      <c r="D849" s="334" t="n"/>
      <c r="E849" s="334" t="n"/>
      <c r="F849" s="334" t="n"/>
      <c r="G849" s="334" t="n"/>
      <c r="H849" s="334" t="n"/>
      <c r="I849" s="334" t="n"/>
      <c r="J849" s="334" t="n"/>
      <c r="K849" s="334" t="n"/>
      <c r="L849" s="334" t="n"/>
      <c r="M849" s="334" t="n"/>
      <c r="N849" s="339" t="n"/>
      <c r="O849" s="368" t="n"/>
      <c r="P849" s="334" t="n"/>
    </row>
    <row r="850">
      <c r="A850" s="334" t="n"/>
      <c r="B850" s="334" t="n"/>
      <c r="C850" s="334" t="n"/>
      <c r="D850" s="334" t="n"/>
      <c r="E850" s="334" t="n"/>
      <c r="F850" s="334" t="n"/>
      <c r="G850" s="334" t="n"/>
      <c r="H850" s="334" t="n"/>
      <c r="I850" s="334" t="n"/>
      <c r="J850" s="334" t="n"/>
      <c r="K850" s="334" t="n"/>
      <c r="L850" s="334" t="n"/>
      <c r="M850" s="334" t="n"/>
      <c r="N850" s="339" t="n"/>
      <c r="O850" s="368" t="n"/>
      <c r="P850" s="334" t="n"/>
    </row>
    <row r="851">
      <c r="A851" s="334" t="n"/>
      <c r="B851" s="334" t="n"/>
      <c r="C851" s="334" t="n"/>
      <c r="D851" s="334" t="n"/>
      <c r="E851" s="334" t="n"/>
      <c r="F851" s="334" t="n"/>
      <c r="G851" s="334" t="n"/>
      <c r="H851" s="334" t="n"/>
      <c r="I851" s="334" t="n"/>
      <c r="J851" s="334" t="n"/>
      <c r="K851" s="334" t="n"/>
      <c r="L851" s="334" t="n"/>
      <c r="M851" s="334" t="n"/>
      <c r="N851" s="339" t="n"/>
      <c r="O851" s="368" t="n"/>
      <c r="P851" s="334" t="n"/>
    </row>
    <row r="852">
      <c r="A852" s="334" t="n"/>
      <c r="B852" s="334" t="n"/>
      <c r="C852" s="334" t="n"/>
      <c r="D852" s="334" t="n"/>
      <c r="E852" s="334" t="n"/>
      <c r="F852" s="334" t="n"/>
      <c r="G852" s="334" t="n"/>
      <c r="H852" s="334" t="n"/>
      <c r="I852" s="334" t="n"/>
      <c r="J852" s="334" t="n"/>
      <c r="K852" s="334" t="n"/>
      <c r="L852" s="334" t="n"/>
      <c r="M852" s="334" t="n"/>
      <c r="N852" s="339" t="n"/>
      <c r="O852" s="368" t="n"/>
      <c r="P852" s="334" t="n"/>
    </row>
    <row r="853">
      <c r="A853" s="334" t="n"/>
      <c r="B853" s="334" t="n"/>
      <c r="C853" s="334" t="n"/>
      <c r="D853" s="334" t="n"/>
      <c r="E853" s="334" t="n"/>
      <c r="F853" s="334" t="n"/>
      <c r="G853" s="334" t="n"/>
      <c r="H853" s="334" t="n"/>
      <c r="I853" s="334" t="n"/>
      <c r="J853" s="334" t="n"/>
      <c r="K853" s="334" t="n"/>
      <c r="L853" s="334" t="n"/>
      <c r="M853" s="334" t="n"/>
      <c r="N853" s="339" t="n"/>
      <c r="O853" s="368" t="n"/>
      <c r="P853" s="334" t="n"/>
    </row>
    <row r="854">
      <c r="A854" s="334" t="n"/>
      <c r="B854" s="334" t="n"/>
      <c r="C854" s="334" t="n"/>
      <c r="D854" s="334" t="n"/>
      <c r="E854" s="334" t="n"/>
      <c r="F854" s="334" t="n"/>
      <c r="G854" s="334" t="n"/>
      <c r="H854" s="334" t="n"/>
      <c r="I854" s="334" t="n"/>
      <c r="J854" s="334" t="n"/>
      <c r="K854" s="334" t="n"/>
      <c r="L854" s="334" t="n"/>
      <c r="M854" s="334" t="n"/>
      <c r="N854" s="339" t="n"/>
      <c r="O854" s="368" t="n"/>
      <c r="P854" s="334" t="n"/>
    </row>
    <row r="855">
      <c r="A855" s="334" t="n"/>
      <c r="B855" s="334" t="n"/>
      <c r="C855" s="334" t="n"/>
      <c r="D855" s="334" t="n"/>
      <c r="E855" s="334" t="n"/>
      <c r="F855" s="334" t="n"/>
      <c r="G855" s="334" t="n"/>
      <c r="H855" s="334" t="n"/>
      <c r="I855" s="334" t="n"/>
      <c r="J855" s="334" t="n"/>
      <c r="K855" s="334" t="n"/>
      <c r="L855" s="334" t="n"/>
      <c r="M855" s="334" t="n"/>
      <c r="N855" s="339" t="n"/>
      <c r="O855" s="368" t="n"/>
      <c r="P855" s="334" t="n"/>
    </row>
    <row r="856">
      <c r="A856" s="334" t="n"/>
      <c r="B856" s="334" t="n"/>
      <c r="C856" s="334" t="n"/>
      <c r="D856" s="334" t="n"/>
      <c r="E856" s="334" t="n"/>
      <c r="F856" s="334" t="n"/>
      <c r="G856" s="334" t="n"/>
      <c r="H856" s="334" t="n"/>
      <c r="I856" s="334" t="n"/>
      <c r="J856" s="334" t="n"/>
      <c r="K856" s="334" t="n"/>
      <c r="L856" s="334" t="n"/>
      <c r="M856" s="334" t="n"/>
      <c r="N856" s="339" t="n"/>
      <c r="O856" s="368" t="n"/>
      <c r="P856" s="334" t="n"/>
    </row>
    <row r="857">
      <c r="A857" s="334" t="n"/>
      <c r="B857" s="334" t="n"/>
      <c r="C857" s="334" t="n"/>
      <c r="D857" s="334" t="n"/>
      <c r="E857" s="334" t="n"/>
      <c r="F857" s="334" t="n"/>
      <c r="G857" s="334" t="n"/>
      <c r="H857" s="334" t="n"/>
      <c r="I857" s="334" t="n"/>
      <c r="J857" s="334" t="n"/>
      <c r="K857" s="334" t="n"/>
      <c r="L857" s="334" t="n"/>
      <c r="M857" s="334" t="n"/>
      <c r="N857" s="339" t="n"/>
      <c r="O857" s="368" t="n"/>
      <c r="P857" s="334" t="n"/>
    </row>
    <row r="858">
      <c r="A858" s="334" t="n"/>
      <c r="B858" s="334" t="n"/>
      <c r="C858" s="334" t="n"/>
      <c r="D858" s="334" t="n"/>
      <c r="E858" s="334" t="n"/>
      <c r="F858" s="334" t="n"/>
      <c r="G858" s="334" t="n"/>
      <c r="H858" s="334" t="n"/>
      <c r="I858" s="334" t="n"/>
      <c r="J858" s="334" t="n"/>
      <c r="K858" s="334" t="n"/>
      <c r="L858" s="334" t="n"/>
      <c r="M858" s="334" t="n"/>
      <c r="N858" s="339" t="n"/>
      <c r="O858" s="368" t="n"/>
      <c r="P858" s="334" t="n"/>
    </row>
    <row r="859">
      <c r="A859" s="334" t="n"/>
      <c r="B859" s="334" t="n"/>
      <c r="C859" s="334" t="n"/>
      <c r="D859" s="334" t="n"/>
      <c r="E859" s="334" t="n"/>
      <c r="F859" s="334" t="n"/>
      <c r="G859" s="334" t="n"/>
      <c r="H859" s="334" t="n"/>
      <c r="I859" s="334" t="n"/>
      <c r="J859" s="334" t="n"/>
      <c r="K859" s="334" t="n"/>
      <c r="L859" s="334" t="n"/>
      <c r="M859" s="334" t="n"/>
      <c r="N859" s="339" t="n"/>
      <c r="O859" s="368" t="n"/>
      <c r="P859" s="334" t="n"/>
    </row>
    <row r="860">
      <c r="A860" s="334" t="n"/>
      <c r="B860" s="334" t="n"/>
      <c r="C860" s="334" t="n"/>
      <c r="D860" s="334" t="n"/>
      <c r="E860" s="334" t="n"/>
      <c r="F860" s="334" t="n"/>
      <c r="G860" s="334" t="n"/>
      <c r="H860" s="334" t="n"/>
      <c r="I860" s="334" t="n"/>
      <c r="J860" s="334" t="n"/>
      <c r="K860" s="334" t="n"/>
      <c r="L860" s="334" t="n"/>
      <c r="M860" s="334" t="n"/>
      <c r="N860" s="339" t="n"/>
      <c r="O860" s="368" t="n"/>
      <c r="P860" s="334" t="n"/>
    </row>
    <row r="861">
      <c r="A861" s="334" t="n"/>
      <c r="B861" s="334" t="n"/>
      <c r="C861" s="334" t="n"/>
      <c r="D861" s="334" t="n"/>
      <c r="E861" s="334" t="n"/>
      <c r="F861" s="334" t="n"/>
      <c r="G861" s="334" t="n"/>
      <c r="H861" s="334" t="n"/>
      <c r="I861" s="334" t="n"/>
      <c r="J861" s="334" t="n"/>
      <c r="K861" s="334" t="n"/>
      <c r="L861" s="334" t="n"/>
      <c r="M861" s="334" t="n"/>
      <c r="N861" s="339" t="n"/>
      <c r="O861" s="368" t="n"/>
      <c r="P861" s="334" t="n"/>
    </row>
    <row r="862">
      <c r="A862" s="334" t="n"/>
      <c r="B862" s="334" t="n"/>
      <c r="C862" s="334" t="n"/>
      <c r="D862" s="334" t="n"/>
      <c r="E862" s="334" t="n"/>
      <c r="F862" s="334" t="n"/>
      <c r="G862" s="334" t="n"/>
      <c r="H862" s="334" t="n"/>
      <c r="I862" s="334" t="n"/>
      <c r="J862" s="334" t="n"/>
      <c r="K862" s="334" t="n"/>
      <c r="L862" s="334" t="n"/>
      <c r="M862" s="334" t="n"/>
      <c r="N862" s="339" t="n"/>
      <c r="O862" s="368" t="n"/>
      <c r="P862" s="334" t="n"/>
    </row>
    <row r="863">
      <c r="A863" s="334" t="n"/>
      <c r="B863" s="334" t="n"/>
      <c r="C863" s="334" t="n"/>
      <c r="D863" s="334" t="n"/>
      <c r="E863" s="334" t="n"/>
      <c r="F863" s="334" t="n"/>
      <c r="G863" s="334" t="n"/>
      <c r="H863" s="334" t="n"/>
      <c r="I863" s="334" t="n"/>
      <c r="J863" s="334" t="n"/>
      <c r="K863" s="334" t="n"/>
      <c r="L863" s="334" t="n"/>
      <c r="M863" s="334" t="n"/>
      <c r="N863" s="339" t="n"/>
      <c r="O863" s="368" t="n"/>
      <c r="P863" s="334" t="n"/>
    </row>
    <row r="864">
      <c r="A864" s="334" t="n"/>
      <c r="B864" s="334" t="n"/>
      <c r="C864" s="334" t="n"/>
      <c r="D864" s="334" t="n"/>
      <c r="E864" s="334" t="n"/>
      <c r="F864" s="334" t="n"/>
      <c r="G864" s="334" t="n"/>
      <c r="H864" s="334" t="n"/>
      <c r="I864" s="334" t="n"/>
      <c r="J864" s="334" t="n"/>
      <c r="K864" s="334" t="n"/>
      <c r="L864" s="334" t="n"/>
      <c r="M864" s="334" t="n"/>
      <c r="N864" s="339" t="n"/>
      <c r="O864" s="368" t="n"/>
      <c r="P864" s="334" t="n"/>
    </row>
    <row r="865">
      <c r="A865" s="334" t="n"/>
      <c r="B865" s="334" t="n"/>
      <c r="C865" s="334" t="n"/>
      <c r="D865" s="334" t="n"/>
      <c r="E865" s="334" t="n"/>
      <c r="F865" s="334" t="n"/>
      <c r="G865" s="334" t="n"/>
      <c r="H865" s="334" t="n"/>
      <c r="I865" s="334" t="n"/>
      <c r="J865" s="334" t="n"/>
      <c r="K865" s="334" t="n"/>
      <c r="L865" s="334" t="n"/>
      <c r="M865" s="334" t="n"/>
      <c r="N865" s="339" t="n"/>
      <c r="O865" s="368" t="n"/>
      <c r="P865" s="334" t="n"/>
    </row>
    <row r="866">
      <c r="A866" s="334" t="n"/>
      <c r="B866" s="334" t="n"/>
      <c r="C866" s="334" t="n"/>
      <c r="D866" s="334" t="n"/>
      <c r="E866" s="334" t="n"/>
      <c r="F866" s="334" t="n"/>
      <c r="G866" s="334" t="n"/>
      <c r="H866" s="334" t="n"/>
      <c r="I866" s="334" t="n"/>
      <c r="J866" s="334" t="n"/>
      <c r="K866" s="334" t="n"/>
      <c r="L866" s="334" t="n"/>
      <c r="M866" s="334" t="n"/>
      <c r="N866" s="339" t="n"/>
      <c r="O866" s="368" t="n"/>
      <c r="P866" s="334" t="n"/>
    </row>
    <row r="867">
      <c r="A867" s="334" t="n"/>
      <c r="B867" s="334" t="n"/>
      <c r="C867" s="334" t="n"/>
      <c r="D867" s="334" t="n"/>
      <c r="E867" s="334" t="n"/>
      <c r="F867" s="334" t="n"/>
      <c r="G867" s="334" t="n"/>
      <c r="H867" s="334" t="n"/>
      <c r="I867" s="334" t="n"/>
      <c r="J867" s="334" t="n"/>
      <c r="K867" s="334" t="n"/>
      <c r="L867" s="334" t="n"/>
      <c r="M867" s="334" t="n"/>
      <c r="N867" s="339" t="n"/>
      <c r="O867" s="368" t="n"/>
      <c r="P867" s="334" t="n"/>
    </row>
    <row r="868">
      <c r="A868" s="334" t="n"/>
      <c r="B868" s="334" t="n"/>
      <c r="C868" s="334" t="n"/>
      <c r="D868" s="334" t="n"/>
      <c r="E868" s="334" t="n"/>
      <c r="F868" s="334" t="n"/>
      <c r="G868" s="334" t="n"/>
      <c r="H868" s="334" t="n"/>
      <c r="I868" s="334" t="n"/>
      <c r="J868" s="334" t="n"/>
      <c r="K868" s="334" t="n"/>
      <c r="L868" s="334" t="n"/>
      <c r="M868" s="334" t="n"/>
      <c r="N868" s="339" t="n"/>
      <c r="O868" s="368" t="n"/>
      <c r="P868" s="334" t="n"/>
    </row>
    <row r="869">
      <c r="A869" s="334" t="n"/>
      <c r="B869" s="334" t="n"/>
      <c r="C869" s="334" t="n"/>
      <c r="D869" s="334" t="n"/>
      <c r="E869" s="334" t="n"/>
      <c r="F869" s="334" t="n"/>
      <c r="G869" s="334" t="n"/>
      <c r="H869" s="334" t="n"/>
      <c r="I869" s="334" t="n"/>
      <c r="J869" s="334" t="n"/>
      <c r="K869" s="334" t="n"/>
      <c r="L869" s="334" t="n"/>
      <c r="M869" s="334" t="n"/>
      <c r="N869" s="339" t="n"/>
      <c r="O869" s="368" t="n"/>
      <c r="P869" s="334" t="n"/>
    </row>
    <row r="870">
      <c r="A870" s="334" t="n"/>
      <c r="B870" s="334" t="n"/>
      <c r="C870" s="334" t="n"/>
      <c r="D870" s="334" t="n"/>
      <c r="E870" s="334" t="n"/>
      <c r="F870" s="334" t="n"/>
      <c r="G870" s="334" t="n"/>
      <c r="H870" s="334" t="n"/>
      <c r="I870" s="334" t="n"/>
      <c r="J870" s="334" t="n"/>
      <c r="K870" s="334" t="n"/>
      <c r="L870" s="334" t="n"/>
      <c r="M870" s="334" t="n"/>
      <c r="N870" s="339" t="n"/>
      <c r="O870" s="368" t="n"/>
      <c r="P870" s="334" t="n"/>
    </row>
    <row r="871">
      <c r="A871" s="334" t="n"/>
      <c r="B871" s="334" t="n"/>
      <c r="C871" s="334" t="n"/>
      <c r="D871" s="334" t="n"/>
      <c r="E871" s="334" t="n"/>
      <c r="F871" s="334" t="n"/>
      <c r="G871" s="334" t="n"/>
      <c r="H871" s="334" t="n"/>
      <c r="I871" s="334" t="n"/>
      <c r="J871" s="334" t="n"/>
      <c r="K871" s="334" t="n"/>
      <c r="L871" s="334" t="n"/>
      <c r="M871" s="334" t="n"/>
      <c r="N871" s="339" t="n"/>
      <c r="O871" s="368" t="n"/>
      <c r="P871" s="334" t="n"/>
    </row>
    <row r="872">
      <c r="A872" s="334" t="n"/>
      <c r="B872" s="334" t="n"/>
      <c r="C872" s="334" t="n"/>
      <c r="D872" s="334" t="n"/>
      <c r="E872" s="334" t="n"/>
      <c r="F872" s="334" t="n"/>
      <c r="G872" s="334" t="n"/>
      <c r="H872" s="334" t="n"/>
      <c r="I872" s="334" t="n"/>
      <c r="J872" s="334" t="n"/>
      <c r="K872" s="334" t="n"/>
      <c r="L872" s="334" t="n"/>
      <c r="M872" s="334" t="n"/>
      <c r="N872" s="339" t="n"/>
      <c r="O872" s="368" t="n"/>
      <c r="P872" s="334" t="n"/>
    </row>
    <row r="873">
      <c r="A873" s="334" t="n"/>
      <c r="B873" s="334" t="n"/>
      <c r="C873" s="334" t="n"/>
      <c r="D873" s="334" t="n"/>
      <c r="E873" s="334" t="n"/>
      <c r="F873" s="334" t="n"/>
      <c r="G873" s="334" t="n"/>
      <c r="H873" s="334" t="n"/>
      <c r="I873" s="334" t="n"/>
      <c r="J873" s="334" t="n"/>
      <c r="K873" s="334" t="n"/>
      <c r="L873" s="334" t="n"/>
      <c r="M873" s="334" t="n"/>
      <c r="N873" s="339" t="n"/>
      <c r="O873" s="368" t="n"/>
      <c r="P873" s="334" t="n"/>
    </row>
    <row r="874">
      <c r="A874" s="334" t="n"/>
      <c r="B874" s="334" t="n"/>
      <c r="C874" s="334" t="n"/>
      <c r="D874" s="334" t="n"/>
      <c r="E874" s="334" t="n"/>
      <c r="F874" s="334" t="n"/>
      <c r="G874" s="334" t="n"/>
      <c r="H874" s="334" t="n"/>
      <c r="I874" s="334" t="n"/>
      <c r="J874" s="334" t="n"/>
      <c r="K874" s="334" t="n"/>
      <c r="L874" s="334" t="n"/>
      <c r="M874" s="334" t="n"/>
      <c r="N874" s="339" t="n"/>
      <c r="O874" s="368" t="n"/>
      <c r="P874" s="334" t="n"/>
    </row>
    <row r="875">
      <c r="A875" s="334" t="n"/>
      <c r="B875" s="334" t="n"/>
      <c r="C875" s="334" t="n"/>
      <c r="D875" s="334" t="n"/>
      <c r="E875" s="334" t="n"/>
      <c r="F875" s="334" t="n"/>
      <c r="G875" s="334" t="n"/>
      <c r="H875" s="334" t="n"/>
      <c r="I875" s="334" t="n"/>
      <c r="J875" s="334" t="n"/>
      <c r="K875" s="334" t="n"/>
      <c r="L875" s="334" t="n"/>
      <c r="M875" s="334" t="n"/>
      <c r="N875" s="339" t="n"/>
      <c r="O875" s="368" t="n"/>
      <c r="P875" s="334" t="n"/>
    </row>
    <row r="876">
      <c r="A876" s="334" t="n"/>
      <c r="B876" s="334" t="n"/>
      <c r="C876" s="334" t="n"/>
      <c r="D876" s="334" t="n"/>
      <c r="E876" s="334" t="n"/>
      <c r="F876" s="334" t="n"/>
      <c r="G876" s="334" t="n"/>
      <c r="H876" s="334" t="n"/>
      <c r="I876" s="334" t="n"/>
      <c r="J876" s="334" t="n"/>
      <c r="K876" s="334" t="n"/>
      <c r="L876" s="334" t="n"/>
      <c r="M876" s="334" t="n"/>
      <c r="N876" s="339" t="n"/>
      <c r="O876" s="368" t="n"/>
      <c r="P876" s="334" t="n"/>
    </row>
    <row r="877">
      <c r="A877" s="334" t="n"/>
      <c r="B877" s="334" t="n"/>
      <c r="C877" s="334" t="n"/>
      <c r="D877" s="334" t="n"/>
      <c r="E877" s="334" t="n"/>
      <c r="F877" s="334" t="n"/>
      <c r="G877" s="334" t="n"/>
      <c r="H877" s="334" t="n"/>
      <c r="I877" s="334" t="n"/>
      <c r="J877" s="334" t="n"/>
      <c r="K877" s="334" t="n"/>
      <c r="L877" s="334" t="n"/>
      <c r="M877" s="334" t="n"/>
      <c r="N877" s="339" t="n"/>
      <c r="O877" s="368" t="n"/>
      <c r="P877" s="334" t="n"/>
    </row>
    <row r="878">
      <c r="A878" s="334" t="n"/>
      <c r="B878" s="334" t="n"/>
      <c r="C878" s="334" t="n"/>
      <c r="D878" s="334" t="n"/>
      <c r="E878" s="334" t="n"/>
      <c r="F878" s="334" t="n"/>
      <c r="G878" s="334" t="n"/>
      <c r="H878" s="334" t="n"/>
      <c r="I878" s="334" t="n"/>
      <c r="J878" s="334" t="n"/>
      <c r="K878" s="334" t="n"/>
      <c r="L878" s="334" t="n"/>
      <c r="M878" s="334" t="n"/>
      <c r="N878" s="339" t="n"/>
      <c r="O878" s="368" t="n"/>
      <c r="P878" s="334" t="n"/>
    </row>
    <row r="879">
      <c r="A879" s="334" t="n"/>
      <c r="B879" s="334" t="n"/>
      <c r="C879" s="334" t="n"/>
      <c r="D879" s="334" t="n"/>
      <c r="E879" s="334" t="n"/>
      <c r="F879" s="334" t="n"/>
      <c r="G879" s="334" t="n"/>
      <c r="H879" s="334" t="n"/>
      <c r="I879" s="334" t="n"/>
      <c r="J879" s="334" t="n"/>
      <c r="K879" s="334" t="n"/>
      <c r="L879" s="334" t="n"/>
      <c r="M879" s="334" t="n"/>
      <c r="N879" s="339" t="n"/>
      <c r="O879" s="368" t="n"/>
      <c r="P879" s="334" t="n"/>
    </row>
    <row r="880">
      <c r="A880" s="334" t="n"/>
      <c r="B880" s="334" t="n"/>
      <c r="C880" s="334" t="n"/>
      <c r="D880" s="334" t="n"/>
      <c r="E880" s="334" t="n"/>
      <c r="F880" s="334" t="n"/>
      <c r="G880" s="334" t="n"/>
      <c r="H880" s="334" t="n"/>
      <c r="I880" s="334" t="n"/>
      <c r="J880" s="334" t="n"/>
      <c r="K880" s="334" t="n"/>
      <c r="L880" s="334" t="n"/>
      <c r="M880" s="334" t="n"/>
      <c r="N880" s="339" t="n"/>
      <c r="O880" s="368" t="n"/>
      <c r="P880" s="334" t="n"/>
    </row>
    <row r="881">
      <c r="A881" s="334" t="n"/>
      <c r="B881" s="334" t="n"/>
      <c r="C881" s="334" t="n"/>
      <c r="D881" s="334" t="n"/>
      <c r="E881" s="334" t="n"/>
      <c r="F881" s="334" t="n"/>
      <c r="G881" s="334" t="n"/>
      <c r="H881" s="334" t="n"/>
      <c r="I881" s="334" t="n"/>
      <c r="J881" s="334" t="n"/>
      <c r="K881" s="334" t="n"/>
      <c r="L881" s="334" t="n"/>
      <c r="M881" s="334" t="n"/>
      <c r="N881" s="339" t="n"/>
      <c r="O881" s="368" t="n"/>
      <c r="P881" s="334" t="n"/>
    </row>
    <row r="882">
      <c r="A882" s="334" t="n"/>
      <c r="B882" s="334" t="n"/>
      <c r="C882" s="334" t="n"/>
      <c r="D882" s="334" t="n"/>
      <c r="E882" s="334" t="n"/>
      <c r="F882" s="334" t="n"/>
      <c r="G882" s="334" t="n"/>
      <c r="H882" s="334" t="n"/>
      <c r="I882" s="334" t="n"/>
      <c r="J882" s="334" t="n"/>
      <c r="K882" s="334" t="n"/>
      <c r="L882" s="334" t="n"/>
      <c r="M882" s="334" t="n"/>
      <c r="N882" s="339" t="n"/>
      <c r="O882" s="368" t="n"/>
      <c r="P882" s="334" t="n"/>
    </row>
    <row r="883">
      <c r="A883" s="334" t="n"/>
      <c r="B883" s="334" t="n"/>
      <c r="C883" s="334" t="n"/>
      <c r="D883" s="334" t="n"/>
      <c r="E883" s="334" t="n"/>
      <c r="F883" s="334" t="n"/>
      <c r="G883" s="334" t="n"/>
      <c r="H883" s="334" t="n"/>
      <c r="I883" s="334" t="n"/>
      <c r="J883" s="334" t="n"/>
      <c r="K883" s="334" t="n"/>
      <c r="L883" s="334" t="n"/>
      <c r="M883" s="334" t="n"/>
      <c r="N883" s="339" t="n"/>
      <c r="O883" s="368" t="n"/>
      <c r="P883" s="334" t="n"/>
    </row>
    <row r="884">
      <c r="A884" s="334" t="n"/>
      <c r="B884" s="334" t="n"/>
      <c r="C884" s="334" t="n"/>
      <c r="D884" s="334" t="n"/>
      <c r="E884" s="334" t="n"/>
      <c r="F884" s="334" t="n"/>
      <c r="G884" s="334" t="n"/>
      <c r="H884" s="334" t="n"/>
      <c r="I884" s="334" t="n"/>
      <c r="J884" s="334" t="n"/>
      <c r="K884" s="334" t="n"/>
      <c r="L884" s="334" t="n"/>
      <c r="M884" s="334" t="n"/>
      <c r="N884" s="339" t="n"/>
      <c r="O884" s="368" t="n"/>
      <c r="P884" s="334" t="n"/>
    </row>
    <row r="885">
      <c r="A885" s="334" t="n"/>
      <c r="B885" s="334" t="n"/>
      <c r="C885" s="334" t="n"/>
      <c r="D885" s="334" t="n"/>
      <c r="E885" s="334" t="n"/>
      <c r="F885" s="334" t="n"/>
      <c r="G885" s="334" t="n"/>
      <c r="H885" s="334" t="n"/>
      <c r="I885" s="334" t="n"/>
      <c r="J885" s="334" t="n"/>
      <c r="K885" s="334" t="n"/>
      <c r="L885" s="334" t="n"/>
      <c r="M885" s="334" t="n"/>
      <c r="N885" s="339" t="n"/>
      <c r="O885" s="368" t="n"/>
      <c r="P885" s="334" t="n"/>
    </row>
    <row r="886">
      <c r="A886" s="334" t="n"/>
      <c r="B886" s="334" t="n"/>
      <c r="C886" s="334" t="n"/>
      <c r="D886" s="334" t="n"/>
      <c r="E886" s="334" t="n"/>
      <c r="F886" s="334" t="n"/>
      <c r="G886" s="334" t="n"/>
      <c r="H886" s="334" t="n"/>
      <c r="I886" s="334" t="n"/>
      <c r="J886" s="334" t="n"/>
      <c r="K886" s="334" t="n"/>
      <c r="L886" s="334" t="n"/>
      <c r="M886" s="334" t="n"/>
      <c r="N886" s="339" t="n"/>
      <c r="O886" s="368" t="n"/>
      <c r="P886" s="334" t="n"/>
    </row>
    <row r="887">
      <c r="A887" s="334" t="n"/>
      <c r="B887" s="334" t="n"/>
      <c r="C887" s="334" t="n"/>
      <c r="D887" s="334" t="n"/>
      <c r="E887" s="334" t="n"/>
      <c r="F887" s="334" t="n"/>
      <c r="G887" s="334" t="n"/>
      <c r="H887" s="334" t="n"/>
      <c r="I887" s="334" t="n"/>
      <c r="J887" s="334" t="n"/>
      <c r="K887" s="334" t="n"/>
      <c r="L887" s="334" t="n"/>
      <c r="M887" s="334" t="n"/>
      <c r="N887" s="339" t="n"/>
      <c r="O887" s="368" t="n"/>
      <c r="P887" s="334" t="n"/>
    </row>
    <row r="888">
      <c r="A888" s="334" t="n"/>
      <c r="B888" s="334" t="n"/>
      <c r="C888" s="334" t="n"/>
      <c r="D888" s="334" t="n"/>
      <c r="E888" s="334" t="n"/>
      <c r="F888" s="334" t="n"/>
      <c r="G888" s="334" t="n"/>
      <c r="H888" s="334" t="n"/>
      <c r="I888" s="334" t="n"/>
      <c r="J888" s="334" t="n"/>
      <c r="K888" s="334" t="n"/>
      <c r="L888" s="334" t="n"/>
      <c r="M888" s="334" t="n"/>
      <c r="N888" s="339" t="n"/>
      <c r="O888" s="368" t="n"/>
      <c r="P888" s="334" t="n"/>
    </row>
    <row r="889">
      <c r="A889" s="334" t="n"/>
      <c r="B889" s="334" t="n"/>
      <c r="C889" s="334" t="n"/>
      <c r="D889" s="334" t="n"/>
      <c r="E889" s="334" t="n"/>
      <c r="F889" s="334" t="n"/>
      <c r="G889" s="334" t="n"/>
      <c r="H889" s="334" t="n"/>
      <c r="I889" s="334" t="n"/>
      <c r="J889" s="334" t="n"/>
      <c r="K889" s="334" t="n"/>
      <c r="L889" s="334" t="n"/>
      <c r="M889" s="334" t="n"/>
      <c r="N889" s="339" t="n"/>
      <c r="O889" s="368" t="n"/>
      <c r="P889" s="334" t="n"/>
    </row>
    <row r="890">
      <c r="A890" s="334" t="n"/>
      <c r="B890" s="334" t="n"/>
      <c r="C890" s="334" t="n"/>
      <c r="D890" s="334" t="n"/>
      <c r="E890" s="334" t="n"/>
      <c r="F890" s="334" t="n"/>
      <c r="G890" s="334" t="n"/>
      <c r="H890" s="334" t="n"/>
      <c r="I890" s="334" t="n"/>
      <c r="J890" s="334" t="n"/>
      <c r="K890" s="334" t="n"/>
      <c r="L890" s="334" t="n"/>
      <c r="M890" s="334" t="n"/>
      <c r="N890" s="339" t="n"/>
      <c r="O890" s="368" t="n"/>
      <c r="P890" s="334" t="n"/>
    </row>
    <row r="891">
      <c r="A891" s="334" t="n"/>
      <c r="B891" s="334" t="n"/>
      <c r="C891" s="334" t="n"/>
      <c r="D891" s="334" t="n"/>
      <c r="E891" s="334" t="n"/>
      <c r="F891" s="334" t="n"/>
      <c r="G891" s="334" t="n"/>
      <c r="H891" s="334" t="n"/>
      <c r="I891" s="334" t="n"/>
      <c r="J891" s="334" t="n"/>
      <c r="K891" s="334" t="n"/>
      <c r="L891" s="334" t="n"/>
      <c r="M891" s="334" t="n"/>
      <c r="N891" s="339" t="n"/>
      <c r="O891" s="368" t="n"/>
      <c r="P891" s="334" t="n"/>
    </row>
    <row r="892">
      <c r="A892" s="334" t="n"/>
      <c r="B892" s="334" t="n"/>
      <c r="C892" s="334" t="n"/>
      <c r="D892" s="334" t="n"/>
      <c r="E892" s="334" t="n"/>
      <c r="F892" s="334" t="n"/>
      <c r="G892" s="334" t="n"/>
      <c r="H892" s="334" t="n"/>
      <c r="I892" s="334" t="n"/>
      <c r="J892" s="334" t="n"/>
      <c r="K892" s="334" t="n"/>
      <c r="L892" s="334" t="n"/>
      <c r="M892" s="334" t="n"/>
      <c r="N892" s="339" t="n"/>
      <c r="O892" s="368" t="n"/>
      <c r="P892" s="334" t="n"/>
    </row>
    <row r="893">
      <c r="A893" s="334" t="n"/>
      <c r="B893" s="334" t="n"/>
      <c r="C893" s="334" t="n"/>
      <c r="D893" s="334" t="n"/>
      <c r="E893" s="334" t="n"/>
      <c r="F893" s="334" t="n"/>
      <c r="G893" s="334" t="n"/>
      <c r="H893" s="334" t="n"/>
      <c r="I893" s="334" t="n"/>
      <c r="J893" s="334" t="n"/>
      <c r="K893" s="334" t="n"/>
      <c r="L893" s="334" t="n"/>
      <c r="M893" s="334" t="n"/>
      <c r="N893" s="339" t="n"/>
      <c r="O893" s="368" t="n"/>
      <c r="P893" s="334" t="n"/>
    </row>
    <row r="894">
      <c r="A894" s="334" t="n"/>
      <c r="B894" s="334" t="n"/>
      <c r="C894" s="334" t="n"/>
      <c r="D894" s="334" t="n"/>
      <c r="E894" s="334" t="n"/>
      <c r="F894" s="334" t="n"/>
      <c r="G894" s="334" t="n"/>
      <c r="H894" s="334" t="n"/>
      <c r="I894" s="334" t="n"/>
      <c r="J894" s="334" t="n"/>
      <c r="K894" s="334" t="n"/>
      <c r="L894" s="334" t="n"/>
      <c r="M894" s="334" t="n"/>
      <c r="N894" s="339" t="n"/>
      <c r="O894" s="368" t="n"/>
      <c r="P894" s="334" t="n"/>
    </row>
    <row r="895">
      <c r="A895" s="334" t="n"/>
      <c r="B895" s="334" t="n"/>
      <c r="C895" s="334" t="n"/>
      <c r="D895" s="334" t="n"/>
      <c r="E895" s="334" t="n"/>
      <c r="F895" s="334" t="n"/>
      <c r="G895" s="334" t="n"/>
      <c r="H895" s="334" t="n"/>
      <c r="I895" s="334" t="n"/>
      <c r="J895" s="334" t="n"/>
      <c r="K895" s="334" t="n"/>
      <c r="L895" s="334" t="n"/>
      <c r="M895" s="334" t="n"/>
      <c r="N895" s="339" t="n"/>
      <c r="O895" s="368" t="n"/>
      <c r="P895" s="334" t="n"/>
    </row>
    <row r="896">
      <c r="A896" s="334" t="n"/>
      <c r="B896" s="334" t="n"/>
      <c r="C896" s="334" t="n"/>
      <c r="D896" s="334" t="n"/>
      <c r="E896" s="334" t="n"/>
      <c r="F896" s="334" t="n"/>
      <c r="G896" s="334" t="n"/>
      <c r="H896" s="334" t="n"/>
      <c r="I896" s="334" t="n"/>
      <c r="J896" s="334" t="n"/>
      <c r="K896" s="334" t="n"/>
      <c r="L896" s="334" t="n"/>
      <c r="M896" s="334" t="n"/>
      <c r="N896" s="339" t="n"/>
      <c r="O896" s="368" t="n"/>
      <c r="P896" s="334" t="n"/>
    </row>
    <row r="897">
      <c r="A897" s="334" t="n"/>
      <c r="B897" s="334" t="n"/>
      <c r="C897" s="334" t="n"/>
      <c r="D897" s="334" t="n"/>
      <c r="E897" s="334" t="n"/>
      <c r="F897" s="334" t="n"/>
      <c r="G897" s="334" t="n"/>
      <c r="H897" s="334" t="n"/>
      <c r="I897" s="334" t="n"/>
      <c r="J897" s="334" t="n"/>
      <c r="K897" s="334" t="n"/>
      <c r="L897" s="334" t="n"/>
      <c r="M897" s="334" t="n"/>
      <c r="N897" s="339" t="n"/>
      <c r="O897" s="368" t="n"/>
      <c r="P897" s="334" t="n"/>
    </row>
    <row r="898">
      <c r="A898" s="334" t="n"/>
      <c r="B898" s="334" t="n"/>
      <c r="C898" s="334" t="n"/>
      <c r="D898" s="334" t="n"/>
      <c r="E898" s="334" t="n"/>
      <c r="F898" s="334" t="n"/>
      <c r="G898" s="334" t="n"/>
      <c r="H898" s="334" t="n"/>
      <c r="I898" s="334" t="n"/>
      <c r="J898" s="334" t="n"/>
      <c r="K898" s="334" t="n"/>
      <c r="L898" s="334" t="n"/>
      <c r="M898" s="334" t="n"/>
      <c r="N898" s="339" t="n"/>
      <c r="O898" s="368" t="n"/>
      <c r="P898" s="334" t="n"/>
    </row>
    <row r="899">
      <c r="A899" s="334" t="n"/>
      <c r="B899" s="334" t="n"/>
      <c r="C899" s="334" t="n"/>
      <c r="D899" s="334" t="n"/>
      <c r="E899" s="334" t="n"/>
      <c r="F899" s="334" t="n"/>
      <c r="G899" s="334" t="n"/>
      <c r="H899" s="334" t="n"/>
      <c r="I899" s="334" t="n"/>
      <c r="J899" s="334" t="n"/>
      <c r="K899" s="334" t="n"/>
      <c r="L899" s="334" t="n"/>
      <c r="M899" s="334" t="n"/>
      <c r="N899" s="339" t="n"/>
      <c r="O899" s="368" t="n"/>
      <c r="P899" s="334" t="n"/>
    </row>
    <row r="900">
      <c r="A900" s="334" t="n"/>
      <c r="B900" s="334" t="n"/>
      <c r="C900" s="334" t="n"/>
      <c r="D900" s="334" t="n"/>
      <c r="E900" s="334" t="n"/>
      <c r="F900" s="334" t="n"/>
      <c r="G900" s="334" t="n"/>
      <c r="H900" s="334" t="n"/>
      <c r="I900" s="334" t="n"/>
      <c r="J900" s="334" t="n"/>
      <c r="K900" s="334" t="n"/>
      <c r="L900" s="334" t="n"/>
      <c r="M900" s="334" t="n"/>
      <c r="N900" s="339" t="n"/>
      <c r="O900" s="368" t="n"/>
      <c r="P900" s="334" t="n"/>
    </row>
    <row r="901">
      <c r="A901" s="334" t="n"/>
      <c r="B901" s="334" t="n"/>
      <c r="C901" s="334" t="n"/>
      <c r="D901" s="334" t="n"/>
      <c r="E901" s="334" t="n"/>
      <c r="F901" s="334" t="n"/>
      <c r="G901" s="334" t="n"/>
      <c r="H901" s="334" t="n"/>
      <c r="I901" s="334" t="n"/>
      <c r="J901" s="334" t="n"/>
      <c r="K901" s="334" t="n"/>
      <c r="L901" s="334" t="n"/>
      <c r="M901" s="334" t="n"/>
      <c r="N901" s="339" t="n"/>
      <c r="O901" s="368" t="n"/>
      <c r="P901" s="334" t="n"/>
    </row>
    <row r="902">
      <c r="A902" s="334" t="n"/>
      <c r="B902" s="334" t="n"/>
      <c r="C902" s="334" t="n"/>
      <c r="D902" s="334" t="n"/>
      <c r="E902" s="334" t="n"/>
      <c r="F902" s="334" t="n"/>
      <c r="G902" s="334" t="n"/>
      <c r="H902" s="334" t="n"/>
      <c r="I902" s="334" t="n"/>
      <c r="J902" s="334" t="n"/>
      <c r="K902" s="334" t="n"/>
      <c r="L902" s="334" t="n"/>
      <c r="M902" s="334" t="n"/>
      <c r="N902" s="339" t="n"/>
      <c r="O902" s="368" t="n"/>
      <c r="P902" s="334" t="n"/>
    </row>
    <row r="903">
      <c r="A903" s="334" t="n"/>
      <c r="B903" s="334" t="n"/>
      <c r="C903" s="334" t="n"/>
      <c r="D903" s="334" t="n"/>
      <c r="E903" s="334" t="n"/>
      <c r="F903" s="334" t="n"/>
      <c r="G903" s="334" t="n"/>
      <c r="H903" s="334" t="n"/>
      <c r="I903" s="334" t="n"/>
      <c r="J903" s="334" t="n"/>
      <c r="K903" s="334" t="n"/>
      <c r="L903" s="334" t="n"/>
      <c r="M903" s="334" t="n"/>
      <c r="N903" s="339" t="n"/>
      <c r="O903" s="368" t="n"/>
      <c r="P903" s="334" t="n"/>
    </row>
    <row r="904">
      <c r="A904" s="334" t="n"/>
      <c r="B904" s="334" t="n"/>
      <c r="C904" s="334" t="n"/>
      <c r="D904" s="334" t="n"/>
      <c r="E904" s="334" t="n"/>
      <c r="F904" s="334" t="n"/>
      <c r="G904" s="334" t="n"/>
      <c r="H904" s="334" t="n"/>
      <c r="I904" s="334" t="n"/>
      <c r="J904" s="334" t="n"/>
      <c r="K904" s="334" t="n"/>
      <c r="L904" s="334" t="n"/>
      <c r="M904" s="334" t="n"/>
      <c r="N904" s="339" t="n"/>
      <c r="O904" s="368" t="n"/>
      <c r="P904" s="334" t="n"/>
    </row>
    <row r="905">
      <c r="A905" s="334" t="n"/>
      <c r="B905" s="334" t="n"/>
      <c r="C905" s="334" t="n"/>
      <c r="D905" s="334" t="n"/>
      <c r="E905" s="334" t="n"/>
      <c r="F905" s="334" t="n"/>
      <c r="G905" s="334" t="n"/>
      <c r="H905" s="334" t="n"/>
      <c r="I905" s="334" t="n"/>
      <c r="J905" s="334" t="n"/>
      <c r="K905" s="334" t="n"/>
      <c r="L905" s="334" t="n"/>
      <c r="M905" s="334" t="n"/>
      <c r="N905" s="339" t="n"/>
      <c r="O905" s="368" t="n"/>
      <c r="P905" s="334" t="n"/>
    </row>
    <row r="906">
      <c r="A906" s="334" t="n"/>
      <c r="B906" s="334" t="n"/>
      <c r="C906" s="334" t="n"/>
      <c r="D906" s="334" t="n"/>
      <c r="E906" s="334" t="n"/>
      <c r="F906" s="334" t="n"/>
      <c r="G906" s="334" t="n"/>
      <c r="H906" s="334" t="n"/>
      <c r="I906" s="334" t="n"/>
      <c r="J906" s="334" t="n"/>
      <c r="K906" s="334" t="n"/>
      <c r="L906" s="334" t="n"/>
      <c r="M906" s="334" t="n"/>
      <c r="N906" s="339" t="n"/>
      <c r="O906" s="368" t="n"/>
      <c r="P906" s="334" t="n"/>
    </row>
    <row r="907">
      <c r="A907" s="334" t="n"/>
      <c r="B907" s="334" t="n"/>
      <c r="C907" s="334" t="n"/>
      <c r="D907" s="334" t="n"/>
      <c r="E907" s="334" t="n"/>
      <c r="F907" s="334" t="n"/>
      <c r="G907" s="334" t="n"/>
      <c r="H907" s="334" t="n"/>
      <c r="I907" s="334" t="n"/>
      <c r="J907" s="334" t="n"/>
      <c r="K907" s="334" t="n"/>
      <c r="L907" s="334" t="n"/>
      <c r="M907" s="334" t="n"/>
      <c r="N907" s="339" t="n"/>
      <c r="O907" s="368" t="n"/>
      <c r="P907" s="334" t="n"/>
    </row>
    <row r="908">
      <c r="A908" s="334" t="n"/>
      <c r="B908" s="334" t="n"/>
      <c r="C908" s="334" t="n"/>
      <c r="D908" s="334" t="n"/>
      <c r="E908" s="334" t="n"/>
      <c r="F908" s="334" t="n"/>
      <c r="G908" s="334" t="n"/>
      <c r="H908" s="334" t="n"/>
      <c r="I908" s="334" t="n"/>
      <c r="J908" s="334" t="n"/>
      <c r="K908" s="334" t="n"/>
      <c r="L908" s="334" t="n"/>
      <c r="M908" s="334" t="n"/>
      <c r="N908" s="339" t="n"/>
      <c r="O908" s="368" t="n"/>
      <c r="P908" s="334" t="n"/>
    </row>
    <row r="909">
      <c r="A909" s="334" t="n"/>
      <c r="B909" s="334" t="n"/>
      <c r="C909" s="334" t="n"/>
      <c r="D909" s="334" t="n"/>
      <c r="E909" s="334" t="n"/>
      <c r="F909" s="334" t="n"/>
      <c r="G909" s="334" t="n"/>
      <c r="H909" s="334" t="n"/>
      <c r="I909" s="334" t="n"/>
      <c r="J909" s="334" t="n"/>
      <c r="K909" s="334" t="n"/>
      <c r="L909" s="334" t="n"/>
      <c r="M909" s="334" t="n"/>
      <c r="N909" s="339" t="n"/>
      <c r="O909" s="368" t="n"/>
      <c r="P909" s="334" t="n"/>
    </row>
    <row r="910">
      <c r="A910" s="334" t="n"/>
      <c r="B910" s="334" t="n"/>
      <c r="C910" s="334" t="n"/>
      <c r="D910" s="334" t="n"/>
      <c r="E910" s="334" t="n"/>
      <c r="F910" s="334" t="n"/>
      <c r="G910" s="334" t="n"/>
      <c r="H910" s="334" t="n"/>
      <c r="I910" s="334" t="n"/>
      <c r="J910" s="334" t="n"/>
      <c r="K910" s="334" t="n"/>
      <c r="L910" s="334" t="n"/>
      <c r="M910" s="334" t="n"/>
      <c r="N910" s="339" t="n"/>
      <c r="O910" s="368" t="n"/>
      <c r="P910" s="334" t="n"/>
    </row>
    <row r="911">
      <c r="A911" s="334" t="n"/>
      <c r="B911" s="334" t="n"/>
      <c r="C911" s="334" t="n"/>
      <c r="D911" s="334" t="n"/>
      <c r="E911" s="334" t="n"/>
      <c r="F911" s="334" t="n"/>
      <c r="G911" s="334" t="n"/>
      <c r="H911" s="334" t="n"/>
      <c r="I911" s="334" t="n"/>
      <c r="J911" s="334" t="n"/>
      <c r="K911" s="334" t="n"/>
      <c r="L911" s="334" t="n"/>
      <c r="M911" s="334" t="n"/>
      <c r="N911" s="339" t="n"/>
      <c r="O911" s="368" t="n"/>
      <c r="P911" s="334" t="n"/>
    </row>
    <row r="912">
      <c r="A912" s="334" t="n"/>
      <c r="B912" s="334" t="n"/>
      <c r="C912" s="334" t="n"/>
      <c r="D912" s="334" t="n"/>
      <c r="E912" s="334" t="n"/>
      <c r="F912" s="334" t="n"/>
      <c r="G912" s="334" t="n"/>
      <c r="H912" s="334" t="n"/>
      <c r="I912" s="334" t="n"/>
      <c r="J912" s="334" t="n"/>
      <c r="K912" s="334" t="n"/>
      <c r="L912" s="334" t="n"/>
      <c r="M912" s="334" t="n"/>
      <c r="N912" s="339" t="n"/>
      <c r="O912" s="368" t="n"/>
      <c r="P912" s="334" t="n"/>
    </row>
    <row r="913">
      <c r="A913" s="334" t="n"/>
      <c r="B913" s="334" t="n"/>
      <c r="C913" s="334" t="n"/>
      <c r="D913" s="334" t="n"/>
      <c r="E913" s="334" t="n"/>
      <c r="F913" s="334" t="n"/>
      <c r="G913" s="334" t="n"/>
      <c r="H913" s="334" t="n"/>
      <c r="I913" s="334" t="n"/>
      <c r="J913" s="334" t="n"/>
      <c r="K913" s="334" t="n"/>
      <c r="L913" s="334" t="n"/>
      <c r="M913" s="334" t="n"/>
      <c r="N913" s="339" t="n"/>
      <c r="O913" s="368" t="n"/>
      <c r="P913" s="334" t="n"/>
    </row>
    <row r="914">
      <c r="A914" s="334" t="n"/>
      <c r="B914" s="334" t="n"/>
      <c r="C914" s="334" t="n"/>
      <c r="D914" s="334" t="n"/>
      <c r="E914" s="334" t="n"/>
      <c r="F914" s="334" t="n"/>
      <c r="G914" s="334" t="n"/>
      <c r="H914" s="334" t="n"/>
      <c r="I914" s="334" t="n"/>
      <c r="J914" s="334" t="n"/>
      <c r="K914" s="334" t="n"/>
      <c r="L914" s="334" t="n"/>
      <c r="M914" s="334" t="n"/>
      <c r="N914" s="339" t="n"/>
      <c r="O914" s="368" t="n"/>
      <c r="P914" s="334" t="n"/>
    </row>
    <row r="915">
      <c r="A915" s="334" t="n"/>
      <c r="B915" s="334" t="n"/>
      <c r="C915" s="334" t="n"/>
      <c r="D915" s="334" t="n"/>
      <c r="E915" s="334" t="n"/>
      <c r="F915" s="334" t="n"/>
      <c r="G915" s="334" t="n"/>
      <c r="H915" s="334" t="n"/>
      <c r="I915" s="334" t="n"/>
      <c r="J915" s="334" t="n"/>
      <c r="K915" s="334" t="n"/>
      <c r="L915" s="334" t="n"/>
      <c r="M915" s="334" t="n"/>
      <c r="N915" s="339" t="n"/>
      <c r="O915" s="368" t="n"/>
      <c r="P915" s="334" t="n"/>
    </row>
    <row r="916">
      <c r="A916" s="334" t="n"/>
      <c r="B916" s="334" t="n"/>
      <c r="C916" s="334" t="n"/>
      <c r="D916" s="334" t="n"/>
      <c r="E916" s="334" t="n"/>
      <c r="F916" s="334" t="n"/>
      <c r="G916" s="334" t="n"/>
      <c r="H916" s="334" t="n"/>
      <c r="I916" s="334" t="n"/>
      <c r="J916" s="334" t="n"/>
      <c r="K916" s="334" t="n"/>
      <c r="L916" s="334" t="n"/>
      <c r="M916" s="334" t="n"/>
      <c r="N916" s="339" t="n"/>
      <c r="O916" s="368" t="n"/>
      <c r="P916" s="334" t="n"/>
    </row>
    <row r="917">
      <c r="A917" s="334" t="n"/>
      <c r="B917" s="334" t="n"/>
      <c r="C917" s="334" t="n"/>
      <c r="D917" s="334" t="n"/>
      <c r="E917" s="334" t="n"/>
      <c r="F917" s="334" t="n"/>
      <c r="G917" s="334" t="n"/>
      <c r="H917" s="334" t="n"/>
      <c r="I917" s="334" t="n"/>
      <c r="J917" s="334" t="n"/>
      <c r="K917" s="334" t="n"/>
      <c r="L917" s="334" t="n"/>
      <c r="M917" s="334" t="n"/>
      <c r="N917" s="339" t="n"/>
      <c r="O917" s="368" t="n"/>
      <c r="P917" s="334" t="n"/>
    </row>
    <row r="918">
      <c r="A918" s="334" t="n"/>
      <c r="B918" s="334" t="n"/>
      <c r="C918" s="334" t="n"/>
      <c r="D918" s="334" t="n"/>
      <c r="E918" s="334" t="n"/>
      <c r="F918" s="334" t="n"/>
      <c r="G918" s="334" t="n"/>
      <c r="H918" s="334" t="n"/>
      <c r="I918" s="334" t="n"/>
      <c r="J918" s="334" t="n"/>
      <c r="K918" s="334" t="n"/>
      <c r="L918" s="334" t="n"/>
      <c r="M918" s="334" t="n"/>
      <c r="N918" s="339" t="n"/>
      <c r="O918" s="368" t="n"/>
      <c r="P918" s="334" t="n"/>
    </row>
    <row r="919">
      <c r="A919" s="334" t="n"/>
      <c r="B919" s="334" t="n"/>
      <c r="C919" s="334" t="n"/>
      <c r="D919" s="334" t="n"/>
      <c r="E919" s="334" t="n"/>
      <c r="F919" s="334" t="n"/>
      <c r="G919" s="334" t="n"/>
      <c r="H919" s="334" t="n"/>
      <c r="I919" s="334" t="n"/>
      <c r="J919" s="334" t="n"/>
      <c r="K919" s="334" t="n"/>
      <c r="L919" s="334" t="n"/>
      <c r="M919" s="334" t="n"/>
      <c r="N919" s="339" t="n"/>
      <c r="O919" s="368" t="n"/>
      <c r="P919" s="334" t="n"/>
    </row>
    <row r="920">
      <c r="A920" s="334" t="n"/>
      <c r="B920" s="334" t="n"/>
      <c r="C920" s="334" t="n"/>
      <c r="D920" s="334" t="n"/>
      <c r="E920" s="334" t="n"/>
      <c r="F920" s="334" t="n"/>
      <c r="G920" s="334" t="n"/>
      <c r="H920" s="334" t="n"/>
      <c r="I920" s="334" t="n"/>
      <c r="J920" s="334" t="n"/>
      <c r="K920" s="334" t="n"/>
      <c r="L920" s="334" t="n"/>
      <c r="M920" s="334" t="n"/>
      <c r="N920" s="339" t="n"/>
      <c r="O920" s="368" t="n"/>
      <c r="P920" s="334" t="n"/>
    </row>
    <row r="921">
      <c r="A921" s="334" t="n"/>
      <c r="B921" s="334" t="n"/>
      <c r="C921" s="334" t="n"/>
      <c r="D921" s="334" t="n"/>
      <c r="E921" s="334" t="n"/>
      <c r="F921" s="334" t="n"/>
      <c r="G921" s="334" t="n"/>
      <c r="H921" s="334" t="n"/>
      <c r="I921" s="334" t="n"/>
      <c r="J921" s="334" t="n"/>
      <c r="K921" s="334" t="n"/>
      <c r="L921" s="334" t="n"/>
      <c r="M921" s="334" t="n"/>
      <c r="N921" s="339" t="n"/>
      <c r="O921" s="368" t="n"/>
      <c r="P921" s="334" t="n"/>
    </row>
    <row r="922">
      <c r="A922" s="334" t="n"/>
      <c r="B922" s="334" t="n"/>
      <c r="C922" s="334" t="n"/>
      <c r="D922" s="334" t="n"/>
      <c r="E922" s="334" t="n"/>
      <c r="F922" s="334" t="n"/>
      <c r="G922" s="334" t="n"/>
      <c r="H922" s="334" t="n"/>
      <c r="I922" s="334" t="n"/>
      <c r="J922" s="334" t="n"/>
      <c r="K922" s="334" t="n"/>
      <c r="L922" s="334" t="n"/>
      <c r="M922" s="334" t="n"/>
      <c r="N922" s="339" t="n"/>
      <c r="O922" s="368" t="n"/>
      <c r="P922" s="334" t="n"/>
    </row>
    <row r="923">
      <c r="A923" s="334" t="n"/>
      <c r="B923" s="334" t="n"/>
      <c r="C923" s="334" t="n"/>
      <c r="D923" s="334" t="n"/>
      <c r="E923" s="334" t="n"/>
      <c r="F923" s="334" t="n"/>
      <c r="G923" s="334" t="n"/>
      <c r="H923" s="334" t="n"/>
      <c r="I923" s="334" t="n"/>
      <c r="J923" s="334" t="n"/>
      <c r="K923" s="334" t="n"/>
      <c r="L923" s="334" t="n"/>
      <c r="M923" s="334" t="n"/>
      <c r="N923" s="339" t="n"/>
      <c r="O923" s="368" t="n"/>
      <c r="P923" s="334" t="n"/>
    </row>
    <row r="924">
      <c r="A924" s="334" t="n"/>
      <c r="B924" s="334" t="n"/>
      <c r="C924" s="334" t="n"/>
      <c r="D924" s="334" t="n"/>
      <c r="E924" s="334" t="n"/>
      <c r="F924" s="334" t="n"/>
      <c r="G924" s="334" t="n"/>
      <c r="H924" s="334" t="n"/>
      <c r="I924" s="334" t="n"/>
      <c r="J924" s="334" t="n"/>
      <c r="K924" s="334" t="n"/>
      <c r="L924" s="334" t="n"/>
      <c r="M924" s="334" t="n"/>
      <c r="N924" s="339" t="n"/>
      <c r="O924" s="368" t="n"/>
      <c r="P924" s="334" t="n"/>
    </row>
    <row r="925">
      <c r="A925" s="334" t="n"/>
      <c r="B925" s="334" t="n"/>
      <c r="C925" s="334" t="n"/>
      <c r="D925" s="334" t="n"/>
      <c r="E925" s="334" t="n"/>
      <c r="F925" s="334" t="n"/>
      <c r="G925" s="334" t="n"/>
      <c r="H925" s="334" t="n"/>
      <c r="I925" s="334" t="n"/>
      <c r="J925" s="334" t="n"/>
      <c r="K925" s="334" t="n"/>
      <c r="L925" s="334" t="n"/>
      <c r="M925" s="334" t="n"/>
      <c r="N925" s="339" t="n"/>
      <c r="O925" s="368" t="n"/>
      <c r="P925" s="334" t="n"/>
    </row>
    <row r="926">
      <c r="A926" s="334" t="n"/>
      <c r="B926" s="334" t="n"/>
      <c r="C926" s="334" t="n"/>
      <c r="D926" s="334" t="n"/>
      <c r="E926" s="334" t="n"/>
      <c r="F926" s="334" t="n"/>
      <c r="G926" s="334" t="n"/>
      <c r="H926" s="334" t="n"/>
      <c r="I926" s="334" t="n"/>
      <c r="J926" s="334" t="n"/>
      <c r="K926" s="334" t="n"/>
      <c r="L926" s="334" t="n"/>
      <c r="M926" s="334" t="n"/>
      <c r="N926" s="339" t="n"/>
      <c r="O926" s="368" t="n"/>
      <c r="P926" s="334" t="n"/>
    </row>
    <row r="927">
      <c r="A927" s="334" t="n"/>
      <c r="B927" s="334" t="n"/>
      <c r="C927" s="334" t="n"/>
      <c r="D927" s="334" t="n"/>
      <c r="E927" s="334" t="n"/>
      <c r="F927" s="334" t="n"/>
      <c r="G927" s="334" t="n"/>
      <c r="H927" s="334" t="n"/>
      <c r="I927" s="334" t="n"/>
      <c r="J927" s="334" t="n"/>
      <c r="K927" s="334" t="n"/>
      <c r="L927" s="334" t="n"/>
      <c r="M927" s="334" t="n"/>
      <c r="N927" s="339" t="n"/>
      <c r="O927" s="368" t="n"/>
      <c r="P927" s="334" t="n"/>
    </row>
    <row r="928">
      <c r="A928" s="334" t="n"/>
      <c r="B928" s="334" t="n"/>
      <c r="C928" s="334" t="n"/>
      <c r="D928" s="334" t="n"/>
      <c r="E928" s="334" t="n"/>
      <c r="F928" s="334" t="n"/>
      <c r="G928" s="334" t="n"/>
      <c r="H928" s="334" t="n"/>
      <c r="I928" s="334" t="n"/>
      <c r="J928" s="334" t="n"/>
      <c r="K928" s="334" t="n"/>
      <c r="L928" s="334" t="n"/>
      <c r="M928" s="334" t="n"/>
      <c r="N928" s="339" t="n"/>
      <c r="O928" s="368" t="n"/>
      <c r="P928" s="334" t="n"/>
    </row>
    <row r="929">
      <c r="A929" s="334" t="n"/>
      <c r="B929" s="334" t="n"/>
      <c r="C929" s="334" t="n"/>
      <c r="D929" s="334" t="n"/>
      <c r="E929" s="334" t="n"/>
      <c r="F929" s="334" t="n"/>
      <c r="G929" s="334" t="n"/>
      <c r="H929" s="334" t="n"/>
      <c r="I929" s="334" t="n"/>
      <c r="J929" s="334" t="n"/>
      <c r="K929" s="334" t="n"/>
      <c r="L929" s="334" t="n"/>
      <c r="M929" s="334" t="n"/>
      <c r="N929" s="339" t="n"/>
      <c r="O929" s="368" t="n"/>
      <c r="P929" s="334" t="n"/>
    </row>
    <row r="930">
      <c r="A930" s="334" t="n"/>
      <c r="B930" s="334" t="n"/>
      <c r="C930" s="334" t="n"/>
      <c r="D930" s="334" t="n"/>
      <c r="E930" s="334" t="n"/>
      <c r="F930" s="334" t="n"/>
      <c r="G930" s="334" t="n"/>
      <c r="H930" s="334" t="n"/>
      <c r="I930" s="334" t="n"/>
      <c r="J930" s="334" t="n"/>
      <c r="K930" s="334" t="n"/>
      <c r="L930" s="334" t="n"/>
      <c r="M930" s="334" t="n"/>
      <c r="N930" s="339" t="n"/>
      <c r="O930" s="368" t="n"/>
      <c r="P930" s="334" t="n"/>
    </row>
    <row r="931">
      <c r="A931" s="334" t="n"/>
      <c r="B931" s="334" t="n"/>
      <c r="C931" s="334" t="n"/>
      <c r="D931" s="334" t="n"/>
      <c r="E931" s="334" t="n"/>
      <c r="F931" s="334" t="n"/>
      <c r="G931" s="334" t="n"/>
      <c r="H931" s="334" t="n"/>
      <c r="I931" s="334" t="n"/>
      <c r="J931" s="334" t="n"/>
      <c r="K931" s="334" t="n"/>
      <c r="L931" s="334" t="n"/>
      <c r="M931" s="334" t="n"/>
      <c r="N931" s="339" t="n"/>
      <c r="O931" s="368" t="n"/>
      <c r="P931" s="334" t="n"/>
    </row>
    <row r="932">
      <c r="A932" s="334" t="n"/>
      <c r="B932" s="334" t="n"/>
      <c r="C932" s="334" t="n"/>
      <c r="D932" s="334" t="n"/>
      <c r="E932" s="334" t="n"/>
      <c r="F932" s="334" t="n"/>
      <c r="G932" s="334" t="n"/>
      <c r="H932" s="334" t="n"/>
      <c r="I932" s="334" t="n"/>
      <c r="J932" s="334" t="n"/>
      <c r="K932" s="334" t="n"/>
      <c r="L932" s="334" t="n"/>
      <c r="M932" s="334" t="n"/>
      <c r="N932" s="339" t="n"/>
      <c r="O932" s="368" t="n"/>
      <c r="P932" s="334" t="n"/>
    </row>
    <row r="933">
      <c r="A933" s="334" t="n"/>
      <c r="B933" s="334" t="n"/>
      <c r="C933" s="334" t="n"/>
      <c r="D933" s="334" t="n"/>
      <c r="E933" s="334" t="n"/>
      <c r="F933" s="334" t="n"/>
      <c r="G933" s="334" t="n"/>
      <c r="H933" s="334" t="n"/>
      <c r="I933" s="334" t="n"/>
      <c r="J933" s="334" t="n"/>
      <c r="K933" s="334" t="n"/>
      <c r="L933" s="334" t="n"/>
      <c r="M933" s="334" t="n"/>
      <c r="N933" s="339" t="n"/>
      <c r="O933" s="368" t="n"/>
      <c r="P933" s="334" t="n"/>
    </row>
    <row r="934">
      <c r="A934" s="334" t="n"/>
      <c r="B934" s="334" t="n"/>
      <c r="C934" s="334" t="n"/>
      <c r="D934" s="334" t="n"/>
      <c r="E934" s="334" t="n"/>
      <c r="F934" s="334" t="n"/>
      <c r="G934" s="334" t="n"/>
      <c r="H934" s="334" t="n"/>
      <c r="I934" s="334" t="n"/>
      <c r="J934" s="334" t="n"/>
      <c r="K934" s="334" t="n"/>
      <c r="L934" s="334" t="n"/>
      <c r="M934" s="334" t="n"/>
      <c r="N934" s="339" t="n"/>
      <c r="O934" s="368" t="n"/>
      <c r="P934" s="334" t="n"/>
    </row>
    <row r="935">
      <c r="A935" s="334" t="n"/>
      <c r="B935" s="334" t="n"/>
      <c r="C935" s="334" t="n"/>
      <c r="D935" s="334" t="n"/>
      <c r="E935" s="334" t="n"/>
      <c r="F935" s="334" t="n"/>
      <c r="G935" s="334" t="n"/>
      <c r="H935" s="334" t="n"/>
      <c r="I935" s="334" t="n"/>
      <c r="J935" s="334" t="n"/>
      <c r="K935" s="334" t="n"/>
      <c r="L935" s="334" t="n"/>
      <c r="M935" s="334" t="n"/>
      <c r="N935" s="339" t="n"/>
      <c r="O935" s="368" t="n"/>
      <c r="P935" s="334" t="n"/>
    </row>
    <row r="936">
      <c r="A936" s="334" t="n"/>
      <c r="B936" s="334" t="n"/>
      <c r="C936" s="334" t="n"/>
      <c r="D936" s="334" t="n"/>
      <c r="E936" s="334" t="n"/>
      <c r="F936" s="334" t="n"/>
      <c r="G936" s="334" t="n"/>
      <c r="H936" s="334" t="n"/>
      <c r="I936" s="334" t="n"/>
      <c r="J936" s="334" t="n"/>
      <c r="K936" s="334" t="n"/>
      <c r="L936" s="334" t="n"/>
      <c r="M936" s="334" t="n"/>
      <c r="N936" s="339" t="n"/>
      <c r="O936" s="368" t="n"/>
      <c r="P936" s="334" t="n"/>
    </row>
    <row r="937">
      <c r="A937" s="334" t="n"/>
      <c r="B937" s="334" t="n"/>
      <c r="C937" s="334" t="n"/>
      <c r="D937" s="334" t="n"/>
      <c r="E937" s="334" t="n"/>
      <c r="F937" s="334" t="n"/>
      <c r="G937" s="334" t="n"/>
      <c r="H937" s="334" t="n"/>
      <c r="I937" s="334" t="n"/>
      <c r="J937" s="334" t="n"/>
      <c r="K937" s="334" t="n"/>
      <c r="L937" s="334" t="n"/>
      <c r="M937" s="334" t="n"/>
      <c r="N937" s="339" t="n"/>
      <c r="O937" s="368" t="n"/>
      <c r="P937" s="334" t="n"/>
    </row>
    <row r="938">
      <c r="A938" s="334" t="n"/>
      <c r="B938" s="334" t="n"/>
      <c r="C938" s="334" t="n"/>
      <c r="D938" s="334" t="n"/>
      <c r="E938" s="334" t="n"/>
      <c r="F938" s="334" t="n"/>
      <c r="G938" s="334" t="n"/>
      <c r="H938" s="334" t="n"/>
      <c r="I938" s="334" t="n"/>
      <c r="J938" s="334" t="n"/>
      <c r="K938" s="334" t="n"/>
      <c r="L938" s="334" t="n"/>
      <c r="M938" s="334" t="n"/>
      <c r="N938" s="339" t="n"/>
      <c r="O938" s="368" t="n"/>
      <c r="P938" s="334" t="n"/>
    </row>
    <row r="939">
      <c r="A939" s="334" t="n"/>
      <c r="B939" s="334" t="n"/>
      <c r="C939" s="334" t="n"/>
      <c r="D939" s="334" t="n"/>
      <c r="E939" s="334" t="n"/>
      <c r="F939" s="334" t="n"/>
      <c r="G939" s="334" t="n"/>
      <c r="H939" s="334" t="n"/>
      <c r="I939" s="334" t="n"/>
      <c r="J939" s="334" t="n"/>
      <c r="K939" s="334" t="n"/>
      <c r="L939" s="334" t="n"/>
      <c r="M939" s="334" t="n"/>
      <c r="N939" s="339" t="n"/>
      <c r="O939" s="368" t="n"/>
      <c r="P939" s="334" t="n"/>
    </row>
    <row r="940">
      <c r="A940" s="334" t="n"/>
      <c r="B940" s="334" t="n"/>
      <c r="C940" s="334" t="n"/>
      <c r="D940" s="334" t="n"/>
      <c r="E940" s="334" t="n"/>
      <c r="F940" s="334" t="n"/>
      <c r="G940" s="334" t="n"/>
      <c r="H940" s="334" t="n"/>
      <c r="I940" s="334" t="n"/>
      <c r="J940" s="334" t="n"/>
      <c r="K940" s="334" t="n"/>
      <c r="L940" s="334" t="n"/>
      <c r="M940" s="334" t="n"/>
      <c r="N940" s="339" t="n"/>
      <c r="O940" s="368" t="n"/>
      <c r="P940" s="334" t="n"/>
    </row>
    <row r="941">
      <c r="A941" s="334" t="n"/>
      <c r="B941" s="334" t="n"/>
      <c r="C941" s="334" t="n"/>
      <c r="D941" s="334" t="n"/>
      <c r="E941" s="334" t="n"/>
      <c r="F941" s="334" t="n"/>
      <c r="G941" s="334" t="n"/>
      <c r="H941" s="334" t="n"/>
      <c r="I941" s="334" t="n"/>
      <c r="J941" s="334" t="n"/>
      <c r="K941" s="334" t="n"/>
      <c r="L941" s="334" t="n"/>
      <c r="M941" s="334" t="n"/>
      <c r="N941" s="339" t="n"/>
      <c r="O941" s="368" t="n"/>
      <c r="P941" s="334" t="n"/>
    </row>
    <row r="942">
      <c r="A942" s="334" t="n"/>
      <c r="B942" s="334" t="n"/>
      <c r="C942" s="334" t="n"/>
      <c r="D942" s="334" t="n"/>
      <c r="E942" s="334" t="n"/>
      <c r="F942" s="334" t="n"/>
      <c r="G942" s="334" t="n"/>
      <c r="H942" s="334" t="n"/>
      <c r="I942" s="334" t="n"/>
      <c r="J942" s="334" t="n"/>
      <c r="K942" s="334" t="n"/>
      <c r="L942" s="334" t="n"/>
      <c r="M942" s="334" t="n"/>
      <c r="N942" s="339" t="n"/>
      <c r="O942" s="368" t="n"/>
      <c r="P942" s="334" t="n"/>
    </row>
    <row r="943">
      <c r="A943" s="334" t="n"/>
      <c r="B943" s="334" t="n"/>
      <c r="C943" s="334" t="n"/>
      <c r="D943" s="334" t="n"/>
      <c r="E943" s="334" t="n"/>
      <c r="F943" s="334" t="n"/>
      <c r="G943" s="334" t="n"/>
      <c r="H943" s="334" t="n"/>
      <c r="I943" s="334" t="n"/>
      <c r="J943" s="334" t="n"/>
      <c r="K943" s="334" t="n"/>
      <c r="L943" s="334" t="n"/>
      <c r="M943" s="334" t="n"/>
      <c r="N943" s="339" t="n"/>
      <c r="O943" s="368" t="n"/>
      <c r="P943" s="334" t="n"/>
    </row>
    <row r="944">
      <c r="A944" s="334" t="n"/>
      <c r="B944" s="334" t="n"/>
      <c r="C944" s="334" t="n"/>
      <c r="D944" s="334" t="n"/>
      <c r="E944" s="334" t="n"/>
      <c r="F944" s="334" t="n"/>
      <c r="G944" s="334" t="n"/>
      <c r="H944" s="334" t="n"/>
      <c r="I944" s="334" t="n"/>
      <c r="J944" s="334" t="n"/>
      <c r="K944" s="334" t="n"/>
      <c r="L944" s="334" t="n"/>
      <c r="M944" s="334" t="n"/>
      <c r="N944" s="339" t="n"/>
      <c r="O944" s="368" t="n"/>
      <c r="P944" s="334" t="n"/>
    </row>
    <row r="945">
      <c r="A945" s="334" t="n"/>
      <c r="B945" s="334" t="n"/>
      <c r="C945" s="334" t="n"/>
      <c r="D945" s="334" t="n"/>
      <c r="E945" s="334" t="n"/>
      <c r="F945" s="334" t="n"/>
      <c r="G945" s="334" t="n"/>
      <c r="H945" s="334" t="n"/>
      <c r="I945" s="334" t="n"/>
      <c r="J945" s="334" t="n"/>
      <c r="K945" s="334" t="n"/>
      <c r="L945" s="334" t="n"/>
      <c r="M945" s="334" t="n"/>
      <c r="N945" s="339" t="n"/>
      <c r="O945" s="368" t="n"/>
      <c r="P945" s="334" t="n"/>
    </row>
    <row r="946">
      <c r="A946" s="334" t="n"/>
      <c r="B946" s="334" t="n"/>
      <c r="C946" s="334" t="n"/>
      <c r="D946" s="334" t="n"/>
      <c r="E946" s="334" t="n"/>
      <c r="F946" s="334" t="n"/>
      <c r="G946" s="334" t="n"/>
      <c r="H946" s="334" t="n"/>
      <c r="I946" s="334" t="n"/>
      <c r="J946" s="334" t="n"/>
      <c r="K946" s="334" t="n"/>
      <c r="L946" s="334" t="n"/>
      <c r="M946" s="334" t="n"/>
      <c r="N946" s="339" t="n"/>
      <c r="O946" s="368" t="n"/>
      <c r="P946" s="334" t="n"/>
    </row>
    <row r="947">
      <c r="A947" s="334" t="n"/>
      <c r="B947" s="334" t="n"/>
      <c r="C947" s="334" t="n"/>
      <c r="D947" s="334" t="n"/>
      <c r="E947" s="334" t="n"/>
      <c r="F947" s="334" t="n"/>
      <c r="G947" s="334" t="n"/>
      <c r="H947" s="334" t="n"/>
      <c r="I947" s="334" t="n"/>
      <c r="J947" s="334" t="n"/>
      <c r="K947" s="334" t="n"/>
      <c r="L947" s="334" t="n"/>
      <c r="M947" s="334" t="n"/>
      <c r="N947" s="339" t="n"/>
      <c r="O947" s="368" t="n"/>
      <c r="P947" s="334" t="n"/>
    </row>
    <row r="948">
      <c r="A948" s="334" t="n"/>
      <c r="B948" s="334" t="n"/>
      <c r="C948" s="334" t="n"/>
      <c r="D948" s="334" t="n"/>
      <c r="E948" s="334" t="n"/>
      <c r="F948" s="334" t="n"/>
      <c r="G948" s="334" t="n"/>
      <c r="H948" s="334" t="n"/>
      <c r="I948" s="334" t="n"/>
      <c r="J948" s="334" t="n"/>
      <c r="K948" s="334" t="n"/>
      <c r="L948" s="334" t="n"/>
      <c r="M948" s="334" t="n"/>
      <c r="N948" s="339" t="n"/>
      <c r="O948" s="368" t="n"/>
      <c r="P948" s="334" t="n"/>
    </row>
    <row r="949">
      <c r="A949" s="334" t="n"/>
      <c r="B949" s="334" t="n"/>
      <c r="C949" s="334" t="n"/>
      <c r="D949" s="334" t="n"/>
      <c r="E949" s="334" t="n"/>
      <c r="F949" s="334" t="n"/>
      <c r="G949" s="334" t="n"/>
      <c r="H949" s="334" t="n"/>
      <c r="I949" s="334" t="n"/>
      <c r="J949" s="334" t="n"/>
      <c r="K949" s="334" t="n"/>
      <c r="L949" s="334" t="n"/>
      <c r="M949" s="334" t="n"/>
      <c r="N949" s="339" t="n"/>
      <c r="O949" s="368" t="n"/>
      <c r="P949" s="334" t="n"/>
    </row>
    <row r="950">
      <c r="A950" s="334" t="n"/>
      <c r="B950" s="334" t="n"/>
      <c r="C950" s="334" t="n"/>
      <c r="D950" s="334" t="n"/>
      <c r="E950" s="334" t="n"/>
      <c r="F950" s="334" t="n"/>
      <c r="G950" s="334" t="n"/>
      <c r="H950" s="334" t="n"/>
      <c r="I950" s="334" t="n"/>
      <c r="J950" s="334" t="n"/>
      <c r="K950" s="334" t="n"/>
      <c r="L950" s="334" t="n"/>
      <c r="M950" s="334" t="n"/>
      <c r="N950" s="339" t="n"/>
      <c r="O950" s="368" t="n"/>
      <c r="P950" s="334" t="n"/>
    </row>
    <row r="951">
      <c r="A951" s="334" t="n"/>
      <c r="B951" s="334" t="n"/>
      <c r="C951" s="334" t="n"/>
      <c r="D951" s="334" t="n"/>
      <c r="E951" s="334" t="n"/>
      <c r="F951" s="334" t="n"/>
      <c r="G951" s="334" t="n"/>
      <c r="H951" s="334" t="n"/>
      <c r="I951" s="334" t="n"/>
      <c r="J951" s="334" t="n"/>
      <c r="K951" s="334" t="n"/>
      <c r="L951" s="334" t="n"/>
      <c r="M951" s="334" t="n"/>
      <c r="N951" s="339" t="n"/>
      <c r="O951" s="368" t="n"/>
      <c r="P951" s="334" t="n"/>
    </row>
    <row r="952">
      <c r="A952" s="334" t="n"/>
      <c r="B952" s="334" t="n"/>
      <c r="C952" s="334" t="n"/>
      <c r="D952" s="334" t="n"/>
      <c r="E952" s="334" t="n"/>
      <c r="F952" s="334" t="n"/>
      <c r="G952" s="334" t="n"/>
      <c r="H952" s="334" t="n"/>
      <c r="I952" s="334" t="n"/>
      <c r="J952" s="334" t="n"/>
      <c r="K952" s="334" t="n"/>
      <c r="L952" s="334" t="n"/>
      <c r="M952" s="334" t="n"/>
      <c r="N952" s="339" t="n"/>
      <c r="O952" s="368" t="n"/>
      <c r="P952" s="334" t="n"/>
    </row>
    <row r="953">
      <c r="A953" s="334" t="n"/>
      <c r="B953" s="334" t="n"/>
      <c r="C953" s="334" t="n"/>
      <c r="D953" s="334" t="n"/>
      <c r="E953" s="334" t="n"/>
      <c r="F953" s="334" t="n"/>
      <c r="G953" s="334" t="n"/>
      <c r="H953" s="334" t="n"/>
      <c r="I953" s="334" t="n"/>
      <c r="J953" s="334" t="n"/>
      <c r="K953" s="334" t="n"/>
      <c r="L953" s="334" t="n"/>
      <c r="M953" s="334" t="n"/>
      <c r="N953" s="339" t="n"/>
      <c r="O953" s="368" t="n"/>
      <c r="P953" s="334" t="n"/>
    </row>
    <row r="954">
      <c r="A954" s="334" t="n"/>
      <c r="B954" s="334" t="n"/>
      <c r="C954" s="334" t="n"/>
      <c r="D954" s="334" t="n"/>
      <c r="E954" s="334" t="n"/>
      <c r="F954" s="334" t="n"/>
      <c r="G954" s="334" t="n"/>
      <c r="H954" s="334" t="n"/>
      <c r="I954" s="334" t="n"/>
      <c r="J954" s="334" t="n"/>
      <c r="K954" s="334" t="n"/>
      <c r="L954" s="334" t="n"/>
      <c r="M954" s="334" t="n"/>
      <c r="N954" s="339" t="n"/>
      <c r="O954" s="368" t="n"/>
      <c r="P954" s="334" t="n"/>
    </row>
    <row r="955">
      <c r="A955" s="334" t="n"/>
      <c r="B955" s="334" t="n"/>
      <c r="C955" s="334" t="n"/>
      <c r="D955" s="334" t="n"/>
      <c r="E955" s="334" t="n"/>
      <c r="F955" s="334" t="n"/>
      <c r="G955" s="334" t="n"/>
      <c r="H955" s="334" t="n"/>
      <c r="I955" s="334" t="n"/>
      <c r="J955" s="334" t="n"/>
      <c r="K955" s="334" t="n"/>
      <c r="L955" s="334" t="n"/>
      <c r="M955" s="334" t="n"/>
      <c r="N955" s="339" t="n"/>
      <c r="O955" s="368" t="n"/>
      <c r="P955" s="334" t="n"/>
    </row>
    <row r="956">
      <c r="A956" s="334" t="n"/>
      <c r="B956" s="334" t="n"/>
      <c r="C956" s="334" t="n"/>
      <c r="D956" s="334" t="n"/>
      <c r="E956" s="334" t="n"/>
      <c r="F956" s="334" t="n"/>
      <c r="G956" s="334" t="n"/>
      <c r="H956" s="334" t="n"/>
      <c r="I956" s="334" t="n"/>
      <c r="J956" s="334" t="n"/>
      <c r="K956" s="334" t="n"/>
      <c r="L956" s="334" t="n"/>
      <c r="M956" s="334" t="n"/>
      <c r="N956" s="339" t="n"/>
      <c r="O956" s="368" t="n"/>
      <c r="P956" s="334" t="n"/>
    </row>
    <row r="957">
      <c r="A957" s="334" t="n"/>
      <c r="B957" s="334" t="n"/>
      <c r="C957" s="334" t="n"/>
      <c r="D957" s="334" t="n"/>
      <c r="E957" s="334" t="n"/>
      <c r="F957" s="334" t="n"/>
      <c r="G957" s="334" t="n"/>
      <c r="H957" s="334" t="n"/>
      <c r="I957" s="334" t="n"/>
      <c r="J957" s="334" t="n"/>
      <c r="K957" s="334" t="n"/>
      <c r="L957" s="334" t="n"/>
      <c r="M957" s="334" t="n"/>
      <c r="N957" s="339" t="n"/>
      <c r="O957" s="368" t="n"/>
      <c r="P957" s="334" t="n"/>
    </row>
    <row r="958">
      <c r="A958" s="334" t="n"/>
      <c r="B958" s="334" t="n"/>
      <c r="C958" s="334" t="n"/>
      <c r="D958" s="334" t="n"/>
      <c r="E958" s="334" t="n"/>
      <c r="F958" s="334" t="n"/>
      <c r="G958" s="334" t="n"/>
      <c r="H958" s="334" t="n"/>
      <c r="I958" s="334" t="n"/>
      <c r="J958" s="334" t="n"/>
      <c r="K958" s="334" t="n"/>
      <c r="L958" s="334" t="n"/>
      <c r="M958" s="334" t="n"/>
      <c r="N958" s="339" t="n"/>
      <c r="O958" s="368" t="n"/>
      <c r="P958" s="334" t="n"/>
    </row>
    <row r="959">
      <c r="A959" s="334" t="n"/>
      <c r="B959" s="334" t="n"/>
      <c r="C959" s="334" t="n"/>
      <c r="D959" s="334" t="n"/>
      <c r="E959" s="334" t="n"/>
      <c r="F959" s="334" t="n"/>
      <c r="G959" s="334" t="n"/>
      <c r="H959" s="334" t="n"/>
      <c r="I959" s="334" t="n"/>
      <c r="J959" s="334" t="n"/>
      <c r="K959" s="334" t="n"/>
      <c r="L959" s="334" t="n"/>
      <c r="M959" s="334" t="n"/>
      <c r="N959" s="339" t="n"/>
      <c r="O959" s="368" t="n"/>
      <c r="P959" s="334" t="n"/>
    </row>
    <row r="960">
      <c r="A960" s="334" t="n"/>
      <c r="B960" s="334" t="n"/>
      <c r="C960" s="334" t="n"/>
      <c r="D960" s="334" t="n"/>
      <c r="E960" s="334" t="n"/>
      <c r="F960" s="334" t="n"/>
      <c r="G960" s="334" t="n"/>
      <c r="H960" s="334" t="n"/>
      <c r="I960" s="334" t="n"/>
      <c r="J960" s="334" t="n"/>
      <c r="K960" s="334" t="n"/>
      <c r="L960" s="334" t="n"/>
      <c r="M960" s="334" t="n"/>
      <c r="N960" s="339" t="n"/>
      <c r="O960" s="368" t="n"/>
      <c r="P960" s="334" t="n"/>
    </row>
    <row r="961">
      <c r="A961" s="334" t="n"/>
      <c r="B961" s="334" t="n"/>
      <c r="C961" s="334" t="n"/>
      <c r="D961" s="334" t="n"/>
      <c r="E961" s="334" t="n"/>
      <c r="F961" s="334" t="n"/>
      <c r="G961" s="334" t="n"/>
      <c r="H961" s="334" t="n"/>
      <c r="I961" s="334" t="n"/>
      <c r="J961" s="334" t="n"/>
      <c r="K961" s="334" t="n"/>
      <c r="L961" s="334" t="n"/>
      <c r="M961" s="334" t="n"/>
      <c r="N961" s="339" t="n"/>
      <c r="O961" s="368" t="n"/>
      <c r="P961" s="334" t="n"/>
    </row>
    <row r="962">
      <c r="A962" s="334" t="n"/>
      <c r="B962" s="334" t="n"/>
      <c r="C962" s="334" t="n"/>
      <c r="D962" s="334" t="n"/>
      <c r="E962" s="334" t="n"/>
      <c r="F962" s="334" t="n"/>
      <c r="G962" s="334" t="n"/>
      <c r="H962" s="334" t="n"/>
      <c r="I962" s="334" t="n"/>
      <c r="J962" s="334" t="n"/>
      <c r="K962" s="334" t="n"/>
      <c r="L962" s="334" t="n"/>
      <c r="M962" s="334" t="n"/>
      <c r="N962" s="339" t="n"/>
      <c r="O962" s="368" t="n"/>
      <c r="P962" s="334" t="n"/>
    </row>
    <row r="963">
      <c r="A963" s="334" t="n"/>
      <c r="B963" s="334" t="n"/>
      <c r="C963" s="334" t="n"/>
      <c r="D963" s="334" t="n"/>
      <c r="E963" s="334" t="n"/>
      <c r="F963" s="334" t="n"/>
      <c r="G963" s="334" t="n"/>
      <c r="H963" s="334" t="n"/>
      <c r="I963" s="334" t="n"/>
      <c r="J963" s="334" t="n"/>
      <c r="K963" s="334" t="n"/>
      <c r="L963" s="334" t="n"/>
      <c r="M963" s="334" t="n"/>
      <c r="N963" s="339" t="n"/>
      <c r="O963" s="368" t="n"/>
      <c r="P963" s="334" t="n"/>
    </row>
    <row r="964">
      <c r="A964" s="334" t="n"/>
      <c r="B964" s="334" t="n"/>
      <c r="C964" s="334" t="n"/>
      <c r="D964" s="334" t="n"/>
      <c r="E964" s="334" t="n"/>
      <c r="F964" s="334" t="n"/>
      <c r="G964" s="334" t="n"/>
      <c r="H964" s="334" t="n"/>
      <c r="I964" s="334" t="n"/>
      <c r="J964" s="334" t="n"/>
      <c r="K964" s="334" t="n"/>
      <c r="L964" s="334" t="n"/>
      <c r="M964" s="334" t="n"/>
      <c r="N964" s="339" t="n"/>
      <c r="O964" s="368" t="n"/>
      <c r="P964" s="334" t="n"/>
    </row>
    <row r="965">
      <c r="A965" s="334" t="n"/>
      <c r="B965" s="334" t="n"/>
      <c r="C965" s="334" t="n"/>
      <c r="D965" s="334" t="n"/>
      <c r="E965" s="334" t="n"/>
      <c r="F965" s="334" t="n"/>
      <c r="G965" s="334" t="n"/>
      <c r="H965" s="334" t="n"/>
      <c r="I965" s="334" t="n"/>
      <c r="J965" s="334" t="n"/>
      <c r="K965" s="334" t="n"/>
      <c r="L965" s="334" t="n"/>
      <c r="M965" s="334" t="n"/>
      <c r="N965" s="339" t="n"/>
      <c r="O965" s="368" t="n"/>
      <c r="P965" s="334" t="n"/>
    </row>
    <row r="966">
      <c r="A966" s="334" t="n"/>
      <c r="B966" s="334" t="n"/>
      <c r="C966" s="334" t="n"/>
      <c r="D966" s="334" t="n"/>
      <c r="E966" s="334" t="n"/>
      <c r="F966" s="334" t="n"/>
      <c r="G966" s="334" t="n"/>
      <c r="H966" s="334" t="n"/>
      <c r="I966" s="334" t="n"/>
      <c r="J966" s="334" t="n"/>
      <c r="K966" s="334" t="n"/>
      <c r="L966" s="334" t="n"/>
      <c r="M966" s="334" t="n"/>
      <c r="N966" s="339" t="n"/>
      <c r="O966" s="368" t="n"/>
      <c r="P966" s="334" t="n"/>
    </row>
    <row r="967">
      <c r="A967" s="334" t="n"/>
      <c r="B967" s="334" t="n"/>
      <c r="C967" s="334" t="n"/>
      <c r="D967" s="334" t="n"/>
      <c r="E967" s="334" t="n"/>
      <c r="F967" s="334" t="n"/>
      <c r="G967" s="334" t="n"/>
      <c r="H967" s="334" t="n"/>
      <c r="I967" s="334" t="n"/>
      <c r="J967" s="334" t="n"/>
      <c r="K967" s="334" t="n"/>
      <c r="L967" s="334" t="n"/>
      <c r="M967" s="334" t="n"/>
      <c r="N967" s="339" t="n"/>
      <c r="O967" s="368" t="n"/>
      <c r="P967" s="334" t="n"/>
    </row>
    <row r="968">
      <c r="A968" s="334" t="n"/>
      <c r="B968" s="334" t="n"/>
      <c r="C968" s="334" t="n"/>
      <c r="D968" s="334" t="n"/>
      <c r="E968" s="334" t="n"/>
      <c r="F968" s="334" t="n"/>
      <c r="G968" s="334" t="n"/>
      <c r="H968" s="334" t="n"/>
      <c r="I968" s="334" t="n"/>
      <c r="J968" s="334" t="n"/>
      <c r="K968" s="334" t="n"/>
      <c r="L968" s="334" t="n"/>
      <c r="M968" s="334" t="n"/>
      <c r="N968" s="339" t="n"/>
      <c r="O968" s="368" t="n"/>
      <c r="P968" s="334" t="n"/>
    </row>
    <row r="969">
      <c r="A969" s="334" t="n"/>
      <c r="B969" s="334" t="n"/>
      <c r="C969" s="334" t="n"/>
      <c r="D969" s="334" t="n"/>
      <c r="E969" s="334" t="n"/>
      <c r="F969" s="334" t="n"/>
      <c r="G969" s="334" t="n"/>
      <c r="H969" s="334" t="n"/>
      <c r="I969" s="334" t="n"/>
      <c r="J969" s="334" t="n"/>
      <c r="K969" s="334" t="n"/>
      <c r="L969" s="334" t="n"/>
      <c r="M969" s="334" t="n"/>
      <c r="N969" s="339" t="n"/>
      <c r="O969" s="368" t="n"/>
      <c r="P969" s="334" t="n"/>
    </row>
    <row r="970">
      <c r="A970" s="334" t="n"/>
      <c r="B970" s="334" t="n"/>
      <c r="C970" s="334" t="n"/>
      <c r="D970" s="334" t="n"/>
      <c r="E970" s="334" t="n"/>
      <c r="F970" s="334" t="n"/>
      <c r="G970" s="334" t="n"/>
      <c r="H970" s="334" t="n"/>
      <c r="I970" s="334" t="n"/>
      <c r="J970" s="334" t="n"/>
      <c r="K970" s="334" t="n"/>
      <c r="L970" s="334" t="n"/>
      <c r="M970" s="334" t="n"/>
      <c r="N970" s="339" t="n"/>
      <c r="O970" s="368" t="n"/>
      <c r="P970" s="334" t="n"/>
    </row>
    <row r="971">
      <c r="A971" s="334" t="n"/>
      <c r="B971" s="334" t="n"/>
      <c r="C971" s="334" t="n"/>
      <c r="D971" s="334" t="n"/>
      <c r="E971" s="334" t="n"/>
      <c r="F971" s="334" t="n"/>
      <c r="G971" s="334" t="n"/>
      <c r="H971" s="334" t="n"/>
      <c r="I971" s="334" t="n"/>
      <c r="J971" s="334" t="n"/>
      <c r="K971" s="334" t="n"/>
      <c r="L971" s="334" t="n"/>
      <c r="M971" s="334" t="n"/>
      <c r="N971" s="339" t="n"/>
      <c r="O971" s="368" t="n"/>
      <c r="P971" s="334" t="n"/>
    </row>
    <row r="972">
      <c r="A972" s="334" t="n"/>
      <c r="B972" s="334" t="n"/>
      <c r="C972" s="334" t="n"/>
      <c r="D972" s="334" t="n"/>
      <c r="E972" s="334" t="n"/>
      <c r="F972" s="334" t="n"/>
      <c r="G972" s="334" t="n"/>
      <c r="H972" s="334" t="n"/>
      <c r="I972" s="334" t="n"/>
      <c r="J972" s="334" t="n"/>
      <c r="K972" s="334" t="n"/>
      <c r="L972" s="334" t="n"/>
      <c r="M972" s="334" t="n"/>
      <c r="N972" s="339" t="n"/>
      <c r="O972" s="368" t="n"/>
      <c r="P972" s="334" t="n"/>
    </row>
    <row r="973">
      <c r="A973" s="334" t="n"/>
      <c r="B973" s="334" t="n"/>
      <c r="C973" s="334" t="n"/>
      <c r="D973" s="334" t="n"/>
      <c r="E973" s="334" t="n"/>
      <c r="F973" s="334" t="n"/>
      <c r="G973" s="334" t="n"/>
      <c r="H973" s="334" t="n"/>
      <c r="I973" s="334" t="n"/>
      <c r="J973" s="334" t="n"/>
      <c r="K973" s="334" t="n"/>
      <c r="L973" s="334" t="n"/>
      <c r="M973" s="334" t="n"/>
      <c r="N973" s="339" t="n"/>
      <c r="O973" s="368" t="n"/>
      <c r="P973" s="334" t="n"/>
    </row>
    <row r="974">
      <c r="A974" s="334" t="n"/>
      <c r="B974" s="334" t="n"/>
      <c r="C974" s="334" t="n"/>
      <c r="D974" s="334" t="n"/>
      <c r="E974" s="334" t="n"/>
      <c r="F974" s="334" t="n"/>
      <c r="G974" s="334" t="n"/>
      <c r="H974" s="334" t="n"/>
      <c r="I974" s="334" t="n"/>
      <c r="J974" s="334" t="n"/>
      <c r="K974" s="334" t="n"/>
      <c r="L974" s="334" t="n"/>
      <c r="M974" s="334" t="n"/>
      <c r="N974" s="339" t="n"/>
      <c r="O974" s="368" t="n"/>
      <c r="P974" s="334" t="n"/>
    </row>
    <row r="975">
      <c r="A975" s="334" t="n"/>
      <c r="B975" s="334" t="n"/>
      <c r="C975" s="334" t="n"/>
      <c r="D975" s="334" t="n"/>
      <c r="E975" s="334" t="n"/>
      <c r="F975" s="334" t="n"/>
      <c r="G975" s="334" t="n"/>
      <c r="H975" s="334" t="n"/>
      <c r="I975" s="334" t="n"/>
      <c r="J975" s="334" t="n"/>
      <c r="K975" s="334" t="n"/>
      <c r="L975" s="334" t="n"/>
      <c r="M975" s="334" t="n"/>
      <c r="N975" s="339" t="n"/>
      <c r="O975" s="368" t="n"/>
      <c r="P975" s="334" t="n"/>
    </row>
    <row r="976">
      <c r="A976" s="334" t="n"/>
      <c r="B976" s="334" t="n"/>
      <c r="C976" s="334" t="n"/>
      <c r="D976" s="334" t="n"/>
      <c r="E976" s="334" t="n"/>
      <c r="F976" s="334" t="n"/>
      <c r="G976" s="334" t="n"/>
      <c r="H976" s="334" t="n"/>
      <c r="I976" s="334" t="n"/>
      <c r="J976" s="334" t="n"/>
      <c r="K976" s="334" t="n"/>
      <c r="L976" s="334" t="n"/>
      <c r="M976" s="334" t="n"/>
      <c r="N976" s="339" t="n"/>
      <c r="O976" s="368" t="n"/>
      <c r="P976" s="334" t="n"/>
    </row>
    <row r="977">
      <c r="A977" s="334" t="n"/>
      <c r="B977" s="334" t="n"/>
      <c r="C977" s="334" t="n"/>
      <c r="D977" s="334" t="n"/>
      <c r="E977" s="334" t="n"/>
      <c r="F977" s="334" t="n"/>
      <c r="G977" s="334" t="n"/>
      <c r="H977" s="334" t="n"/>
      <c r="I977" s="334" t="n"/>
      <c r="J977" s="334" t="n"/>
      <c r="K977" s="334" t="n"/>
      <c r="L977" s="334" t="n"/>
      <c r="M977" s="334" t="n"/>
      <c r="N977" s="339" t="n"/>
      <c r="O977" s="368" t="n"/>
      <c r="P977" s="334" t="n"/>
    </row>
    <row r="978">
      <c r="A978" s="334" t="n"/>
      <c r="B978" s="334" t="n"/>
      <c r="C978" s="334" t="n"/>
      <c r="D978" s="334" t="n"/>
      <c r="E978" s="334" t="n"/>
      <c r="F978" s="334" t="n"/>
      <c r="G978" s="334" t="n"/>
      <c r="H978" s="334" t="n"/>
      <c r="I978" s="334" t="n"/>
      <c r="J978" s="334" t="n"/>
      <c r="K978" s="334" t="n"/>
      <c r="L978" s="334" t="n"/>
      <c r="M978" s="334" t="n"/>
      <c r="N978" s="339" t="n"/>
      <c r="O978" s="368" t="n"/>
      <c r="P978" s="334" t="n"/>
    </row>
    <row r="979">
      <c r="A979" s="334" t="n"/>
      <c r="B979" s="334" t="n"/>
      <c r="C979" s="334" t="n"/>
      <c r="D979" s="334" t="n"/>
      <c r="E979" s="334" t="n"/>
      <c r="F979" s="334" t="n"/>
      <c r="G979" s="334" t="n"/>
      <c r="H979" s="334" t="n"/>
      <c r="I979" s="334" t="n"/>
      <c r="J979" s="334" t="n"/>
      <c r="K979" s="334" t="n"/>
      <c r="L979" s="334" t="n"/>
      <c r="M979" s="334" t="n"/>
      <c r="N979" s="339" t="n"/>
      <c r="O979" s="368" t="n"/>
      <c r="P979" s="334" t="n"/>
    </row>
    <row r="980">
      <c r="A980" s="334" t="n"/>
      <c r="B980" s="334" t="n"/>
      <c r="C980" s="334" t="n"/>
      <c r="D980" s="334" t="n"/>
      <c r="E980" s="334" t="n"/>
      <c r="F980" s="334" t="n"/>
      <c r="G980" s="334" t="n"/>
      <c r="H980" s="334" t="n"/>
      <c r="I980" s="334" t="n"/>
      <c r="J980" s="334" t="n"/>
      <c r="K980" s="334" t="n"/>
      <c r="L980" s="334" t="n"/>
      <c r="M980" s="334" t="n"/>
      <c r="N980" s="339" t="n"/>
      <c r="O980" s="368" t="n"/>
      <c r="P980" s="334" t="n"/>
    </row>
    <row r="981">
      <c r="A981" s="334" t="n"/>
      <c r="B981" s="334" t="n"/>
      <c r="C981" s="334" t="n"/>
      <c r="D981" s="334" t="n"/>
      <c r="E981" s="334" t="n"/>
      <c r="F981" s="334" t="n"/>
      <c r="G981" s="334" t="n"/>
      <c r="H981" s="334" t="n"/>
      <c r="I981" s="334" t="n"/>
      <c r="J981" s="334" t="n"/>
      <c r="K981" s="334" t="n"/>
      <c r="L981" s="334" t="n"/>
      <c r="M981" s="334" t="n"/>
      <c r="N981" s="339" t="n"/>
      <c r="O981" s="368" t="n"/>
      <c r="P981" s="334" t="n"/>
    </row>
    <row r="982">
      <c r="A982" s="334" t="n"/>
      <c r="B982" s="334" t="n"/>
      <c r="C982" s="334" t="n"/>
      <c r="D982" s="334" t="n"/>
      <c r="E982" s="334" t="n"/>
      <c r="F982" s="334" t="n"/>
      <c r="G982" s="334" t="n"/>
      <c r="H982" s="334" t="n"/>
      <c r="I982" s="334" t="n"/>
      <c r="J982" s="334" t="n"/>
      <c r="K982" s="334" t="n"/>
      <c r="L982" s="334" t="n"/>
      <c r="M982" s="334" t="n"/>
      <c r="N982" s="339" t="n"/>
      <c r="O982" s="368" t="n"/>
      <c r="P982" s="334" t="n"/>
    </row>
    <row r="983">
      <c r="A983" s="334" t="n"/>
      <c r="B983" s="334" t="n"/>
      <c r="C983" s="334" t="n"/>
      <c r="D983" s="334" t="n"/>
      <c r="E983" s="334" t="n"/>
      <c r="F983" s="334" t="n"/>
      <c r="G983" s="334" t="n"/>
      <c r="H983" s="334" t="n"/>
      <c r="I983" s="334" t="n"/>
      <c r="J983" s="334" t="n"/>
      <c r="K983" s="334" t="n"/>
      <c r="L983" s="334" t="n"/>
      <c r="M983" s="334" t="n"/>
      <c r="N983" s="339" t="n"/>
      <c r="O983" s="368" t="n"/>
      <c r="P983" s="334" t="n"/>
    </row>
    <row r="984">
      <c r="A984" s="334" t="n"/>
      <c r="B984" s="334" t="n"/>
      <c r="C984" s="334" t="n"/>
      <c r="D984" s="334" t="n"/>
      <c r="E984" s="334" t="n"/>
      <c r="F984" s="334" t="n"/>
      <c r="G984" s="334" t="n"/>
      <c r="H984" s="334" t="n"/>
      <c r="I984" s="334" t="n"/>
      <c r="J984" s="334" t="n"/>
      <c r="K984" s="334" t="n"/>
      <c r="L984" s="334" t="n"/>
      <c r="M984" s="334" t="n"/>
      <c r="N984" s="339" t="n"/>
      <c r="O984" s="368" t="n"/>
      <c r="P984" s="334" t="n"/>
    </row>
    <row r="985">
      <c r="A985" s="334" t="n"/>
      <c r="B985" s="334" t="n"/>
      <c r="C985" s="334" t="n"/>
      <c r="D985" s="334" t="n"/>
      <c r="E985" s="334" t="n"/>
      <c r="F985" s="334" t="n"/>
      <c r="G985" s="334" t="n"/>
      <c r="H985" s="334" t="n"/>
      <c r="I985" s="334" t="n"/>
      <c r="J985" s="334" t="n"/>
      <c r="K985" s="334" t="n"/>
      <c r="L985" s="334" t="n"/>
      <c r="M985" s="334" t="n"/>
      <c r="N985" s="339" t="n"/>
      <c r="O985" s="368" t="n"/>
      <c r="P985" s="334" t="n"/>
    </row>
    <row r="986">
      <c r="A986" s="334" t="n"/>
      <c r="B986" s="334" t="n"/>
      <c r="C986" s="334" t="n"/>
      <c r="D986" s="334" t="n"/>
      <c r="E986" s="334" t="n"/>
      <c r="F986" s="334" t="n"/>
      <c r="G986" s="334" t="n"/>
      <c r="H986" s="334" t="n"/>
      <c r="I986" s="334" t="n"/>
      <c r="J986" s="334" t="n"/>
      <c r="K986" s="334" t="n"/>
      <c r="L986" s="334" t="n"/>
      <c r="M986" s="334" t="n"/>
      <c r="N986" s="339" t="n"/>
      <c r="O986" s="368" t="n"/>
      <c r="P986" s="334" t="n"/>
    </row>
    <row r="987">
      <c r="A987" s="334" t="n"/>
      <c r="B987" s="334" t="n"/>
      <c r="C987" s="334" t="n"/>
      <c r="D987" s="334" t="n"/>
      <c r="E987" s="334" t="n"/>
      <c r="F987" s="334" t="n"/>
      <c r="G987" s="334" t="n"/>
      <c r="H987" s="334" t="n"/>
      <c r="I987" s="334" t="n"/>
      <c r="J987" s="334" t="n"/>
      <c r="K987" s="334" t="n"/>
      <c r="L987" s="334" t="n"/>
      <c r="M987" s="334" t="n"/>
      <c r="N987" s="339" t="n"/>
      <c r="O987" s="368" t="n"/>
      <c r="P987" s="334" t="n"/>
    </row>
    <row r="988">
      <c r="A988" s="334" t="n"/>
      <c r="B988" s="334" t="n"/>
      <c r="C988" s="334" t="n"/>
      <c r="D988" s="334" t="n"/>
      <c r="E988" s="334" t="n"/>
      <c r="F988" s="334" t="n"/>
      <c r="G988" s="334" t="n"/>
      <c r="H988" s="334" t="n"/>
      <c r="I988" s="334" t="n"/>
      <c r="J988" s="334" t="n"/>
      <c r="K988" s="334" t="n"/>
      <c r="L988" s="334" t="n"/>
      <c r="M988" s="334" t="n"/>
      <c r="N988" s="339" t="n"/>
      <c r="O988" s="368" t="n"/>
      <c r="P988" s="334" t="n"/>
    </row>
    <row r="989">
      <c r="A989" s="334" t="n"/>
      <c r="B989" s="334" t="n"/>
      <c r="C989" s="334" t="n"/>
      <c r="D989" s="334" t="n"/>
      <c r="E989" s="334" t="n"/>
      <c r="F989" s="334" t="n"/>
      <c r="G989" s="334" t="n"/>
      <c r="H989" s="334" t="n"/>
      <c r="I989" s="334" t="n"/>
      <c r="J989" s="334" t="n"/>
      <c r="K989" s="334" t="n"/>
      <c r="L989" s="334" t="n"/>
      <c r="M989" s="334" t="n"/>
      <c r="N989" s="339" t="n"/>
      <c r="O989" s="368" t="n"/>
      <c r="P989" s="334" t="n"/>
    </row>
    <row r="990">
      <c r="A990" s="334" t="n"/>
      <c r="B990" s="334" t="n"/>
      <c r="C990" s="334" t="n"/>
      <c r="D990" s="334" t="n"/>
      <c r="E990" s="334" t="n"/>
      <c r="F990" s="334" t="n"/>
      <c r="G990" s="334" t="n"/>
      <c r="H990" s="334" t="n"/>
      <c r="I990" s="334" t="n"/>
      <c r="J990" s="334" t="n"/>
      <c r="K990" s="334" t="n"/>
      <c r="L990" s="334" t="n"/>
      <c r="M990" s="334" t="n"/>
      <c r="N990" s="339" t="n"/>
      <c r="O990" s="368" t="n"/>
      <c r="P990" s="334" t="n"/>
    </row>
    <row r="991">
      <c r="A991" s="334" t="n"/>
      <c r="B991" s="334" t="n"/>
      <c r="C991" s="334" t="n"/>
      <c r="D991" s="334" t="n"/>
      <c r="E991" s="334" t="n"/>
      <c r="F991" s="334" t="n"/>
      <c r="G991" s="334" t="n"/>
      <c r="H991" s="334" t="n"/>
      <c r="I991" s="334" t="n"/>
      <c r="J991" s="334" t="n"/>
      <c r="K991" s="334" t="n"/>
      <c r="L991" s="334" t="n"/>
      <c r="M991" s="334" t="n"/>
      <c r="N991" s="339" t="n"/>
      <c r="O991" s="368" t="n"/>
      <c r="P991" s="334" t="n"/>
    </row>
    <row r="992">
      <c r="A992" s="334" t="n"/>
      <c r="B992" s="334" t="n"/>
      <c r="C992" s="334" t="n"/>
      <c r="D992" s="334" t="n"/>
      <c r="E992" s="334" t="n"/>
      <c r="F992" s="334" t="n"/>
      <c r="G992" s="334" t="n"/>
      <c r="H992" s="334" t="n"/>
      <c r="I992" s="334" t="n"/>
      <c r="J992" s="334" t="n"/>
      <c r="K992" s="334" t="n"/>
      <c r="L992" s="334" t="n"/>
      <c r="M992" s="334" t="n"/>
      <c r="N992" s="339" t="n"/>
      <c r="O992" s="368" t="n"/>
      <c r="P992" s="334" t="n"/>
    </row>
    <row r="993">
      <c r="A993" s="334" t="n"/>
      <c r="B993" s="334" t="n"/>
      <c r="C993" s="334" t="n"/>
      <c r="D993" s="334" t="n"/>
      <c r="E993" s="334" t="n"/>
      <c r="F993" s="334" t="n"/>
      <c r="G993" s="334" t="n"/>
      <c r="H993" s="334" t="n"/>
      <c r="I993" s="334" t="n"/>
      <c r="J993" s="334" t="n"/>
      <c r="K993" s="334" t="n"/>
      <c r="L993" s="334" t="n"/>
      <c r="M993" s="334" t="n"/>
      <c r="N993" s="339" t="n"/>
      <c r="O993" s="368" t="n"/>
      <c r="P993" s="334" t="n"/>
    </row>
    <row r="994">
      <c r="A994" s="334" t="n"/>
      <c r="B994" s="334" t="n"/>
      <c r="C994" s="334" t="n"/>
      <c r="D994" s="334" t="n"/>
      <c r="E994" s="334" t="n"/>
      <c r="F994" s="334" t="n"/>
      <c r="G994" s="334" t="n"/>
      <c r="H994" s="334" t="n"/>
      <c r="I994" s="334" t="n"/>
      <c r="J994" s="334" t="n"/>
      <c r="K994" s="334" t="n"/>
      <c r="L994" s="334" t="n"/>
      <c r="M994" s="334" t="n"/>
      <c r="N994" s="339" t="n"/>
      <c r="O994" s="368" t="n"/>
      <c r="P994" s="334" t="n"/>
    </row>
    <row r="995">
      <c r="A995" s="334" t="n"/>
      <c r="B995" s="334" t="n"/>
      <c r="C995" s="334" t="n"/>
      <c r="D995" s="334" t="n"/>
      <c r="E995" s="334" t="n"/>
      <c r="F995" s="334" t="n"/>
      <c r="G995" s="334" t="n"/>
      <c r="H995" s="334" t="n"/>
      <c r="I995" s="334" t="n"/>
      <c r="J995" s="334" t="n"/>
      <c r="K995" s="334" t="n"/>
      <c r="L995" s="334" t="n"/>
      <c r="M995" s="334" t="n"/>
      <c r="N995" s="339" t="n"/>
      <c r="O995" s="368" t="n"/>
      <c r="P995" s="334" t="n"/>
    </row>
    <row r="996">
      <c r="A996" s="334" t="n"/>
      <c r="B996" s="334" t="n"/>
      <c r="C996" s="334" t="n"/>
      <c r="D996" s="334" t="n"/>
      <c r="E996" s="334" t="n"/>
      <c r="F996" s="334" t="n"/>
      <c r="G996" s="334" t="n"/>
      <c r="H996" s="334" t="n"/>
      <c r="I996" s="334" t="n"/>
      <c r="J996" s="334" t="n"/>
      <c r="K996" s="334" t="n"/>
      <c r="L996" s="334" t="n"/>
      <c r="M996" s="334" t="n"/>
      <c r="N996" s="339" t="n"/>
      <c r="O996" s="368" t="n"/>
      <c r="P996" s="334" t="n"/>
    </row>
    <row r="997">
      <c r="A997" s="334" t="n"/>
      <c r="B997" s="334" t="n"/>
      <c r="C997" s="334" t="n"/>
      <c r="D997" s="334" t="n"/>
      <c r="E997" s="334" t="n"/>
      <c r="F997" s="334" t="n"/>
      <c r="G997" s="334" t="n"/>
      <c r="H997" s="334" t="n"/>
      <c r="I997" s="334" t="n"/>
      <c r="J997" s="334" t="n"/>
      <c r="K997" s="334" t="n"/>
      <c r="L997" s="334" t="n"/>
      <c r="M997" s="334" t="n"/>
      <c r="N997" s="339" t="n"/>
      <c r="O997" s="368" t="n"/>
      <c r="P997" s="334" t="n"/>
    </row>
    <row r="998">
      <c r="A998" s="334" t="n"/>
      <c r="B998" s="334" t="n"/>
      <c r="C998" s="334" t="n"/>
      <c r="D998" s="334" t="n"/>
      <c r="E998" s="334" t="n"/>
      <c r="F998" s="334" t="n"/>
      <c r="G998" s="334" t="n"/>
      <c r="H998" s="334" t="n"/>
      <c r="I998" s="334" t="n"/>
      <c r="J998" s="334" t="n"/>
      <c r="K998" s="334" t="n"/>
      <c r="L998" s="334" t="n"/>
      <c r="M998" s="334" t="n"/>
      <c r="N998" s="339" t="n"/>
      <c r="O998" s="368" t="n"/>
      <c r="P998" s="334" t="n"/>
    </row>
    <row r="999">
      <c r="A999" s="334" t="n"/>
      <c r="B999" s="334" t="n"/>
      <c r="C999" s="334" t="n"/>
      <c r="D999" s="334" t="n"/>
      <c r="E999" s="334" t="n"/>
      <c r="F999" s="334" t="n"/>
      <c r="G999" s="334" t="n"/>
      <c r="H999" s="334" t="n"/>
      <c r="I999" s="334" t="n"/>
      <c r="J999" s="334" t="n"/>
      <c r="K999" s="334" t="n"/>
      <c r="L999" s="334" t="n"/>
      <c r="M999" s="334" t="n"/>
      <c r="N999" s="339" t="n"/>
      <c r="O999" s="368" t="n"/>
      <c r="P999" s="334" t="n"/>
    </row>
    <row r="1000">
      <c r="A1000" s="334" t="n"/>
      <c r="B1000" s="334" t="n"/>
      <c r="C1000" s="334" t="n"/>
      <c r="D1000" s="334" t="n"/>
      <c r="E1000" s="334" t="n"/>
      <c r="F1000" s="334" t="n"/>
      <c r="G1000" s="334" t="n"/>
      <c r="H1000" s="334" t="n"/>
      <c r="I1000" s="334" t="n"/>
      <c r="J1000" s="334" t="n"/>
      <c r="K1000" s="334" t="n"/>
      <c r="L1000" s="334" t="n"/>
      <c r="M1000" s="334" t="n"/>
      <c r="N1000" s="339" t="n"/>
      <c r="O1000" s="368" t="n"/>
      <c r="P1000" s="334" t="n"/>
    </row>
  </sheetData>
  <mergeCells count="1">
    <mergeCell ref="A127:N127"/>
  </mergeCell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2.63" defaultRowHeight="15.75" customHeight="1"/>
  <cols>
    <col width="5.75" customWidth="1" style="482" min="1" max="1"/>
    <col width="19.63" customWidth="1" style="482" min="2" max="2"/>
    <col width="14.38" customWidth="1" style="482" min="3" max="3"/>
    <col width="18.75" customWidth="1" style="482" min="4" max="5"/>
    <col width="22.5" customWidth="1" style="482" min="6" max="6"/>
    <col width="7.63" customWidth="1" style="482" min="7" max="8"/>
    <col width="10.38" customWidth="1" style="482" min="9" max="9"/>
    <col width="11.63" customWidth="1" style="482" min="10" max="10"/>
    <col width="12.63" customWidth="1" style="482" min="11" max="11"/>
    <col width="5" customWidth="1" style="482" min="12" max="12"/>
    <col width="6.38" customWidth="1" style="482" min="13" max="13"/>
    <col width="5.13" customWidth="1" style="482" min="14" max="14"/>
  </cols>
  <sheetData>
    <row r="1">
      <c r="A1" s="416">
        <f>IFERROR(__xludf.DUMMYFUNCTION("IMPORTRANGE(""https://docs.google.com/spreadsheets/d/1oJmkDK37Qizzdaxn4KCwh1BMwdNWuHCx3AGH8BC9yu0/edit?gid=781951868#gid=781951868"",""キャラ!A:AA"")"),"作品ID")</f>
        <v/>
      </c>
      <c r="B1" s="417">
        <f>IFERROR(__xludf.DUMMYFUNCTION("""COMPUTED_VALUE"""),"作品名")</f>
        <v/>
      </c>
      <c r="C1" s="418">
        <f>IFERROR(__xludf.DUMMYFUNCTION("""COMPUTED_VALUE"""),"識別ID")</f>
        <v/>
      </c>
      <c r="D1" s="418">
        <f>IFERROR(__xludf.DUMMYFUNCTION("""COMPUTED_VALUE"""),"キャラ_ID")</f>
        <v/>
      </c>
      <c r="E1" s="419">
        <f>IFERROR(__xludf.DUMMYFUNCTION("""COMPUTED_VALUE"""),"キャラ名（仮）")</f>
        <v/>
      </c>
      <c r="F1" s="420">
        <f>IFERROR(__xludf.DUMMYFUNCTION("""COMPUTED_VALUE"""),"キャラ名（監修FIX）")</f>
        <v/>
      </c>
      <c r="G1" s="420">
        <f>IFERROR(__xludf.DUMMYFUNCTION("""COMPUTED_VALUE"""),"必殺ワザ名（監修FIX）")</f>
        <v/>
      </c>
      <c r="H1" s="417">
        <f>IFERROR(__xludf.DUMMYFUNCTION("""COMPUTED_VALUE"""),"レアリティ")</f>
        <v/>
      </c>
      <c r="I1" s="417">
        <f>IFERROR(__xludf.DUMMYFUNCTION("""COMPUTED_VALUE"""),"ラベル")</f>
        <v/>
      </c>
      <c r="J1" s="417">
        <f>IFERROR(__xludf.DUMMYFUNCTION("""COMPUTED_VALUE"""),"属性")</f>
        <v/>
      </c>
      <c r="K1" s="417">
        <f>IFERROR(__xludf.DUMMYFUNCTION("""COMPUTED_VALUE"""),"キャラ立ち位置")</f>
        <v/>
      </c>
      <c r="L1" s="417">
        <f>IFERROR(__xludf.DUMMYFUNCTION("""COMPUTED_VALUE"""),"ロール")</f>
        <v/>
      </c>
      <c r="M1" s="417">
        <f>IFERROR(__xludf.DUMMYFUNCTION("""COMPUTED_VALUE"""),"通常攻撃モーション")</f>
        <v/>
      </c>
      <c r="N1" s="421">
        <f>IFERROR(__xludf.DUMMYFUNCTION("""COMPUTED_VALUE"""),"攻撃射程")</f>
        <v/>
      </c>
      <c r="O1" s="421">
        <f>IFERROR(__xludf.DUMMYFUNCTION("""COMPUTED_VALUE"""),"必殺ワザモーション")</f>
        <v/>
      </c>
      <c r="P1" s="422">
        <f>IFERROR(__xludf.DUMMYFUNCTION("""COMPUTED_VALUE"""),"必殺ワザ発動有無")</f>
        <v/>
      </c>
      <c r="Q1" s="423">
        <f>IFERROR(__xludf.DUMMYFUNCTION("""COMPUTED_VALUE"""),"通常攻撃モーション")</f>
        <v/>
      </c>
      <c r="R1" s="424">
        <f>IFERROR(__xludf.DUMMYFUNCTION("""COMPUTED_VALUE"""),"通常攻撃発生")</f>
        <v/>
      </c>
      <c r="S1" s="418">
        <f>IFERROR(__xludf.DUMMYFUNCTION("""COMPUTED_VALUE"""),"必殺攻撃モーション")</f>
        <v/>
      </c>
      <c r="T1" s="418">
        <f>IFERROR(__xludf.DUMMYFUNCTION("""COMPUTED_VALUE"""),"必殺攻撃発生")</f>
        <v/>
      </c>
      <c r="U1" s="424">
        <f>IFERROR(__xludf.DUMMYFUNCTION("""COMPUTED_VALUE"""),"valid_start_date")</f>
        <v/>
      </c>
      <c r="V1" s="417">
        <f>IFERROR(__xludf.DUMMYFUNCTION("""COMPUTED_VALUE"""),"valid_end_date")</f>
        <v/>
      </c>
      <c r="W1" s="417">
        <f>IFERROR(__xludf.DUMMYFUNCTION("""COMPUTED_VALUE"""),"catch_copy_image_filename")</f>
        <v/>
      </c>
      <c r="X1" s="417">
        <f>IFERROR(__xludf.DUMMYFUNCTION("""COMPUTED_VALUE"""),"ノーマル敵専用アイコン_ID")</f>
        <v/>
      </c>
      <c r="Y1" s="417">
        <f>IFERROR(__xludf.DUMMYFUNCTION("""COMPUTED_VALUE"""),"BOSS専用アイコン_ID")</f>
        <v/>
      </c>
      <c r="Z1" s="417">
        <f>IFERROR(__xludf.DUMMYFUNCTION("""COMPUTED_VALUE"""),"通常攻撃Asset")</f>
        <v/>
      </c>
      <c r="AA1" s="417">
        <f>IFERROR(__xludf.DUMMYFUNCTION("""COMPUTED_VALUE"""),"必殺ワザAsset")</f>
        <v/>
      </c>
    </row>
    <row r="2">
      <c r="A2" s="426">
        <f>IFERROR(__xludf.DUMMYFUNCTION("""COMPUTED_VALUE"""),"spy")</f>
        <v/>
      </c>
      <c r="B2" s="426">
        <f>IFERROR(__xludf.DUMMYFUNCTION("""COMPUTED_VALUE"""),"SPY×FAMILY")</f>
        <v/>
      </c>
      <c r="C2" s="427">
        <f>IFERROR(__xludf.DUMMYFUNCTION("""COMPUTED_VALUE"""),"00001")</f>
        <v/>
      </c>
      <c r="D2" s="428">
        <f>IFERROR(__xludf.DUMMYFUNCTION("""COMPUTED_VALUE"""),"chara_spy_00001")</f>
        <v/>
      </c>
      <c r="E2" s="428">
        <f>IFERROR(__xludf.DUMMYFUNCTION("""COMPUTED_VALUE"""),"わくわく アーニャ")</f>
        <v/>
      </c>
      <c r="F2" s="429">
        <f>IFERROR(__xludf.DUMMYFUNCTION("""COMPUTED_VALUE"""),"わくわく アーニャ")</f>
        <v/>
      </c>
      <c r="G2" s="429">
        <f>IFERROR(__xludf.DUMMYFUNCTION("""COMPUTED_VALUE"""),"せいふくのアーニャかわいい？")</f>
        <v/>
      </c>
      <c r="H2" s="368">
        <f>IFERROR(__xludf.DUMMYFUNCTION("""COMPUTED_VALUE"""),"UR")</f>
        <v/>
      </c>
      <c r="I2" s="439">
        <f>IFERROR(__xludf.DUMMYFUNCTION("""COMPUTED_VALUE"""),"PremiumUR")</f>
        <v/>
      </c>
      <c r="J2" s="368">
        <f>IFERROR(__xludf.DUMMYFUNCTION("""COMPUTED_VALUE"""),"無")</f>
        <v/>
      </c>
      <c r="K2" s="426">
        <f>IFERROR(__xludf.DUMMYFUNCTION("""COMPUTED_VALUE"""),"chara")</f>
        <v/>
      </c>
      <c r="L2" s="429">
        <f>IFERROR(__xludf.DUMMYFUNCTION("""COMPUTED_VALUE"""),"スペシャル")</f>
        <v/>
      </c>
      <c r="M2" s="429">
        <f>IFERROR(__xludf.DUMMYFUNCTION("""COMPUTED_VALUE"""),"-")</f>
        <v/>
      </c>
      <c r="N2" s="431">
        <f>IFERROR(__xludf.DUMMYFUNCTION("""COMPUTED_VALUE"""),"ー")</f>
        <v/>
      </c>
      <c r="O2" s="431">
        <f>IFERROR(__xludf.DUMMYFUNCTION("""COMPUTED_VALUE"""),"-")</f>
        <v/>
      </c>
      <c r="P2" s="431">
        <f>IFERROR(__xludf.DUMMYFUNCTION("""COMPUTED_VALUE"""),"00001")</f>
        <v/>
      </c>
      <c r="Q2" s="431">
        <f>IFERROR(__xludf.DUMMYFUNCTION("""COMPUTED_VALUE"""),"-")</f>
        <v/>
      </c>
      <c r="R2" s="432">
        <f>IFERROR(__xludf.DUMMYFUNCTION("""COMPUTED_VALUE"""),"-")</f>
        <v/>
      </c>
      <c r="S2" s="432">
        <f>IFERROR(__xludf.DUMMYFUNCTION("""COMPUTED_VALUE"""),"3.44")</f>
        <v/>
      </c>
      <c r="T2" s="433">
        <f>IFERROR(__xludf.DUMMYFUNCTION("""COMPUTED_VALUE"""),"0")</f>
        <v/>
      </c>
      <c r="U2" s="434">
        <f>IFERROR(__xludf.DUMMYFUNCTION("""COMPUTED_VALUE"""),45922.458333333336)</f>
        <v/>
      </c>
      <c r="V2" s="434">
        <f>IFERROR(__xludf.DUMMYFUNCTION("""COMPUTED_VALUE"""),390812.49998842593)</f>
        <v/>
      </c>
      <c r="W2" s="429">
        <f>IFERROR(__xludf.DUMMYFUNCTION("""COMPUTED_VALUE"""),"catchcopy_character_chara_spy_00001.png")</f>
        <v/>
      </c>
      <c r="X2" s="429">
        <f>IFERROR(__xludf.DUMMYFUNCTION("""COMPUTED_VALUE"""),"enemy_icon_chara_spy_00001")</f>
        <v/>
      </c>
      <c r="Y2" s="429">
        <f>IFERROR(__xludf.DUMMYFUNCTION("""COMPUTED_VALUE"""),"boss_icon_chara_spy_00001")</f>
        <v/>
      </c>
      <c r="Z2" s="429" t="n"/>
      <c r="AA2" s="426">
        <f>IFERROR(__xludf.DUMMYFUNCTION("""COMPUTED_VALUE"""),"chara_spy_00001_special")</f>
        <v/>
      </c>
    </row>
    <row r="3">
      <c r="A3" s="439">
        <f>IFERROR(__xludf.DUMMYFUNCTION("""COMPUTED_VALUE"""),"spy")</f>
        <v/>
      </c>
      <c r="B3" s="435">
        <f>IFERROR(__xludf.DUMMYFUNCTION("""COMPUTED_VALUE"""),"SPY×FAMILY")</f>
        <v/>
      </c>
      <c r="C3" s="436">
        <f>IFERROR(__xludf.DUMMYFUNCTION("""COMPUTED_VALUE"""),"00002")</f>
        <v/>
      </c>
      <c r="D3" s="437">
        <f>IFERROR(__xludf.DUMMYFUNCTION("""COMPUTED_VALUE"""),"chara_spy_00002")</f>
        <v/>
      </c>
      <c r="E3" s="437">
        <f>IFERROR(__xludf.DUMMYFUNCTION("""COMPUTED_VALUE"""),"アーニャ（ドレスアップ）")</f>
        <v/>
      </c>
      <c r="F3" s="438">
        <f>IFERROR(__xludf.DUMMYFUNCTION("""COMPUTED_VALUE"""),"選定中")</f>
        <v/>
      </c>
      <c r="G3" s="438">
        <f>IFERROR(__xludf.DUMMYFUNCTION("""COMPUTED_VALUE"""),"わくわくっ！")</f>
        <v/>
      </c>
      <c r="H3" s="439">
        <f>IFERROR(__xludf.DUMMYFUNCTION("""COMPUTED_VALUE"""),"SSR")</f>
        <v/>
      </c>
      <c r="I3" s="439">
        <f>IFERROR(__xludf.DUMMYFUNCTION("""COMPUTED_VALUE"""),"FestivalSSR")</f>
        <v/>
      </c>
      <c r="J3" s="439">
        <f>IFERROR(__xludf.DUMMYFUNCTION("""COMPUTED_VALUE"""),"無")</f>
        <v/>
      </c>
      <c r="K3" s="439">
        <f>IFERROR(__xludf.DUMMYFUNCTION("""COMPUTED_VALUE"""),"chara")</f>
        <v/>
      </c>
      <c r="L3" s="438">
        <f>IFERROR(__xludf.DUMMYFUNCTION("""COMPUTED_VALUE"""),"スペシャル")</f>
        <v/>
      </c>
      <c r="M3" s="436">
        <f>IFERROR(__xludf.DUMMYFUNCTION("""COMPUTED_VALUE"""),"-")</f>
        <v/>
      </c>
      <c r="N3" s="440">
        <f>IFERROR(__xludf.DUMMYFUNCTION("""COMPUTED_VALUE"""),"ー")</f>
        <v/>
      </c>
      <c r="O3" s="440">
        <f>IFERROR(__xludf.DUMMYFUNCTION("""COMPUTED_VALUE"""),"-")</f>
        <v/>
      </c>
      <c r="P3" s="440">
        <f>IFERROR(__xludf.DUMMYFUNCTION("""COMPUTED_VALUE"""),"00002")</f>
        <v/>
      </c>
      <c r="Q3" s="440">
        <f>IFERROR(__xludf.DUMMYFUNCTION("""COMPUTED_VALUE"""),"-")</f>
        <v/>
      </c>
      <c r="R3" s="441">
        <f>IFERROR(__xludf.DUMMYFUNCTION("""COMPUTED_VALUE"""),"-")</f>
        <v/>
      </c>
      <c r="S3" s="441">
        <f>IFERROR(__xludf.DUMMYFUNCTION("""COMPUTED_VALUE"""),"2.4")</f>
        <v/>
      </c>
      <c r="T3" s="442">
        <f>IFERROR(__xludf.DUMMYFUNCTION("""COMPUTED_VALUE"""),"stop無:1.03")</f>
        <v/>
      </c>
      <c r="U3" s="443">
        <f>IFERROR(__xludf.DUMMYFUNCTION("""COMPUTED_VALUE"""),"実装未定")</f>
        <v/>
      </c>
      <c r="V3" s="444">
        <f>IFERROR(__xludf.DUMMYFUNCTION("""COMPUTED_VALUE"""),390812.49998842593)</f>
        <v/>
      </c>
      <c r="W3" s="438">
        <f>IFERROR(__xludf.DUMMYFUNCTION("""COMPUTED_VALUE"""),"catchcopy_character_chara_spy_00002.png")</f>
        <v/>
      </c>
      <c r="X3" s="438">
        <f>IFERROR(__xludf.DUMMYFUNCTION("""COMPUTED_VALUE"""),"enemy_icon_chara_spy_00002")</f>
        <v/>
      </c>
      <c r="Y3" s="438">
        <f>IFERROR(__xludf.DUMMYFUNCTION("""COMPUTED_VALUE"""),"boss_icon_chara_spy_00002")</f>
        <v/>
      </c>
      <c r="Z3" s="438" t="n"/>
      <c r="AA3" s="439" t="n"/>
    </row>
    <row r="4">
      <c r="A4" s="439">
        <f>IFERROR(__xludf.DUMMYFUNCTION("""COMPUTED_VALUE"""),"spy")</f>
        <v/>
      </c>
      <c r="B4" s="435">
        <f>IFERROR(__xludf.DUMMYFUNCTION("""COMPUTED_VALUE"""),"SPY×FAMILY")</f>
        <v/>
      </c>
      <c r="C4" s="436">
        <f>IFERROR(__xludf.DUMMYFUNCTION("""COMPUTED_VALUE"""),"00101")</f>
        <v/>
      </c>
      <c r="D4" s="437">
        <f>IFERROR(__xludf.DUMMYFUNCTION("""COMPUTED_VALUE"""),"chara_spy_00101")</f>
        <v/>
      </c>
      <c r="E4" s="437">
        <f>IFERROR(__xludf.DUMMYFUNCTION("""COMPUTED_VALUE"""),"&lt;黄昏&gt; ロイド")</f>
        <v/>
      </c>
      <c r="F4" s="438">
        <f>IFERROR(__xludf.DUMMYFUNCTION("""COMPUTED_VALUE"""),"&lt;黄昏&gt; ロイド")</f>
        <v/>
      </c>
      <c r="G4" s="438">
        <f>IFERROR(__xludf.DUMMYFUNCTION("""COMPUTED_VALUE"""),"終わりにしよう")</f>
        <v/>
      </c>
      <c r="H4" s="439">
        <f>IFERROR(__xludf.DUMMYFUNCTION("""COMPUTED_VALUE"""),"UR")</f>
        <v/>
      </c>
      <c r="I4" s="439">
        <f>IFERROR(__xludf.DUMMYFUNCTION("""COMPUTED_VALUE"""),"PremiumUR")</f>
        <v/>
      </c>
      <c r="J4" s="439">
        <f>IFERROR(__xludf.DUMMYFUNCTION("""COMPUTED_VALUE"""),"黄")</f>
        <v/>
      </c>
      <c r="K4" s="439">
        <f>IFERROR(__xludf.DUMMYFUNCTION("""COMPUTED_VALUE"""),"chara")</f>
        <v/>
      </c>
      <c r="L4" s="438">
        <f>IFERROR(__xludf.DUMMYFUNCTION("""COMPUTED_VALUE"""),"アタック")</f>
        <v/>
      </c>
      <c r="M4" s="436">
        <f>IFERROR(__xludf.DUMMYFUNCTION("""COMPUTED_VALUE"""),"shageki_1")</f>
        <v/>
      </c>
      <c r="N4" s="445">
        <f>IFERROR(__xludf.DUMMYFUNCTION("""COMPUTED_VALUE"""),"Long")</f>
        <v/>
      </c>
      <c r="O4" s="445">
        <f>IFERROR(__xludf.DUMMYFUNCTION("""COMPUTED_VALUE"""),"shageki_1")</f>
        <v/>
      </c>
      <c r="P4" s="446">
        <f>IFERROR(__xludf.DUMMYFUNCTION("""COMPUTED_VALUE"""),"00101")</f>
        <v/>
      </c>
      <c r="Q4" s="446">
        <f>IFERROR(__xludf.DUMMYFUNCTION("""COMPUTED_VALUE"""),"1.64")</f>
        <v/>
      </c>
      <c r="R4" s="441">
        <f>IFERROR(__xludf.DUMMYFUNCTION("""COMPUTED_VALUE"""),"0.83")</f>
        <v/>
      </c>
      <c r="S4" s="441">
        <f>IFERROR(__xludf.DUMMYFUNCTION("""COMPUTED_VALUE"""),"2.50")</f>
        <v/>
      </c>
      <c r="T4" s="442">
        <f>IFERROR(__xludf.DUMMYFUNCTION("""COMPUTED_VALUE"""),"1.33")</f>
        <v/>
      </c>
      <c r="U4" s="444">
        <f>IFERROR(__xludf.DUMMYFUNCTION("""COMPUTED_VALUE"""),45922.458333333336)</f>
        <v/>
      </c>
      <c r="V4" s="444">
        <f>IFERROR(__xludf.DUMMYFUNCTION("""COMPUTED_VALUE"""),390812.49998842593)</f>
        <v/>
      </c>
      <c r="W4" s="438">
        <f>IFERROR(__xludf.DUMMYFUNCTION("""COMPUTED_VALUE"""),"catchcopy_character_chara_spy_00101.png")</f>
        <v/>
      </c>
      <c r="X4" s="438">
        <f>IFERROR(__xludf.DUMMYFUNCTION("""COMPUTED_VALUE"""),"enemy_icon_chara_spy_00101")</f>
        <v/>
      </c>
      <c r="Y4" s="438">
        <f>IFERROR(__xludf.DUMMYFUNCTION("""COMPUTED_VALUE"""),"boss_icon_chara_spy_00101")</f>
        <v/>
      </c>
      <c r="Z4" s="438">
        <f>IFERROR(__xludf.DUMMYFUNCTION("""COMPUTED_VALUE"""),"chara_spy_00101_normal")</f>
        <v/>
      </c>
      <c r="AA4" s="439">
        <f>IFERROR(__xludf.DUMMYFUNCTION("""COMPUTED_VALUE"""),"chara_spy_00101_special")</f>
        <v/>
      </c>
    </row>
    <row r="5">
      <c r="A5" s="439">
        <f>IFERROR(__xludf.DUMMYFUNCTION("""COMPUTED_VALUE"""),"spy")</f>
        <v/>
      </c>
      <c r="B5" s="435">
        <f>IFERROR(__xludf.DUMMYFUNCTION("""COMPUTED_VALUE"""),"SPY×FAMILY")</f>
        <v/>
      </c>
      <c r="C5" s="436">
        <f>IFERROR(__xludf.DUMMYFUNCTION("""COMPUTED_VALUE"""),"00201")</f>
        <v/>
      </c>
      <c r="D5" s="437">
        <f>IFERROR(__xludf.DUMMYFUNCTION("""COMPUTED_VALUE"""),"chara_spy_00201")</f>
        <v/>
      </c>
      <c r="E5" s="437">
        <f>IFERROR(__xludf.DUMMYFUNCTION("""COMPUTED_VALUE"""),"&lt;いばら姫&gt; ヨル")</f>
        <v/>
      </c>
      <c r="F5" s="438">
        <f>IFERROR(__xludf.DUMMYFUNCTION("""COMPUTED_VALUE"""),"&lt;いばら姫&gt; ヨル")</f>
        <v/>
      </c>
      <c r="G5" s="438">
        <f>IFERROR(__xludf.DUMMYFUNCTION("""COMPUTED_VALUE"""),"この手が血で汚れても構わない")</f>
        <v/>
      </c>
      <c r="H5" s="439">
        <f>IFERROR(__xludf.DUMMYFUNCTION("""COMPUTED_VALUE"""),"UR")</f>
        <v/>
      </c>
      <c r="I5" s="439">
        <f>IFERROR(__xludf.DUMMYFUNCTION("""COMPUTED_VALUE"""),"PremiumUR")</f>
        <v/>
      </c>
      <c r="J5" s="439">
        <f>IFERROR(__xludf.DUMMYFUNCTION("""COMPUTED_VALUE"""),"赤")</f>
        <v/>
      </c>
      <c r="K5" s="439">
        <f>IFERROR(__xludf.DUMMYFUNCTION("""COMPUTED_VALUE"""),"chara")</f>
        <v/>
      </c>
      <c r="L5" s="438">
        <f>IFERROR(__xludf.DUMMYFUNCTION("""COMPUTED_VALUE"""),"アタック")</f>
        <v/>
      </c>
      <c r="M5" s="436">
        <f>IFERROR(__xludf.DUMMYFUNCTION("""COMPUTED_VALUE"""),"zangeki_1")</f>
        <v/>
      </c>
      <c r="N5" s="440">
        <f>IFERROR(__xludf.DUMMYFUNCTION("""COMPUTED_VALUE"""),"Middle")</f>
        <v/>
      </c>
      <c r="O5" s="440">
        <f>IFERROR(__xludf.DUMMYFUNCTION("""COMPUTED_VALUE"""),"dageki_1")</f>
        <v/>
      </c>
      <c r="P5" s="440">
        <f>IFERROR(__xludf.DUMMYFUNCTION("""COMPUTED_VALUE"""),"00201")</f>
        <v/>
      </c>
      <c r="Q5" s="440">
        <f>IFERROR(__xludf.DUMMYFUNCTION("""COMPUTED_VALUE"""),"1.42")</f>
        <v/>
      </c>
      <c r="R5" s="441">
        <f>IFERROR(__xludf.DUMMYFUNCTION("""COMPUTED_VALUE"""),"stop無:1回目 0.61")</f>
        <v/>
      </c>
      <c r="S5" s="441">
        <f>IFERROR(__xludf.DUMMYFUNCTION("""COMPUTED_VALUE"""),"2.50")</f>
        <v/>
      </c>
      <c r="T5" s="442">
        <f>IFERROR(__xludf.DUMMYFUNCTION("""COMPUTED_VALUE"""),"stop有:1回目 0.73")</f>
        <v/>
      </c>
      <c r="U5" s="444">
        <f>IFERROR(__xludf.DUMMYFUNCTION("""COMPUTED_VALUE"""),45922.458333333336)</f>
        <v/>
      </c>
      <c r="V5" s="444">
        <f>IFERROR(__xludf.DUMMYFUNCTION("""COMPUTED_VALUE"""),390812.49998842593)</f>
        <v/>
      </c>
      <c r="W5" s="438">
        <f>IFERROR(__xludf.DUMMYFUNCTION("""COMPUTED_VALUE"""),"catchcopy_character_chara_spy_00201.png")</f>
        <v/>
      </c>
      <c r="X5" s="438">
        <f>IFERROR(__xludf.DUMMYFUNCTION("""COMPUTED_VALUE"""),"enemy_icon_chara_spy_00201")</f>
        <v/>
      </c>
      <c r="Y5" s="438">
        <f>IFERROR(__xludf.DUMMYFUNCTION("""COMPUTED_VALUE"""),"boss_icon_chara_spy_00201")</f>
        <v/>
      </c>
      <c r="Z5" s="438">
        <f>IFERROR(__xludf.DUMMYFUNCTION("""COMPUTED_VALUE"""),"chara_spy_00201_normal")</f>
        <v/>
      </c>
      <c r="AA5" s="439">
        <f>IFERROR(__xludf.DUMMYFUNCTION("""COMPUTED_VALUE"""),"chara_spy_00201_special")</f>
        <v/>
      </c>
    </row>
    <row r="6">
      <c r="A6" s="439">
        <f>IFERROR(__xludf.DUMMYFUNCTION("""COMPUTED_VALUE"""),"spy")</f>
        <v/>
      </c>
      <c r="B6" s="435">
        <f>IFERROR(__xludf.DUMMYFUNCTION("""COMPUTED_VALUE"""),"SPY×FAMILY")</f>
        <v/>
      </c>
      <c r="C6" s="436">
        <f>IFERROR(__xludf.DUMMYFUNCTION("""COMPUTED_VALUE"""),"00301")</f>
        <v/>
      </c>
      <c r="D6" s="437">
        <f>IFERROR(__xludf.DUMMYFUNCTION("""COMPUTED_VALUE"""),"chara_spy_00301")</f>
        <v/>
      </c>
      <c r="E6" s="437">
        <f>IFERROR(__xludf.DUMMYFUNCTION("""COMPUTED_VALUE"""),"ダミアン・デズモンド")</f>
        <v/>
      </c>
      <c r="F6" s="438">
        <f>IFERROR(__xludf.DUMMYFUNCTION("""COMPUTED_VALUE"""),"ダミアン・デズモンド")</f>
        <v/>
      </c>
      <c r="G6" s="438">
        <f>IFERROR(__xludf.DUMMYFUNCTION("""COMPUTED_VALUE"""),"いい気になるなよ")</f>
        <v/>
      </c>
      <c r="H6" s="439">
        <f>IFERROR(__xludf.DUMMYFUNCTION("""COMPUTED_VALUE"""),"SR")</f>
        <v/>
      </c>
      <c r="I6" s="439">
        <f>IFERROR(__xludf.DUMMYFUNCTION("""COMPUTED_VALUE"""),"DropSR")</f>
        <v/>
      </c>
      <c r="J6" s="439">
        <f>IFERROR(__xludf.DUMMYFUNCTION("""COMPUTED_VALUE"""),"無")</f>
        <v/>
      </c>
      <c r="K6" s="439">
        <f>IFERROR(__xludf.DUMMYFUNCTION("""COMPUTED_VALUE"""),"chara")</f>
        <v/>
      </c>
      <c r="L6" s="438">
        <f>IFERROR(__xludf.DUMMYFUNCTION("""COMPUTED_VALUE"""),"スペシャル")</f>
        <v/>
      </c>
      <c r="M6" s="436">
        <f>IFERROR(__xludf.DUMMYFUNCTION("""COMPUTED_VALUE"""),"-")</f>
        <v/>
      </c>
      <c r="N6" s="440">
        <f>IFERROR(__xludf.DUMMYFUNCTION("""COMPUTED_VALUE"""),"ー")</f>
        <v/>
      </c>
      <c r="O6" s="440">
        <f>IFERROR(__xludf.DUMMYFUNCTION("""COMPUTED_VALUE"""),"-")</f>
        <v/>
      </c>
      <c r="P6" s="440">
        <f>IFERROR(__xludf.DUMMYFUNCTION("""COMPUTED_VALUE"""),"00301")</f>
        <v/>
      </c>
      <c r="Q6" s="440">
        <f>IFERROR(__xludf.DUMMYFUNCTION("""COMPUTED_VALUE"""),"-")</f>
        <v/>
      </c>
      <c r="R6" s="441">
        <f>IFERROR(__xludf.DUMMYFUNCTION("""COMPUTED_VALUE"""),"-")</f>
        <v/>
      </c>
      <c r="S6" s="441">
        <f>IFERROR(__xludf.DUMMYFUNCTION("""COMPUTED_VALUE"""),"2.10")</f>
        <v/>
      </c>
      <c r="T6" s="442">
        <f>IFERROR(__xludf.DUMMYFUNCTION("""COMPUTED_VALUE"""),"0")</f>
        <v/>
      </c>
      <c r="U6" s="443">
        <f>IFERROR(__xludf.DUMMYFUNCTION("""COMPUTED_VALUE"""),45936.625)</f>
        <v/>
      </c>
      <c r="V6" s="444">
        <f>IFERROR(__xludf.DUMMYFUNCTION("""COMPUTED_VALUE"""),390812.49998842593)</f>
        <v/>
      </c>
      <c r="W6" s="438">
        <f>IFERROR(__xludf.DUMMYFUNCTION("""COMPUTED_VALUE"""),"catchcopy_character_chara_spy_00301.png")</f>
        <v/>
      </c>
      <c r="X6" s="438">
        <f>IFERROR(__xludf.DUMMYFUNCTION("""COMPUTED_VALUE"""),"enemy_icon_chara_spy_00301")</f>
        <v/>
      </c>
      <c r="Y6" s="438">
        <f>IFERROR(__xludf.DUMMYFUNCTION("""COMPUTED_VALUE"""),"boss_icon_chara_spy_00301")</f>
        <v/>
      </c>
      <c r="Z6" s="438" t="n"/>
      <c r="AA6" s="439">
        <f>IFERROR(__xludf.DUMMYFUNCTION("""COMPUTED_VALUE"""),"chara_spy_00301_special")</f>
        <v/>
      </c>
    </row>
    <row r="7">
      <c r="A7" s="439">
        <f>IFERROR(__xludf.DUMMYFUNCTION("""COMPUTED_VALUE"""),"spy")</f>
        <v/>
      </c>
      <c r="B7" s="435">
        <f>IFERROR(__xludf.DUMMYFUNCTION("""COMPUTED_VALUE"""),"SPY×FAMILY")</f>
        <v/>
      </c>
      <c r="C7" s="436">
        <f>IFERROR(__xludf.DUMMYFUNCTION("""COMPUTED_VALUE"""),"00401")</f>
        <v/>
      </c>
      <c r="D7" s="437">
        <f>IFERROR(__xludf.DUMMYFUNCTION("""COMPUTED_VALUE"""),"chara_spy_00401")</f>
        <v/>
      </c>
      <c r="E7" s="437">
        <f>IFERROR(__xludf.DUMMYFUNCTION("""COMPUTED_VALUE"""),"フランキー・フランクリン")</f>
        <v/>
      </c>
      <c r="F7" s="438">
        <f>IFERROR(__xludf.DUMMYFUNCTION("""COMPUTED_VALUE"""),"フランキー・フランクリン")</f>
        <v/>
      </c>
      <c r="G7" s="438">
        <f>IFERROR(__xludf.DUMMYFUNCTION("""COMPUTED_VALUE"""),"超人外骨格！！")</f>
        <v/>
      </c>
      <c r="H7" s="439">
        <f>IFERROR(__xludf.DUMMYFUNCTION("""COMPUTED_VALUE"""),"SR")</f>
        <v/>
      </c>
      <c r="I7" s="439">
        <f>IFERROR(__xludf.DUMMYFUNCTION("""COMPUTED_VALUE"""),"DropSR")</f>
        <v/>
      </c>
      <c r="J7" s="439">
        <f>IFERROR(__xludf.DUMMYFUNCTION("""COMPUTED_VALUE"""),"緑")</f>
        <v/>
      </c>
      <c r="K7" s="439">
        <f>IFERROR(__xludf.DUMMYFUNCTION("""COMPUTED_VALUE"""),"chara")</f>
        <v/>
      </c>
      <c r="L7" s="438">
        <f>IFERROR(__xludf.DUMMYFUNCTION("""COMPUTED_VALUE"""),"ディフェンス")</f>
        <v/>
      </c>
      <c r="M7" s="436">
        <f>IFERROR(__xludf.DUMMYFUNCTION("""COMPUTED_VALUE"""),"dageki_2")</f>
        <v/>
      </c>
      <c r="N7" s="440">
        <f>IFERROR(__xludf.DUMMYFUNCTION("""COMPUTED_VALUE"""),"Short")</f>
        <v/>
      </c>
      <c r="O7" s="440">
        <f>IFERROR(__xludf.DUMMYFUNCTION("""COMPUTED_VALUE"""),"dageki_2")</f>
        <v/>
      </c>
      <c r="P7" s="440">
        <f>IFERROR(__xludf.DUMMYFUNCTION("""COMPUTED_VALUE"""),"00401")</f>
        <v/>
      </c>
      <c r="Q7" s="440">
        <f>IFERROR(__xludf.DUMMYFUNCTION("""COMPUTED_VALUE"""),"1.20")</f>
        <v/>
      </c>
      <c r="R7" s="441">
        <f>IFERROR(__xludf.DUMMYFUNCTION("""COMPUTED_VALUE"""),"0.50")</f>
        <v/>
      </c>
      <c r="S7" s="441">
        <f>IFERROR(__xludf.DUMMYFUNCTION("""COMPUTED_VALUE"""),"2.75")</f>
        <v/>
      </c>
      <c r="T7" s="442">
        <f>IFERROR(__xludf.DUMMYFUNCTION("""COMPUTED_VALUE"""),"1.34")</f>
        <v/>
      </c>
      <c r="U7" s="443">
        <f>IFERROR(__xludf.DUMMYFUNCTION("""COMPUTED_VALUE"""),45936.625)</f>
        <v/>
      </c>
      <c r="V7" s="444">
        <f>IFERROR(__xludf.DUMMYFUNCTION("""COMPUTED_VALUE"""),390812.49998842593)</f>
        <v/>
      </c>
      <c r="W7" s="438">
        <f>IFERROR(__xludf.DUMMYFUNCTION("""COMPUTED_VALUE"""),"catchcopy_character_chara_spy_00401.png")</f>
        <v/>
      </c>
      <c r="X7" s="438">
        <f>IFERROR(__xludf.DUMMYFUNCTION("""COMPUTED_VALUE"""),"enemy_icon_chara_spy_00401")</f>
        <v/>
      </c>
      <c r="Y7" s="438">
        <f>IFERROR(__xludf.DUMMYFUNCTION("""COMPUTED_VALUE"""),"boss_icon_chara_spy_00401")</f>
        <v/>
      </c>
      <c r="Z7" s="438">
        <f>IFERROR(__xludf.DUMMYFUNCTION("""COMPUTED_VALUE"""),"chara_spy_00401_normal")</f>
        <v/>
      </c>
      <c r="AA7" s="439">
        <f>IFERROR(__xludf.DUMMYFUNCTION("""COMPUTED_VALUE"""),"chara_spy_00401_special")</f>
        <v/>
      </c>
    </row>
    <row r="8">
      <c r="A8" s="439">
        <f>IFERROR(__xludf.DUMMYFUNCTION("""COMPUTED_VALUE"""),"spy")</f>
        <v/>
      </c>
      <c r="B8" s="435">
        <f>IFERROR(__xludf.DUMMYFUNCTION("""COMPUTED_VALUE"""),"SPY×FAMILY")</f>
        <v/>
      </c>
      <c r="C8" s="436">
        <f>IFERROR(__xludf.DUMMYFUNCTION("""COMPUTED_VALUE"""),"00501")</f>
        <v/>
      </c>
      <c r="D8" s="437">
        <f>IFERROR(__xludf.DUMMYFUNCTION("""COMPUTED_VALUE"""),"chara_spy_00501")</f>
        <v/>
      </c>
      <c r="E8" s="437">
        <f>IFERROR(__xludf.DUMMYFUNCTION("""COMPUTED_VALUE"""),"ユーリ・ブライア")</f>
        <v/>
      </c>
      <c r="F8" s="438">
        <f>IFERROR(__xludf.DUMMYFUNCTION("""COMPUTED_VALUE"""),"姉を想う盲愛 ユーリ・ブライア")</f>
        <v/>
      </c>
      <c r="G8" s="438">
        <f>IFERROR(__xludf.DUMMYFUNCTION("""COMPUTED_VALUE"""),"姉さぁーーーん♡")</f>
        <v/>
      </c>
      <c r="H8" s="438">
        <f>IFERROR(__xludf.DUMMYFUNCTION("""COMPUTED_VALUE"""),"UR")</f>
        <v/>
      </c>
      <c r="I8" s="439">
        <f>IFERROR(__xludf.DUMMYFUNCTION("""COMPUTED_VALUE"""),"PremiumUR")</f>
        <v/>
      </c>
      <c r="J8" s="438">
        <f>IFERROR(__xludf.DUMMYFUNCTION("""COMPUTED_VALUE"""),"青")</f>
        <v/>
      </c>
      <c r="K8" s="438">
        <f>IFERROR(__xludf.DUMMYFUNCTION("""COMPUTED_VALUE"""),"chara")</f>
        <v/>
      </c>
      <c r="L8" s="438">
        <f>IFERROR(__xludf.DUMMYFUNCTION("""COMPUTED_VALUE"""),"ディフェンス")</f>
        <v/>
      </c>
      <c r="M8" s="447">
        <f>IFERROR(__xludf.DUMMYFUNCTION("""COMPUTED_VALUE"""),"dageki_1")</f>
        <v/>
      </c>
      <c r="N8" s="440">
        <f>IFERROR(__xludf.DUMMYFUNCTION("""COMPUTED_VALUE"""),"Short")</f>
        <v/>
      </c>
      <c r="O8" s="440">
        <f>IFERROR(__xludf.DUMMYFUNCTION("""COMPUTED_VALUE"""),"-")</f>
        <v/>
      </c>
      <c r="P8" s="440">
        <f>IFERROR(__xludf.DUMMYFUNCTION("""COMPUTED_VALUE"""),"00501")</f>
        <v/>
      </c>
      <c r="Q8" s="440">
        <f>IFERROR(__xludf.DUMMYFUNCTION("""COMPUTED_VALUE"""),"1.13")</f>
        <v/>
      </c>
      <c r="R8" s="441">
        <f>IFERROR(__xludf.DUMMYFUNCTION("""COMPUTED_VALUE"""),"stop有:1回目 0.33")</f>
        <v/>
      </c>
      <c r="S8" s="441">
        <f>IFERROR(__xludf.DUMMYFUNCTION("""COMPUTED_VALUE"""),"2.33")</f>
        <v/>
      </c>
      <c r="T8" s="442">
        <f>IFERROR(__xludf.DUMMYFUNCTION("""COMPUTED_VALUE"""),"stop無:1回目 1.17")</f>
        <v/>
      </c>
      <c r="U8" s="443">
        <f>IFERROR(__xludf.DUMMYFUNCTION("""COMPUTED_VALUE"""),45936.625)</f>
        <v/>
      </c>
      <c r="V8" s="444">
        <f>IFERROR(__xludf.DUMMYFUNCTION("""COMPUTED_VALUE"""),390812.49998842593)</f>
        <v/>
      </c>
      <c r="W8" s="438">
        <f>IFERROR(__xludf.DUMMYFUNCTION("""COMPUTED_VALUE"""),"catchcopy_character_chara_spy_00501.png")</f>
        <v/>
      </c>
      <c r="X8" s="438">
        <f>IFERROR(__xludf.DUMMYFUNCTION("""COMPUTED_VALUE"""),"enemy_icon_chara_spy_00501")</f>
        <v/>
      </c>
      <c r="Y8" s="438">
        <f>IFERROR(__xludf.DUMMYFUNCTION("""COMPUTED_VALUE"""),"boss_icon_chara_spy_00501")</f>
        <v/>
      </c>
      <c r="Z8" s="438" t="n"/>
      <c r="AA8" s="439">
        <f>IFERROR(__xludf.DUMMYFUNCTION("""COMPUTED_VALUE"""),"chara_spy_00501_special")</f>
        <v/>
      </c>
    </row>
    <row r="9">
      <c r="A9" s="439">
        <f>IFERROR(__xludf.DUMMYFUNCTION("""COMPUTED_VALUE"""),"aka")</f>
        <v/>
      </c>
      <c r="B9" s="435">
        <f>IFERROR(__xludf.DUMMYFUNCTION("""COMPUTED_VALUE"""),"ラーメン赤猫")</f>
        <v/>
      </c>
      <c r="C9" s="436">
        <f>IFERROR(__xludf.DUMMYFUNCTION("""COMPUTED_VALUE"""),"00001")</f>
        <v/>
      </c>
      <c r="D9" s="437">
        <f>IFERROR(__xludf.DUMMYFUNCTION("""COMPUTED_VALUE"""),"chara_aka_00001")</f>
        <v/>
      </c>
      <c r="E9" s="437">
        <f>IFERROR(__xludf.DUMMYFUNCTION("""COMPUTED_VALUE"""),"佐々木")</f>
        <v/>
      </c>
      <c r="F9" s="438">
        <f>IFERROR(__xludf.DUMMYFUNCTION("""COMPUTED_VALUE"""),"佐々木")</f>
        <v/>
      </c>
      <c r="G9" s="438">
        <f>IFERROR(__xludf.DUMMYFUNCTION("""COMPUTED_VALUE"""),"ハチワレの猫の佐々木さん")</f>
        <v/>
      </c>
      <c r="H9" s="438">
        <f>IFERROR(__xludf.DUMMYFUNCTION("""COMPUTED_VALUE"""),"R")</f>
        <v/>
      </c>
      <c r="I9" s="439">
        <f>IFERROR(__xludf.DUMMYFUNCTION("""COMPUTED_VALUE"""),"PremiumR")</f>
        <v/>
      </c>
      <c r="J9" s="438">
        <f>IFERROR(__xludf.DUMMYFUNCTION("""COMPUTED_VALUE"""),"赤")</f>
        <v/>
      </c>
      <c r="K9" s="438">
        <f>IFERROR(__xludf.DUMMYFUNCTION("""COMPUTED_VALUE"""),"chara")</f>
        <v/>
      </c>
      <c r="L9" s="438">
        <f>IFERROR(__xludf.DUMMYFUNCTION("""COMPUTED_VALUE"""),"ディフェンス")</f>
        <v/>
      </c>
      <c r="M9" s="447">
        <f>IFERROR(__xludf.DUMMYFUNCTION("""COMPUTED_VALUE"""),"dageki_1")</f>
        <v/>
      </c>
      <c r="N9" s="440">
        <f>IFERROR(__xludf.DUMMYFUNCTION("""COMPUTED_VALUE"""),"Short")</f>
        <v/>
      </c>
      <c r="O9" s="440">
        <f>IFERROR(__xludf.DUMMYFUNCTION("""COMPUTED_VALUE"""),"zangeki_1")</f>
        <v/>
      </c>
      <c r="P9" s="440">
        <f>IFERROR(__xludf.DUMMYFUNCTION("""COMPUTED_VALUE"""),"00001")</f>
        <v/>
      </c>
      <c r="Q9" s="440">
        <f>IFERROR(__xludf.DUMMYFUNCTION("""COMPUTED_VALUE"""),"1.70")</f>
        <v/>
      </c>
      <c r="R9" s="441">
        <f>IFERROR(__xludf.DUMMYFUNCTION("""COMPUTED_VALUE"""),"0.66")</f>
        <v/>
      </c>
      <c r="S9" s="441" t="n"/>
      <c r="T9" s="442">
        <f>IFERROR(__xludf.DUMMYFUNCTION("""COMPUTED_VALUE"""),"1.33")</f>
        <v/>
      </c>
      <c r="U9" s="444">
        <f>IFERROR(__xludf.DUMMYFUNCTION("""COMPUTED_VALUE"""),45922.458333333336)</f>
        <v/>
      </c>
      <c r="V9" s="444">
        <f>IFERROR(__xludf.DUMMYFUNCTION("""COMPUTED_VALUE"""),390812.49998842593)</f>
        <v/>
      </c>
      <c r="W9" s="438">
        <f>IFERROR(__xludf.DUMMYFUNCTION("""COMPUTED_VALUE"""),"catchcopy_character_chara_aka_00001.png")</f>
        <v/>
      </c>
      <c r="X9" s="438">
        <f>IFERROR(__xludf.DUMMYFUNCTION("""COMPUTED_VALUE"""),"enemy_icon_chara_aka_00001")</f>
        <v/>
      </c>
      <c r="Y9" s="438">
        <f>IFERROR(__xludf.DUMMYFUNCTION("""COMPUTED_VALUE"""),"boss_icon_chara_aka_00001")</f>
        <v/>
      </c>
      <c r="Z9" s="438" t="n"/>
      <c r="AA9" s="439">
        <f>IFERROR(__xludf.DUMMYFUNCTION("""COMPUTED_VALUE"""),"chara_aka_00001_special")</f>
        <v/>
      </c>
    </row>
    <row r="10">
      <c r="A10" s="439">
        <f>IFERROR(__xludf.DUMMYFUNCTION("""COMPUTED_VALUE"""),"aka")</f>
        <v/>
      </c>
      <c r="B10" s="435">
        <f>IFERROR(__xludf.DUMMYFUNCTION("""COMPUTED_VALUE"""),"ラーメン赤猫")</f>
        <v/>
      </c>
      <c r="C10" s="436">
        <f>IFERROR(__xludf.DUMMYFUNCTION("""COMPUTED_VALUE"""),"00101")</f>
        <v/>
      </c>
      <c r="D10" s="437">
        <f>IFERROR(__xludf.DUMMYFUNCTION("""COMPUTED_VALUE"""),"chara_aka_00101")</f>
        <v/>
      </c>
      <c r="E10" s="437">
        <f>IFERROR(__xludf.DUMMYFUNCTION("""COMPUTED_VALUE"""),"文蔵")</f>
        <v/>
      </c>
      <c r="F10" s="438">
        <f>IFERROR(__xludf.DUMMYFUNCTION("""COMPUTED_VALUE"""),"文蔵")</f>
        <v/>
      </c>
      <c r="G10" s="438">
        <f>IFERROR(__xludf.DUMMYFUNCTION("""COMPUTED_VALUE"""),"ラーメン赤猫の職人")</f>
        <v/>
      </c>
      <c r="H10" s="438">
        <f>IFERROR(__xludf.DUMMYFUNCTION("""COMPUTED_VALUE"""),"R")</f>
        <v/>
      </c>
      <c r="I10" s="439">
        <f>IFERROR(__xludf.DUMMYFUNCTION("""COMPUTED_VALUE"""),"PremiumR")</f>
        <v/>
      </c>
      <c r="J10" s="438">
        <f>IFERROR(__xludf.DUMMYFUNCTION("""COMPUTED_VALUE"""),"赤")</f>
        <v/>
      </c>
      <c r="K10" s="438">
        <f>IFERROR(__xludf.DUMMYFUNCTION("""COMPUTED_VALUE"""),"chara")</f>
        <v/>
      </c>
      <c r="L10" s="438">
        <f>IFERROR(__xludf.DUMMYFUNCTION("""COMPUTED_VALUE"""),"テクニカル")</f>
        <v/>
      </c>
      <c r="M10" s="447">
        <f>IFERROR(__xludf.DUMMYFUNCTION("""COMPUTED_VALUE"""),"dageki_1")</f>
        <v/>
      </c>
      <c r="N10" s="440">
        <f>IFERROR(__xludf.DUMMYFUNCTION("""COMPUTED_VALUE"""),"Short")</f>
        <v/>
      </c>
      <c r="O10" s="440">
        <f>IFERROR(__xludf.DUMMYFUNCTION("""COMPUTED_VALUE"""),"zangeki_1")</f>
        <v/>
      </c>
      <c r="P10" s="440">
        <f>IFERROR(__xludf.DUMMYFUNCTION("""COMPUTED_VALUE"""),"00101")</f>
        <v/>
      </c>
      <c r="Q10" s="440">
        <f>IFERROR(__xludf.DUMMYFUNCTION("""COMPUTED_VALUE"""),"1.50")</f>
        <v/>
      </c>
      <c r="R10" s="441">
        <f>IFERROR(__xludf.DUMMYFUNCTION("""COMPUTED_VALUE"""),"stop無:1回目 0.54")</f>
        <v/>
      </c>
      <c r="S10" s="441">
        <f>IFERROR(__xludf.DUMMYFUNCTION("""COMPUTED_VALUE"""),"4.50")</f>
        <v/>
      </c>
      <c r="T10" s="442">
        <f>IFERROR(__xludf.DUMMYFUNCTION("""COMPUTED_VALUE"""),"stop無:1回目 1.37
stop無:2回目 1.63
stop有:3回目 2.67")</f>
        <v/>
      </c>
      <c r="U10" s="444">
        <f>IFERROR(__xludf.DUMMYFUNCTION("""COMPUTED_VALUE"""),45922.458333333336)</f>
        <v/>
      </c>
      <c r="V10" s="444">
        <f>IFERROR(__xludf.DUMMYFUNCTION("""COMPUTED_VALUE"""),390812.49998842593)</f>
        <v/>
      </c>
      <c r="W10" s="438">
        <f>IFERROR(__xludf.DUMMYFUNCTION("""COMPUTED_VALUE"""),"catchcopy_character_chara_aka_00101.png")</f>
        <v/>
      </c>
      <c r="X10" s="438">
        <f>IFERROR(__xludf.DUMMYFUNCTION("""COMPUTED_VALUE"""),"enemy_icon_chara_aka_00101")</f>
        <v/>
      </c>
      <c r="Y10" s="438">
        <f>IFERROR(__xludf.DUMMYFUNCTION("""COMPUTED_VALUE"""),"boss_icon_chara_aka_00101")</f>
        <v/>
      </c>
      <c r="Z10" s="438">
        <f>IFERROR(__xludf.DUMMYFUNCTION("""COMPUTED_VALUE"""),"chara_aka_00101_normal")</f>
        <v/>
      </c>
      <c r="AA10" s="439">
        <f>IFERROR(__xludf.DUMMYFUNCTION("""COMPUTED_VALUE"""),"chara_aka_00101_special")</f>
        <v/>
      </c>
    </row>
    <row r="11">
      <c r="A11" s="439">
        <f>IFERROR(__xludf.DUMMYFUNCTION("""COMPUTED_VALUE"""),"aka")</f>
        <v/>
      </c>
      <c r="B11" s="435">
        <f>IFERROR(__xludf.DUMMYFUNCTION("""COMPUTED_VALUE"""),"ラーメン赤猫")</f>
        <v/>
      </c>
      <c r="C11" s="436">
        <f>IFERROR(__xludf.DUMMYFUNCTION("""COMPUTED_VALUE"""),"00201")</f>
        <v/>
      </c>
      <c r="D11" s="437">
        <f>IFERROR(__xludf.DUMMYFUNCTION("""COMPUTED_VALUE"""),"chara_aka_00201")</f>
        <v/>
      </c>
      <c r="E11" s="437">
        <f>IFERROR(__xludf.DUMMYFUNCTION("""COMPUTED_VALUE"""),"ハナ")</f>
        <v/>
      </c>
      <c r="F11" s="438">
        <f>IFERROR(__xludf.DUMMYFUNCTION("""COMPUTED_VALUE"""),"ハナ")</f>
        <v/>
      </c>
      <c r="G11" s="438">
        <f>IFERROR(__xludf.DUMMYFUNCTION("""COMPUTED_VALUE"""),"ハナのほっこり接客術")</f>
        <v/>
      </c>
      <c r="H11" s="438">
        <f>IFERROR(__xludf.DUMMYFUNCTION("""COMPUTED_VALUE"""),"SR")</f>
        <v/>
      </c>
      <c r="I11" s="439">
        <f>IFERROR(__xludf.DUMMYFUNCTION("""COMPUTED_VALUE"""),"DropSR")</f>
        <v/>
      </c>
      <c r="J11" s="438">
        <f>IFERROR(__xludf.DUMMYFUNCTION("""COMPUTED_VALUE"""),"赤")</f>
        <v/>
      </c>
      <c r="K11" s="438">
        <f>IFERROR(__xludf.DUMMYFUNCTION("""COMPUTED_VALUE"""),"chara")</f>
        <v/>
      </c>
      <c r="L11" s="438">
        <f>IFERROR(__xludf.DUMMYFUNCTION("""COMPUTED_VALUE"""),"サポート")</f>
        <v/>
      </c>
      <c r="M11" s="447">
        <f>IFERROR(__xludf.DUMMYFUNCTION("""COMPUTED_VALUE"""),"-")</f>
        <v/>
      </c>
      <c r="N11" s="440" t="n"/>
      <c r="O11" s="440">
        <f>IFERROR(__xludf.DUMMYFUNCTION("""COMPUTED_VALUE"""),"-")</f>
        <v/>
      </c>
      <c r="P11" s="440" t="n"/>
      <c r="Q11" s="440">
        <f>IFERROR(__xludf.DUMMYFUNCTION("""COMPUTED_VALUE"""),"1.35")</f>
        <v/>
      </c>
      <c r="R11" s="441">
        <f>IFERROR(__xludf.DUMMYFUNCTION("""COMPUTED_VALUE"""),"stop有:1回目 0.63")</f>
        <v/>
      </c>
      <c r="S11" s="441">
        <f>IFERROR(__xludf.DUMMYFUNCTION("""COMPUTED_VALUE"""),"2.33")</f>
        <v/>
      </c>
      <c r="T11" s="442">
        <f>IFERROR(__xludf.DUMMYFUNCTION("""COMPUTED_VALUE"""),"stop無:1回目 0.6")</f>
        <v/>
      </c>
      <c r="U11" s="448">
        <f>IFERROR(__xludf.DUMMYFUNCTION("""COMPUTED_VALUE"""),"2026年5月中旬のアニマル祭りで実装予定")</f>
        <v/>
      </c>
      <c r="V11" s="444">
        <f>IFERROR(__xludf.DUMMYFUNCTION("""COMPUTED_VALUE"""),390812.49998842593)</f>
        <v/>
      </c>
      <c r="W11" s="438">
        <f>IFERROR(__xludf.DUMMYFUNCTION("""COMPUTED_VALUE"""),"catchcopy_character_chara_aka_00201.png")</f>
        <v/>
      </c>
      <c r="X11" s="438">
        <f>IFERROR(__xludf.DUMMYFUNCTION("""COMPUTED_VALUE"""),"enemy_icon_chara_aka_00201")</f>
        <v/>
      </c>
      <c r="Y11" s="438">
        <f>IFERROR(__xludf.DUMMYFUNCTION("""COMPUTED_VALUE"""),"boss_icon_chara_aka_00201")</f>
        <v/>
      </c>
      <c r="Z11" s="438">
        <f>IFERROR(__xludf.DUMMYFUNCTION("""COMPUTED_VALUE"""),"chara_aka_00101_normal")</f>
        <v/>
      </c>
      <c r="AA11" s="439">
        <f>IFERROR(__xludf.DUMMYFUNCTION("""COMPUTED_VALUE"""),"chara_aka_00101_special")</f>
        <v/>
      </c>
    </row>
    <row r="12">
      <c r="A12" s="439">
        <f>IFERROR(__xludf.DUMMYFUNCTION("""COMPUTED_VALUE"""),"aka")</f>
        <v/>
      </c>
      <c r="B12" s="435">
        <f>IFERROR(__xludf.DUMMYFUNCTION("""COMPUTED_VALUE"""),"ラーメン赤猫")</f>
        <v/>
      </c>
      <c r="C12" s="436">
        <f>IFERROR(__xludf.DUMMYFUNCTION("""COMPUTED_VALUE"""),"00301")</f>
        <v/>
      </c>
      <c r="D12" s="437">
        <f>IFERROR(__xludf.DUMMYFUNCTION("""COMPUTED_VALUE"""),"chara_aka_00301")</f>
        <v/>
      </c>
      <c r="E12" s="437">
        <f>IFERROR(__xludf.DUMMYFUNCTION("""COMPUTED_VALUE"""),"サブ")</f>
        <v/>
      </c>
      <c r="F12" s="438">
        <f>IFERROR(__xludf.DUMMYFUNCTION("""COMPUTED_VALUE"""),"サブ")</f>
        <v/>
      </c>
      <c r="G12" s="438">
        <f>IFERROR(__xludf.DUMMYFUNCTION("""COMPUTED_VALUE"""),"プロゲーマーとか無理っすよ")</f>
        <v/>
      </c>
      <c r="H12" s="438">
        <f>IFERROR(__xludf.DUMMYFUNCTION("""COMPUTED_VALUE"""),"SR")</f>
        <v/>
      </c>
      <c r="I12" s="439">
        <f>IFERROR(__xludf.DUMMYFUNCTION("""COMPUTED_VALUE"""),"DropSR")</f>
        <v/>
      </c>
      <c r="J12" s="438">
        <f>IFERROR(__xludf.DUMMYFUNCTION("""COMPUTED_VALUE"""),"緑")</f>
        <v/>
      </c>
      <c r="K12" s="438">
        <f>IFERROR(__xludf.DUMMYFUNCTION("""COMPUTED_VALUE"""),"chara")</f>
        <v/>
      </c>
      <c r="L12" s="438">
        <f>IFERROR(__xludf.DUMMYFUNCTION("""COMPUTED_VALUE"""),"アタック")</f>
        <v/>
      </c>
      <c r="M12" s="447">
        <f>IFERROR(__xludf.DUMMYFUNCTION("""COMPUTED_VALUE"""),"dageki_1")</f>
        <v/>
      </c>
      <c r="N12" s="440" t="n"/>
      <c r="O12" s="440">
        <f>IFERROR(__xludf.DUMMYFUNCTION("""COMPUTED_VALUE"""),"shageki_1")</f>
        <v/>
      </c>
      <c r="P12" s="440" t="n"/>
      <c r="Q12" s="440">
        <f>IFERROR(__xludf.DUMMYFUNCTION("""COMPUTED_VALUE"""),"1.33")</f>
        <v/>
      </c>
      <c r="R12" s="441">
        <f>IFERROR(__xludf.DUMMYFUNCTION("""COMPUTED_VALUE"""),"stop有:1回目 0.55")</f>
        <v/>
      </c>
      <c r="S12" s="441">
        <f>IFERROR(__xludf.DUMMYFUNCTION("""COMPUTED_VALUE"""),"2.53")</f>
        <v/>
      </c>
      <c r="T12" s="442">
        <f>IFERROR(__xludf.DUMMYFUNCTION("""COMPUTED_VALUE"""),"stop無:1回目 0.76
stop無:2回目 0.91
stop有:3回目 1.4")</f>
        <v/>
      </c>
      <c r="U12" s="448">
        <f>IFERROR(__xludf.DUMMYFUNCTION("""COMPUTED_VALUE"""),"2026年5月中旬のアニマル祭りで実装予定")</f>
        <v/>
      </c>
      <c r="V12" s="444">
        <f>IFERROR(__xludf.DUMMYFUNCTION("""COMPUTED_VALUE"""),390812.49998842593)</f>
        <v/>
      </c>
      <c r="W12" s="438">
        <f>IFERROR(__xludf.DUMMYFUNCTION("""COMPUTED_VALUE"""),"catchcopy_character_chara_aka_00301.png")</f>
        <v/>
      </c>
      <c r="X12" s="438">
        <f>IFERROR(__xludf.DUMMYFUNCTION("""COMPUTED_VALUE"""),"enemy_icon_chara_aka_00301")</f>
        <v/>
      </c>
      <c r="Y12" s="438">
        <f>IFERROR(__xludf.DUMMYFUNCTION("""COMPUTED_VALUE"""),"boss_icon_chara_aka_00301")</f>
        <v/>
      </c>
      <c r="Z12" s="438">
        <f>IFERROR(__xludf.DUMMYFUNCTION("""COMPUTED_VALUE"""),"chara_aka_00101_normal")</f>
        <v/>
      </c>
      <c r="AA12" s="439">
        <f>IFERROR(__xludf.DUMMYFUNCTION("""COMPUTED_VALUE"""),"chara_aka_00101_special")</f>
        <v/>
      </c>
    </row>
    <row r="13">
      <c r="A13" s="439">
        <f>IFERROR(__xludf.DUMMYFUNCTION("""COMPUTED_VALUE"""),"rik")</f>
        <v/>
      </c>
      <c r="B13" s="435">
        <f>IFERROR(__xludf.DUMMYFUNCTION("""COMPUTED_VALUE"""),"トマトイプーのリコピン")</f>
        <v/>
      </c>
      <c r="C13" s="436">
        <f>IFERROR(__xludf.DUMMYFUNCTION("""COMPUTED_VALUE"""),"00001")</f>
        <v/>
      </c>
      <c r="D13" s="437">
        <f>IFERROR(__xludf.DUMMYFUNCTION("""COMPUTED_VALUE"""),"chara_rik_00001")</f>
        <v/>
      </c>
      <c r="E13" s="437">
        <f>IFERROR(__xludf.DUMMYFUNCTION("""COMPUTED_VALUE"""),"リコピン")</f>
        <v/>
      </c>
      <c r="F13" s="438">
        <f>IFERROR(__xludf.DUMMYFUNCTION("""COMPUTED_VALUE"""),"リコピン")</f>
        <v/>
      </c>
      <c r="G13" s="438">
        <f>IFERROR(__xludf.DUMMYFUNCTION("""COMPUTED_VALUE"""),"トマト果汁は健康の証")</f>
        <v/>
      </c>
      <c r="H13" s="438">
        <f>IFERROR(__xludf.DUMMYFUNCTION("""COMPUTED_VALUE"""),"R")</f>
        <v/>
      </c>
      <c r="I13" s="439">
        <f>IFERROR(__xludf.DUMMYFUNCTION("""COMPUTED_VALUE"""),"PremiumR")</f>
        <v/>
      </c>
      <c r="J13" s="438">
        <f>IFERROR(__xludf.DUMMYFUNCTION("""COMPUTED_VALUE"""),"赤")</f>
        <v/>
      </c>
      <c r="K13" s="438">
        <f>IFERROR(__xludf.DUMMYFUNCTION("""COMPUTED_VALUE"""),"chara")</f>
        <v/>
      </c>
      <c r="L13" s="438">
        <f>IFERROR(__xludf.DUMMYFUNCTION("""COMPUTED_VALUE"""),"アタック")</f>
        <v/>
      </c>
      <c r="M13" s="447">
        <f>IFERROR(__xludf.DUMMYFUNCTION("""COMPUTED_VALUE"""),"dageki_2")</f>
        <v/>
      </c>
      <c r="N13" s="440">
        <f>IFERROR(__xludf.DUMMYFUNCTION("""COMPUTED_VALUE"""),"Short")</f>
        <v/>
      </c>
      <c r="O13" s="440">
        <f>IFERROR(__xludf.DUMMYFUNCTION("""COMPUTED_VALUE"""),"dageki_2")</f>
        <v/>
      </c>
      <c r="P13" s="440">
        <f>IFERROR(__xludf.DUMMYFUNCTION("""COMPUTED_VALUE"""),"00001")</f>
        <v/>
      </c>
      <c r="Q13" s="440">
        <f>IFERROR(__xludf.DUMMYFUNCTION("""COMPUTED_VALUE"""),"1.64")</f>
        <v/>
      </c>
      <c r="R13" s="441">
        <f>IFERROR(__xludf.DUMMYFUNCTION("""COMPUTED_VALUE"""),"0.93")</f>
        <v/>
      </c>
      <c r="S13" s="441">
        <f>IFERROR(__xludf.DUMMYFUNCTION("""COMPUTED_VALUE"""),"4.01")</f>
        <v/>
      </c>
      <c r="T13" s="442">
        <f>IFERROR(__xludf.DUMMYFUNCTION("""COMPUTED_VALUE"""),"1回目：0.83
2回目：1.84
3回目：2.67")</f>
        <v/>
      </c>
      <c r="U13" s="444">
        <f>IFERROR(__xludf.DUMMYFUNCTION("""COMPUTED_VALUE"""),45922.458333333336)</f>
        <v/>
      </c>
      <c r="V13" s="444">
        <f>IFERROR(__xludf.DUMMYFUNCTION("""COMPUTED_VALUE"""),390812.49998842593)</f>
        <v/>
      </c>
      <c r="W13" s="438">
        <f>IFERROR(__xludf.DUMMYFUNCTION("""COMPUTED_VALUE"""),"catchcopy_character_chara_rik_00001.png")</f>
        <v/>
      </c>
      <c r="X13" s="438">
        <f>IFERROR(__xludf.DUMMYFUNCTION("""COMPUTED_VALUE"""),"enemy_icon_chara_rik_00001")</f>
        <v/>
      </c>
      <c r="Y13" s="438">
        <f>IFERROR(__xludf.DUMMYFUNCTION("""COMPUTED_VALUE"""),"boss_icon_chara_rik_00001")</f>
        <v/>
      </c>
      <c r="Z13" s="438">
        <f>IFERROR(__xludf.DUMMYFUNCTION("""COMPUTED_VALUE"""),"chara_rik_00001_normal")</f>
        <v/>
      </c>
      <c r="AA13" s="439">
        <f>IFERROR(__xludf.DUMMYFUNCTION("""COMPUTED_VALUE"""),"chara_rik_00001_special")</f>
        <v/>
      </c>
    </row>
    <row r="14">
      <c r="A14" s="439">
        <f>IFERROR(__xludf.DUMMYFUNCTION("""COMPUTED_VALUE"""),"rik")</f>
        <v/>
      </c>
      <c r="B14" s="435">
        <f>IFERROR(__xludf.DUMMYFUNCTION("""COMPUTED_VALUE"""),"トマトイプーのリコピン")</f>
        <v/>
      </c>
      <c r="C14" s="436">
        <f>IFERROR(__xludf.DUMMYFUNCTION("""COMPUTED_VALUE"""),"00101")</f>
        <v/>
      </c>
      <c r="D14" s="437">
        <f>IFERROR(__xludf.DUMMYFUNCTION("""COMPUTED_VALUE"""),"chara_rik_00101")</f>
        <v/>
      </c>
      <c r="E14" s="437">
        <f>IFERROR(__xludf.DUMMYFUNCTION("""COMPUTED_VALUE"""),"甘戸 めめ")</f>
        <v/>
      </c>
      <c r="F14" s="438">
        <f>IFERROR(__xludf.DUMMYFUNCTION("""COMPUTED_VALUE"""),"甘戸 めめ")</f>
        <v/>
      </c>
      <c r="G14" s="438">
        <f>IFERROR(__xludf.DUMMYFUNCTION("""COMPUTED_VALUE"""),"モンブランケーキ")</f>
        <v/>
      </c>
      <c r="H14" s="438">
        <f>IFERROR(__xludf.DUMMYFUNCTION("""COMPUTED_VALUE"""),"R")</f>
        <v/>
      </c>
      <c r="I14" s="439">
        <f>IFERROR(__xludf.DUMMYFUNCTION("""COMPUTED_VALUE"""),"DropR")</f>
        <v/>
      </c>
      <c r="J14" s="439">
        <f>IFERROR(__xludf.DUMMYFUNCTION("""COMPUTED_VALUE"""),"赤")</f>
        <v/>
      </c>
      <c r="K14" s="438">
        <f>IFERROR(__xludf.DUMMYFUNCTION("""COMPUTED_VALUE"""),"chara")</f>
        <v/>
      </c>
      <c r="L14" s="438">
        <f>IFERROR(__xludf.DUMMYFUNCTION("""COMPUTED_VALUE"""),"サポート")</f>
        <v/>
      </c>
      <c r="M14" s="436">
        <f>IFERROR(__xludf.DUMMYFUNCTION("""COMPUTED_VALUE"""),"dageki_2")</f>
        <v/>
      </c>
      <c r="N14" s="440">
        <f>IFERROR(__xludf.DUMMYFUNCTION("""COMPUTED_VALUE"""),"Middle")</f>
        <v/>
      </c>
      <c r="O14" s="440">
        <f>IFERROR(__xludf.DUMMYFUNCTION("""COMPUTED_VALUE"""),"-")</f>
        <v/>
      </c>
      <c r="P14" s="440">
        <f>IFERROR(__xludf.DUMMYFUNCTION("""COMPUTED_VALUE"""),"00101")</f>
        <v/>
      </c>
      <c r="Q14" s="440">
        <f>IFERROR(__xludf.DUMMYFUNCTION("""COMPUTED_VALUE"""),"1.57")</f>
        <v/>
      </c>
      <c r="R14" s="441">
        <f>IFERROR(__xludf.DUMMYFUNCTION("""COMPUTED_VALUE"""),"0.87")</f>
        <v/>
      </c>
      <c r="S14" s="441">
        <f>IFERROR(__xludf.DUMMYFUNCTION("""COMPUTED_VALUE"""),"2.67")</f>
        <v/>
      </c>
      <c r="T14" s="442">
        <f>IFERROR(__xludf.DUMMYFUNCTION("""COMPUTED_VALUE"""),"stop無:1.00")</f>
        <v/>
      </c>
      <c r="U14" s="444">
        <f>IFERROR(__xludf.DUMMYFUNCTION("""COMPUTED_VALUE"""),45922.458333333336)</f>
        <v/>
      </c>
      <c r="V14" s="444">
        <f>IFERROR(__xludf.DUMMYFUNCTION("""COMPUTED_VALUE"""),390812.49998842593)</f>
        <v/>
      </c>
      <c r="W14" s="438">
        <f>IFERROR(__xludf.DUMMYFUNCTION("""COMPUTED_VALUE"""),"catchcopy_character_chara_rik_00101.png")</f>
        <v/>
      </c>
      <c r="X14" s="438">
        <f>IFERROR(__xludf.DUMMYFUNCTION("""COMPUTED_VALUE"""),"enemy_icon_chara_rik_00101")</f>
        <v/>
      </c>
      <c r="Y14" s="438">
        <f>IFERROR(__xludf.DUMMYFUNCTION("""COMPUTED_VALUE"""),"boss_icon_chara_rik_00101")</f>
        <v/>
      </c>
      <c r="Z14" s="438">
        <f>IFERROR(__xludf.DUMMYFUNCTION("""COMPUTED_VALUE"""),"chara_rik_00101_normal")</f>
        <v/>
      </c>
      <c r="AA14" s="439">
        <f>IFERROR(__xludf.DUMMYFUNCTION("""COMPUTED_VALUE"""),"chara_rik_00101_special")</f>
        <v/>
      </c>
    </row>
    <row r="15">
      <c r="A15" s="439">
        <f>IFERROR(__xludf.DUMMYFUNCTION("""COMPUTED_VALUE"""),"dan")</f>
        <v/>
      </c>
      <c r="B15" s="435">
        <f>IFERROR(__xludf.DUMMYFUNCTION("""COMPUTED_VALUE"""),"ダンダダン")</f>
        <v/>
      </c>
      <c r="C15" s="436">
        <f>IFERROR(__xludf.DUMMYFUNCTION("""COMPUTED_VALUE"""),"00001")</f>
        <v/>
      </c>
      <c r="D15" s="437">
        <f>IFERROR(__xludf.DUMMYFUNCTION("""COMPUTED_VALUE"""),"chara_dan_00001")</f>
        <v/>
      </c>
      <c r="E15" s="437">
        <f>IFERROR(__xludf.DUMMYFUNCTION("""COMPUTED_VALUE"""),"オカルン")</f>
        <v/>
      </c>
      <c r="F15" s="438">
        <f>IFERROR(__xludf.DUMMYFUNCTION("""COMPUTED_VALUE"""),"オカルン")</f>
        <v/>
      </c>
      <c r="G15" s="438">
        <f>IFERROR(__xludf.DUMMYFUNCTION("""COMPUTED_VALUE"""),"友達ができたからだ！")</f>
        <v/>
      </c>
      <c r="H15" s="438">
        <f>IFERROR(__xludf.DUMMYFUNCTION("""COMPUTED_VALUE"""),"R")</f>
        <v/>
      </c>
      <c r="I15" s="439">
        <f>IFERROR(__xludf.DUMMYFUNCTION("""COMPUTED_VALUE"""),"PremiumR")</f>
        <v/>
      </c>
      <c r="J15" s="439">
        <f>IFERROR(__xludf.DUMMYFUNCTION("""COMPUTED_VALUE"""),"赤")</f>
        <v/>
      </c>
      <c r="K15" s="438">
        <f>IFERROR(__xludf.DUMMYFUNCTION("""COMPUTED_VALUE"""),"chara")</f>
        <v/>
      </c>
      <c r="L15" s="438">
        <f>IFERROR(__xludf.DUMMYFUNCTION("""COMPUTED_VALUE"""),"ディフェンス")</f>
        <v/>
      </c>
      <c r="M15" s="436">
        <f>IFERROR(__xludf.DUMMYFUNCTION("""COMPUTED_VALUE"""),"dageki_1")</f>
        <v/>
      </c>
      <c r="N15" s="440">
        <f>IFERROR(__xludf.DUMMYFUNCTION("""COMPUTED_VALUE"""),"Short")</f>
        <v/>
      </c>
      <c r="O15" s="440">
        <f>IFERROR(__xludf.DUMMYFUNCTION("""COMPUTED_VALUE"""),"-")</f>
        <v/>
      </c>
      <c r="P15" s="440">
        <f>IFERROR(__xludf.DUMMYFUNCTION("""COMPUTED_VALUE"""),"00001")</f>
        <v/>
      </c>
      <c r="Q15" s="440">
        <f>IFERROR(__xludf.DUMMYFUNCTION("""COMPUTED_VALUE"""),"1.43")</f>
        <v/>
      </c>
      <c r="R15" s="441">
        <f>IFERROR(__xludf.DUMMYFUNCTION("""COMPUTED_VALUE"""),"0.53")</f>
        <v/>
      </c>
      <c r="S15" s="441">
        <f>IFERROR(__xludf.DUMMYFUNCTION("""COMPUTED_VALUE"""),"4.00")</f>
        <v/>
      </c>
      <c r="T15" s="442">
        <f>IFERROR(__xludf.DUMMYFUNCTION("""COMPUTED_VALUE"""),"1.66")</f>
        <v/>
      </c>
      <c r="U15" s="444">
        <f>IFERROR(__xludf.DUMMYFUNCTION("""COMPUTED_VALUE"""),45922.458333333336)</f>
        <v/>
      </c>
      <c r="V15" s="444">
        <f>IFERROR(__xludf.DUMMYFUNCTION("""COMPUTED_VALUE"""),390812.49998842593)</f>
        <v/>
      </c>
      <c r="W15" s="438">
        <f>IFERROR(__xludf.DUMMYFUNCTION("""COMPUTED_VALUE"""),"catchcopy_character_chara_dan_00001.png")</f>
        <v/>
      </c>
      <c r="X15" s="438">
        <f>IFERROR(__xludf.DUMMYFUNCTION("""COMPUTED_VALUE"""),"enemy_icon_chara_dan_00001")</f>
        <v/>
      </c>
      <c r="Y15" s="438">
        <f>IFERROR(__xludf.DUMMYFUNCTION("""COMPUTED_VALUE"""),"boss_icon_chara_dan_00001")</f>
        <v/>
      </c>
      <c r="Z15" s="438">
        <f>IFERROR(__xludf.DUMMYFUNCTION("""COMPUTED_VALUE"""),"chara_dan_00001_normal")</f>
        <v/>
      </c>
      <c r="AA15" s="439">
        <f>IFERROR(__xludf.DUMMYFUNCTION("""COMPUTED_VALUE"""),"chara_dan_00001_special")</f>
        <v/>
      </c>
    </row>
    <row r="16">
      <c r="A16" s="439">
        <f>IFERROR(__xludf.DUMMYFUNCTION("""COMPUTED_VALUE"""),"dan")</f>
        <v/>
      </c>
      <c r="B16" s="435">
        <f>IFERROR(__xludf.DUMMYFUNCTION("""COMPUTED_VALUE"""),"ダンダダン")</f>
        <v/>
      </c>
      <c r="C16" s="436">
        <f>IFERROR(__xludf.DUMMYFUNCTION("""COMPUTED_VALUE"""),"00002")</f>
        <v/>
      </c>
      <c r="D16" s="437">
        <f>IFERROR(__xludf.DUMMYFUNCTION("""COMPUTED_VALUE"""),"chara_dan_00002")</f>
        <v/>
      </c>
      <c r="E16" s="437">
        <f>IFERROR(__xludf.DUMMYFUNCTION("""COMPUTED_VALUE"""),"ターボババアの霊力 オカルン")</f>
        <v/>
      </c>
      <c r="F16" s="439">
        <f>IFERROR(__xludf.DUMMYFUNCTION("""COMPUTED_VALUE"""),"ターボババアの霊力 オカルン")</f>
        <v/>
      </c>
      <c r="G16" s="439">
        <f>IFERROR(__xludf.DUMMYFUNCTION("""COMPUTED_VALUE"""),"萎えるぜ")</f>
        <v/>
      </c>
      <c r="H16" s="439">
        <f>IFERROR(__xludf.DUMMYFUNCTION("""COMPUTED_VALUE"""),"UR")</f>
        <v/>
      </c>
      <c r="I16" s="439">
        <f>IFERROR(__xludf.DUMMYFUNCTION("""COMPUTED_VALUE"""),"PremiumUR")</f>
        <v/>
      </c>
      <c r="J16" s="439">
        <f>IFERROR(__xludf.DUMMYFUNCTION("""COMPUTED_VALUE"""),"青")</f>
        <v/>
      </c>
      <c r="K16" s="439">
        <f>IFERROR(__xludf.DUMMYFUNCTION("""COMPUTED_VALUE"""),"chara")</f>
        <v/>
      </c>
      <c r="L16" s="438">
        <f>IFERROR(__xludf.DUMMYFUNCTION("""COMPUTED_VALUE"""),"アタック")</f>
        <v/>
      </c>
      <c r="M16" s="436">
        <f>IFERROR(__xludf.DUMMYFUNCTION("""COMPUTED_VALUE"""),"dageki_1")</f>
        <v/>
      </c>
      <c r="N16" s="440">
        <f>IFERROR(__xludf.DUMMYFUNCTION("""COMPUTED_VALUE"""),"Middle")</f>
        <v/>
      </c>
      <c r="O16" s="440">
        <f>IFERROR(__xludf.DUMMYFUNCTION("""COMPUTED_VALUE"""),"dageki_1")</f>
        <v/>
      </c>
      <c r="P16" s="440">
        <f>IFERROR(__xludf.DUMMYFUNCTION("""COMPUTED_VALUE"""),"00002")</f>
        <v/>
      </c>
      <c r="Q16" s="440">
        <f>IFERROR(__xludf.DUMMYFUNCTION("""COMPUTED_VALUE"""),"1.84")</f>
        <v/>
      </c>
      <c r="R16" s="441">
        <f>IFERROR(__xludf.DUMMYFUNCTION("""COMPUTED_VALUE"""),"stop有:1回目 0.66
stop有:2回目 1.27")</f>
        <v/>
      </c>
      <c r="S16" s="441">
        <f>IFERROR(__xludf.DUMMYFUNCTION("""COMPUTED_VALUE"""),"5.21")</f>
        <v/>
      </c>
      <c r="T16" s="442">
        <f>IFERROR(__xludf.DUMMYFUNCTION("""COMPUTED_VALUE"""),"stop有:1回目：1.78
stop有:2回目：3.34
stop無:3回目 3.76
stop無:4回目 3.92
stop無:5回目 4.09
stop無:6回目 4.26
stop無:7回目 4.42")</f>
        <v/>
      </c>
      <c r="U16" s="444">
        <f>IFERROR(__xludf.DUMMYFUNCTION("""COMPUTED_VALUE"""),45922.458333333336)</f>
        <v/>
      </c>
      <c r="V16" s="444">
        <f>IFERROR(__xludf.DUMMYFUNCTION("""COMPUTED_VALUE"""),390812.49998842593)</f>
        <v/>
      </c>
      <c r="W16" s="438">
        <f>IFERROR(__xludf.DUMMYFUNCTION("""COMPUTED_VALUE"""),"catchcopy_character_chara_dan_00002.png")</f>
        <v/>
      </c>
      <c r="X16" s="438">
        <f>IFERROR(__xludf.DUMMYFUNCTION("""COMPUTED_VALUE"""),"enemy_icon_chara_dan_00002")</f>
        <v/>
      </c>
      <c r="Y16" s="438">
        <f>IFERROR(__xludf.DUMMYFUNCTION("""COMPUTED_VALUE"""),"boss_icon_chara_dan_00002")</f>
        <v/>
      </c>
      <c r="Z16" s="438" t="n"/>
      <c r="AA16" s="439">
        <f>IFERROR(__xludf.DUMMYFUNCTION("""COMPUTED_VALUE"""),"chara_dan_00002_special")</f>
        <v/>
      </c>
    </row>
    <row r="17">
      <c r="A17" s="439">
        <f>IFERROR(__xludf.DUMMYFUNCTION("""COMPUTED_VALUE"""),"dan")</f>
        <v/>
      </c>
      <c r="B17" s="435">
        <f>IFERROR(__xludf.DUMMYFUNCTION("""COMPUTED_VALUE"""),"ダンダダン")</f>
        <v/>
      </c>
      <c r="C17" s="436">
        <f>IFERROR(__xludf.DUMMYFUNCTION("""COMPUTED_VALUE"""),"00101")</f>
        <v/>
      </c>
      <c r="D17" s="437">
        <f>IFERROR(__xludf.DUMMYFUNCTION("""COMPUTED_VALUE"""),"chara_dan_00101")</f>
        <v/>
      </c>
      <c r="E17" s="437">
        <f>IFERROR(__xludf.DUMMYFUNCTION("""COMPUTED_VALUE"""),"モモ")</f>
        <v/>
      </c>
      <c r="F17" s="439">
        <f>IFERROR(__xludf.DUMMYFUNCTION("""COMPUTED_VALUE"""),"モモ")</f>
        <v/>
      </c>
      <c r="G17" s="439">
        <f>IFERROR(__xludf.DUMMYFUNCTION("""COMPUTED_VALUE"""),"おっしゃあ いけえ!!")</f>
        <v/>
      </c>
      <c r="H17" s="439">
        <f>IFERROR(__xludf.DUMMYFUNCTION("""COMPUTED_VALUE"""),"SSR")</f>
        <v/>
      </c>
      <c r="I17" s="439">
        <f>IFERROR(__xludf.DUMMYFUNCTION("""COMPUTED_VALUE"""),"PremiumSSR")</f>
        <v/>
      </c>
      <c r="J17" s="439">
        <f>IFERROR(__xludf.DUMMYFUNCTION("""COMPUTED_VALUE"""),"赤")</f>
        <v/>
      </c>
      <c r="K17" s="439">
        <f>IFERROR(__xludf.DUMMYFUNCTION("""COMPUTED_VALUE"""),"chara")</f>
        <v/>
      </c>
      <c r="L17" s="438">
        <f>IFERROR(__xludf.DUMMYFUNCTION("""COMPUTED_VALUE"""),"アタック")</f>
        <v/>
      </c>
      <c r="M17" s="436">
        <f>IFERROR(__xludf.DUMMYFUNCTION("""COMPUTED_VALUE"""),"dageki_1")</f>
        <v/>
      </c>
      <c r="N17" s="440">
        <f>IFERROR(__xludf.DUMMYFUNCTION("""COMPUTED_VALUE"""),"Middle")</f>
        <v/>
      </c>
      <c r="O17" s="440">
        <f>IFERROR(__xludf.DUMMYFUNCTION("""COMPUTED_VALUE"""),"dageki_1")</f>
        <v/>
      </c>
      <c r="P17" s="440">
        <f>IFERROR(__xludf.DUMMYFUNCTION("""COMPUTED_VALUE"""),"00101")</f>
        <v/>
      </c>
      <c r="Q17" s="440">
        <f>IFERROR(__xludf.DUMMYFUNCTION("""COMPUTED_VALUE"""),"1.00")</f>
        <v/>
      </c>
      <c r="R17" s="441">
        <f>IFERROR(__xludf.DUMMYFUNCTION("""COMPUTED_VALUE"""),"0.50")</f>
        <v/>
      </c>
      <c r="S17" s="441">
        <f>IFERROR(__xludf.DUMMYFUNCTION("""COMPUTED_VALUE"""),"2.00")</f>
        <v/>
      </c>
      <c r="T17" s="442">
        <f>IFERROR(__xludf.DUMMYFUNCTION("""COMPUTED_VALUE"""),"1.00")</f>
        <v/>
      </c>
      <c r="U17" s="444">
        <f>IFERROR(__xludf.DUMMYFUNCTION("""COMPUTED_VALUE"""),45922.458333333336)</f>
        <v/>
      </c>
      <c r="V17" s="444">
        <f>IFERROR(__xludf.DUMMYFUNCTION("""COMPUTED_VALUE"""),390812.49998842593)</f>
        <v/>
      </c>
      <c r="W17" s="438">
        <f>IFERROR(__xludf.DUMMYFUNCTION("""COMPUTED_VALUE"""),"catchcopy_character_chara_dan_00101.png")</f>
        <v/>
      </c>
      <c r="X17" s="438">
        <f>IFERROR(__xludf.DUMMYFUNCTION("""COMPUTED_VALUE"""),"enemy_icon_chara_dan_00101")</f>
        <v/>
      </c>
      <c r="Y17" s="438">
        <f>IFERROR(__xludf.DUMMYFUNCTION("""COMPUTED_VALUE"""),"boss_icon_chara_dan_00101")</f>
        <v/>
      </c>
      <c r="Z17" s="438">
        <f>IFERROR(__xludf.DUMMYFUNCTION("""COMPUTED_VALUE"""),"chara_dan_00101_normal")</f>
        <v/>
      </c>
      <c r="AA17" s="439">
        <f>IFERROR(__xludf.DUMMYFUNCTION("""COMPUTED_VALUE"""),"chara_dan_00101_special")</f>
        <v/>
      </c>
    </row>
    <row r="18">
      <c r="A18" s="439">
        <f>IFERROR(__xludf.DUMMYFUNCTION("""COMPUTED_VALUE"""),"dan")</f>
        <v/>
      </c>
      <c r="B18" s="435">
        <f>IFERROR(__xludf.DUMMYFUNCTION("""COMPUTED_VALUE"""),"ダンダダン")</f>
        <v/>
      </c>
      <c r="C18" s="436">
        <f>IFERROR(__xludf.DUMMYFUNCTION("""COMPUTED_VALUE"""),"00201")</f>
        <v/>
      </c>
      <c r="D18" s="437">
        <f>IFERROR(__xludf.DUMMYFUNCTION("""COMPUTED_VALUE"""),"chara_dan_00201")</f>
        <v/>
      </c>
      <c r="E18" s="437">
        <f>IFERROR(__xludf.DUMMYFUNCTION("""COMPUTED_VALUE"""),"アイラ")</f>
        <v/>
      </c>
      <c r="F18" s="439">
        <f>IFERROR(__xludf.DUMMYFUNCTION("""COMPUTED_VALUE"""),"アイラ")</f>
        <v/>
      </c>
      <c r="G18" s="439">
        <f>IFERROR(__xludf.DUMMYFUNCTION("""COMPUTED_VALUE"""),"私って美女すぎる")</f>
        <v/>
      </c>
      <c r="H18" s="439">
        <f>IFERROR(__xludf.DUMMYFUNCTION("""COMPUTED_VALUE"""),"SR")</f>
        <v/>
      </c>
      <c r="I18" s="439">
        <f>IFERROR(__xludf.DUMMYFUNCTION("""COMPUTED_VALUE"""),"DropSR")</f>
        <v/>
      </c>
      <c r="J18" s="439">
        <f>IFERROR(__xludf.DUMMYFUNCTION("""COMPUTED_VALUE"""),"青")</f>
        <v/>
      </c>
      <c r="K18" s="439">
        <f>IFERROR(__xludf.DUMMYFUNCTION("""COMPUTED_VALUE"""),"chara")</f>
        <v/>
      </c>
      <c r="L18" s="438">
        <f>IFERROR(__xludf.DUMMYFUNCTION("""COMPUTED_VALUE"""),"サポート")</f>
        <v/>
      </c>
      <c r="M18" s="436">
        <f>IFERROR(__xludf.DUMMYFUNCTION("""COMPUTED_VALUE"""),"dageki_2")</f>
        <v/>
      </c>
      <c r="N18" s="440">
        <f>IFERROR(__xludf.DUMMYFUNCTION("""COMPUTED_VALUE"""),"Short")</f>
        <v/>
      </c>
      <c r="O18" s="440">
        <f>IFERROR(__xludf.DUMMYFUNCTION("""COMPUTED_VALUE"""),"-")</f>
        <v/>
      </c>
      <c r="P18" s="440">
        <f>IFERROR(__xludf.DUMMYFUNCTION("""COMPUTED_VALUE"""),"00201")</f>
        <v/>
      </c>
      <c r="Q18" s="440">
        <f>IFERROR(__xludf.DUMMYFUNCTION("""COMPUTED_VALUE"""),"1.5")</f>
        <v/>
      </c>
      <c r="R18" s="441">
        <f>IFERROR(__xludf.DUMMYFUNCTION("""COMPUTED_VALUE"""),"stop有:1回目 0.43")</f>
        <v/>
      </c>
      <c r="S18" s="441">
        <f>IFERROR(__xludf.DUMMYFUNCTION("""COMPUTED_VALUE"""),"2.50")</f>
        <v/>
      </c>
      <c r="T18" s="442">
        <f>IFERROR(__xludf.DUMMYFUNCTION("""COMPUTED_VALUE"""),"stop無:1回目：1.33")</f>
        <v/>
      </c>
      <c r="U18" s="443">
        <f>IFERROR(__xludf.DUMMYFUNCTION("""COMPUTED_VALUE"""),45952.625)</f>
        <v/>
      </c>
      <c r="V18" s="444">
        <f>IFERROR(__xludf.DUMMYFUNCTION("""COMPUTED_VALUE"""),390812.49998842593)</f>
        <v/>
      </c>
      <c r="W18" s="438">
        <f>IFERROR(__xludf.DUMMYFUNCTION("""COMPUTED_VALUE"""),"catchcopy_character_chara_dan_00201.png")</f>
        <v/>
      </c>
      <c r="X18" s="438">
        <f>IFERROR(__xludf.DUMMYFUNCTION("""COMPUTED_VALUE"""),"enemy_icon_chara_dan_00201")</f>
        <v/>
      </c>
      <c r="Y18" s="438">
        <f>IFERROR(__xludf.DUMMYFUNCTION("""COMPUTED_VALUE"""),"boss_icon_chara_dan_00201")</f>
        <v/>
      </c>
      <c r="Z18" s="438">
        <f>IFERROR(__xludf.DUMMYFUNCTION("""COMPUTED_VALUE"""),"chara_dan_00201_normal")</f>
        <v/>
      </c>
      <c r="AA18" s="439">
        <f>IFERROR(__xludf.DUMMYFUNCTION("""COMPUTED_VALUE"""),"chara_dan_00201_special")</f>
        <v/>
      </c>
    </row>
    <row r="19">
      <c r="A19" s="439">
        <f>IFERROR(__xludf.DUMMYFUNCTION("""COMPUTED_VALUE"""),"dan")</f>
        <v/>
      </c>
      <c r="B19" s="435">
        <f>IFERROR(__xludf.DUMMYFUNCTION("""COMPUTED_VALUE"""),"ダンダダン")</f>
        <v/>
      </c>
      <c r="C19" s="436">
        <f>IFERROR(__xludf.DUMMYFUNCTION("""COMPUTED_VALUE"""),"00202")</f>
        <v/>
      </c>
      <c r="D19" s="437">
        <f>IFERROR(__xludf.DUMMYFUNCTION("""COMPUTED_VALUE"""),"chara_dan_00202")</f>
        <v/>
      </c>
      <c r="E19" s="437">
        <f>IFERROR(__xludf.DUMMYFUNCTION("""COMPUTED_VALUE"""),"アクさらの愛 アイラ")</f>
        <v/>
      </c>
      <c r="F19" s="439">
        <f>IFERROR(__xludf.DUMMYFUNCTION("""COMPUTED_VALUE"""),"アクさらの愛 アイラ")</f>
        <v/>
      </c>
      <c r="G19" s="439">
        <f>IFERROR(__xludf.DUMMYFUNCTION("""COMPUTED_VALUE"""),"お放しなさい!!")</f>
        <v/>
      </c>
      <c r="H19" s="439">
        <f>IFERROR(__xludf.DUMMYFUNCTION("""COMPUTED_VALUE"""),"UR")</f>
        <v/>
      </c>
      <c r="I19" s="439">
        <f>IFERROR(__xludf.DUMMYFUNCTION("""COMPUTED_VALUE"""),"PremiumUR")</f>
        <v/>
      </c>
      <c r="J19" s="439">
        <f>IFERROR(__xludf.DUMMYFUNCTION("""COMPUTED_VALUE"""),"緑")</f>
        <v/>
      </c>
      <c r="K19" s="439">
        <f>IFERROR(__xludf.DUMMYFUNCTION("""COMPUTED_VALUE"""),"chara")</f>
        <v/>
      </c>
      <c r="L19" s="438">
        <f>IFERROR(__xludf.DUMMYFUNCTION("""COMPUTED_VALUE"""),"アタック")</f>
        <v/>
      </c>
      <c r="M19" s="436">
        <f>IFERROR(__xludf.DUMMYFUNCTION("""COMPUTED_VALUE"""),"dageki_1")</f>
        <v/>
      </c>
      <c r="N19" s="440">
        <f>IFERROR(__xludf.DUMMYFUNCTION("""COMPUTED_VALUE"""),"Middle")</f>
        <v/>
      </c>
      <c r="O19" s="440">
        <f>IFERROR(__xludf.DUMMYFUNCTION("""COMPUTED_VALUE"""),"dageki_1")</f>
        <v/>
      </c>
      <c r="P19" s="440">
        <f>IFERROR(__xludf.DUMMYFUNCTION("""COMPUTED_VALUE"""),"00202")</f>
        <v/>
      </c>
      <c r="Q19" s="440">
        <f>IFERROR(__xludf.DUMMYFUNCTION("""COMPUTED_VALUE"""),"1.37")</f>
        <v/>
      </c>
      <c r="R19" s="441">
        <f>IFERROR(__xludf.DUMMYFUNCTION("""COMPUTED_VALUE"""),"0.45")</f>
        <v/>
      </c>
      <c r="S19" s="441">
        <f>IFERROR(__xludf.DUMMYFUNCTION("""COMPUTED_VALUE"""),"2.44")</f>
        <v/>
      </c>
      <c r="T19" s="442">
        <f>IFERROR(__xludf.DUMMYFUNCTION("""COMPUTED_VALUE"""),"stop無:1回目:0.30
stop無:2回目:0.65
stop有:3回目:1.05")</f>
        <v/>
      </c>
      <c r="U19" s="443">
        <f>IFERROR(__xludf.DUMMYFUNCTION("""COMPUTED_VALUE"""),45952.625)</f>
        <v/>
      </c>
      <c r="V19" s="444">
        <f>IFERROR(__xludf.DUMMYFUNCTION("""COMPUTED_VALUE"""),390812.49998842593)</f>
        <v/>
      </c>
      <c r="W19" s="438">
        <f>IFERROR(__xludf.DUMMYFUNCTION("""COMPUTED_VALUE"""),"catchcopy_character_chara_dan_00202.png")</f>
        <v/>
      </c>
      <c r="X19" s="438">
        <f>IFERROR(__xludf.DUMMYFUNCTION("""COMPUTED_VALUE"""),"enemy_icon_chara_dan_00202")</f>
        <v/>
      </c>
      <c r="Y19" s="438">
        <f>IFERROR(__xludf.DUMMYFUNCTION("""COMPUTED_VALUE"""),"boss_icon_chara_dan_00202")</f>
        <v/>
      </c>
      <c r="Z19" s="438">
        <f>IFERROR(__xludf.DUMMYFUNCTION("""COMPUTED_VALUE"""),"chara_dan_00202_normal")</f>
        <v/>
      </c>
      <c r="AA19" s="439">
        <f>IFERROR(__xludf.DUMMYFUNCTION("""COMPUTED_VALUE"""),"chara_dan_00202_special")</f>
        <v/>
      </c>
    </row>
    <row r="20">
      <c r="A20" s="439">
        <f>IFERROR(__xludf.DUMMYFUNCTION("""COMPUTED_VALUE"""),"dan")</f>
        <v/>
      </c>
      <c r="B20" s="435">
        <f>IFERROR(__xludf.DUMMYFUNCTION("""COMPUTED_VALUE"""),"ダンダダン")</f>
        <v/>
      </c>
      <c r="C20" s="436">
        <f>IFERROR(__xludf.DUMMYFUNCTION("""COMPUTED_VALUE"""),"00301")</f>
        <v/>
      </c>
      <c r="D20" s="437">
        <f>IFERROR(__xludf.DUMMYFUNCTION("""COMPUTED_VALUE"""),"chara_dan_00301")</f>
        <v/>
      </c>
      <c r="E20" s="437">
        <f>IFERROR(__xludf.DUMMYFUNCTION("""COMPUTED_VALUE"""),"招き猫 ターボババア")</f>
        <v/>
      </c>
      <c r="F20" s="439">
        <f>IFERROR(__xludf.DUMMYFUNCTION("""COMPUTED_VALUE"""),"招き猫 ターボババア")</f>
        <v/>
      </c>
      <c r="G20" s="439">
        <f>IFERROR(__xludf.DUMMYFUNCTION("""COMPUTED_VALUE"""),"クソだらあ!!")</f>
        <v/>
      </c>
      <c r="H20" s="439">
        <f>IFERROR(__xludf.DUMMYFUNCTION("""COMPUTED_VALUE"""),"SR")</f>
        <v/>
      </c>
      <c r="I20" s="439">
        <f>IFERROR(__xludf.DUMMYFUNCTION("""COMPUTED_VALUE"""),"DropSR")</f>
        <v/>
      </c>
      <c r="J20" s="439">
        <f>IFERROR(__xludf.DUMMYFUNCTION("""COMPUTED_VALUE"""),"黄")</f>
        <v/>
      </c>
      <c r="K20" s="439">
        <f>IFERROR(__xludf.DUMMYFUNCTION("""COMPUTED_VALUE"""),"chara")</f>
        <v/>
      </c>
      <c r="L20" s="438">
        <f>IFERROR(__xludf.DUMMYFUNCTION("""COMPUTED_VALUE"""),"ディフェンス")</f>
        <v/>
      </c>
      <c r="M20" s="436">
        <f>IFERROR(__xludf.DUMMYFUNCTION("""COMPUTED_VALUE"""),"dageki_1")</f>
        <v/>
      </c>
      <c r="N20" s="449">
        <f>IFERROR(__xludf.DUMMYFUNCTION("""COMPUTED_VALUE"""),"Short")</f>
        <v/>
      </c>
      <c r="O20" s="449">
        <f>IFERROR(__xludf.DUMMYFUNCTION("""COMPUTED_VALUE"""),"-")</f>
        <v/>
      </c>
      <c r="P20" s="450">
        <f>IFERROR(__xludf.DUMMYFUNCTION("""COMPUTED_VALUE"""),"00301")</f>
        <v/>
      </c>
      <c r="Q20" s="450">
        <f>IFERROR(__xludf.DUMMYFUNCTION("""COMPUTED_VALUE"""),"1.60")</f>
        <v/>
      </c>
      <c r="R20" s="441">
        <f>IFERROR(__xludf.DUMMYFUNCTION("""COMPUTED_VALUE"""),"stop無:1回目 0.38
stop無:2回目 0.83
stop無:3回目 1.16")</f>
        <v/>
      </c>
      <c r="S20" s="441">
        <f>IFERROR(__xludf.DUMMYFUNCTION("""COMPUTED_VALUE"""),"1.83")</f>
        <v/>
      </c>
      <c r="T20" s="442">
        <f>IFERROR(__xludf.DUMMYFUNCTION("""COMPUTED_VALUE"""),"stop無:1回目：0.30")</f>
        <v/>
      </c>
      <c r="U20" s="443">
        <f>IFERROR(__xludf.DUMMYFUNCTION("""COMPUTED_VALUE"""),45952.625)</f>
        <v/>
      </c>
      <c r="V20" s="444">
        <f>IFERROR(__xludf.DUMMYFUNCTION("""COMPUTED_VALUE"""),390812.49998842593)</f>
        <v/>
      </c>
      <c r="W20" s="438">
        <f>IFERROR(__xludf.DUMMYFUNCTION("""COMPUTED_VALUE"""),"catchcopy_character_chara_dan_00301.png")</f>
        <v/>
      </c>
      <c r="X20" s="438">
        <f>IFERROR(__xludf.DUMMYFUNCTION("""COMPUTED_VALUE"""),"enemy_icon_chara_dan_00301")</f>
        <v/>
      </c>
      <c r="Y20" s="438">
        <f>IFERROR(__xludf.DUMMYFUNCTION("""COMPUTED_VALUE"""),"boss_icon_chara_dan_00301")</f>
        <v/>
      </c>
      <c r="Z20" s="438">
        <f>IFERROR(__xludf.DUMMYFUNCTION("""COMPUTED_VALUE"""),"chara_dan_00301_normal")</f>
        <v/>
      </c>
      <c r="AA20" s="439">
        <f>IFERROR(__xludf.DUMMYFUNCTION("""COMPUTED_VALUE"""),"chara_dan_00301_special")</f>
        <v/>
      </c>
    </row>
    <row r="21">
      <c r="A21" s="439">
        <f>IFERROR(__xludf.DUMMYFUNCTION("""COMPUTED_VALUE"""),"dan")</f>
        <v/>
      </c>
      <c r="B21" s="435">
        <f>IFERROR(__xludf.DUMMYFUNCTION("""COMPUTED_VALUE"""),"ダンダダン")</f>
        <v/>
      </c>
      <c r="C21" s="436">
        <f>IFERROR(__xludf.DUMMYFUNCTION("""COMPUTED_VALUE"""),"00501")</f>
        <v/>
      </c>
      <c r="D21" s="437">
        <f>IFERROR(__xludf.DUMMYFUNCTION("""COMPUTED_VALUE"""),"chara_dan_00501")</f>
        <v/>
      </c>
      <c r="E21" s="437">
        <f>IFERROR(__xludf.DUMMYFUNCTION("""COMPUTED_VALUE"""),"坂田 金太")</f>
        <v/>
      </c>
      <c r="F21" s="439">
        <f>IFERROR(__xludf.DUMMYFUNCTION("""COMPUTED_VALUE"""),"選定中")</f>
        <v/>
      </c>
      <c r="G21" s="439" t="n"/>
      <c r="H21" s="439">
        <f>IFERROR(__xludf.DUMMYFUNCTION("""COMPUTED_VALUE"""),"SSR")</f>
        <v/>
      </c>
      <c r="I21" s="439">
        <f>IFERROR(__xludf.DUMMYFUNCTION("""COMPUTED_VALUE"""),"DropSSR")</f>
        <v/>
      </c>
      <c r="J21" s="439">
        <f>IFERROR(__xludf.DUMMYFUNCTION("""COMPUTED_VALUE"""),"青")</f>
        <v/>
      </c>
      <c r="K21" s="439">
        <f>IFERROR(__xludf.DUMMYFUNCTION("""COMPUTED_VALUE"""),"chara")</f>
        <v/>
      </c>
      <c r="L21" s="438">
        <f>IFERROR(__xludf.DUMMYFUNCTION("""COMPUTED_VALUE"""),"ディフェンス")</f>
        <v/>
      </c>
      <c r="M21" s="436">
        <f>IFERROR(__xludf.DUMMYFUNCTION("""COMPUTED_VALUE"""),"dageki_2")</f>
        <v/>
      </c>
      <c r="N21" s="440">
        <f>IFERROR(__xludf.DUMMYFUNCTION("""COMPUTED_VALUE"""),"Short")</f>
        <v/>
      </c>
      <c r="O21" s="440">
        <f>IFERROR(__xludf.DUMMYFUNCTION("""COMPUTED_VALUE"""),"dageki_1")</f>
        <v/>
      </c>
      <c r="P21" s="440" t="n"/>
      <c r="Q21" s="440">
        <f>IFERROR(__xludf.DUMMYFUNCTION("""COMPUTED_VALUE"""),"1.6")</f>
        <v/>
      </c>
      <c r="R21" s="441">
        <f>IFERROR(__xludf.DUMMYFUNCTION("""COMPUTED_VALUE"""),"0.92")</f>
        <v/>
      </c>
      <c r="S21" s="441">
        <f>IFERROR(__xludf.DUMMYFUNCTION("""COMPUTED_VALUE"""),"2.67")</f>
        <v/>
      </c>
      <c r="T21" s="442">
        <f>IFERROR(__xludf.DUMMYFUNCTION("""COMPUTED_VALUE"""),"stop有:1.05")</f>
        <v/>
      </c>
      <c r="U21" s="443">
        <f>IFERROR(__xludf.DUMMYFUNCTION("""COMPUTED_VALUE"""),"実装未定")</f>
        <v/>
      </c>
      <c r="V21" s="444">
        <f>IFERROR(__xludf.DUMMYFUNCTION("""COMPUTED_VALUE"""),390812.49998842593)</f>
        <v/>
      </c>
      <c r="W21" s="438">
        <f>IFERROR(__xludf.DUMMYFUNCTION("""COMPUTED_VALUE"""),"catchcopy_character_chara_dan_00501.png")</f>
        <v/>
      </c>
      <c r="X21" s="438">
        <f>IFERROR(__xludf.DUMMYFUNCTION("""COMPUTED_VALUE"""),"enemy_icon_chara_dan_00501")</f>
        <v/>
      </c>
      <c r="Y21" s="438">
        <f>IFERROR(__xludf.DUMMYFUNCTION("""COMPUTED_VALUE"""),"boss_icon_chara_dan_00501")</f>
        <v/>
      </c>
      <c r="Z21" s="438" t="n"/>
      <c r="AA21" s="439" t="n"/>
    </row>
    <row r="22">
      <c r="A22" s="452">
        <f>IFERROR(__xludf.DUMMYFUNCTION("""COMPUTED_VALUE"""),"dan")</f>
        <v/>
      </c>
      <c r="B22" s="452">
        <f>IFERROR(__xludf.DUMMYFUNCTION("""COMPUTED_VALUE"""),"ダンダダン")</f>
        <v/>
      </c>
      <c r="C22" s="453">
        <f>IFERROR(__xludf.DUMMYFUNCTION("""COMPUTED_VALUE"""),"00601")</f>
        <v/>
      </c>
      <c r="D22" s="454">
        <f>IFERROR(__xludf.DUMMYFUNCTION("""COMPUTED_VALUE"""),"chara_dan_00601")</f>
        <v/>
      </c>
      <c r="E22" s="454">
        <f>IFERROR(__xludf.DUMMYFUNCTION("""COMPUTED_VALUE"""),"星子")</f>
        <v/>
      </c>
      <c r="F22" s="455">
        <f>IFERROR(__xludf.DUMMYFUNCTION("""COMPUTED_VALUE"""),"選定中")</f>
        <v/>
      </c>
      <c r="G22" s="455" t="n"/>
      <c r="H22" s="438">
        <f>IFERROR(__xludf.DUMMYFUNCTION("""COMPUTED_VALUE"""),"UR")</f>
        <v/>
      </c>
      <c r="I22" s="439">
        <f>IFERROR(__xludf.DUMMYFUNCTION("""COMPUTED_VALUE"""),"PremiumUR")</f>
        <v/>
      </c>
      <c r="J22" s="438">
        <f>IFERROR(__xludf.DUMMYFUNCTION("""COMPUTED_VALUE"""),"黄")</f>
        <v/>
      </c>
      <c r="K22" s="455">
        <f>IFERROR(__xludf.DUMMYFUNCTION("""COMPUTED_VALUE"""),"chara")</f>
        <v/>
      </c>
      <c r="L22" s="455">
        <f>IFERROR(__xludf.DUMMYFUNCTION("""COMPUTED_VALUE"""),"サポート")</f>
        <v/>
      </c>
      <c r="M22" s="436">
        <f>IFERROR(__xludf.DUMMYFUNCTION("""COMPUTED_VALUE"""),"dageki_1")</f>
        <v/>
      </c>
      <c r="N22" s="456">
        <f>IFERROR(__xludf.DUMMYFUNCTION("""COMPUTED_VALUE"""),"Short")</f>
        <v/>
      </c>
      <c r="O22" s="456">
        <f>IFERROR(__xludf.DUMMYFUNCTION("""COMPUTED_VALUE"""),"-")</f>
        <v/>
      </c>
      <c r="P22" s="456" t="n"/>
      <c r="Q22" s="456">
        <f>IFERROR(__xludf.DUMMYFUNCTION("""COMPUTED_VALUE"""),"1.37")</f>
        <v/>
      </c>
      <c r="R22" s="457">
        <f>IFERROR(__xludf.DUMMYFUNCTION("""COMPUTED_VALUE"""),"stop有:0.50")</f>
        <v/>
      </c>
      <c r="S22" s="457">
        <f>IFERROR(__xludf.DUMMYFUNCTION("""COMPUTED_VALUE"""),"2.5")</f>
        <v/>
      </c>
      <c r="T22" s="453">
        <f>IFERROR(__xludf.DUMMYFUNCTION("""COMPUTED_VALUE"""),"stop無:1.57")</f>
        <v/>
      </c>
      <c r="U22" s="458">
        <f>IFERROR(__xludf.DUMMYFUNCTION("""COMPUTED_VALUE"""),"ハーフアニバ想定")</f>
        <v/>
      </c>
      <c r="V22" s="459">
        <f>IFERROR(__xludf.DUMMYFUNCTION("""COMPUTED_VALUE"""),390812.49998842593)</f>
        <v/>
      </c>
      <c r="W22" s="455">
        <f>IFERROR(__xludf.DUMMYFUNCTION("""COMPUTED_VALUE"""),"catchcopy_character_chara_dan_00601.png")</f>
        <v/>
      </c>
      <c r="X22" s="455">
        <f>IFERROR(__xludf.DUMMYFUNCTION("""COMPUTED_VALUE"""),"enemy_icon_chara_dan_00601")</f>
        <v/>
      </c>
      <c r="Y22" s="455">
        <f>IFERROR(__xludf.DUMMYFUNCTION("""COMPUTED_VALUE"""),"boss_icon_chara_dan_00601")</f>
        <v/>
      </c>
      <c r="Z22" s="455" t="n"/>
      <c r="AA22" s="452" t="n"/>
    </row>
    <row r="23">
      <c r="A23" s="439">
        <f>IFERROR(__xludf.DUMMYFUNCTION("""COMPUTED_VALUE"""),"dan")</f>
        <v/>
      </c>
      <c r="B23" s="435">
        <f>IFERROR(__xludf.DUMMYFUNCTION("""COMPUTED_VALUE"""),"ダンダダン")</f>
        <v/>
      </c>
      <c r="C23" s="436">
        <f>IFERROR(__xludf.DUMMYFUNCTION("""COMPUTED_VALUE"""),"00701")</f>
        <v/>
      </c>
      <c r="D23" s="437">
        <f>IFERROR(__xludf.DUMMYFUNCTION("""COMPUTED_VALUE"""),"chara_dan_00701")</f>
        <v/>
      </c>
      <c r="E23" s="437">
        <f>IFERROR(__xludf.DUMMYFUNCTION("""COMPUTED_VALUE"""),"オカルン＆ターボババア")</f>
        <v/>
      </c>
      <c r="F23" s="439">
        <f>IFERROR(__xludf.DUMMYFUNCTION("""COMPUTED_VALUE"""),"選定中")</f>
        <v/>
      </c>
      <c r="G23" s="439" t="n"/>
      <c r="H23" s="438">
        <f>IFERROR(__xludf.DUMMYFUNCTION("""COMPUTED_VALUE"""),"UR")</f>
        <v/>
      </c>
      <c r="I23" s="439">
        <f>IFERROR(__xludf.DUMMYFUNCTION("""COMPUTED_VALUE"""),"FestivalUR")</f>
        <v/>
      </c>
      <c r="J23" s="438">
        <f>IFERROR(__xludf.DUMMYFUNCTION("""COMPUTED_VALUE"""),"黄")</f>
        <v/>
      </c>
      <c r="K23" s="438">
        <f>IFERROR(__xludf.DUMMYFUNCTION("""COMPUTED_VALUE"""),"chara")</f>
        <v/>
      </c>
      <c r="L23" s="438">
        <f>IFERROR(__xludf.DUMMYFUNCTION("""COMPUTED_VALUE"""),"テクニカル")</f>
        <v/>
      </c>
      <c r="M23" s="447" t="n"/>
      <c r="N23" s="440" t="n"/>
      <c r="O23" s="440" t="n"/>
      <c r="P23" s="440" t="n"/>
      <c r="Q23" s="440" t="n"/>
      <c r="R23" s="441" t="n"/>
      <c r="S23" s="441" t="n"/>
      <c r="T23" s="460" t="n"/>
      <c r="U23" s="448" t="n"/>
      <c r="V23" s="448" t="n"/>
      <c r="W23" s="438" t="n"/>
      <c r="X23" s="438" t="n"/>
      <c r="Y23" s="438" t="n"/>
      <c r="Z23" s="438" t="n"/>
      <c r="AA23" s="439" t="n"/>
    </row>
    <row r="24">
      <c r="A24" s="439">
        <f>IFERROR(__xludf.DUMMYFUNCTION("""COMPUTED_VALUE"""),"gom")</f>
        <v/>
      </c>
      <c r="B24" s="435">
        <f>IFERROR(__xludf.DUMMYFUNCTION("""COMPUTED_VALUE"""),"姫様“拷問”の時間です")</f>
        <v/>
      </c>
      <c r="C24" s="436">
        <f>IFERROR(__xludf.DUMMYFUNCTION("""COMPUTED_VALUE"""),"00001")</f>
        <v/>
      </c>
      <c r="D24" s="437">
        <f>IFERROR(__xludf.DUMMYFUNCTION("""COMPUTED_VALUE"""),"chara_gom_00001")</f>
        <v/>
      </c>
      <c r="E24" s="437">
        <f>IFERROR(__xludf.DUMMYFUNCTION("""COMPUTED_VALUE"""),"囚われの王女 姫様")</f>
        <v/>
      </c>
      <c r="F24" s="439">
        <f>IFERROR(__xludf.DUMMYFUNCTION("""COMPUTED_VALUE"""),"囚われの王女 姫様")</f>
        <v/>
      </c>
      <c r="G24" s="439">
        <f>IFERROR(__xludf.DUMMYFUNCTION("""COMPUTED_VALUE"""),"決して屈しない！")</f>
        <v/>
      </c>
      <c r="H24" s="438">
        <f>IFERROR(__xludf.DUMMYFUNCTION("""COMPUTED_VALUE"""),"UR")</f>
        <v/>
      </c>
      <c r="I24" s="439">
        <f>IFERROR(__xludf.DUMMYFUNCTION("""COMPUTED_VALUE"""),"PremiumUR")</f>
        <v/>
      </c>
      <c r="J24" s="438">
        <f>IFERROR(__xludf.DUMMYFUNCTION("""COMPUTED_VALUE"""),"緑")</f>
        <v/>
      </c>
      <c r="K24" s="438">
        <f>IFERROR(__xludf.DUMMYFUNCTION("""COMPUTED_VALUE"""),"chara")</f>
        <v/>
      </c>
      <c r="L24" s="438">
        <f>IFERROR(__xludf.DUMMYFUNCTION("""COMPUTED_VALUE"""),"ディフェンス")</f>
        <v/>
      </c>
      <c r="M24" s="447">
        <f>IFERROR(__xludf.DUMMYFUNCTION("""COMPUTED_VALUE"""),"dageki_1")</f>
        <v/>
      </c>
      <c r="N24" s="440">
        <f>IFERROR(__xludf.DUMMYFUNCTION("""COMPUTED_VALUE"""),"Short")</f>
        <v/>
      </c>
      <c r="O24" s="440">
        <f>IFERROR(__xludf.DUMMYFUNCTION("""COMPUTED_VALUE"""),"-")</f>
        <v/>
      </c>
      <c r="P24" s="440">
        <f>IFERROR(__xludf.DUMMYFUNCTION("""COMPUTED_VALUE"""),"00001")</f>
        <v/>
      </c>
      <c r="Q24" s="440">
        <f>IFERROR(__xludf.DUMMYFUNCTION("""COMPUTED_VALUE"""),"1.30")</f>
        <v/>
      </c>
      <c r="R24" s="441">
        <f>IFERROR(__xludf.DUMMYFUNCTION("""COMPUTED_VALUE"""),"stop有:1回目 0.50")</f>
        <v/>
      </c>
      <c r="S24" s="441">
        <f>IFERROR(__xludf.DUMMYFUNCTION("""COMPUTED_VALUE"""),"4.00")</f>
        <v/>
      </c>
      <c r="T24" s="442">
        <f>IFERROR(__xludf.DUMMYFUNCTION("""COMPUTED_VALUE"""),"stop無:1回目 2.3")</f>
        <v/>
      </c>
      <c r="U24" s="444">
        <f>IFERROR(__xludf.DUMMYFUNCTION("""COMPUTED_VALUE"""),45922.458333333336)</f>
        <v/>
      </c>
      <c r="V24" s="444">
        <f>IFERROR(__xludf.DUMMYFUNCTION("""COMPUTED_VALUE"""),390812.49998842593)</f>
        <v/>
      </c>
      <c r="W24" s="438">
        <f>IFERROR(__xludf.DUMMYFUNCTION("""COMPUTED_VALUE"""),"catchcopy_character_chara_gom_00001.png")</f>
        <v/>
      </c>
      <c r="X24" s="438">
        <f>IFERROR(__xludf.DUMMYFUNCTION("""COMPUTED_VALUE"""),"enemy_icon_chara_gom_00001")</f>
        <v/>
      </c>
      <c r="Y24" s="438">
        <f>IFERROR(__xludf.DUMMYFUNCTION("""COMPUTED_VALUE"""),"boss_icon_chara_gom_00001")</f>
        <v/>
      </c>
      <c r="Z24" s="438">
        <f>IFERROR(__xludf.DUMMYFUNCTION("""COMPUTED_VALUE"""),"chara_gom_00001_normal")</f>
        <v/>
      </c>
      <c r="AA24" s="439">
        <f>IFERROR(__xludf.DUMMYFUNCTION("""COMPUTED_VALUE"""),"chara_gom_00001_special")</f>
        <v/>
      </c>
    </row>
    <row r="25">
      <c r="A25" s="439">
        <f>IFERROR(__xludf.DUMMYFUNCTION("""COMPUTED_VALUE"""),"gom")</f>
        <v/>
      </c>
      <c r="B25" s="435">
        <f>IFERROR(__xludf.DUMMYFUNCTION("""COMPUTED_VALUE"""),"姫様“拷問”の時間です")</f>
        <v/>
      </c>
      <c r="C25" s="436">
        <f>IFERROR(__xludf.DUMMYFUNCTION("""COMPUTED_VALUE"""),"00101")</f>
        <v/>
      </c>
      <c r="D25" s="437">
        <f>IFERROR(__xludf.DUMMYFUNCTION("""COMPUTED_VALUE"""),"chara_gom_00101")</f>
        <v/>
      </c>
      <c r="E25" s="437">
        <f>IFERROR(__xludf.DUMMYFUNCTION("""COMPUTED_VALUE"""),"トーチャー・トルチュール")</f>
        <v/>
      </c>
      <c r="F25" s="439">
        <f>IFERROR(__xludf.DUMMYFUNCTION("""COMPUTED_VALUE"""),"トーチャー・トルチュール")</f>
        <v/>
      </c>
      <c r="G25" s="439">
        <f>IFERROR(__xludf.DUMMYFUNCTION("""COMPUTED_VALUE"""),"“拷問”の時間です")</f>
        <v/>
      </c>
      <c r="H25" s="438">
        <f>IFERROR(__xludf.DUMMYFUNCTION("""COMPUTED_VALUE"""),"SR")</f>
        <v/>
      </c>
      <c r="I25" s="439">
        <f>IFERROR(__xludf.DUMMYFUNCTION("""COMPUTED_VALUE"""),"PremiumSR")</f>
        <v/>
      </c>
      <c r="J25" s="438">
        <f>IFERROR(__xludf.DUMMYFUNCTION("""COMPUTED_VALUE"""),"黄")</f>
        <v/>
      </c>
      <c r="K25" s="438">
        <f>IFERROR(__xludf.DUMMYFUNCTION("""COMPUTED_VALUE"""),"chara")</f>
        <v/>
      </c>
      <c r="L25" s="438">
        <f>IFERROR(__xludf.DUMMYFUNCTION("""COMPUTED_VALUE"""),"テクニカル")</f>
        <v/>
      </c>
      <c r="M25" s="447">
        <f>IFERROR(__xludf.DUMMYFUNCTION("""COMPUTED_VALUE"""),"dageki_2")</f>
        <v/>
      </c>
      <c r="N25" s="440">
        <f>IFERROR(__xludf.DUMMYFUNCTION("""COMPUTED_VALUE"""),"Short")</f>
        <v/>
      </c>
      <c r="O25" s="440">
        <f>IFERROR(__xludf.DUMMYFUNCTION("""COMPUTED_VALUE"""),"dageki_1")</f>
        <v/>
      </c>
      <c r="P25" s="440">
        <f>IFERROR(__xludf.DUMMYFUNCTION("""COMPUTED_VALUE"""),"00101")</f>
        <v/>
      </c>
      <c r="Q25" s="440">
        <f>IFERROR(__xludf.DUMMYFUNCTION("""COMPUTED_VALUE"""),"1.34")</f>
        <v/>
      </c>
      <c r="R25" s="441">
        <f>IFERROR(__xludf.DUMMYFUNCTION("""COMPUTED_VALUE"""),"stop無:1回目 0.43")</f>
        <v/>
      </c>
      <c r="S25" s="441">
        <f>IFERROR(__xludf.DUMMYFUNCTION("""COMPUTED_VALUE"""),"4.84")</f>
        <v/>
      </c>
      <c r="T25" s="442">
        <f>IFERROR(__xludf.DUMMYFUNCTION("""COMPUTED_VALUE"""),"stop無:1回目 3.00")</f>
        <v/>
      </c>
      <c r="U25" s="444">
        <f>IFERROR(__xludf.DUMMYFUNCTION("""COMPUTED_VALUE"""),45922.458333333336)</f>
        <v/>
      </c>
      <c r="V25" s="444">
        <f>IFERROR(__xludf.DUMMYFUNCTION("""COMPUTED_VALUE"""),390812.49998842593)</f>
        <v/>
      </c>
      <c r="W25" s="438">
        <f>IFERROR(__xludf.DUMMYFUNCTION("""COMPUTED_VALUE"""),"catchcopy_character_chara_gom_00101.png")</f>
        <v/>
      </c>
      <c r="X25" s="438">
        <f>IFERROR(__xludf.DUMMYFUNCTION("""COMPUTED_VALUE"""),"enemy_icon_chara_gom_00101")</f>
        <v/>
      </c>
      <c r="Y25" s="438">
        <f>IFERROR(__xludf.DUMMYFUNCTION("""COMPUTED_VALUE"""),"boss_icon_chara_gom_00101")</f>
        <v/>
      </c>
      <c r="Z25" s="438">
        <f>IFERROR(__xludf.DUMMYFUNCTION("""COMPUTED_VALUE"""),"chara_gom_00101_normal")</f>
        <v/>
      </c>
      <c r="AA25" s="439">
        <f>IFERROR(__xludf.DUMMYFUNCTION("""COMPUTED_VALUE"""),"chara_gom_00101_special")</f>
        <v/>
      </c>
    </row>
    <row r="26">
      <c r="A26" s="439">
        <f>IFERROR(__xludf.DUMMYFUNCTION("""COMPUTED_VALUE"""),"gom")</f>
        <v/>
      </c>
      <c r="B26" s="435">
        <f>IFERROR(__xludf.DUMMYFUNCTION("""COMPUTED_VALUE"""),"姫様“拷問”の時間です")</f>
        <v/>
      </c>
      <c r="C26" s="436">
        <f>IFERROR(__xludf.DUMMYFUNCTION("""COMPUTED_VALUE"""),"00201")</f>
        <v/>
      </c>
      <c r="D26" s="437">
        <f>IFERROR(__xludf.DUMMYFUNCTION("""COMPUTED_VALUE"""),"chara_gom_00201")</f>
        <v/>
      </c>
      <c r="E26" s="437">
        <f>IFERROR(__xludf.DUMMYFUNCTION("""COMPUTED_VALUE"""),"クロル")</f>
        <v/>
      </c>
      <c r="F26" s="439">
        <f>IFERROR(__xludf.DUMMYFUNCTION("""COMPUTED_VALUE"""),"クロル")</f>
        <v/>
      </c>
      <c r="G26" s="439">
        <f>IFERROR(__xludf.DUMMYFUNCTION("""COMPUTED_VALUE"""),"ワンちゃん大量作戦だ☆")</f>
        <v/>
      </c>
      <c r="H26" s="439">
        <f>IFERROR(__xludf.DUMMYFUNCTION("""COMPUTED_VALUE"""),"R")</f>
        <v/>
      </c>
      <c r="I26" s="439">
        <f>IFERROR(__xludf.DUMMYFUNCTION("""COMPUTED_VALUE"""),"DropR")</f>
        <v/>
      </c>
      <c r="J26" s="438">
        <f>IFERROR(__xludf.DUMMYFUNCTION("""COMPUTED_VALUE"""),"黄")</f>
        <v/>
      </c>
      <c r="K26" s="438">
        <f>IFERROR(__xludf.DUMMYFUNCTION("""COMPUTED_VALUE"""),"chara")</f>
        <v/>
      </c>
      <c r="L26" s="438">
        <f>IFERROR(__xludf.DUMMYFUNCTION("""COMPUTED_VALUE"""),"アタック")</f>
        <v/>
      </c>
      <c r="M26" s="436">
        <f>IFERROR(__xludf.DUMMYFUNCTION("""COMPUTED_VALUE"""),"dageki_1")</f>
        <v/>
      </c>
      <c r="N26" s="449">
        <f>IFERROR(__xludf.DUMMYFUNCTION("""COMPUTED_VALUE"""),"Long")</f>
        <v/>
      </c>
      <c r="O26" s="449">
        <f>IFERROR(__xludf.DUMMYFUNCTION("""COMPUTED_VALUE"""),"dageki_1")</f>
        <v/>
      </c>
      <c r="P26" s="450">
        <f>IFERROR(__xludf.DUMMYFUNCTION("""COMPUTED_VALUE"""),"00201")</f>
        <v/>
      </c>
      <c r="Q26" s="450">
        <f>IFERROR(__xludf.DUMMYFUNCTION("""COMPUTED_VALUE"""),"1.43")</f>
        <v/>
      </c>
      <c r="R26" s="441">
        <f>IFERROR(__xludf.DUMMYFUNCTION("""COMPUTED_VALUE"""),"stop無:1回目 0.40
stop無:2回目 0.60
stop無:3回目 0.80")</f>
        <v/>
      </c>
      <c r="S26" s="441">
        <f>IFERROR(__xludf.DUMMYFUNCTION("""COMPUTED_VALUE"""),"5.00")</f>
        <v/>
      </c>
      <c r="T26" s="442">
        <f>IFERROR(__xludf.DUMMYFUNCTION("""COMPUTED_VALUE"""),"stop無:1回目 2.10
stop無:2回目 2.30
stop無:3回目 2.50
stop無:4回目 2.70
stop無:5回目 2.90
stop無:6回目 3.20
stop無:7回目 3.40
stop無:8回目 3.60
stop無:9回目 3.80")</f>
        <v/>
      </c>
      <c r="U26" s="444">
        <f>IFERROR(__xludf.DUMMYFUNCTION("""COMPUTED_VALUE"""),45922.458333333336)</f>
        <v/>
      </c>
      <c r="V26" s="444">
        <f>IFERROR(__xludf.DUMMYFUNCTION("""COMPUTED_VALUE"""),390812.49998842593)</f>
        <v/>
      </c>
      <c r="W26" s="438">
        <f>IFERROR(__xludf.DUMMYFUNCTION("""COMPUTED_VALUE"""),"catchcopy_character_chara_gom_00201.png")</f>
        <v/>
      </c>
      <c r="X26" s="438">
        <f>IFERROR(__xludf.DUMMYFUNCTION("""COMPUTED_VALUE"""),"enemy_icon_chara_gom_00201")</f>
        <v/>
      </c>
      <c r="Y26" s="438">
        <f>IFERROR(__xludf.DUMMYFUNCTION("""COMPUTED_VALUE"""),"boss_icon_chara_gom_00201")</f>
        <v/>
      </c>
      <c r="Z26" s="438">
        <f>IFERROR(__xludf.DUMMYFUNCTION("""COMPUTED_VALUE"""),"chara_gom_00201_normal")</f>
        <v/>
      </c>
      <c r="AA26" s="439">
        <f>IFERROR(__xludf.DUMMYFUNCTION("""COMPUTED_VALUE"""),"chara_gom_00201_special")</f>
        <v/>
      </c>
    </row>
    <row r="27">
      <c r="A27" s="439">
        <f>IFERROR(__xludf.DUMMYFUNCTION("""COMPUTED_VALUE"""),"gom")</f>
        <v/>
      </c>
      <c r="B27" s="435">
        <f>IFERROR(__xludf.DUMMYFUNCTION("""COMPUTED_VALUE"""),"姫様“拷問”の時間です")</f>
        <v/>
      </c>
      <c r="C27" s="436">
        <f>IFERROR(__xludf.DUMMYFUNCTION("""COMPUTED_VALUE"""),"00301")</f>
        <v/>
      </c>
      <c r="D27" s="437">
        <f>IFERROR(__xludf.DUMMYFUNCTION("""COMPUTED_VALUE"""),"chara_gom_00301")</f>
        <v/>
      </c>
      <c r="E27" s="437">
        <f>IFERROR(__xludf.DUMMYFUNCTION("""COMPUTED_VALUE"""),"魔王 ゴッドサンダー")</f>
        <v/>
      </c>
      <c r="F27" s="439">
        <f>IFERROR(__xludf.DUMMYFUNCTION("""COMPUTED_VALUE"""),"悪のカリスマ 魔王ゴッドサンダー")</f>
        <v/>
      </c>
      <c r="G27" s="439">
        <f>IFERROR(__xludf.DUMMYFUNCTION("""COMPUTED_VALUE"""),"全欲望は我が物！")</f>
        <v/>
      </c>
      <c r="H27" s="439">
        <f>IFERROR(__xludf.DUMMYFUNCTION("""COMPUTED_VALUE"""),"UR")</f>
        <v/>
      </c>
      <c r="I27" s="439">
        <f>IFERROR(__xludf.DUMMYFUNCTION("""COMPUTED_VALUE"""),"PremiumUR")</f>
        <v/>
      </c>
      <c r="J27" s="439">
        <f>IFERROR(__xludf.DUMMYFUNCTION("""COMPUTED_VALUE"""),"赤")</f>
        <v/>
      </c>
      <c r="K27" s="438">
        <f>IFERROR(__xludf.DUMMYFUNCTION("""COMPUTED_VALUE"""),"chara")</f>
        <v/>
      </c>
      <c r="L27" s="438">
        <f>IFERROR(__xludf.DUMMYFUNCTION("""COMPUTED_VALUE"""),"アタック")</f>
        <v/>
      </c>
      <c r="M27" s="436" t="n"/>
      <c r="N27" s="449" t="n"/>
      <c r="O27" s="449" t="n"/>
      <c r="P27" s="449" t="n"/>
      <c r="Q27" s="450">
        <f>IFERROR(__xludf.DUMMYFUNCTION("""COMPUTED_VALUE"""),"1.37")</f>
        <v/>
      </c>
      <c r="R27" s="441">
        <f>IFERROR(__xludf.DUMMYFUNCTION("""COMPUTED_VALUE"""),"stop有: 0.55")</f>
        <v/>
      </c>
      <c r="S27" s="441">
        <f>IFERROR(__xludf.DUMMYFUNCTION("""COMPUTED_VALUE"""),"2.67")</f>
        <v/>
      </c>
      <c r="T27" s="442">
        <f>IFERROR(__xludf.DUMMYFUNCTION("""COMPUTED_VALUE"""),"stop有: 1.5")</f>
        <v/>
      </c>
      <c r="U27" s="448">
        <f>IFERROR(__xludf.DUMMYFUNCTION("""COMPUTED_VALUE"""),"(仮)2026/03/01 15:00:00")</f>
        <v/>
      </c>
      <c r="V27" s="444">
        <f>IFERROR(__xludf.DUMMYFUNCTION("""COMPUTED_VALUE"""),390812.49998842593)</f>
        <v/>
      </c>
      <c r="W27" s="438" t="n"/>
      <c r="X27" s="438">
        <f>IFERROR(__xludf.DUMMYFUNCTION("""COMPUTED_VALUE"""),"enemy_icon_chara_gom_00301")</f>
        <v/>
      </c>
      <c r="Y27" s="438">
        <f>IFERROR(__xludf.DUMMYFUNCTION("""COMPUTED_VALUE"""),"boss_icon_chara_gom_00301")</f>
        <v/>
      </c>
      <c r="Z27" s="438" t="n"/>
      <c r="AA27" s="439" t="n"/>
    </row>
    <row r="28">
      <c r="A28" s="439">
        <f>IFERROR(__xludf.DUMMYFUNCTION("""COMPUTED_VALUE"""),"gom")</f>
        <v/>
      </c>
      <c r="B28" s="435">
        <f>IFERROR(__xludf.DUMMYFUNCTION("""COMPUTED_VALUE"""),"姫様“拷問”の時間です")</f>
        <v/>
      </c>
      <c r="C28" s="436">
        <f>IFERROR(__xludf.DUMMYFUNCTION("""COMPUTED_VALUE"""),"00401")</f>
        <v/>
      </c>
      <c r="D28" s="437">
        <f>IFERROR(__xludf.DUMMYFUNCTION("""COMPUTED_VALUE"""),"chara_gom_00401")</f>
        <v/>
      </c>
      <c r="E28" s="437">
        <f>IFERROR(__xludf.DUMMYFUNCTION("""COMPUTED_VALUE"""),"マオマオちゃん")</f>
        <v/>
      </c>
      <c r="F28" s="439">
        <f>IFERROR(__xludf.DUMMYFUNCTION("""COMPUTED_VALUE"""),"マオマオちゃん")</f>
        <v/>
      </c>
      <c r="G28" s="439">
        <f>IFERROR(__xludf.DUMMYFUNCTION("""COMPUTED_VALUE"""),"ごーもんの時間だよ！")</f>
        <v/>
      </c>
      <c r="H28" s="439">
        <f>IFERROR(__xludf.DUMMYFUNCTION("""COMPUTED_VALUE"""),"UR")</f>
        <v/>
      </c>
      <c r="I28" s="439">
        <f>IFERROR(__xludf.DUMMYFUNCTION("""COMPUTED_VALUE"""),"PremiumUR")</f>
        <v/>
      </c>
      <c r="J28" s="438">
        <f>IFERROR(__xludf.DUMMYFUNCTION("""COMPUTED_VALUE"""),"無")</f>
        <v/>
      </c>
      <c r="K28" s="438">
        <f>IFERROR(__xludf.DUMMYFUNCTION("""COMPUTED_VALUE"""),"chara")</f>
        <v/>
      </c>
      <c r="L28" s="438">
        <f>IFERROR(__xludf.DUMMYFUNCTION("""COMPUTED_VALUE"""),"スペシャル")</f>
        <v/>
      </c>
      <c r="M28" s="436">
        <f>IFERROR(__xludf.DUMMYFUNCTION("""COMPUTED_VALUE"""),"-")</f>
        <v/>
      </c>
      <c r="N28" s="449" t="n"/>
      <c r="O28" s="449" t="n"/>
      <c r="P28" s="449" t="n"/>
      <c r="Q28" s="450">
        <f>IFERROR(__xludf.DUMMYFUNCTION("""COMPUTED_VALUE"""),"-")</f>
        <v/>
      </c>
      <c r="R28" s="441">
        <f>IFERROR(__xludf.DUMMYFUNCTION("""COMPUTED_VALUE"""),"-")</f>
        <v/>
      </c>
      <c r="S28" s="441">
        <f>IFERROR(__xludf.DUMMYFUNCTION("""COMPUTED_VALUE"""),"2.5")</f>
        <v/>
      </c>
      <c r="T28" s="442">
        <f>IFERROR(__xludf.DUMMYFUNCTION("""COMPUTED_VALUE"""),"stop無: 1")</f>
        <v/>
      </c>
      <c r="U28" s="448">
        <f>IFERROR(__xludf.DUMMYFUNCTION("""COMPUTED_VALUE"""),"(仮)2026/03/01 15:00:00")</f>
        <v/>
      </c>
      <c r="V28" s="444">
        <f>IFERROR(__xludf.DUMMYFUNCTION("""COMPUTED_VALUE"""),390812.49998842593)</f>
        <v/>
      </c>
      <c r="W28" s="438" t="n"/>
      <c r="X28" s="438">
        <f>IFERROR(__xludf.DUMMYFUNCTION("""COMPUTED_VALUE"""),"enemy_icon_chara_gom_00401")</f>
        <v/>
      </c>
      <c r="Y28" s="438">
        <f>IFERROR(__xludf.DUMMYFUNCTION("""COMPUTED_VALUE"""),"boss_icon_chara_gom_00401")</f>
        <v/>
      </c>
      <c r="Z28" s="438" t="n"/>
      <c r="AA28" s="439" t="n"/>
    </row>
    <row r="29">
      <c r="A29" s="439">
        <f>IFERROR(__xludf.DUMMYFUNCTION("""COMPUTED_VALUE"""),"gom")</f>
        <v/>
      </c>
      <c r="B29" s="435">
        <f>IFERROR(__xludf.DUMMYFUNCTION("""COMPUTED_VALUE"""),"姫様“拷問”の時間です")</f>
        <v/>
      </c>
      <c r="C29" s="436">
        <f>IFERROR(__xludf.DUMMYFUNCTION("""COMPUTED_VALUE"""),"00501")</f>
        <v/>
      </c>
      <c r="D29" s="437">
        <f>IFERROR(__xludf.DUMMYFUNCTION("""COMPUTED_VALUE"""),"chara_gom_00501")</f>
        <v/>
      </c>
      <c r="E29" s="437">
        <f>IFERROR(__xludf.DUMMYFUNCTION("""COMPUTED_VALUE"""),"陽鬼")</f>
        <v/>
      </c>
      <c r="F29" s="439">
        <f>IFERROR(__xludf.DUMMYFUNCTION("""COMPUTED_VALUE"""),"陽鬼")</f>
        <v/>
      </c>
      <c r="G29" s="439">
        <f>IFERROR(__xludf.DUMMYFUNCTION("""COMPUTED_VALUE"""),"私からやらせてもらうよ")</f>
        <v/>
      </c>
      <c r="H29" s="438">
        <f>IFERROR(__xludf.DUMMYFUNCTION("""COMPUTED_VALUE"""),"SR")</f>
        <v/>
      </c>
      <c r="I29" s="439">
        <f>IFERROR(__xludf.DUMMYFUNCTION("""COMPUTED_VALUE"""),"DropSR")</f>
        <v/>
      </c>
      <c r="J29" s="438">
        <f>IFERROR(__xludf.DUMMYFUNCTION("""COMPUTED_VALUE"""),"緑")</f>
        <v/>
      </c>
      <c r="K29" s="438">
        <f>IFERROR(__xludf.DUMMYFUNCTION("""COMPUTED_VALUE"""),"chara")</f>
        <v/>
      </c>
      <c r="L29" s="438">
        <f>IFERROR(__xludf.DUMMYFUNCTION("""COMPUTED_VALUE"""),"アタック")</f>
        <v/>
      </c>
      <c r="M29" s="447">
        <f>IFERROR(__xludf.DUMMYFUNCTION("""COMPUTED_VALUE"""),"shageki_1")</f>
        <v/>
      </c>
      <c r="N29" s="449">
        <f>IFERROR(__xludf.DUMMYFUNCTION("""COMPUTED_VALUE"""),"Long")</f>
        <v/>
      </c>
      <c r="O29" s="449">
        <f>IFERROR(__xludf.DUMMYFUNCTION("""COMPUTED_VALUE"""),"shageki_1")</f>
        <v/>
      </c>
      <c r="P29" s="449">
        <f>IFERROR(__xludf.DUMMYFUNCTION("""COMPUTED_VALUE"""),"Long")</f>
        <v/>
      </c>
      <c r="Q29" s="450">
        <f>IFERROR(__xludf.DUMMYFUNCTION("""COMPUTED_VALUE"""),"1.37")</f>
        <v/>
      </c>
      <c r="R29" s="441">
        <f>IFERROR(__xludf.DUMMYFUNCTION("""COMPUTED_VALUE"""),"stop有: 0.51")</f>
        <v/>
      </c>
      <c r="S29" s="441">
        <f>IFERROR(__xludf.DUMMYFUNCTION("""COMPUTED_VALUE"""),"2.67")</f>
        <v/>
      </c>
      <c r="T29" s="442">
        <f>IFERROR(__xludf.DUMMYFUNCTION("""COMPUTED_VALUE"""),"stop無:1回目 0.5
stop無:2回目 1.3
stop有:3回目 2.08")</f>
        <v/>
      </c>
      <c r="U29" s="448">
        <f>IFERROR(__xludf.DUMMYFUNCTION("""COMPUTED_VALUE"""),"(仮)2026/03/01 15:00:00")</f>
        <v/>
      </c>
      <c r="V29" s="444">
        <f>IFERROR(__xludf.DUMMYFUNCTION("""COMPUTED_VALUE"""),390812.49998842593)</f>
        <v/>
      </c>
      <c r="W29" s="438" t="n"/>
      <c r="X29" s="438">
        <f>IFERROR(__xludf.DUMMYFUNCTION("""COMPUTED_VALUE"""),"enemy_icon_chara_gom_00501")</f>
        <v/>
      </c>
      <c r="Y29" s="438">
        <f>IFERROR(__xludf.DUMMYFUNCTION("""COMPUTED_VALUE"""),"boss_icon_chara_gom_00501")</f>
        <v/>
      </c>
      <c r="Z29" s="438" t="n"/>
      <c r="AA29" s="439" t="n"/>
    </row>
    <row r="30">
      <c r="A30" s="439">
        <f>IFERROR(__xludf.DUMMYFUNCTION("""COMPUTED_VALUE"""),"gom")</f>
        <v/>
      </c>
      <c r="B30" s="435">
        <f>IFERROR(__xludf.DUMMYFUNCTION("""COMPUTED_VALUE"""),"姫様“拷問”の時間です")</f>
        <v/>
      </c>
      <c r="C30" s="436">
        <f>IFERROR(__xludf.DUMMYFUNCTION("""COMPUTED_VALUE"""),"00601")</f>
        <v/>
      </c>
      <c r="D30" s="437">
        <f>IFERROR(__xludf.DUMMYFUNCTION("""COMPUTED_VALUE"""),"chara_gom_00601")</f>
        <v/>
      </c>
      <c r="E30" s="437">
        <f>IFERROR(__xludf.DUMMYFUNCTION("""COMPUTED_VALUE"""),"陰鬼")</f>
        <v/>
      </c>
      <c r="F30" s="439">
        <f>IFERROR(__xludf.DUMMYFUNCTION("""COMPUTED_VALUE"""),"陰鬼")</f>
        <v/>
      </c>
      <c r="G30" s="439">
        <f>IFERROR(__xludf.DUMMYFUNCTION("""COMPUTED_VALUE"""),"仕事は仕事だよ")</f>
        <v/>
      </c>
      <c r="H30" s="438">
        <f>IFERROR(__xludf.DUMMYFUNCTION("""COMPUTED_VALUE"""),"SR")</f>
        <v/>
      </c>
      <c r="I30" s="439">
        <f>IFERROR(__xludf.DUMMYFUNCTION("""COMPUTED_VALUE"""),"DropSR")</f>
        <v/>
      </c>
      <c r="J30" s="438">
        <f>IFERROR(__xludf.DUMMYFUNCTION("""COMPUTED_VALUE"""),"赤")</f>
        <v/>
      </c>
      <c r="K30" s="438">
        <f>IFERROR(__xludf.DUMMYFUNCTION("""COMPUTED_VALUE"""),"chara")</f>
        <v/>
      </c>
      <c r="L30" s="438">
        <f>IFERROR(__xludf.DUMMYFUNCTION("""COMPUTED_VALUE"""),"テクニカル")</f>
        <v/>
      </c>
      <c r="M30" s="447">
        <f>IFERROR(__xludf.DUMMYFUNCTION("""COMPUTED_VALUE"""),"dageki_2")</f>
        <v/>
      </c>
      <c r="N30" s="440">
        <f>IFERROR(__xludf.DUMMYFUNCTION("""COMPUTED_VALUE"""),"Short")</f>
        <v/>
      </c>
      <c r="O30" s="440">
        <f>IFERROR(__xludf.DUMMYFUNCTION("""COMPUTED_VALUE"""),"dageki_2")</f>
        <v/>
      </c>
      <c r="P30" s="440">
        <f>IFERROR(__xludf.DUMMYFUNCTION("""COMPUTED_VALUE"""),"Short")</f>
        <v/>
      </c>
      <c r="Q30" s="440">
        <f>IFERROR(__xludf.DUMMYFUNCTION("""COMPUTED_VALUE"""),"1.37")</f>
        <v/>
      </c>
      <c r="R30" s="441">
        <f>IFERROR(__xludf.DUMMYFUNCTION("""COMPUTED_VALUE"""),"stop有: 0.33")</f>
        <v/>
      </c>
      <c r="S30" s="441">
        <f>IFERROR(__xludf.DUMMYFUNCTION("""COMPUTED_VALUE"""),"2.33")</f>
        <v/>
      </c>
      <c r="T30" s="442">
        <f>IFERROR(__xludf.DUMMYFUNCTION("""COMPUTED_VALUE"""),"stop無:1回目 0.46
stop無:2回目 0.61
stop無:3回目 0.81
stop有:4回目 1.01")</f>
        <v/>
      </c>
      <c r="U30" s="448">
        <f>IFERROR(__xludf.DUMMYFUNCTION("""COMPUTED_VALUE"""),"(仮)2026/03/01 15:00:00")</f>
        <v/>
      </c>
      <c r="V30" s="444">
        <f>IFERROR(__xludf.DUMMYFUNCTION("""COMPUTED_VALUE"""),390812.49998842593)</f>
        <v/>
      </c>
      <c r="W30" s="438" t="n"/>
      <c r="X30" s="438">
        <f>IFERROR(__xludf.DUMMYFUNCTION("""COMPUTED_VALUE"""),"enemy_icon_chara_gom_00601")</f>
        <v/>
      </c>
      <c r="Y30" s="438">
        <f>IFERROR(__xludf.DUMMYFUNCTION("""COMPUTED_VALUE"""),"boss_icon_chara_gom_00601")</f>
        <v/>
      </c>
      <c r="Z30" s="438" t="n"/>
      <c r="AA30" s="439" t="n"/>
    </row>
    <row r="31">
      <c r="A31" s="439">
        <f>IFERROR(__xludf.DUMMYFUNCTION("""COMPUTED_VALUE"""),"gom")</f>
        <v/>
      </c>
      <c r="B31" s="435">
        <f>IFERROR(__xludf.DUMMYFUNCTION("""COMPUTED_VALUE"""),"姫様“拷問”の時間です")</f>
        <v/>
      </c>
      <c r="C31" s="436">
        <f>IFERROR(__xludf.DUMMYFUNCTION("""COMPUTED_VALUE"""),"00701")</f>
        <v/>
      </c>
      <c r="D31" s="437">
        <f>IFERROR(__xludf.DUMMYFUNCTION("""COMPUTED_VALUE"""),"chara_gom_00701")</f>
        <v/>
      </c>
      <c r="E31" s="437">
        <f>IFERROR(__xludf.DUMMYFUNCTION("""COMPUTED_VALUE"""),"カナッジ")</f>
        <v/>
      </c>
      <c r="F31" s="439">
        <f>IFERROR(__xludf.DUMMYFUNCTION("""COMPUTED_VALUE"""),"カナッジ")</f>
        <v/>
      </c>
      <c r="G31" s="439">
        <f>IFERROR(__xludf.DUMMYFUNCTION("""COMPUTED_VALUE"""),"魔王様!!")</f>
        <v/>
      </c>
      <c r="H31" s="438">
        <f>IFERROR(__xludf.DUMMYFUNCTION("""COMPUTED_VALUE"""),"SR")</f>
        <v/>
      </c>
      <c r="I31" s="439">
        <f>IFERROR(__xludf.DUMMYFUNCTION("""COMPUTED_VALUE"""),"DropSR")</f>
        <v/>
      </c>
      <c r="J31" s="438">
        <f>IFERROR(__xludf.DUMMYFUNCTION("""COMPUTED_VALUE"""),"赤")</f>
        <v/>
      </c>
      <c r="K31" s="438">
        <f>IFERROR(__xludf.DUMMYFUNCTION("""COMPUTED_VALUE"""),"chara")</f>
        <v/>
      </c>
      <c r="L31" s="438">
        <f>IFERROR(__xludf.DUMMYFUNCTION("""COMPUTED_VALUE"""),"テクニカル")</f>
        <v/>
      </c>
      <c r="M31" s="447">
        <f>IFERROR(__xludf.DUMMYFUNCTION("""COMPUTED_VALUE"""),"dageki_1")</f>
        <v/>
      </c>
      <c r="N31" s="440">
        <f>IFERROR(__xludf.DUMMYFUNCTION("""COMPUTED_VALUE"""),"Short")</f>
        <v/>
      </c>
      <c r="O31" s="440">
        <f>IFERROR(__xludf.DUMMYFUNCTION("""COMPUTED_VALUE"""),"dageki_1")</f>
        <v/>
      </c>
      <c r="P31" s="440" t="n"/>
      <c r="Q31" s="440">
        <f>IFERROR(__xludf.DUMMYFUNCTION("""COMPUTED_VALUE"""),"1.57")</f>
        <v/>
      </c>
      <c r="R31" s="441">
        <f>IFERROR(__xludf.DUMMYFUNCTION("""COMPUTED_VALUE"""),"stop有: 0.42")</f>
        <v/>
      </c>
      <c r="S31" s="441">
        <f>IFERROR(__xludf.DUMMYFUNCTION("""COMPUTED_VALUE"""),"2.27")</f>
        <v/>
      </c>
      <c r="T31" s="442">
        <f>IFERROR(__xludf.DUMMYFUNCTION("""COMPUTED_VALUE"""),"stop無: 0.92")</f>
        <v/>
      </c>
      <c r="U31" s="443">
        <f>IFERROR(__xludf.DUMMYFUNCTION("""COMPUTED_VALUE"""),"実装未定")</f>
        <v/>
      </c>
      <c r="V31" s="444">
        <f>IFERROR(__xludf.DUMMYFUNCTION("""COMPUTED_VALUE"""),390812.49998842593)</f>
        <v/>
      </c>
      <c r="W31" s="438" t="n"/>
      <c r="X31" s="438">
        <f>IFERROR(__xludf.DUMMYFUNCTION("""COMPUTED_VALUE"""),"enemy_icon_chara_gom_00701")</f>
        <v/>
      </c>
      <c r="Y31" s="438">
        <f>IFERROR(__xludf.DUMMYFUNCTION("""COMPUTED_VALUE"""),"boss_icon_chara_gom_00701")</f>
        <v/>
      </c>
      <c r="Z31" s="438" t="n"/>
      <c r="AA31" s="439" t="n"/>
    </row>
    <row r="32">
      <c r="A32" s="439">
        <f>IFERROR(__xludf.DUMMYFUNCTION("""COMPUTED_VALUE"""),"chi")</f>
        <v/>
      </c>
      <c r="B32" s="435">
        <f>IFERROR(__xludf.DUMMYFUNCTION("""COMPUTED_VALUE"""),"チェンソーマン")</f>
        <v/>
      </c>
      <c r="C32" s="436">
        <f>IFERROR(__xludf.DUMMYFUNCTION("""COMPUTED_VALUE"""),"00001")</f>
        <v/>
      </c>
      <c r="D32" s="437">
        <f>IFERROR(__xludf.DUMMYFUNCTION("""COMPUTED_VALUE"""),"chara_chi_00001")</f>
        <v/>
      </c>
      <c r="E32" s="437">
        <f>IFERROR(__xludf.DUMMYFUNCTION("""COMPUTED_VALUE"""),"デンジ")</f>
        <v/>
      </c>
      <c r="F32" s="439">
        <f>IFERROR(__xludf.DUMMYFUNCTION("""COMPUTED_VALUE"""),"デンジ")</f>
        <v/>
      </c>
      <c r="G32" s="439">
        <f>IFERROR(__xludf.DUMMYFUNCTION("""COMPUTED_VALUE"""),"股間！しか！狙わねえ！")</f>
        <v/>
      </c>
      <c r="H32" s="438">
        <f>IFERROR(__xludf.DUMMYFUNCTION("""COMPUTED_VALUE"""),"R")</f>
        <v/>
      </c>
      <c r="I32" s="439">
        <f>IFERROR(__xludf.DUMMYFUNCTION("""COMPUTED_VALUE"""),"PremiumR")</f>
        <v/>
      </c>
      <c r="J32" s="438">
        <f>IFERROR(__xludf.DUMMYFUNCTION("""COMPUTED_VALUE"""),"緑")</f>
        <v/>
      </c>
      <c r="K32" s="438">
        <f>IFERROR(__xludf.DUMMYFUNCTION("""COMPUTED_VALUE"""),"chara")</f>
        <v/>
      </c>
      <c r="L32" s="438">
        <f>IFERROR(__xludf.DUMMYFUNCTION("""COMPUTED_VALUE"""),"アタック")</f>
        <v/>
      </c>
      <c r="M32" s="447">
        <f>IFERROR(__xludf.DUMMYFUNCTION("""COMPUTED_VALUE"""),"zangeki_1")</f>
        <v/>
      </c>
      <c r="N32" s="440">
        <f>IFERROR(__xludf.DUMMYFUNCTION("""COMPUTED_VALUE"""),"Short")</f>
        <v/>
      </c>
      <c r="O32" s="440">
        <f>IFERROR(__xludf.DUMMYFUNCTION("""COMPUTED_VALUE"""),"dageki_1")</f>
        <v/>
      </c>
      <c r="P32" s="440">
        <f>IFERROR(__xludf.DUMMYFUNCTION("""COMPUTED_VALUE"""),"00001")</f>
        <v/>
      </c>
      <c r="Q32" s="440">
        <f>IFERROR(__xludf.DUMMYFUNCTION("""COMPUTED_VALUE"""),"1.40")</f>
        <v/>
      </c>
      <c r="R32" s="441">
        <f>IFERROR(__xludf.DUMMYFUNCTION("""COMPUTED_VALUE"""),"0.53")</f>
        <v/>
      </c>
      <c r="S32" s="441">
        <f>IFERROR(__xludf.DUMMYFUNCTION("""COMPUTED_VALUE"""),"3.37")</f>
        <v/>
      </c>
      <c r="T32" s="442">
        <f>IFERROR(__xludf.DUMMYFUNCTION("""COMPUTED_VALUE"""),"1.57")</f>
        <v/>
      </c>
      <c r="U32" s="444">
        <f>IFERROR(__xludf.DUMMYFUNCTION("""COMPUTED_VALUE"""),45922.458333333336)</f>
        <v/>
      </c>
      <c r="V32" s="444">
        <f>IFERROR(__xludf.DUMMYFUNCTION("""COMPUTED_VALUE"""),390812.49998842593)</f>
        <v/>
      </c>
      <c r="W32" s="438">
        <f>IFERROR(__xludf.DUMMYFUNCTION("""COMPUTED_VALUE"""),"catchcopy_character_chara_chi_00001.png")</f>
        <v/>
      </c>
      <c r="X32" s="438">
        <f>IFERROR(__xludf.DUMMYFUNCTION("""COMPUTED_VALUE"""),"enemy_icon_chara_chi_00001")</f>
        <v/>
      </c>
      <c r="Y32" s="438">
        <f>IFERROR(__xludf.DUMMYFUNCTION("""COMPUTED_VALUE"""),"boss_icon_chara_chi_00001")</f>
        <v/>
      </c>
      <c r="Z32" s="438">
        <f>IFERROR(__xludf.DUMMYFUNCTION("""COMPUTED_VALUE"""),"chara_chi_00001_normal")</f>
        <v/>
      </c>
      <c r="AA32" s="439">
        <f>IFERROR(__xludf.DUMMYFUNCTION("""COMPUTED_VALUE"""),"chara_chi_00001_special")</f>
        <v/>
      </c>
    </row>
    <row r="33">
      <c r="A33" s="439">
        <f>IFERROR(__xludf.DUMMYFUNCTION("""COMPUTED_VALUE"""),"chi")</f>
        <v/>
      </c>
      <c r="B33" s="435">
        <f>IFERROR(__xludf.DUMMYFUNCTION("""COMPUTED_VALUE"""),"チェンソーマン")</f>
        <v/>
      </c>
      <c r="C33" s="436">
        <f>IFERROR(__xludf.DUMMYFUNCTION("""COMPUTED_VALUE"""),"00002")</f>
        <v/>
      </c>
      <c r="D33" s="437">
        <f>IFERROR(__xludf.DUMMYFUNCTION("""COMPUTED_VALUE"""),"chara_chi_00002")</f>
        <v/>
      </c>
      <c r="E33" s="437">
        <f>IFERROR(__xludf.DUMMYFUNCTION("""COMPUTED_VALUE"""),"悪魔が恐れる悪魔 チェンソーマン")</f>
        <v/>
      </c>
      <c r="F33" s="439">
        <f>IFERROR(__xludf.DUMMYFUNCTION("""COMPUTED_VALUE"""),"悪魔が恐れる悪魔 チェンソーマン")</f>
        <v/>
      </c>
      <c r="G33" s="439">
        <f>IFERROR(__xludf.DUMMYFUNCTION("""COMPUTED_VALUE"""),"ぶっ殺さねえとなあ！")</f>
        <v/>
      </c>
      <c r="H33" s="438">
        <f>IFERROR(__xludf.DUMMYFUNCTION("""COMPUTED_VALUE"""),"UR")</f>
        <v/>
      </c>
      <c r="I33" s="439">
        <f>IFERROR(__xludf.DUMMYFUNCTION("""COMPUTED_VALUE"""),"PremiumUR")</f>
        <v/>
      </c>
      <c r="J33" s="438">
        <f>IFERROR(__xludf.DUMMYFUNCTION("""COMPUTED_VALUE"""),"黄")</f>
        <v/>
      </c>
      <c r="K33" s="438">
        <f>IFERROR(__xludf.DUMMYFUNCTION("""COMPUTED_VALUE"""),"chara")</f>
        <v/>
      </c>
      <c r="L33" s="438">
        <f>IFERROR(__xludf.DUMMYFUNCTION("""COMPUTED_VALUE"""),"テクニカル")</f>
        <v/>
      </c>
      <c r="M33" s="447">
        <f>IFERROR(__xludf.DUMMYFUNCTION("""COMPUTED_VALUE"""),"zangeki_1")</f>
        <v/>
      </c>
      <c r="N33" s="440">
        <f>IFERROR(__xludf.DUMMYFUNCTION("""COMPUTED_VALUE"""),"Short")</f>
        <v/>
      </c>
      <c r="O33" s="440">
        <f>IFERROR(__xludf.DUMMYFUNCTION("""COMPUTED_VALUE"""),"zangeki_1")</f>
        <v/>
      </c>
      <c r="P33" s="440">
        <f>IFERROR(__xludf.DUMMYFUNCTION("""COMPUTED_VALUE"""),"00002")</f>
        <v/>
      </c>
      <c r="Q33" s="440">
        <f>IFERROR(__xludf.DUMMYFUNCTION("""COMPUTED_VALUE"""),"1.07")</f>
        <v/>
      </c>
      <c r="R33" s="441">
        <f>IFERROR(__xludf.DUMMYFUNCTION("""COMPUTED_VALUE"""),"stop無:1回目 0.66")</f>
        <v/>
      </c>
      <c r="S33" s="441">
        <f>IFERROR(__xludf.DUMMYFUNCTION("""COMPUTED_VALUE"""),"3.74")</f>
        <v/>
      </c>
      <c r="T33" s="442">
        <f>IFERROR(__xludf.DUMMYFUNCTION("""COMPUTED_VALUE"""),"stop無:1回目 0.53
stop無:2回目 0.70
stop無:3回目 0.90
stop無:4回目 1.03
stop無:5回目 1.23
stop有:6回目 2.62")</f>
        <v/>
      </c>
      <c r="U33" s="444">
        <f>IFERROR(__xludf.DUMMYFUNCTION("""COMPUTED_VALUE"""),45922.458333333336)</f>
        <v/>
      </c>
      <c r="V33" s="444">
        <f>IFERROR(__xludf.DUMMYFUNCTION("""COMPUTED_VALUE"""),390812.49998842593)</f>
        <v/>
      </c>
      <c r="W33" s="438">
        <f>IFERROR(__xludf.DUMMYFUNCTION("""COMPUTED_VALUE"""),"catchcopy_character_chara_chi_00002.png")</f>
        <v/>
      </c>
      <c r="X33" s="438">
        <f>IFERROR(__xludf.DUMMYFUNCTION("""COMPUTED_VALUE"""),"enemy_icon_chara_chi_00002")</f>
        <v/>
      </c>
      <c r="Y33" s="438">
        <f>IFERROR(__xludf.DUMMYFUNCTION("""COMPUTED_VALUE"""),"boss_icon_chara_chi_00002")</f>
        <v/>
      </c>
      <c r="Z33" s="438">
        <f>IFERROR(__xludf.DUMMYFUNCTION("""COMPUTED_VALUE"""),"chara_chi_00002_normal")</f>
        <v/>
      </c>
      <c r="AA33" s="439">
        <f>IFERROR(__xludf.DUMMYFUNCTION("""COMPUTED_VALUE"""),"chara_chi_00002_special")</f>
        <v/>
      </c>
    </row>
    <row r="34">
      <c r="A34" s="439">
        <f>IFERROR(__xludf.DUMMYFUNCTION("""COMPUTED_VALUE"""),"chi")</f>
        <v/>
      </c>
      <c r="B34" s="435">
        <f>IFERROR(__xludf.DUMMYFUNCTION("""COMPUTED_VALUE"""),"チェンソーマン")</f>
        <v/>
      </c>
      <c r="C34" s="436">
        <f>IFERROR(__xludf.DUMMYFUNCTION("""COMPUTED_VALUE"""),"00201")</f>
        <v/>
      </c>
      <c r="D34" s="437">
        <f>IFERROR(__xludf.DUMMYFUNCTION("""COMPUTED_VALUE"""),"chara_chi_00201")</f>
        <v/>
      </c>
      <c r="E34" s="437">
        <f>IFERROR(__xludf.DUMMYFUNCTION("""COMPUTED_VALUE"""),"早川 アキ")</f>
        <v/>
      </c>
      <c r="F34" s="439">
        <f>IFERROR(__xludf.DUMMYFUNCTION("""COMPUTED_VALUE"""),"早川 アキ")</f>
        <v/>
      </c>
      <c r="G34" s="439">
        <f>IFERROR(__xludf.DUMMYFUNCTION("""COMPUTED_VALUE"""),"狐の悪魔")</f>
        <v/>
      </c>
      <c r="H34" s="438">
        <f>IFERROR(__xludf.DUMMYFUNCTION("""COMPUTED_VALUE"""),"SSR")</f>
        <v/>
      </c>
      <c r="I34" s="439">
        <f>IFERROR(__xludf.DUMMYFUNCTION("""COMPUTED_VALUE"""),"PremiumSSR")</f>
        <v/>
      </c>
      <c r="J34" s="438">
        <f>IFERROR(__xludf.DUMMYFUNCTION("""COMPUTED_VALUE"""),"緑")</f>
        <v/>
      </c>
      <c r="K34" s="438">
        <f>IFERROR(__xludf.DUMMYFUNCTION("""COMPUTED_VALUE"""),"chara")</f>
        <v/>
      </c>
      <c r="L34" s="438">
        <f>IFERROR(__xludf.DUMMYFUNCTION("""COMPUTED_VALUE"""),"アタック")</f>
        <v/>
      </c>
      <c r="M34" s="447">
        <f>IFERROR(__xludf.DUMMYFUNCTION("""COMPUTED_VALUE"""),"dageki_1")</f>
        <v/>
      </c>
      <c r="N34" s="440">
        <f>IFERROR(__xludf.DUMMYFUNCTION("""COMPUTED_VALUE"""),"Short")</f>
        <v/>
      </c>
      <c r="O34" s="440">
        <f>IFERROR(__xludf.DUMMYFUNCTION("""COMPUTED_VALUE"""),"dageki_2")</f>
        <v/>
      </c>
      <c r="P34" s="440">
        <f>IFERROR(__xludf.DUMMYFUNCTION("""COMPUTED_VALUE"""),"00201")</f>
        <v/>
      </c>
      <c r="Q34" s="440">
        <f>IFERROR(__xludf.DUMMYFUNCTION("""COMPUTED_VALUE"""),"1.60")</f>
        <v/>
      </c>
      <c r="R34" s="441">
        <f>IFERROR(__xludf.DUMMYFUNCTION("""COMPUTED_VALUE"""),"0.84")</f>
        <v/>
      </c>
      <c r="S34" s="441">
        <f>IFERROR(__xludf.DUMMYFUNCTION("""COMPUTED_VALUE"""),"2.44")</f>
        <v/>
      </c>
      <c r="T34" s="442">
        <f>IFERROR(__xludf.DUMMYFUNCTION("""COMPUTED_VALUE"""),"1.64")</f>
        <v/>
      </c>
      <c r="U34" s="444">
        <f>IFERROR(__xludf.DUMMYFUNCTION("""COMPUTED_VALUE"""),45922.458333333336)</f>
        <v/>
      </c>
      <c r="V34" s="444">
        <f>IFERROR(__xludf.DUMMYFUNCTION("""COMPUTED_VALUE"""),390812.49998842593)</f>
        <v/>
      </c>
      <c r="W34" s="438">
        <f>IFERROR(__xludf.DUMMYFUNCTION("""COMPUTED_VALUE"""),"catchcopy_character_chara_chi_00201.png")</f>
        <v/>
      </c>
      <c r="X34" s="438">
        <f>IFERROR(__xludf.DUMMYFUNCTION("""COMPUTED_VALUE"""),"enemy_icon_chara_chi_00201")</f>
        <v/>
      </c>
      <c r="Y34" s="438">
        <f>IFERROR(__xludf.DUMMYFUNCTION("""COMPUTED_VALUE"""),"boss_icon_chara_chi_00201")</f>
        <v/>
      </c>
      <c r="Z34" s="438">
        <f>IFERROR(__xludf.DUMMYFUNCTION("""COMPUTED_VALUE"""),"chara_chi_00201_normal")</f>
        <v/>
      </c>
      <c r="AA34" s="439">
        <f>IFERROR(__xludf.DUMMYFUNCTION("""COMPUTED_VALUE"""),"chara_chi_00201_special")</f>
        <v/>
      </c>
    </row>
    <row r="35">
      <c r="A35" s="439">
        <f>IFERROR(__xludf.DUMMYFUNCTION("""COMPUTED_VALUE"""),"chi")</f>
        <v/>
      </c>
      <c r="B35" s="435">
        <f>IFERROR(__xludf.DUMMYFUNCTION("""COMPUTED_VALUE"""),"チェンソーマン")</f>
        <v/>
      </c>
      <c r="C35" s="436">
        <f>IFERROR(__xludf.DUMMYFUNCTION("""COMPUTED_VALUE"""),"00301")</f>
        <v/>
      </c>
      <c r="D35" s="437">
        <f>IFERROR(__xludf.DUMMYFUNCTION("""COMPUTED_VALUE"""),"chara_chi_00301")</f>
        <v/>
      </c>
      <c r="E35" s="437">
        <f>IFERROR(__xludf.DUMMYFUNCTION("""COMPUTED_VALUE"""),"パワー")</f>
        <v/>
      </c>
      <c r="F35" s="439">
        <f>IFERROR(__xludf.DUMMYFUNCTION("""COMPUTED_VALUE"""),"パワー")</f>
        <v/>
      </c>
      <c r="G35" s="439">
        <f>IFERROR(__xludf.DUMMYFUNCTION("""COMPUTED_VALUE"""),"血の匂いじゃ！")</f>
        <v/>
      </c>
      <c r="H35" s="438">
        <f>IFERROR(__xludf.DUMMYFUNCTION("""COMPUTED_VALUE"""),"SSR")</f>
        <v/>
      </c>
      <c r="I35" s="439">
        <f>IFERROR(__xludf.DUMMYFUNCTION("""COMPUTED_VALUE"""),"PremiumSSR")</f>
        <v/>
      </c>
      <c r="J35" s="438">
        <f>IFERROR(__xludf.DUMMYFUNCTION("""COMPUTED_VALUE"""),"青")</f>
        <v/>
      </c>
      <c r="K35" s="438">
        <f>IFERROR(__xludf.DUMMYFUNCTION("""COMPUTED_VALUE"""),"chara")</f>
        <v/>
      </c>
      <c r="L35" s="438">
        <f>IFERROR(__xludf.DUMMYFUNCTION("""COMPUTED_VALUE"""),"アタック")</f>
        <v/>
      </c>
      <c r="M35" s="447">
        <f>IFERROR(__xludf.DUMMYFUNCTION("""COMPUTED_VALUE"""),"dageki_1")</f>
        <v/>
      </c>
      <c r="N35" s="440">
        <f>IFERROR(__xludf.DUMMYFUNCTION("""COMPUTED_VALUE"""),"Middle")</f>
        <v/>
      </c>
      <c r="O35" s="440">
        <f>IFERROR(__xludf.DUMMYFUNCTION("""COMPUTED_VALUE"""),"dageki_1")</f>
        <v/>
      </c>
      <c r="P35" s="440">
        <f>IFERROR(__xludf.DUMMYFUNCTION("""COMPUTED_VALUE"""),"00201")</f>
        <v/>
      </c>
      <c r="Q35" s="440">
        <f>IFERROR(__xludf.DUMMYFUNCTION("""COMPUTED_VALUE"""),"1.50")</f>
        <v/>
      </c>
      <c r="R35" s="441">
        <f>IFERROR(__xludf.DUMMYFUNCTION("""COMPUTED_VALUE"""),"0.58")</f>
        <v/>
      </c>
      <c r="S35" s="441">
        <f>IFERROR(__xludf.DUMMYFUNCTION("""COMPUTED_VALUE"""),"2.67")</f>
        <v/>
      </c>
      <c r="T35" s="442">
        <f>IFERROR(__xludf.DUMMYFUNCTION("""COMPUTED_VALUE"""),"1.00")</f>
        <v/>
      </c>
      <c r="U35" s="444">
        <f>IFERROR(__xludf.DUMMYFUNCTION("""COMPUTED_VALUE"""),45922.458333333336)</f>
        <v/>
      </c>
      <c r="V35" s="444">
        <f>IFERROR(__xludf.DUMMYFUNCTION("""COMPUTED_VALUE"""),390812.49998842593)</f>
        <v/>
      </c>
      <c r="W35" s="438">
        <f>IFERROR(__xludf.DUMMYFUNCTION("""COMPUTED_VALUE"""),"catchcopy_character_chara_chi_00201.png")</f>
        <v/>
      </c>
      <c r="X35" s="438">
        <f>IFERROR(__xludf.DUMMYFUNCTION("""COMPUTED_VALUE"""),"enemy_icon_chara_chi_00301")</f>
        <v/>
      </c>
      <c r="Y35" s="438">
        <f>IFERROR(__xludf.DUMMYFUNCTION("""COMPUTED_VALUE"""),"boss_icon_chara_chi_00301")</f>
        <v/>
      </c>
      <c r="Z35" s="438">
        <f>IFERROR(__xludf.DUMMYFUNCTION("""COMPUTED_VALUE"""),"chara_chi_00301_normal")</f>
        <v/>
      </c>
      <c r="AA35" s="439">
        <f>IFERROR(__xludf.DUMMYFUNCTION("""COMPUTED_VALUE"""),"chara_chi_00301_special")</f>
        <v/>
      </c>
    </row>
    <row r="36">
      <c r="A36" s="439">
        <f>IFERROR(__xludf.DUMMYFUNCTION("""COMPUTED_VALUE"""),"chi")</f>
        <v/>
      </c>
      <c r="B36" s="435">
        <f>IFERROR(__xludf.DUMMYFUNCTION("""COMPUTED_VALUE"""),"チェンソーマン")</f>
        <v/>
      </c>
      <c r="C36" s="436">
        <f>IFERROR(__xludf.DUMMYFUNCTION("""COMPUTED_VALUE"""),"00401")</f>
        <v/>
      </c>
      <c r="D36" s="437">
        <f>IFERROR(__xludf.DUMMYFUNCTION("""COMPUTED_VALUE"""),"chara_chi_00401")</f>
        <v/>
      </c>
      <c r="E36" s="437">
        <f>IFERROR(__xludf.DUMMYFUNCTION("""COMPUTED_VALUE"""),"マキマ")</f>
        <v/>
      </c>
      <c r="F36" s="439">
        <f>IFERROR(__xludf.DUMMYFUNCTION("""COMPUTED_VALUE"""),"選定中")</f>
        <v/>
      </c>
      <c r="G36" s="439" t="n"/>
      <c r="H36" s="438">
        <f>IFERROR(__xludf.DUMMYFUNCTION("""COMPUTED_VALUE"""),"UR")</f>
        <v/>
      </c>
      <c r="I36" s="439">
        <f>IFERROR(__xludf.DUMMYFUNCTION("""COMPUTED_VALUE"""),"PremiumUR")</f>
        <v/>
      </c>
      <c r="J36" s="438">
        <f>IFERROR(__xludf.DUMMYFUNCTION("""COMPUTED_VALUE"""),"調整中")</f>
        <v/>
      </c>
      <c r="K36" s="438">
        <f>IFERROR(__xludf.DUMMYFUNCTION("""COMPUTED_VALUE"""),"chara")</f>
        <v/>
      </c>
      <c r="L36" s="438">
        <f>IFERROR(__xludf.DUMMYFUNCTION("""COMPUTED_VALUE"""),"調整中")</f>
        <v/>
      </c>
      <c r="M36" s="447" t="n"/>
      <c r="N36" s="440" t="n"/>
      <c r="O36" s="440" t="n"/>
      <c r="P36" s="440" t="n"/>
      <c r="Q36" s="440">
        <f>IFERROR(__xludf.DUMMYFUNCTION("""COMPUTED_VALUE"""),"-")</f>
        <v/>
      </c>
      <c r="R36" s="441">
        <f>IFERROR(__xludf.DUMMYFUNCTION("""COMPUTED_VALUE"""),"-")</f>
        <v/>
      </c>
      <c r="S36" s="441">
        <f>IFERROR(__xludf.DUMMYFUNCTION("""COMPUTED_VALUE"""),"2.5")</f>
        <v/>
      </c>
      <c r="T36" s="442">
        <f>IFERROR(__xludf.DUMMYFUNCTION("""COMPUTED_VALUE"""),"0")</f>
        <v/>
      </c>
      <c r="U36" s="443">
        <f>IFERROR(__xludf.DUMMYFUNCTION("""COMPUTED_VALUE"""),"実装未定")</f>
        <v/>
      </c>
      <c r="V36" s="444">
        <f>IFERROR(__xludf.DUMMYFUNCTION("""COMPUTED_VALUE"""),390812.49998842593)</f>
        <v/>
      </c>
      <c r="W36" s="438" t="n"/>
      <c r="X36" s="438">
        <f>IFERROR(__xludf.DUMMYFUNCTION("""COMPUTED_VALUE"""),"enemy_icon_chara_chi_00401")</f>
        <v/>
      </c>
      <c r="Y36" s="438">
        <f>IFERROR(__xludf.DUMMYFUNCTION("""COMPUTED_VALUE"""),"boss_icon_chara_chi_00401")</f>
        <v/>
      </c>
      <c r="Z36" s="438" t="n"/>
      <c r="AA36" s="439" t="n"/>
    </row>
    <row r="37">
      <c r="A37" s="439">
        <f>IFERROR(__xludf.DUMMYFUNCTION("""COMPUTED_VALUE"""),"chi")</f>
        <v/>
      </c>
      <c r="B37" s="435">
        <f>IFERROR(__xludf.DUMMYFUNCTION("""COMPUTED_VALUE"""),"チェンソーマン")</f>
        <v/>
      </c>
      <c r="C37" s="436">
        <f>IFERROR(__xludf.DUMMYFUNCTION("""COMPUTED_VALUE"""),"00501")</f>
        <v/>
      </c>
      <c r="D37" s="437">
        <f>IFERROR(__xludf.DUMMYFUNCTION("""COMPUTED_VALUE"""),"chara_chi_00501")</f>
        <v/>
      </c>
      <c r="E37" s="437">
        <f>IFERROR(__xludf.DUMMYFUNCTION("""COMPUTED_VALUE"""),"姫野")</f>
        <v/>
      </c>
      <c r="F37" s="439">
        <f>IFERROR(__xludf.DUMMYFUNCTION("""COMPUTED_VALUE"""),"選定中")</f>
        <v/>
      </c>
      <c r="G37" s="439" t="n"/>
      <c r="H37" s="438">
        <f>IFERROR(__xludf.DUMMYFUNCTION("""COMPUTED_VALUE"""),"SSR")</f>
        <v/>
      </c>
      <c r="I37" s="439">
        <f>IFERROR(__xludf.DUMMYFUNCTION("""COMPUTED_VALUE"""),"PremiumSSR")</f>
        <v/>
      </c>
      <c r="J37" s="438">
        <f>IFERROR(__xludf.DUMMYFUNCTION("""COMPUTED_VALUE"""),"調整中")</f>
        <v/>
      </c>
      <c r="K37" s="438">
        <f>IFERROR(__xludf.DUMMYFUNCTION("""COMPUTED_VALUE"""),"chara")</f>
        <v/>
      </c>
      <c r="L37" s="438">
        <f>IFERROR(__xludf.DUMMYFUNCTION("""COMPUTED_VALUE"""),"調整中")</f>
        <v/>
      </c>
      <c r="M37" s="447" t="n"/>
      <c r="N37" s="440" t="n"/>
      <c r="O37" s="440" t="n"/>
      <c r="P37" s="440" t="n"/>
      <c r="Q37" s="440">
        <f>IFERROR(__xludf.DUMMYFUNCTION("""COMPUTED_VALUE"""),"1.17")</f>
        <v/>
      </c>
      <c r="R37" s="441">
        <f>IFERROR(__xludf.DUMMYFUNCTION("""COMPUTED_VALUE"""),".5")</f>
        <v/>
      </c>
      <c r="S37" s="441">
        <f>IFERROR(__xludf.DUMMYFUNCTION("""COMPUTED_VALUE"""),"1.87")</f>
        <v/>
      </c>
      <c r="T37" s="442">
        <f>IFERROR(__xludf.DUMMYFUNCTION("""COMPUTED_VALUE"""),"stop有:1")</f>
        <v/>
      </c>
      <c r="U37" s="443">
        <f>IFERROR(__xludf.DUMMYFUNCTION("""COMPUTED_VALUE"""),"実装未定")</f>
        <v/>
      </c>
      <c r="V37" s="444">
        <f>IFERROR(__xludf.DUMMYFUNCTION("""COMPUTED_VALUE"""),390812.49998842593)</f>
        <v/>
      </c>
      <c r="W37" s="438" t="n"/>
      <c r="X37" s="438">
        <f>IFERROR(__xludf.DUMMYFUNCTION("""COMPUTED_VALUE"""),"enemy_icon_chara_chi_00501")</f>
        <v/>
      </c>
      <c r="Y37" s="438">
        <f>IFERROR(__xludf.DUMMYFUNCTION("""COMPUTED_VALUE"""),"boss_icon_chara_chi_00501")</f>
        <v/>
      </c>
      <c r="Z37" s="438" t="n"/>
      <c r="AA37" s="439" t="n"/>
    </row>
    <row r="38">
      <c r="A38" s="439">
        <f>IFERROR(__xludf.DUMMYFUNCTION("""COMPUTED_VALUE"""),"chi")</f>
        <v/>
      </c>
      <c r="B38" s="435">
        <f>IFERROR(__xludf.DUMMYFUNCTION("""COMPUTED_VALUE"""),"チェンソーマン")</f>
        <v/>
      </c>
      <c r="C38" s="436">
        <f>IFERROR(__xludf.DUMMYFUNCTION("""COMPUTED_VALUE"""),"00601")</f>
        <v/>
      </c>
      <c r="D38" s="437">
        <f>IFERROR(__xludf.DUMMYFUNCTION("""COMPUTED_VALUE"""),"chara_chi_00601")</f>
        <v/>
      </c>
      <c r="E38" s="437">
        <f>IFERROR(__xludf.DUMMYFUNCTION("""COMPUTED_VALUE"""),"小紅")</f>
        <v/>
      </c>
      <c r="F38" s="439">
        <f>IFERROR(__xludf.DUMMYFUNCTION("""COMPUTED_VALUE"""),"選定中")</f>
        <v/>
      </c>
      <c r="G38" s="439" t="n"/>
      <c r="H38" s="438">
        <f>IFERROR(__xludf.DUMMYFUNCTION("""COMPUTED_VALUE"""),"SR")</f>
        <v/>
      </c>
      <c r="I38" s="439">
        <f>IFERROR(__xludf.DUMMYFUNCTION("""COMPUTED_VALUE"""),"DropSR")</f>
        <v/>
      </c>
      <c r="J38" s="438">
        <f>IFERROR(__xludf.DUMMYFUNCTION("""COMPUTED_VALUE"""),"調整中")</f>
        <v/>
      </c>
      <c r="K38" s="438">
        <f>IFERROR(__xludf.DUMMYFUNCTION("""COMPUTED_VALUE"""),"chara")</f>
        <v/>
      </c>
      <c r="L38" s="438">
        <f>IFERROR(__xludf.DUMMYFUNCTION("""COMPUTED_VALUE"""),"調整中")</f>
        <v/>
      </c>
      <c r="M38" s="447" t="n"/>
      <c r="N38" s="440" t="n"/>
      <c r="O38" s="440" t="n"/>
      <c r="P38" s="440" t="n"/>
      <c r="Q38" s="440">
        <f>IFERROR(__xludf.DUMMYFUNCTION("""COMPUTED_VALUE"""),"1.30")</f>
        <v/>
      </c>
      <c r="R38" s="441">
        <f>IFERROR(__xludf.DUMMYFUNCTION("""COMPUTED_VALUE"""),"stop有:1回目 0.36")</f>
        <v/>
      </c>
      <c r="S38" s="441">
        <f>IFERROR(__xludf.DUMMYFUNCTION("""COMPUTED_VALUE"""),"2.07")</f>
        <v/>
      </c>
      <c r="T38" s="442">
        <f>IFERROR(__xludf.DUMMYFUNCTION("""COMPUTED_VALUE"""),"stop有:1回目 1.20")</f>
        <v/>
      </c>
      <c r="U38" s="443">
        <f>IFERROR(__xludf.DUMMYFUNCTION("""COMPUTED_VALUE"""),"実装未定")</f>
        <v/>
      </c>
      <c r="V38" s="444">
        <f>IFERROR(__xludf.DUMMYFUNCTION("""COMPUTED_VALUE"""),390812.49998842593)</f>
        <v/>
      </c>
      <c r="W38" s="438" t="n"/>
      <c r="X38" s="438">
        <f>IFERROR(__xludf.DUMMYFUNCTION("""COMPUTED_VALUE"""),"enemy_icon_chara_chi_00601")</f>
        <v/>
      </c>
      <c r="Y38" s="438">
        <f>IFERROR(__xludf.DUMMYFUNCTION("""COMPUTED_VALUE"""),"boss_icon_chara_chi_00601")</f>
        <v/>
      </c>
      <c r="Z38" s="438" t="n"/>
      <c r="AA38" s="439" t="n"/>
    </row>
    <row r="39">
      <c r="A39" s="439">
        <f>IFERROR(__xludf.DUMMYFUNCTION("""COMPUTED_VALUE"""),"chi")</f>
        <v/>
      </c>
      <c r="B39" s="435">
        <f>IFERROR(__xludf.DUMMYFUNCTION("""COMPUTED_VALUE"""),"チェンソーマン")</f>
        <v/>
      </c>
      <c r="C39" s="436">
        <f>IFERROR(__xludf.DUMMYFUNCTION("""COMPUTED_VALUE"""),"00701")</f>
        <v/>
      </c>
      <c r="D39" s="437">
        <f>IFERROR(__xludf.DUMMYFUNCTION("""COMPUTED_VALUE"""),"chara_chi_00701")</f>
        <v/>
      </c>
      <c r="E39" s="437">
        <f>IFERROR(__xludf.DUMMYFUNCTION("""COMPUTED_VALUE"""),"沢渡 アカネ")</f>
        <v/>
      </c>
      <c r="F39" s="439">
        <f>IFERROR(__xludf.DUMMYFUNCTION("""COMPUTED_VALUE"""),"選定中")</f>
        <v/>
      </c>
      <c r="G39" s="439" t="n"/>
      <c r="H39" s="438">
        <f>IFERROR(__xludf.DUMMYFUNCTION("""COMPUTED_VALUE"""),"SR")</f>
        <v/>
      </c>
      <c r="I39" s="439">
        <f>IFERROR(__xludf.DUMMYFUNCTION("""COMPUTED_VALUE"""),"DropSR")</f>
        <v/>
      </c>
      <c r="J39" s="438">
        <f>IFERROR(__xludf.DUMMYFUNCTION("""COMPUTED_VALUE"""),"調整中")</f>
        <v/>
      </c>
      <c r="K39" s="438">
        <f>IFERROR(__xludf.DUMMYFUNCTION("""COMPUTED_VALUE"""),"chara")</f>
        <v/>
      </c>
      <c r="L39" s="438">
        <f>IFERROR(__xludf.DUMMYFUNCTION("""COMPUTED_VALUE"""),"調整中")</f>
        <v/>
      </c>
      <c r="M39" s="447" t="n"/>
      <c r="N39" s="440" t="n"/>
      <c r="O39" s="440" t="n"/>
      <c r="P39" s="440" t="n"/>
      <c r="Q39" s="440">
        <f>IFERROR(__xludf.DUMMYFUNCTION("""COMPUTED_VALUE"""),"1.2")</f>
        <v/>
      </c>
      <c r="R39" s="441">
        <f>IFERROR(__xludf.DUMMYFUNCTION("""COMPUTED_VALUE"""),"0.27")</f>
        <v/>
      </c>
      <c r="S39" s="441">
        <f>IFERROR(__xludf.DUMMYFUNCTION("""COMPUTED_VALUE"""),"2.27")</f>
        <v/>
      </c>
      <c r="T39" s="442">
        <f>IFERROR(__xludf.DUMMYFUNCTION("""COMPUTED_VALUE"""),"stop有:0.86")</f>
        <v/>
      </c>
      <c r="U39" s="443">
        <f>IFERROR(__xludf.DUMMYFUNCTION("""COMPUTED_VALUE"""),"実装未定")</f>
        <v/>
      </c>
      <c r="V39" s="444">
        <f>IFERROR(__xludf.DUMMYFUNCTION("""COMPUTED_VALUE"""),390812.49998842593)</f>
        <v/>
      </c>
      <c r="W39" s="438" t="n"/>
      <c r="X39" s="438">
        <f>IFERROR(__xludf.DUMMYFUNCTION("""COMPUTED_VALUE"""),"enemy_icon_chara_chi_00701")</f>
        <v/>
      </c>
      <c r="Y39" s="438">
        <f>IFERROR(__xludf.DUMMYFUNCTION("""COMPUTED_VALUE"""),"boss_icon_chara_chi_00701")</f>
        <v/>
      </c>
      <c r="Z39" s="438" t="n"/>
      <c r="AA39" s="439" t="n"/>
    </row>
    <row r="40">
      <c r="A40" s="439">
        <f>IFERROR(__xludf.DUMMYFUNCTION("""COMPUTED_VALUE"""),"chi")</f>
        <v/>
      </c>
      <c r="B40" s="435">
        <f>IFERROR(__xludf.DUMMYFUNCTION("""COMPUTED_VALUE"""),"チェンソーマン")</f>
        <v/>
      </c>
      <c r="C40" s="436">
        <f>IFERROR(__xludf.DUMMYFUNCTION("""COMPUTED_VALUE"""),"00801")</f>
        <v/>
      </c>
      <c r="D40" s="437">
        <f>IFERROR(__xludf.DUMMYFUNCTION("""COMPUTED_VALUE"""),"chara_chi_00801")</f>
        <v/>
      </c>
      <c r="E40" s="437">
        <f>IFERROR(__xludf.DUMMYFUNCTION("""COMPUTED_VALUE"""),"サムライソード")</f>
        <v/>
      </c>
      <c r="F40" s="439">
        <f>IFERROR(__xludf.DUMMYFUNCTION("""COMPUTED_VALUE"""),"選定中")</f>
        <v/>
      </c>
      <c r="G40" s="439" t="n"/>
      <c r="H40" s="438">
        <f>IFERROR(__xludf.DUMMYFUNCTION("""COMPUTED_VALUE"""),"SR")</f>
        <v/>
      </c>
      <c r="I40" s="439">
        <f>IFERROR(__xludf.DUMMYFUNCTION("""COMPUTED_VALUE"""),"DropSR")</f>
        <v/>
      </c>
      <c r="J40" s="438">
        <f>IFERROR(__xludf.DUMMYFUNCTION("""COMPUTED_VALUE"""),"調整中")</f>
        <v/>
      </c>
      <c r="K40" s="438">
        <f>IFERROR(__xludf.DUMMYFUNCTION("""COMPUTED_VALUE"""),"chara")</f>
        <v/>
      </c>
      <c r="L40" s="438">
        <f>IFERROR(__xludf.DUMMYFUNCTION("""COMPUTED_VALUE"""),"調整中")</f>
        <v/>
      </c>
      <c r="M40" s="447" t="n"/>
      <c r="N40" s="440" t="n"/>
      <c r="O40" s="440" t="n"/>
      <c r="P40" s="440" t="n"/>
      <c r="Q40" s="440">
        <f>IFERROR(__xludf.DUMMYFUNCTION("""COMPUTED_VALUE"""),"1.37")</f>
        <v/>
      </c>
      <c r="R40" s="441">
        <f>IFERROR(__xludf.DUMMYFUNCTION("""COMPUTED_VALUE"""),"stop有:1回目0.58")</f>
        <v/>
      </c>
      <c r="S40" s="441">
        <f>IFERROR(__xludf.DUMMYFUNCTION("""COMPUTED_VALUE"""),"2.07")</f>
        <v/>
      </c>
      <c r="T40" s="442">
        <f>IFERROR(__xludf.DUMMYFUNCTION("""COMPUTED_VALUE"""),"stop有:1回目0.91")</f>
        <v/>
      </c>
      <c r="U40" s="443">
        <f>IFERROR(__xludf.DUMMYFUNCTION("""COMPUTED_VALUE"""),"実装未定")</f>
        <v/>
      </c>
      <c r="V40" s="444">
        <f>IFERROR(__xludf.DUMMYFUNCTION("""COMPUTED_VALUE"""),390812.49998842593)</f>
        <v/>
      </c>
      <c r="W40" s="438" t="n"/>
      <c r="X40" s="438">
        <f>IFERROR(__xludf.DUMMYFUNCTION("""COMPUTED_VALUE"""),"enemy_icon_chara_chi_00801")</f>
        <v/>
      </c>
      <c r="Y40" s="438">
        <f>IFERROR(__xludf.DUMMYFUNCTION("""COMPUTED_VALUE"""),"boss_icon_chara_chi_00801")</f>
        <v/>
      </c>
      <c r="Z40" s="438" t="n"/>
      <c r="AA40" s="439" t="n"/>
    </row>
    <row r="41">
      <c r="A41" s="439">
        <f>IFERROR(__xludf.DUMMYFUNCTION("""COMPUTED_VALUE"""),"chi")</f>
        <v/>
      </c>
      <c r="B41" s="435">
        <f>IFERROR(__xludf.DUMMYFUNCTION("""COMPUTED_VALUE"""),"チェンソーマン")</f>
        <v/>
      </c>
      <c r="C41" s="436">
        <f>IFERROR(__xludf.DUMMYFUNCTION("""COMPUTED_VALUE"""),"00901")</f>
        <v/>
      </c>
      <c r="D41" s="437">
        <f>IFERROR(__xludf.DUMMYFUNCTION("""COMPUTED_VALUE"""),"chara_chi_00901")</f>
        <v/>
      </c>
      <c r="E41" s="437">
        <f>IFERROR(__xludf.DUMMYFUNCTION("""COMPUTED_VALUE"""),"レゼ")</f>
        <v/>
      </c>
      <c r="F41" s="439">
        <f>IFERROR(__xludf.DUMMYFUNCTION("""COMPUTED_VALUE"""),"選定中")</f>
        <v/>
      </c>
      <c r="G41" s="439" t="n"/>
      <c r="H41" s="438">
        <f>IFERROR(__xludf.DUMMYFUNCTION("""COMPUTED_VALUE"""),"UR")</f>
        <v/>
      </c>
      <c r="I41" s="439" t="n"/>
      <c r="J41" s="438" t="n"/>
      <c r="K41" s="438">
        <f>IFERROR(__xludf.DUMMYFUNCTION("""COMPUTED_VALUE"""),"chara")</f>
        <v/>
      </c>
      <c r="L41" s="438" t="n"/>
      <c r="M41" s="447" t="n"/>
      <c r="N41" s="440" t="n"/>
      <c r="O41" s="440" t="n"/>
      <c r="P41" s="440" t="n"/>
      <c r="Q41" s="440" t="n"/>
      <c r="R41" s="441" t="n"/>
      <c r="S41" s="441" t="n"/>
      <c r="T41" s="460" t="n"/>
      <c r="U41" s="448" t="n"/>
      <c r="V41" s="448" t="n"/>
      <c r="W41" s="438" t="n"/>
      <c r="X41" s="438" t="n"/>
      <c r="Y41" s="438" t="n"/>
      <c r="Z41" s="438" t="n"/>
      <c r="AA41" s="439" t="n"/>
    </row>
    <row r="42">
      <c r="A42" s="439">
        <f>IFERROR(__xludf.DUMMYFUNCTION("""COMPUTED_VALUE"""),"bat")</f>
        <v/>
      </c>
      <c r="B42" s="435">
        <f>IFERROR(__xludf.DUMMYFUNCTION("""COMPUTED_VALUE"""),"忘却バッテリー")</f>
        <v/>
      </c>
      <c r="C42" s="436">
        <f>IFERROR(__xludf.DUMMYFUNCTION("""COMPUTED_VALUE"""),"00001")</f>
        <v/>
      </c>
      <c r="D42" s="437">
        <f>IFERROR(__xludf.DUMMYFUNCTION("""COMPUTED_VALUE"""),"chara_bat_00001")</f>
        <v/>
      </c>
      <c r="E42" s="437">
        <f>IFERROR(__xludf.DUMMYFUNCTION("""COMPUTED_VALUE"""),"清峰 葉流火")</f>
        <v/>
      </c>
      <c r="F42" s="439">
        <f>IFERROR(__xludf.DUMMYFUNCTION("""COMPUTED_VALUE"""),"清峰 葉流火")</f>
        <v/>
      </c>
      <c r="G42" s="439">
        <f>IFERROR(__xludf.DUMMYFUNCTION("""COMPUTED_VALUE"""),"負ける気なんて毛頭ない")</f>
        <v/>
      </c>
      <c r="H42" s="438">
        <f>IFERROR(__xludf.DUMMYFUNCTION("""COMPUTED_VALUE"""),"SR")</f>
        <v/>
      </c>
      <c r="I42" s="439">
        <f>IFERROR(__xludf.DUMMYFUNCTION("""COMPUTED_VALUE"""),"PremiumSR")</f>
        <v/>
      </c>
      <c r="J42" s="438">
        <f>IFERROR(__xludf.DUMMYFUNCTION("""COMPUTED_VALUE"""),"赤")</f>
        <v/>
      </c>
      <c r="K42" s="438">
        <f>IFERROR(__xludf.DUMMYFUNCTION("""COMPUTED_VALUE"""),"chara")</f>
        <v/>
      </c>
      <c r="L42" s="438">
        <f>IFERROR(__xludf.DUMMYFUNCTION("""COMPUTED_VALUE"""),"アタック")</f>
        <v/>
      </c>
      <c r="M42" s="447">
        <f>IFERROR(__xludf.DUMMYFUNCTION("""COMPUTED_VALUE"""),"dageki_1")</f>
        <v/>
      </c>
      <c r="N42" s="440">
        <f>IFERROR(__xludf.DUMMYFUNCTION("""COMPUTED_VALUE"""),"Long")</f>
        <v/>
      </c>
      <c r="O42" s="440">
        <f>IFERROR(__xludf.DUMMYFUNCTION("""COMPUTED_VALUE"""),"dageki_2")</f>
        <v/>
      </c>
      <c r="P42" s="440">
        <f>IFERROR(__xludf.DUMMYFUNCTION("""COMPUTED_VALUE"""),"00001")</f>
        <v/>
      </c>
      <c r="Q42" s="440">
        <f>IFERROR(__xludf.DUMMYFUNCTION("""COMPUTED_VALUE"""),"1.97")</f>
        <v/>
      </c>
      <c r="R42" s="441">
        <f>IFERROR(__xludf.DUMMYFUNCTION("""COMPUTED_VALUE"""),"0.70")</f>
        <v/>
      </c>
      <c r="S42" s="441">
        <f>IFERROR(__xludf.DUMMYFUNCTION("""COMPUTED_VALUE"""),"2.07")</f>
        <v/>
      </c>
      <c r="T42" s="442">
        <f>IFERROR(__xludf.DUMMYFUNCTION("""COMPUTED_VALUE"""),"0.96")</f>
        <v/>
      </c>
      <c r="U42" s="444">
        <f>IFERROR(__xludf.DUMMYFUNCTION("""COMPUTED_VALUE"""),45922.458333333336)</f>
        <v/>
      </c>
      <c r="V42" s="444">
        <f>IFERROR(__xludf.DUMMYFUNCTION("""COMPUTED_VALUE"""),390812.49998842593)</f>
        <v/>
      </c>
      <c r="W42" s="438">
        <f>IFERROR(__xludf.DUMMYFUNCTION("""COMPUTED_VALUE"""),"catchcopy_character_chara_bat_00001.png")</f>
        <v/>
      </c>
      <c r="X42" s="438">
        <f>IFERROR(__xludf.DUMMYFUNCTION("""COMPUTED_VALUE"""),"enemy_icon_chara_bat_00001")</f>
        <v/>
      </c>
      <c r="Y42" s="438">
        <f>IFERROR(__xludf.DUMMYFUNCTION("""COMPUTED_VALUE"""),"boss_icon_chara_bat_00001")</f>
        <v/>
      </c>
      <c r="Z42" s="438">
        <f>IFERROR(__xludf.DUMMYFUNCTION("""COMPUTED_VALUE"""),"chara_bat_00001_normal")</f>
        <v/>
      </c>
      <c r="AA42" s="439">
        <f>IFERROR(__xludf.DUMMYFUNCTION("""COMPUTED_VALUE"""),"chara_bat_00001_special")</f>
        <v/>
      </c>
    </row>
    <row r="43">
      <c r="A43" s="439">
        <f>IFERROR(__xludf.DUMMYFUNCTION("""COMPUTED_VALUE"""),"bat")</f>
        <v/>
      </c>
      <c r="B43" s="435">
        <f>IFERROR(__xludf.DUMMYFUNCTION("""COMPUTED_VALUE"""),"忘却バッテリー")</f>
        <v/>
      </c>
      <c r="C43" s="436">
        <f>IFERROR(__xludf.DUMMYFUNCTION("""COMPUTED_VALUE"""),"00101")</f>
        <v/>
      </c>
      <c r="D43" s="437">
        <f>IFERROR(__xludf.DUMMYFUNCTION("""COMPUTED_VALUE"""),"chara_bat_00101")</f>
        <v/>
      </c>
      <c r="E43" s="437">
        <f>IFERROR(__xludf.DUMMYFUNCTION("""COMPUTED_VALUE"""),"要 圭")</f>
        <v/>
      </c>
      <c r="F43" s="438">
        <f>IFERROR(__xludf.DUMMYFUNCTION("""COMPUTED_VALUE"""),"要 圭")</f>
        <v/>
      </c>
      <c r="G43" s="438">
        <f>IFERROR(__xludf.DUMMYFUNCTION("""COMPUTED_VALUE"""),"天才捕手 要圭")</f>
        <v/>
      </c>
      <c r="H43" s="438">
        <f>IFERROR(__xludf.DUMMYFUNCTION("""COMPUTED_VALUE"""),"SR")</f>
        <v/>
      </c>
      <c r="I43" s="439">
        <f>IFERROR(__xludf.DUMMYFUNCTION("""COMPUTED_VALUE"""),"PremiumSR")</f>
        <v/>
      </c>
      <c r="J43" s="438">
        <f>IFERROR(__xludf.DUMMYFUNCTION("""COMPUTED_VALUE"""),"赤")</f>
        <v/>
      </c>
      <c r="K43" s="438">
        <f>IFERROR(__xludf.DUMMYFUNCTION("""COMPUTED_VALUE"""),"chara")</f>
        <v/>
      </c>
      <c r="L43" s="438">
        <f>IFERROR(__xludf.DUMMYFUNCTION("""COMPUTED_VALUE"""),"ディフェンス")</f>
        <v/>
      </c>
      <c r="M43" s="447">
        <f>IFERROR(__xludf.DUMMYFUNCTION("""COMPUTED_VALUE"""),"dageki_1")</f>
        <v/>
      </c>
      <c r="N43" s="440">
        <f>IFERROR(__xludf.DUMMYFUNCTION("""COMPUTED_VALUE"""),"Middle")</f>
        <v/>
      </c>
      <c r="O43" s="440">
        <f>IFERROR(__xludf.DUMMYFUNCTION("""COMPUTED_VALUE"""),"-")</f>
        <v/>
      </c>
      <c r="P43" s="440">
        <f>IFERROR(__xludf.DUMMYFUNCTION("""COMPUTED_VALUE"""),"00101")</f>
        <v/>
      </c>
      <c r="Q43" s="440" t="n"/>
      <c r="R43" s="441">
        <f>IFERROR(__xludf.DUMMYFUNCTION("""COMPUTED_VALUE"""),"0.75")</f>
        <v/>
      </c>
      <c r="S43" s="441">
        <f>IFERROR(__xludf.DUMMYFUNCTION("""COMPUTED_VALUE"""),"3.00")</f>
        <v/>
      </c>
      <c r="T43" s="442">
        <f>IFERROR(__xludf.DUMMYFUNCTION("""COMPUTED_VALUE"""),"1.20")</f>
        <v/>
      </c>
      <c r="U43" s="444">
        <f>IFERROR(__xludf.DUMMYFUNCTION("""COMPUTED_VALUE"""),45922.458333333336)</f>
        <v/>
      </c>
      <c r="V43" s="444">
        <f>IFERROR(__xludf.DUMMYFUNCTION("""COMPUTED_VALUE"""),390812.49998842593)</f>
        <v/>
      </c>
      <c r="W43" s="438">
        <f>IFERROR(__xludf.DUMMYFUNCTION("""COMPUTED_VALUE"""),"catchcopy_character_chara_bat_00101.png")</f>
        <v/>
      </c>
      <c r="X43" s="438">
        <f>IFERROR(__xludf.DUMMYFUNCTION("""COMPUTED_VALUE"""),"enemy_icon_chara_bat_00101")</f>
        <v/>
      </c>
      <c r="Y43" s="438">
        <f>IFERROR(__xludf.DUMMYFUNCTION("""COMPUTED_VALUE"""),"boss_icon_chara_bat_00101")</f>
        <v/>
      </c>
      <c r="Z43" s="438">
        <f>IFERROR(__xludf.DUMMYFUNCTION("""COMPUTED_VALUE"""),"chara_bat_00101_normal")</f>
        <v/>
      </c>
      <c r="AA43" s="439">
        <f>IFERROR(__xludf.DUMMYFUNCTION("""COMPUTED_VALUE"""),"chara_bat_00101_special")</f>
        <v/>
      </c>
    </row>
    <row r="44">
      <c r="A44" s="439">
        <f>IFERROR(__xludf.DUMMYFUNCTION("""COMPUTED_VALUE"""),"bat")</f>
        <v/>
      </c>
      <c r="B44" s="435">
        <f>IFERROR(__xludf.DUMMYFUNCTION("""COMPUTED_VALUE"""),"忘却バッテリー")</f>
        <v/>
      </c>
      <c r="C44" s="436">
        <f>IFERROR(__xludf.DUMMYFUNCTION("""COMPUTED_VALUE"""),"00102")</f>
        <v/>
      </c>
      <c r="D44" s="437">
        <f>IFERROR(__xludf.DUMMYFUNCTION("""COMPUTED_VALUE"""),"chara_bat_00102")</f>
        <v/>
      </c>
      <c r="E44" s="437">
        <f>IFERROR(__xludf.DUMMYFUNCTION("""COMPUTED_VALUE"""),"智将 要 圭")</f>
        <v/>
      </c>
      <c r="F44" s="439">
        <f>IFERROR(__xludf.DUMMYFUNCTION("""COMPUTED_VALUE"""),"選定中")</f>
        <v/>
      </c>
      <c r="G44" s="438" t="n"/>
      <c r="H44" s="439">
        <f>IFERROR(__xludf.DUMMYFUNCTION("""COMPUTED_VALUE"""),"UR")</f>
        <v/>
      </c>
      <c r="I44" s="439">
        <f>IFERROR(__xludf.DUMMYFUNCTION("""COMPUTED_VALUE"""),"PremiumUR")</f>
        <v/>
      </c>
      <c r="J44" s="438">
        <f>IFERROR(__xludf.DUMMYFUNCTION("""COMPUTED_VALUE"""),"無")</f>
        <v/>
      </c>
      <c r="K44" s="438">
        <f>IFERROR(__xludf.DUMMYFUNCTION("""COMPUTED_VALUE"""),"chara")</f>
        <v/>
      </c>
      <c r="L44" s="438">
        <f>IFERROR(__xludf.DUMMYFUNCTION("""COMPUTED_VALUE"""),"スペシャル")</f>
        <v/>
      </c>
      <c r="M44" s="436" t="n"/>
      <c r="N44" s="461" t="n"/>
      <c r="O44" s="461" t="n"/>
      <c r="P44" s="461" t="n"/>
      <c r="Q44" s="461">
        <f>IFERROR(__xludf.DUMMYFUNCTION("""COMPUTED_VALUE"""),"-")</f>
        <v/>
      </c>
      <c r="R44" s="462">
        <f>IFERROR(__xludf.DUMMYFUNCTION("""COMPUTED_VALUE"""),"-")</f>
        <v/>
      </c>
      <c r="S44" s="462">
        <f>IFERROR(__xludf.DUMMYFUNCTION("""COMPUTED_VALUE"""),"2.5")</f>
        <v/>
      </c>
      <c r="T44" s="436">
        <f>IFERROR(__xludf.DUMMYFUNCTION("""COMPUTED_VALUE"""),"stop無:1回目 1")</f>
        <v/>
      </c>
      <c r="U44" s="448" t="n"/>
      <c r="V44" s="448" t="n"/>
      <c r="W44" s="438" t="n"/>
      <c r="X44" s="438" t="n"/>
      <c r="Y44" s="438" t="n"/>
      <c r="Z44" s="438" t="n"/>
      <c r="AA44" s="439" t="n"/>
    </row>
    <row r="45">
      <c r="A45" s="439">
        <f>IFERROR(__xludf.DUMMYFUNCTION("""COMPUTED_VALUE"""),"bat")</f>
        <v/>
      </c>
      <c r="B45" s="435">
        <f>IFERROR(__xludf.DUMMYFUNCTION("""COMPUTED_VALUE"""),"忘却バッテリー")</f>
        <v/>
      </c>
      <c r="C45" s="436">
        <f>IFERROR(__xludf.DUMMYFUNCTION("""COMPUTED_VALUE"""),"00201")</f>
        <v/>
      </c>
      <c r="D45" s="437">
        <f>IFERROR(__xludf.DUMMYFUNCTION("""COMPUTED_VALUE"""),"chara_bat_00201")</f>
        <v/>
      </c>
      <c r="E45" s="437">
        <f>IFERROR(__xludf.DUMMYFUNCTION("""COMPUTED_VALUE"""),"千早 瞬平")</f>
        <v/>
      </c>
      <c r="F45" s="439">
        <f>IFERROR(__xludf.DUMMYFUNCTION("""COMPUTED_VALUE"""),"選定中")</f>
        <v/>
      </c>
      <c r="G45" s="438" t="n"/>
      <c r="H45" s="439">
        <f>IFERROR(__xludf.DUMMYFUNCTION("""COMPUTED_VALUE"""),"SR")</f>
        <v/>
      </c>
      <c r="I45" s="439">
        <f>IFERROR(__xludf.DUMMYFUNCTION("""COMPUTED_VALUE"""),"DropSR")</f>
        <v/>
      </c>
      <c r="J45" s="438">
        <f>IFERROR(__xludf.DUMMYFUNCTION("""COMPUTED_VALUE"""),"緑")</f>
        <v/>
      </c>
      <c r="K45" s="438">
        <f>IFERROR(__xludf.DUMMYFUNCTION("""COMPUTED_VALUE"""),"chara")</f>
        <v/>
      </c>
      <c r="L45" s="438" t="n"/>
      <c r="M45" s="436" t="n"/>
      <c r="N45" s="440" t="n"/>
      <c r="O45" s="440" t="n"/>
      <c r="P45" s="440" t="n"/>
      <c r="Q45" s="440">
        <f>IFERROR(__xludf.DUMMYFUNCTION("""COMPUTED_VALUE"""),"1.55")</f>
        <v/>
      </c>
      <c r="R45" s="441">
        <f>IFERROR(__xludf.DUMMYFUNCTION("""COMPUTED_VALUE"""),"stop有:1回目 0.38")</f>
        <v/>
      </c>
      <c r="S45" s="441">
        <f>IFERROR(__xludf.DUMMYFUNCTION("""COMPUTED_VALUE"""),"2.65")</f>
        <v/>
      </c>
      <c r="T45" s="442">
        <f>IFERROR(__xludf.DUMMYFUNCTION("""COMPUTED_VALUE"""),"stop有:1回目 1.08")</f>
        <v/>
      </c>
      <c r="U45" s="448" t="n"/>
      <c r="V45" s="448" t="n"/>
      <c r="W45" s="438" t="n"/>
      <c r="X45" s="438" t="n"/>
      <c r="Y45" s="438" t="n"/>
      <c r="Z45" s="438" t="n"/>
      <c r="AA45" s="439" t="n"/>
    </row>
    <row r="46">
      <c r="A46" s="439">
        <f>IFERROR(__xludf.DUMMYFUNCTION("""COMPUTED_VALUE"""),"bat")</f>
        <v/>
      </c>
      <c r="B46" s="435">
        <f>IFERROR(__xludf.DUMMYFUNCTION("""COMPUTED_VALUE"""),"忘却バッテリー")</f>
        <v/>
      </c>
      <c r="C46" s="436">
        <f>IFERROR(__xludf.DUMMYFUNCTION("""COMPUTED_VALUE"""),"00301")</f>
        <v/>
      </c>
      <c r="D46" s="437">
        <f>IFERROR(__xludf.DUMMYFUNCTION("""COMPUTED_VALUE"""),"chara_bat_00301")</f>
        <v/>
      </c>
      <c r="E46" s="437">
        <f>IFERROR(__xludf.DUMMYFUNCTION("""COMPUTED_VALUE"""),"藤堂 葵")</f>
        <v/>
      </c>
      <c r="F46" s="439">
        <f>IFERROR(__xludf.DUMMYFUNCTION("""COMPUTED_VALUE"""),"選定中")</f>
        <v/>
      </c>
      <c r="G46" s="438" t="n"/>
      <c r="H46" s="439">
        <f>IFERROR(__xludf.DUMMYFUNCTION("""COMPUTED_VALUE"""),"SR")</f>
        <v/>
      </c>
      <c r="I46" s="439">
        <f>IFERROR(__xludf.DUMMYFUNCTION("""COMPUTED_VALUE"""),"DropSR")</f>
        <v/>
      </c>
      <c r="J46" s="438">
        <f>IFERROR(__xludf.DUMMYFUNCTION("""COMPUTED_VALUE"""),"青")</f>
        <v/>
      </c>
      <c r="K46" s="438">
        <f>IFERROR(__xludf.DUMMYFUNCTION("""COMPUTED_VALUE"""),"chara")</f>
        <v/>
      </c>
      <c r="L46" s="438" t="n"/>
      <c r="M46" s="436" t="n"/>
      <c r="N46" s="440" t="n"/>
      <c r="O46" s="440" t="n"/>
      <c r="P46" s="440" t="n"/>
      <c r="Q46" s="440">
        <f>IFERROR(__xludf.DUMMYFUNCTION("""COMPUTED_VALUE"""),"1.77")</f>
        <v/>
      </c>
      <c r="R46" s="441">
        <f>IFERROR(__xludf.DUMMYFUNCTION("""COMPUTED_VALUE"""),"stop有:1回目 0.7")</f>
        <v/>
      </c>
      <c r="S46" s="441">
        <f>IFERROR(__xludf.DUMMYFUNCTION("""COMPUTED_VALUE"""),"2.67")</f>
        <v/>
      </c>
      <c r="T46" s="442">
        <f>IFERROR(__xludf.DUMMYFUNCTION("""COMPUTED_VALUE"""),"stop有:1回目 1.15")</f>
        <v/>
      </c>
      <c r="U46" s="448" t="n"/>
      <c r="V46" s="448" t="n"/>
      <c r="W46" s="438" t="n"/>
      <c r="X46" s="438" t="n"/>
      <c r="Y46" s="438" t="n"/>
      <c r="Z46" s="438" t="n"/>
      <c r="AA46" s="439" t="n"/>
    </row>
    <row r="47">
      <c r="A47" s="439">
        <f>IFERROR(__xludf.DUMMYFUNCTION("""COMPUTED_VALUE"""),"kai")</f>
        <v/>
      </c>
      <c r="B47" s="435">
        <f>IFERROR(__xludf.DUMMYFUNCTION("""COMPUTED_VALUE"""),"怪獣８号")</f>
        <v/>
      </c>
      <c r="C47" s="436">
        <f>IFERROR(__xludf.DUMMYFUNCTION("""COMPUTED_VALUE"""),"00001")</f>
        <v/>
      </c>
      <c r="D47" s="437">
        <f>IFERROR(__xludf.DUMMYFUNCTION("""COMPUTED_VALUE"""),"chara_kai_00001")</f>
        <v/>
      </c>
      <c r="E47" s="437">
        <f>IFERROR(__xludf.DUMMYFUNCTION("""COMPUTED_VALUE"""),"日比野 カフカ")</f>
        <v/>
      </c>
      <c r="F47" s="439">
        <f>IFERROR(__xludf.DUMMYFUNCTION("""COMPUTED_VALUE"""),"日比野 カフカ")</f>
        <v/>
      </c>
      <c r="G47" s="438">
        <f>IFERROR(__xludf.DUMMYFUNCTION("""COMPUTED_VALUE"""),"部分変身!!")</f>
        <v/>
      </c>
      <c r="H47" s="439">
        <f>IFERROR(__xludf.DUMMYFUNCTION("""COMPUTED_VALUE"""),"R")</f>
        <v/>
      </c>
      <c r="I47" s="439">
        <f>IFERROR(__xludf.DUMMYFUNCTION("""COMPUTED_VALUE"""),"PremiumR")</f>
        <v/>
      </c>
      <c r="J47" s="438">
        <f>IFERROR(__xludf.DUMMYFUNCTION("""COMPUTED_VALUE"""),"黄")</f>
        <v/>
      </c>
      <c r="K47" s="438">
        <f>IFERROR(__xludf.DUMMYFUNCTION("""COMPUTED_VALUE"""),"chara")</f>
        <v/>
      </c>
      <c r="L47" s="438">
        <f>IFERROR(__xludf.DUMMYFUNCTION("""COMPUTED_VALUE"""),"アタック")</f>
        <v/>
      </c>
      <c r="M47" s="436">
        <f>IFERROR(__xludf.DUMMYFUNCTION("""COMPUTED_VALUE"""),"dageki_1")</f>
        <v/>
      </c>
      <c r="N47" s="440">
        <f>IFERROR(__xludf.DUMMYFUNCTION("""COMPUTED_VALUE"""),"Short")</f>
        <v/>
      </c>
      <c r="O47" s="440">
        <f>IFERROR(__xludf.DUMMYFUNCTION("""COMPUTED_VALUE"""),"-")</f>
        <v/>
      </c>
      <c r="P47" s="440">
        <f>IFERROR(__xludf.DUMMYFUNCTION("""COMPUTED_VALUE"""),"00001")</f>
        <v/>
      </c>
      <c r="Q47" s="440">
        <f>IFERROR(__xludf.DUMMYFUNCTION("""COMPUTED_VALUE"""),"1.83")</f>
        <v/>
      </c>
      <c r="R47" s="441">
        <f>IFERROR(__xludf.DUMMYFUNCTION("""COMPUTED_VALUE"""),"1.00")</f>
        <v/>
      </c>
      <c r="S47" s="441">
        <f>IFERROR(__xludf.DUMMYFUNCTION("""COMPUTED_VALUE"""),"2.33")</f>
        <v/>
      </c>
      <c r="T47" s="442">
        <f>IFERROR(__xludf.DUMMYFUNCTION("""COMPUTED_VALUE"""),"1.33")</f>
        <v/>
      </c>
      <c r="U47" s="444">
        <f>IFERROR(__xludf.DUMMYFUNCTION("""COMPUTED_VALUE"""),45922.458333333336)</f>
        <v/>
      </c>
      <c r="V47" s="444">
        <f>IFERROR(__xludf.DUMMYFUNCTION("""COMPUTED_VALUE"""),390812.49998842593)</f>
        <v/>
      </c>
      <c r="W47" s="438">
        <f>IFERROR(__xludf.DUMMYFUNCTION("""COMPUTED_VALUE"""),"catchcopy_character_chara_kai_00001.png")</f>
        <v/>
      </c>
      <c r="X47" s="438">
        <f>IFERROR(__xludf.DUMMYFUNCTION("""COMPUTED_VALUE"""),"enemy_icon_chara_kai_00001")</f>
        <v/>
      </c>
      <c r="Y47" s="438">
        <f>IFERROR(__xludf.DUMMYFUNCTION("""COMPUTED_VALUE"""),"boss_icon_chara_kai_00001")</f>
        <v/>
      </c>
      <c r="Z47" s="438" t="n"/>
      <c r="AA47" s="439">
        <f>IFERROR(__xludf.DUMMYFUNCTION("""COMPUTED_VALUE"""),"chara_kai_00001_special")</f>
        <v/>
      </c>
    </row>
    <row r="48">
      <c r="A48" s="439">
        <f>IFERROR(__xludf.DUMMYFUNCTION("""COMPUTED_VALUE"""),"kai")</f>
        <v/>
      </c>
      <c r="B48" s="435">
        <f>IFERROR(__xludf.DUMMYFUNCTION("""COMPUTED_VALUE"""),"怪獣８号")</f>
        <v/>
      </c>
      <c r="C48" s="436">
        <f>IFERROR(__xludf.DUMMYFUNCTION("""COMPUTED_VALUE"""),"00002")</f>
        <v/>
      </c>
      <c r="D48" s="437">
        <f>IFERROR(__xludf.DUMMYFUNCTION("""COMPUTED_VALUE"""),"chara_kai_00002")</f>
        <v/>
      </c>
      <c r="E48" s="437">
        <f>IFERROR(__xludf.DUMMYFUNCTION("""COMPUTED_VALUE"""),"隠された英雄の姿 怪獣８号")</f>
        <v/>
      </c>
      <c r="F48" s="438">
        <f>IFERROR(__xludf.DUMMYFUNCTION("""COMPUTED_VALUE"""),"隠された英雄の姿 怪獣８号")</f>
        <v/>
      </c>
      <c r="G48" s="438">
        <f>IFERROR(__xludf.DUMMYFUNCTION("""COMPUTED_VALUE"""),"あとは俺に任せろ")</f>
        <v/>
      </c>
      <c r="H48" s="438">
        <f>IFERROR(__xludf.DUMMYFUNCTION("""COMPUTED_VALUE"""),"UR")</f>
        <v/>
      </c>
      <c r="I48" s="439">
        <f>IFERROR(__xludf.DUMMYFUNCTION("""COMPUTED_VALUE"""),"PremiumUR")</f>
        <v/>
      </c>
      <c r="J48" s="438">
        <f>IFERROR(__xludf.DUMMYFUNCTION("""COMPUTED_VALUE"""),"緑")</f>
        <v/>
      </c>
      <c r="K48" s="438">
        <f>IFERROR(__xludf.DUMMYFUNCTION("""COMPUTED_VALUE"""),"chara")</f>
        <v/>
      </c>
      <c r="L48" s="438">
        <f>IFERROR(__xludf.DUMMYFUNCTION("""COMPUTED_VALUE"""),"アタック")</f>
        <v/>
      </c>
      <c r="M48" s="447">
        <f>IFERROR(__xludf.DUMMYFUNCTION("""COMPUTED_VALUE"""),"dageki_1")</f>
        <v/>
      </c>
      <c r="N48" s="440">
        <f>IFERROR(__xludf.DUMMYFUNCTION("""COMPUTED_VALUE"""),"Short")</f>
        <v/>
      </c>
      <c r="O48" s="440">
        <f>IFERROR(__xludf.DUMMYFUNCTION("""COMPUTED_VALUE"""),"dageki_2")</f>
        <v/>
      </c>
      <c r="P48" s="440">
        <f>IFERROR(__xludf.DUMMYFUNCTION("""COMPUTED_VALUE"""),"00002")</f>
        <v/>
      </c>
      <c r="Q48" s="440">
        <f>IFERROR(__xludf.DUMMYFUNCTION("""COMPUTED_VALUE"""),"1.50")</f>
        <v/>
      </c>
      <c r="R48" s="441">
        <f>IFERROR(__xludf.DUMMYFUNCTION("""COMPUTED_VALUE"""),"stop無:1回目 0.54")</f>
        <v/>
      </c>
      <c r="S48" s="441">
        <f>IFERROR(__xludf.DUMMYFUNCTION("""COMPUTED_VALUE"""),"2.40")</f>
        <v/>
      </c>
      <c r="T48" s="442">
        <f>IFERROR(__xludf.DUMMYFUNCTION("""COMPUTED_VALUE"""),"stop有:1回目 1.00
stop無:2回目 1.37
stop無:3回目 1.54
stop無:4回目 1.70
stop無:5回目 1.87
stop無:6回目 2.04")</f>
        <v/>
      </c>
      <c r="U48" s="444">
        <f>IFERROR(__xludf.DUMMYFUNCTION("""COMPUTED_VALUE"""),45922.458333333336)</f>
        <v/>
      </c>
      <c r="V48" s="444">
        <f>IFERROR(__xludf.DUMMYFUNCTION("""COMPUTED_VALUE"""),390812.49998842593)</f>
        <v/>
      </c>
      <c r="W48" s="438">
        <f>IFERROR(__xludf.DUMMYFUNCTION("""COMPUTED_VALUE"""),"catchcopy_character_chara_kai_00002.png")</f>
        <v/>
      </c>
      <c r="X48" s="438">
        <f>IFERROR(__xludf.DUMMYFUNCTION("""COMPUTED_VALUE"""),"enemy_icon_chara_kai_00002")</f>
        <v/>
      </c>
      <c r="Y48" s="438">
        <f>IFERROR(__xludf.DUMMYFUNCTION("""COMPUTED_VALUE"""),"boss_icon_chara_kai_00002")</f>
        <v/>
      </c>
      <c r="Z48" s="438">
        <f>IFERROR(__xludf.DUMMYFUNCTION("""COMPUTED_VALUE"""),"chara_kai_00002_normal")</f>
        <v/>
      </c>
      <c r="AA48" s="439">
        <f>IFERROR(__xludf.DUMMYFUNCTION("""COMPUTED_VALUE"""),"chara_kai_00002_special")</f>
        <v/>
      </c>
    </row>
    <row r="49">
      <c r="A49" s="439">
        <f>IFERROR(__xludf.DUMMYFUNCTION("""COMPUTED_VALUE"""),"kai")</f>
        <v/>
      </c>
      <c r="B49" s="435">
        <f>IFERROR(__xludf.DUMMYFUNCTION("""COMPUTED_VALUE"""),"怪獣８号")</f>
        <v/>
      </c>
      <c r="C49" s="436">
        <f>IFERROR(__xludf.DUMMYFUNCTION("""COMPUTED_VALUE"""),"00003")</f>
        <v/>
      </c>
      <c r="D49" s="437">
        <f>IFERROR(__xludf.DUMMYFUNCTION("""COMPUTED_VALUE"""),"chara_kai_00003")</f>
        <v/>
      </c>
      <c r="E49" s="437">
        <f>IFERROR(__xludf.DUMMYFUNCTION("""COMPUTED_VALUE"""),"ドレスアップ怪獣８号")</f>
        <v/>
      </c>
      <c r="F49" s="438">
        <f>IFERROR(__xludf.DUMMYFUNCTION("""COMPUTED_VALUE"""),"選定中")</f>
        <v/>
      </c>
      <c r="G49" s="438" t="n"/>
      <c r="H49" s="438">
        <f>IFERROR(__xludf.DUMMYFUNCTION("""COMPUTED_VALUE"""),"UR")</f>
        <v/>
      </c>
      <c r="I49" s="439">
        <f>IFERROR(__xludf.DUMMYFUNCTION("""COMPUTED_VALUE"""),"PremiumUR")</f>
        <v/>
      </c>
      <c r="J49" s="438" t="n"/>
      <c r="K49" s="438">
        <f>IFERROR(__xludf.DUMMYFUNCTION("""COMPUTED_VALUE"""),"chara")</f>
        <v/>
      </c>
      <c r="L49" s="438" t="n"/>
      <c r="M49" s="447" t="n"/>
      <c r="N49" s="440" t="n"/>
      <c r="O49" s="440" t="n"/>
      <c r="P49" s="440" t="n"/>
      <c r="Q49" s="440" t="n"/>
      <c r="R49" s="441" t="n"/>
      <c r="S49" s="441" t="n"/>
      <c r="T49" s="460" t="n"/>
      <c r="U49" s="448" t="n"/>
      <c r="V49" s="448" t="n"/>
      <c r="W49" s="438" t="n"/>
      <c r="X49" s="438" t="n"/>
      <c r="Y49" s="438" t="n"/>
      <c r="Z49" s="438" t="n"/>
      <c r="AA49" s="439" t="n"/>
    </row>
    <row r="50">
      <c r="A50" s="439">
        <f>IFERROR(__xludf.DUMMYFUNCTION("""COMPUTED_VALUE"""),"kai")</f>
        <v/>
      </c>
      <c r="B50" s="435">
        <f>IFERROR(__xludf.DUMMYFUNCTION("""COMPUTED_VALUE"""),"怪獣８号")</f>
        <v/>
      </c>
      <c r="C50" s="436">
        <f>IFERROR(__xludf.DUMMYFUNCTION("""COMPUTED_VALUE"""),"00101")</f>
        <v/>
      </c>
      <c r="D50" s="437">
        <f>IFERROR(__xludf.DUMMYFUNCTION("""COMPUTED_VALUE"""),"chara_kai_00101")</f>
        <v/>
      </c>
      <c r="E50" s="437">
        <f>IFERROR(__xludf.DUMMYFUNCTION("""COMPUTED_VALUE"""),"市川 レノ")</f>
        <v/>
      </c>
      <c r="F50" s="439">
        <f>IFERROR(__xludf.DUMMYFUNCTION("""COMPUTED_VALUE"""),"市川 レノ")</f>
        <v/>
      </c>
      <c r="G50" s="439">
        <f>IFERROR(__xludf.DUMMYFUNCTION("""COMPUTED_VALUE"""),"仲間のために体張れる男だ!!")</f>
        <v/>
      </c>
      <c r="H50" s="439">
        <f>IFERROR(__xludf.DUMMYFUNCTION("""COMPUTED_VALUE"""),"SR")</f>
        <v/>
      </c>
      <c r="I50" s="439">
        <f>IFERROR(__xludf.DUMMYFUNCTION("""COMPUTED_VALUE"""),"PremiumSR")</f>
        <v/>
      </c>
      <c r="J50" s="439">
        <f>IFERROR(__xludf.DUMMYFUNCTION("""COMPUTED_VALUE"""),"青")</f>
        <v/>
      </c>
      <c r="K50" s="439">
        <f>IFERROR(__xludf.DUMMYFUNCTION("""COMPUTED_VALUE"""),"chara")</f>
        <v/>
      </c>
      <c r="L50" s="438">
        <f>IFERROR(__xludf.DUMMYFUNCTION("""COMPUTED_VALUE"""),"テクニカル")</f>
        <v/>
      </c>
      <c r="M50" s="436">
        <f>IFERROR(__xludf.DUMMYFUNCTION("""COMPUTED_VALUE"""),"shageki_1")</f>
        <v/>
      </c>
      <c r="N50" s="440">
        <f>IFERROR(__xludf.DUMMYFUNCTION("""COMPUTED_VALUE"""),"Long")</f>
        <v/>
      </c>
      <c r="O50" s="440">
        <f>IFERROR(__xludf.DUMMYFUNCTION("""COMPUTED_VALUE"""),"shageki_1")</f>
        <v/>
      </c>
      <c r="P50" s="440">
        <f>IFERROR(__xludf.DUMMYFUNCTION("""COMPUTED_VALUE"""),"00101")</f>
        <v/>
      </c>
      <c r="Q50" s="440">
        <f>IFERROR(__xludf.DUMMYFUNCTION("""COMPUTED_VALUE"""),"1.40")</f>
        <v/>
      </c>
      <c r="R50" s="441">
        <f>IFERROR(__xludf.DUMMYFUNCTION("""COMPUTED_VALUE"""),"stop無:1回目 0.91")</f>
        <v/>
      </c>
      <c r="S50" s="441">
        <f>IFERROR(__xludf.DUMMYFUNCTION("""COMPUTED_VALUE"""),"3.17")</f>
        <v/>
      </c>
      <c r="T50" s="442">
        <f>IFERROR(__xludf.DUMMYFUNCTION("""COMPUTED_VALUE"""),"stop無:1回目 1.05
stop無:2回目 1.33
stop無:3回目 1.76")</f>
        <v/>
      </c>
      <c r="U50" s="444">
        <f>IFERROR(__xludf.DUMMYFUNCTION("""COMPUTED_VALUE"""),45922.458333333336)</f>
        <v/>
      </c>
      <c r="V50" s="444">
        <f>IFERROR(__xludf.DUMMYFUNCTION("""COMPUTED_VALUE"""),390812.49998842593)</f>
        <v/>
      </c>
      <c r="W50" s="438">
        <f>IFERROR(__xludf.DUMMYFUNCTION("""COMPUTED_VALUE"""),"catchcopy_character_chara_kai_00101.png")</f>
        <v/>
      </c>
      <c r="X50" s="438">
        <f>IFERROR(__xludf.DUMMYFUNCTION("""COMPUTED_VALUE"""),"enemy_icon_chara_kai_00101")</f>
        <v/>
      </c>
      <c r="Y50" s="438">
        <f>IFERROR(__xludf.DUMMYFUNCTION("""COMPUTED_VALUE"""),"boss_icon_chara_kai_00101")</f>
        <v/>
      </c>
      <c r="Z50" s="438">
        <f>IFERROR(__xludf.DUMMYFUNCTION("""COMPUTED_VALUE"""),"chara_kai_00101_normal")</f>
        <v/>
      </c>
      <c r="AA50" s="439">
        <f>IFERROR(__xludf.DUMMYFUNCTION("""COMPUTED_VALUE"""),"chara_kai_00101_special")</f>
        <v/>
      </c>
    </row>
    <row r="51">
      <c r="A51" s="439">
        <f>IFERROR(__xludf.DUMMYFUNCTION("""COMPUTED_VALUE"""),"kai")</f>
        <v/>
      </c>
      <c r="B51" s="435">
        <f>IFERROR(__xludf.DUMMYFUNCTION("""COMPUTED_VALUE"""),"怪獣８号")</f>
        <v/>
      </c>
      <c r="C51" s="436">
        <f>IFERROR(__xludf.DUMMYFUNCTION("""COMPUTED_VALUE"""),"00102")</f>
        <v/>
      </c>
      <c r="D51" s="437">
        <f>IFERROR(__xludf.DUMMYFUNCTION("""COMPUTED_VALUE"""),"chara_kai_00102")</f>
        <v/>
      </c>
      <c r="E51" s="437">
        <f>IFERROR(__xludf.DUMMYFUNCTION("""COMPUTED_VALUE"""),"識別怪獣兵器6 市川 レノ")</f>
        <v/>
      </c>
      <c r="F51" s="439">
        <f>IFERROR(__xludf.DUMMYFUNCTION("""COMPUTED_VALUE"""),"識別怪獣兵器6 市川 レノ")</f>
        <v/>
      </c>
      <c r="G51" s="439">
        <f>IFERROR(__xludf.DUMMYFUNCTION("""COMPUTED_VALUE"""),"俺が 切り開く")</f>
        <v/>
      </c>
      <c r="H51" s="439">
        <f>IFERROR(__xludf.DUMMYFUNCTION("""COMPUTED_VALUE"""),"UR")</f>
        <v/>
      </c>
      <c r="I51" s="439">
        <f>IFERROR(__xludf.DUMMYFUNCTION("""COMPUTED_VALUE"""),"PremiumUR")</f>
        <v/>
      </c>
      <c r="J51" s="439">
        <f>IFERROR(__xludf.DUMMYFUNCTION("""COMPUTED_VALUE"""),"黄")</f>
        <v/>
      </c>
      <c r="K51" s="439">
        <f>IFERROR(__xludf.DUMMYFUNCTION("""COMPUTED_VALUE"""),"chara")</f>
        <v/>
      </c>
      <c r="L51" s="438">
        <f>IFERROR(__xludf.DUMMYFUNCTION("""COMPUTED_VALUE"""),"テクニカル")</f>
        <v/>
      </c>
      <c r="M51" s="436">
        <f>IFERROR(__xludf.DUMMYFUNCTION("""COMPUTED_VALUE"""),"shageki_1")</f>
        <v/>
      </c>
      <c r="N51" s="440" t="n"/>
      <c r="O51" s="440" t="n"/>
      <c r="P51" s="440" t="n"/>
      <c r="Q51" s="440">
        <f>IFERROR(__xludf.DUMMYFUNCTION("""COMPUTED_VALUE"""),"1.77")</f>
        <v/>
      </c>
      <c r="R51" s="441">
        <f>IFERROR(__xludf.DUMMYFUNCTION("""COMPUTED_VALUE"""),"stop無:1回目 0.5
stop無:2回目 0.58
stop有:3回目 0.63")</f>
        <v/>
      </c>
      <c r="S51" s="441">
        <f>IFERROR(__xludf.DUMMYFUNCTION("""COMPUTED_VALUE"""),"3.17")</f>
        <v/>
      </c>
      <c r="T51" s="442">
        <f>IFERROR(__xludf.DUMMYFUNCTION("""COMPUTED_VALUE"""),"stop有:1回目 1.53")</f>
        <v/>
      </c>
      <c r="U51" s="448">
        <f>IFERROR(__xludf.DUMMYFUNCTION("""COMPUTED_VALUE"""),"2026/07/上旬")</f>
        <v/>
      </c>
      <c r="V51" s="444">
        <f>IFERROR(__xludf.DUMMYFUNCTION("""COMPUTED_VALUE"""),390812.49998842593)</f>
        <v/>
      </c>
      <c r="W51" s="438">
        <f>IFERROR(__xludf.DUMMYFUNCTION("""COMPUTED_VALUE"""),"catchcopy_character_chara_kai_00102.png")</f>
        <v/>
      </c>
      <c r="X51" s="438">
        <f>IFERROR(__xludf.DUMMYFUNCTION("""COMPUTED_VALUE"""),"enemy_icon_chara_kai_00102")</f>
        <v/>
      </c>
      <c r="Y51" s="438">
        <f>IFERROR(__xludf.DUMMYFUNCTION("""COMPUTED_VALUE"""),"boss_icon_chara_kai_00102")</f>
        <v/>
      </c>
      <c r="Z51" s="438" t="n"/>
      <c r="AA51" s="439" t="n"/>
    </row>
    <row r="52">
      <c r="A52" s="439">
        <f>IFERROR(__xludf.DUMMYFUNCTION("""COMPUTED_VALUE"""),"kai")</f>
        <v/>
      </c>
      <c r="B52" s="435">
        <f>IFERROR(__xludf.DUMMYFUNCTION("""COMPUTED_VALUE"""),"怪獣８号")</f>
        <v/>
      </c>
      <c r="C52" s="436">
        <f>IFERROR(__xludf.DUMMYFUNCTION("""COMPUTED_VALUE"""),"00201")</f>
        <v/>
      </c>
      <c r="D52" s="437">
        <f>IFERROR(__xludf.DUMMYFUNCTION("""COMPUTED_VALUE"""),"chara_kai_00201")</f>
        <v/>
      </c>
      <c r="E52" s="437">
        <f>IFERROR(__xludf.DUMMYFUNCTION("""COMPUTED_VALUE"""),"第三部隊隊長 亜白 ミナ")</f>
        <v/>
      </c>
      <c r="F52" s="439">
        <f>IFERROR(__xludf.DUMMYFUNCTION("""COMPUTED_VALUE"""),"第三部隊隊長 亜白 ミナ")</f>
        <v/>
      </c>
      <c r="G52" s="439">
        <f>IFERROR(__xludf.DUMMYFUNCTION("""COMPUTED_VALUE"""),"解放戦力 96%")</f>
        <v/>
      </c>
      <c r="H52" s="439">
        <f>IFERROR(__xludf.DUMMYFUNCTION("""COMPUTED_VALUE"""),"UR")</f>
        <v/>
      </c>
      <c r="I52" s="439">
        <f>IFERROR(__xludf.DUMMYFUNCTION("""COMPUTED_VALUE"""),"PremiumUR")</f>
        <v/>
      </c>
      <c r="J52" s="438">
        <f>IFERROR(__xludf.DUMMYFUNCTION("""COMPUTED_VALUE"""),"青")</f>
        <v/>
      </c>
      <c r="K52" s="438">
        <f>IFERROR(__xludf.DUMMYFUNCTION("""COMPUTED_VALUE"""),"chara")</f>
        <v/>
      </c>
      <c r="L52" s="438">
        <f>IFERROR(__xludf.DUMMYFUNCTION("""COMPUTED_VALUE"""),"アタック")</f>
        <v/>
      </c>
      <c r="M52" s="436">
        <f>IFERROR(__xludf.DUMMYFUNCTION("""COMPUTED_VALUE"""),"shageki_1")</f>
        <v/>
      </c>
      <c r="N52" s="440">
        <f>IFERROR(__xludf.DUMMYFUNCTION("""COMPUTED_VALUE"""),"Long")</f>
        <v/>
      </c>
      <c r="O52" s="440">
        <f>IFERROR(__xludf.DUMMYFUNCTION("""COMPUTED_VALUE"""),"shageki_1")</f>
        <v/>
      </c>
      <c r="P52" s="440">
        <f>IFERROR(__xludf.DUMMYFUNCTION("""COMPUTED_VALUE"""),"00201")</f>
        <v/>
      </c>
      <c r="Q52" s="440">
        <f>IFERROR(__xludf.DUMMYFUNCTION("""COMPUTED_VALUE"""),"1.50")</f>
        <v/>
      </c>
      <c r="R52" s="441">
        <f>IFERROR(__xludf.DUMMYFUNCTION("""COMPUTED_VALUE"""),"0.75")</f>
        <v/>
      </c>
      <c r="S52" s="441">
        <f>IFERROR(__xludf.DUMMYFUNCTION("""COMPUTED_VALUE"""),"4.41")</f>
        <v/>
      </c>
      <c r="T52" s="442">
        <f>IFERROR(__xludf.DUMMYFUNCTION("""COMPUTED_VALUE"""),"stop無:1回目 1.42
stop無:2回目 1.85
stop無:3回目 2.29
stop無:4回目 2.73
stop有:5回目 3.17")</f>
        <v/>
      </c>
      <c r="U52" s="444">
        <f>IFERROR(__xludf.DUMMYFUNCTION("""COMPUTED_VALUE"""),45922.458333333336)</f>
        <v/>
      </c>
      <c r="V52" s="444">
        <f>IFERROR(__xludf.DUMMYFUNCTION("""COMPUTED_VALUE"""),390812.49998842593)</f>
        <v/>
      </c>
      <c r="W52" s="438">
        <f>IFERROR(__xludf.DUMMYFUNCTION("""COMPUTED_VALUE"""),"catchcopy_character_chara_kai_00201.png")</f>
        <v/>
      </c>
      <c r="X52" s="438">
        <f>IFERROR(__xludf.DUMMYFUNCTION("""COMPUTED_VALUE"""),"enemy_icon_chara_kai_00201")</f>
        <v/>
      </c>
      <c r="Y52" s="438">
        <f>IFERROR(__xludf.DUMMYFUNCTION("""COMPUTED_VALUE"""),"boss_icon_chara_kai_00201")</f>
        <v/>
      </c>
      <c r="Z52" s="438">
        <f>IFERROR(__xludf.DUMMYFUNCTION("""COMPUTED_VALUE"""),"chara_kai_00201_normal")</f>
        <v/>
      </c>
      <c r="AA52" s="439">
        <f>IFERROR(__xludf.DUMMYFUNCTION("""COMPUTED_VALUE"""),"chara_kai_00201_special")</f>
        <v/>
      </c>
    </row>
    <row r="53">
      <c r="A53" s="439">
        <f>IFERROR(__xludf.DUMMYFUNCTION("""COMPUTED_VALUE"""),"kai")</f>
        <v/>
      </c>
      <c r="B53" s="435">
        <f>IFERROR(__xludf.DUMMYFUNCTION("""COMPUTED_VALUE"""),"怪獣８号")</f>
        <v/>
      </c>
      <c r="C53" s="436">
        <f>IFERROR(__xludf.DUMMYFUNCTION("""COMPUTED_VALUE"""),"00202")</f>
        <v/>
      </c>
      <c r="D53" s="437">
        <f>IFERROR(__xludf.DUMMYFUNCTION("""COMPUTED_VALUE"""),"chara_kai_00202")</f>
        <v/>
      </c>
      <c r="E53" s="437">
        <f>IFERROR(__xludf.DUMMYFUNCTION("""COMPUTED_VALUE"""),"超大型キラー 亜白 ミナ")</f>
        <v/>
      </c>
      <c r="F53" s="439">
        <f>IFERROR(__xludf.DUMMYFUNCTION("""COMPUTED_VALUE"""),"選定中")</f>
        <v/>
      </c>
      <c r="G53" s="439" t="n"/>
      <c r="H53" s="439">
        <f>IFERROR(__xludf.DUMMYFUNCTION("""COMPUTED_VALUE"""),"UR")</f>
        <v/>
      </c>
      <c r="I53" s="439">
        <f>IFERROR(__xludf.DUMMYFUNCTION("""COMPUTED_VALUE"""),"FestivalUR")</f>
        <v/>
      </c>
      <c r="J53" s="438">
        <f>IFERROR(__xludf.DUMMYFUNCTION("""COMPUTED_VALUE"""),"無")</f>
        <v/>
      </c>
      <c r="K53" s="438">
        <f>IFERROR(__xludf.DUMMYFUNCTION("""COMPUTED_VALUE"""),"chara")</f>
        <v/>
      </c>
      <c r="L53" s="438">
        <f>IFERROR(__xludf.DUMMYFUNCTION("""COMPUTED_VALUE"""),"スペシャル")</f>
        <v/>
      </c>
      <c r="M53" s="436" t="n"/>
      <c r="N53" s="440" t="n"/>
      <c r="O53" s="440" t="n"/>
      <c r="P53" s="440" t="n"/>
      <c r="Q53" s="440" t="n"/>
      <c r="R53" s="441" t="n"/>
      <c r="S53" s="441" t="n"/>
      <c r="T53" s="460" t="n"/>
      <c r="U53" s="448" t="n"/>
      <c r="V53" s="448" t="n"/>
      <c r="W53" s="438" t="n"/>
      <c r="X53" s="438" t="n"/>
      <c r="Y53" s="438" t="n"/>
      <c r="Z53" s="438" t="n"/>
      <c r="AA53" s="439" t="n"/>
    </row>
    <row r="54">
      <c r="A54" s="439">
        <f>IFERROR(__xludf.DUMMYFUNCTION("""COMPUTED_VALUE"""),"kai")</f>
        <v/>
      </c>
      <c r="B54" s="435">
        <f>IFERROR(__xludf.DUMMYFUNCTION("""COMPUTED_VALUE"""),"怪獣８号")</f>
        <v/>
      </c>
      <c r="C54" s="436">
        <f>IFERROR(__xludf.DUMMYFUNCTION("""COMPUTED_VALUE"""),"00301")</f>
        <v/>
      </c>
      <c r="D54" s="437">
        <f>IFERROR(__xludf.DUMMYFUNCTION("""COMPUTED_VALUE"""),"chara_kai_00301")</f>
        <v/>
      </c>
      <c r="E54" s="437">
        <f>IFERROR(__xludf.DUMMYFUNCTION("""COMPUTED_VALUE"""),"四ノ宮 キコル")</f>
        <v/>
      </c>
      <c r="F54" s="439">
        <f>IFERROR(__xludf.DUMMYFUNCTION("""COMPUTED_VALUE"""),"四ノ宮 キコル")</f>
        <v/>
      </c>
      <c r="G54" s="439">
        <f>IFERROR(__xludf.DUMMYFUNCTION("""COMPUTED_VALUE"""),"隊式斧術1式　落雷")</f>
        <v/>
      </c>
      <c r="H54" s="439">
        <f>IFERROR(__xludf.DUMMYFUNCTION("""COMPUTED_VALUE"""),"SSR")</f>
        <v/>
      </c>
      <c r="I54" s="439">
        <f>IFERROR(__xludf.DUMMYFUNCTION("""COMPUTED_VALUE"""),"PremiumSSR")</f>
        <v/>
      </c>
      <c r="J54" s="438">
        <f>IFERROR(__xludf.DUMMYFUNCTION("""COMPUTED_VALUE"""),"黄")</f>
        <v/>
      </c>
      <c r="K54" s="438">
        <f>IFERROR(__xludf.DUMMYFUNCTION("""COMPUTED_VALUE"""),"chara")</f>
        <v/>
      </c>
      <c r="L54" s="438">
        <f>IFERROR(__xludf.DUMMYFUNCTION("""COMPUTED_VALUE"""),"ディフェンス")</f>
        <v/>
      </c>
      <c r="M54" s="436">
        <f>IFERROR(__xludf.DUMMYFUNCTION("""COMPUTED_VALUE"""),"zangeki_1")</f>
        <v/>
      </c>
      <c r="N54" s="440">
        <f>IFERROR(__xludf.DUMMYFUNCTION("""COMPUTED_VALUE"""),"Short")</f>
        <v/>
      </c>
      <c r="O54" s="440">
        <f>IFERROR(__xludf.DUMMYFUNCTION("""COMPUTED_VALUE"""),"zangeki_1")</f>
        <v/>
      </c>
      <c r="P54" s="440">
        <f>IFERROR(__xludf.DUMMYFUNCTION("""COMPUTED_VALUE"""),"00301")</f>
        <v/>
      </c>
      <c r="Q54" s="440">
        <f>IFERROR(__xludf.DUMMYFUNCTION("""COMPUTED_VALUE"""),"2.04")</f>
        <v/>
      </c>
      <c r="R54" s="441">
        <f>IFERROR(__xludf.DUMMYFUNCTION("""COMPUTED_VALUE"""),"0.70")</f>
        <v/>
      </c>
      <c r="S54" s="441">
        <f>IFERROR(__xludf.DUMMYFUNCTION("""COMPUTED_VALUE"""),"3.34")</f>
        <v/>
      </c>
      <c r="T54" s="442">
        <f>IFERROR(__xludf.DUMMYFUNCTION("""COMPUTED_VALUE"""),"1.07")</f>
        <v/>
      </c>
      <c r="U54" s="444">
        <f>IFERROR(__xludf.DUMMYFUNCTION("""COMPUTED_VALUE"""),45922.458333333336)</f>
        <v/>
      </c>
      <c r="V54" s="444">
        <f>IFERROR(__xludf.DUMMYFUNCTION("""COMPUTED_VALUE"""),390812.49998842593)</f>
        <v/>
      </c>
      <c r="W54" s="438">
        <f>IFERROR(__xludf.DUMMYFUNCTION("""COMPUTED_VALUE"""),"catchcopy_character_chara_kai_00301.png")</f>
        <v/>
      </c>
      <c r="X54" s="438">
        <f>IFERROR(__xludf.DUMMYFUNCTION("""COMPUTED_VALUE"""),"enemy_icon_chara_kai_00301")</f>
        <v/>
      </c>
      <c r="Y54" s="438">
        <f>IFERROR(__xludf.DUMMYFUNCTION("""COMPUTED_VALUE"""),"boss_icon_chara_kai_00301")</f>
        <v/>
      </c>
      <c r="Z54" s="438">
        <f>IFERROR(__xludf.DUMMYFUNCTION("""COMPUTED_VALUE"""),"chara_kai_00301_normal")</f>
        <v/>
      </c>
      <c r="AA54" s="439">
        <f>IFERROR(__xludf.DUMMYFUNCTION("""COMPUTED_VALUE"""),"chara_kai_00301_special")</f>
        <v/>
      </c>
    </row>
    <row r="55">
      <c r="A55" s="439">
        <f>IFERROR(__xludf.DUMMYFUNCTION("""COMPUTED_VALUE"""),"kai")</f>
        <v/>
      </c>
      <c r="B55" s="435">
        <f>IFERROR(__xludf.DUMMYFUNCTION("""COMPUTED_VALUE"""),"怪獣８号")</f>
        <v/>
      </c>
      <c r="C55" s="436">
        <f>IFERROR(__xludf.DUMMYFUNCTION("""COMPUTED_VALUE"""),"00302")</f>
        <v/>
      </c>
      <c r="D55" s="437">
        <f>IFERROR(__xludf.DUMMYFUNCTION("""COMPUTED_VALUE"""),"chara_kai_00302")</f>
        <v/>
      </c>
      <c r="E55" s="437">
        <f>IFERROR(__xludf.DUMMYFUNCTION("""COMPUTED_VALUE"""),"識別怪獣兵器4 四ノ宮 キコル")</f>
        <v/>
      </c>
      <c r="F55" s="439">
        <f>IFERROR(__xludf.DUMMYFUNCTION("""COMPUTED_VALUE"""),"選定中")</f>
        <v/>
      </c>
      <c r="G55" s="439" t="n"/>
      <c r="H55" s="439">
        <f>IFERROR(__xludf.DUMMYFUNCTION("""COMPUTED_VALUE"""),"UR")</f>
        <v/>
      </c>
      <c r="I55" s="439">
        <f>IFERROR(__xludf.DUMMYFUNCTION("""COMPUTED_VALUE"""),"PremiumUR")</f>
        <v/>
      </c>
      <c r="J55" s="438">
        <f>IFERROR(__xludf.DUMMYFUNCTION("""COMPUTED_VALUE"""),"赤")</f>
        <v/>
      </c>
      <c r="K55" s="438">
        <f>IFERROR(__xludf.DUMMYFUNCTION("""COMPUTED_VALUE"""),"chara")</f>
        <v/>
      </c>
      <c r="L55" s="438">
        <f>IFERROR(__xludf.DUMMYFUNCTION("""COMPUTED_VALUE"""),"アタック")</f>
        <v/>
      </c>
      <c r="M55" s="436" t="n"/>
      <c r="N55" s="440" t="n"/>
      <c r="O55" s="440" t="n"/>
      <c r="P55" s="440" t="n"/>
      <c r="Q55" s="440" t="n"/>
      <c r="R55" s="441" t="n"/>
      <c r="S55" s="441" t="n"/>
      <c r="T55" s="460" t="n"/>
      <c r="U55" s="448" t="n"/>
      <c r="V55" s="448" t="n"/>
      <c r="W55" s="438" t="n"/>
      <c r="X55" s="438" t="n"/>
      <c r="Y55" s="438" t="n"/>
      <c r="Z55" s="438" t="n"/>
      <c r="AA55" s="439" t="n"/>
    </row>
    <row r="56">
      <c r="A56" s="439">
        <f>IFERROR(__xludf.DUMMYFUNCTION("""COMPUTED_VALUE"""),"kai")</f>
        <v/>
      </c>
      <c r="B56" s="435">
        <f>IFERROR(__xludf.DUMMYFUNCTION("""COMPUTED_VALUE"""),"怪獣８号")</f>
        <v/>
      </c>
      <c r="C56" s="436">
        <f>IFERROR(__xludf.DUMMYFUNCTION("""COMPUTED_VALUE"""),"00401")</f>
        <v/>
      </c>
      <c r="D56" s="437">
        <f>IFERROR(__xludf.DUMMYFUNCTION("""COMPUTED_VALUE"""),"chara_kai_00401")</f>
        <v/>
      </c>
      <c r="E56" s="437">
        <f>IFERROR(__xludf.DUMMYFUNCTION("""COMPUTED_VALUE"""),"保科 宗四郎")</f>
        <v/>
      </c>
      <c r="F56" s="439">
        <f>IFERROR(__xludf.DUMMYFUNCTION("""COMPUTED_VALUE"""),"保科 宗四郎")</f>
        <v/>
      </c>
      <c r="G56" s="439">
        <f>IFERROR(__xludf.DUMMYFUNCTION("""COMPUTED_VALUE"""),"6式 八重討ち")</f>
        <v/>
      </c>
      <c r="H56" s="439">
        <f>IFERROR(__xludf.DUMMYFUNCTION("""COMPUTED_VALUE"""),"SSR")</f>
        <v/>
      </c>
      <c r="I56" s="439">
        <f>IFERROR(__xludf.DUMMYFUNCTION("""COMPUTED_VALUE"""),"PremiumSSR")</f>
        <v/>
      </c>
      <c r="J56" s="438">
        <f>IFERROR(__xludf.DUMMYFUNCTION("""COMPUTED_VALUE"""),"青")</f>
        <v/>
      </c>
      <c r="K56" s="438">
        <f>IFERROR(__xludf.DUMMYFUNCTION("""COMPUTED_VALUE"""),"chara")</f>
        <v/>
      </c>
      <c r="L56" s="438">
        <f>IFERROR(__xludf.DUMMYFUNCTION("""COMPUTED_VALUE"""),"アタック")</f>
        <v/>
      </c>
      <c r="M56" s="436">
        <f>IFERROR(__xludf.DUMMYFUNCTION("""COMPUTED_VALUE"""),"zangeki_1")</f>
        <v/>
      </c>
      <c r="N56" s="440">
        <f>IFERROR(__xludf.DUMMYFUNCTION("""COMPUTED_VALUE"""),"Short")</f>
        <v/>
      </c>
      <c r="O56" s="440">
        <f>IFERROR(__xludf.DUMMYFUNCTION("""COMPUTED_VALUE"""),"zangeki_1")</f>
        <v/>
      </c>
      <c r="P56" s="440" t="n"/>
      <c r="Q56" s="440">
        <f>IFERROR(__xludf.DUMMYFUNCTION("""COMPUTED_VALUE"""),"1.27")</f>
        <v/>
      </c>
      <c r="R56" s="441">
        <f>IFERROR(__xludf.DUMMYFUNCTION("""COMPUTED_VALUE"""),"stop有:1回目 0.43")</f>
        <v/>
      </c>
      <c r="S56" s="441">
        <f>IFERROR(__xludf.DUMMYFUNCTION("""COMPUTED_VALUE"""),"2.67")</f>
        <v/>
      </c>
      <c r="T56" s="442">
        <f>IFERROR(__xludf.DUMMYFUNCTION("""COMPUTED_VALUE"""),"stop無:1回目 0.25
stop無:2回目 0.91
stop無:3回目 1.05
stop無:4回目 1.15
stop有:5回目 1.66")</f>
        <v/>
      </c>
      <c r="U56" s="444">
        <f>IFERROR(__xludf.DUMMYFUNCTION("""COMPUTED_VALUE"""),45922.458333333336)</f>
        <v/>
      </c>
      <c r="V56" s="444">
        <f>IFERROR(__xludf.DUMMYFUNCTION("""COMPUTED_VALUE"""),390812.49998842593)</f>
        <v/>
      </c>
      <c r="W56" s="438" t="n"/>
      <c r="X56" s="438">
        <f>IFERROR(__xludf.DUMMYFUNCTION("""COMPUTED_VALUE"""),"enemy_icon_chara_kai_00401")</f>
        <v/>
      </c>
      <c r="Y56" s="438">
        <f>IFERROR(__xludf.DUMMYFUNCTION("""COMPUTED_VALUE"""),"boss_icon_chara_kai_00401")</f>
        <v/>
      </c>
      <c r="Z56" s="438">
        <f>IFERROR(__xludf.DUMMYFUNCTION("""COMPUTED_VALUE"""),"chara_kai_00401_normal")</f>
        <v/>
      </c>
      <c r="AA56" s="439">
        <f>IFERROR(__xludf.DUMMYFUNCTION("""COMPUTED_VALUE"""),"chara_kai_00401_special")</f>
        <v/>
      </c>
    </row>
    <row r="57">
      <c r="A57" s="439">
        <f>IFERROR(__xludf.DUMMYFUNCTION("""COMPUTED_VALUE"""),"kai")</f>
        <v/>
      </c>
      <c r="B57" s="435">
        <f>IFERROR(__xludf.DUMMYFUNCTION("""COMPUTED_VALUE"""),"怪獣８号")</f>
        <v/>
      </c>
      <c r="C57" s="436">
        <f>IFERROR(__xludf.DUMMYFUNCTION("""COMPUTED_VALUE"""),"00501")</f>
        <v/>
      </c>
      <c r="D57" s="437">
        <f>IFERROR(__xludf.DUMMYFUNCTION("""COMPUTED_VALUE"""),"chara_kai_00501")</f>
        <v/>
      </c>
      <c r="E57" s="437">
        <f>IFERROR(__xludf.DUMMYFUNCTION("""COMPUTED_VALUE"""),"四ノ宮 功")</f>
        <v/>
      </c>
      <c r="F57" s="439">
        <f>IFERROR(__xludf.DUMMYFUNCTION("""COMPUTED_VALUE"""),"四ノ宮 功")</f>
        <v/>
      </c>
      <c r="G57" s="439">
        <f>IFERROR(__xludf.DUMMYFUNCTION("""COMPUTED_VALUE"""),"隊式格闘術2式 発破")</f>
        <v/>
      </c>
      <c r="H57" s="438">
        <f>IFERROR(__xludf.DUMMYFUNCTION("""COMPUTED_VALUE"""),"SR")</f>
        <v/>
      </c>
      <c r="I57" s="439">
        <f>IFERROR(__xludf.DUMMYFUNCTION("""COMPUTED_VALUE"""),"DropSR")</f>
        <v/>
      </c>
      <c r="J57" s="438">
        <f>IFERROR(__xludf.DUMMYFUNCTION("""COMPUTED_VALUE"""),"黄")</f>
        <v/>
      </c>
      <c r="K57" s="438">
        <f>IFERROR(__xludf.DUMMYFUNCTION("""COMPUTED_VALUE"""),"chara")</f>
        <v/>
      </c>
      <c r="L57" s="438">
        <f>IFERROR(__xludf.DUMMYFUNCTION("""COMPUTED_VALUE"""),"アタック")</f>
        <v/>
      </c>
      <c r="M57" s="447">
        <f>IFERROR(__xludf.DUMMYFUNCTION("""COMPUTED_VALUE"""),"dageki_1")</f>
        <v/>
      </c>
      <c r="N57" s="440">
        <f>IFERROR(__xludf.DUMMYFUNCTION("""COMPUTED_VALUE"""),"Short")</f>
        <v/>
      </c>
      <c r="O57" s="440">
        <f>IFERROR(__xludf.DUMMYFUNCTION("""COMPUTED_VALUE"""),"dageki_1")</f>
        <v/>
      </c>
      <c r="P57" s="440" t="n"/>
      <c r="Q57" s="440">
        <f>IFERROR(__xludf.DUMMYFUNCTION("""COMPUTED_VALUE"""),"1.97")</f>
        <v/>
      </c>
      <c r="R57" s="441">
        <f>IFERROR(__xludf.DUMMYFUNCTION("""COMPUTED_VALUE"""),"1.10")</f>
        <v/>
      </c>
      <c r="S57" s="441">
        <f>IFERROR(__xludf.DUMMYFUNCTION("""COMPUTED_VALUE"""),"2.67")</f>
        <v/>
      </c>
      <c r="T57" s="442">
        <f>IFERROR(__xludf.DUMMYFUNCTION("""COMPUTED_VALUE"""),"1.62")</f>
        <v/>
      </c>
      <c r="U57" s="444">
        <f>IFERROR(__xludf.DUMMYFUNCTION("""COMPUTED_VALUE"""),45922.458333333336)</f>
        <v/>
      </c>
      <c r="V57" s="444">
        <f>IFERROR(__xludf.DUMMYFUNCTION("""COMPUTED_VALUE"""),390812.49998842593)</f>
        <v/>
      </c>
      <c r="W57" s="438" t="n"/>
      <c r="X57" s="438">
        <f>IFERROR(__xludf.DUMMYFUNCTION("""COMPUTED_VALUE"""),"enemy_icon_chara_kai_00501")</f>
        <v/>
      </c>
      <c r="Y57" s="438">
        <f>IFERROR(__xludf.DUMMYFUNCTION("""COMPUTED_VALUE"""),"boss_icon_chara_kai_00501")</f>
        <v/>
      </c>
      <c r="Z57" s="438">
        <f>IFERROR(__xludf.DUMMYFUNCTION("""COMPUTED_VALUE"""),"chara_kai_00501_normal")</f>
        <v/>
      </c>
      <c r="AA57" s="439">
        <f>IFERROR(__xludf.DUMMYFUNCTION("""COMPUTED_VALUE"""),"chara_kai_00501_special")</f>
        <v/>
      </c>
    </row>
    <row r="58">
      <c r="A58" s="439">
        <f>IFERROR(__xludf.DUMMYFUNCTION("""COMPUTED_VALUE"""),"kai")</f>
        <v/>
      </c>
      <c r="B58" s="435">
        <f>IFERROR(__xludf.DUMMYFUNCTION("""COMPUTED_VALUE"""),"怪獣８号")</f>
        <v/>
      </c>
      <c r="C58" s="436">
        <f>IFERROR(__xludf.DUMMYFUNCTION("""COMPUTED_VALUE"""),"00601")</f>
        <v/>
      </c>
      <c r="D58" s="437">
        <f>IFERROR(__xludf.DUMMYFUNCTION("""COMPUTED_VALUE"""),"chara_kai_00601")</f>
        <v/>
      </c>
      <c r="E58" s="437">
        <f>IFERROR(__xludf.DUMMYFUNCTION("""COMPUTED_VALUE"""),"古橋 伊春")</f>
        <v/>
      </c>
      <c r="F58" s="439">
        <f>IFERROR(__xludf.DUMMYFUNCTION("""COMPUTED_VALUE"""),"古橋 伊春")</f>
        <v/>
      </c>
      <c r="G58" s="439">
        <f>IFERROR(__xludf.DUMMYFUNCTION("""COMPUTED_VALUE"""),"俺がお前を守るんだ バカヤロー")</f>
        <v/>
      </c>
      <c r="H58" s="438">
        <f>IFERROR(__xludf.DUMMYFUNCTION("""COMPUTED_VALUE"""),"SR")</f>
        <v/>
      </c>
      <c r="I58" s="439">
        <f>IFERROR(__xludf.DUMMYFUNCTION("""COMPUTED_VALUE"""),"DropSR")</f>
        <v/>
      </c>
      <c r="J58" s="438">
        <f>IFERROR(__xludf.DUMMYFUNCTION("""COMPUTED_VALUE"""),"緑")</f>
        <v/>
      </c>
      <c r="K58" s="438">
        <f>IFERROR(__xludf.DUMMYFUNCTION("""COMPUTED_VALUE"""),"chara")</f>
        <v/>
      </c>
      <c r="L58" s="438">
        <f>IFERROR(__xludf.DUMMYFUNCTION("""COMPUTED_VALUE"""),"ディフェンス")</f>
        <v/>
      </c>
      <c r="M58" s="447">
        <f>IFERROR(__xludf.DUMMYFUNCTION("""COMPUTED_VALUE"""),"shageki_1")</f>
        <v/>
      </c>
      <c r="N58" s="440">
        <f>IFERROR(__xludf.DUMMYFUNCTION("""COMPUTED_VALUE"""),"Middle")</f>
        <v/>
      </c>
      <c r="O58" s="440">
        <f>IFERROR(__xludf.DUMMYFUNCTION("""COMPUTED_VALUE"""),"-")</f>
        <v/>
      </c>
      <c r="P58" s="440" t="n"/>
      <c r="Q58" s="440">
        <f>IFERROR(__xludf.DUMMYFUNCTION("""COMPUTED_VALUE"""),"1.37")</f>
        <v/>
      </c>
      <c r="R58" s="441">
        <f>IFERROR(__xludf.DUMMYFUNCTION("""COMPUTED_VALUE"""),"stop有:1回目 0.71")</f>
        <v/>
      </c>
      <c r="S58" s="441">
        <f>IFERROR(__xludf.DUMMYFUNCTION("""COMPUTED_VALUE"""),"1.83")</f>
        <v/>
      </c>
      <c r="T58" s="442">
        <f>IFERROR(__xludf.DUMMYFUNCTION("""COMPUTED_VALUE"""),"stop無:1回目 0.93")</f>
        <v/>
      </c>
      <c r="U58" s="444">
        <f>IFERROR(__xludf.DUMMYFUNCTION("""COMPUTED_VALUE"""),45922.458333333336)</f>
        <v/>
      </c>
      <c r="V58" s="444">
        <f>IFERROR(__xludf.DUMMYFUNCTION("""COMPUTED_VALUE"""),390812.49998842593)</f>
        <v/>
      </c>
      <c r="W58" s="438" t="n"/>
      <c r="X58" s="438">
        <f>IFERROR(__xludf.DUMMYFUNCTION("""COMPUTED_VALUE"""),"enemy_icon_chara_kai_00601")</f>
        <v/>
      </c>
      <c r="Y58" s="438">
        <f>IFERROR(__xludf.DUMMYFUNCTION("""COMPUTED_VALUE"""),"boss_icon_chara_kai_00601")</f>
        <v/>
      </c>
      <c r="Z58" s="438">
        <f>IFERROR(__xludf.DUMMYFUNCTION("""COMPUTED_VALUE"""),"chara_kai_00601_normal")</f>
        <v/>
      </c>
      <c r="AA58" s="439">
        <f>IFERROR(__xludf.DUMMYFUNCTION("""COMPUTED_VALUE"""),"chara_kai_00601_special")</f>
        <v/>
      </c>
    </row>
    <row r="59">
      <c r="A59" s="439">
        <f>IFERROR(__xludf.DUMMYFUNCTION("""COMPUTED_VALUE"""),"kai")</f>
        <v/>
      </c>
      <c r="B59" s="435">
        <f>IFERROR(__xludf.DUMMYFUNCTION("""COMPUTED_VALUE"""),"怪獣８号")</f>
        <v/>
      </c>
      <c r="C59" s="436">
        <f>IFERROR(__xludf.DUMMYFUNCTION("""COMPUTED_VALUE"""),"00701")</f>
        <v/>
      </c>
      <c r="D59" s="437">
        <f>IFERROR(__xludf.DUMMYFUNCTION("""COMPUTED_VALUE"""),"chara_kai_00701")</f>
        <v/>
      </c>
      <c r="E59" s="437">
        <f>IFERROR(__xludf.DUMMYFUNCTION("""COMPUTED_VALUE"""),"識別怪獣兵器1 鳴海 弦")</f>
        <v/>
      </c>
      <c r="F59" s="439">
        <f>IFERROR(__xludf.DUMMYFUNCTION("""COMPUTED_VALUE"""),"識別怪獣兵器1 鳴海 弦")</f>
        <v/>
      </c>
      <c r="G59" s="439">
        <f>IFERROR(__xludf.DUMMYFUNCTION("""COMPUTED_VALUE"""),"隊式銃剣術6式 七枝刀")</f>
        <v/>
      </c>
      <c r="H59" s="438">
        <f>IFERROR(__xludf.DUMMYFUNCTION("""COMPUTED_VALUE"""),"UR")</f>
        <v/>
      </c>
      <c r="I59" s="439">
        <f>IFERROR(__xludf.DUMMYFUNCTION("""COMPUTED_VALUE"""),"FestivalUR")</f>
        <v/>
      </c>
      <c r="J59" s="438">
        <f>IFERROR(__xludf.DUMMYFUNCTION("""COMPUTED_VALUE"""),"黄")</f>
        <v/>
      </c>
      <c r="K59" s="438">
        <f>IFERROR(__xludf.DUMMYFUNCTION("""COMPUTED_VALUE"""),"chara")</f>
        <v/>
      </c>
      <c r="L59" s="438">
        <f>IFERROR(__xludf.DUMMYFUNCTION("""COMPUTED_VALUE"""),"ディフェンス")</f>
        <v/>
      </c>
      <c r="M59" s="447" t="n"/>
      <c r="N59" s="440" t="n"/>
      <c r="O59" s="440" t="n"/>
      <c r="P59" s="440" t="n"/>
      <c r="Q59" s="440">
        <f>IFERROR(__xludf.DUMMYFUNCTION("""COMPUTED_VALUE"""),"1.3")</f>
        <v/>
      </c>
      <c r="R59" s="441">
        <f>IFERROR(__xludf.DUMMYFUNCTION("""COMPUTED_VALUE"""),"stop有:1回目 0.13")</f>
        <v/>
      </c>
      <c r="S59" s="441">
        <f>IFERROR(__xludf.DUMMYFUNCTION("""COMPUTED_VALUE"""),"2.88")</f>
        <v/>
      </c>
      <c r="T59" s="442">
        <f>IFERROR(__xludf.DUMMYFUNCTION("""COMPUTED_VALUE"""),"stop有:1回目 1.2")</f>
        <v/>
      </c>
      <c r="U59" s="448">
        <f>IFERROR(__xludf.DUMMYFUNCTION("""COMPUTED_VALUE"""),"2026/07/上旬")</f>
        <v/>
      </c>
      <c r="V59" s="444">
        <f>IFERROR(__xludf.DUMMYFUNCTION("""COMPUTED_VALUE"""),390812.49998842593)</f>
        <v/>
      </c>
      <c r="W59" s="438">
        <f>IFERROR(__xludf.DUMMYFUNCTION("""COMPUTED_VALUE"""),"catchcopy_character_chara_kai_00701.png")</f>
        <v/>
      </c>
      <c r="X59" s="438">
        <f>IFERROR(__xludf.DUMMYFUNCTION("""COMPUTED_VALUE"""),"enemy_icon_chara_kai_00701")</f>
        <v/>
      </c>
      <c r="Y59" s="438">
        <f>IFERROR(__xludf.DUMMYFUNCTION("""COMPUTED_VALUE"""),"boss_icon_chara_kai_00701")</f>
        <v/>
      </c>
      <c r="Z59" s="438" t="n"/>
      <c r="AA59" s="439" t="n"/>
    </row>
    <row r="60">
      <c r="A60" s="439">
        <f>IFERROR(__xludf.DUMMYFUNCTION("""COMPUTED_VALUE"""),"kai")</f>
        <v/>
      </c>
      <c r="B60" s="435">
        <f>IFERROR(__xludf.DUMMYFUNCTION("""COMPUTED_VALUE"""),"怪獣８号")</f>
        <v/>
      </c>
      <c r="C60" s="436">
        <f>IFERROR(__xludf.DUMMYFUNCTION("""COMPUTED_VALUE"""),"00801")</f>
        <v/>
      </c>
      <c r="D60" s="437">
        <f>IFERROR(__xludf.DUMMYFUNCTION("""COMPUTED_VALUE"""),"chara_kai_00801")</f>
        <v/>
      </c>
      <c r="E60" s="437">
        <f>IFERROR(__xludf.DUMMYFUNCTION("""COMPUTED_VALUE"""),"東雲 りん")</f>
        <v/>
      </c>
      <c r="F60" s="438">
        <f>IFERROR(__xludf.DUMMYFUNCTION("""COMPUTED_VALUE"""),"選定中")</f>
        <v/>
      </c>
      <c r="G60" s="438" t="n"/>
      <c r="H60" s="439">
        <f>IFERROR(__xludf.DUMMYFUNCTION("""COMPUTED_VALUE"""),"SR")</f>
        <v/>
      </c>
      <c r="I60" s="439">
        <f>IFERROR(__xludf.DUMMYFUNCTION("""COMPUTED_VALUE"""),"DropSR")</f>
        <v/>
      </c>
      <c r="J60" s="438">
        <f>IFERROR(__xludf.DUMMYFUNCTION("""COMPUTED_VALUE"""),"黄")</f>
        <v/>
      </c>
      <c r="K60" s="438">
        <f>IFERROR(__xludf.DUMMYFUNCTION("""COMPUTED_VALUE"""),"chara")</f>
        <v/>
      </c>
      <c r="L60" s="438">
        <f>IFERROR(__xludf.DUMMYFUNCTION("""COMPUTED_VALUE"""),"ディフェンス")</f>
        <v/>
      </c>
      <c r="M60" s="436" t="n"/>
      <c r="N60" s="440" t="n"/>
      <c r="O60" s="440" t="n"/>
      <c r="P60" s="440" t="n"/>
      <c r="Q60" s="440">
        <f>IFERROR(__xludf.DUMMYFUNCTION("""COMPUTED_VALUE"""),"1.6")</f>
        <v/>
      </c>
      <c r="R60" s="441">
        <f>IFERROR(__xludf.DUMMYFUNCTION("""COMPUTED_VALUE"""),"stop無:1回目 0.6
stop無:2回目 0.58
stop無:3回目 0.63")</f>
        <v/>
      </c>
      <c r="S60" s="441">
        <f>IFERROR(__xludf.DUMMYFUNCTION("""COMPUTED_VALUE"""),"2.5")</f>
        <v/>
      </c>
      <c r="T60" s="442">
        <f>IFERROR(__xludf.DUMMYFUNCTION("""COMPUTED_VALUE"""),"stop無:1回目 0.77
stop無:2回目 0.98
stop無:3回目 1.18
stop無:4回目 1.39
stop有:5回目 1.6")</f>
        <v/>
      </c>
      <c r="U60" s="448">
        <f>IFERROR(__xludf.DUMMYFUNCTION("""COMPUTED_VALUE"""),"2026/07/上旬")</f>
        <v/>
      </c>
      <c r="V60" s="444">
        <f>IFERROR(__xludf.DUMMYFUNCTION("""COMPUTED_VALUE"""),390812.49998842593)</f>
        <v/>
      </c>
      <c r="W60" s="438">
        <f>IFERROR(__xludf.DUMMYFUNCTION("""COMPUTED_VALUE"""),"catchcopy_character_chara_kai_00801.png")</f>
        <v/>
      </c>
      <c r="X60" s="438">
        <f>IFERROR(__xludf.DUMMYFUNCTION("""COMPUTED_VALUE"""),"enemy_icon_chara_kai_00801")</f>
        <v/>
      </c>
      <c r="Y60" s="438">
        <f>IFERROR(__xludf.DUMMYFUNCTION("""COMPUTED_VALUE"""),"boss_icon_chara_kai_00801")</f>
        <v/>
      </c>
      <c r="Z60" s="438" t="n"/>
      <c r="AA60" s="439" t="n"/>
    </row>
    <row r="61">
      <c r="A61" s="439">
        <f>IFERROR(__xludf.DUMMYFUNCTION("""COMPUTED_VALUE"""),"kai")</f>
        <v/>
      </c>
      <c r="B61" s="435">
        <f>IFERROR(__xludf.DUMMYFUNCTION("""COMPUTED_VALUE"""),"怪獣８号")</f>
        <v/>
      </c>
      <c r="C61" s="436">
        <f>IFERROR(__xludf.DUMMYFUNCTION("""COMPUTED_VALUE"""),"00901")</f>
        <v/>
      </c>
      <c r="D61" s="437">
        <f>IFERROR(__xludf.DUMMYFUNCTION("""COMPUTED_VALUE"""),"chara_kai_00901")</f>
        <v/>
      </c>
      <c r="E61" s="437">
        <f>IFERROR(__xludf.DUMMYFUNCTION("""COMPUTED_VALUE"""),"四ノ宮ヒカリ")</f>
        <v/>
      </c>
      <c r="F61" s="438">
        <f>IFERROR(__xludf.DUMMYFUNCTION("""COMPUTED_VALUE"""),"選定中")</f>
        <v/>
      </c>
      <c r="G61" s="438" t="n"/>
      <c r="H61" s="439">
        <f>IFERROR(__xludf.DUMMYFUNCTION("""COMPUTED_VALUE"""),"SSR")</f>
        <v/>
      </c>
      <c r="I61" s="439">
        <f>IFERROR(__xludf.DUMMYFUNCTION("""COMPUTED_VALUE"""),"PremiumSSR")</f>
        <v/>
      </c>
      <c r="J61" s="438">
        <f>IFERROR(__xludf.DUMMYFUNCTION("""COMPUTED_VALUE"""),"無")</f>
        <v/>
      </c>
      <c r="K61" s="438">
        <f>IFERROR(__xludf.DUMMYFUNCTION("""COMPUTED_VALUE"""),"chara")</f>
        <v/>
      </c>
      <c r="L61" s="438">
        <f>IFERROR(__xludf.DUMMYFUNCTION("""COMPUTED_VALUE"""),"スペシャル")</f>
        <v/>
      </c>
      <c r="M61" s="436" t="n"/>
      <c r="N61" s="440" t="n"/>
      <c r="O61" s="440" t="n"/>
      <c r="P61" s="440" t="n"/>
      <c r="Q61" s="440">
        <f>IFERROR(__xludf.DUMMYFUNCTION("""COMPUTED_VALUE"""),"-")</f>
        <v/>
      </c>
      <c r="R61" s="441">
        <f>IFERROR(__xludf.DUMMYFUNCTION("""COMPUTED_VALUE"""),"-")</f>
        <v/>
      </c>
      <c r="S61" s="441">
        <f>IFERROR(__xludf.DUMMYFUNCTION("""COMPUTED_VALUE"""),"3.65")</f>
        <v/>
      </c>
      <c r="T61" s="442">
        <f>IFERROR(__xludf.DUMMYFUNCTION("""COMPUTED_VALUE"""),"stop無:1回目 0.51")</f>
        <v/>
      </c>
      <c r="U61" s="448">
        <f>IFERROR(__xludf.DUMMYFUNCTION("""COMPUTED_VALUE"""),"2026/07/上旬")</f>
        <v/>
      </c>
      <c r="V61" s="444">
        <f>IFERROR(__xludf.DUMMYFUNCTION("""COMPUTED_VALUE"""),390812.49998842593)</f>
        <v/>
      </c>
      <c r="W61" s="438">
        <f>IFERROR(__xludf.DUMMYFUNCTION("""COMPUTED_VALUE"""),"catchcopy_character_chara_kai_00901.png")</f>
        <v/>
      </c>
      <c r="X61" s="438">
        <f>IFERROR(__xludf.DUMMYFUNCTION("""COMPUTED_VALUE"""),"enemy_icon_chara_kai_00901")</f>
        <v/>
      </c>
      <c r="Y61" s="438">
        <f>IFERROR(__xludf.DUMMYFUNCTION("""COMPUTED_VALUE"""),"boss_icon_chara_kai_00901")</f>
        <v/>
      </c>
      <c r="Z61" s="438" t="n"/>
      <c r="AA61" s="439" t="n"/>
    </row>
    <row r="62">
      <c r="A62" s="439">
        <f>IFERROR(__xludf.DUMMYFUNCTION("""COMPUTED_VALUE"""),"kai")</f>
        <v/>
      </c>
      <c r="B62" s="435">
        <f>IFERROR(__xludf.DUMMYFUNCTION("""COMPUTED_VALUE"""),"怪獣８号")</f>
        <v/>
      </c>
      <c r="C62" s="436">
        <f>IFERROR(__xludf.DUMMYFUNCTION("""COMPUTED_VALUE"""),"01001")</f>
        <v/>
      </c>
      <c r="D62" s="437">
        <f>IFERROR(__xludf.DUMMYFUNCTION("""COMPUTED_VALUE"""),"chara_kai_01001")</f>
        <v/>
      </c>
      <c r="E62" s="437">
        <f>IFERROR(__xludf.DUMMYFUNCTION("""COMPUTED_VALUE"""),"怪獣15号")</f>
        <v/>
      </c>
      <c r="F62" s="438">
        <f>IFERROR(__xludf.DUMMYFUNCTION("""COMPUTED_VALUE"""),"選定中")</f>
        <v/>
      </c>
      <c r="G62" s="438" t="n"/>
      <c r="H62" s="439">
        <f>IFERROR(__xludf.DUMMYFUNCTION("""COMPUTED_VALUE"""),"SR")</f>
        <v/>
      </c>
      <c r="I62" s="439">
        <f>IFERROR(__xludf.DUMMYFUNCTION("""COMPUTED_VALUE"""),"DropSR")</f>
        <v/>
      </c>
      <c r="J62" s="438">
        <f>IFERROR(__xludf.DUMMYFUNCTION("""COMPUTED_VALUE"""),"青")</f>
        <v/>
      </c>
      <c r="K62" s="438">
        <f>IFERROR(__xludf.DUMMYFUNCTION("""COMPUTED_VALUE"""),"chara")</f>
        <v/>
      </c>
      <c r="L62" s="438" t="n"/>
      <c r="M62" s="436" t="n"/>
      <c r="N62" s="440" t="n"/>
      <c r="O62" s="440" t="n"/>
      <c r="P62" s="440" t="n"/>
      <c r="Q62" s="440" t="n"/>
      <c r="R62" s="441" t="n"/>
      <c r="S62" s="441" t="n"/>
      <c r="T62" s="460" t="n"/>
      <c r="U62" s="448" t="n"/>
      <c r="V62" s="448" t="n"/>
      <c r="W62" s="438" t="n"/>
      <c r="X62" s="438" t="n"/>
      <c r="Y62" s="438" t="n"/>
      <c r="Z62" s="438" t="n"/>
      <c r="AA62" s="439" t="n"/>
    </row>
    <row r="63">
      <c r="A63" s="439">
        <f>IFERROR(__xludf.DUMMYFUNCTION("""COMPUTED_VALUE"""),"yuw")</f>
        <v/>
      </c>
      <c r="B63" s="435">
        <f>IFERROR(__xludf.DUMMYFUNCTION("""COMPUTED_VALUE"""),"2.5次元の誘惑")</f>
        <v/>
      </c>
      <c r="C63" s="436">
        <f>IFERROR(__xludf.DUMMYFUNCTION("""COMPUTED_VALUE"""),"00001")</f>
        <v/>
      </c>
      <c r="D63" s="437">
        <f>IFERROR(__xludf.DUMMYFUNCTION("""COMPUTED_VALUE"""),"chara_yuw_00001")</f>
        <v/>
      </c>
      <c r="E63" s="437">
        <f>IFERROR(__xludf.DUMMYFUNCTION("""COMPUTED_VALUE"""),"リリエルに捧ぐ愛 天乃 リリサ")</f>
        <v/>
      </c>
      <c r="F63" s="439">
        <f>IFERROR(__xludf.DUMMYFUNCTION("""COMPUTED_VALUE"""),"リリエルに捧ぐ愛 天乃 リリサ")</f>
        <v/>
      </c>
      <c r="G63" s="439">
        <f>IFERROR(__xludf.DUMMYFUNCTION("""COMPUTED_VALUE"""),"リリエル爆破!!")</f>
        <v/>
      </c>
      <c r="H63" s="439">
        <f>IFERROR(__xludf.DUMMYFUNCTION("""COMPUTED_VALUE"""),"UR")</f>
        <v/>
      </c>
      <c r="I63" s="439">
        <f>IFERROR(__xludf.DUMMYFUNCTION("""COMPUTED_VALUE"""),"PremiumUR")</f>
        <v/>
      </c>
      <c r="J63" s="438">
        <f>IFERROR(__xludf.DUMMYFUNCTION("""COMPUTED_VALUE"""),"黄")</f>
        <v/>
      </c>
      <c r="K63" s="438">
        <f>IFERROR(__xludf.DUMMYFUNCTION("""COMPUTED_VALUE"""),"chara")</f>
        <v/>
      </c>
      <c r="L63" s="438">
        <f>IFERROR(__xludf.DUMMYFUNCTION("""COMPUTED_VALUE"""),"アタック")</f>
        <v/>
      </c>
      <c r="M63" s="436">
        <f>IFERROR(__xludf.DUMMYFUNCTION("""COMPUTED_VALUE"""),"dageki_2")</f>
        <v/>
      </c>
      <c r="N63" s="449">
        <f>IFERROR(__xludf.DUMMYFUNCTION("""COMPUTED_VALUE"""),"Middle")</f>
        <v/>
      </c>
      <c r="O63" s="449">
        <f>IFERROR(__xludf.DUMMYFUNCTION("""COMPUTED_VALUE"""),"-")</f>
        <v/>
      </c>
      <c r="P63" s="450">
        <f>IFERROR(__xludf.DUMMYFUNCTION("""COMPUTED_VALUE"""),"00001")</f>
        <v/>
      </c>
      <c r="Q63" s="450">
        <f>IFERROR(__xludf.DUMMYFUNCTION("""COMPUTED_VALUE"""),"1.54")</f>
        <v/>
      </c>
      <c r="R63" s="441">
        <f>IFERROR(__xludf.DUMMYFUNCTION("""COMPUTED_VALUE"""),"0.50")</f>
        <v/>
      </c>
      <c r="S63" s="441">
        <f>IFERROR(__xludf.DUMMYFUNCTION("""COMPUTED_VALUE"""),"3.67")</f>
        <v/>
      </c>
      <c r="T63" s="442">
        <f>IFERROR(__xludf.DUMMYFUNCTION("""COMPUTED_VALUE"""),"2.44")</f>
        <v/>
      </c>
      <c r="U63" s="444">
        <f>IFERROR(__xludf.DUMMYFUNCTION("""COMPUTED_VALUE"""),45922.458333333336)</f>
        <v/>
      </c>
      <c r="V63" s="444">
        <f>IFERROR(__xludf.DUMMYFUNCTION("""COMPUTED_VALUE"""),390812.49998842593)</f>
        <v/>
      </c>
      <c r="W63" s="438">
        <f>IFERROR(__xludf.DUMMYFUNCTION("""COMPUTED_VALUE"""),"catchcopy_character_chara_yuw_00001.png")</f>
        <v/>
      </c>
      <c r="X63" s="438">
        <f>IFERROR(__xludf.DUMMYFUNCTION("""COMPUTED_VALUE"""),"enemy_icon_chara_yuw_00001")</f>
        <v/>
      </c>
      <c r="Y63" s="438">
        <f>IFERROR(__xludf.DUMMYFUNCTION("""COMPUTED_VALUE"""),"boss_icon_chara_yuw_00001")</f>
        <v/>
      </c>
      <c r="Z63" s="438">
        <f>IFERROR(__xludf.DUMMYFUNCTION("""COMPUTED_VALUE"""),"chara_yuw_00001_normal")</f>
        <v/>
      </c>
      <c r="AA63" s="439">
        <f>IFERROR(__xludf.DUMMYFUNCTION("""COMPUTED_VALUE"""),"chara_yuw_00001_special")</f>
        <v/>
      </c>
    </row>
    <row r="64">
      <c r="A64" s="439">
        <f>IFERROR(__xludf.DUMMYFUNCTION("""COMPUTED_VALUE"""),"yuw")</f>
        <v/>
      </c>
      <c r="B64" s="435">
        <f>IFERROR(__xludf.DUMMYFUNCTION("""COMPUTED_VALUE"""),"2.5次元の誘惑")</f>
        <v/>
      </c>
      <c r="C64" s="436">
        <f>IFERROR(__xludf.DUMMYFUNCTION("""COMPUTED_VALUE"""),"00002")</f>
        <v/>
      </c>
      <c r="D64" s="437">
        <f>IFERROR(__xludf.DUMMYFUNCTION("""COMPUTED_VALUE"""),"chara_yuw_00002")</f>
        <v/>
      </c>
      <c r="E64" s="437">
        <f>IFERROR(__xludf.DUMMYFUNCTION("""COMPUTED_VALUE"""),"天乃 リリサ(クリスマス)")</f>
        <v/>
      </c>
      <c r="F64" s="439">
        <f>IFERROR(__xludf.DUMMYFUNCTION("""COMPUTED_VALUE"""),"選定中")</f>
        <v/>
      </c>
      <c r="G64" s="439" t="n"/>
      <c r="H64" s="439">
        <f>IFERROR(__xludf.DUMMYFUNCTION("""COMPUTED_VALUE"""),"UR")</f>
        <v/>
      </c>
      <c r="I64" s="439">
        <f>IFERROR(__xludf.DUMMYFUNCTION("""COMPUTED_VALUE"""),"PremiumUR")</f>
        <v/>
      </c>
      <c r="J64" s="438">
        <f>IFERROR(__xludf.DUMMYFUNCTION("""COMPUTED_VALUE"""),"緑")</f>
        <v/>
      </c>
      <c r="K64" s="439">
        <f>IFERROR(__xludf.DUMMYFUNCTION("""COMPUTED_VALUE"""),"chara")</f>
        <v/>
      </c>
      <c r="L64" s="438">
        <f>IFERROR(__xludf.DUMMYFUNCTION("""COMPUTED_VALUE"""),"サポート")</f>
        <v/>
      </c>
      <c r="M64" s="436" t="n"/>
      <c r="N64" s="440" t="n"/>
      <c r="O64" s="440" t="n"/>
      <c r="P64" s="440" t="n"/>
      <c r="Q64" s="440" t="n"/>
      <c r="R64" s="441" t="n"/>
      <c r="S64" s="441" t="n"/>
      <c r="T64" s="460" t="n"/>
      <c r="U64" s="443">
        <f>IFERROR(__xludf.DUMMYFUNCTION("""COMPUTED_VALUE"""),"実装未定")</f>
        <v/>
      </c>
      <c r="V64" s="444">
        <f>IFERROR(__xludf.DUMMYFUNCTION("""COMPUTED_VALUE"""),390812.49998842593)</f>
        <v/>
      </c>
      <c r="W64" s="438" t="n"/>
      <c r="X64" s="438">
        <f>IFERROR(__xludf.DUMMYFUNCTION("""COMPUTED_VALUE"""),"enemy_icon_chara_yuw_00002")</f>
        <v/>
      </c>
      <c r="Y64" s="438">
        <f>IFERROR(__xludf.DUMMYFUNCTION("""COMPUTED_VALUE"""),"boss_icon_chara_yuw_00002")</f>
        <v/>
      </c>
      <c r="Z64" s="438" t="n"/>
      <c r="AA64" s="439" t="n"/>
    </row>
    <row r="65">
      <c r="A65" s="439">
        <f>IFERROR(__xludf.DUMMYFUNCTION("""COMPUTED_VALUE"""),"yuw")</f>
        <v/>
      </c>
      <c r="B65" s="435">
        <f>IFERROR(__xludf.DUMMYFUNCTION("""COMPUTED_VALUE"""),"2.5次元の誘惑")</f>
        <v/>
      </c>
      <c r="C65" s="436">
        <f>IFERROR(__xludf.DUMMYFUNCTION("""COMPUTED_VALUE"""),"00101")</f>
        <v/>
      </c>
      <c r="D65" s="437">
        <f>IFERROR(__xludf.DUMMYFUNCTION("""COMPUTED_VALUE"""),"chara_yuw_00101")</f>
        <v/>
      </c>
      <c r="E65" s="437">
        <f>IFERROR(__xludf.DUMMYFUNCTION("""COMPUTED_VALUE"""),"コスプレに託す乙女心 橘 美花莉")</f>
        <v/>
      </c>
      <c r="F65" s="439">
        <f>IFERROR(__xludf.DUMMYFUNCTION("""COMPUTED_VALUE"""),"コスプレに託す乙女心 橘 美花莉")</f>
        <v/>
      </c>
      <c r="G65" s="439">
        <f>IFERROR(__xludf.DUMMYFUNCTION("""COMPUTED_VALUE"""),"私を見てよ！")</f>
        <v/>
      </c>
      <c r="H65" s="439">
        <f>IFERROR(__xludf.DUMMYFUNCTION("""COMPUTED_VALUE"""),"UR")</f>
        <v/>
      </c>
      <c r="I65" s="439">
        <f>IFERROR(__xludf.DUMMYFUNCTION("""COMPUTED_VALUE"""),"PremiumUR")</f>
        <v/>
      </c>
      <c r="J65" s="439">
        <f>IFERROR(__xludf.DUMMYFUNCTION("""COMPUTED_VALUE"""),"緑")</f>
        <v/>
      </c>
      <c r="K65" s="438">
        <f>IFERROR(__xludf.DUMMYFUNCTION("""COMPUTED_VALUE"""),"chara")</f>
        <v/>
      </c>
      <c r="L65" s="438">
        <f>IFERROR(__xludf.DUMMYFUNCTION("""COMPUTED_VALUE"""),"テクニカル")</f>
        <v/>
      </c>
      <c r="M65" s="436">
        <f>IFERROR(__xludf.DUMMYFUNCTION("""COMPUTED_VALUE"""),"dageki_1")</f>
        <v/>
      </c>
      <c r="N65" s="440">
        <f>IFERROR(__xludf.DUMMYFUNCTION("""COMPUTED_VALUE"""),"Short")</f>
        <v/>
      </c>
      <c r="O65" s="440">
        <f>IFERROR(__xludf.DUMMYFUNCTION("""COMPUTED_VALUE"""),"-")</f>
        <v/>
      </c>
      <c r="P65" s="440">
        <f>IFERROR(__xludf.DUMMYFUNCTION("""COMPUTED_VALUE"""),"00101")</f>
        <v/>
      </c>
      <c r="Q65" s="440">
        <f>IFERROR(__xludf.DUMMYFUNCTION("""COMPUTED_VALUE"""),"1.50")</f>
        <v/>
      </c>
      <c r="R65" s="441">
        <f>IFERROR(__xludf.DUMMYFUNCTION("""COMPUTED_VALUE"""),"stop無:1回目 0.45
stop無:2回目 0.55
stop無:3回目 0.67
stop無:4回目 0.77
stop無:5回目 0.90
stop無:6回目 0.95")</f>
        <v/>
      </c>
      <c r="S65" s="441">
        <f>IFERROR(__xludf.DUMMYFUNCTION("""COMPUTED_VALUE"""),"3.50")</f>
        <v/>
      </c>
      <c r="T65" s="442">
        <f>IFERROR(__xludf.DUMMYFUNCTION("""COMPUTED_VALUE"""),"stop無: 1回目 3.20")</f>
        <v/>
      </c>
      <c r="U65" s="444">
        <f>IFERROR(__xludf.DUMMYFUNCTION("""COMPUTED_VALUE"""),45922.458333333336)</f>
        <v/>
      </c>
      <c r="V65" s="444">
        <f>IFERROR(__xludf.DUMMYFUNCTION("""COMPUTED_VALUE"""),390812.49998842593)</f>
        <v/>
      </c>
      <c r="W65" s="438">
        <f>IFERROR(__xludf.DUMMYFUNCTION("""COMPUTED_VALUE"""),"catchcopy_character_chara_yuw_00101.png")</f>
        <v/>
      </c>
      <c r="X65" s="438">
        <f>IFERROR(__xludf.DUMMYFUNCTION("""COMPUTED_VALUE"""),"enemy_icon_chara_yuw_00101")</f>
        <v/>
      </c>
      <c r="Y65" s="438">
        <f>IFERROR(__xludf.DUMMYFUNCTION("""COMPUTED_VALUE"""),"boss_icon_chara_yuw_00101")</f>
        <v/>
      </c>
      <c r="Z65" s="438">
        <f>IFERROR(__xludf.DUMMYFUNCTION("""COMPUTED_VALUE"""),"chara_yuw_00101_normal")</f>
        <v/>
      </c>
      <c r="AA65" s="439">
        <f>IFERROR(__xludf.DUMMYFUNCTION("""COMPUTED_VALUE"""),"chara_yuw_00101_special")</f>
        <v/>
      </c>
    </row>
    <row r="66">
      <c r="A66" s="439">
        <f>IFERROR(__xludf.DUMMYFUNCTION("""COMPUTED_VALUE"""),"yuw")</f>
        <v/>
      </c>
      <c r="B66" s="435">
        <f>IFERROR(__xludf.DUMMYFUNCTION("""COMPUTED_VALUE"""),"2.5次元の誘惑")</f>
        <v/>
      </c>
      <c r="C66" s="436">
        <f>IFERROR(__xludf.DUMMYFUNCTION("""COMPUTED_VALUE"""),"00102")</f>
        <v/>
      </c>
      <c r="D66" s="437">
        <f>IFERROR(__xludf.DUMMYFUNCTION("""COMPUTED_VALUE"""),"chara_yuw_00102")</f>
        <v/>
      </c>
      <c r="E66" s="437">
        <f>IFERROR(__xludf.DUMMYFUNCTION("""COMPUTED_VALUE"""),"クリスマス 橘 美花莉")</f>
        <v/>
      </c>
      <c r="F66" s="439">
        <f>IFERROR(__xludf.DUMMYFUNCTION("""COMPUTED_VALUE"""),"愛届ける聖夜のサンタ 橘 美花莉")</f>
        <v/>
      </c>
      <c r="G66" s="439">
        <f>IFERROR(__xludf.DUMMYFUNCTION("""COMPUTED_VALUE"""),"プレゼントは私だよ〜♡")</f>
        <v/>
      </c>
      <c r="H66" s="439">
        <f>IFERROR(__xludf.DUMMYFUNCTION("""COMPUTED_VALUE"""),"UR")</f>
        <v/>
      </c>
      <c r="I66" s="439">
        <f>IFERROR(__xludf.DUMMYFUNCTION("""COMPUTED_VALUE"""),"FestivalUR")</f>
        <v/>
      </c>
      <c r="J66" s="439">
        <f>IFERROR(__xludf.DUMMYFUNCTION("""COMPUTED_VALUE"""),"緑")</f>
        <v/>
      </c>
      <c r="K66" s="439">
        <f>IFERROR(__xludf.DUMMYFUNCTION("""COMPUTED_VALUE"""),"chara")</f>
        <v/>
      </c>
      <c r="L66" s="438">
        <f>IFERROR(__xludf.DUMMYFUNCTION("""COMPUTED_VALUE"""),"サポート")</f>
        <v/>
      </c>
      <c r="M66" s="436">
        <f>IFERROR(__xludf.DUMMYFUNCTION("""COMPUTED_VALUE"""),"dageki_1")</f>
        <v/>
      </c>
      <c r="N66" s="440">
        <f>IFERROR(__xludf.DUMMYFUNCTION("""COMPUTED_VALUE"""),"Short")</f>
        <v/>
      </c>
      <c r="O66" s="440">
        <f>IFERROR(__xludf.DUMMYFUNCTION("""COMPUTED_VALUE"""),"-")</f>
        <v/>
      </c>
      <c r="P66" s="440" t="n"/>
      <c r="Q66" s="440">
        <f>IFERROR(__xludf.DUMMYFUNCTION("""COMPUTED_VALUE"""),"1.67")</f>
        <v/>
      </c>
      <c r="R66" s="441">
        <f>IFERROR(__xludf.DUMMYFUNCTION("""COMPUTED_VALUE"""),"stop有:1回目 0.50")</f>
        <v/>
      </c>
      <c r="S66" s="441">
        <f>IFERROR(__xludf.DUMMYFUNCTION("""COMPUTED_VALUE"""),"3.5")</f>
        <v/>
      </c>
      <c r="T66" s="442">
        <f>IFERROR(__xludf.DUMMYFUNCTION("""COMPUTED_VALUE"""),"stop無: 1回目 2.00")</f>
        <v/>
      </c>
      <c r="U66" s="444">
        <f>IFERROR(__xludf.DUMMYFUNCTION("""COMPUTED_VALUE"""),46013.5)</f>
        <v/>
      </c>
      <c r="V66" s="444">
        <f>IFERROR(__xludf.DUMMYFUNCTION("""COMPUTED_VALUE"""),390812.49998842593)</f>
        <v/>
      </c>
      <c r="W66" s="438">
        <f>IFERROR(__xludf.DUMMYFUNCTION("""COMPUTED_VALUE"""),"catchcopy_character_chara_yuw_00102.png")</f>
        <v/>
      </c>
      <c r="X66" s="438">
        <f>IFERROR(__xludf.DUMMYFUNCTION("""COMPUTED_VALUE"""),"enemy_icon_chara_yuw_00102")</f>
        <v/>
      </c>
      <c r="Y66" s="438">
        <f>IFERROR(__xludf.DUMMYFUNCTION("""COMPUTED_VALUE"""),"boss_icon_chara_yuw_00102")</f>
        <v/>
      </c>
      <c r="Z66" s="438">
        <f>IFERROR(__xludf.DUMMYFUNCTION("""COMPUTED_VALUE"""),"chara_yuw_00101_normal")</f>
        <v/>
      </c>
      <c r="AA66" s="439">
        <f>IFERROR(__xludf.DUMMYFUNCTION("""COMPUTED_VALUE"""),"chara_yuw_00101_special")</f>
        <v/>
      </c>
    </row>
    <row r="67">
      <c r="A67" s="439">
        <f>IFERROR(__xludf.DUMMYFUNCTION("""COMPUTED_VALUE"""),"yuw")</f>
        <v/>
      </c>
      <c r="B67" s="435">
        <f>IFERROR(__xludf.DUMMYFUNCTION("""COMPUTED_VALUE"""),"2.5次元の誘惑")</f>
        <v/>
      </c>
      <c r="C67" s="436">
        <f>IFERROR(__xludf.DUMMYFUNCTION("""COMPUTED_VALUE"""),"00201")</f>
        <v/>
      </c>
      <c r="D67" s="437">
        <f>IFERROR(__xludf.DUMMYFUNCTION("""COMPUTED_VALUE"""),"chara_yuw_00201")</f>
        <v/>
      </c>
      <c r="E67" s="437">
        <f>IFERROR(__xludf.DUMMYFUNCTION("""COMPUTED_VALUE"""),"羽生 まゆり")</f>
        <v/>
      </c>
      <c r="F67" s="439">
        <f>IFERROR(__xludf.DUMMYFUNCTION("""COMPUTED_VALUE"""),"羽生 まゆり")</f>
        <v/>
      </c>
      <c r="G67" s="439">
        <f>IFERROR(__xludf.DUMMYFUNCTION("""COMPUTED_VALUE"""),"先生がもう一肌脱ぐしかないわね")</f>
        <v/>
      </c>
      <c r="H67" s="439">
        <f>IFERROR(__xludf.DUMMYFUNCTION("""COMPUTED_VALUE"""),"SSR")</f>
        <v/>
      </c>
      <c r="I67" s="439">
        <f>IFERROR(__xludf.DUMMYFUNCTION("""COMPUTED_VALUE"""),"PremiumSSR")</f>
        <v/>
      </c>
      <c r="J67" s="439">
        <f>IFERROR(__xludf.DUMMYFUNCTION("""COMPUTED_VALUE"""),"青")</f>
        <v/>
      </c>
      <c r="K67" s="438">
        <f>IFERROR(__xludf.DUMMYFUNCTION("""COMPUTED_VALUE"""),"chara")</f>
        <v/>
      </c>
      <c r="L67" s="438">
        <f>IFERROR(__xludf.DUMMYFUNCTION("""COMPUTED_VALUE"""),"テクニカル")</f>
        <v/>
      </c>
      <c r="M67" s="436">
        <f>IFERROR(__xludf.DUMMYFUNCTION("""COMPUTED_VALUE"""),"dageki_2")</f>
        <v/>
      </c>
      <c r="N67" s="440">
        <f>IFERROR(__xludf.DUMMYFUNCTION("""COMPUTED_VALUE"""),"Short")</f>
        <v/>
      </c>
      <c r="O67" s="440">
        <f>IFERROR(__xludf.DUMMYFUNCTION("""COMPUTED_VALUE"""),"dageki_1")</f>
        <v/>
      </c>
      <c r="P67" s="440">
        <f>IFERROR(__xludf.DUMMYFUNCTION("""COMPUTED_VALUE"""),"00201")</f>
        <v/>
      </c>
      <c r="Q67" s="440">
        <f>IFERROR(__xludf.DUMMYFUNCTION("""COMPUTED_VALUE"""),"1.06")</f>
        <v/>
      </c>
      <c r="R67" s="441">
        <f>IFERROR(__xludf.DUMMYFUNCTION("""COMPUTED_VALUE"""),"0.34")</f>
        <v/>
      </c>
      <c r="S67" s="441">
        <f>IFERROR(__xludf.DUMMYFUNCTION("""COMPUTED_VALUE"""),"4.67")</f>
        <v/>
      </c>
      <c r="T67" s="442">
        <f>IFERROR(__xludf.DUMMYFUNCTION("""COMPUTED_VALUE"""),"3.50")</f>
        <v/>
      </c>
      <c r="U67" s="443">
        <f>IFERROR(__xludf.DUMMYFUNCTION("""COMPUTED_VALUE"""),45986.625)</f>
        <v/>
      </c>
      <c r="V67" s="444">
        <f>IFERROR(__xludf.DUMMYFUNCTION("""COMPUTED_VALUE"""),390812.49998842593)</f>
        <v/>
      </c>
      <c r="W67" s="438">
        <f>IFERROR(__xludf.DUMMYFUNCTION("""COMPUTED_VALUE"""),"catchcopy_character_chara_yuw_00201.png")</f>
        <v/>
      </c>
      <c r="X67" s="438">
        <f>IFERROR(__xludf.DUMMYFUNCTION("""COMPUTED_VALUE"""),"enemy_icon_chara_yuw_00201")</f>
        <v/>
      </c>
      <c r="Y67" s="438">
        <f>IFERROR(__xludf.DUMMYFUNCTION("""COMPUTED_VALUE"""),"boss_icon_chara_yuw_00201")</f>
        <v/>
      </c>
      <c r="Z67" s="438" t="n"/>
      <c r="AA67" s="439" t="n"/>
    </row>
    <row r="68">
      <c r="A68" s="439">
        <f>IFERROR(__xludf.DUMMYFUNCTION("""COMPUTED_VALUE"""),"yuw")</f>
        <v/>
      </c>
      <c r="B68" s="435">
        <f>IFERROR(__xludf.DUMMYFUNCTION("""COMPUTED_VALUE"""),"2.5次元の誘惑")</f>
        <v/>
      </c>
      <c r="C68" s="436">
        <f>IFERROR(__xludf.DUMMYFUNCTION("""COMPUTED_VALUE"""),"00301")</f>
        <v/>
      </c>
      <c r="D68" s="437">
        <f>IFERROR(__xludf.DUMMYFUNCTION("""COMPUTED_VALUE"""),"chara_yuw_00301")</f>
        <v/>
      </c>
      <c r="E68" s="437">
        <f>IFERROR(__xludf.DUMMYFUNCTION("""COMPUTED_VALUE"""),"勇気を纏うコスプレ 乃愛")</f>
        <v/>
      </c>
      <c r="F68" s="439">
        <f>IFERROR(__xludf.DUMMYFUNCTION("""COMPUTED_VALUE"""),"勇気を纏うコスプレ 乃愛")</f>
        <v/>
      </c>
      <c r="G68" s="439">
        <f>IFERROR(__xludf.DUMMYFUNCTION("""COMPUTED_VALUE"""),"命に換えてもお守りします")</f>
        <v/>
      </c>
      <c r="H68" s="438">
        <f>IFERROR(__xludf.DUMMYFUNCTION("""COMPUTED_VALUE"""),"UR")</f>
        <v/>
      </c>
      <c r="I68" s="439">
        <f>IFERROR(__xludf.DUMMYFUNCTION("""COMPUTED_VALUE"""),"PremiumUR")</f>
        <v/>
      </c>
      <c r="J68" s="439">
        <f>IFERROR(__xludf.DUMMYFUNCTION("""COMPUTED_VALUE"""),"青")</f>
        <v/>
      </c>
      <c r="K68" s="439">
        <f>IFERROR(__xludf.DUMMYFUNCTION("""COMPUTED_VALUE"""),"chara")</f>
        <v/>
      </c>
      <c r="L68" s="438">
        <f>IFERROR(__xludf.DUMMYFUNCTION("""COMPUTED_VALUE"""),"サポート")</f>
        <v/>
      </c>
      <c r="M68" s="447">
        <f>IFERROR(__xludf.DUMMYFUNCTION("""COMPUTED_VALUE"""),"dageki_2")</f>
        <v/>
      </c>
      <c r="N68" s="440">
        <f>IFERROR(__xludf.DUMMYFUNCTION("""COMPUTED_VALUE"""),"Short")</f>
        <v/>
      </c>
      <c r="O68" s="440">
        <f>IFERROR(__xludf.DUMMYFUNCTION("""COMPUTED_VALUE"""),"-")</f>
        <v/>
      </c>
      <c r="P68" s="440">
        <f>IFERROR(__xludf.DUMMYFUNCTION("""COMPUTED_VALUE"""),"00301")</f>
        <v/>
      </c>
      <c r="Q68" s="440">
        <f>IFERROR(__xludf.DUMMYFUNCTION("""COMPUTED_VALUE"""),"1.57")</f>
        <v/>
      </c>
      <c r="R68" s="441">
        <f>IFERROR(__xludf.DUMMYFUNCTION("""COMPUTED_VALUE"""),"stop無:1回目 0.50
stop無:2回目 1.00")</f>
        <v/>
      </c>
      <c r="S68" s="441">
        <f>IFERROR(__xludf.DUMMYFUNCTION("""COMPUTED_VALUE"""),"3.50")</f>
        <v/>
      </c>
      <c r="T68" s="442">
        <f>IFERROR(__xludf.DUMMYFUNCTION("""COMPUTED_VALUE"""),"stop無: 1回目 3.20")</f>
        <v/>
      </c>
      <c r="U68" s="443">
        <f>IFERROR(__xludf.DUMMYFUNCTION("""COMPUTED_VALUE"""),45986.625)</f>
        <v/>
      </c>
      <c r="V68" s="444">
        <f>IFERROR(__xludf.DUMMYFUNCTION("""COMPUTED_VALUE"""),390812.49998842593)</f>
        <v/>
      </c>
      <c r="W68" s="438">
        <f>IFERROR(__xludf.DUMMYFUNCTION("""COMPUTED_VALUE"""),"catchcopy_character_chara_yuw_00301.png")</f>
        <v/>
      </c>
      <c r="X68" s="438">
        <f>IFERROR(__xludf.DUMMYFUNCTION("""COMPUTED_VALUE"""),"enemy_icon_chara_yuw_00301")</f>
        <v/>
      </c>
      <c r="Y68" s="438">
        <f>IFERROR(__xludf.DUMMYFUNCTION("""COMPUTED_VALUE"""),"boss_icon_chara_yuw_00301")</f>
        <v/>
      </c>
      <c r="Z68" s="438">
        <f>IFERROR(__xludf.DUMMYFUNCTION("""COMPUTED_VALUE"""),"chara_yuw_00301_normal")</f>
        <v/>
      </c>
      <c r="AA68" s="439">
        <f>IFERROR(__xludf.DUMMYFUNCTION("""COMPUTED_VALUE"""),"chara_yuw_00301_special")</f>
        <v/>
      </c>
    </row>
    <row r="69">
      <c r="A69" s="439">
        <f>IFERROR(__xludf.DUMMYFUNCTION("""COMPUTED_VALUE"""),"yuw")</f>
        <v/>
      </c>
      <c r="B69" s="435">
        <f>IFERROR(__xludf.DUMMYFUNCTION("""COMPUTED_VALUE"""),"2.5次元の誘惑")</f>
        <v/>
      </c>
      <c r="C69" s="436">
        <f>IFERROR(__xludf.DUMMYFUNCTION("""COMPUTED_VALUE"""),"00401")</f>
        <v/>
      </c>
      <c r="D69" s="437">
        <f>IFERROR(__xludf.DUMMYFUNCTION("""COMPUTED_VALUE"""),"chara_yuw_00401")</f>
        <v/>
      </c>
      <c r="E69" s="437">
        <f>IFERROR(__xludf.DUMMYFUNCTION("""COMPUTED_VALUE"""),"伝えたいウチの想い　喜咲 アリア")</f>
        <v/>
      </c>
      <c r="F69" s="439">
        <f>IFERROR(__xludf.DUMMYFUNCTION("""COMPUTED_VALUE"""),"伝えたいウチの想い 喜咲 アリア")</f>
        <v/>
      </c>
      <c r="G69" s="439">
        <f>IFERROR(__xludf.DUMMYFUNCTION("""COMPUTED_VALUE"""),"アタシに任せてよ!!")</f>
        <v/>
      </c>
      <c r="H69" s="438">
        <f>IFERROR(__xludf.DUMMYFUNCTION("""COMPUTED_VALUE"""),"UR")</f>
        <v/>
      </c>
      <c r="I69" s="439">
        <f>IFERROR(__xludf.DUMMYFUNCTION("""COMPUTED_VALUE"""),"PremiumUR")</f>
        <v/>
      </c>
      <c r="J69" s="439">
        <f>IFERROR(__xludf.DUMMYFUNCTION("""COMPUTED_VALUE"""),"赤")</f>
        <v/>
      </c>
      <c r="K69" s="439">
        <f>IFERROR(__xludf.DUMMYFUNCTION("""COMPUTED_VALUE"""),"chara")</f>
        <v/>
      </c>
      <c r="L69" s="438">
        <f>IFERROR(__xludf.DUMMYFUNCTION("""COMPUTED_VALUE"""),"ディフェンス")</f>
        <v/>
      </c>
      <c r="M69" s="447">
        <f>IFERROR(__xludf.DUMMYFUNCTION("""COMPUTED_VALUE"""),"dageki_2")</f>
        <v/>
      </c>
      <c r="N69" s="449">
        <f>IFERROR(__xludf.DUMMYFUNCTION("""COMPUTED_VALUE"""),"Short")</f>
        <v/>
      </c>
      <c r="O69" s="449">
        <f>IFERROR(__xludf.DUMMYFUNCTION("""COMPUTED_VALUE"""),"zangeki_1")</f>
        <v/>
      </c>
      <c r="P69" s="450">
        <f>IFERROR(__xludf.DUMMYFUNCTION("""COMPUTED_VALUE"""),"00401")</f>
        <v/>
      </c>
      <c r="Q69" s="450">
        <f>IFERROR(__xludf.DUMMYFUNCTION("""COMPUTED_VALUE"""),"1.17")</f>
        <v/>
      </c>
      <c r="R69" s="441">
        <f>IFERROR(__xludf.DUMMYFUNCTION("""COMPUTED_VALUE"""),"0.34")</f>
        <v/>
      </c>
      <c r="S69" s="441">
        <f>IFERROR(__xludf.DUMMYFUNCTION("""COMPUTED_VALUE"""),"2.67")</f>
        <v/>
      </c>
      <c r="T69" s="442">
        <f>IFERROR(__xludf.DUMMYFUNCTION("""COMPUTED_VALUE"""),"1.64")</f>
        <v/>
      </c>
      <c r="U69" s="443">
        <f>IFERROR(__xludf.DUMMYFUNCTION("""COMPUTED_VALUE"""),45986.625)</f>
        <v/>
      </c>
      <c r="V69" s="444">
        <f>IFERROR(__xludf.DUMMYFUNCTION("""COMPUTED_VALUE"""),390812.49998842593)</f>
        <v/>
      </c>
      <c r="W69" s="438">
        <f>IFERROR(__xludf.DUMMYFUNCTION("""COMPUTED_VALUE"""),"catchcopy_character_chara_yuw_00401.png")</f>
        <v/>
      </c>
      <c r="X69" s="438">
        <f>IFERROR(__xludf.DUMMYFUNCTION("""COMPUTED_VALUE"""),"enemy_icon_chara_yuw_00401")</f>
        <v/>
      </c>
      <c r="Y69" s="438">
        <f>IFERROR(__xludf.DUMMYFUNCTION("""COMPUTED_VALUE"""),"boss_icon_chara_yuw_00401")</f>
        <v/>
      </c>
      <c r="Z69" s="438" t="n"/>
      <c r="AA69" s="439" t="n"/>
    </row>
    <row r="70">
      <c r="A70" s="439">
        <f>IFERROR(__xludf.DUMMYFUNCTION("""COMPUTED_VALUE"""),"yuw")</f>
        <v/>
      </c>
      <c r="B70" s="435">
        <f>IFERROR(__xludf.DUMMYFUNCTION("""COMPUTED_VALUE"""),"2.5次元の誘惑")</f>
        <v/>
      </c>
      <c r="C70" s="436">
        <f>IFERROR(__xludf.DUMMYFUNCTION("""COMPUTED_VALUE"""),"00501")</f>
        <v/>
      </c>
      <c r="D70" s="437">
        <f>IFERROR(__xludf.DUMMYFUNCTION("""COMPUTED_VALUE"""),"chara_yuw_00501")</f>
        <v/>
      </c>
      <c r="E70" s="437">
        <f>IFERROR(__xludf.DUMMYFUNCTION("""COMPUTED_VALUE"""),"753♡")</f>
        <v/>
      </c>
      <c r="F70" s="438">
        <f>IFERROR(__xludf.DUMMYFUNCTION("""COMPUTED_VALUE"""),"753♡")</f>
        <v/>
      </c>
      <c r="G70" s="438">
        <f>IFERROR(__xludf.DUMMYFUNCTION("""COMPUTED_VALUE"""),"どっちがコスプレを愛してる？")</f>
        <v/>
      </c>
      <c r="H70" s="439">
        <f>IFERROR(__xludf.DUMMYFUNCTION("""COMPUTED_VALUE"""),"SR")</f>
        <v/>
      </c>
      <c r="I70" s="439">
        <f>IFERROR(__xludf.DUMMYFUNCTION("""COMPUTED_VALUE"""),"DropSR")</f>
        <v/>
      </c>
      <c r="J70" s="438">
        <f>IFERROR(__xludf.DUMMYFUNCTION("""COMPUTED_VALUE"""),"赤")</f>
        <v/>
      </c>
      <c r="K70" s="438">
        <f>IFERROR(__xludf.DUMMYFUNCTION("""COMPUTED_VALUE"""),"chara")</f>
        <v/>
      </c>
      <c r="L70" s="438">
        <f>IFERROR(__xludf.DUMMYFUNCTION("""COMPUTED_VALUE"""),"サポート")</f>
        <v/>
      </c>
      <c r="M70" s="436">
        <f>IFERROR(__xludf.DUMMYFUNCTION("""COMPUTED_VALUE"""),"dageki_2")</f>
        <v/>
      </c>
      <c r="N70" s="440">
        <f>IFERROR(__xludf.DUMMYFUNCTION("""COMPUTED_VALUE"""),"Short")</f>
        <v/>
      </c>
      <c r="O70" s="440">
        <f>IFERROR(__xludf.DUMMYFUNCTION("""COMPUTED_VALUE"""),"-")</f>
        <v/>
      </c>
      <c r="P70" s="440">
        <f>IFERROR(__xludf.DUMMYFUNCTION("""COMPUTED_VALUE"""),"00501")</f>
        <v/>
      </c>
      <c r="Q70" s="440">
        <f>IFERROR(__xludf.DUMMYFUNCTION("""COMPUTED_VALUE"""),"1.24")</f>
        <v/>
      </c>
      <c r="R70" s="441">
        <f>IFERROR(__xludf.DUMMYFUNCTION("""COMPUTED_VALUE"""),"stop有:1回目 0.43")</f>
        <v/>
      </c>
      <c r="S70" s="441">
        <f>IFERROR(__xludf.DUMMYFUNCTION("""COMPUTED_VALUE"""),"2.17")</f>
        <v/>
      </c>
      <c r="T70" s="442">
        <f>IFERROR(__xludf.DUMMYFUNCTION("""COMPUTED_VALUE"""),"stop無: 1回目 1.50")</f>
        <v/>
      </c>
      <c r="U70" s="443">
        <f>IFERROR(__xludf.DUMMYFUNCTION("""COMPUTED_VALUE"""),45986.625)</f>
        <v/>
      </c>
      <c r="V70" s="444">
        <f>IFERROR(__xludf.DUMMYFUNCTION("""COMPUTED_VALUE"""),390812.49998842593)</f>
        <v/>
      </c>
      <c r="W70" s="438">
        <f>IFERROR(__xludf.DUMMYFUNCTION("""COMPUTED_VALUE"""),"catchcopy_character_chara_yuw_00501.png")</f>
        <v/>
      </c>
      <c r="X70" s="438">
        <f>IFERROR(__xludf.DUMMYFUNCTION("""COMPUTED_VALUE"""),"enemy_icon_chara_yuw_00501")</f>
        <v/>
      </c>
      <c r="Y70" s="438">
        <f>IFERROR(__xludf.DUMMYFUNCTION("""COMPUTED_VALUE"""),"boss_icon_chara_yuw_00501")</f>
        <v/>
      </c>
      <c r="Z70" s="438">
        <f>IFERROR(__xludf.DUMMYFUNCTION("""COMPUTED_VALUE"""),"chara_yuw_00501_normal")</f>
        <v/>
      </c>
      <c r="AA70" s="439">
        <f>IFERROR(__xludf.DUMMYFUNCTION("""COMPUTED_VALUE"""),"chara_yuw_00501_special")</f>
        <v/>
      </c>
    </row>
    <row r="71">
      <c r="A71" s="439">
        <f>IFERROR(__xludf.DUMMYFUNCTION("""COMPUTED_VALUE"""),"yuw")</f>
        <v/>
      </c>
      <c r="B71" s="435">
        <f>IFERROR(__xludf.DUMMYFUNCTION("""COMPUTED_VALUE"""),"2.5次元の誘惑")</f>
        <v/>
      </c>
      <c r="C71" s="436">
        <f>IFERROR(__xludf.DUMMYFUNCTION("""COMPUTED_VALUE"""),"00502")</f>
        <v/>
      </c>
      <c r="D71" s="437">
        <f>IFERROR(__xludf.DUMMYFUNCTION("""COMPUTED_VALUE"""),"chara_yuw_00502")</f>
        <v/>
      </c>
      <c r="E71" s="437">
        <f>IFERROR(__xludf.DUMMYFUNCTION("""COMPUTED_VALUE"""),"753♡(魔女コスプレ)")</f>
        <v/>
      </c>
      <c r="F71" s="438">
        <f>IFERROR(__xludf.DUMMYFUNCTION("""COMPUTED_VALUE"""),"選定中")</f>
        <v/>
      </c>
      <c r="G71" s="438" t="n"/>
      <c r="H71" s="439">
        <f>IFERROR(__xludf.DUMMYFUNCTION("""COMPUTED_VALUE"""),"UR")</f>
        <v/>
      </c>
      <c r="I71" s="439">
        <f>IFERROR(__xludf.DUMMYFUNCTION("""COMPUTED_VALUE"""),"PremiumUR")</f>
        <v/>
      </c>
      <c r="J71" s="438">
        <f>IFERROR(__xludf.DUMMYFUNCTION("""COMPUTED_VALUE"""),"黄")</f>
        <v/>
      </c>
      <c r="K71" s="438">
        <f>IFERROR(__xludf.DUMMYFUNCTION("""COMPUTED_VALUE"""),"chara")</f>
        <v/>
      </c>
      <c r="L71" s="438">
        <f>IFERROR(__xludf.DUMMYFUNCTION("""COMPUTED_VALUE"""),"テクニカル")</f>
        <v/>
      </c>
      <c r="M71" s="436" t="n"/>
      <c r="N71" s="440" t="n"/>
      <c r="O71" s="440" t="n"/>
      <c r="P71" s="440" t="n"/>
      <c r="Q71" s="440" t="n"/>
      <c r="R71" s="441" t="n"/>
      <c r="S71" s="441" t="n"/>
      <c r="T71" s="460" t="n"/>
      <c r="U71" s="443">
        <f>IFERROR(__xludf.DUMMYFUNCTION("""COMPUTED_VALUE"""),"実装未定")</f>
        <v/>
      </c>
      <c r="V71" s="444">
        <f>IFERROR(__xludf.DUMMYFUNCTION("""COMPUTED_VALUE"""),390812.49998842593)</f>
        <v/>
      </c>
      <c r="W71" s="438" t="n"/>
      <c r="X71" s="438">
        <f>IFERROR(__xludf.DUMMYFUNCTION("""COMPUTED_VALUE"""),"enemy_icon_chara_yuw_00502")</f>
        <v/>
      </c>
      <c r="Y71" s="438">
        <f>IFERROR(__xludf.DUMMYFUNCTION("""COMPUTED_VALUE"""),"boss_icon_chara_yuw_00502")</f>
        <v/>
      </c>
      <c r="Z71" s="438" t="n"/>
      <c r="AA71" s="439" t="n"/>
    </row>
    <row r="72">
      <c r="A72" s="439">
        <f>IFERROR(__xludf.DUMMYFUNCTION("""COMPUTED_VALUE"""),"yuw")</f>
        <v/>
      </c>
      <c r="B72" s="435">
        <f>IFERROR(__xludf.DUMMYFUNCTION("""COMPUTED_VALUE"""),"2.5次元の誘惑")</f>
        <v/>
      </c>
      <c r="C72" s="436">
        <f>IFERROR(__xludf.DUMMYFUNCTION("""COMPUTED_VALUE"""),"00601")</f>
        <v/>
      </c>
      <c r="D72" s="437">
        <f>IFERROR(__xludf.DUMMYFUNCTION("""COMPUTED_VALUE"""),"chara_yuw_00601")</f>
        <v/>
      </c>
      <c r="E72" s="437">
        <f>IFERROR(__xludf.DUMMYFUNCTION("""COMPUTED_VALUE"""),"奥村 正宗")</f>
        <v/>
      </c>
      <c r="F72" s="439">
        <f>IFERROR(__xludf.DUMMYFUNCTION("""COMPUTED_VALUE"""),"奥村 正宗")</f>
        <v/>
      </c>
      <c r="G72" s="438">
        <f>IFERROR(__xludf.DUMMYFUNCTION("""COMPUTED_VALUE"""),"事実だけ言ってやる!!")</f>
        <v/>
      </c>
      <c r="H72" s="439">
        <f>IFERROR(__xludf.DUMMYFUNCTION("""COMPUTED_VALUE"""),"SR")</f>
        <v/>
      </c>
      <c r="I72" s="439">
        <f>IFERROR(__xludf.DUMMYFUNCTION("""COMPUTED_VALUE"""),"DropSR")</f>
        <v/>
      </c>
      <c r="J72" s="438">
        <f>IFERROR(__xludf.DUMMYFUNCTION("""COMPUTED_VALUE"""),"黄")</f>
        <v/>
      </c>
      <c r="K72" s="438">
        <f>IFERROR(__xludf.DUMMYFUNCTION("""COMPUTED_VALUE"""),"chara")</f>
        <v/>
      </c>
      <c r="L72" s="438">
        <f>IFERROR(__xludf.DUMMYFUNCTION("""COMPUTED_VALUE"""),"ディフェンス")</f>
        <v/>
      </c>
      <c r="M72" s="436">
        <f>IFERROR(__xludf.DUMMYFUNCTION("""COMPUTED_VALUE"""),"dageki_1")</f>
        <v/>
      </c>
      <c r="N72" s="440">
        <f>IFERROR(__xludf.DUMMYFUNCTION("""COMPUTED_VALUE"""),"Short")</f>
        <v/>
      </c>
      <c r="O72" s="440">
        <f>IFERROR(__xludf.DUMMYFUNCTION("""COMPUTED_VALUE"""),"-")</f>
        <v/>
      </c>
      <c r="P72" s="440">
        <f>IFERROR(__xludf.DUMMYFUNCTION("""COMPUTED_VALUE"""),"00601")</f>
        <v/>
      </c>
      <c r="Q72" s="440">
        <f>IFERROR(__xludf.DUMMYFUNCTION("""COMPUTED_VALUE"""),"1.20")</f>
        <v/>
      </c>
      <c r="R72" s="441">
        <f>IFERROR(__xludf.DUMMYFUNCTION("""COMPUTED_VALUE"""),"0.67")</f>
        <v/>
      </c>
      <c r="S72" s="441">
        <f>IFERROR(__xludf.DUMMYFUNCTION("""COMPUTED_VALUE"""),"1.84")</f>
        <v/>
      </c>
      <c r="T72" s="442">
        <f>IFERROR(__xludf.DUMMYFUNCTION("""COMPUTED_VALUE"""),"stop無: 1回目 0.68")</f>
        <v/>
      </c>
      <c r="U72" s="443">
        <f>IFERROR(__xludf.DUMMYFUNCTION("""COMPUTED_VALUE"""),45986.625)</f>
        <v/>
      </c>
      <c r="V72" s="444">
        <f>IFERROR(__xludf.DUMMYFUNCTION("""COMPUTED_VALUE"""),390812.49998842593)</f>
        <v/>
      </c>
      <c r="W72" s="438">
        <f>IFERROR(__xludf.DUMMYFUNCTION("""COMPUTED_VALUE"""),"catchcopy_character_chara_yuw_00601.png")</f>
        <v/>
      </c>
      <c r="X72" s="438">
        <f>IFERROR(__xludf.DUMMYFUNCTION("""COMPUTED_VALUE"""),"enemy_icon_chara_yuw_00601")</f>
        <v/>
      </c>
      <c r="Y72" s="438">
        <f>IFERROR(__xludf.DUMMYFUNCTION("""COMPUTED_VALUE"""),"boss_icon_chara_yuw_00601")</f>
        <v/>
      </c>
      <c r="Z72" s="438">
        <f>IFERROR(__xludf.DUMMYFUNCTION("""COMPUTED_VALUE"""),"chara_yuw_00601_normal")</f>
        <v/>
      </c>
      <c r="AA72" s="439">
        <f>IFERROR(__xludf.DUMMYFUNCTION("""COMPUTED_VALUE"""),"chara_yuw_00601_special")</f>
        <v/>
      </c>
    </row>
    <row r="73">
      <c r="A73" s="439">
        <f>IFERROR(__xludf.DUMMYFUNCTION("""COMPUTED_VALUE"""),"sur")</f>
        <v/>
      </c>
      <c r="B73" s="435">
        <f>IFERROR(__xludf.DUMMYFUNCTION("""COMPUTED_VALUE"""),"魔都精兵のスレイブ")</f>
        <v/>
      </c>
      <c r="C73" s="436">
        <f>IFERROR(__xludf.DUMMYFUNCTION("""COMPUTED_VALUE"""),"00001")</f>
        <v/>
      </c>
      <c r="D73" s="437">
        <f>IFERROR(__xludf.DUMMYFUNCTION("""COMPUTED_VALUE"""),"chara_sur_00001")</f>
        <v/>
      </c>
      <c r="E73" s="437">
        <f>IFERROR(__xludf.DUMMYFUNCTION("""COMPUTED_VALUE"""),"和倉 優希")</f>
        <v/>
      </c>
      <c r="F73" s="439">
        <f>IFERROR(__xludf.DUMMYFUNCTION("""COMPUTED_VALUE"""),"和倉 優希")</f>
        <v/>
      </c>
      <c r="G73" s="438">
        <f>IFERROR(__xludf.DUMMYFUNCTION("""COMPUTED_VALUE"""),"張り切っちゃうぜ！")</f>
        <v/>
      </c>
      <c r="H73" s="439">
        <f>IFERROR(__xludf.DUMMYFUNCTION("""COMPUTED_VALUE"""),"R")</f>
        <v/>
      </c>
      <c r="I73" s="439">
        <f>IFERROR(__xludf.DUMMYFUNCTION("""COMPUTED_VALUE"""),"PremiumR")</f>
        <v/>
      </c>
      <c r="J73" s="438">
        <f>IFERROR(__xludf.DUMMYFUNCTION("""COMPUTED_VALUE"""),"緑")</f>
        <v/>
      </c>
      <c r="K73" s="438">
        <f>IFERROR(__xludf.DUMMYFUNCTION("""COMPUTED_VALUE"""),"chara")</f>
        <v/>
      </c>
      <c r="L73" s="438">
        <f>IFERROR(__xludf.DUMMYFUNCTION("""COMPUTED_VALUE"""),"サポート")</f>
        <v/>
      </c>
      <c r="M73" s="436">
        <f>IFERROR(__xludf.DUMMYFUNCTION("""COMPUTED_VALUE"""),"dageki_2")</f>
        <v/>
      </c>
      <c r="N73" s="440">
        <f>IFERROR(__xludf.DUMMYFUNCTION("""COMPUTED_VALUE"""),"Short")</f>
        <v/>
      </c>
      <c r="O73" s="440">
        <f>IFERROR(__xludf.DUMMYFUNCTION("""COMPUTED_VALUE"""),"-")</f>
        <v/>
      </c>
      <c r="P73" s="440">
        <f>IFERROR(__xludf.DUMMYFUNCTION("""COMPUTED_VALUE"""),"00001")</f>
        <v/>
      </c>
      <c r="Q73" s="440">
        <f>IFERROR(__xludf.DUMMYFUNCTION("""COMPUTED_VALUE"""),"1.17")</f>
        <v/>
      </c>
      <c r="R73" s="441">
        <f>IFERROR(__xludf.DUMMYFUNCTION("""COMPUTED_VALUE"""),"stop有:1回目 0.30")</f>
        <v/>
      </c>
      <c r="S73" s="441">
        <f>IFERROR(__xludf.DUMMYFUNCTION("""COMPUTED_VALUE"""),"2.80")</f>
        <v/>
      </c>
      <c r="T73" s="442">
        <f>IFERROR(__xludf.DUMMYFUNCTION("""COMPUTED_VALUE"""),"stop無:1回目 2.00")</f>
        <v/>
      </c>
      <c r="U73" s="444">
        <f>IFERROR(__xludf.DUMMYFUNCTION("""COMPUTED_VALUE"""),45922.458333333336)</f>
        <v/>
      </c>
      <c r="V73" s="444">
        <f>IFERROR(__xludf.DUMMYFUNCTION("""COMPUTED_VALUE"""),390812.49998842593)</f>
        <v/>
      </c>
      <c r="W73" s="438">
        <f>IFERROR(__xludf.DUMMYFUNCTION("""COMPUTED_VALUE"""),"catchcopy_character_chara_sur_00001.png")</f>
        <v/>
      </c>
      <c r="X73" s="438">
        <f>IFERROR(__xludf.DUMMYFUNCTION("""COMPUTED_VALUE"""),"enemy_icon_chara_sur_00001")</f>
        <v/>
      </c>
      <c r="Y73" s="438">
        <f>IFERROR(__xludf.DUMMYFUNCTION("""COMPUTED_VALUE"""),"boss_icon_chara_sur_00001")</f>
        <v/>
      </c>
      <c r="Z73" s="438" t="n"/>
      <c r="AA73" s="439">
        <f>IFERROR(__xludf.DUMMYFUNCTION("""COMPUTED_VALUE"""),"chara_sur_00001_special")</f>
        <v/>
      </c>
    </row>
    <row r="74">
      <c r="A74" s="439">
        <f>IFERROR(__xludf.DUMMYFUNCTION("""COMPUTED_VALUE"""),"sur")</f>
        <v/>
      </c>
      <c r="B74" s="435">
        <f>IFERROR(__xludf.DUMMYFUNCTION("""COMPUTED_VALUE"""),"魔都精兵のスレイブ")</f>
        <v/>
      </c>
      <c r="C74" s="436">
        <f>IFERROR(__xludf.DUMMYFUNCTION("""COMPUTED_VALUE"""),"00101")</f>
        <v/>
      </c>
      <c r="D74" s="437">
        <f>IFERROR(__xludf.DUMMYFUNCTION("""COMPUTED_VALUE"""),"chara_sur_00101")</f>
        <v/>
      </c>
      <c r="E74" s="437">
        <f>IFERROR(__xludf.DUMMYFUNCTION("""COMPUTED_VALUE"""),"誇り高き魔都の剣姫 羽前京香")</f>
        <v/>
      </c>
      <c r="F74" s="438">
        <f>IFERROR(__xludf.DUMMYFUNCTION("""COMPUTED_VALUE"""),"誇り高き魔都の剣姫 羽前 京香")</f>
        <v/>
      </c>
      <c r="G74" s="438">
        <f>IFERROR(__xludf.DUMMYFUNCTION("""COMPUTED_VALUE"""),"乱れ山桜")</f>
        <v/>
      </c>
      <c r="H74" s="438">
        <f>IFERROR(__xludf.DUMMYFUNCTION("""COMPUTED_VALUE"""),"UR")</f>
        <v/>
      </c>
      <c r="I74" s="439">
        <f>IFERROR(__xludf.DUMMYFUNCTION("""COMPUTED_VALUE"""),"PremiumUR")</f>
        <v/>
      </c>
      <c r="J74" s="438">
        <f>IFERROR(__xludf.DUMMYFUNCTION("""COMPUTED_VALUE"""),"緑")</f>
        <v/>
      </c>
      <c r="K74" s="438">
        <f>IFERROR(__xludf.DUMMYFUNCTION("""COMPUTED_VALUE"""),"chara")</f>
        <v/>
      </c>
      <c r="L74" s="438">
        <f>IFERROR(__xludf.DUMMYFUNCTION("""COMPUTED_VALUE"""),"アタック")</f>
        <v/>
      </c>
      <c r="M74" s="436">
        <f>IFERROR(__xludf.DUMMYFUNCTION("""COMPUTED_VALUE"""),"zangeki_1")</f>
        <v/>
      </c>
      <c r="N74" s="440">
        <f>IFERROR(__xludf.DUMMYFUNCTION("""COMPUTED_VALUE"""),"Middle")</f>
        <v/>
      </c>
      <c r="O74" s="440">
        <f>IFERROR(__xludf.DUMMYFUNCTION("""COMPUTED_VALUE"""),"zangeki_1")</f>
        <v/>
      </c>
      <c r="P74" s="440">
        <f>IFERROR(__xludf.DUMMYFUNCTION("""COMPUTED_VALUE"""),"00101")</f>
        <v/>
      </c>
      <c r="Q74" s="440">
        <f>IFERROR(__xludf.DUMMYFUNCTION("""COMPUTED_VALUE"""),"1.40")</f>
        <v/>
      </c>
      <c r="R74" s="441">
        <f>IFERROR(__xludf.DUMMYFUNCTION("""COMPUTED_VALUE"""),"stop無:1回目 0.33")</f>
        <v/>
      </c>
      <c r="S74" s="441">
        <f>IFERROR(__xludf.DUMMYFUNCTION("""COMPUTED_VALUE"""),"2.67")</f>
        <v/>
      </c>
      <c r="T74" s="442">
        <f>IFERROR(__xludf.DUMMYFUNCTION("""COMPUTED_VALUE"""),"stop無:1回目 0.40
stop無:2回目 0.60
stop無:3回目 0.80
stop無:4回目 0.90
stop無:5回目 1.03
stop有:6回目 1.57")</f>
        <v/>
      </c>
      <c r="U74" s="444">
        <f>IFERROR(__xludf.DUMMYFUNCTION("""COMPUTED_VALUE"""),45922.458333333336)</f>
        <v/>
      </c>
      <c r="V74" s="444">
        <f>IFERROR(__xludf.DUMMYFUNCTION("""COMPUTED_VALUE"""),390812.49998842593)</f>
        <v/>
      </c>
      <c r="W74" s="438">
        <f>IFERROR(__xludf.DUMMYFUNCTION("""COMPUTED_VALUE"""),"catchcopy_character_chara_sur_00101.png")</f>
        <v/>
      </c>
      <c r="X74" s="438">
        <f>IFERROR(__xludf.DUMMYFUNCTION("""COMPUTED_VALUE"""),"enemy_icon_chara_sur_00101")</f>
        <v/>
      </c>
      <c r="Y74" s="438">
        <f>IFERROR(__xludf.DUMMYFUNCTION("""COMPUTED_VALUE"""),"boss_icon_chara_sur_00101")</f>
        <v/>
      </c>
      <c r="Z74" s="438">
        <f>IFERROR(__xludf.DUMMYFUNCTION("""COMPUTED_VALUE"""),"chara_sur_00101_normal")</f>
        <v/>
      </c>
      <c r="AA74" s="439">
        <f>IFERROR(__xludf.DUMMYFUNCTION("""COMPUTED_VALUE"""),"chara_sur_00101_special")</f>
        <v/>
      </c>
    </row>
    <row r="75">
      <c r="A75" s="439">
        <f>IFERROR(__xludf.DUMMYFUNCTION("""COMPUTED_VALUE"""),"sur")</f>
        <v/>
      </c>
      <c r="B75" s="435">
        <f>IFERROR(__xludf.DUMMYFUNCTION("""COMPUTED_VALUE"""),"魔都精兵のスレイブ")</f>
        <v/>
      </c>
      <c r="C75" s="436">
        <f>IFERROR(__xludf.DUMMYFUNCTION("""COMPUTED_VALUE"""),"00201")</f>
        <v/>
      </c>
      <c r="D75" s="437">
        <f>IFERROR(__xludf.DUMMYFUNCTION("""COMPUTED_VALUE"""),"chara_sur_00201")</f>
        <v/>
      </c>
      <c r="E75" s="437">
        <f>IFERROR(__xludf.DUMMYFUNCTION("""COMPUTED_VALUE"""),"東 日万凛")</f>
        <v/>
      </c>
      <c r="F75" s="439">
        <f>IFERROR(__xludf.DUMMYFUNCTION("""COMPUTED_VALUE"""),"東 日万凛")</f>
        <v/>
      </c>
      <c r="G75" s="439">
        <f>IFERROR(__xludf.DUMMYFUNCTION("""COMPUTED_VALUE"""),"武装小町")</f>
        <v/>
      </c>
      <c r="H75" s="439">
        <f>IFERROR(__xludf.DUMMYFUNCTION("""COMPUTED_VALUE"""),"SR")</f>
        <v/>
      </c>
      <c r="I75" s="439">
        <f>IFERROR(__xludf.DUMMYFUNCTION("""COMPUTED_VALUE"""),"PremiumSR")</f>
        <v/>
      </c>
      <c r="J75" s="439">
        <f>IFERROR(__xludf.DUMMYFUNCTION("""COMPUTED_VALUE"""),"青")</f>
        <v/>
      </c>
      <c r="K75" s="439">
        <f>IFERROR(__xludf.DUMMYFUNCTION("""COMPUTED_VALUE"""),"chara")</f>
        <v/>
      </c>
      <c r="L75" s="438">
        <f>IFERROR(__xludf.DUMMYFUNCTION("""COMPUTED_VALUE"""),"アタック")</f>
        <v/>
      </c>
      <c r="M75" s="436">
        <f>IFERROR(__xludf.DUMMYFUNCTION("""COMPUTED_VALUE"""),"shageki_1")</f>
        <v/>
      </c>
      <c r="N75" s="449">
        <f>IFERROR(__xludf.DUMMYFUNCTION("""COMPUTED_VALUE"""),"Short")</f>
        <v/>
      </c>
      <c r="O75" s="449">
        <f>IFERROR(__xludf.DUMMYFUNCTION("""COMPUTED_VALUE"""),"shageki_1")</f>
        <v/>
      </c>
      <c r="P75" s="450">
        <f>IFERROR(__xludf.DUMMYFUNCTION("""COMPUTED_VALUE"""),"00201")</f>
        <v/>
      </c>
      <c r="Q75" s="450">
        <f>IFERROR(__xludf.DUMMYFUNCTION("""COMPUTED_VALUE"""),"1.47")</f>
        <v/>
      </c>
      <c r="R75" s="441">
        <f>IFERROR(__xludf.DUMMYFUNCTION("""COMPUTED_VALUE"""),"stop無:1回目 0.37")</f>
        <v/>
      </c>
      <c r="S75" s="441">
        <f>IFERROR(__xludf.DUMMYFUNCTION("""COMPUTED_VALUE"""),"2.67")</f>
        <v/>
      </c>
      <c r="T75" s="442">
        <f>IFERROR(__xludf.DUMMYFUNCTION("""COMPUTED_VALUE"""),"stop無:1回目 0.74
stop無:2回目 0.92
stop無:3回目 1.1
stop無:4回目 1.28
stop無:5回目 1.45
stop無:6回目 1.65
stop有:7回目 1.84")</f>
        <v/>
      </c>
      <c r="U75" s="444">
        <f>IFERROR(__xludf.DUMMYFUNCTION("""COMPUTED_VALUE"""),45922.458333333336)</f>
        <v/>
      </c>
      <c r="V75" s="444">
        <f>IFERROR(__xludf.DUMMYFUNCTION("""COMPUTED_VALUE"""),390812.49998842593)</f>
        <v/>
      </c>
      <c r="W75" s="438">
        <f>IFERROR(__xludf.DUMMYFUNCTION("""COMPUTED_VALUE"""),"catchcopy_character_chara_sur_00201.png")</f>
        <v/>
      </c>
      <c r="X75" s="438">
        <f>IFERROR(__xludf.DUMMYFUNCTION("""COMPUTED_VALUE"""),"enemy_icon_chara_sur_00201")</f>
        <v/>
      </c>
      <c r="Y75" s="438">
        <f>IFERROR(__xludf.DUMMYFUNCTION("""COMPUTED_VALUE"""),"boss_icon_chara_sur_00201")</f>
        <v/>
      </c>
      <c r="Z75" s="438" t="n"/>
      <c r="AA75" s="439">
        <f>IFERROR(__xludf.DUMMYFUNCTION("""COMPUTED_VALUE"""),"chara_sur_00101_special")</f>
        <v/>
      </c>
    </row>
    <row r="76">
      <c r="A76" s="439">
        <f>IFERROR(__xludf.DUMMYFUNCTION("""COMPUTED_VALUE"""),"sur")</f>
        <v/>
      </c>
      <c r="B76" s="435">
        <f>IFERROR(__xludf.DUMMYFUNCTION("""COMPUTED_VALUE"""),"魔都精兵のスレイブ")</f>
        <v/>
      </c>
      <c r="C76" s="436">
        <f>IFERROR(__xludf.DUMMYFUNCTION("""COMPUTED_VALUE"""),"00301")</f>
        <v/>
      </c>
      <c r="D76" s="437">
        <f>IFERROR(__xludf.DUMMYFUNCTION("""COMPUTED_VALUE"""),"chara_sur_00301")</f>
        <v/>
      </c>
      <c r="E76" s="437">
        <f>IFERROR(__xludf.DUMMYFUNCTION("""COMPUTED_VALUE"""),"駿河 朱々")</f>
        <v/>
      </c>
      <c r="F76" s="439">
        <f>IFERROR(__xludf.DUMMYFUNCTION("""COMPUTED_VALUE"""),"駿河 朱々")</f>
        <v/>
      </c>
      <c r="G76" s="439">
        <f>IFERROR(__xludf.DUMMYFUNCTION("""COMPUTED_VALUE"""),"玉体革命")</f>
        <v/>
      </c>
      <c r="H76" s="439">
        <f>IFERROR(__xludf.DUMMYFUNCTION("""COMPUTED_VALUE"""),"SR")</f>
        <v/>
      </c>
      <c r="I76" s="439">
        <f>IFERROR(__xludf.DUMMYFUNCTION("""COMPUTED_VALUE"""),"PremiumSR")</f>
        <v/>
      </c>
      <c r="J76" s="439">
        <f>IFERROR(__xludf.DUMMYFUNCTION("""COMPUTED_VALUE"""),"黄")</f>
        <v/>
      </c>
      <c r="K76" s="439">
        <f>IFERROR(__xludf.DUMMYFUNCTION("""COMPUTED_VALUE"""),"chara")</f>
        <v/>
      </c>
      <c r="L76" s="438">
        <f>IFERROR(__xludf.DUMMYFUNCTION("""COMPUTED_VALUE"""),"ディフェンス")</f>
        <v/>
      </c>
      <c r="M76" s="436">
        <f>IFERROR(__xludf.DUMMYFUNCTION("""COMPUTED_VALUE"""),"dageki_1")</f>
        <v/>
      </c>
      <c r="N76" s="449">
        <f>IFERROR(__xludf.DUMMYFUNCTION("""COMPUTED_VALUE"""),"Short")</f>
        <v/>
      </c>
      <c r="O76" s="449">
        <f>IFERROR(__xludf.DUMMYFUNCTION("""COMPUTED_VALUE"""),"dageki_2")</f>
        <v/>
      </c>
      <c r="P76" s="450">
        <f>IFERROR(__xludf.DUMMYFUNCTION("""COMPUTED_VALUE"""),"00301")</f>
        <v/>
      </c>
      <c r="Q76" s="450">
        <f>IFERROR(__xludf.DUMMYFUNCTION("""COMPUTED_VALUE"""),"1.56")</f>
        <v/>
      </c>
      <c r="R76" s="441">
        <f>IFERROR(__xludf.DUMMYFUNCTION("""COMPUTED_VALUE"""),"0.66")</f>
        <v/>
      </c>
      <c r="S76" s="441">
        <f>IFERROR(__xludf.DUMMYFUNCTION("""COMPUTED_VALUE"""),"1.91")</f>
        <v/>
      </c>
      <c r="T76" s="442">
        <f>IFERROR(__xludf.DUMMYFUNCTION("""COMPUTED_VALUE"""),"0.73")</f>
        <v/>
      </c>
      <c r="U76" s="444">
        <f>IFERROR(__xludf.DUMMYFUNCTION("""COMPUTED_VALUE"""),45922.458333333336)</f>
        <v/>
      </c>
      <c r="V76" s="444">
        <f>IFERROR(__xludf.DUMMYFUNCTION("""COMPUTED_VALUE"""),390812.49998842593)</f>
        <v/>
      </c>
      <c r="W76" s="438">
        <f>IFERROR(__xludf.DUMMYFUNCTION("""COMPUTED_VALUE"""),"catchcopy_character_chara_sur_00301.png")</f>
        <v/>
      </c>
      <c r="X76" s="438">
        <f>IFERROR(__xludf.DUMMYFUNCTION("""COMPUTED_VALUE"""),"enemy_icon_chara_sur_00301")</f>
        <v/>
      </c>
      <c r="Y76" s="438">
        <f>IFERROR(__xludf.DUMMYFUNCTION("""COMPUTED_VALUE"""),"boss_icon_chara_sur_00301")</f>
        <v/>
      </c>
      <c r="Z76" s="438">
        <f>IFERROR(__xludf.DUMMYFUNCTION("""COMPUTED_VALUE"""),"chara_sur_00301_normal")</f>
        <v/>
      </c>
      <c r="AA76" s="439">
        <f>IFERROR(__xludf.DUMMYFUNCTION("""COMPUTED_VALUE"""),"chara_sur_00301_special")</f>
        <v/>
      </c>
    </row>
    <row r="77">
      <c r="A77" s="439">
        <f>IFERROR(__xludf.DUMMYFUNCTION("""COMPUTED_VALUE"""),"sur")</f>
        <v/>
      </c>
      <c r="B77" s="435">
        <f>IFERROR(__xludf.DUMMYFUNCTION("""COMPUTED_VALUE"""),"魔都精兵のスレイブ")</f>
        <v/>
      </c>
      <c r="C77" s="436">
        <f>IFERROR(__xludf.DUMMYFUNCTION("""COMPUTED_VALUE"""),"00401")</f>
        <v/>
      </c>
      <c r="D77" s="437">
        <f>IFERROR(__xludf.DUMMYFUNCTION("""COMPUTED_VALUE"""),"chara_sur_00401")</f>
        <v/>
      </c>
      <c r="E77" s="437">
        <f>IFERROR(__xludf.DUMMYFUNCTION("""COMPUTED_VALUE"""),"大川村 寧")</f>
        <v/>
      </c>
      <c r="F77" s="439">
        <f>IFERROR(__xludf.DUMMYFUNCTION("""COMPUTED_VALUE"""),"大川村 寧")</f>
        <v/>
      </c>
      <c r="G77" s="439">
        <f>IFERROR(__xludf.DUMMYFUNCTION("""COMPUTED_VALUE"""),"きっと見つける")</f>
        <v/>
      </c>
      <c r="H77" s="439">
        <f>IFERROR(__xludf.DUMMYFUNCTION("""COMPUTED_VALUE"""),"SR")</f>
        <v/>
      </c>
      <c r="I77" s="439">
        <f>IFERROR(__xludf.DUMMYFUNCTION("""COMPUTED_VALUE"""),"DropSR")</f>
        <v/>
      </c>
      <c r="J77" s="439">
        <f>IFERROR(__xludf.DUMMYFUNCTION("""COMPUTED_VALUE"""),"無")</f>
        <v/>
      </c>
      <c r="K77" s="439">
        <f>IFERROR(__xludf.DUMMYFUNCTION("""COMPUTED_VALUE"""),"chara")</f>
        <v/>
      </c>
      <c r="L77" s="438">
        <f>IFERROR(__xludf.DUMMYFUNCTION("""COMPUTED_VALUE"""),"スペシャル")</f>
        <v/>
      </c>
      <c r="M77" s="436">
        <f>IFERROR(__xludf.DUMMYFUNCTION("""COMPUTED_VALUE"""),"-")</f>
        <v/>
      </c>
      <c r="N77" s="440">
        <f>IFERROR(__xludf.DUMMYFUNCTION("""COMPUTED_VALUE"""),"ー")</f>
        <v/>
      </c>
      <c r="O77" s="440">
        <f>IFERROR(__xludf.DUMMYFUNCTION("""COMPUTED_VALUE"""),"-")</f>
        <v/>
      </c>
      <c r="P77" s="440">
        <f>IFERROR(__xludf.DUMMYFUNCTION("""COMPUTED_VALUE"""),"00401")</f>
        <v/>
      </c>
      <c r="Q77" s="440">
        <f>IFERROR(__xludf.DUMMYFUNCTION("""COMPUTED_VALUE"""),"-")</f>
        <v/>
      </c>
      <c r="R77" s="441">
        <f>IFERROR(__xludf.DUMMYFUNCTION("""COMPUTED_VALUE"""),"-")</f>
        <v/>
      </c>
      <c r="S77" s="441">
        <f>IFERROR(__xludf.DUMMYFUNCTION("""COMPUTED_VALUE"""),"2.50")</f>
        <v/>
      </c>
      <c r="T77" s="442">
        <f>IFERROR(__xludf.DUMMYFUNCTION("""COMPUTED_VALUE"""),"0")</f>
        <v/>
      </c>
      <c r="U77" s="444">
        <f>IFERROR(__xludf.DUMMYFUNCTION("""COMPUTED_VALUE"""),45922.458333333336)</f>
        <v/>
      </c>
      <c r="V77" s="444">
        <f>IFERROR(__xludf.DUMMYFUNCTION("""COMPUTED_VALUE"""),390812.49998842593)</f>
        <v/>
      </c>
      <c r="W77" s="438">
        <f>IFERROR(__xludf.DUMMYFUNCTION("""COMPUTED_VALUE"""),"catchcopy_character_chara_sur_00401.png")</f>
        <v/>
      </c>
      <c r="X77" s="438">
        <f>IFERROR(__xludf.DUMMYFUNCTION("""COMPUTED_VALUE"""),"enemy_icon_chara_sur_00401")</f>
        <v/>
      </c>
      <c r="Y77" s="438">
        <f>IFERROR(__xludf.DUMMYFUNCTION("""COMPUTED_VALUE"""),"boss_icon_chara_sur_00401")</f>
        <v/>
      </c>
      <c r="Z77" s="438" t="n"/>
      <c r="AA77" s="439">
        <f>IFERROR(__xludf.DUMMYFUNCTION("""COMPUTED_VALUE"""),"chara_sur_00401_special")</f>
        <v/>
      </c>
    </row>
    <row r="78">
      <c r="A78" s="439">
        <f>IFERROR(__xludf.DUMMYFUNCTION("""COMPUTED_VALUE"""),"sur")</f>
        <v/>
      </c>
      <c r="B78" s="435">
        <f>IFERROR(__xludf.DUMMYFUNCTION("""COMPUTED_VALUE"""),"魔都精兵のスレイブ")</f>
        <v/>
      </c>
      <c r="C78" s="436">
        <f>IFERROR(__xludf.DUMMYFUNCTION("""COMPUTED_VALUE"""),"00501")</f>
        <v/>
      </c>
      <c r="D78" s="437">
        <f>IFERROR(__xludf.DUMMYFUNCTION("""COMPUTED_VALUE"""),"chara_sur_00501")</f>
        <v/>
      </c>
      <c r="E78" s="437">
        <f>IFERROR(__xludf.DUMMYFUNCTION("""COMPUTED_VALUE"""),"出雲 天花")</f>
        <v/>
      </c>
      <c r="F78" s="439">
        <f>IFERROR(__xludf.DUMMYFUNCTION("""COMPUTED_VALUE"""),"空間を操る六番組組長 出雲 天花")</f>
        <v/>
      </c>
      <c r="G78" s="439">
        <f>IFERROR(__xludf.DUMMYFUNCTION("""COMPUTED_VALUE"""),"天御鳥命")</f>
        <v/>
      </c>
      <c r="H78" s="439">
        <f>IFERROR(__xludf.DUMMYFUNCTION("""COMPUTED_VALUE"""),"UR")</f>
        <v/>
      </c>
      <c r="I78" s="439">
        <f>IFERROR(__xludf.DUMMYFUNCTION("""COMPUTED_VALUE"""),"PremiumUR")</f>
        <v/>
      </c>
      <c r="J78" s="439">
        <f>IFERROR(__xludf.DUMMYFUNCTION("""COMPUTED_VALUE"""),"黄")</f>
        <v/>
      </c>
      <c r="K78" s="439">
        <f>IFERROR(__xludf.DUMMYFUNCTION("""COMPUTED_VALUE"""),"chara")</f>
        <v/>
      </c>
      <c r="L78" s="438">
        <f>IFERROR(__xludf.DUMMYFUNCTION("""COMPUTED_VALUE"""),"テクニカル")</f>
        <v/>
      </c>
      <c r="M78" s="436">
        <f>IFERROR(__xludf.DUMMYFUNCTION("""COMPUTED_VALUE"""),"dageki_1")</f>
        <v/>
      </c>
      <c r="N78" s="440">
        <f>IFERROR(__xludf.DUMMYFUNCTION("""COMPUTED_VALUE"""),"Long")</f>
        <v/>
      </c>
      <c r="O78" s="440">
        <f>IFERROR(__xludf.DUMMYFUNCTION("""COMPUTED_VALUE"""),"dageki_1")</f>
        <v/>
      </c>
      <c r="P78" s="440">
        <f>IFERROR(__xludf.DUMMYFUNCTION("""COMPUTED_VALUE"""),"00501")</f>
        <v/>
      </c>
      <c r="Q78" s="440">
        <f>IFERROR(__xludf.DUMMYFUNCTION("""COMPUTED_VALUE"""),"1.71")</f>
        <v/>
      </c>
      <c r="R78" s="441">
        <f>IFERROR(__xludf.DUMMYFUNCTION("""COMPUTED_VALUE"""),"stop有:1回目 0.93")</f>
        <v/>
      </c>
      <c r="S78" s="441">
        <f>IFERROR(__xludf.DUMMYFUNCTION("""COMPUTED_VALUE"""),"2.67")</f>
        <v/>
      </c>
      <c r="T78" s="442">
        <f>IFERROR(__xludf.DUMMYFUNCTION("""COMPUTED_VALUE"""),"stop有:1回目 1.53")</f>
        <v/>
      </c>
      <c r="U78" s="443">
        <f>IFERROR(__xludf.DUMMYFUNCTION("""COMPUTED_VALUE"""),45999.5)</f>
        <v/>
      </c>
      <c r="V78" s="444">
        <f>IFERROR(__xludf.DUMMYFUNCTION("""COMPUTED_VALUE"""),390812.49998842593)</f>
        <v/>
      </c>
      <c r="W78" s="438">
        <f>IFERROR(__xludf.DUMMYFUNCTION("""COMPUTED_VALUE"""),"catchcopy_character_chara_sur_00501.png")</f>
        <v/>
      </c>
      <c r="X78" s="438">
        <f>IFERROR(__xludf.DUMMYFUNCTION("""COMPUTED_VALUE"""),"enemy_icon_chara_sur_00501")</f>
        <v/>
      </c>
      <c r="Y78" s="438">
        <f>IFERROR(__xludf.DUMMYFUNCTION("""COMPUTED_VALUE"""),"boss_icon_chara_sur_00501")</f>
        <v/>
      </c>
      <c r="Z78" s="438" t="n"/>
      <c r="AA78" s="439" t="n"/>
    </row>
    <row r="79">
      <c r="A79" s="439">
        <f>IFERROR(__xludf.DUMMYFUNCTION("""COMPUTED_VALUE"""),"sur")</f>
        <v/>
      </c>
      <c r="B79" s="435">
        <f>IFERROR(__xludf.DUMMYFUNCTION("""COMPUTED_VALUE"""),"魔都精兵のスレイブ")</f>
        <v/>
      </c>
      <c r="C79" s="436">
        <f>IFERROR(__xludf.DUMMYFUNCTION("""COMPUTED_VALUE"""),"00601")</f>
        <v/>
      </c>
      <c r="D79" s="437">
        <f>IFERROR(__xludf.DUMMYFUNCTION("""COMPUTED_VALUE"""),"chara_sur_00601")</f>
        <v/>
      </c>
      <c r="E79" s="437">
        <f>IFERROR(__xludf.DUMMYFUNCTION("""COMPUTED_VALUE"""),"東 八千穂")</f>
        <v/>
      </c>
      <c r="F79" s="439">
        <f>IFERROR(__xludf.DUMMYFUNCTION("""COMPUTED_VALUE"""),"東 八千穂")</f>
        <v/>
      </c>
      <c r="G79" s="439">
        <f>IFERROR(__xludf.DUMMYFUNCTION("""COMPUTED_VALUE"""),"東の辰刻")</f>
        <v/>
      </c>
      <c r="H79" s="438">
        <f>IFERROR(__xludf.DUMMYFUNCTION("""COMPUTED_VALUE"""),"SSR")</f>
        <v/>
      </c>
      <c r="I79" s="439">
        <f>IFERROR(__xludf.DUMMYFUNCTION("""COMPUTED_VALUE"""),"PremiumSSR")</f>
        <v/>
      </c>
      <c r="J79" s="439">
        <f>IFERROR(__xludf.DUMMYFUNCTION("""COMPUTED_VALUE"""),"赤")</f>
        <v/>
      </c>
      <c r="K79" s="439">
        <f>IFERROR(__xludf.DUMMYFUNCTION("""COMPUTED_VALUE"""),"chara")</f>
        <v/>
      </c>
      <c r="L79" s="438">
        <f>IFERROR(__xludf.DUMMYFUNCTION("""COMPUTED_VALUE"""),"テクニカル")</f>
        <v/>
      </c>
      <c r="M79" s="447">
        <f>IFERROR(__xludf.DUMMYFUNCTION("""COMPUTED_VALUE"""),"shageki_1")</f>
        <v/>
      </c>
      <c r="N79" s="449">
        <f>IFERROR(__xludf.DUMMYFUNCTION("""COMPUTED_VALUE"""),"Middle")</f>
        <v/>
      </c>
      <c r="O79" s="449">
        <f>IFERROR(__xludf.DUMMYFUNCTION("""COMPUTED_VALUE"""),"dageki_1")</f>
        <v/>
      </c>
      <c r="P79" s="450">
        <f>IFERROR(__xludf.DUMMYFUNCTION("""COMPUTED_VALUE"""),"00601")</f>
        <v/>
      </c>
      <c r="Q79" s="450">
        <f>IFERROR(__xludf.DUMMYFUNCTION("""COMPUTED_VALUE"""),"1.64")</f>
        <v/>
      </c>
      <c r="R79" s="441">
        <f>IFERROR(__xludf.DUMMYFUNCTION("""COMPUTED_VALUE"""),"stop有:1回目 0.75")</f>
        <v/>
      </c>
      <c r="S79" s="441">
        <f>IFERROR(__xludf.DUMMYFUNCTION("""COMPUTED_VALUE"""),"3.34")</f>
        <v/>
      </c>
      <c r="T79" s="442">
        <f>IFERROR(__xludf.DUMMYFUNCTION("""COMPUTED_VALUE"""),"stop有:1回目 1.2")</f>
        <v/>
      </c>
      <c r="U79" s="443">
        <f>IFERROR(__xludf.DUMMYFUNCTION("""COMPUTED_VALUE"""),45999.5)</f>
        <v/>
      </c>
      <c r="V79" s="444">
        <f>IFERROR(__xludf.DUMMYFUNCTION("""COMPUTED_VALUE"""),390812.49998842593)</f>
        <v/>
      </c>
      <c r="W79" s="438">
        <f>IFERROR(__xludf.DUMMYFUNCTION("""COMPUTED_VALUE"""),"catchcopy_character_chara_sur_00601.png")</f>
        <v/>
      </c>
      <c r="X79" s="438">
        <f>IFERROR(__xludf.DUMMYFUNCTION("""COMPUTED_VALUE"""),"enemy_icon_chara_sur_00601")</f>
        <v/>
      </c>
      <c r="Y79" s="438">
        <f>IFERROR(__xludf.DUMMYFUNCTION("""COMPUTED_VALUE"""),"boss_icon_chara_sur_00601")</f>
        <v/>
      </c>
      <c r="Z79" s="438" t="n"/>
      <c r="AA79" s="439" t="n"/>
    </row>
    <row r="80">
      <c r="A80" s="439">
        <f>IFERROR(__xludf.DUMMYFUNCTION("""COMPUTED_VALUE"""),"sur")</f>
        <v/>
      </c>
      <c r="B80" s="435">
        <f>IFERROR(__xludf.DUMMYFUNCTION("""COMPUTED_VALUE"""),"魔都精兵のスレイブ")</f>
        <v/>
      </c>
      <c r="C80" s="436">
        <f>IFERROR(__xludf.DUMMYFUNCTION("""COMPUTED_VALUE"""),"00701")</f>
        <v/>
      </c>
      <c r="D80" s="437">
        <f>IFERROR(__xludf.DUMMYFUNCTION("""COMPUTED_VALUE"""),"chara_sur_00701")</f>
        <v/>
      </c>
      <c r="E80" s="437">
        <f>IFERROR(__xludf.DUMMYFUNCTION("""COMPUTED_VALUE"""),"和倉 青羽")</f>
        <v/>
      </c>
      <c r="F80" s="439">
        <f>IFERROR(__xludf.DUMMYFUNCTION("""COMPUTED_VALUE"""),"和倉 青羽")</f>
        <v/>
      </c>
      <c r="G80" s="439">
        <f>IFERROR(__xludf.DUMMYFUNCTION("""COMPUTED_VALUE"""),"弟について喋ってるでしょ")</f>
        <v/>
      </c>
      <c r="H80" s="438">
        <f>IFERROR(__xludf.DUMMYFUNCTION("""COMPUTED_VALUE"""),"SR")</f>
        <v/>
      </c>
      <c r="I80" s="439">
        <f>IFERROR(__xludf.DUMMYFUNCTION("""COMPUTED_VALUE"""),"DropSR")</f>
        <v/>
      </c>
      <c r="J80" s="439">
        <f>IFERROR(__xludf.DUMMYFUNCTION("""COMPUTED_VALUE"""),"青")</f>
        <v/>
      </c>
      <c r="K80" s="439">
        <f>IFERROR(__xludf.DUMMYFUNCTION("""COMPUTED_VALUE"""),"chara")</f>
        <v/>
      </c>
      <c r="L80" s="438">
        <f>IFERROR(__xludf.DUMMYFUNCTION("""COMPUTED_VALUE"""),"アタック")</f>
        <v/>
      </c>
      <c r="M80" s="447">
        <f>IFERROR(__xludf.DUMMYFUNCTION("""COMPUTED_VALUE"""),"dageki_1")</f>
        <v/>
      </c>
      <c r="N80" s="449">
        <f>IFERROR(__xludf.DUMMYFUNCTION("""COMPUTED_VALUE"""),"Short")</f>
        <v/>
      </c>
      <c r="O80" s="449">
        <f>IFERROR(__xludf.DUMMYFUNCTION("""COMPUTED_VALUE"""),"dageki_1")</f>
        <v/>
      </c>
      <c r="P80" s="450">
        <f>IFERROR(__xludf.DUMMYFUNCTION("""COMPUTED_VALUE"""),"00701")</f>
        <v/>
      </c>
      <c r="Q80" s="450">
        <f>IFERROR(__xludf.DUMMYFUNCTION("""COMPUTED_VALUE"""),"1.07")</f>
        <v/>
      </c>
      <c r="R80" s="441">
        <f>IFERROR(__xludf.DUMMYFUNCTION("""COMPUTED_VALUE"""),"0.28")</f>
        <v/>
      </c>
      <c r="S80" s="441">
        <f>IFERROR(__xludf.DUMMYFUNCTION("""COMPUTED_VALUE"""),"2.01")</f>
        <v/>
      </c>
      <c r="T80" s="442">
        <f>IFERROR(__xludf.DUMMYFUNCTION("""COMPUTED_VALUE"""),"stop無:1回目 0.67
stop無:2回目 0.84
stop無:3回目 1
stop有:4回目 1.25")</f>
        <v/>
      </c>
      <c r="U80" s="443">
        <f>IFERROR(__xludf.DUMMYFUNCTION("""COMPUTED_VALUE"""),45999.625)</f>
        <v/>
      </c>
      <c r="V80" s="444">
        <f>IFERROR(__xludf.DUMMYFUNCTION("""COMPUTED_VALUE"""),390812.49998842593)</f>
        <v/>
      </c>
      <c r="W80" s="438">
        <f>IFERROR(__xludf.DUMMYFUNCTION("""COMPUTED_VALUE"""),"catchcopy_character_chara_sur_00701.png")</f>
        <v/>
      </c>
      <c r="X80" s="438">
        <f>IFERROR(__xludf.DUMMYFUNCTION("""COMPUTED_VALUE"""),"enemy_icon_chara_sur_00701")</f>
        <v/>
      </c>
      <c r="Y80" s="438">
        <f>IFERROR(__xludf.DUMMYFUNCTION("""COMPUTED_VALUE"""),"boss_icon_chara_sur_00701")</f>
        <v/>
      </c>
      <c r="Z80" s="438" t="n"/>
      <c r="AA80" s="439" t="n"/>
    </row>
    <row r="81">
      <c r="A81" s="439">
        <f>IFERROR(__xludf.DUMMYFUNCTION("""COMPUTED_VALUE"""),"sur")</f>
        <v/>
      </c>
      <c r="B81" s="435">
        <f>IFERROR(__xludf.DUMMYFUNCTION("""COMPUTED_VALUE"""),"魔都精兵のスレイブ")</f>
        <v/>
      </c>
      <c r="C81" s="436">
        <f>IFERROR(__xludf.DUMMYFUNCTION("""COMPUTED_VALUE"""),"00801")</f>
        <v/>
      </c>
      <c r="D81" s="437">
        <f>IFERROR(__xludf.DUMMYFUNCTION("""COMPUTED_VALUE"""),"chara_sur_00801")</f>
        <v/>
      </c>
      <c r="E81" s="437">
        <f>IFERROR(__xludf.DUMMYFUNCTION("""COMPUTED_VALUE"""),"和倉優希（変身）")</f>
        <v/>
      </c>
      <c r="F81" s="439">
        <f>IFERROR(__xludf.DUMMYFUNCTION("""COMPUTED_VALUE"""),"無窮の鎖 和倉 優希")</f>
        <v/>
      </c>
      <c r="G81" s="439">
        <f>IFERROR(__xludf.DUMMYFUNCTION("""COMPUTED_VALUE"""),"隷架拳")</f>
        <v/>
      </c>
      <c r="H81" s="438">
        <f>IFERROR(__xludf.DUMMYFUNCTION("""COMPUTED_VALUE"""),"SR")</f>
        <v/>
      </c>
      <c r="I81" s="439">
        <f>IFERROR(__xludf.DUMMYFUNCTION("""COMPUTED_VALUE"""),"DropSR")</f>
        <v/>
      </c>
      <c r="J81" s="439">
        <f>IFERROR(__xludf.DUMMYFUNCTION("""COMPUTED_VALUE"""),"黄")</f>
        <v/>
      </c>
      <c r="K81" s="439">
        <f>IFERROR(__xludf.DUMMYFUNCTION("""COMPUTED_VALUE"""),"chara")</f>
        <v/>
      </c>
      <c r="L81" s="438">
        <f>IFERROR(__xludf.DUMMYFUNCTION("""COMPUTED_VALUE"""),"ディフェンス")</f>
        <v/>
      </c>
      <c r="M81" s="447">
        <f>IFERROR(__xludf.DUMMYFUNCTION("""COMPUTED_VALUE"""),"dageki_1")</f>
        <v/>
      </c>
      <c r="N81" s="449">
        <f>IFERROR(__xludf.DUMMYFUNCTION("""COMPUTED_VALUE"""),"Short")</f>
        <v/>
      </c>
      <c r="O81" s="449">
        <f>IFERROR(__xludf.DUMMYFUNCTION("""COMPUTED_VALUE"""),"dageki_1")</f>
        <v/>
      </c>
      <c r="P81" s="450">
        <f>IFERROR(__xludf.DUMMYFUNCTION("""COMPUTED_VALUE"""),"00801")</f>
        <v/>
      </c>
      <c r="Q81" s="450">
        <f>IFERROR(__xludf.DUMMYFUNCTION("""COMPUTED_VALUE"""),"1.24")</f>
        <v/>
      </c>
      <c r="R81" s="441">
        <f>IFERROR(__xludf.DUMMYFUNCTION("""COMPUTED_VALUE"""),"stop有:1回目 0.66")</f>
        <v/>
      </c>
      <c r="S81" s="441">
        <f>IFERROR(__xludf.DUMMYFUNCTION("""COMPUTED_VALUE"""),"2.01")</f>
        <v/>
      </c>
      <c r="T81" s="442">
        <f>IFERROR(__xludf.DUMMYFUNCTION("""COMPUTED_VALUE"""),"stop有:1回目 1.06")</f>
        <v/>
      </c>
      <c r="U81" s="443">
        <f>IFERROR(__xludf.DUMMYFUNCTION("""COMPUTED_VALUE"""),45999.625)</f>
        <v/>
      </c>
      <c r="V81" s="444">
        <f>IFERROR(__xludf.DUMMYFUNCTION("""COMPUTED_VALUE"""),390812.49998842593)</f>
        <v/>
      </c>
      <c r="W81" s="438">
        <f>IFERROR(__xludf.DUMMYFUNCTION("""COMPUTED_VALUE"""),"catchcopy_character_chara_sur_00801.png")</f>
        <v/>
      </c>
      <c r="X81" s="438">
        <f>IFERROR(__xludf.DUMMYFUNCTION("""COMPUTED_VALUE"""),"enemy_icon_chara_sur_00801")</f>
        <v/>
      </c>
      <c r="Y81" s="438">
        <f>IFERROR(__xludf.DUMMYFUNCTION("""COMPUTED_VALUE"""),"boss_icon_chara_sur_00801")</f>
        <v/>
      </c>
      <c r="Z81" s="438" t="n"/>
      <c r="AA81" s="439" t="n"/>
    </row>
    <row r="82">
      <c r="A82" s="439">
        <f>IFERROR(__xludf.DUMMYFUNCTION("""COMPUTED_VALUE"""),"sur")</f>
        <v/>
      </c>
      <c r="B82" s="435">
        <f>IFERROR(__xludf.DUMMYFUNCTION("""COMPUTED_VALUE"""),"魔都精兵のスレイブ")</f>
        <v/>
      </c>
      <c r="C82" s="436">
        <f>IFERROR(__xludf.DUMMYFUNCTION("""COMPUTED_VALUE"""),"00901")</f>
        <v/>
      </c>
      <c r="D82" s="437">
        <f>IFERROR(__xludf.DUMMYFUNCTION("""COMPUTED_VALUE"""),"chara_sur_00901")</f>
        <v/>
      </c>
      <c r="E82" s="437">
        <f>IFERROR(__xludf.DUMMYFUNCTION("""COMPUTED_VALUE"""),"山城 恋")</f>
        <v/>
      </c>
      <c r="F82" s="439">
        <f>IFERROR(__xludf.DUMMYFUNCTION("""COMPUTED_VALUE"""),"万物を統べる総組長 山城 恋")</f>
        <v/>
      </c>
      <c r="G82" s="439">
        <f>IFERROR(__xludf.DUMMYFUNCTION("""COMPUTED_VALUE"""),"万物を総該した無限宇宙の全一")</f>
        <v/>
      </c>
      <c r="H82" s="438">
        <f>IFERROR(__xludf.DUMMYFUNCTION("""COMPUTED_VALUE"""),"UR")</f>
        <v/>
      </c>
      <c r="I82" s="439">
        <f>IFERROR(__xludf.DUMMYFUNCTION("""COMPUTED_VALUE"""),"FestivalUR")</f>
        <v/>
      </c>
      <c r="J82" s="439">
        <f>IFERROR(__xludf.DUMMYFUNCTION("""COMPUTED_VALUE"""),"青")</f>
        <v/>
      </c>
      <c r="K82" s="439">
        <f>IFERROR(__xludf.DUMMYFUNCTION("""COMPUTED_VALUE"""),"chara")</f>
        <v/>
      </c>
      <c r="L82" s="438">
        <f>IFERROR(__xludf.DUMMYFUNCTION("""COMPUTED_VALUE"""),"アタック")</f>
        <v/>
      </c>
      <c r="M82" s="447" t="n"/>
      <c r="N82" s="440">
        <f>IFERROR(__xludf.DUMMYFUNCTION("""COMPUTED_VALUE"""),"Middle")</f>
        <v/>
      </c>
      <c r="O82" s="440" t="n"/>
      <c r="P82" s="440" t="n"/>
      <c r="Q82" s="440">
        <f>IFERROR(__xludf.DUMMYFUNCTION("""COMPUTED_VALUE"""),"1.17")</f>
        <v/>
      </c>
      <c r="R82" s="441">
        <f>IFERROR(__xludf.DUMMYFUNCTION("""COMPUTED_VALUE"""),"stop有 : 0.43")</f>
        <v/>
      </c>
      <c r="S82" s="441">
        <f>IFERROR(__xludf.DUMMYFUNCTION("""COMPUTED_VALUE"""),"2.92")</f>
        <v/>
      </c>
      <c r="T82" s="442">
        <f>IFERROR(__xludf.DUMMYFUNCTION("""COMPUTED_VALUE"""),"stop有 : 1.31")</f>
        <v/>
      </c>
      <c r="U82" s="443">
        <f>IFERROR(__xludf.DUMMYFUNCTION("""COMPUTED_VALUE"""),"実装未定")</f>
        <v/>
      </c>
      <c r="V82" s="444">
        <f>IFERROR(__xludf.DUMMYFUNCTION("""COMPUTED_VALUE"""),390812.49998842593)</f>
        <v/>
      </c>
      <c r="W82" s="438">
        <f>IFERROR(__xludf.DUMMYFUNCTION("""COMPUTED_VALUE"""),"catchcopy_character_chara_sur_00901.png")</f>
        <v/>
      </c>
      <c r="X82" s="438">
        <f>IFERROR(__xludf.DUMMYFUNCTION("""COMPUTED_VALUE"""),"enemy_icon_chara_sur_00901")</f>
        <v/>
      </c>
      <c r="Y82" s="438">
        <f>IFERROR(__xludf.DUMMYFUNCTION("""COMPUTED_VALUE"""),"boss_icon_chara_sur_00901")</f>
        <v/>
      </c>
      <c r="Z82" s="438" t="n"/>
      <c r="AA82" s="439" t="n"/>
    </row>
    <row r="83">
      <c r="A83" s="439">
        <f>IFERROR(__xludf.DUMMYFUNCTION("""COMPUTED_VALUE"""),"ron")</f>
        <v/>
      </c>
      <c r="B83" s="435">
        <f>IFERROR(__xludf.DUMMYFUNCTION("""COMPUTED_VALUE"""),"鴨乃橋ロンの禁断推理")</f>
        <v/>
      </c>
      <c r="C83" s="436">
        <f>IFERROR(__xludf.DUMMYFUNCTION("""COMPUTED_VALUE"""),"00001")</f>
        <v/>
      </c>
      <c r="D83" s="437">
        <f>IFERROR(__xludf.DUMMYFUNCTION("""COMPUTED_VALUE"""),"chara_ron_00001")</f>
        <v/>
      </c>
      <c r="E83" s="437">
        <f>IFERROR(__xludf.DUMMYFUNCTION("""COMPUTED_VALUE"""),"鴨乃橋 ロン")</f>
        <v/>
      </c>
      <c r="F83" s="439">
        <f>IFERROR(__xludf.DUMMYFUNCTION("""COMPUTED_VALUE"""),"鴨乃橋 ロン")</f>
        <v/>
      </c>
      <c r="G83" s="439">
        <f>IFERROR(__xludf.DUMMYFUNCTION("""COMPUTED_VALUE"""),"今からそれを証明してみせる")</f>
        <v/>
      </c>
      <c r="H83" s="438">
        <f>IFERROR(__xludf.DUMMYFUNCTION("""COMPUTED_VALUE"""),"SSR")</f>
        <v/>
      </c>
      <c r="I83" s="439">
        <f>IFERROR(__xludf.DUMMYFUNCTION("""COMPUTED_VALUE"""),"PremiumSSR")</f>
        <v/>
      </c>
      <c r="J83" s="439">
        <f>IFERROR(__xludf.DUMMYFUNCTION("""COMPUTED_VALUE"""),"青")</f>
        <v/>
      </c>
      <c r="K83" s="438">
        <f>IFERROR(__xludf.DUMMYFUNCTION("""COMPUTED_VALUE"""),"chara")</f>
        <v/>
      </c>
      <c r="L83" s="438">
        <f>IFERROR(__xludf.DUMMYFUNCTION("""COMPUTED_VALUE"""),"テクニカル")</f>
        <v/>
      </c>
      <c r="M83" s="447">
        <f>IFERROR(__xludf.DUMMYFUNCTION("""COMPUTED_VALUE"""),"dageki_2")</f>
        <v/>
      </c>
      <c r="N83" s="440">
        <f>IFERROR(__xludf.DUMMYFUNCTION("""COMPUTED_VALUE"""),"Middle")</f>
        <v/>
      </c>
      <c r="O83" s="440">
        <f>IFERROR(__xludf.DUMMYFUNCTION("""COMPUTED_VALUE"""),"dageki_1")</f>
        <v/>
      </c>
      <c r="P83" s="440">
        <f>IFERROR(__xludf.DUMMYFUNCTION("""COMPUTED_VALUE"""),"00001")</f>
        <v/>
      </c>
      <c r="Q83" s="440">
        <f>IFERROR(__xludf.DUMMYFUNCTION("""COMPUTED_VALUE"""),"1.67")</f>
        <v/>
      </c>
      <c r="R83" s="441">
        <f>IFERROR(__xludf.DUMMYFUNCTION("""COMPUTED_VALUE"""),"stop有:1回目 0.92")</f>
        <v/>
      </c>
      <c r="S83" s="441">
        <f>IFERROR(__xludf.DUMMYFUNCTION("""COMPUTED_VALUE"""),"2.74")</f>
        <v/>
      </c>
      <c r="T83" s="442">
        <f>IFERROR(__xludf.DUMMYFUNCTION("""COMPUTED_VALUE"""),"stop有:1回目 1.17
stop無:2回目 1.50
stop無:3回目 1.67
stop無:4回目 1.84
stop無:5回目 1.97")</f>
        <v/>
      </c>
      <c r="U83" s="444">
        <f>IFERROR(__xludf.DUMMYFUNCTION("""COMPUTED_VALUE"""),45922.458333333336)</f>
        <v/>
      </c>
      <c r="V83" s="444">
        <f>IFERROR(__xludf.DUMMYFUNCTION("""COMPUTED_VALUE"""),390812.49998842593)</f>
        <v/>
      </c>
      <c r="W83" s="438">
        <f>IFERROR(__xludf.DUMMYFUNCTION("""COMPUTED_VALUE"""),"catchcopy_character_chara_ron_00001.png")</f>
        <v/>
      </c>
      <c r="X83" s="438">
        <f>IFERROR(__xludf.DUMMYFUNCTION("""COMPUTED_VALUE"""),"enemy_icon_chara_ron_00001")</f>
        <v/>
      </c>
      <c r="Y83" s="438">
        <f>IFERROR(__xludf.DUMMYFUNCTION("""COMPUTED_VALUE"""),"boss_icon_chara_ron_00001")</f>
        <v/>
      </c>
      <c r="Z83" s="438">
        <f>IFERROR(__xludf.DUMMYFUNCTION("""COMPUTED_VALUE"""),"chara_ron_00001_normal")</f>
        <v/>
      </c>
      <c r="AA83" s="439">
        <f>IFERROR(__xludf.DUMMYFUNCTION("""COMPUTED_VALUE"""),"chara_ron_00001_special")</f>
        <v/>
      </c>
    </row>
    <row r="84">
      <c r="A84" s="439">
        <f>IFERROR(__xludf.DUMMYFUNCTION("""COMPUTED_VALUE"""),"ron")</f>
        <v/>
      </c>
      <c r="B84" s="435">
        <f>IFERROR(__xludf.DUMMYFUNCTION("""COMPUTED_VALUE"""),"鴨乃橋ロンの禁断推理")</f>
        <v/>
      </c>
      <c r="C84" s="436">
        <f>IFERROR(__xludf.DUMMYFUNCTION("""COMPUTED_VALUE"""),"00101")</f>
        <v/>
      </c>
      <c r="D84" s="437">
        <f>IFERROR(__xludf.DUMMYFUNCTION("""COMPUTED_VALUE"""),"chara_ron_00101")</f>
        <v/>
      </c>
      <c r="E84" s="437">
        <f>IFERROR(__xludf.DUMMYFUNCTION("""COMPUTED_VALUE"""),"一色 都々丸")</f>
        <v/>
      </c>
      <c r="F84" s="439">
        <f>IFERROR(__xludf.DUMMYFUNCTION("""COMPUTED_VALUE"""),"一色 都々丸")</f>
        <v/>
      </c>
      <c r="G84" s="439">
        <f>IFERROR(__xludf.DUMMYFUNCTION("""COMPUTED_VALUE"""),"ピュアでマヌケな名探偵")</f>
        <v/>
      </c>
      <c r="H84" s="438">
        <f>IFERROR(__xludf.DUMMYFUNCTION("""COMPUTED_VALUE"""),"R")</f>
        <v/>
      </c>
      <c r="I84" s="439">
        <f>IFERROR(__xludf.DUMMYFUNCTION("""COMPUTED_VALUE"""),"PremiumR")</f>
        <v/>
      </c>
      <c r="J84" s="439">
        <f>IFERROR(__xludf.DUMMYFUNCTION("""COMPUTED_VALUE"""),"青")</f>
        <v/>
      </c>
      <c r="K84" s="439">
        <f>IFERROR(__xludf.DUMMYFUNCTION("""COMPUTED_VALUE"""),"chara")</f>
        <v/>
      </c>
      <c r="L84" s="438">
        <f>IFERROR(__xludf.DUMMYFUNCTION("""COMPUTED_VALUE"""),"ディフェンス")</f>
        <v/>
      </c>
      <c r="M84" s="447">
        <f>IFERROR(__xludf.DUMMYFUNCTION("""COMPUTED_VALUE"""),"dageki_2")</f>
        <v/>
      </c>
      <c r="N84" s="440">
        <f>IFERROR(__xludf.DUMMYFUNCTION("""COMPUTED_VALUE"""),"Middle")</f>
        <v/>
      </c>
      <c r="O84" s="440">
        <f>IFERROR(__xludf.DUMMYFUNCTION("""COMPUTED_VALUE"""),"dageki_1")</f>
        <v/>
      </c>
      <c r="P84" s="440">
        <f>IFERROR(__xludf.DUMMYFUNCTION("""COMPUTED_VALUE"""),"00101")</f>
        <v/>
      </c>
      <c r="Q84" s="440">
        <f>IFERROR(__xludf.DUMMYFUNCTION("""COMPUTED_VALUE"""),"1.67")</f>
        <v/>
      </c>
      <c r="R84" s="441">
        <f>IFERROR(__xludf.DUMMYFUNCTION("""COMPUTED_VALUE"""),"0.70")</f>
        <v/>
      </c>
      <c r="S84" s="441">
        <f>IFERROR(__xludf.DUMMYFUNCTION("""COMPUTED_VALUE"""),"2.67")</f>
        <v/>
      </c>
      <c r="T84" s="442">
        <f>IFERROR(__xludf.DUMMYFUNCTION("""COMPUTED_VALUE"""),"1.44")</f>
        <v/>
      </c>
      <c r="U84" s="444">
        <f>IFERROR(__xludf.DUMMYFUNCTION("""COMPUTED_VALUE"""),45922.458333333336)</f>
        <v/>
      </c>
      <c r="V84" s="444">
        <f>IFERROR(__xludf.DUMMYFUNCTION("""COMPUTED_VALUE"""),390812.49998842593)</f>
        <v/>
      </c>
      <c r="W84" s="438">
        <f>IFERROR(__xludf.DUMMYFUNCTION("""COMPUTED_VALUE"""),"catchcopy_character_chara_ron_00101.png")</f>
        <v/>
      </c>
      <c r="X84" s="438">
        <f>IFERROR(__xludf.DUMMYFUNCTION("""COMPUTED_VALUE"""),"enemy_icon_chara_ron_00101")</f>
        <v/>
      </c>
      <c r="Y84" s="438">
        <f>IFERROR(__xludf.DUMMYFUNCTION("""COMPUTED_VALUE"""),"boss_icon_chara_ron_00101")</f>
        <v/>
      </c>
      <c r="Z84" s="438">
        <f>IFERROR(__xludf.DUMMYFUNCTION("""COMPUTED_VALUE"""),"chara_ron_00101_normal")</f>
        <v/>
      </c>
      <c r="AA84" s="439">
        <f>IFERROR(__xludf.DUMMYFUNCTION("""COMPUTED_VALUE"""),"chara_ron_00101_special")</f>
        <v/>
      </c>
    </row>
    <row r="85">
      <c r="A85" s="439">
        <f>IFERROR(__xludf.DUMMYFUNCTION("""COMPUTED_VALUE"""),"aha")</f>
        <v/>
      </c>
      <c r="B85" s="435">
        <f>IFERROR(__xludf.DUMMYFUNCTION("""COMPUTED_VALUE"""),"阿波連さんははかれない")</f>
        <v/>
      </c>
      <c r="C85" s="436">
        <f>IFERROR(__xludf.DUMMYFUNCTION("""COMPUTED_VALUE"""),"00001")</f>
        <v/>
      </c>
      <c r="D85" s="437">
        <f>IFERROR(__xludf.DUMMYFUNCTION("""COMPUTED_VALUE"""),"chara_aha_00001")</f>
        <v/>
      </c>
      <c r="E85" s="437">
        <f>IFERROR(__xludf.DUMMYFUNCTION("""COMPUTED_VALUE"""),"ライドウ")</f>
        <v/>
      </c>
      <c r="F85" s="438">
        <f>IFERROR(__xludf.DUMMYFUNCTION("""COMPUTED_VALUE"""),"ライドウ")</f>
        <v/>
      </c>
      <c r="G85" s="438">
        <f>IFERROR(__xludf.DUMMYFUNCTION("""COMPUTED_VALUE"""),"公園は皆のものだから")</f>
        <v/>
      </c>
      <c r="H85" s="439">
        <f>IFERROR(__xludf.DUMMYFUNCTION("""COMPUTED_VALUE"""),"SR")</f>
        <v/>
      </c>
      <c r="I85" s="439">
        <f>IFERROR(__xludf.DUMMYFUNCTION("""COMPUTED_VALUE"""),"PremiumSR")</f>
        <v/>
      </c>
      <c r="J85" s="438">
        <f>IFERROR(__xludf.DUMMYFUNCTION("""COMPUTED_VALUE"""),"黄")</f>
        <v/>
      </c>
      <c r="K85" s="438">
        <f>IFERROR(__xludf.DUMMYFUNCTION("""COMPUTED_VALUE"""),"chara")</f>
        <v/>
      </c>
      <c r="L85" s="438">
        <f>IFERROR(__xludf.DUMMYFUNCTION("""COMPUTED_VALUE"""),"ディフェンス")</f>
        <v/>
      </c>
      <c r="M85" s="436">
        <f>IFERROR(__xludf.DUMMYFUNCTION("""COMPUTED_VALUE"""),"dageki_2")</f>
        <v/>
      </c>
      <c r="N85" s="440">
        <f>IFERROR(__xludf.DUMMYFUNCTION("""COMPUTED_VALUE"""),"Short")</f>
        <v/>
      </c>
      <c r="O85" s="440">
        <f>IFERROR(__xludf.DUMMYFUNCTION("""COMPUTED_VALUE"""),"dageki_1")</f>
        <v/>
      </c>
      <c r="P85" s="440">
        <f>IFERROR(__xludf.DUMMYFUNCTION("""COMPUTED_VALUE"""),"00001")</f>
        <v/>
      </c>
      <c r="Q85" s="440">
        <f>IFERROR(__xludf.DUMMYFUNCTION("""COMPUTED_VALUE"""),"1.60")</f>
        <v/>
      </c>
      <c r="R85" s="441">
        <f>IFERROR(__xludf.DUMMYFUNCTION("""COMPUTED_VALUE"""),"0.67")</f>
        <v/>
      </c>
      <c r="S85" s="441">
        <f>IFERROR(__xludf.DUMMYFUNCTION("""COMPUTED_VALUE"""),"2.67")</f>
        <v/>
      </c>
      <c r="T85" s="442">
        <f>IFERROR(__xludf.DUMMYFUNCTION("""COMPUTED_VALUE"""),"1.05")</f>
        <v/>
      </c>
      <c r="U85" s="444">
        <f>IFERROR(__xludf.DUMMYFUNCTION("""COMPUTED_VALUE"""),45922.458333333336)</f>
        <v/>
      </c>
      <c r="V85" s="444">
        <f>IFERROR(__xludf.DUMMYFUNCTION("""COMPUTED_VALUE"""),390812.49998842593)</f>
        <v/>
      </c>
      <c r="W85" s="438">
        <f>IFERROR(__xludf.DUMMYFUNCTION("""COMPUTED_VALUE"""),"catchcopy_character_chara_aha_00001.png")</f>
        <v/>
      </c>
      <c r="X85" s="438">
        <f>IFERROR(__xludf.DUMMYFUNCTION("""COMPUTED_VALUE"""),"enemy_icon_chara_aha_00001")</f>
        <v/>
      </c>
      <c r="Y85" s="438">
        <f>IFERROR(__xludf.DUMMYFUNCTION("""COMPUTED_VALUE"""),"boss_icon_chara_aha_00001")</f>
        <v/>
      </c>
      <c r="Z85" s="438" t="n"/>
      <c r="AA85" s="439">
        <f>IFERROR(__xludf.DUMMYFUNCTION("""COMPUTED_VALUE"""),"chara_aha_00001_special")</f>
        <v/>
      </c>
    </row>
    <row r="86">
      <c r="A86" s="439">
        <f>IFERROR(__xludf.DUMMYFUNCTION("""COMPUTED_VALUE"""),"aha")</f>
        <v/>
      </c>
      <c r="B86" s="435">
        <f>IFERROR(__xludf.DUMMYFUNCTION("""COMPUTED_VALUE"""),"阿波連さんははかれない")</f>
        <v/>
      </c>
      <c r="C86" s="436">
        <f>IFERROR(__xludf.DUMMYFUNCTION("""COMPUTED_VALUE"""),"00101")</f>
        <v/>
      </c>
      <c r="D86" s="437">
        <f>IFERROR(__xludf.DUMMYFUNCTION("""COMPUTED_VALUE"""),"chara_aha_00101")</f>
        <v/>
      </c>
      <c r="E86" s="437">
        <f>IFERROR(__xludf.DUMMYFUNCTION("""COMPUTED_VALUE"""),"阿波連 れいな")</f>
        <v/>
      </c>
      <c r="F86" s="438">
        <f>IFERROR(__xludf.DUMMYFUNCTION("""COMPUTED_VALUE"""),"阿波連 れいな")</f>
        <v/>
      </c>
      <c r="G86" s="438">
        <f>IFERROR(__xludf.DUMMYFUNCTION("""COMPUTED_VALUE"""),"さっきはありがとう")</f>
        <v/>
      </c>
      <c r="H86" s="439">
        <f>IFERROR(__xludf.DUMMYFUNCTION("""COMPUTED_VALUE"""),"SSR")</f>
        <v/>
      </c>
      <c r="I86" s="439">
        <f>IFERROR(__xludf.DUMMYFUNCTION("""COMPUTED_VALUE"""),"PremiumSSR")</f>
        <v/>
      </c>
      <c r="J86" s="438">
        <f>IFERROR(__xludf.DUMMYFUNCTION("""COMPUTED_VALUE"""),"黄")</f>
        <v/>
      </c>
      <c r="K86" s="438">
        <f>IFERROR(__xludf.DUMMYFUNCTION("""COMPUTED_VALUE"""),"chara")</f>
        <v/>
      </c>
      <c r="L86" s="438">
        <f>IFERROR(__xludf.DUMMYFUNCTION("""COMPUTED_VALUE"""),"サポート")</f>
        <v/>
      </c>
      <c r="M86" s="436">
        <f>IFERROR(__xludf.DUMMYFUNCTION("""COMPUTED_VALUE"""),"dageki_1")</f>
        <v/>
      </c>
      <c r="N86" s="440">
        <f>IFERROR(__xludf.DUMMYFUNCTION("""COMPUTED_VALUE"""),"Short")</f>
        <v/>
      </c>
      <c r="O86" s="440">
        <f>IFERROR(__xludf.DUMMYFUNCTION("""COMPUTED_VALUE"""),"-")</f>
        <v/>
      </c>
      <c r="P86" s="440">
        <f>IFERROR(__xludf.DUMMYFUNCTION("""COMPUTED_VALUE"""),"00101")</f>
        <v/>
      </c>
      <c r="Q86" s="440">
        <f>IFERROR(__xludf.DUMMYFUNCTION("""COMPUTED_VALUE"""),"1.27")</f>
        <v/>
      </c>
      <c r="R86" s="441">
        <f>IFERROR(__xludf.DUMMYFUNCTION("""COMPUTED_VALUE"""),"stop有:1回目 0.46")</f>
        <v/>
      </c>
      <c r="S86" s="441">
        <f>IFERROR(__xludf.DUMMYFUNCTION("""COMPUTED_VALUE"""),"3.17")</f>
        <v/>
      </c>
      <c r="T86" s="442">
        <f>IFERROR(__xludf.DUMMYFUNCTION("""COMPUTED_VALUE"""),"stop無:1回目 2.00")</f>
        <v/>
      </c>
      <c r="U86" s="444">
        <f>IFERROR(__xludf.DUMMYFUNCTION("""COMPUTED_VALUE"""),45922.458333333336)</f>
        <v/>
      </c>
      <c r="V86" s="444">
        <f>IFERROR(__xludf.DUMMYFUNCTION("""COMPUTED_VALUE"""),390812.49998842593)</f>
        <v/>
      </c>
      <c r="W86" s="438">
        <f>IFERROR(__xludf.DUMMYFUNCTION("""COMPUTED_VALUE"""),"catchcopy_character_chara_aha_00101.png")</f>
        <v/>
      </c>
      <c r="X86" s="438">
        <f>IFERROR(__xludf.DUMMYFUNCTION("""COMPUTED_VALUE"""),"enemy_icon_chara_aha_00101")</f>
        <v/>
      </c>
      <c r="Y86" s="438">
        <f>IFERROR(__xludf.DUMMYFUNCTION("""COMPUTED_VALUE"""),"boss_icon_chara_aha_00101")</f>
        <v/>
      </c>
      <c r="Z86" s="438">
        <f>IFERROR(__xludf.DUMMYFUNCTION("""COMPUTED_VALUE"""),"chara_aha_00101_normal")</f>
        <v/>
      </c>
      <c r="AA86" s="439">
        <f>IFERROR(__xludf.DUMMYFUNCTION("""COMPUTED_VALUE"""),"chara_aha_00101_special")</f>
        <v/>
      </c>
    </row>
    <row r="87">
      <c r="A87" s="439">
        <f>IFERROR(__xludf.DUMMYFUNCTION("""COMPUTED_VALUE"""),"tak")</f>
        <v/>
      </c>
      <c r="B87" s="435">
        <f>IFERROR(__xludf.DUMMYFUNCTION("""COMPUTED_VALUE"""),"タコピーの原罪")</f>
        <v/>
      </c>
      <c r="C87" s="436">
        <f>IFERROR(__xludf.DUMMYFUNCTION("""COMPUTED_VALUE"""),"00001")</f>
        <v/>
      </c>
      <c r="D87" s="437">
        <f>IFERROR(__xludf.DUMMYFUNCTION("""COMPUTED_VALUE"""),"chara_tak_00001")</f>
        <v/>
      </c>
      <c r="E87" s="437">
        <f>IFERROR(__xludf.DUMMYFUNCTION("""COMPUTED_VALUE"""),"ハッピー星からの使者 タコピー")</f>
        <v/>
      </c>
      <c r="F87" s="438">
        <f>IFERROR(__xludf.DUMMYFUNCTION("""COMPUTED_VALUE"""),"ハッピー星からの使者 タコピー")</f>
        <v/>
      </c>
      <c r="G87" s="438">
        <f>IFERROR(__xludf.DUMMYFUNCTION("""COMPUTED_VALUE"""),"笑ってもらえるように")</f>
        <v/>
      </c>
      <c r="H87" s="439">
        <f>IFERROR(__xludf.DUMMYFUNCTION("""COMPUTED_VALUE"""),"UR")</f>
        <v/>
      </c>
      <c r="I87" s="439">
        <f>IFERROR(__xludf.DUMMYFUNCTION("""COMPUTED_VALUE"""),"PremiumUR")</f>
        <v/>
      </c>
      <c r="J87" s="438">
        <f>IFERROR(__xludf.DUMMYFUNCTION("""COMPUTED_VALUE"""),"黄")</f>
        <v/>
      </c>
      <c r="K87" s="438">
        <f>IFERROR(__xludf.DUMMYFUNCTION("""COMPUTED_VALUE"""),"chara")</f>
        <v/>
      </c>
      <c r="L87" s="438">
        <f>IFERROR(__xludf.DUMMYFUNCTION("""COMPUTED_VALUE"""),"ディフェンス")</f>
        <v/>
      </c>
      <c r="M87" s="436">
        <f>IFERROR(__xludf.DUMMYFUNCTION("""COMPUTED_VALUE"""),"dageki_1")</f>
        <v/>
      </c>
      <c r="N87" s="440">
        <f>IFERROR(__xludf.DUMMYFUNCTION("""COMPUTED_VALUE"""),"Short")</f>
        <v/>
      </c>
      <c r="O87" s="440">
        <f>IFERROR(__xludf.DUMMYFUNCTION("""COMPUTED_VALUE"""),"-")</f>
        <v/>
      </c>
      <c r="P87" s="440">
        <f>IFERROR(__xludf.DUMMYFUNCTION("""COMPUTED_VALUE"""),"00001")</f>
        <v/>
      </c>
      <c r="Q87" s="440">
        <f>IFERROR(__xludf.DUMMYFUNCTION("""COMPUTED_VALUE"""),"1.00")</f>
        <v/>
      </c>
      <c r="R87" s="441">
        <f>IFERROR(__xludf.DUMMYFUNCTION("""COMPUTED_VALUE"""),"0.44")</f>
        <v/>
      </c>
      <c r="S87" s="441">
        <f>IFERROR(__xludf.DUMMYFUNCTION("""COMPUTED_VALUE"""),"3.34")</f>
        <v/>
      </c>
      <c r="T87" s="442">
        <f>IFERROR(__xludf.DUMMYFUNCTION("""COMPUTED_VALUE"""),"0.75")</f>
        <v/>
      </c>
      <c r="U87" s="444">
        <f>IFERROR(__xludf.DUMMYFUNCTION("""COMPUTED_VALUE"""),45922.458333333336)</f>
        <v/>
      </c>
      <c r="V87" s="444">
        <f>IFERROR(__xludf.DUMMYFUNCTION("""COMPUTED_VALUE"""),390812.49998842593)</f>
        <v/>
      </c>
      <c r="W87" s="438">
        <f>IFERROR(__xludf.DUMMYFUNCTION("""COMPUTED_VALUE"""),"catchcopy_character_chara_tak_00001.png")</f>
        <v/>
      </c>
      <c r="X87" s="438">
        <f>IFERROR(__xludf.DUMMYFUNCTION("""COMPUTED_VALUE"""),"enemy_icon_chara_tak_00001")</f>
        <v/>
      </c>
      <c r="Y87" s="438">
        <f>IFERROR(__xludf.DUMMYFUNCTION("""COMPUTED_VALUE"""),"boss_icon_chara_tak_00001")</f>
        <v/>
      </c>
      <c r="Z87" s="438">
        <f>IFERROR(__xludf.DUMMYFUNCTION("""COMPUTED_VALUE"""),"chara_tak_00001_normal")</f>
        <v/>
      </c>
      <c r="AA87" s="439">
        <f>IFERROR(__xludf.DUMMYFUNCTION("""COMPUTED_VALUE"""),"chara_tak_00001_special")</f>
        <v/>
      </c>
    </row>
    <row r="88">
      <c r="A88" s="439">
        <f>IFERROR(__xludf.DUMMYFUNCTION("""COMPUTED_VALUE"""),"tak")</f>
        <v/>
      </c>
      <c r="B88" s="435">
        <f>IFERROR(__xludf.DUMMYFUNCTION("""COMPUTED_VALUE"""),"タコピーの原罪")</f>
        <v/>
      </c>
      <c r="C88" s="436">
        <f>IFERROR(__xludf.DUMMYFUNCTION("""COMPUTED_VALUE"""),"00101")</f>
        <v/>
      </c>
      <c r="D88" s="437">
        <f>IFERROR(__xludf.DUMMYFUNCTION("""COMPUTED_VALUE"""),"chara_tak_00101")</f>
        <v/>
      </c>
      <c r="E88" s="437">
        <f>IFERROR(__xludf.DUMMYFUNCTION("""COMPUTED_VALUE"""),"久世 しずか＆タコピー")</f>
        <v/>
      </c>
      <c r="F88" s="438">
        <f>IFERROR(__xludf.DUMMYFUNCTION("""COMPUTED_VALUE"""),"選定中")</f>
        <v/>
      </c>
      <c r="G88" s="438" t="n"/>
      <c r="H88" s="439">
        <f>IFERROR(__xludf.DUMMYFUNCTION("""COMPUTED_VALUE"""),"UR")</f>
        <v/>
      </c>
      <c r="I88" s="439">
        <f>IFERROR(__xludf.DUMMYFUNCTION("""COMPUTED_VALUE"""),"PremiumUR")</f>
        <v/>
      </c>
      <c r="J88" s="438">
        <f>IFERROR(__xludf.DUMMYFUNCTION("""COMPUTED_VALUE"""),"無")</f>
        <v/>
      </c>
      <c r="K88" s="438">
        <f>IFERROR(__xludf.DUMMYFUNCTION("""COMPUTED_VALUE"""),"chara")</f>
        <v/>
      </c>
      <c r="L88" s="438" t="n"/>
      <c r="M88" s="436" t="n"/>
      <c r="N88" s="440" t="n"/>
      <c r="O88" s="440" t="n"/>
      <c r="P88" s="440" t="n"/>
      <c r="Q88" s="440" t="n"/>
      <c r="R88" s="441" t="n"/>
      <c r="S88" s="441" t="n"/>
      <c r="T88" s="460" t="n"/>
      <c r="U88" s="448" t="n"/>
      <c r="V88" s="448" t="n"/>
      <c r="W88" s="438" t="n"/>
      <c r="X88" s="438" t="n"/>
      <c r="Y88" s="438" t="n"/>
      <c r="Z88" s="438" t="n"/>
      <c r="AA88" s="439" t="n"/>
    </row>
    <row r="89">
      <c r="A89" s="439">
        <f>IFERROR(__xludf.DUMMYFUNCTION("""COMPUTED_VALUE"""),"tak")</f>
        <v/>
      </c>
      <c r="B89" s="435">
        <f>IFERROR(__xludf.DUMMYFUNCTION("""COMPUTED_VALUE"""),"タコピーの原罪")</f>
        <v/>
      </c>
      <c r="C89" s="436">
        <f>IFERROR(__xludf.DUMMYFUNCTION("""COMPUTED_VALUE"""),"00201")</f>
        <v/>
      </c>
      <c r="D89" s="437">
        <f>IFERROR(__xludf.DUMMYFUNCTION("""COMPUTED_VALUE"""),"chara_tak_00201")</f>
        <v/>
      </c>
      <c r="E89" s="437">
        <f>IFERROR(__xludf.DUMMYFUNCTION("""COMPUTED_VALUE"""),"雲母坂 まりな")</f>
        <v/>
      </c>
      <c r="F89" s="439">
        <f>IFERROR(__xludf.DUMMYFUNCTION("""COMPUTED_VALUE"""),"選定中")</f>
        <v/>
      </c>
      <c r="G89" s="439" t="n"/>
      <c r="H89" s="439">
        <f>IFERROR(__xludf.DUMMYFUNCTION("""COMPUTED_VALUE"""),"SR")</f>
        <v/>
      </c>
      <c r="I89" s="439">
        <f>IFERROR(__xludf.DUMMYFUNCTION("""COMPUTED_VALUE"""),"DropSR")</f>
        <v/>
      </c>
      <c r="J89" s="439">
        <f>IFERROR(__xludf.DUMMYFUNCTION("""COMPUTED_VALUE"""),"緑")</f>
        <v/>
      </c>
      <c r="K89" s="438">
        <f>IFERROR(__xludf.DUMMYFUNCTION("""COMPUTED_VALUE"""),"chara")</f>
        <v/>
      </c>
      <c r="L89" s="463" t="n"/>
      <c r="M89" s="436" t="n"/>
      <c r="N89" s="440" t="n"/>
      <c r="O89" s="440" t="n"/>
      <c r="P89" s="440" t="n"/>
      <c r="Q89" s="440" t="n"/>
      <c r="R89" s="441" t="n"/>
      <c r="S89" s="441" t="n"/>
      <c r="T89" s="460" t="n"/>
      <c r="U89" s="448" t="n"/>
      <c r="V89" s="448" t="n"/>
      <c r="W89" s="438" t="n"/>
      <c r="X89" s="438" t="n"/>
      <c r="Y89" s="438" t="n"/>
      <c r="Z89" s="438" t="n"/>
      <c r="AA89" s="439" t="n"/>
    </row>
    <row r="90">
      <c r="A90" s="439">
        <f>IFERROR(__xludf.DUMMYFUNCTION("""COMPUTED_VALUE"""),"jig")</f>
        <v/>
      </c>
      <c r="B90" s="435">
        <f>IFERROR(__xludf.DUMMYFUNCTION("""COMPUTED_VALUE"""),"地獄楽")</f>
        <v/>
      </c>
      <c r="C90" s="436">
        <f>IFERROR(__xludf.DUMMYFUNCTION("""COMPUTED_VALUE"""),"00001")</f>
        <v/>
      </c>
      <c r="D90" s="437">
        <f>IFERROR(__xludf.DUMMYFUNCTION("""COMPUTED_VALUE"""),"chara_jig_00001")</f>
        <v/>
      </c>
      <c r="E90" s="437">
        <f>IFERROR(__xludf.DUMMYFUNCTION("""COMPUTED_VALUE"""),"がらんの画眉丸")</f>
        <v/>
      </c>
      <c r="F90" s="439">
        <f>IFERROR(__xludf.DUMMYFUNCTION("""COMPUTED_VALUE"""),"がらんの画眉丸")</f>
        <v/>
      </c>
      <c r="G90" s="439">
        <f>IFERROR(__xludf.DUMMYFUNCTION("""COMPUTED_VALUE"""),"忍法 火法師")</f>
        <v/>
      </c>
      <c r="H90" s="439">
        <f>IFERROR(__xludf.DUMMYFUNCTION("""COMPUTED_VALUE"""),"UR")</f>
        <v/>
      </c>
      <c r="I90" s="439">
        <f>IFERROR(__xludf.DUMMYFUNCTION("""COMPUTED_VALUE"""),"PremiumUR")</f>
        <v/>
      </c>
      <c r="J90" s="439">
        <f>IFERROR(__xludf.DUMMYFUNCTION("""COMPUTED_VALUE"""),"赤")</f>
        <v/>
      </c>
      <c r="K90" s="439">
        <f>IFERROR(__xludf.DUMMYFUNCTION("""COMPUTED_VALUE"""),"chara")</f>
        <v/>
      </c>
      <c r="L90" s="438">
        <f>IFERROR(__xludf.DUMMYFUNCTION("""COMPUTED_VALUE"""),"テクニカル")</f>
        <v/>
      </c>
      <c r="M90" s="436">
        <f>IFERROR(__xludf.DUMMYFUNCTION("""COMPUTED_VALUE"""),"dageki_1")</f>
        <v/>
      </c>
      <c r="N90" s="440">
        <f>IFERROR(__xludf.DUMMYFUNCTION("""COMPUTED_VALUE"""),"Short")</f>
        <v/>
      </c>
      <c r="O90" s="440">
        <f>IFERROR(__xludf.DUMMYFUNCTION("""COMPUTED_VALUE"""),"dageki_1")</f>
        <v/>
      </c>
      <c r="P90" s="440">
        <f>IFERROR(__xludf.DUMMYFUNCTION("""COMPUTED_VALUE"""),"00001")</f>
        <v/>
      </c>
      <c r="Q90" s="440">
        <f>IFERROR(__xludf.DUMMYFUNCTION("""COMPUTED_VALUE"""),"1.17")</f>
        <v/>
      </c>
      <c r="R90" s="441">
        <f>IFERROR(__xludf.DUMMYFUNCTION("""COMPUTED_VALUE"""),"stop有:1回目0.20")</f>
        <v/>
      </c>
      <c r="S90" s="441">
        <f>IFERROR(__xludf.DUMMYFUNCTION("""COMPUTED_VALUE"""),"2.30")</f>
        <v/>
      </c>
      <c r="T90" s="442">
        <f>IFERROR(__xludf.DUMMYFUNCTION("""COMPUTED_VALUE"""),"stop有:1回目 0.08
stop有:2回目 0.90
stop有:3回目 1.50")</f>
        <v/>
      </c>
      <c r="U90" s="444">
        <f>IFERROR(__xludf.DUMMYFUNCTION("""COMPUTED_VALUE"""),45922.458333333336)</f>
        <v/>
      </c>
      <c r="V90" s="444">
        <f>IFERROR(__xludf.DUMMYFUNCTION("""COMPUTED_VALUE"""),390812.49998842593)</f>
        <v/>
      </c>
      <c r="W90" s="438">
        <f>IFERROR(__xludf.DUMMYFUNCTION("""COMPUTED_VALUE"""),"catchcopy_character_chara_jig_00001.png")</f>
        <v/>
      </c>
      <c r="X90" s="438">
        <f>IFERROR(__xludf.DUMMYFUNCTION("""COMPUTED_VALUE"""),"enemy_icon_chara_jig_00001")</f>
        <v/>
      </c>
      <c r="Y90" s="438">
        <f>IFERROR(__xludf.DUMMYFUNCTION("""COMPUTED_VALUE"""),"boss_icon_chara_jig_00001")</f>
        <v/>
      </c>
      <c r="Z90" s="438">
        <f>IFERROR(__xludf.DUMMYFUNCTION("""COMPUTED_VALUE"""),"chara_jig_00001_normal")</f>
        <v/>
      </c>
      <c r="AA90" s="439">
        <f>IFERROR(__xludf.DUMMYFUNCTION("""COMPUTED_VALUE"""),"chara_jig_00001_special")</f>
        <v/>
      </c>
    </row>
    <row r="91">
      <c r="A91" s="439">
        <f>IFERROR(__xludf.DUMMYFUNCTION("""COMPUTED_VALUE"""),"jig")</f>
        <v/>
      </c>
      <c r="B91" s="435">
        <f>IFERROR(__xludf.DUMMYFUNCTION("""COMPUTED_VALUE"""),"地獄楽")</f>
        <v/>
      </c>
      <c r="C91" s="436">
        <f>IFERROR(__xludf.DUMMYFUNCTION("""COMPUTED_VALUE"""),"00101")</f>
        <v/>
      </c>
      <c r="D91" s="437">
        <f>IFERROR(__xludf.DUMMYFUNCTION("""COMPUTED_VALUE"""),"chara_jig_00101")</f>
        <v/>
      </c>
      <c r="E91" s="437">
        <f>IFERROR(__xludf.DUMMYFUNCTION("""COMPUTED_VALUE"""),"山田浅ェ門 佐切")</f>
        <v/>
      </c>
      <c r="F91" s="439">
        <f>IFERROR(__xludf.DUMMYFUNCTION("""COMPUTED_VALUE"""),"山田浅ェ門 佐切")</f>
        <v/>
      </c>
      <c r="G91" s="438">
        <f>IFERROR(__xludf.DUMMYFUNCTION("""COMPUTED_VALUE"""),"試一刀流 具足割")</f>
        <v/>
      </c>
      <c r="H91" s="439">
        <f>IFERROR(__xludf.DUMMYFUNCTION("""COMPUTED_VALUE"""),"SSR")</f>
        <v/>
      </c>
      <c r="I91" s="439">
        <f>IFERROR(__xludf.DUMMYFUNCTION("""COMPUTED_VALUE"""),"PremiumSSR")</f>
        <v/>
      </c>
      <c r="J91" s="439">
        <f>IFERROR(__xludf.DUMMYFUNCTION("""COMPUTED_VALUE"""),"赤")</f>
        <v/>
      </c>
      <c r="K91" s="439">
        <f>IFERROR(__xludf.DUMMYFUNCTION("""COMPUTED_VALUE"""),"chara")</f>
        <v/>
      </c>
      <c r="L91" s="438">
        <f>IFERROR(__xludf.DUMMYFUNCTION("""COMPUTED_VALUE"""),"アタック")</f>
        <v/>
      </c>
      <c r="M91" s="436">
        <f>IFERROR(__xludf.DUMMYFUNCTION("""COMPUTED_VALUE"""),"zangeki_1")</f>
        <v/>
      </c>
      <c r="N91" s="440">
        <f>IFERROR(__xludf.DUMMYFUNCTION("""COMPUTED_VALUE"""),"Short")</f>
        <v/>
      </c>
      <c r="O91" s="440">
        <f>IFERROR(__xludf.DUMMYFUNCTION("""COMPUTED_VALUE"""),"zangeki_1")</f>
        <v/>
      </c>
      <c r="P91" s="440">
        <f>IFERROR(__xludf.DUMMYFUNCTION("""COMPUTED_VALUE"""),"00101")</f>
        <v/>
      </c>
      <c r="Q91" s="440">
        <f>IFERROR(__xludf.DUMMYFUNCTION("""COMPUTED_VALUE"""),"1.5")</f>
        <v/>
      </c>
      <c r="R91" s="441">
        <f>IFERROR(__xludf.DUMMYFUNCTION("""COMPUTED_VALUE"""),"0.50")</f>
        <v/>
      </c>
      <c r="S91" s="441">
        <f>IFERROR(__xludf.DUMMYFUNCTION("""COMPUTED_VALUE"""),"2.50")</f>
        <v/>
      </c>
      <c r="T91" s="442">
        <f>IFERROR(__xludf.DUMMYFUNCTION("""COMPUTED_VALUE"""),"1.20")</f>
        <v/>
      </c>
      <c r="U91" s="444">
        <f>IFERROR(__xludf.DUMMYFUNCTION("""COMPUTED_VALUE"""),45922.458333333336)</f>
        <v/>
      </c>
      <c r="V91" s="444">
        <f>IFERROR(__xludf.DUMMYFUNCTION("""COMPUTED_VALUE"""),390812.49998842593)</f>
        <v/>
      </c>
      <c r="W91" s="438">
        <f>IFERROR(__xludf.DUMMYFUNCTION("""COMPUTED_VALUE"""),"catchcopy_character_chara_jig_00101.png")</f>
        <v/>
      </c>
      <c r="X91" s="438">
        <f>IFERROR(__xludf.DUMMYFUNCTION("""COMPUTED_VALUE"""),"enemy_icon_chara_jig_00101")</f>
        <v/>
      </c>
      <c r="Y91" s="438">
        <f>IFERROR(__xludf.DUMMYFUNCTION("""COMPUTED_VALUE"""),"boss_icon_chara_jig_00101")</f>
        <v/>
      </c>
      <c r="Z91" s="438">
        <f>IFERROR(__xludf.DUMMYFUNCTION("""COMPUTED_VALUE"""),"chara_jig_00101_normal")</f>
        <v/>
      </c>
      <c r="AA91" s="439">
        <f>IFERROR(__xludf.DUMMYFUNCTION("""COMPUTED_VALUE"""),"chara_jig_00101_special")</f>
        <v/>
      </c>
    </row>
    <row r="92">
      <c r="A92" s="439">
        <f>IFERROR(__xludf.DUMMYFUNCTION("""COMPUTED_VALUE"""),"jig")</f>
        <v/>
      </c>
      <c r="B92" s="435">
        <f>IFERROR(__xludf.DUMMYFUNCTION("""COMPUTED_VALUE"""),"地獄楽")</f>
        <v/>
      </c>
      <c r="C92" s="436">
        <f>IFERROR(__xludf.DUMMYFUNCTION("""COMPUTED_VALUE"""),"00201")</f>
        <v/>
      </c>
      <c r="D92" s="437">
        <f>IFERROR(__xludf.DUMMYFUNCTION("""COMPUTED_VALUE"""),"chara_jig_00201")</f>
        <v/>
      </c>
      <c r="E92" s="437">
        <f>IFERROR(__xludf.DUMMYFUNCTION("""COMPUTED_VALUE"""),"杠")</f>
        <v/>
      </c>
      <c r="F92" s="438">
        <f>IFERROR(__xludf.DUMMYFUNCTION("""COMPUTED_VALUE"""),"杠")</f>
        <v/>
      </c>
      <c r="G92" s="438">
        <f>IFERROR(__xludf.DUMMYFUNCTION("""COMPUTED_VALUE"""),"忍法 線斬行 ")</f>
        <v/>
      </c>
      <c r="H92" s="439">
        <f>IFERROR(__xludf.DUMMYFUNCTION("""COMPUTED_VALUE"""),"SSR")</f>
        <v/>
      </c>
      <c r="I92" s="439">
        <f>IFERROR(__xludf.DUMMYFUNCTION("""COMPUTED_VALUE"""),"DropSSR")</f>
        <v/>
      </c>
      <c r="J92" s="438">
        <f>IFERROR(__xludf.DUMMYFUNCTION("""COMPUTED_VALUE"""),"緑")</f>
        <v/>
      </c>
      <c r="K92" s="438">
        <f>IFERROR(__xludf.DUMMYFUNCTION("""COMPUTED_VALUE"""),"chara")</f>
        <v/>
      </c>
      <c r="L92" s="438">
        <f>IFERROR(__xludf.DUMMYFUNCTION("""COMPUTED_VALUE"""),"テクニカル")</f>
        <v/>
      </c>
      <c r="M92" s="436">
        <f>IFERROR(__xludf.DUMMYFUNCTION("""COMPUTED_VALUE"""),"shageki_1")</f>
        <v/>
      </c>
      <c r="N92" s="440">
        <f>IFERROR(__xludf.DUMMYFUNCTION("""COMPUTED_VALUE"""),"Middle")</f>
        <v/>
      </c>
      <c r="O92" s="440">
        <f>IFERROR(__xludf.DUMMYFUNCTION("""COMPUTED_VALUE"""),"shageki_1")</f>
        <v/>
      </c>
      <c r="P92" s="440">
        <f>IFERROR(__xludf.DUMMYFUNCTION("""COMPUTED_VALUE"""),"00201")</f>
        <v/>
      </c>
      <c r="Q92" s="440">
        <f>IFERROR(__xludf.DUMMYFUNCTION("""COMPUTED_VALUE"""),"1.67")</f>
        <v/>
      </c>
      <c r="R92" s="441">
        <f>IFERROR(__xludf.DUMMYFUNCTION("""COMPUTED_VALUE"""),"stop有:1回目 1")</f>
        <v/>
      </c>
      <c r="S92" s="441">
        <f>IFERROR(__xludf.DUMMYFUNCTION("""COMPUTED_VALUE"""),"2.56")</f>
        <v/>
      </c>
      <c r="T92" s="442">
        <f>IFERROR(__xludf.DUMMYFUNCTION("""COMPUTED_VALUE"""),"stop有:1回目1.66")</f>
        <v/>
      </c>
      <c r="U92" s="444">
        <f>IFERROR(__xludf.DUMMYFUNCTION("""COMPUTED_VALUE"""),45922.458333333336)</f>
        <v/>
      </c>
      <c r="V92" s="444">
        <f>IFERROR(__xludf.DUMMYFUNCTION("""COMPUTED_VALUE"""),390812.49998842593)</f>
        <v/>
      </c>
      <c r="W92" s="438">
        <f>IFERROR(__xludf.DUMMYFUNCTION("""COMPUTED_VALUE"""),"catchcopy_character_chara_jig_00201.png")</f>
        <v/>
      </c>
      <c r="X92" s="438">
        <f>IFERROR(__xludf.DUMMYFUNCTION("""COMPUTED_VALUE"""),"enemy_icon_chara_jig_00201")</f>
        <v/>
      </c>
      <c r="Y92" s="438">
        <f>IFERROR(__xludf.DUMMYFUNCTION("""COMPUTED_VALUE"""),"boss_icon_chara_jig_00201")</f>
        <v/>
      </c>
      <c r="Z92" s="438">
        <f>IFERROR(__xludf.DUMMYFUNCTION("""COMPUTED_VALUE"""),"chara_jig_00201_normal")</f>
        <v/>
      </c>
      <c r="AA92" s="439">
        <f>IFERROR(__xludf.DUMMYFUNCTION("""COMPUTED_VALUE"""),"chara_jig_00201_special")</f>
        <v/>
      </c>
    </row>
    <row r="93">
      <c r="A93" s="439">
        <f>IFERROR(__xludf.DUMMYFUNCTION("""COMPUTED_VALUE"""),"jig")</f>
        <v/>
      </c>
      <c r="B93" s="435">
        <f>IFERROR(__xludf.DUMMYFUNCTION("""COMPUTED_VALUE"""),"地獄楽")</f>
        <v/>
      </c>
      <c r="C93" s="436">
        <f>IFERROR(__xludf.DUMMYFUNCTION("""COMPUTED_VALUE"""),"00301")</f>
        <v/>
      </c>
      <c r="D93" s="437">
        <f>IFERROR(__xludf.DUMMYFUNCTION("""COMPUTED_VALUE"""),"chara_jig_00301")</f>
        <v/>
      </c>
      <c r="E93" s="437">
        <f>IFERROR(__xludf.DUMMYFUNCTION("""COMPUTED_VALUE"""),"山田浅ェ門 仙汰")</f>
        <v/>
      </c>
      <c r="F93" s="438">
        <f>IFERROR(__xludf.DUMMYFUNCTION("""COMPUTED_VALUE"""),"山田浅ェ門 仙汰")</f>
        <v/>
      </c>
      <c r="G93" s="438">
        <f>IFERROR(__xludf.DUMMYFUNCTION("""COMPUTED_VALUE"""),"僕を通して貰わないと")</f>
        <v/>
      </c>
      <c r="H93" s="438">
        <f>IFERROR(__xludf.DUMMYFUNCTION("""COMPUTED_VALUE"""),"SR")</f>
        <v/>
      </c>
      <c r="I93" s="439">
        <f>IFERROR(__xludf.DUMMYFUNCTION("""COMPUTED_VALUE"""),"PremiumSR")</f>
        <v/>
      </c>
      <c r="J93" s="439">
        <f>IFERROR(__xludf.DUMMYFUNCTION("""COMPUTED_VALUE"""),"緑")</f>
        <v/>
      </c>
      <c r="K93" s="439">
        <f>IFERROR(__xludf.DUMMYFUNCTION("""COMPUTED_VALUE"""),"chara")</f>
        <v/>
      </c>
      <c r="L93" s="438">
        <f>IFERROR(__xludf.DUMMYFUNCTION("""COMPUTED_VALUE"""),"ディフェンス")</f>
        <v/>
      </c>
      <c r="M93" s="436">
        <f>IFERROR(__xludf.DUMMYFUNCTION("""COMPUTED_VALUE"""),"zangeki_1")</f>
        <v/>
      </c>
      <c r="N93" s="440">
        <f>IFERROR(__xludf.DUMMYFUNCTION("""COMPUTED_VALUE"""),"Short")</f>
        <v/>
      </c>
      <c r="O93" s="440">
        <f>IFERROR(__xludf.DUMMYFUNCTION("""COMPUTED_VALUE"""),"zangeki_1")</f>
        <v/>
      </c>
      <c r="P93" s="440">
        <f>IFERROR(__xludf.DUMMYFUNCTION("""COMPUTED_VALUE"""),"00301")</f>
        <v/>
      </c>
      <c r="Q93" s="440">
        <f>IFERROR(__xludf.DUMMYFUNCTION("""COMPUTED_VALUE"""),"1.80")</f>
        <v/>
      </c>
      <c r="R93" s="441">
        <f>IFERROR(__xludf.DUMMYFUNCTION("""COMPUTED_VALUE"""),"stop有0.50")</f>
        <v/>
      </c>
      <c r="S93" s="441">
        <f>IFERROR(__xludf.DUMMYFUNCTION("""COMPUTED_VALUE"""),"2.34")</f>
        <v/>
      </c>
      <c r="T93" s="442">
        <f>IFERROR(__xludf.DUMMYFUNCTION("""COMPUTED_VALUE"""),"stop無:1回目：0.35
stop無:2回目：0.50
stop無:3回目 0.62
stop無:4回目 0.78
stop有:5回目 1.00")</f>
        <v/>
      </c>
      <c r="U93" s="444">
        <f>IFERROR(__xludf.DUMMYFUNCTION("""COMPUTED_VALUE"""),45922.458333333336)</f>
        <v/>
      </c>
      <c r="V93" s="444">
        <f>IFERROR(__xludf.DUMMYFUNCTION("""COMPUTED_VALUE"""),390812.49998842593)</f>
        <v/>
      </c>
      <c r="W93" s="438">
        <f>IFERROR(__xludf.DUMMYFUNCTION("""COMPUTED_VALUE"""),"catchcopy_character_chara_jig_00301.png")</f>
        <v/>
      </c>
      <c r="X93" s="438">
        <f>IFERROR(__xludf.DUMMYFUNCTION("""COMPUTED_VALUE"""),"enemy_icon_chara_jig_00301")</f>
        <v/>
      </c>
      <c r="Y93" s="438">
        <f>IFERROR(__xludf.DUMMYFUNCTION("""COMPUTED_VALUE"""),"boss_icon_chara_jig_00301")</f>
        <v/>
      </c>
      <c r="Z93" s="438" t="n"/>
      <c r="AA93" s="439">
        <f>IFERROR(__xludf.DUMMYFUNCTION("""COMPUTED_VALUE"""),"chara_jig_00301_special")</f>
        <v/>
      </c>
    </row>
    <row r="94">
      <c r="A94" s="439">
        <f>IFERROR(__xludf.DUMMYFUNCTION("""COMPUTED_VALUE"""),"jig")</f>
        <v/>
      </c>
      <c r="B94" s="435">
        <f>IFERROR(__xludf.DUMMYFUNCTION("""COMPUTED_VALUE"""),"地獄楽")</f>
        <v/>
      </c>
      <c r="C94" s="436">
        <f>IFERROR(__xludf.DUMMYFUNCTION("""COMPUTED_VALUE"""),"00401")</f>
        <v/>
      </c>
      <c r="D94" s="437">
        <f>IFERROR(__xludf.DUMMYFUNCTION("""COMPUTED_VALUE"""),"chara_jig_00401")</f>
        <v/>
      </c>
      <c r="E94" s="437">
        <f>IFERROR(__xludf.DUMMYFUNCTION("""COMPUTED_VALUE"""),"賊王 亜左 弔兵衛")</f>
        <v/>
      </c>
      <c r="F94" s="438">
        <f>IFERROR(__xludf.DUMMYFUNCTION("""COMPUTED_VALUE"""),"賊王 亜左 弔兵衛")</f>
        <v/>
      </c>
      <c r="G94" s="438">
        <f>IFERROR(__xludf.DUMMYFUNCTION("""COMPUTED_VALUE"""),"オレの神もオレだ!!")</f>
        <v/>
      </c>
      <c r="H94" s="438">
        <f>IFERROR(__xludf.DUMMYFUNCTION("""COMPUTED_VALUE"""),"UR")</f>
        <v/>
      </c>
      <c r="I94" s="439">
        <f>IFERROR(__xludf.DUMMYFUNCTION("""COMPUTED_VALUE"""),"PremiumUR")</f>
        <v/>
      </c>
      <c r="J94" s="439">
        <f>IFERROR(__xludf.DUMMYFUNCTION("""COMPUTED_VALUE"""),"無")</f>
        <v/>
      </c>
      <c r="K94" s="439">
        <f>IFERROR(__xludf.DUMMYFUNCTION("""COMPUTED_VALUE"""),"chara")</f>
        <v/>
      </c>
      <c r="L94" s="438">
        <f>IFERROR(__xludf.DUMMYFUNCTION("""COMPUTED_VALUE"""),"テクニカル")</f>
        <v/>
      </c>
      <c r="M94" s="436">
        <f>IFERROR(__xludf.DUMMYFUNCTION("""COMPUTED_VALUE"""),"zangeki_1")</f>
        <v/>
      </c>
      <c r="N94" s="440">
        <f>IFERROR(__xludf.DUMMYFUNCTION("""COMPUTED_VALUE"""),"Short")</f>
        <v/>
      </c>
      <c r="O94" s="440">
        <f>IFERROR(__xludf.DUMMYFUNCTION("""COMPUTED_VALUE"""),"zangeki_1")</f>
        <v/>
      </c>
      <c r="P94" s="440">
        <f>IFERROR(__xludf.DUMMYFUNCTION("""COMPUTED_VALUE"""),"00401")</f>
        <v/>
      </c>
      <c r="Q94" s="440">
        <f>IFERROR(__xludf.DUMMYFUNCTION("""COMPUTED_VALUE"""),"1.67")</f>
        <v/>
      </c>
      <c r="R94" s="441">
        <f>IFERROR(__xludf.DUMMYFUNCTION("""COMPUTED_VALUE"""),"stop有:1回目0.50")</f>
        <v/>
      </c>
      <c r="S94" s="441">
        <f>IFERROR(__xludf.DUMMYFUNCTION("""COMPUTED_VALUE"""),"2.67")</f>
        <v/>
      </c>
      <c r="T94" s="442">
        <f>IFERROR(__xludf.DUMMYFUNCTION("""COMPUTED_VALUE"""),"stop有:1回目1.57")</f>
        <v/>
      </c>
      <c r="U94" s="443">
        <f>IFERROR(__xludf.DUMMYFUNCTION("""COMPUTED_VALUE"""),46038.625)</f>
        <v/>
      </c>
      <c r="V94" s="444">
        <f>IFERROR(__xludf.DUMMYFUNCTION("""COMPUTED_VALUE"""),390812.49998842593)</f>
        <v/>
      </c>
      <c r="W94" s="438">
        <f>IFERROR(__xludf.DUMMYFUNCTION("""COMPUTED_VALUE"""),"catchcopy_character_chara_jig_00401.png")</f>
        <v/>
      </c>
      <c r="X94" s="438">
        <f>IFERROR(__xludf.DUMMYFUNCTION("""COMPUTED_VALUE"""),"enemy_icon_chara_jig_00401")</f>
        <v/>
      </c>
      <c r="Y94" s="438">
        <f>IFERROR(__xludf.DUMMYFUNCTION("""COMPUTED_VALUE"""),"boss_icon_chara_jig_00401")</f>
        <v/>
      </c>
      <c r="Z94" s="438" t="n"/>
      <c r="AA94" s="439" t="n"/>
    </row>
    <row r="95">
      <c r="A95" s="439">
        <f>IFERROR(__xludf.DUMMYFUNCTION("""COMPUTED_VALUE"""),"jig")</f>
        <v/>
      </c>
      <c r="B95" s="435">
        <f>IFERROR(__xludf.DUMMYFUNCTION("""COMPUTED_VALUE"""),"地獄楽")</f>
        <v/>
      </c>
      <c r="C95" s="436">
        <f>IFERROR(__xludf.DUMMYFUNCTION("""COMPUTED_VALUE"""),"00501")</f>
        <v/>
      </c>
      <c r="D95" s="437">
        <f>IFERROR(__xludf.DUMMYFUNCTION("""COMPUTED_VALUE"""),"chara_jig_00501")</f>
        <v/>
      </c>
      <c r="E95" s="437">
        <f>IFERROR(__xludf.DUMMYFUNCTION("""COMPUTED_VALUE"""),"山田浅ェ門 桐馬")</f>
        <v/>
      </c>
      <c r="F95" s="438">
        <f>IFERROR(__xludf.DUMMYFUNCTION("""COMPUTED_VALUE"""),"山田浅ェ門 桐馬")</f>
        <v/>
      </c>
      <c r="G95" s="438">
        <f>IFERROR(__xludf.DUMMYFUNCTION("""COMPUTED_VALUE"""),"兄さんは強いんだ")</f>
        <v/>
      </c>
      <c r="H95" s="438">
        <f>IFERROR(__xludf.DUMMYFUNCTION("""COMPUTED_VALUE"""),"SSR")</f>
        <v/>
      </c>
      <c r="I95" s="439">
        <f>IFERROR(__xludf.DUMMYFUNCTION("""COMPUTED_VALUE"""),"PremiumSSR")</f>
        <v/>
      </c>
      <c r="J95" s="439">
        <f>IFERROR(__xludf.DUMMYFUNCTION("""COMPUTED_VALUE"""),"緑")</f>
        <v/>
      </c>
      <c r="K95" s="439">
        <f>IFERROR(__xludf.DUMMYFUNCTION("""COMPUTED_VALUE"""),"chara")</f>
        <v/>
      </c>
      <c r="L95" s="438">
        <f>IFERROR(__xludf.DUMMYFUNCTION("""COMPUTED_VALUE"""),"サポート")</f>
        <v/>
      </c>
      <c r="M95" s="436">
        <f>IFERROR(__xludf.DUMMYFUNCTION("""COMPUTED_VALUE"""),"zangeki_1")</f>
        <v/>
      </c>
      <c r="N95" s="440">
        <f>IFERROR(__xludf.DUMMYFUNCTION("""COMPUTED_VALUE"""),"Short")</f>
        <v/>
      </c>
      <c r="O95" s="440">
        <f>IFERROR(__xludf.DUMMYFUNCTION("""COMPUTED_VALUE"""),"-")</f>
        <v/>
      </c>
      <c r="P95" s="440">
        <f>IFERROR(__xludf.DUMMYFUNCTION("""COMPUTED_VALUE"""),"00501")</f>
        <v/>
      </c>
      <c r="Q95" s="440">
        <f>IFERROR(__xludf.DUMMYFUNCTION("""COMPUTED_VALUE"""),"1.6")</f>
        <v/>
      </c>
      <c r="R95" s="441">
        <f>IFERROR(__xludf.DUMMYFUNCTION("""COMPUTED_VALUE"""),"stop有:1回目0.4")</f>
        <v/>
      </c>
      <c r="S95" s="441">
        <f>IFERROR(__xludf.DUMMYFUNCTION("""COMPUTED_VALUE"""),"3.33")</f>
        <v/>
      </c>
      <c r="T95" s="442">
        <f>IFERROR(__xludf.DUMMYFUNCTION("""COMPUTED_VALUE"""),"stop無:1.67")</f>
        <v/>
      </c>
      <c r="U95" s="443">
        <f>IFERROR(__xludf.DUMMYFUNCTION("""COMPUTED_VALUE"""),46038.625)</f>
        <v/>
      </c>
      <c r="V95" s="444">
        <f>IFERROR(__xludf.DUMMYFUNCTION("""COMPUTED_VALUE"""),390812.49998842593)</f>
        <v/>
      </c>
      <c r="W95" s="438">
        <f>IFERROR(__xludf.DUMMYFUNCTION("""COMPUTED_VALUE"""),"catchcopy_character_chara_jig_00501.png")</f>
        <v/>
      </c>
      <c r="X95" s="438">
        <f>IFERROR(__xludf.DUMMYFUNCTION("""COMPUTED_VALUE"""),"enemy_icon_chara_jig_00501")</f>
        <v/>
      </c>
      <c r="Y95" s="438">
        <f>IFERROR(__xludf.DUMMYFUNCTION("""COMPUTED_VALUE"""),"boss_icon_chara_jig_00501")</f>
        <v/>
      </c>
      <c r="Z95" s="438" t="n"/>
      <c r="AA95" s="439" t="n"/>
    </row>
    <row r="96">
      <c r="A96" s="464">
        <f>IFERROR(__xludf.DUMMYFUNCTION("""COMPUTED_VALUE"""),"jig")</f>
        <v/>
      </c>
      <c r="B96" s="464">
        <f>IFERROR(__xludf.DUMMYFUNCTION("""COMPUTED_VALUE"""),"地獄楽")</f>
        <v/>
      </c>
      <c r="C96" s="465">
        <f>IFERROR(__xludf.DUMMYFUNCTION("""COMPUTED_VALUE"""),"00601")</f>
        <v/>
      </c>
      <c r="D96" s="464">
        <f>IFERROR(__xludf.DUMMYFUNCTION("""COMPUTED_VALUE"""),"chara_jig_00601")</f>
        <v/>
      </c>
      <c r="E96" s="464">
        <f>IFERROR(__xludf.DUMMYFUNCTION("""COMPUTED_VALUE"""),"民谷 巌鉄斎")</f>
        <v/>
      </c>
      <c r="F96" s="464">
        <f>IFERROR(__xludf.DUMMYFUNCTION("""COMPUTED_VALUE"""),"民谷 巌鉄斎")</f>
        <v/>
      </c>
      <c r="G96" s="464">
        <f>IFERROR(__xludf.DUMMYFUNCTION("""COMPUTED_VALUE"""),"真の不老不死だ!!")</f>
        <v/>
      </c>
      <c r="H96" s="464">
        <f>IFERROR(__xludf.DUMMYFUNCTION("""COMPUTED_VALUE"""),"SR")</f>
        <v/>
      </c>
      <c r="I96" s="464">
        <f>IFERROR(__xludf.DUMMYFUNCTION("""COMPUTED_VALUE"""),"DropSR")</f>
        <v/>
      </c>
      <c r="J96" s="464">
        <f>IFERROR(__xludf.DUMMYFUNCTION("""COMPUTED_VALUE"""),"青")</f>
        <v/>
      </c>
      <c r="K96" s="464">
        <f>IFERROR(__xludf.DUMMYFUNCTION("""COMPUTED_VALUE"""),"chara")</f>
        <v/>
      </c>
      <c r="L96" s="464">
        <f>IFERROR(__xludf.DUMMYFUNCTION("""COMPUTED_VALUE"""),"ディフェンス")</f>
        <v/>
      </c>
      <c r="M96" s="464">
        <f>IFERROR(__xludf.DUMMYFUNCTION("""COMPUTED_VALUE"""),"zangeki_1")</f>
        <v/>
      </c>
      <c r="N96" s="464">
        <f>IFERROR(__xludf.DUMMYFUNCTION("""COMPUTED_VALUE"""),"Short")</f>
        <v/>
      </c>
      <c r="O96" s="464">
        <f>IFERROR(__xludf.DUMMYFUNCTION("""COMPUTED_VALUE"""),"zangeki_1")</f>
        <v/>
      </c>
      <c r="P96" s="465">
        <f>IFERROR(__xludf.DUMMYFUNCTION("""COMPUTED_VALUE"""),"00601")</f>
        <v/>
      </c>
      <c r="Q96" s="465">
        <f>IFERROR(__xludf.DUMMYFUNCTION("""COMPUTED_VALUE"""),"1.67")</f>
        <v/>
      </c>
      <c r="R96" s="465">
        <f>IFERROR(__xludf.DUMMYFUNCTION("""COMPUTED_VALUE"""),"stop有:1回目0.6")</f>
        <v/>
      </c>
      <c r="S96" s="465">
        <f>IFERROR(__xludf.DUMMYFUNCTION("""COMPUTED_VALUE"""),"2.67")</f>
        <v/>
      </c>
      <c r="T96" s="465">
        <f>IFERROR(__xludf.DUMMYFUNCTION("""COMPUTED_VALUE"""),"stop有:1.5")</f>
        <v/>
      </c>
      <c r="U96" s="466">
        <f>IFERROR(__xludf.DUMMYFUNCTION("""COMPUTED_VALUE"""),46038.625)</f>
        <v/>
      </c>
      <c r="V96" s="467">
        <f>IFERROR(__xludf.DUMMYFUNCTION("""COMPUTED_VALUE"""),390812.49998842593)</f>
        <v/>
      </c>
      <c r="W96" s="464">
        <f>IFERROR(__xludf.DUMMYFUNCTION("""COMPUTED_VALUE"""),"catchcopy_character_chara_jig_00601.png")</f>
        <v/>
      </c>
      <c r="X96" s="464">
        <f>IFERROR(__xludf.DUMMYFUNCTION("""COMPUTED_VALUE"""),"enemy_icon_chara_jig_00601")</f>
        <v/>
      </c>
      <c r="Y96" s="464">
        <f>IFERROR(__xludf.DUMMYFUNCTION("""COMPUTED_VALUE"""),"boss_icon_chara_jig_00601")</f>
        <v/>
      </c>
      <c r="Z96" s="464" t="n"/>
      <c r="AA96" s="464" t="n"/>
    </row>
    <row r="97">
      <c r="A97" s="464">
        <f>IFERROR(__xludf.DUMMYFUNCTION("""COMPUTED_VALUE"""),"jig")</f>
        <v/>
      </c>
      <c r="B97" s="464">
        <f>IFERROR(__xludf.DUMMYFUNCTION("""COMPUTED_VALUE"""),"地獄楽")</f>
        <v/>
      </c>
      <c r="C97" s="465">
        <f>IFERROR(__xludf.DUMMYFUNCTION("""COMPUTED_VALUE"""),"00701")</f>
        <v/>
      </c>
      <c r="D97" s="464">
        <f>IFERROR(__xludf.DUMMYFUNCTION("""COMPUTED_VALUE"""),"chara_jig_00701")</f>
        <v/>
      </c>
      <c r="E97" s="464">
        <f>IFERROR(__xludf.DUMMYFUNCTION("""COMPUTED_VALUE"""),"メイ")</f>
        <v/>
      </c>
      <c r="F97" s="464">
        <f>IFERROR(__xludf.DUMMYFUNCTION("""COMPUTED_VALUE"""),"メイ")</f>
        <v/>
      </c>
      <c r="G97" s="464">
        <f>IFERROR(__xludf.DUMMYFUNCTION("""COMPUTED_VALUE"""),"強イモ弱イモ ゼンブダイジ")</f>
        <v/>
      </c>
      <c r="H97" s="464">
        <f>IFERROR(__xludf.DUMMYFUNCTION("""COMPUTED_VALUE"""),"SR")</f>
        <v/>
      </c>
      <c r="I97" s="464">
        <f>IFERROR(__xludf.DUMMYFUNCTION("""COMPUTED_VALUE"""),"DropSR")</f>
        <v/>
      </c>
      <c r="J97" s="464">
        <f>IFERROR(__xludf.DUMMYFUNCTION("""COMPUTED_VALUE"""),"無")</f>
        <v/>
      </c>
      <c r="K97" s="464">
        <f>IFERROR(__xludf.DUMMYFUNCTION("""COMPUTED_VALUE"""),"chara")</f>
        <v/>
      </c>
      <c r="L97" s="464">
        <f>IFERROR(__xludf.DUMMYFUNCTION("""COMPUTED_VALUE"""),"スペシャル")</f>
        <v/>
      </c>
      <c r="M97" s="464">
        <f>IFERROR(__xludf.DUMMYFUNCTION("""COMPUTED_VALUE"""),"-")</f>
        <v/>
      </c>
      <c r="N97" s="464">
        <f>IFERROR(__xludf.DUMMYFUNCTION("""COMPUTED_VALUE"""),"ー")</f>
        <v/>
      </c>
      <c r="O97" s="464">
        <f>IFERROR(__xludf.DUMMYFUNCTION("""COMPUTED_VALUE"""),"-")</f>
        <v/>
      </c>
      <c r="P97" s="465">
        <f>IFERROR(__xludf.DUMMYFUNCTION("""COMPUTED_VALUE"""),"00701")</f>
        <v/>
      </c>
      <c r="Q97" s="465">
        <f>IFERROR(__xludf.DUMMYFUNCTION("""COMPUTED_VALUE"""),"-")</f>
        <v/>
      </c>
      <c r="R97" s="465">
        <f>IFERROR(__xludf.DUMMYFUNCTION("""COMPUTED_VALUE"""),"-")</f>
        <v/>
      </c>
      <c r="S97" s="465">
        <f>IFERROR(__xludf.DUMMYFUNCTION("""COMPUTED_VALUE"""),"2.4")</f>
        <v/>
      </c>
      <c r="T97" s="465">
        <f>IFERROR(__xludf.DUMMYFUNCTION("""COMPUTED_VALUE"""),"0")</f>
        <v/>
      </c>
      <c r="U97" s="466">
        <f>IFERROR(__xludf.DUMMYFUNCTION("""COMPUTED_VALUE"""),46038.625)</f>
        <v/>
      </c>
      <c r="V97" s="467">
        <f>IFERROR(__xludf.DUMMYFUNCTION("""COMPUTED_VALUE"""),390812.49998842593)</f>
        <v/>
      </c>
      <c r="W97" s="464">
        <f>IFERROR(__xludf.DUMMYFUNCTION("""COMPUTED_VALUE"""),"catchcopy_character_chara_jig_00701.png")</f>
        <v/>
      </c>
      <c r="X97" s="464">
        <f>IFERROR(__xludf.DUMMYFUNCTION("""COMPUTED_VALUE"""),"enemy_icon_chara_jig_00701")</f>
        <v/>
      </c>
      <c r="Y97" s="464">
        <f>IFERROR(__xludf.DUMMYFUNCTION("""COMPUTED_VALUE"""),"boss_icon_chara_jig_00701")</f>
        <v/>
      </c>
      <c r="Z97" s="464" t="n"/>
      <c r="AA97" s="464" t="n"/>
    </row>
    <row r="98">
      <c r="A98" s="464">
        <f>IFERROR(__xludf.DUMMYFUNCTION("""COMPUTED_VALUE"""),"mag")</f>
        <v/>
      </c>
      <c r="B98" s="464">
        <f>IFERROR(__xludf.DUMMYFUNCTION("""COMPUTED_VALUE"""),"株式会社マジルミエ")</f>
        <v/>
      </c>
      <c r="C98" s="465">
        <f>IFERROR(__xludf.DUMMYFUNCTION("""COMPUTED_VALUE"""),"00001")</f>
        <v/>
      </c>
      <c r="D98" s="464">
        <f>IFERROR(__xludf.DUMMYFUNCTION("""COMPUTED_VALUE"""),"chara_mag_00001")</f>
        <v/>
      </c>
      <c r="E98" s="464">
        <f>IFERROR(__xludf.DUMMYFUNCTION("""COMPUTED_VALUE"""),"新人魔法少女 桜木 カナ")</f>
        <v/>
      </c>
      <c r="F98" s="464">
        <f>IFERROR(__xludf.DUMMYFUNCTION("""COMPUTED_VALUE"""),"新人魔法少女 桜木 カナ")</f>
        <v/>
      </c>
      <c r="G98" s="464">
        <f>IFERROR(__xludf.DUMMYFUNCTION("""COMPUTED_VALUE"""),"私は役に立てる")</f>
        <v/>
      </c>
      <c r="H98" s="464">
        <f>IFERROR(__xludf.DUMMYFUNCTION("""COMPUTED_VALUE"""),"UR")</f>
        <v/>
      </c>
      <c r="I98" s="464">
        <f>IFERROR(__xludf.DUMMYFUNCTION("""COMPUTED_VALUE"""),"PremiumUR")</f>
        <v/>
      </c>
      <c r="J98" s="464">
        <f>IFERROR(__xludf.DUMMYFUNCTION("""COMPUTED_VALUE"""),"青")</f>
        <v/>
      </c>
      <c r="K98" s="464">
        <f>IFERROR(__xludf.DUMMYFUNCTION("""COMPUTED_VALUE"""),"chara")</f>
        <v/>
      </c>
      <c r="L98" s="464">
        <f>IFERROR(__xludf.DUMMYFUNCTION("""COMPUTED_VALUE"""),"アタック")</f>
        <v/>
      </c>
      <c r="M98" s="464">
        <f>IFERROR(__xludf.DUMMYFUNCTION("""COMPUTED_VALUE"""),"shageki_1")</f>
        <v/>
      </c>
      <c r="N98" s="464">
        <f>IFERROR(__xludf.DUMMYFUNCTION("""COMPUTED_VALUE"""),"Long")</f>
        <v/>
      </c>
      <c r="O98" s="464">
        <f>IFERROR(__xludf.DUMMYFUNCTION("""COMPUTED_VALUE"""),"shageki_1")</f>
        <v/>
      </c>
      <c r="P98" s="465">
        <f>IFERROR(__xludf.DUMMYFUNCTION("""COMPUTED_VALUE"""),"00001")</f>
        <v/>
      </c>
      <c r="Q98" s="465">
        <f>IFERROR(__xludf.DUMMYFUNCTION("""COMPUTED_VALUE"""),"1.77")</f>
        <v/>
      </c>
      <c r="R98" s="465">
        <f>IFERROR(__xludf.DUMMYFUNCTION("""COMPUTED_VALUE"""),"stop有:1回目 0.92")</f>
        <v/>
      </c>
      <c r="S98" s="465">
        <f>IFERROR(__xludf.DUMMYFUNCTION("""COMPUTED_VALUE"""),"2.33")</f>
        <v/>
      </c>
      <c r="T98" s="465">
        <f>IFERROR(__xludf.DUMMYFUNCTION("""COMPUTED_VALUE"""),"stop無:1回目 0.75
stop無:2回目 0.92
stop無:3回目 1.08
stop無:4回目 1.25
stop無:5回目 1.42
stop無:6回目 1.58")</f>
        <v/>
      </c>
      <c r="U98" s="467">
        <f>IFERROR(__xludf.DUMMYFUNCTION("""COMPUTED_VALUE"""),45922.458333333336)</f>
        <v/>
      </c>
      <c r="V98" s="467">
        <f>IFERROR(__xludf.DUMMYFUNCTION("""COMPUTED_VALUE"""),390812.49998842593)</f>
        <v/>
      </c>
      <c r="W98" s="464">
        <f>IFERROR(__xludf.DUMMYFUNCTION("""COMPUTED_VALUE"""),"catchcopy_character_chara_mag_00001.png")</f>
        <v/>
      </c>
      <c r="X98" s="464">
        <f>IFERROR(__xludf.DUMMYFUNCTION("""COMPUTED_VALUE"""),"enemy_icon_chara_mag_00001")</f>
        <v/>
      </c>
      <c r="Y98" s="464">
        <f>IFERROR(__xludf.DUMMYFUNCTION("""COMPUTED_VALUE"""),"boss_icon_chara_mag_00001")</f>
        <v/>
      </c>
      <c r="Z98" s="464">
        <f>IFERROR(__xludf.DUMMYFUNCTION("""COMPUTED_VALUE"""),"chara_mag_00001_normal")</f>
        <v/>
      </c>
      <c r="AA98" s="464">
        <f>IFERROR(__xludf.DUMMYFUNCTION("""COMPUTED_VALUE"""),"chara_mag_00001_special")</f>
        <v/>
      </c>
    </row>
    <row r="99">
      <c r="A99" s="464">
        <f>IFERROR(__xludf.DUMMYFUNCTION("""COMPUTED_VALUE"""),"mag")</f>
        <v/>
      </c>
      <c r="B99" s="464">
        <f>IFERROR(__xludf.DUMMYFUNCTION("""COMPUTED_VALUE"""),"株式会社マジルミエ")</f>
        <v/>
      </c>
      <c r="C99" s="465">
        <f>IFERROR(__xludf.DUMMYFUNCTION("""COMPUTED_VALUE"""),"00101")</f>
        <v/>
      </c>
      <c r="D99" s="464">
        <f>IFERROR(__xludf.DUMMYFUNCTION("""COMPUTED_VALUE"""),"chara_mag_00101")</f>
        <v/>
      </c>
      <c r="E99" s="464">
        <f>IFERROR(__xludf.DUMMYFUNCTION("""COMPUTED_VALUE"""),"越谷 仁美")</f>
        <v/>
      </c>
      <c r="F99" s="464">
        <f>IFERROR(__xludf.DUMMYFUNCTION("""COMPUTED_VALUE"""),"越谷 仁美")</f>
        <v/>
      </c>
      <c r="G99" s="464">
        <f>IFERROR(__xludf.DUMMYFUNCTION("""COMPUTED_VALUE"""),"まずァ一発！")</f>
        <v/>
      </c>
      <c r="H99" s="464">
        <f>IFERROR(__xludf.DUMMYFUNCTION("""COMPUTED_VALUE"""),"SR")</f>
        <v/>
      </c>
      <c r="I99" s="464">
        <f>IFERROR(__xludf.DUMMYFUNCTION("""COMPUTED_VALUE"""),"PremiumSR")</f>
        <v/>
      </c>
      <c r="J99" s="464">
        <f>IFERROR(__xludf.DUMMYFUNCTION("""COMPUTED_VALUE"""),"黄")</f>
        <v/>
      </c>
      <c r="K99" s="464">
        <f>IFERROR(__xludf.DUMMYFUNCTION("""COMPUTED_VALUE"""),"chara")</f>
        <v/>
      </c>
      <c r="L99" s="464">
        <f>IFERROR(__xludf.DUMMYFUNCTION("""COMPUTED_VALUE"""),"アタック")</f>
        <v/>
      </c>
      <c r="M99" s="464">
        <f>IFERROR(__xludf.DUMMYFUNCTION("""COMPUTED_VALUE"""),"shageki_1")</f>
        <v/>
      </c>
      <c r="N99" s="464">
        <f>IFERROR(__xludf.DUMMYFUNCTION("""COMPUTED_VALUE"""),"Middle")</f>
        <v/>
      </c>
      <c r="O99" s="464">
        <f>IFERROR(__xludf.DUMMYFUNCTION("""COMPUTED_VALUE"""),"shageki_1")</f>
        <v/>
      </c>
      <c r="P99" s="465">
        <f>IFERROR(__xludf.DUMMYFUNCTION("""COMPUTED_VALUE"""),"00101")</f>
        <v/>
      </c>
      <c r="Q99" s="465">
        <f>IFERROR(__xludf.DUMMYFUNCTION("""COMPUTED_VALUE"""),"1.90")</f>
        <v/>
      </c>
      <c r="R99" s="465">
        <f>IFERROR(__xludf.DUMMYFUNCTION("""COMPUTED_VALUE"""),"0.84")</f>
        <v/>
      </c>
      <c r="S99" s="465">
        <f>IFERROR(__xludf.DUMMYFUNCTION("""COMPUTED_VALUE"""),"2.67")</f>
        <v/>
      </c>
      <c r="T99" s="465">
        <f>IFERROR(__xludf.DUMMYFUNCTION("""COMPUTED_VALUE"""),"1.50")</f>
        <v/>
      </c>
      <c r="U99" s="467">
        <f>IFERROR(__xludf.DUMMYFUNCTION("""COMPUTED_VALUE"""),45922.458333333336)</f>
        <v/>
      </c>
      <c r="V99" s="467">
        <f>IFERROR(__xludf.DUMMYFUNCTION("""COMPUTED_VALUE"""),390812.49998842593)</f>
        <v/>
      </c>
      <c r="W99" s="464">
        <f>IFERROR(__xludf.DUMMYFUNCTION("""COMPUTED_VALUE"""),"catchcopy_character_chara_mag_00101.png")</f>
        <v/>
      </c>
      <c r="X99" s="464">
        <f>IFERROR(__xludf.DUMMYFUNCTION("""COMPUTED_VALUE"""),"enemy_icon_chara_mag_00101")</f>
        <v/>
      </c>
      <c r="Y99" s="464">
        <f>IFERROR(__xludf.DUMMYFUNCTION("""COMPUTED_VALUE"""),"boss_icon_chara_mag_00101")</f>
        <v/>
      </c>
      <c r="Z99" s="464">
        <f>IFERROR(__xludf.DUMMYFUNCTION("""COMPUTED_VALUE"""),"chara_mag_00101_normal")</f>
        <v/>
      </c>
      <c r="AA99" s="464">
        <f>IFERROR(__xludf.DUMMYFUNCTION("""COMPUTED_VALUE"""),"chara_mag_00101_special")</f>
        <v/>
      </c>
    </row>
    <row r="100">
      <c r="A100" s="464">
        <f>IFERROR(__xludf.DUMMYFUNCTION("""COMPUTED_VALUE"""),"mag")</f>
        <v/>
      </c>
      <c r="B100" s="464">
        <f>IFERROR(__xludf.DUMMYFUNCTION("""COMPUTED_VALUE"""),"株式会社マジルミエ")</f>
        <v/>
      </c>
      <c r="C100" s="465">
        <f>IFERROR(__xludf.DUMMYFUNCTION("""COMPUTED_VALUE"""),"00201")</f>
        <v/>
      </c>
      <c r="D100" s="464">
        <f>IFERROR(__xludf.DUMMYFUNCTION("""COMPUTED_VALUE"""),"chara_mag_00201")</f>
        <v/>
      </c>
      <c r="E100" s="464">
        <f>IFERROR(__xludf.DUMMYFUNCTION("""COMPUTED_VALUE"""),"土刃 メイ")</f>
        <v/>
      </c>
      <c r="F100" s="464">
        <f>IFERROR(__xludf.DUMMYFUNCTION("""COMPUTED_VALUE"""),"絶対効率の体現者 土刃 メイ")</f>
        <v/>
      </c>
      <c r="G100" s="464">
        <f>IFERROR(__xludf.DUMMYFUNCTION("""COMPUTED_VALUE"""),"これが仕事です")</f>
        <v/>
      </c>
      <c r="H100" s="464">
        <f>IFERROR(__xludf.DUMMYFUNCTION("""COMPUTED_VALUE"""),"UR")</f>
        <v/>
      </c>
      <c r="I100" s="464">
        <f>IFERROR(__xludf.DUMMYFUNCTION("""COMPUTED_VALUE"""),"PremiumUR")</f>
        <v/>
      </c>
      <c r="J100" s="464">
        <f>IFERROR(__xludf.DUMMYFUNCTION("""COMPUTED_VALUE"""),"赤")</f>
        <v/>
      </c>
      <c r="K100" s="464">
        <f>IFERROR(__xludf.DUMMYFUNCTION("""COMPUTED_VALUE"""),"chara")</f>
        <v/>
      </c>
      <c r="L100" s="464">
        <f>IFERROR(__xludf.DUMMYFUNCTION("""COMPUTED_VALUE"""),"アタック")</f>
        <v/>
      </c>
      <c r="M100" s="464">
        <f>IFERROR(__xludf.DUMMYFUNCTION("""COMPUTED_VALUE"""),"shageki_1")</f>
        <v/>
      </c>
      <c r="N100" s="464">
        <f>IFERROR(__xludf.DUMMYFUNCTION("""COMPUTED_VALUE"""),"Long")</f>
        <v/>
      </c>
      <c r="O100" s="464">
        <f>IFERROR(__xludf.DUMMYFUNCTION("""COMPUTED_VALUE"""),"dageki_1")</f>
        <v/>
      </c>
      <c r="P100" s="464" t="n"/>
      <c r="Q100" s="465">
        <f>IFERROR(__xludf.DUMMYFUNCTION("""COMPUTED_VALUE"""),"1.17")</f>
        <v/>
      </c>
      <c r="R100" s="465">
        <f>IFERROR(__xludf.DUMMYFUNCTION("""COMPUTED_VALUE"""),"stop有:1回目 0.42")</f>
        <v/>
      </c>
      <c r="S100" s="465">
        <f>IFERROR(__xludf.DUMMYFUNCTION("""COMPUTED_VALUE"""),"2.71")</f>
        <v/>
      </c>
      <c r="T100" s="465">
        <f>IFERROR(__xludf.DUMMYFUNCTION("""COMPUTED_VALUE"""),"stop有:1回目 0.38
stop無:2回目 1.55
stop無:3回目 1.8
stop無:4回目 2.1")</f>
        <v/>
      </c>
      <c r="U100" s="466">
        <f>IFERROR(__xludf.DUMMYFUNCTION("""COMPUTED_VALUE"""),45967.625)</f>
        <v/>
      </c>
      <c r="V100" s="467">
        <f>IFERROR(__xludf.DUMMYFUNCTION("""COMPUTED_VALUE"""),390812.49998842593)</f>
        <v/>
      </c>
      <c r="W100" s="464" t="n"/>
      <c r="X100" s="464">
        <f>IFERROR(__xludf.DUMMYFUNCTION("""COMPUTED_VALUE"""),"enemy_icon_chara_mag_00201")</f>
        <v/>
      </c>
      <c r="Y100" s="464">
        <f>IFERROR(__xludf.DUMMYFUNCTION("""COMPUTED_VALUE"""),"boss_icon_chara_mag_00201")</f>
        <v/>
      </c>
      <c r="Z100" s="464" t="n"/>
      <c r="AA100" s="464" t="n"/>
    </row>
    <row r="101">
      <c r="A101" s="464">
        <f>IFERROR(__xludf.DUMMYFUNCTION("""COMPUTED_VALUE"""),"mag")</f>
        <v/>
      </c>
      <c r="B101" s="464">
        <f>IFERROR(__xludf.DUMMYFUNCTION("""COMPUTED_VALUE"""),"株式会社マジルミエ")</f>
        <v/>
      </c>
      <c r="C101" s="465">
        <f>IFERROR(__xludf.DUMMYFUNCTION("""COMPUTED_VALUE"""),"00301")</f>
        <v/>
      </c>
      <c r="D101" s="464">
        <f>IFERROR(__xludf.DUMMYFUNCTION("""COMPUTED_VALUE"""),"chara_mag_00301")</f>
        <v/>
      </c>
      <c r="E101" s="464">
        <f>IFERROR(__xludf.DUMMYFUNCTION("""COMPUTED_VALUE"""),"葵 リリー")</f>
        <v/>
      </c>
      <c r="F101" s="464">
        <f>IFERROR(__xludf.DUMMYFUNCTION("""COMPUTED_VALUE"""),"葵 リリー")</f>
        <v/>
      </c>
      <c r="G101" s="464">
        <f>IFERROR(__xludf.DUMMYFUNCTION("""COMPUTED_VALUE"""),"笑って")</f>
        <v/>
      </c>
      <c r="H101" s="464">
        <f>IFERROR(__xludf.DUMMYFUNCTION("""COMPUTED_VALUE"""),"SSR")</f>
        <v/>
      </c>
      <c r="I101" s="464">
        <f>IFERROR(__xludf.DUMMYFUNCTION("""COMPUTED_VALUE"""),"PremiumSSR")</f>
        <v/>
      </c>
      <c r="J101" s="464">
        <f>IFERROR(__xludf.DUMMYFUNCTION("""COMPUTED_VALUE"""),"緑")</f>
        <v/>
      </c>
      <c r="K101" s="464">
        <f>IFERROR(__xludf.DUMMYFUNCTION("""COMPUTED_VALUE"""),"chara")</f>
        <v/>
      </c>
      <c r="L101" s="464">
        <f>IFERROR(__xludf.DUMMYFUNCTION("""COMPUTED_VALUE"""),"ディフェンス")</f>
        <v/>
      </c>
      <c r="M101" s="464">
        <f>IFERROR(__xludf.DUMMYFUNCTION("""COMPUTED_VALUE"""),"dageki_1")</f>
        <v/>
      </c>
      <c r="N101" s="464">
        <f>IFERROR(__xludf.DUMMYFUNCTION("""COMPUTED_VALUE"""),"Middle")</f>
        <v/>
      </c>
      <c r="O101" s="464">
        <f>IFERROR(__xludf.DUMMYFUNCTION("""COMPUTED_VALUE"""),"-")</f>
        <v/>
      </c>
      <c r="P101" s="464" t="n"/>
      <c r="Q101" s="465">
        <f>IFERROR(__xludf.DUMMYFUNCTION("""COMPUTED_VALUE"""),"1.6")</f>
        <v/>
      </c>
      <c r="R101" s="465">
        <f>IFERROR(__xludf.DUMMYFUNCTION("""COMPUTED_VALUE"""),"stop有:0.6")</f>
        <v/>
      </c>
      <c r="S101" s="465">
        <f>IFERROR(__xludf.DUMMYFUNCTION("""COMPUTED_VALUE"""),"2.5")</f>
        <v/>
      </c>
      <c r="T101" s="465">
        <f>IFERROR(__xludf.DUMMYFUNCTION("""COMPUTED_VALUE"""),"stop無 1")</f>
        <v/>
      </c>
      <c r="U101" s="466">
        <f>IFERROR(__xludf.DUMMYFUNCTION("""COMPUTED_VALUE"""),45967.625)</f>
        <v/>
      </c>
      <c r="V101" s="467">
        <f>IFERROR(__xludf.DUMMYFUNCTION("""COMPUTED_VALUE"""),390812.49998842593)</f>
        <v/>
      </c>
      <c r="W101" s="464" t="n"/>
      <c r="X101" s="464">
        <f>IFERROR(__xludf.DUMMYFUNCTION("""COMPUTED_VALUE"""),"enemy_icon_chara_mag_00301")</f>
        <v/>
      </c>
      <c r="Y101" s="464">
        <f>IFERROR(__xludf.DUMMYFUNCTION("""COMPUTED_VALUE"""),"boss_icon_chara_mag_00301")</f>
        <v/>
      </c>
      <c r="Z101" s="464" t="n"/>
      <c r="AA101" s="464" t="n"/>
    </row>
    <row r="102">
      <c r="A102" s="464">
        <f>IFERROR(__xludf.DUMMYFUNCTION("""COMPUTED_VALUE"""),"mag")</f>
        <v/>
      </c>
      <c r="B102" s="464">
        <f>IFERROR(__xludf.DUMMYFUNCTION("""COMPUTED_VALUE"""),"株式会社マジルミエ")</f>
        <v/>
      </c>
      <c r="C102" s="465">
        <f>IFERROR(__xludf.DUMMYFUNCTION("""COMPUTED_VALUE"""),"00401")</f>
        <v/>
      </c>
      <c r="D102" s="464">
        <f>IFERROR(__xludf.DUMMYFUNCTION("""COMPUTED_VALUE"""),"chara_mag_00401")</f>
        <v/>
      </c>
      <c r="E102" s="464">
        <f>IFERROR(__xludf.DUMMYFUNCTION("""COMPUTED_VALUE"""),"槇野 あかね")</f>
        <v/>
      </c>
      <c r="F102" s="464">
        <f>IFERROR(__xludf.DUMMYFUNCTION("""COMPUTED_VALUE"""),"槇野 あかね")</f>
        <v/>
      </c>
      <c r="G102" s="464">
        <f>IFERROR(__xludf.DUMMYFUNCTION("""COMPUTED_VALUE"""),"花散一閃")</f>
        <v/>
      </c>
      <c r="H102" s="464">
        <f>IFERROR(__xludf.DUMMYFUNCTION("""COMPUTED_VALUE"""),"SR")</f>
        <v/>
      </c>
      <c r="I102" s="464">
        <f>IFERROR(__xludf.DUMMYFUNCTION("""COMPUTED_VALUE"""),"DropSR")</f>
        <v/>
      </c>
      <c r="J102" s="464">
        <f>IFERROR(__xludf.DUMMYFUNCTION("""COMPUTED_VALUE"""),"赤")</f>
        <v/>
      </c>
      <c r="K102" s="464">
        <f>IFERROR(__xludf.DUMMYFUNCTION("""COMPUTED_VALUE"""),"chara")</f>
        <v/>
      </c>
      <c r="L102" s="464">
        <f>IFERROR(__xludf.DUMMYFUNCTION("""COMPUTED_VALUE"""),"テクニカル")</f>
        <v/>
      </c>
      <c r="M102" s="464">
        <f>IFERROR(__xludf.DUMMYFUNCTION("""COMPUTED_VALUE"""),"zangeki_1")</f>
        <v/>
      </c>
      <c r="N102" s="464">
        <f>IFERROR(__xludf.DUMMYFUNCTION("""COMPUTED_VALUE"""),"Short")</f>
        <v/>
      </c>
      <c r="O102" s="464">
        <f>IFERROR(__xludf.DUMMYFUNCTION("""COMPUTED_VALUE"""),"zangeki_1")</f>
        <v/>
      </c>
      <c r="P102" s="464" t="n"/>
      <c r="Q102" s="465">
        <f>IFERROR(__xludf.DUMMYFUNCTION("""COMPUTED_VALUE"""),"1.31")</f>
        <v/>
      </c>
      <c r="R102" s="465">
        <f>IFERROR(__xludf.DUMMYFUNCTION("""COMPUTED_VALUE"""),"stop有 :1回目 0.6")</f>
        <v/>
      </c>
      <c r="S102" s="465">
        <f>IFERROR(__xludf.DUMMYFUNCTION("""COMPUTED_VALUE"""),"1.87")</f>
        <v/>
      </c>
      <c r="T102" s="465">
        <f>IFERROR(__xludf.DUMMYFUNCTION("""COMPUTED_VALUE"""),"stop有 :1回目 0.62")</f>
        <v/>
      </c>
      <c r="U102" s="466">
        <f>IFERROR(__xludf.DUMMYFUNCTION("""COMPUTED_VALUE"""),45967.625)</f>
        <v/>
      </c>
      <c r="V102" s="467">
        <f>IFERROR(__xludf.DUMMYFUNCTION("""COMPUTED_VALUE"""),390812.49998842593)</f>
        <v/>
      </c>
      <c r="W102" s="464" t="n"/>
      <c r="X102" s="464">
        <f>IFERROR(__xludf.DUMMYFUNCTION("""COMPUTED_VALUE"""),"enemy_icon_chara_mag_00401")</f>
        <v/>
      </c>
      <c r="Y102" s="464">
        <f>IFERROR(__xludf.DUMMYFUNCTION("""COMPUTED_VALUE"""),"boss_icon_chara_mag_00401")</f>
        <v/>
      </c>
      <c r="Z102" s="464" t="n"/>
      <c r="AA102" s="464" t="n"/>
    </row>
    <row r="103">
      <c r="A103" s="464">
        <f>IFERROR(__xludf.DUMMYFUNCTION("""COMPUTED_VALUE"""),"mag")</f>
        <v/>
      </c>
      <c r="B103" s="464">
        <f>IFERROR(__xludf.DUMMYFUNCTION("""COMPUTED_VALUE"""),"株式会社マジルミエ")</f>
        <v/>
      </c>
      <c r="C103" s="465">
        <f>IFERROR(__xludf.DUMMYFUNCTION("""COMPUTED_VALUE"""),"00501")</f>
        <v/>
      </c>
      <c r="D103" s="464">
        <f>IFERROR(__xludf.DUMMYFUNCTION("""COMPUTED_VALUE"""),"chara_mag_00501")</f>
        <v/>
      </c>
      <c r="E103" s="464">
        <f>IFERROR(__xludf.DUMMYFUNCTION("""COMPUTED_VALUE"""),"重本 浩司")</f>
        <v/>
      </c>
      <c r="F103" s="464">
        <f>IFERROR(__xludf.DUMMYFUNCTION("""COMPUTED_VALUE"""),"重本 浩司")</f>
        <v/>
      </c>
      <c r="G103" s="464">
        <f>IFERROR(__xludf.DUMMYFUNCTION("""COMPUTED_VALUE"""),"心配いらんぞ")</f>
        <v/>
      </c>
      <c r="H103" s="464">
        <f>IFERROR(__xludf.DUMMYFUNCTION("""COMPUTED_VALUE"""),"SR")</f>
        <v/>
      </c>
      <c r="I103" s="464">
        <f>IFERROR(__xludf.DUMMYFUNCTION("""COMPUTED_VALUE"""),"DropSR")</f>
        <v/>
      </c>
      <c r="J103" s="464">
        <f>IFERROR(__xludf.DUMMYFUNCTION("""COMPUTED_VALUE"""),"無")</f>
        <v/>
      </c>
      <c r="K103" s="464">
        <f>IFERROR(__xludf.DUMMYFUNCTION("""COMPUTED_VALUE"""),"chara")</f>
        <v/>
      </c>
      <c r="L103" s="464">
        <f>IFERROR(__xludf.DUMMYFUNCTION("""COMPUTED_VALUE"""),"スペシャル")</f>
        <v/>
      </c>
      <c r="M103" s="464">
        <f>IFERROR(__xludf.DUMMYFUNCTION("""COMPUTED_VALUE"""),"-")</f>
        <v/>
      </c>
      <c r="N103" s="464" t="n"/>
      <c r="O103" s="464">
        <f>IFERROR(__xludf.DUMMYFUNCTION("""COMPUTED_VALUE"""),"-")</f>
        <v/>
      </c>
      <c r="P103" s="464" t="n"/>
      <c r="Q103" s="465">
        <f>IFERROR(__xludf.DUMMYFUNCTION("""COMPUTED_VALUE"""),"-")</f>
        <v/>
      </c>
      <c r="R103" s="465">
        <f>IFERROR(__xludf.DUMMYFUNCTION("""COMPUTED_VALUE"""),"-")</f>
        <v/>
      </c>
      <c r="S103" s="465">
        <f>IFERROR(__xludf.DUMMYFUNCTION("""COMPUTED_VALUE"""),"2.34")</f>
        <v/>
      </c>
      <c r="T103" s="465">
        <f>IFERROR(__xludf.DUMMYFUNCTION("""COMPUTED_VALUE"""),"0")</f>
        <v/>
      </c>
      <c r="U103" s="466">
        <f>IFERROR(__xludf.DUMMYFUNCTION("""COMPUTED_VALUE"""),45967.625)</f>
        <v/>
      </c>
      <c r="V103" s="467">
        <f>IFERROR(__xludf.DUMMYFUNCTION("""COMPUTED_VALUE"""),390812.49998842593)</f>
        <v/>
      </c>
      <c r="W103" s="464" t="n"/>
      <c r="X103" s="464">
        <f>IFERROR(__xludf.DUMMYFUNCTION("""COMPUTED_VALUE"""),"enemy_icon_chara_mag_00501")</f>
        <v/>
      </c>
      <c r="Y103" s="464">
        <f>IFERROR(__xludf.DUMMYFUNCTION("""COMPUTED_VALUE"""),"boss_icon_chara_mag_00501")</f>
        <v/>
      </c>
      <c r="Z103" s="464" t="n"/>
      <c r="AA103" s="464" t="n"/>
    </row>
    <row r="104">
      <c r="A104" s="464">
        <f>IFERROR(__xludf.DUMMYFUNCTION("""COMPUTED_VALUE"""),"dos")</f>
        <v/>
      </c>
      <c r="B104" s="464">
        <f>IFERROR(__xludf.DUMMYFUNCTION("""COMPUTED_VALUE"""),"道産子ギャルはなまらめんこい")</f>
        <v/>
      </c>
      <c r="C104" s="465">
        <f>IFERROR(__xludf.DUMMYFUNCTION("""COMPUTED_VALUE"""),"00001")</f>
        <v/>
      </c>
      <c r="D104" s="464">
        <f>IFERROR(__xludf.DUMMYFUNCTION("""COMPUTED_VALUE"""),"chara_dos_00001")</f>
        <v/>
      </c>
      <c r="E104" s="464">
        <f>IFERROR(__xludf.DUMMYFUNCTION("""COMPUTED_VALUE"""),"冬木 美波")</f>
        <v/>
      </c>
      <c r="F104" s="464">
        <f>IFERROR(__xludf.DUMMYFUNCTION("""COMPUTED_VALUE"""),"冬木 美波")</f>
        <v/>
      </c>
      <c r="G104" s="464">
        <f>IFERROR(__xludf.DUMMYFUNCTION("""COMPUTED_VALUE"""),"明日家来る？")</f>
        <v/>
      </c>
      <c r="H104" s="464">
        <f>IFERROR(__xludf.DUMMYFUNCTION("""COMPUTED_VALUE"""),"SSR")</f>
        <v/>
      </c>
      <c r="I104" s="464">
        <f>IFERROR(__xludf.DUMMYFUNCTION("""COMPUTED_VALUE"""),"PremiumSSR")</f>
        <v/>
      </c>
      <c r="J104" s="464">
        <f>IFERROR(__xludf.DUMMYFUNCTION("""COMPUTED_VALUE"""),"青")</f>
        <v/>
      </c>
      <c r="K104" s="464">
        <f>IFERROR(__xludf.DUMMYFUNCTION("""COMPUTED_VALUE"""),"chara")</f>
        <v/>
      </c>
      <c r="L104" s="464">
        <f>IFERROR(__xludf.DUMMYFUNCTION("""COMPUTED_VALUE"""),"サポート")</f>
        <v/>
      </c>
      <c r="M104" s="464">
        <f>IFERROR(__xludf.DUMMYFUNCTION("""COMPUTED_VALUE"""),"dageki_1")</f>
        <v/>
      </c>
      <c r="N104" s="464">
        <f>IFERROR(__xludf.DUMMYFUNCTION("""COMPUTED_VALUE"""),"Long")</f>
        <v/>
      </c>
      <c r="O104" s="464">
        <f>IFERROR(__xludf.DUMMYFUNCTION("""COMPUTED_VALUE"""),"dageki_1")</f>
        <v/>
      </c>
      <c r="P104" s="465">
        <f>IFERROR(__xludf.DUMMYFUNCTION("""COMPUTED_VALUE"""),"00001")</f>
        <v/>
      </c>
      <c r="Q104" s="465">
        <f>IFERROR(__xludf.DUMMYFUNCTION("""COMPUTED_VALUE"""),"1.17")</f>
        <v/>
      </c>
      <c r="R104" s="465">
        <f>IFERROR(__xludf.DUMMYFUNCTION("""COMPUTED_VALUE"""),"0.60")</f>
        <v/>
      </c>
      <c r="S104" s="465">
        <f>IFERROR(__xludf.DUMMYFUNCTION("""COMPUTED_VALUE"""),"2.60")</f>
        <v/>
      </c>
      <c r="T104" s="465">
        <f>IFERROR(__xludf.DUMMYFUNCTION("""COMPUTED_VALUE"""),"1.40")</f>
        <v/>
      </c>
      <c r="U104" s="467">
        <f>IFERROR(__xludf.DUMMYFUNCTION("""COMPUTED_VALUE"""),45922.458333333336)</f>
        <v/>
      </c>
      <c r="V104" s="467">
        <f>IFERROR(__xludf.DUMMYFUNCTION("""COMPUTED_VALUE"""),390812.49998842593)</f>
        <v/>
      </c>
      <c r="W104" s="464">
        <f>IFERROR(__xludf.DUMMYFUNCTION("""COMPUTED_VALUE"""),"catchcopy_character_chara_dos_00001.png")</f>
        <v/>
      </c>
      <c r="X104" s="464">
        <f>IFERROR(__xludf.DUMMYFUNCTION("""COMPUTED_VALUE"""),"enemy_icon_chara_dos_00001")</f>
        <v/>
      </c>
      <c r="Y104" s="464">
        <f>IFERROR(__xludf.DUMMYFUNCTION("""COMPUTED_VALUE"""),"boss_icon_chara_dos_00001")</f>
        <v/>
      </c>
      <c r="Z104" s="464">
        <f>IFERROR(__xludf.DUMMYFUNCTION("""COMPUTED_VALUE"""),"chara_dos_00001_normal")</f>
        <v/>
      </c>
      <c r="AA104" s="464">
        <f>IFERROR(__xludf.DUMMYFUNCTION("""COMPUTED_VALUE"""),"chara_dos_00001_special")</f>
        <v/>
      </c>
    </row>
    <row r="105">
      <c r="A105" s="464">
        <f>IFERROR(__xludf.DUMMYFUNCTION("""COMPUTED_VALUE"""),"dos")</f>
        <v/>
      </c>
      <c r="B105" s="464">
        <f>IFERROR(__xludf.DUMMYFUNCTION("""COMPUTED_VALUE"""),"道産子ギャルはなまらめんこい")</f>
        <v/>
      </c>
      <c r="C105" s="465">
        <f>IFERROR(__xludf.DUMMYFUNCTION("""COMPUTED_VALUE"""),"00101")</f>
        <v/>
      </c>
      <c r="D105" s="464">
        <f>IFERROR(__xludf.DUMMYFUNCTION("""COMPUTED_VALUE"""),"chara_dos_00101")</f>
        <v/>
      </c>
      <c r="E105" s="464">
        <f>IFERROR(__xludf.DUMMYFUNCTION("""COMPUTED_VALUE"""),"秋野 沙友理")</f>
        <v/>
      </c>
      <c r="F105" s="464">
        <f>IFERROR(__xludf.DUMMYFUNCTION("""COMPUTED_VALUE"""),"秋野 沙友理")</f>
        <v/>
      </c>
      <c r="G105" s="464">
        <f>IFERROR(__xludf.DUMMYFUNCTION("""COMPUTED_VALUE"""),"誰にも負けない")</f>
        <v/>
      </c>
      <c r="H105" s="464">
        <f>IFERROR(__xludf.DUMMYFUNCTION("""COMPUTED_VALUE"""),"SSR")</f>
        <v/>
      </c>
      <c r="I105" s="464">
        <f>IFERROR(__xludf.DUMMYFUNCTION("""COMPUTED_VALUE"""),"PremiumSSR")</f>
        <v/>
      </c>
      <c r="J105" s="464">
        <f>IFERROR(__xludf.DUMMYFUNCTION("""COMPUTED_VALUE"""),"無")</f>
        <v/>
      </c>
      <c r="K105" s="464">
        <f>IFERROR(__xludf.DUMMYFUNCTION("""COMPUTED_VALUE"""),"chara")</f>
        <v/>
      </c>
      <c r="L105" s="464">
        <f>IFERROR(__xludf.DUMMYFUNCTION("""COMPUTED_VALUE"""),"スペシャル")</f>
        <v/>
      </c>
      <c r="M105" s="464">
        <f>IFERROR(__xludf.DUMMYFUNCTION("""COMPUTED_VALUE"""),"-")</f>
        <v/>
      </c>
      <c r="N105" s="464">
        <f>IFERROR(__xludf.DUMMYFUNCTION("""COMPUTED_VALUE"""),"ー")</f>
        <v/>
      </c>
      <c r="O105" s="464">
        <f>IFERROR(__xludf.DUMMYFUNCTION("""COMPUTED_VALUE"""),"-")</f>
        <v/>
      </c>
      <c r="P105" s="465">
        <f>IFERROR(__xludf.DUMMYFUNCTION("""COMPUTED_VALUE"""),"00101")</f>
        <v/>
      </c>
      <c r="Q105" s="465">
        <f>IFERROR(__xludf.DUMMYFUNCTION("""COMPUTED_VALUE"""),"-")</f>
        <v/>
      </c>
      <c r="R105" s="465">
        <f>IFERROR(__xludf.DUMMYFUNCTION("""COMPUTED_VALUE"""),"-")</f>
        <v/>
      </c>
      <c r="S105" s="465">
        <f>IFERROR(__xludf.DUMMYFUNCTION("""COMPUTED_VALUE"""),"4.84")</f>
        <v/>
      </c>
      <c r="T105" s="465">
        <f>IFERROR(__xludf.DUMMYFUNCTION("""COMPUTED_VALUE"""),"0")</f>
        <v/>
      </c>
      <c r="U105" s="467">
        <f>IFERROR(__xludf.DUMMYFUNCTION("""COMPUTED_VALUE"""),45922.458333333336)</f>
        <v/>
      </c>
      <c r="V105" s="467">
        <f>IFERROR(__xludf.DUMMYFUNCTION("""COMPUTED_VALUE"""),390812.49998842593)</f>
        <v/>
      </c>
      <c r="W105" s="464">
        <f>IFERROR(__xludf.DUMMYFUNCTION("""COMPUTED_VALUE"""),"catchcopy_character_chara_dos_00101.png")</f>
        <v/>
      </c>
      <c r="X105" s="464">
        <f>IFERROR(__xludf.DUMMYFUNCTION("""COMPUTED_VALUE"""),"enemy_icon_chara_dos_00101")</f>
        <v/>
      </c>
      <c r="Y105" s="464">
        <f>IFERROR(__xludf.DUMMYFUNCTION("""COMPUTED_VALUE"""),"boss_icon_chara_dos_00101")</f>
        <v/>
      </c>
      <c r="Z105" s="464" t="n"/>
      <c r="AA105" s="464">
        <f>IFERROR(__xludf.DUMMYFUNCTION("""COMPUTED_VALUE"""),"chara_dos_00101_special")</f>
        <v/>
      </c>
    </row>
    <row r="106">
      <c r="A106" s="464">
        <f>IFERROR(__xludf.DUMMYFUNCTION("""COMPUTED_VALUE"""),"sum")</f>
        <v/>
      </c>
      <c r="B106" s="464">
        <f>IFERROR(__xludf.DUMMYFUNCTION("""COMPUTED_VALUE"""),"サマータイムレンダ")</f>
        <v/>
      </c>
      <c r="C106" s="465">
        <f>IFERROR(__xludf.DUMMYFUNCTION("""COMPUTED_VALUE"""),"00001")</f>
        <v/>
      </c>
      <c r="D106" s="464">
        <f>IFERROR(__xludf.DUMMYFUNCTION("""COMPUTED_VALUE"""),"chara_sum_00001")</f>
        <v/>
      </c>
      <c r="E106" s="464">
        <f>IFERROR(__xludf.DUMMYFUNCTION("""COMPUTED_VALUE"""),"網代 慎平")</f>
        <v/>
      </c>
      <c r="F106" s="464">
        <f>IFERROR(__xludf.DUMMYFUNCTION("""COMPUTED_VALUE"""),"網代 慎平")</f>
        <v/>
      </c>
      <c r="G106" s="464">
        <f>IFERROR(__xludf.DUMMYFUNCTION("""COMPUTED_VALUE"""),"フカンしろ!!")</f>
        <v/>
      </c>
      <c r="H106" s="464">
        <f>IFERROR(__xludf.DUMMYFUNCTION("""COMPUTED_VALUE"""),"R")</f>
        <v/>
      </c>
      <c r="I106" s="464">
        <f>IFERROR(__xludf.DUMMYFUNCTION("""COMPUTED_VALUE"""),"PremiumR")</f>
        <v/>
      </c>
      <c r="J106" s="464">
        <f>IFERROR(__xludf.DUMMYFUNCTION("""COMPUTED_VALUE"""),"青")</f>
        <v/>
      </c>
      <c r="K106" s="464">
        <f>IFERROR(__xludf.DUMMYFUNCTION("""COMPUTED_VALUE"""),"chara")</f>
        <v/>
      </c>
      <c r="L106" s="464">
        <f>IFERROR(__xludf.DUMMYFUNCTION("""COMPUTED_VALUE"""),"テクニカル")</f>
        <v/>
      </c>
      <c r="M106" s="464">
        <f>IFERROR(__xludf.DUMMYFUNCTION("""COMPUTED_VALUE"""),"shageki_1")</f>
        <v/>
      </c>
      <c r="N106" s="464">
        <f>IFERROR(__xludf.DUMMYFUNCTION("""COMPUTED_VALUE"""),"Long")</f>
        <v/>
      </c>
      <c r="O106" s="464">
        <f>IFERROR(__xludf.DUMMYFUNCTION("""COMPUTED_VALUE"""),"shageki_1")</f>
        <v/>
      </c>
      <c r="P106" s="465">
        <f>IFERROR(__xludf.DUMMYFUNCTION("""COMPUTED_VALUE"""),"00001")</f>
        <v/>
      </c>
      <c r="Q106" s="465">
        <f>IFERROR(__xludf.DUMMYFUNCTION("""COMPUTED_VALUE"""),"1.40")</f>
        <v/>
      </c>
      <c r="R106" s="465">
        <f>IFERROR(__xludf.DUMMYFUNCTION("""COMPUTED_VALUE"""),"stop無:1回目 0.65")</f>
        <v/>
      </c>
      <c r="S106" s="465">
        <f>IFERROR(__xludf.DUMMYFUNCTION("""COMPUTED_VALUE"""),"2.33")</f>
        <v/>
      </c>
      <c r="T106" s="465">
        <f>IFERROR(__xludf.DUMMYFUNCTION("""COMPUTED_VALUE"""),"stop無:1回目 0.75
stop無:2回目 0.93
stop無:3回目 1.15")</f>
        <v/>
      </c>
      <c r="U106" s="467">
        <f>IFERROR(__xludf.DUMMYFUNCTION("""COMPUTED_VALUE"""),45922.458333333336)</f>
        <v/>
      </c>
      <c r="V106" s="467">
        <f>IFERROR(__xludf.DUMMYFUNCTION("""COMPUTED_VALUE"""),390812.49998842593)</f>
        <v/>
      </c>
      <c r="W106" s="464">
        <f>IFERROR(__xludf.DUMMYFUNCTION("""COMPUTED_VALUE"""),"catchcopy_character_chara_sum_00001.png")</f>
        <v/>
      </c>
      <c r="X106" s="464">
        <f>IFERROR(__xludf.DUMMYFUNCTION("""COMPUTED_VALUE"""),"enemy_icon_chara_sum_00001")</f>
        <v/>
      </c>
      <c r="Y106" s="464">
        <f>IFERROR(__xludf.DUMMYFUNCTION("""COMPUTED_VALUE"""),"boss_icon_chara_sum_00001")</f>
        <v/>
      </c>
      <c r="Z106" s="464">
        <f>IFERROR(__xludf.DUMMYFUNCTION("""COMPUTED_VALUE"""),"chara_sum_00001_normal")</f>
        <v/>
      </c>
      <c r="AA106" s="464">
        <f>IFERROR(__xludf.DUMMYFUNCTION("""COMPUTED_VALUE"""),"chara_sum_00001_special")</f>
        <v/>
      </c>
    </row>
    <row r="107">
      <c r="A107" s="464">
        <f>IFERROR(__xludf.DUMMYFUNCTION("""COMPUTED_VALUE"""),"sum")</f>
        <v/>
      </c>
      <c r="B107" s="464">
        <f>IFERROR(__xludf.DUMMYFUNCTION("""COMPUTED_VALUE"""),"サマータイムレンダ")</f>
        <v/>
      </c>
      <c r="C107" s="465">
        <f>IFERROR(__xludf.DUMMYFUNCTION("""COMPUTED_VALUE"""),"00101")</f>
        <v/>
      </c>
      <c r="D107" s="464">
        <f>IFERROR(__xludf.DUMMYFUNCTION("""COMPUTED_VALUE"""),"chara_sum_00101")</f>
        <v/>
      </c>
      <c r="E107" s="464">
        <f>IFERROR(__xludf.DUMMYFUNCTION("""COMPUTED_VALUE"""),"影のウシオ 小舟 潮")</f>
        <v/>
      </c>
      <c r="F107" s="464">
        <f>IFERROR(__xludf.DUMMYFUNCTION("""COMPUTED_VALUE"""),"影のウシオ 小舟 潮")</f>
        <v/>
      </c>
      <c r="G107" s="464">
        <f>IFERROR(__xludf.DUMMYFUNCTION("""COMPUTED_VALUE"""),"守っちゃってね")</f>
        <v/>
      </c>
      <c r="H107" s="464">
        <f>IFERROR(__xludf.DUMMYFUNCTION("""COMPUTED_VALUE"""),"UR")</f>
        <v/>
      </c>
      <c r="I107" s="464">
        <f>IFERROR(__xludf.DUMMYFUNCTION("""COMPUTED_VALUE"""),"PremiumUR")</f>
        <v/>
      </c>
      <c r="J107" s="464">
        <f>IFERROR(__xludf.DUMMYFUNCTION("""COMPUTED_VALUE"""),"青")</f>
        <v/>
      </c>
      <c r="K107" s="464">
        <f>IFERROR(__xludf.DUMMYFUNCTION("""COMPUTED_VALUE"""),"chara")</f>
        <v/>
      </c>
      <c r="L107" s="464">
        <f>IFERROR(__xludf.DUMMYFUNCTION("""COMPUTED_VALUE"""),"サポート")</f>
        <v/>
      </c>
      <c r="M107" s="464">
        <f>IFERROR(__xludf.DUMMYFUNCTION("""COMPUTED_VALUE"""),"zangeki_1")</f>
        <v/>
      </c>
      <c r="N107" s="464">
        <f>IFERROR(__xludf.DUMMYFUNCTION("""COMPUTED_VALUE"""),"Middle")</f>
        <v/>
      </c>
      <c r="O107" s="464">
        <f>IFERROR(__xludf.DUMMYFUNCTION("""COMPUTED_VALUE"""),"-")</f>
        <v/>
      </c>
      <c r="P107" s="465">
        <f>IFERROR(__xludf.DUMMYFUNCTION("""COMPUTED_VALUE"""),"00101")</f>
        <v/>
      </c>
      <c r="Q107" s="465">
        <f>IFERROR(__xludf.DUMMYFUNCTION("""COMPUTED_VALUE"""),"1.13")</f>
        <v/>
      </c>
      <c r="R107" s="465">
        <f>IFERROR(__xludf.DUMMYFUNCTION("""COMPUTED_VALUE"""),"0.50")</f>
        <v/>
      </c>
      <c r="S107" s="465">
        <f>IFERROR(__xludf.DUMMYFUNCTION("""COMPUTED_VALUE"""),"2.20")</f>
        <v/>
      </c>
      <c r="T107" s="465">
        <f>IFERROR(__xludf.DUMMYFUNCTION("""COMPUTED_VALUE"""),"1.00")</f>
        <v/>
      </c>
      <c r="U107" s="467">
        <f>IFERROR(__xludf.DUMMYFUNCTION("""COMPUTED_VALUE"""),45922.458333333336)</f>
        <v/>
      </c>
      <c r="V107" s="467">
        <f>IFERROR(__xludf.DUMMYFUNCTION("""COMPUTED_VALUE"""),390812.49998842593)</f>
        <v/>
      </c>
      <c r="W107" s="464">
        <f>IFERROR(__xludf.DUMMYFUNCTION("""COMPUTED_VALUE"""),"catchcopy_character_chara_sum_00101.png")</f>
        <v/>
      </c>
      <c r="X107" s="464">
        <f>IFERROR(__xludf.DUMMYFUNCTION("""COMPUTED_VALUE"""),"enemy_icon_chara_sum_00101")</f>
        <v/>
      </c>
      <c r="Y107" s="464">
        <f>IFERROR(__xludf.DUMMYFUNCTION("""COMPUTED_VALUE"""),"boss_icon_chara_sum_00101")</f>
        <v/>
      </c>
      <c r="Z107" s="464">
        <f>IFERROR(__xludf.DUMMYFUNCTION("""COMPUTED_VALUE"""),"chara_sum_00101_normal")</f>
        <v/>
      </c>
      <c r="AA107" s="464">
        <f>IFERROR(__xludf.DUMMYFUNCTION("""COMPUTED_VALUE"""),"chara_sum_00101_special")</f>
        <v/>
      </c>
    </row>
    <row r="108">
      <c r="A108" s="464">
        <f>IFERROR(__xludf.DUMMYFUNCTION("""COMPUTED_VALUE"""),"sum")</f>
        <v/>
      </c>
      <c r="B108" s="464">
        <f>IFERROR(__xludf.DUMMYFUNCTION("""COMPUTED_VALUE"""),"サマータイムレンダ")</f>
        <v/>
      </c>
      <c r="C108" s="465">
        <f>IFERROR(__xludf.DUMMYFUNCTION("""COMPUTED_VALUE"""),"00201")</f>
        <v/>
      </c>
      <c r="D108" s="464">
        <f>IFERROR(__xludf.DUMMYFUNCTION("""COMPUTED_VALUE"""),"chara_sum_00201")</f>
        <v/>
      </c>
      <c r="E108" s="464">
        <f>IFERROR(__xludf.DUMMYFUNCTION("""COMPUTED_VALUE"""),"小舟 澪")</f>
        <v/>
      </c>
      <c r="F108" s="464">
        <f>IFERROR(__xludf.DUMMYFUNCTION("""COMPUTED_VALUE"""),"小舟 澪")</f>
        <v/>
      </c>
      <c r="G108" s="464">
        <f>IFERROR(__xludf.DUMMYFUNCTION("""COMPUTED_VALUE"""),"おかえり慎ちゃん!!")</f>
        <v/>
      </c>
      <c r="H108" s="464">
        <f>IFERROR(__xludf.DUMMYFUNCTION("""COMPUTED_VALUE"""),"SR")</f>
        <v/>
      </c>
      <c r="I108" s="464">
        <f>IFERROR(__xludf.DUMMYFUNCTION("""COMPUTED_VALUE"""),"PremiumSR")</f>
        <v/>
      </c>
      <c r="J108" s="464">
        <f>IFERROR(__xludf.DUMMYFUNCTION("""COMPUTED_VALUE"""),"青")</f>
        <v/>
      </c>
      <c r="K108" s="464">
        <f>IFERROR(__xludf.DUMMYFUNCTION("""COMPUTED_VALUE"""),"chara")</f>
        <v/>
      </c>
      <c r="L108" s="464">
        <f>IFERROR(__xludf.DUMMYFUNCTION("""COMPUTED_VALUE"""),"アタック")</f>
        <v/>
      </c>
      <c r="M108" s="464">
        <f>IFERROR(__xludf.DUMMYFUNCTION("""COMPUTED_VALUE"""),"dageki_1")</f>
        <v/>
      </c>
      <c r="N108" s="464">
        <f>IFERROR(__xludf.DUMMYFUNCTION("""COMPUTED_VALUE"""),"Short")</f>
        <v/>
      </c>
      <c r="O108" s="464">
        <f>IFERROR(__xludf.DUMMYFUNCTION("""COMPUTED_VALUE"""),"shageki_1")</f>
        <v/>
      </c>
      <c r="P108" s="465">
        <f>IFERROR(__xludf.DUMMYFUNCTION("""COMPUTED_VALUE"""),"00201")</f>
        <v/>
      </c>
      <c r="Q108" s="465">
        <f>IFERROR(__xludf.DUMMYFUNCTION("""COMPUTED_VALUE"""),"2.37")</f>
        <v/>
      </c>
      <c r="R108" s="465">
        <f>IFERROR(__xludf.DUMMYFUNCTION("""COMPUTED_VALUE"""),"stop有 :1回目 0.67")</f>
        <v/>
      </c>
      <c r="S108" s="465">
        <f>IFERROR(__xludf.DUMMYFUNCTION("""COMPUTED_VALUE"""),"3.67")</f>
        <v/>
      </c>
      <c r="T108" s="465">
        <f>IFERROR(__xludf.DUMMYFUNCTION("""COMPUTED_VALUE"""),"stop有 :1回目 1.70")</f>
        <v/>
      </c>
      <c r="U108" s="467">
        <f>IFERROR(__xludf.DUMMYFUNCTION("""COMPUTED_VALUE"""),45922.458333333336)</f>
        <v/>
      </c>
      <c r="V108" s="467">
        <f>IFERROR(__xludf.DUMMYFUNCTION("""COMPUTED_VALUE"""),390812.49998842593)</f>
        <v/>
      </c>
      <c r="W108" s="464">
        <f>IFERROR(__xludf.DUMMYFUNCTION("""COMPUTED_VALUE"""),"catchcopy_character_chara_sum_00201.png")</f>
        <v/>
      </c>
      <c r="X108" s="464">
        <f>IFERROR(__xludf.DUMMYFUNCTION("""COMPUTED_VALUE"""),"enemy_icon_chara_sum_00201")</f>
        <v/>
      </c>
      <c r="Y108" s="464">
        <f>IFERROR(__xludf.DUMMYFUNCTION("""COMPUTED_VALUE"""),"boss_icon_chara_sum_00201")</f>
        <v/>
      </c>
      <c r="Z108" s="464">
        <f>IFERROR(__xludf.DUMMYFUNCTION("""COMPUTED_VALUE"""),"chara_sum_00201_normal")</f>
        <v/>
      </c>
      <c r="AA108" s="464">
        <f>IFERROR(__xludf.DUMMYFUNCTION("""COMPUTED_VALUE"""),"chara_sum_00201_special")</f>
        <v/>
      </c>
    </row>
    <row r="109">
      <c r="A109" s="464">
        <f>IFERROR(__xludf.DUMMYFUNCTION("""COMPUTED_VALUE"""),"sum")</f>
        <v/>
      </c>
      <c r="B109" s="464">
        <f>IFERROR(__xludf.DUMMYFUNCTION("""COMPUTED_VALUE"""),"サマータイムレンダ")</f>
        <v/>
      </c>
      <c r="C109" s="465">
        <f>IFERROR(__xludf.DUMMYFUNCTION("""COMPUTED_VALUE"""),"00301")</f>
        <v/>
      </c>
      <c r="D109" s="464">
        <f>IFERROR(__xludf.DUMMYFUNCTION("""COMPUTED_VALUE"""),"chara_sum_00301")</f>
        <v/>
      </c>
      <c r="E109" s="464">
        <f>IFERROR(__xludf.DUMMYFUNCTION("""COMPUTED_VALUE"""),"南方 ひづる")</f>
        <v/>
      </c>
      <c r="F109" s="464">
        <f>IFERROR(__xludf.DUMMYFUNCTION("""COMPUTED_VALUE"""),"選定中")</f>
        <v/>
      </c>
      <c r="G109" s="464" t="n"/>
      <c r="H109" s="464">
        <f>IFERROR(__xludf.DUMMYFUNCTION("""COMPUTED_VALUE"""),"SSR")</f>
        <v/>
      </c>
      <c r="I109" s="464">
        <f>IFERROR(__xludf.DUMMYFUNCTION("""COMPUTED_VALUE"""),"PremiumSSR")</f>
        <v/>
      </c>
      <c r="J109" s="464">
        <f>IFERROR(__xludf.DUMMYFUNCTION("""COMPUTED_VALUE"""),"赤")</f>
        <v/>
      </c>
      <c r="K109" s="464">
        <f>IFERROR(__xludf.DUMMYFUNCTION("""COMPUTED_VALUE"""),"chara")</f>
        <v/>
      </c>
      <c r="L109" s="464">
        <f>IFERROR(__xludf.DUMMYFUNCTION("""COMPUTED_VALUE"""),"調整中")</f>
        <v/>
      </c>
      <c r="M109" s="464" t="n"/>
      <c r="N109" s="464" t="n"/>
      <c r="O109" s="464" t="n"/>
      <c r="P109" s="465">
        <f>IFERROR(__xludf.DUMMYFUNCTION("""COMPUTED_VALUE"""),"00301")</f>
        <v/>
      </c>
      <c r="Q109" s="464" t="n"/>
      <c r="R109" s="464" t="n"/>
      <c r="S109" s="464" t="n"/>
      <c r="T109" s="464" t="n"/>
      <c r="U109" s="467">
        <f>IFERROR(__xludf.DUMMYFUNCTION("""COMPUTED_VALUE"""),45658.0)</f>
        <v/>
      </c>
      <c r="V109" s="467">
        <f>IFERROR(__xludf.DUMMYFUNCTION("""COMPUTED_VALUE"""),390812.49998842593)</f>
        <v/>
      </c>
      <c r="W109" s="464">
        <f>IFERROR(__xludf.DUMMYFUNCTION("""COMPUTED_VALUE"""),"catchcopy_character_chara_sum_00301.png")</f>
        <v/>
      </c>
      <c r="X109" s="464">
        <f>IFERROR(__xludf.DUMMYFUNCTION("""COMPUTED_VALUE"""),"enemy_icon_chara_sum_00301")</f>
        <v/>
      </c>
      <c r="Y109" s="464">
        <f>IFERROR(__xludf.DUMMYFUNCTION("""COMPUTED_VALUE"""),"boss_icon_chara_sum_00301")</f>
        <v/>
      </c>
      <c r="Z109" s="464" t="n"/>
      <c r="AA109" s="464" t="n"/>
    </row>
    <row r="110">
      <c r="A110" s="464">
        <f>IFERROR(__xludf.DUMMYFUNCTION("""COMPUTED_VALUE"""),"sum")</f>
        <v/>
      </c>
      <c r="B110" s="464">
        <f>IFERROR(__xludf.DUMMYFUNCTION("""COMPUTED_VALUE"""),"サマータイムレンダ")</f>
        <v/>
      </c>
      <c r="C110" s="465">
        <f>IFERROR(__xludf.DUMMYFUNCTION("""COMPUTED_VALUE"""),"00401")</f>
        <v/>
      </c>
      <c r="D110" s="464">
        <f>IFERROR(__xludf.DUMMYFUNCTION("""COMPUTED_VALUE"""),"chara_sum_00401")</f>
        <v/>
      </c>
      <c r="E110" s="464">
        <f>IFERROR(__xludf.DUMMYFUNCTION("""COMPUTED_VALUE"""),"小舟 澪の影")</f>
        <v/>
      </c>
      <c r="F110" s="464">
        <f>IFERROR(__xludf.DUMMYFUNCTION("""COMPUTED_VALUE"""),"選定中")</f>
        <v/>
      </c>
      <c r="G110" s="464" t="n"/>
      <c r="H110" s="464">
        <f>IFERROR(__xludf.DUMMYFUNCTION("""COMPUTED_VALUE"""),"SR")</f>
        <v/>
      </c>
      <c r="I110" s="464">
        <f>IFERROR(__xludf.DUMMYFUNCTION("""COMPUTED_VALUE"""),"DropSSR")</f>
        <v/>
      </c>
      <c r="J110" s="464">
        <f>IFERROR(__xludf.DUMMYFUNCTION("""COMPUTED_VALUE"""),"黄")</f>
        <v/>
      </c>
      <c r="K110" s="464">
        <f>IFERROR(__xludf.DUMMYFUNCTION("""COMPUTED_VALUE"""),"chara")</f>
        <v/>
      </c>
      <c r="L110" s="464" t="n"/>
      <c r="M110" s="464" t="n"/>
      <c r="N110" s="464" t="n"/>
      <c r="O110" s="464" t="n"/>
      <c r="P110" s="464" t="n"/>
      <c r="Q110" s="464" t="n"/>
      <c r="R110" s="464" t="n"/>
      <c r="S110" s="464" t="n"/>
      <c r="T110" s="464" t="n"/>
      <c r="U110" s="464" t="n"/>
      <c r="V110" s="464" t="n"/>
      <c r="W110" s="464" t="n"/>
      <c r="X110" s="464" t="n"/>
      <c r="Y110" s="464" t="n"/>
      <c r="Z110" s="464" t="n"/>
      <c r="AA110" s="464" t="n"/>
    </row>
    <row r="111">
      <c r="A111" s="464">
        <f>IFERROR(__xludf.DUMMYFUNCTION("""COMPUTED_VALUE"""),"sum")</f>
        <v/>
      </c>
      <c r="B111" s="464">
        <f>IFERROR(__xludf.DUMMYFUNCTION("""COMPUTED_VALUE"""),"サマータイムレンダ")</f>
        <v/>
      </c>
      <c r="C111" s="465">
        <f>IFERROR(__xludf.DUMMYFUNCTION("""COMPUTED_VALUE"""),"00501")</f>
        <v/>
      </c>
      <c r="D111" s="464">
        <f>IFERROR(__xludf.DUMMYFUNCTION("""COMPUTED_VALUE"""),"chara_sum_00501")</f>
        <v/>
      </c>
      <c r="E111" s="464">
        <f>IFERROR(__xludf.DUMMYFUNCTION("""COMPUTED_VALUE"""),"ハイネ＆シデ")</f>
        <v/>
      </c>
      <c r="F111" s="464">
        <f>IFERROR(__xludf.DUMMYFUNCTION("""COMPUTED_VALUE"""),"選定中")</f>
        <v/>
      </c>
      <c r="G111" s="464" t="n"/>
      <c r="H111" s="464">
        <f>IFERROR(__xludf.DUMMYFUNCTION("""COMPUTED_VALUE"""),"UR")</f>
        <v/>
      </c>
      <c r="I111" s="464">
        <f>IFERROR(__xludf.DUMMYFUNCTION("""COMPUTED_VALUE"""),"FestivalUR")</f>
        <v/>
      </c>
      <c r="J111" s="464">
        <f>IFERROR(__xludf.DUMMYFUNCTION("""COMPUTED_VALUE"""),"緑")</f>
        <v/>
      </c>
      <c r="K111" s="464">
        <f>IFERROR(__xludf.DUMMYFUNCTION("""COMPUTED_VALUE"""),"chara")</f>
        <v/>
      </c>
      <c r="L111" s="464" t="n"/>
      <c r="M111" s="464" t="n"/>
      <c r="N111" s="464" t="n"/>
      <c r="O111" s="464" t="n"/>
      <c r="P111" s="464" t="n"/>
      <c r="Q111" s="464" t="n"/>
      <c r="R111" s="464" t="n"/>
      <c r="S111" s="464" t="n"/>
      <c r="T111" s="464" t="n"/>
      <c r="U111" s="464" t="n"/>
      <c r="V111" s="464" t="n"/>
      <c r="W111" s="464" t="n"/>
      <c r="X111" s="464" t="n"/>
      <c r="Y111" s="464" t="n"/>
      <c r="Z111" s="464" t="n"/>
      <c r="AA111" s="464" t="n"/>
    </row>
    <row r="112">
      <c r="A112" s="464">
        <f>IFERROR(__xludf.DUMMYFUNCTION("""COMPUTED_VALUE"""),"sum")</f>
        <v/>
      </c>
      <c r="B112" s="464">
        <f>IFERROR(__xludf.DUMMYFUNCTION("""COMPUTED_VALUE"""),"サマータイムレンダ")</f>
        <v/>
      </c>
      <c r="C112" s="465">
        <f>IFERROR(__xludf.DUMMYFUNCTION("""COMPUTED_VALUE"""),"00502")</f>
        <v/>
      </c>
      <c r="D112" s="464">
        <f>IFERROR(__xludf.DUMMYFUNCTION("""COMPUTED_VALUE"""),"chara_sum_00502")</f>
        <v/>
      </c>
      <c r="E112" s="464">
        <f>IFERROR(__xludf.DUMMYFUNCTION("""COMPUTED_VALUE"""),"ハイネ＆シデ(シデのみ)")</f>
        <v/>
      </c>
      <c r="F112" s="464" t="n"/>
      <c r="G112" s="464" t="n"/>
      <c r="H112" s="464" t="n"/>
      <c r="I112" s="464" t="n"/>
      <c r="J112" s="464" t="n"/>
      <c r="K112" s="464">
        <f>IFERROR(__xludf.DUMMYFUNCTION("""COMPUTED_VALUE"""),"chara")</f>
        <v/>
      </c>
      <c r="L112" s="464" t="n"/>
      <c r="M112" s="464" t="n"/>
      <c r="N112" s="464" t="n"/>
      <c r="O112" s="464" t="n"/>
      <c r="P112" s="464" t="n"/>
      <c r="Q112" s="464" t="n"/>
      <c r="R112" s="464" t="n"/>
      <c r="S112" s="464" t="n"/>
      <c r="T112" s="464" t="n"/>
      <c r="U112" s="464" t="n"/>
      <c r="V112" s="464" t="n"/>
      <c r="W112" s="464" t="n"/>
      <c r="X112" s="464" t="n"/>
      <c r="Y112" s="464" t="n"/>
      <c r="Z112" s="464" t="n"/>
      <c r="AA112" s="464" t="n"/>
    </row>
    <row r="113">
      <c r="A113" s="464">
        <f>IFERROR(__xludf.DUMMYFUNCTION("""COMPUTED_VALUE"""),"osh")</f>
        <v/>
      </c>
      <c r="B113" s="464">
        <f>IFERROR(__xludf.DUMMYFUNCTION("""COMPUTED_VALUE"""),"【推しの子】")</f>
        <v/>
      </c>
      <c r="C113" s="465">
        <f>IFERROR(__xludf.DUMMYFUNCTION("""COMPUTED_VALUE"""),"00001")</f>
        <v/>
      </c>
      <c r="D113" s="464">
        <f>IFERROR(__xludf.DUMMYFUNCTION("""COMPUTED_VALUE"""),"chara_osh_00001")</f>
        <v/>
      </c>
      <c r="E113" s="464">
        <f>IFERROR(__xludf.DUMMYFUNCTION("""COMPUTED_VALUE"""),"星野 アイ")</f>
        <v/>
      </c>
      <c r="F113" s="464">
        <f>IFERROR(__xludf.DUMMYFUNCTION("""COMPUTED_VALUE"""),"B小町不動のセンター アイ")</f>
        <v/>
      </c>
      <c r="G113" s="464">
        <f>IFERROR(__xludf.DUMMYFUNCTION("""COMPUTED_VALUE"""),"究極のアイドル")</f>
        <v/>
      </c>
      <c r="H113" s="464">
        <f>IFERROR(__xludf.DUMMYFUNCTION("""COMPUTED_VALUE"""),"UR")</f>
        <v/>
      </c>
      <c r="I113" s="464">
        <f>IFERROR(__xludf.DUMMYFUNCTION("""COMPUTED_VALUE"""),"FestivalUR")</f>
        <v/>
      </c>
      <c r="J113" s="464">
        <f>IFERROR(__xludf.DUMMYFUNCTION("""COMPUTED_VALUE"""),"赤")</f>
        <v/>
      </c>
      <c r="K113" s="464">
        <f>IFERROR(__xludf.DUMMYFUNCTION("""COMPUTED_VALUE"""),"chara")</f>
        <v/>
      </c>
      <c r="L113" s="464">
        <f>IFERROR(__xludf.DUMMYFUNCTION("""COMPUTED_VALUE"""),"テクニカル")</f>
        <v/>
      </c>
      <c r="M113" s="464">
        <f>IFERROR(__xludf.DUMMYFUNCTION("""COMPUTED_VALUE"""),"shageki_1")</f>
        <v/>
      </c>
      <c r="N113" s="464">
        <f>IFERROR(__xludf.DUMMYFUNCTION("""COMPUTED_VALUE"""),"Middle")</f>
        <v/>
      </c>
      <c r="O113" s="464">
        <f>IFERROR(__xludf.DUMMYFUNCTION("""COMPUTED_VALUE"""),"-")</f>
        <v/>
      </c>
      <c r="P113" s="464" t="n"/>
      <c r="Q113" s="465">
        <f>IFERROR(__xludf.DUMMYFUNCTION("""COMPUTED_VALUE"""),"1.60")</f>
        <v/>
      </c>
      <c r="R113" s="465">
        <f>IFERROR(__xludf.DUMMYFUNCTION("""COMPUTED_VALUE"""),"stop有:1回目 0.43")</f>
        <v/>
      </c>
      <c r="S113" s="465">
        <f>IFERROR(__xludf.DUMMYFUNCTION("""COMPUTED_VALUE"""),"3.24")</f>
        <v/>
      </c>
      <c r="T113" s="465">
        <f>IFERROR(__xludf.DUMMYFUNCTION("""COMPUTED_VALUE"""),"stop無:1回目 1.83")</f>
        <v/>
      </c>
      <c r="U113" s="467">
        <f>IFERROR(__xludf.DUMMYFUNCTION("""COMPUTED_VALUE"""),46023.0)</f>
        <v/>
      </c>
      <c r="V113" s="467">
        <f>IFERROR(__xludf.DUMMYFUNCTION("""COMPUTED_VALUE"""),390812.49998842593)</f>
        <v/>
      </c>
      <c r="W113" s="464">
        <f>IFERROR(__xludf.DUMMYFUNCTION("""COMPUTED_VALUE"""),"catchcopy_character_chara_osh_00001.png")</f>
        <v/>
      </c>
      <c r="X113" s="464">
        <f>IFERROR(__xludf.DUMMYFUNCTION("""COMPUTED_VALUE"""),"enemy_icon_chara_osh_00001")</f>
        <v/>
      </c>
      <c r="Y113" s="464">
        <f>IFERROR(__xludf.DUMMYFUNCTION("""COMPUTED_VALUE"""),"boss_icon_chara_osh_00001")</f>
        <v/>
      </c>
      <c r="Z113" s="464" t="n"/>
      <c r="AA113" s="464" t="n"/>
    </row>
    <row r="114">
      <c r="A114" s="464">
        <f>IFERROR(__xludf.DUMMYFUNCTION("""COMPUTED_VALUE"""),"osh")</f>
        <v/>
      </c>
      <c r="B114" s="464">
        <f>IFERROR(__xludf.DUMMYFUNCTION("""COMPUTED_VALUE"""),"【推しの子】")</f>
        <v/>
      </c>
      <c r="C114" s="465">
        <f>IFERROR(__xludf.DUMMYFUNCTION("""COMPUTED_VALUE"""),"00101")</f>
        <v/>
      </c>
      <c r="D114" s="464">
        <f>IFERROR(__xludf.DUMMYFUNCTION("""COMPUTED_VALUE"""),"chara_osh_00101")</f>
        <v/>
      </c>
      <c r="E114" s="464">
        <f>IFERROR(__xludf.DUMMYFUNCTION("""COMPUTED_VALUE"""),"星野 アクア")</f>
        <v/>
      </c>
      <c r="F114" s="464">
        <f>IFERROR(__xludf.DUMMYFUNCTION("""COMPUTED_VALUE"""),"復讐を誓う片星 星野 アクア")</f>
        <v/>
      </c>
      <c r="G114" s="464">
        <f>IFERROR(__xludf.DUMMYFUNCTION("""COMPUTED_VALUE"""),"同じ轍を踏ませない")</f>
        <v/>
      </c>
      <c r="H114" s="464">
        <f>IFERROR(__xludf.DUMMYFUNCTION("""COMPUTED_VALUE"""),"UR")</f>
        <v/>
      </c>
      <c r="I114" s="464">
        <f>IFERROR(__xludf.DUMMYFUNCTION("""COMPUTED_VALUE"""),"PremiumUR")</f>
        <v/>
      </c>
      <c r="J114" s="464">
        <f>IFERROR(__xludf.DUMMYFUNCTION("""COMPUTED_VALUE"""),"無")</f>
        <v/>
      </c>
      <c r="K114" s="464">
        <f>IFERROR(__xludf.DUMMYFUNCTION("""COMPUTED_VALUE"""),"chara")</f>
        <v/>
      </c>
      <c r="L114" s="464">
        <f>IFERROR(__xludf.DUMMYFUNCTION("""COMPUTED_VALUE"""),"スペシャル")</f>
        <v/>
      </c>
      <c r="M114" s="464">
        <f>IFERROR(__xludf.DUMMYFUNCTION("""COMPUTED_VALUE"""),"-")</f>
        <v/>
      </c>
      <c r="N114" s="464">
        <f>IFERROR(__xludf.DUMMYFUNCTION("""COMPUTED_VALUE"""),"ー")</f>
        <v/>
      </c>
      <c r="O114" s="464">
        <f>IFERROR(__xludf.DUMMYFUNCTION("""COMPUTED_VALUE"""),"dageki_2")</f>
        <v/>
      </c>
      <c r="P114" s="464" t="n"/>
      <c r="Q114" s="465">
        <f>IFERROR(__xludf.DUMMYFUNCTION("""COMPUTED_VALUE"""),"-")</f>
        <v/>
      </c>
      <c r="R114" s="465">
        <f>IFERROR(__xludf.DUMMYFUNCTION("""COMPUTED_VALUE"""),"-")</f>
        <v/>
      </c>
      <c r="S114" s="465">
        <f>IFERROR(__xludf.DUMMYFUNCTION("""COMPUTED_VALUE"""),"2.34")</f>
        <v/>
      </c>
      <c r="T114" s="465">
        <f>IFERROR(__xludf.DUMMYFUNCTION("""COMPUTED_VALUE"""),"0.67")</f>
        <v/>
      </c>
      <c r="U114" s="467">
        <f>IFERROR(__xludf.DUMMYFUNCTION("""COMPUTED_VALUE"""),46023.0)</f>
        <v/>
      </c>
      <c r="V114" s="467">
        <f>IFERROR(__xludf.DUMMYFUNCTION("""COMPUTED_VALUE"""),390812.49998842593)</f>
        <v/>
      </c>
      <c r="W114" s="464">
        <f>IFERROR(__xludf.DUMMYFUNCTION("""COMPUTED_VALUE"""),"catchcopy_character_chara_osh_00101.png")</f>
        <v/>
      </c>
      <c r="X114" s="464">
        <f>IFERROR(__xludf.DUMMYFUNCTION("""COMPUTED_VALUE"""),"enemy_icon_chara_osh_00101")</f>
        <v/>
      </c>
      <c r="Y114" s="464">
        <f>IFERROR(__xludf.DUMMYFUNCTION("""COMPUTED_VALUE"""),"boss_icon_chara_osh_00101")</f>
        <v/>
      </c>
      <c r="Z114" s="464" t="n"/>
      <c r="AA114" s="464" t="n"/>
    </row>
    <row r="115">
      <c r="A115" s="464">
        <f>IFERROR(__xludf.DUMMYFUNCTION("""COMPUTED_VALUE"""),"osh")</f>
        <v/>
      </c>
      <c r="B115" s="464">
        <f>IFERROR(__xludf.DUMMYFUNCTION("""COMPUTED_VALUE"""),"【推しの子】")</f>
        <v/>
      </c>
      <c r="C115" s="465">
        <f>IFERROR(__xludf.DUMMYFUNCTION("""COMPUTED_VALUE"""),"00102")</f>
        <v/>
      </c>
      <c r="D115" s="464">
        <f>IFERROR(__xludf.DUMMYFUNCTION("""COMPUTED_VALUE"""),"chara_osh_00102")</f>
        <v/>
      </c>
      <c r="E115" s="464">
        <f>IFERROR(__xludf.DUMMYFUNCTION("""COMPUTED_VALUE"""),"星野 アクア (東京ブレイド編ver.)")</f>
        <v/>
      </c>
      <c r="F115" s="464">
        <f>IFERROR(__xludf.DUMMYFUNCTION("""COMPUTED_VALUE"""),"選定中")</f>
        <v/>
      </c>
      <c r="G115" s="464" t="n"/>
      <c r="H115" s="464">
        <f>IFERROR(__xludf.DUMMYFUNCTION("""COMPUTED_VALUE"""),"SR")</f>
        <v/>
      </c>
      <c r="I115" s="464">
        <f>IFERROR(__xludf.DUMMYFUNCTION("""COMPUTED_VALUE"""),"DropSR")</f>
        <v/>
      </c>
      <c r="J115" s="464">
        <f>IFERROR(__xludf.DUMMYFUNCTION("""COMPUTED_VALUE"""),"青")</f>
        <v/>
      </c>
      <c r="K115" s="464">
        <f>IFERROR(__xludf.DUMMYFUNCTION("""COMPUTED_VALUE"""),"chara")</f>
        <v/>
      </c>
      <c r="L115" s="464">
        <f>IFERROR(__xludf.DUMMYFUNCTION("""COMPUTED_VALUE"""),"ディフェンス")</f>
        <v/>
      </c>
      <c r="M115" s="464" t="n"/>
      <c r="N115" s="464" t="n"/>
      <c r="O115" s="464" t="n"/>
      <c r="P115" s="464" t="n"/>
      <c r="Q115" s="464" t="n"/>
      <c r="R115" s="464" t="n"/>
      <c r="S115" s="464" t="n"/>
      <c r="T115" s="464" t="n"/>
      <c r="U115" s="464" t="n"/>
      <c r="V115" s="464" t="n"/>
      <c r="W115" s="464" t="n"/>
      <c r="X115" s="464" t="n"/>
      <c r="Y115" s="464" t="n"/>
      <c r="Z115" s="464" t="n"/>
      <c r="AA115" s="464" t="n"/>
    </row>
    <row r="116">
      <c r="A116" s="464">
        <f>IFERROR(__xludf.DUMMYFUNCTION("""COMPUTED_VALUE"""),"osh")</f>
        <v/>
      </c>
      <c r="B116" s="464">
        <f>IFERROR(__xludf.DUMMYFUNCTION("""COMPUTED_VALUE"""),"【推しの子】")</f>
        <v/>
      </c>
      <c r="C116" s="465">
        <f>IFERROR(__xludf.DUMMYFUNCTION("""COMPUTED_VALUE"""),"00201")</f>
        <v/>
      </c>
      <c r="D116" s="464">
        <f>IFERROR(__xludf.DUMMYFUNCTION("""COMPUTED_VALUE"""),"chara_osh_00201")</f>
        <v/>
      </c>
      <c r="E116" s="464">
        <f>IFERROR(__xludf.DUMMYFUNCTION("""COMPUTED_VALUE"""),"星野 ルビー")</f>
        <v/>
      </c>
      <c r="F116" s="464">
        <f>IFERROR(__xludf.DUMMYFUNCTION("""COMPUTED_VALUE"""),"星野 ルビー")</f>
        <v/>
      </c>
      <c r="G116" s="464">
        <f>IFERROR(__xludf.DUMMYFUNCTION("""COMPUTED_VALUE"""),"憧れのアイドルへ!!")</f>
        <v/>
      </c>
      <c r="H116" s="464">
        <f>IFERROR(__xludf.DUMMYFUNCTION("""COMPUTED_VALUE"""),"SSR")</f>
        <v/>
      </c>
      <c r="I116" s="464">
        <f>IFERROR(__xludf.DUMMYFUNCTION("""COMPUTED_VALUE"""),"PremiumSSR")</f>
        <v/>
      </c>
      <c r="J116" s="464">
        <f>IFERROR(__xludf.DUMMYFUNCTION("""COMPUTED_VALUE"""),"赤")</f>
        <v/>
      </c>
      <c r="K116" s="464">
        <f>IFERROR(__xludf.DUMMYFUNCTION("""COMPUTED_VALUE"""),"chara")</f>
        <v/>
      </c>
      <c r="L116" s="464">
        <f>IFERROR(__xludf.DUMMYFUNCTION("""COMPUTED_VALUE"""),"アタック")</f>
        <v/>
      </c>
      <c r="M116" s="464">
        <f>IFERROR(__xludf.DUMMYFUNCTION("""COMPUTED_VALUE"""),"dageki_2")</f>
        <v/>
      </c>
      <c r="N116" s="464">
        <f>IFERROR(__xludf.DUMMYFUNCTION("""COMPUTED_VALUE"""),"Short")</f>
        <v/>
      </c>
      <c r="O116" s="464">
        <f>IFERROR(__xludf.DUMMYFUNCTION("""COMPUTED_VALUE"""),"-")</f>
        <v/>
      </c>
      <c r="P116" s="464" t="n"/>
      <c r="Q116" s="465">
        <f>IFERROR(__xludf.DUMMYFUNCTION("""COMPUTED_VALUE"""),"1.37")</f>
        <v/>
      </c>
      <c r="R116" s="465">
        <f>IFERROR(__xludf.DUMMYFUNCTION("""COMPUTED_VALUE"""),"stop有:1回目 0.30
stop有:2回目 0.60")</f>
        <v/>
      </c>
      <c r="S116" s="465">
        <f>IFERROR(__xludf.DUMMYFUNCTION("""COMPUTED_VALUE"""),"3.00")</f>
        <v/>
      </c>
      <c r="T116" s="465">
        <f>IFERROR(__xludf.DUMMYFUNCTION("""COMPUTED_VALUE"""),"stop無:1回目 1.66")</f>
        <v/>
      </c>
      <c r="U116" s="467">
        <f>IFERROR(__xludf.DUMMYFUNCTION("""COMPUTED_VALUE"""),46023.0)</f>
        <v/>
      </c>
      <c r="V116" s="467">
        <f>IFERROR(__xludf.DUMMYFUNCTION("""COMPUTED_VALUE"""),390812.49998842593)</f>
        <v/>
      </c>
      <c r="W116" s="464">
        <f>IFERROR(__xludf.DUMMYFUNCTION("""COMPUTED_VALUE"""),"catchcopy_character_chara_osh_00201.png")</f>
        <v/>
      </c>
      <c r="X116" s="464">
        <f>IFERROR(__xludf.DUMMYFUNCTION("""COMPUTED_VALUE"""),"enemy_icon_chara_osh_00201")</f>
        <v/>
      </c>
      <c r="Y116" s="464">
        <f>IFERROR(__xludf.DUMMYFUNCTION("""COMPUTED_VALUE"""),"boss_icon_chara_osh_00201")</f>
        <v/>
      </c>
      <c r="Z116" s="464" t="n"/>
      <c r="AA116" s="464" t="n"/>
    </row>
    <row r="117">
      <c r="A117" s="464">
        <f>IFERROR(__xludf.DUMMYFUNCTION("""COMPUTED_VALUE"""),"osh")</f>
        <v/>
      </c>
      <c r="B117" s="464">
        <f>IFERROR(__xludf.DUMMYFUNCTION("""COMPUTED_VALUE"""),"【推しの子】")</f>
        <v/>
      </c>
      <c r="C117" s="465">
        <f>IFERROR(__xludf.DUMMYFUNCTION("""COMPUTED_VALUE"""),"00202")</f>
        <v/>
      </c>
      <c r="D117" s="464">
        <f>IFERROR(__xludf.DUMMYFUNCTION("""COMPUTED_VALUE"""),"chara_osh_00202")</f>
        <v/>
      </c>
      <c r="E117" s="464">
        <f>IFERROR(__xludf.DUMMYFUNCTION("""COMPUTED_VALUE"""),"星野 ルビー（闇堕ち演技ver）")</f>
        <v/>
      </c>
      <c r="F117" s="464">
        <f>IFERROR(__xludf.DUMMYFUNCTION("""COMPUTED_VALUE"""),"選定中")</f>
        <v/>
      </c>
      <c r="G117" s="464" t="n"/>
      <c r="H117" s="464">
        <f>IFERROR(__xludf.DUMMYFUNCTION("""COMPUTED_VALUE"""),"SR")</f>
        <v/>
      </c>
      <c r="I117" s="464">
        <f>IFERROR(__xludf.DUMMYFUNCTION("""COMPUTED_VALUE"""),"DropSR")</f>
        <v/>
      </c>
      <c r="J117" s="464">
        <f>IFERROR(__xludf.DUMMYFUNCTION("""COMPUTED_VALUE"""),"無")</f>
        <v/>
      </c>
      <c r="K117" s="464">
        <f>IFERROR(__xludf.DUMMYFUNCTION("""COMPUTED_VALUE"""),"chara")</f>
        <v/>
      </c>
      <c r="L117" s="464">
        <f>IFERROR(__xludf.DUMMYFUNCTION("""COMPUTED_VALUE"""),"スペシャル")</f>
        <v/>
      </c>
      <c r="M117" s="464" t="n"/>
      <c r="N117" s="464" t="n"/>
      <c r="O117" s="464" t="n"/>
      <c r="P117" s="464" t="n"/>
      <c r="Q117" s="464" t="n"/>
      <c r="R117" s="464" t="n"/>
      <c r="S117" s="464" t="n"/>
      <c r="T117" s="464" t="n"/>
      <c r="U117" s="464" t="n"/>
      <c r="V117" s="464" t="n"/>
      <c r="W117" s="464" t="n"/>
      <c r="X117" s="464" t="n"/>
      <c r="Y117" s="464" t="n"/>
      <c r="Z117" s="464" t="n"/>
      <c r="AA117" s="464" t="n"/>
    </row>
    <row r="118">
      <c r="A118" s="464">
        <f>IFERROR(__xludf.DUMMYFUNCTION("""COMPUTED_VALUE"""),"osh")</f>
        <v/>
      </c>
      <c r="B118" s="464">
        <f>IFERROR(__xludf.DUMMYFUNCTION("""COMPUTED_VALUE"""),"【推しの子】")</f>
        <v/>
      </c>
      <c r="C118" s="465">
        <f>IFERROR(__xludf.DUMMYFUNCTION("""COMPUTED_VALUE"""),"00301")</f>
        <v/>
      </c>
      <c r="D118" s="464">
        <f>IFERROR(__xludf.DUMMYFUNCTION("""COMPUTED_VALUE"""),"chara_osh_00301")</f>
        <v/>
      </c>
      <c r="E118" s="464">
        <f>IFERROR(__xludf.DUMMYFUNCTION("""COMPUTED_VALUE"""),"MEMちょ")</f>
        <v/>
      </c>
      <c r="F118" s="464">
        <f>IFERROR(__xludf.DUMMYFUNCTION("""COMPUTED_VALUE"""),"MEMちょ")</f>
        <v/>
      </c>
      <c r="G118" s="464">
        <f>IFERROR(__xludf.DUMMYFUNCTION("""COMPUTED_VALUE"""),"バズらせのプロ")</f>
        <v/>
      </c>
      <c r="H118" s="464">
        <f>IFERROR(__xludf.DUMMYFUNCTION("""COMPUTED_VALUE"""),"SSR")</f>
        <v/>
      </c>
      <c r="I118" s="464">
        <f>IFERROR(__xludf.DUMMYFUNCTION("""COMPUTED_VALUE"""),"PremiumSSR")</f>
        <v/>
      </c>
      <c r="J118" s="464">
        <f>IFERROR(__xludf.DUMMYFUNCTION("""COMPUTED_VALUE"""),"黄")</f>
        <v/>
      </c>
      <c r="K118" s="464">
        <f>IFERROR(__xludf.DUMMYFUNCTION("""COMPUTED_VALUE"""),"chara")</f>
        <v/>
      </c>
      <c r="L118" s="464">
        <f>IFERROR(__xludf.DUMMYFUNCTION("""COMPUTED_VALUE"""),"サポート")</f>
        <v/>
      </c>
      <c r="M118" s="464">
        <f>IFERROR(__xludf.DUMMYFUNCTION("""COMPUTED_VALUE"""),"dageki_1")</f>
        <v/>
      </c>
      <c r="N118" s="464">
        <f>IFERROR(__xludf.DUMMYFUNCTION("""COMPUTED_VALUE"""),"Short")</f>
        <v/>
      </c>
      <c r="O118" s="464">
        <f>IFERROR(__xludf.DUMMYFUNCTION("""COMPUTED_VALUE"""),"-")</f>
        <v/>
      </c>
      <c r="P118" s="464" t="n"/>
      <c r="Q118" s="465">
        <f>IFERROR(__xludf.DUMMYFUNCTION("""COMPUTED_VALUE"""),"1.13")</f>
        <v/>
      </c>
      <c r="R118" s="465">
        <f>IFERROR(__xludf.DUMMYFUNCTION("""COMPUTED_VALUE"""),"stop無:1回目 0.18
stop無:1回目 0.35
stop無:1回目 0.52")</f>
        <v/>
      </c>
      <c r="S118" s="465">
        <f>IFERROR(__xludf.DUMMYFUNCTION("""COMPUTED_VALUE"""),"3.33")</f>
        <v/>
      </c>
      <c r="T118" s="465">
        <f>IFERROR(__xludf.DUMMYFUNCTION("""COMPUTED_VALUE"""),"stop無:1回目 1.78")</f>
        <v/>
      </c>
      <c r="U118" s="467">
        <f>IFERROR(__xludf.DUMMYFUNCTION("""COMPUTED_VALUE"""),46023.0)</f>
        <v/>
      </c>
      <c r="V118" s="467">
        <f>IFERROR(__xludf.DUMMYFUNCTION("""COMPUTED_VALUE"""),390812.49998842593)</f>
        <v/>
      </c>
      <c r="W118" s="464">
        <f>IFERROR(__xludf.DUMMYFUNCTION("""COMPUTED_VALUE"""),"catchcopy_character_chara_osh_00301.png")</f>
        <v/>
      </c>
      <c r="X118" s="464">
        <f>IFERROR(__xludf.DUMMYFUNCTION("""COMPUTED_VALUE"""),"enemy_icon_chara_osh_00301")</f>
        <v/>
      </c>
      <c r="Y118" s="464">
        <f>IFERROR(__xludf.DUMMYFUNCTION("""COMPUTED_VALUE"""),"boss_icon_chara_osh_00301")</f>
        <v/>
      </c>
      <c r="Z118" s="464" t="n"/>
      <c r="AA118" s="464" t="n"/>
    </row>
    <row r="119">
      <c r="A119" s="464">
        <f>IFERROR(__xludf.DUMMYFUNCTION("""COMPUTED_VALUE"""),"osh")</f>
        <v/>
      </c>
      <c r="B119" s="464">
        <f>IFERROR(__xludf.DUMMYFUNCTION("""COMPUTED_VALUE"""),"【推しの子】")</f>
        <v/>
      </c>
      <c r="C119" s="465">
        <f>IFERROR(__xludf.DUMMYFUNCTION("""COMPUTED_VALUE"""),"00401")</f>
        <v/>
      </c>
      <c r="D119" s="464">
        <f>IFERROR(__xludf.DUMMYFUNCTION("""COMPUTED_VALUE"""),"chara_osh_00401")</f>
        <v/>
      </c>
      <c r="E119" s="464">
        <f>IFERROR(__xludf.DUMMYFUNCTION("""COMPUTED_VALUE"""),"有馬 かな")</f>
        <v/>
      </c>
      <c r="F119" s="464">
        <f>IFERROR(__xludf.DUMMYFUNCTION("""COMPUTED_VALUE"""),"有馬 かな")</f>
        <v/>
      </c>
      <c r="G119" s="464">
        <f>IFERROR(__xludf.DUMMYFUNCTION("""COMPUTED_VALUE"""),"光はあるから")</f>
        <v/>
      </c>
      <c r="H119" s="464">
        <f>IFERROR(__xludf.DUMMYFUNCTION("""COMPUTED_VALUE"""),"SSR")</f>
        <v/>
      </c>
      <c r="I119" s="464">
        <f>IFERROR(__xludf.DUMMYFUNCTION("""COMPUTED_VALUE"""),"PremiumSSR")</f>
        <v/>
      </c>
      <c r="J119" s="464">
        <f>IFERROR(__xludf.DUMMYFUNCTION("""COMPUTED_VALUE"""),"緑")</f>
        <v/>
      </c>
      <c r="K119" s="464">
        <f>IFERROR(__xludf.DUMMYFUNCTION("""COMPUTED_VALUE"""),"chara")</f>
        <v/>
      </c>
      <c r="L119" s="464">
        <f>IFERROR(__xludf.DUMMYFUNCTION("""COMPUTED_VALUE"""),"テクニカル")</f>
        <v/>
      </c>
      <c r="M119" s="464">
        <f>IFERROR(__xludf.DUMMYFUNCTION("""COMPUTED_VALUE"""),"dageki_2")</f>
        <v/>
      </c>
      <c r="N119" s="464">
        <f>IFERROR(__xludf.DUMMYFUNCTION("""COMPUTED_VALUE"""),"Short")</f>
        <v/>
      </c>
      <c r="O119" s="464">
        <f>IFERROR(__xludf.DUMMYFUNCTION("""COMPUTED_VALUE"""),"dageki_2")</f>
        <v/>
      </c>
      <c r="P119" s="464" t="n"/>
      <c r="Q119" s="465">
        <f>IFERROR(__xludf.DUMMYFUNCTION("""COMPUTED_VALUE"""),"1.17")</f>
        <v/>
      </c>
      <c r="R119" s="465">
        <f>IFERROR(__xludf.DUMMYFUNCTION("""COMPUTED_VALUE"""),"0.5")</f>
        <v/>
      </c>
      <c r="S119" s="465">
        <f>IFERROR(__xludf.DUMMYFUNCTION("""COMPUTED_VALUE"""),"2.47")</f>
        <v/>
      </c>
      <c r="T119" s="465">
        <f>IFERROR(__xludf.DUMMYFUNCTION("""COMPUTED_VALUE"""),"stop無:1回目 1.00")</f>
        <v/>
      </c>
      <c r="U119" s="467">
        <f>IFERROR(__xludf.DUMMYFUNCTION("""COMPUTED_VALUE"""),46023.0)</f>
        <v/>
      </c>
      <c r="V119" s="467">
        <f>IFERROR(__xludf.DUMMYFUNCTION("""COMPUTED_VALUE"""),390812.49998842593)</f>
        <v/>
      </c>
      <c r="W119" s="464">
        <f>IFERROR(__xludf.DUMMYFUNCTION("""COMPUTED_VALUE"""),"catchcopy_character_chara_osh_00401.png")</f>
        <v/>
      </c>
      <c r="X119" s="464">
        <f>IFERROR(__xludf.DUMMYFUNCTION("""COMPUTED_VALUE"""),"enemy_icon_chara_osh_00401")</f>
        <v/>
      </c>
      <c r="Y119" s="464">
        <f>IFERROR(__xludf.DUMMYFUNCTION("""COMPUTED_VALUE"""),"boss_icon_chara_osh_00401")</f>
        <v/>
      </c>
      <c r="Z119" s="464" t="n"/>
      <c r="AA119" s="464" t="n"/>
    </row>
    <row r="120">
      <c r="A120" s="464">
        <f>IFERROR(__xludf.DUMMYFUNCTION("""COMPUTED_VALUE"""),"osh")</f>
        <v/>
      </c>
      <c r="B120" s="464">
        <f>IFERROR(__xludf.DUMMYFUNCTION("""COMPUTED_VALUE"""),"【推しの子】")</f>
        <v/>
      </c>
      <c r="C120" s="465">
        <f>IFERROR(__xludf.DUMMYFUNCTION("""COMPUTED_VALUE"""),"00402")</f>
        <v/>
      </c>
      <c r="D120" s="464">
        <f>IFERROR(__xludf.DUMMYFUNCTION("""COMPUTED_VALUE"""),"chara_osh_00402")</f>
        <v/>
      </c>
      <c r="E120" s="464">
        <f>IFERROR(__xludf.DUMMYFUNCTION("""COMPUTED_VALUE"""),"有馬 かな (東京ブレイド編ver.)")</f>
        <v/>
      </c>
      <c r="F120" s="464">
        <f>IFERROR(__xludf.DUMMYFUNCTION("""COMPUTED_VALUE"""),"選定中")</f>
        <v/>
      </c>
      <c r="G120" s="464" t="n"/>
      <c r="H120" s="464">
        <f>IFERROR(__xludf.DUMMYFUNCTION("""COMPUTED_VALUE"""),"UR")</f>
        <v/>
      </c>
      <c r="I120" s="464">
        <f>IFERROR(__xludf.DUMMYFUNCTION("""COMPUTED_VALUE"""),"PremiumUR")</f>
        <v/>
      </c>
      <c r="J120" s="464">
        <f>IFERROR(__xludf.DUMMYFUNCTION("""COMPUTED_VALUE"""),"青")</f>
        <v/>
      </c>
      <c r="K120" s="464">
        <f>IFERROR(__xludf.DUMMYFUNCTION("""COMPUTED_VALUE"""),"chara")</f>
        <v/>
      </c>
      <c r="L120" s="464">
        <f>IFERROR(__xludf.DUMMYFUNCTION("""COMPUTED_VALUE"""),"アタック")</f>
        <v/>
      </c>
      <c r="M120" s="464" t="n"/>
      <c r="N120" s="464" t="n"/>
      <c r="O120" s="464" t="n"/>
      <c r="P120" s="464" t="n"/>
      <c r="Q120" s="464" t="n"/>
      <c r="R120" s="464" t="n"/>
      <c r="S120" s="464" t="n"/>
      <c r="T120" s="464" t="n"/>
      <c r="U120" s="464" t="n"/>
      <c r="V120" s="464" t="n"/>
      <c r="W120" s="464" t="n"/>
      <c r="X120" s="464" t="n"/>
      <c r="Y120" s="464" t="n"/>
      <c r="Z120" s="464" t="n"/>
      <c r="AA120" s="464" t="n"/>
    </row>
    <row r="121">
      <c r="A121" s="468">
        <f>IFERROR(__xludf.DUMMYFUNCTION("""COMPUTED_VALUE"""),"osh")</f>
        <v/>
      </c>
      <c r="B121" s="469">
        <f>IFERROR(__xludf.DUMMYFUNCTION("""COMPUTED_VALUE"""),"【推しの子】")</f>
        <v/>
      </c>
      <c r="C121" s="470">
        <f>IFERROR(__xludf.DUMMYFUNCTION("""COMPUTED_VALUE"""),"00501")</f>
        <v/>
      </c>
      <c r="D121" s="469">
        <f>IFERROR(__xludf.DUMMYFUNCTION("""COMPUTED_VALUE"""),"chara_osh_00501")</f>
        <v/>
      </c>
      <c r="E121" s="469">
        <f>IFERROR(__xludf.DUMMYFUNCTION("""COMPUTED_VALUE"""),"黒川 あかね")</f>
        <v/>
      </c>
      <c r="F121" s="469">
        <f>IFERROR(__xludf.DUMMYFUNCTION("""COMPUTED_VALUE"""),"黒川 あかね")</f>
        <v/>
      </c>
      <c r="G121" s="469">
        <f>IFERROR(__xludf.DUMMYFUNCTION("""COMPUTED_VALUE"""),"あっ　もうカメラ回ってる？")</f>
        <v/>
      </c>
      <c r="H121" s="469">
        <f>IFERROR(__xludf.DUMMYFUNCTION("""COMPUTED_VALUE"""),"SSR")</f>
        <v/>
      </c>
      <c r="I121" s="469">
        <f>IFERROR(__xludf.DUMMYFUNCTION("""COMPUTED_VALUE"""),"PremiumSSR")</f>
        <v/>
      </c>
      <c r="J121" s="469">
        <f>IFERROR(__xludf.DUMMYFUNCTION("""COMPUTED_VALUE"""),"青")</f>
        <v/>
      </c>
      <c r="K121" s="469">
        <f>IFERROR(__xludf.DUMMYFUNCTION("""COMPUTED_VALUE"""),"chara")</f>
        <v/>
      </c>
      <c r="L121" s="469">
        <f>IFERROR(__xludf.DUMMYFUNCTION("""COMPUTED_VALUE"""),"テクニカル")</f>
        <v/>
      </c>
      <c r="M121" s="469">
        <f>IFERROR(__xludf.DUMMYFUNCTION("""COMPUTED_VALUE"""),"dageki_1")</f>
        <v/>
      </c>
      <c r="N121" s="469">
        <f>IFERROR(__xludf.DUMMYFUNCTION("""COMPUTED_VALUE"""),"Short")</f>
        <v/>
      </c>
      <c r="O121" s="469">
        <f>IFERROR(__xludf.DUMMYFUNCTION("""COMPUTED_VALUE"""),"dageki_1")</f>
        <v/>
      </c>
      <c r="P121" s="471" t="n"/>
      <c r="Q121" s="470">
        <f>IFERROR(__xludf.DUMMYFUNCTION("""COMPUTED_VALUE"""),"1.06")</f>
        <v/>
      </c>
      <c r="R121" s="470">
        <f>IFERROR(__xludf.DUMMYFUNCTION("""COMPUTED_VALUE"""),"0.3")</f>
        <v/>
      </c>
      <c r="S121" s="470">
        <f>IFERROR(__xludf.DUMMYFUNCTION("""COMPUTED_VALUE"""),"2.67")</f>
        <v/>
      </c>
      <c r="T121" s="470">
        <f>IFERROR(__xludf.DUMMYFUNCTION("""COMPUTED_VALUE"""),"1.78")</f>
        <v/>
      </c>
      <c r="U121" s="472">
        <f>IFERROR(__xludf.DUMMYFUNCTION("""COMPUTED_VALUE"""),46023.0)</f>
        <v/>
      </c>
      <c r="V121" s="472">
        <f>IFERROR(__xludf.DUMMYFUNCTION("""COMPUTED_VALUE"""),390812.49998842593)</f>
        <v/>
      </c>
      <c r="W121" s="469">
        <f>IFERROR(__xludf.DUMMYFUNCTION("""COMPUTED_VALUE"""),"catchcopy_character_chara_osh_00501.png")</f>
        <v/>
      </c>
      <c r="X121" s="469">
        <f>IFERROR(__xludf.DUMMYFUNCTION("""COMPUTED_VALUE"""),"enemy_icon_chara_osh_00501")</f>
        <v/>
      </c>
      <c r="Y121" s="469">
        <f>IFERROR(__xludf.DUMMYFUNCTION("""COMPUTED_VALUE"""),"boss_icon_chara_osh_00501")</f>
        <v/>
      </c>
      <c r="Z121" s="469" t="n"/>
      <c r="AA121" s="469" t="n"/>
    </row>
    <row r="122">
      <c r="A122" s="468">
        <f>IFERROR(__xludf.DUMMYFUNCTION("""COMPUTED_VALUE"""),"osh")</f>
        <v/>
      </c>
      <c r="B122" s="469">
        <f>IFERROR(__xludf.DUMMYFUNCTION("""COMPUTED_VALUE"""),"【推しの子】")</f>
        <v/>
      </c>
      <c r="C122" s="470">
        <f>IFERROR(__xludf.DUMMYFUNCTION("""COMPUTED_VALUE"""),"00502")</f>
        <v/>
      </c>
      <c r="D122" s="469">
        <f>IFERROR(__xludf.DUMMYFUNCTION("""COMPUTED_VALUE"""),"chara_osh_00502")</f>
        <v/>
      </c>
      <c r="E122" s="469">
        <f>IFERROR(__xludf.DUMMYFUNCTION("""COMPUTED_VALUE"""),"黒川 あかね (東京ブレイド編ver.)")</f>
        <v/>
      </c>
      <c r="F122" s="469">
        <f>IFERROR(__xludf.DUMMYFUNCTION("""COMPUTED_VALUE"""),"選定中")</f>
        <v/>
      </c>
      <c r="G122" s="469" t="n"/>
      <c r="H122" s="469">
        <f>IFERROR(__xludf.DUMMYFUNCTION("""COMPUTED_VALUE"""),"UR")</f>
        <v/>
      </c>
      <c r="I122" s="469">
        <f>IFERROR(__xludf.DUMMYFUNCTION("""COMPUTED_VALUE"""),"PremiumUR")</f>
        <v/>
      </c>
      <c r="J122" s="469">
        <f>IFERROR(__xludf.DUMMYFUNCTION("""COMPUTED_VALUE"""),"黄")</f>
        <v/>
      </c>
      <c r="K122" s="469">
        <f>IFERROR(__xludf.DUMMYFUNCTION("""COMPUTED_VALUE"""),"chara")</f>
        <v/>
      </c>
      <c r="L122" s="469">
        <f>IFERROR(__xludf.DUMMYFUNCTION("""COMPUTED_VALUE"""),"サポート")</f>
        <v/>
      </c>
      <c r="M122" s="469" t="n"/>
      <c r="N122" s="469" t="n"/>
      <c r="O122" s="469" t="n"/>
      <c r="P122" s="471" t="n"/>
      <c r="Q122" s="469" t="n"/>
      <c r="R122" s="469" t="n"/>
      <c r="S122" s="469" t="n"/>
      <c r="T122" s="469" t="n"/>
      <c r="U122" s="469" t="n"/>
      <c r="V122" s="469" t="n"/>
      <c r="W122" s="469" t="n"/>
      <c r="X122" s="469" t="n"/>
      <c r="Y122" s="469" t="n"/>
      <c r="Z122" s="469" t="n"/>
      <c r="AA122" s="469" t="n"/>
    </row>
    <row r="123">
      <c r="A123" s="468">
        <f>IFERROR(__xludf.DUMMYFUNCTION("""COMPUTED_VALUE"""),"osh")</f>
        <v/>
      </c>
      <c r="B123" s="469">
        <f>IFERROR(__xludf.DUMMYFUNCTION("""COMPUTED_VALUE"""),"【推しの子】")</f>
        <v/>
      </c>
      <c r="C123" s="470">
        <f>IFERROR(__xludf.DUMMYFUNCTION("""COMPUTED_VALUE"""),"00601")</f>
        <v/>
      </c>
      <c r="D123" s="469">
        <f>IFERROR(__xludf.DUMMYFUNCTION("""COMPUTED_VALUE"""),"chara_osh_00601")</f>
        <v/>
      </c>
      <c r="E123" s="469">
        <f>IFERROR(__xludf.DUMMYFUNCTION("""COMPUTED_VALUE"""),"ぴえヨン")</f>
        <v/>
      </c>
      <c r="F123" s="469">
        <f>IFERROR(__xludf.DUMMYFUNCTION("""COMPUTED_VALUE"""),"ぴえヨン")</f>
        <v/>
      </c>
      <c r="G123" s="469">
        <f>IFERROR(__xludf.DUMMYFUNCTION("""COMPUTED_VALUE"""),"ぴえヨンブートダンス")</f>
        <v/>
      </c>
      <c r="H123" s="469">
        <f>IFERROR(__xludf.DUMMYFUNCTION("""COMPUTED_VALUE"""),"SR")</f>
        <v/>
      </c>
      <c r="I123" s="469">
        <f>IFERROR(__xludf.DUMMYFUNCTION("""COMPUTED_VALUE"""),"DropSR")</f>
        <v/>
      </c>
      <c r="J123" s="469">
        <f>IFERROR(__xludf.DUMMYFUNCTION("""COMPUTED_VALUE"""),"緑")</f>
        <v/>
      </c>
      <c r="K123" s="469">
        <f>IFERROR(__xludf.DUMMYFUNCTION("""COMPUTED_VALUE"""),"chara")</f>
        <v/>
      </c>
      <c r="L123" s="469">
        <f>IFERROR(__xludf.DUMMYFUNCTION("""COMPUTED_VALUE"""),"ディフェンス")</f>
        <v/>
      </c>
      <c r="M123" s="469">
        <f>IFERROR(__xludf.DUMMYFUNCTION("""COMPUTED_VALUE"""),"dageki_1")</f>
        <v/>
      </c>
      <c r="N123" s="469">
        <f>IFERROR(__xludf.DUMMYFUNCTION("""COMPUTED_VALUE"""),"Short")</f>
        <v/>
      </c>
      <c r="O123" s="469">
        <f>IFERROR(__xludf.DUMMYFUNCTION("""COMPUTED_VALUE"""),"dageki_2")</f>
        <v/>
      </c>
      <c r="P123" s="471" t="n"/>
      <c r="Q123" s="470">
        <f>IFERROR(__xludf.DUMMYFUNCTION("""COMPUTED_VALUE"""),"1.10")</f>
        <v/>
      </c>
      <c r="R123" s="470">
        <f>IFERROR(__xludf.DUMMYFUNCTION("""COMPUTED_VALUE"""),"stop無:1回目 0.28
stop無:2回目 0.70")</f>
        <v/>
      </c>
      <c r="S123" s="470">
        <f>IFERROR(__xludf.DUMMYFUNCTION("""COMPUTED_VALUE"""),"1.90")</f>
        <v/>
      </c>
      <c r="T123" s="470">
        <f>IFERROR(__xludf.DUMMYFUNCTION("""COMPUTED_VALUE"""),"stop無:1回目 0.50
stop無:2回目 0.83
stop無:3回目 1.16
stop無:4回目 1.50")</f>
        <v/>
      </c>
      <c r="U123" s="472">
        <f>IFERROR(__xludf.DUMMYFUNCTION("""COMPUTED_VALUE"""),46023.0)</f>
        <v/>
      </c>
      <c r="V123" s="472">
        <f>IFERROR(__xludf.DUMMYFUNCTION("""COMPUTED_VALUE"""),390812.49998842593)</f>
        <v/>
      </c>
      <c r="W123" s="469">
        <f>IFERROR(__xludf.DUMMYFUNCTION("""COMPUTED_VALUE"""),"catchcopy_character_chara_osh_00601.png")</f>
        <v/>
      </c>
      <c r="X123" s="469">
        <f>IFERROR(__xludf.DUMMYFUNCTION("""COMPUTED_VALUE"""),"enemy_icon_chara_osh_00601")</f>
        <v/>
      </c>
      <c r="Y123" s="469">
        <f>IFERROR(__xludf.DUMMYFUNCTION("""COMPUTED_VALUE"""),"boss_icon_chara_osh_00601")</f>
        <v/>
      </c>
      <c r="Z123" s="469" t="n"/>
      <c r="AA123" s="469" t="n"/>
    </row>
    <row r="124">
      <c r="A124" s="468">
        <f>IFERROR(__xludf.DUMMYFUNCTION("""COMPUTED_VALUE"""),"osh")</f>
        <v/>
      </c>
      <c r="B124" s="469">
        <f>IFERROR(__xludf.DUMMYFUNCTION("""COMPUTED_VALUE"""),"【推しの子】")</f>
        <v/>
      </c>
      <c r="C124" s="470">
        <f>IFERROR(__xludf.DUMMYFUNCTION("""COMPUTED_VALUE"""),"00701")</f>
        <v/>
      </c>
      <c r="D124" s="469">
        <f>IFERROR(__xludf.DUMMYFUNCTION("""COMPUTED_VALUE"""),"chara_osh_00701")</f>
        <v/>
      </c>
      <c r="E124" s="469">
        <f>IFERROR(__xludf.DUMMYFUNCTION("""COMPUTED_VALUE"""),"雨宮 吾郎")</f>
        <v/>
      </c>
      <c r="F124" s="469">
        <f>IFERROR(__xludf.DUMMYFUNCTION("""COMPUTED_VALUE"""),"雨宮 吾郎")</f>
        <v/>
      </c>
      <c r="G124" s="469">
        <f>IFERROR(__xludf.DUMMYFUNCTION("""COMPUTED_VALUE"""),"君の奴隷(ファン)だ")</f>
        <v/>
      </c>
      <c r="H124" s="469">
        <f>IFERROR(__xludf.DUMMYFUNCTION("""COMPUTED_VALUE"""),"SR")</f>
        <v/>
      </c>
      <c r="I124" s="469">
        <f>IFERROR(__xludf.DUMMYFUNCTION("""COMPUTED_VALUE"""),"DropSR")</f>
        <v/>
      </c>
      <c r="J124" s="469">
        <f>IFERROR(__xludf.DUMMYFUNCTION("""COMPUTED_VALUE"""),"無")</f>
        <v/>
      </c>
      <c r="K124" s="469">
        <f>IFERROR(__xludf.DUMMYFUNCTION("""COMPUTED_VALUE"""),"chara")</f>
        <v/>
      </c>
      <c r="L124" s="469">
        <f>IFERROR(__xludf.DUMMYFUNCTION("""COMPUTED_VALUE"""),"スペシャル")</f>
        <v/>
      </c>
      <c r="M124" s="469">
        <f>IFERROR(__xludf.DUMMYFUNCTION("""COMPUTED_VALUE"""),"-")</f>
        <v/>
      </c>
      <c r="N124" s="469" t="n"/>
      <c r="O124" s="469">
        <f>IFERROR(__xludf.DUMMYFUNCTION("""COMPUTED_VALUE"""),"-")</f>
        <v/>
      </c>
      <c r="P124" s="471" t="n"/>
      <c r="Q124" s="470">
        <f>IFERROR(__xludf.DUMMYFUNCTION("""COMPUTED_VALUE"""),"-")</f>
        <v/>
      </c>
      <c r="R124" s="470">
        <f>IFERROR(__xludf.DUMMYFUNCTION("""COMPUTED_VALUE"""),"-")</f>
        <v/>
      </c>
      <c r="S124" s="470">
        <f>IFERROR(__xludf.DUMMYFUNCTION("""COMPUTED_VALUE"""),"2.14")</f>
        <v/>
      </c>
      <c r="T124" s="470">
        <f>IFERROR(__xludf.DUMMYFUNCTION("""COMPUTED_VALUE"""),"stop無:0.6")</f>
        <v/>
      </c>
      <c r="U124" s="472">
        <f>IFERROR(__xludf.DUMMYFUNCTION("""COMPUTED_VALUE"""),46023.0)</f>
        <v/>
      </c>
      <c r="V124" s="472">
        <f>IFERROR(__xludf.DUMMYFUNCTION("""COMPUTED_VALUE"""),390812.49998842593)</f>
        <v/>
      </c>
      <c r="W124" s="469">
        <f>IFERROR(__xludf.DUMMYFUNCTION("""COMPUTED_VALUE"""),"catchcopy_character_chara_osh_00701.png")</f>
        <v/>
      </c>
      <c r="X124" s="469">
        <f>IFERROR(__xludf.DUMMYFUNCTION("""COMPUTED_VALUE"""),"enemy_icon_chara_osh_00701")</f>
        <v/>
      </c>
      <c r="Y124" s="469">
        <f>IFERROR(__xludf.DUMMYFUNCTION("""COMPUTED_VALUE"""),"boss_icon_chara_osh_00701")</f>
        <v/>
      </c>
      <c r="Z124" s="469" t="n"/>
      <c r="AA124" s="469" t="n"/>
    </row>
    <row r="125">
      <c r="A125" s="468">
        <f>IFERROR(__xludf.DUMMYFUNCTION("""COMPUTED_VALUE"""),"osh")</f>
        <v/>
      </c>
      <c r="B125" s="469">
        <f>IFERROR(__xludf.DUMMYFUNCTION("""COMPUTED_VALUE"""),"【推しの子】")</f>
        <v/>
      </c>
      <c r="C125" s="470">
        <f>IFERROR(__xludf.DUMMYFUNCTION("""COMPUTED_VALUE"""),"00801")</f>
        <v/>
      </c>
      <c r="D125" s="469">
        <f>IFERROR(__xludf.DUMMYFUNCTION("""COMPUTED_VALUE"""),"chara_osh_00801")</f>
        <v/>
      </c>
      <c r="E125" s="469">
        <f>IFERROR(__xludf.DUMMYFUNCTION("""COMPUTED_VALUE"""),"斉藤 ミヤコ")</f>
        <v/>
      </c>
      <c r="F125" s="469">
        <f>IFERROR(__xludf.DUMMYFUNCTION("""COMPUTED_VALUE"""),"斉藤 ミヤコ")</f>
        <v/>
      </c>
      <c r="G125" s="469">
        <f>IFERROR(__xludf.DUMMYFUNCTION("""COMPUTED_VALUE"""),"推さない 駆けない 喋らない！")</f>
        <v/>
      </c>
      <c r="H125" s="469">
        <f>IFERROR(__xludf.DUMMYFUNCTION("""COMPUTED_VALUE"""),"SSR")</f>
        <v/>
      </c>
      <c r="I125" s="469">
        <f>IFERROR(__xludf.DUMMYFUNCTION("""COMPUTED_VALUE"""),"PremiumSSR")</f>
        <v/>
      </c>
      <c r="J125" s="469">
        <f>IFERROR(__xludf.DUMMYFUNCTION("""COMPUTED_VALUE"""),"無")</f>
        <v/>
      </c>
      <c r="K125" s="469">
        <f>IFERROR(__xludf.DUMMYFUNCTION("""COMPUTED_VALUE"""),"chara")</f>
        <v/>
      </c>
      <c r="L125" s="469">
        <f>IFERROR(__xludf.DUMMYFUNCTION("""COMPUTED_VALUE"""),"スペシャル")</f>
        <v/>
      </c>
      <c r="M125" s="469">
        <f>IFERROR(__xludf.DUMMYFUNCTION("""COMPUTED_VALUE"""),"-")</f>
        <v/>
      </c>
      <c r="N125" s="469" t="n"/>
      <c r="O125" s="469">
        <f>IFERROR(__xludf.DUMMYFUNCTION("""COMPUTED_VALUE"""),"-")</f>
        <v/>
      </c>
      <c r="P125" s="471" t="n"/>
      <c r="Q125" s="470">
        <f>IFERROR(__xludf.DUMMYFUNCTION("""COMPUTED_VALUE"""),"-")</f>
        <v/>
      </c>
      <c r="R125" s="470">
        <f>IFERROR(__xludf.DUMMYFUNCTION("""COMPUTED_VALUE"""),"-")</f>
        <v/>
      </c>
      <c r="S125" s="470">
        <f>IFERROR(__xludf.DUMMYFUNCTION("""COMPUTED_VALUE"""),"3")</f>
        <v/>
      </c>
      <c r="T125" s="470">
        <f>IFERROR(__xludf.DUMMYFUNCTION("""COMPUTED_VALUE"""),"stop無 : 0.66")</f>
        <v/>
      </c>
      <c r="U125" s="469">
        <f>IFERROR(__xludf.DUMMYFUNCTION("""COMPUTED_VALUE"""),"ハーフアニバ想定")</f>
        <v/>
      </c>
      <c r="V125" s="472">
        <f>IFERROR(__xludf.DUMMYFUNCTION("""COMPUTED_VALUE"""),390812.49998842593)</f>
        <v/>
      </c>
      <c r="W125" s="469">
        <f>IFERROR(__xludf.DUMMYFUNCTION("""COMPUTED_VALUE"""),"catchcopy_character_chara_osh_00801.png")</f>
        <v/>
      </c>
      <c r="X125" s="469">
        <f>IFERROR(__xludf.DUMMYFUNCTION("""COMPUTED_VALUE"""),"enemy_icon_chara_osh_00801")</f>
        <v/>
      </c>
      <c r="Y125" s="469">
        <f>IFERROR(__xludf.DUMMYFUNCTION("""COMPUTED_VALUE"""),"boss_icon_chara_osh_00801")</f>
        <v/>
      </c>
      <c r="Z125" s="469" t="n"/>
      <c r="AA125" s="469" t="n"/>
    </row>
    <row r="126">
      <c r="A126" s="468">
        <f>IFERROR(__xludf.DUMMYFUNCTION("""COMPUTED_VALUE"""),"you")</f>
        <v/>
      </c>
      <c r="B126" s="469">
        <f>IFERROR(__xludf.DUMMYFUNCTION("""COMPUTED_VALUE"""),"幼稚園WARS")</f>
        <v/>
      </c>
      <c r="C126" s="470">
        <f>IFERROR(__xludf.DUMMYFUNCTION("""COMPUTED_VALUE"""),"00001")</f>
        <v/>
      </c>
      <c r="D126" s="469">
        <f>IFERROR(__xludf.DUMMYFUNCTION("""COMPUTED_VALUE"""),"chara_you_00001")</f>
        <v/>
      </c>
      <c r="E126" s="469">
        <f>IFERROR(__xludf.DUMMYFUNCTION("""COMPUTED_VALUE"""),"リタ")</f>
        <v/>
      </c>
      <c r="F126" s="469">
        <f>IFERROR(__xludf.DUMMYFUNCTION("""COMPUTED_VALUE"""),"元殺し屋の新人教諭 リタ")</f>
        <v/>
      </c>
      <c r="G126" s="469">
        <f>IFERROR(__xludf.DUMMYFUNCTION("""COMPUTED_VALUE"""),"お遊戯の時間です ")</f>
        <v/>
      </c>
      <c r="H126" s="469">
        <f>IFERROR(__xludf.DUMMYFUNCTION("""COMPUTED_VALUE"""),"UR")</f>
        <v/>
      </c>
      <c r="I126" s="469">
        <f>IFERROR(__xludf.DUMMYFUNCTION("""COMPUTED_VALUE"""),"PremiumUR")</f>
        <v/>
      </c>
      <c r="J126" s="469">
        <f>IFERROR(__xludf.DUMMYFUNCTION("""COMPUTED_VALUE"""),"赤")</f>
        <v/>
      </c>
      <c r="K126" s="469">
        <f>IFERROR(__xludf.DUMMYFUNCTION("""COMPUTED_VALUE"""),"chara")</f>
        <v/>
      </c>
      <c r="L126" s="469">
        <f>IFERROR(__xludf.DUMMYFUNCTION("""COMPUTED_VALUE"""),"アタック")</f>
        <v/>
      </c>
      <c r="M126" s="469">
        <f>IFERROR(__xludf.DUMMYFUNCTION("""COMPUTED_VALUE"""),"dageki_1")</f>
        <v/>
      </c>
      <c r="N126" s="469">
        <f>IFERROR(__xludf.DUMMYFUNCTION("""COMPUTED_VALUE"""),"Middle")</f>
        <v/>
      </c>
      <c r="O126" s="469">
        <f>IFERROR(__xludf.DUMMYFUNCTION("""COMPUTED_VALUE"""),"shageki_1")</f>
        <v/>
      </c>
      <c r="P126" s="471" t="n"/>
      <c r="Q126" s="470">
        <f>IFERROR(__xludf.DUMMYFUNCTION("""COMPUTED_VALUE"""),"1.34")</f>
        <v/>
      </c>
      <c r="R126" s="470">
        <f>IFERROR(__xludf.DUMMYFUNCTION("""COMPUTED_VALUE"""),"stop有:1回目 0.45")</f>
        <v/>
      </c>
      <c r="S126" s="470">
        <f>IFERROR(__xludf.DUMMYFUNCTION("""COMPUTED_VALUE"""),"1.77")</f>
        <v/>
      </c>
      <c r="T126" s="470">
        <f>IFERROR(__xludf.DUMMYFUNCTION("""COMPUTED_VALUE"""),"stop無:1回目 0.72
stop無:2回目 0.88
stop有:3回目 1.12")</f>
        <v/>
      </c>
      <c r="U126" s="472">
        <f>IFERROR(__xludf.DUMMYFUNCTION("""COMPUTED_VALUE"""),46055.625)</f>
        <v/>
      </c>
      <c r="V126" s="472">
        <f>IFERROR(__xludf.DUMMYFUNCTION("""COMPUTED_VALUE"""),390812.49998842593)</f>
        <v/>
      </c>
      <c r="W126" s="469">
        <f>IFERROR(__xludf.DUMMYFUNCTION("""COMPUTED_VALUE"""),"catchcopy_character_chara_you_00001.png")</f>
        <v/>
      </c>
      <c r="X126" s="469">
        <f>IFERROR(__xludf.DUMMYFUNCTION("""COMPUTED_VALUE"""),"enemy_icon_chara_you_00001")</f>
        <v/>
      </c>
      <c r="Y126" s="469">
        <f>IFERROR(__xludf.DUMMYFUNCTION("""COMPUTED_VALUE"""),"boss_icon_chara_you_00001")</f>
        <v/>
      </c>
      <c r="Z126" s="469" t="n"/>
      <c r="AA126" s="469" t="n"/>
    </row>
    <row r="127">
      <c r="A127" s="468">
        <f>IFERROR(__xludf.DUMMYFUNCTION("""COMPUTED_VALUE"""),"you")</f>
        <v/>
      </c>
      <c r="B127" s="469">
        <f>IFERROR(__xludf.DUMMYFUNCTION("""COMPUTED_VALUE"""),"幼稚園WARS")</f>
        <v/>
      </c>
      <c r="C127" s="470">
        <f>IFERROR(__xludf.DUMMYFUNCTION("""COMPUTED_VALUE"""),"00002")</f>
        <v/>
      </c>
      <c r="D127" s="469">
        <f>IFERROR(__xludf.DUMMYFUNCTION("""COMPUTED_VALUE"""),"chara_you_00002")</f>
        <v/>
      </c>
      <c r="E127" s="469">
        <f>IFERROR(__xludf.DUMMYFUNCTION("""COMPUTED_VALUE"""),"リタ（ドレスアップ）")</f>
        <v/>
      </c>
      <c r="F127" s="469">
        <f>IFERROR(__xludf.DUMMYFUNCTION("""COMPUTED_VALUE"""),"選定中")</f>
        <v/>
      </c>
      <c r="G127" s="469">
        <f>IFERROR(__xludf.DUMMYFUNCTION("""COMPUTED_VALUE"""),"選定中")</f>
        <v/>
      </c>
      <c r="H127" s="469">
        <f>IFERROR(__xludf.DUMMYFUNCTION("""COMPUTED_VALUE"""),"SR")</f>
        <v/>
      </c>
      <c r="I127" s="469">
        <f>IFERROR(__xludf.DUMMYFUNCTION("""COMPUTED_VALUE"""),"DropSR")</f>
        <v/>
      </c>
      <c r="J127" s="469">
        <f>IFERROR(__xludf.DUMMYFUNCTION("""COMPUTED_VALUE"""),"赤")</f>
        <v/>
      </c>
      <c r="K127" s="469">
        <f>IFERROR(__xludf.DUMMYFUNCTION("""COMPUTED_VALUE"""),"chara")</f>
        <v/>
      </c>
      <c r="L127" s="469">
        <f>IFERROR(__xludf.DUMMYFUNCTION("""COMPUTED_VALUE"""),"アタック")</f>
        <v/>
      </c>
      <c r="M127" s="469" t="n"/>
      <c r="N127" s="469" t="n"/>
      <c r="O127" s="469" t="n"/>
      <c r="P127" s="471" t="n"/>
      <c r="Q127" s="469" t="n"/>
      <c r="R127" s="469" t="n"/>
      <c r="S127" s="469" t="n"/>
      <c r="T127" s="469" t="n"/>
      <c r="U127" s="469" t="n"/>
      <c r="V127" s="469" t="n"/>
      <c r="W127" s="469" t="n"/>
      <c r="X127" s="469" t="n"/>
      <c r="Y127" s="469" t="n"/>
      <c r="Z127" s="469" t="n"/>
      <c r="AA127" s="469" t="n"/>
    </row>
    <row r="128">
      <c r="A128" s="468">
        <f>IFERROR(__xludf.DUMMYFUNCTION("""COMPUTED_VALUE"""),"you")</f>
        <v/>
      </c>
      <c r="B128" s="469">
        <f>IFERROR(__xludf.DUMMYFUNCTION("""COMPUTED_VALUE"""),"幼稚園WARS")</f>
        <v/>
      </c>
      <c r="C128" s="470">
        <f>IFERROR(__xludf.DUMMYFUNCTION("""COMPUTED_VALUE"""),"00101")</f>
        <v/>
      </c>
      <c r="D128" s="469">
        <f>IFERROR(__xludf.DUMMYFUNCTION("""COMPUTED_VALUE"""),"chara_you_00101")</f>
        <v/>
      </c>
      <c r="E128" s="469">
        <f>IFERROR(__xludf.DUMMYFUNCTION("""COMPUTED_VALUE"""),"ルーク")</f>
        <v/>
      </c>
      <c r="F128" s="469">
        <f>IFERROR(__xludf.DUMMYFUNCTION("""COMPUTED_VALUE"""),"ルーク")</f>
        <v/>
      </c>
      <c r="G128" s="469">
        <f>IFERROR(__xludf.DUMMYFUNCTION("""COMPUTED_VALUE"""),"さよならのお時間だ")</f>
        <v/>
      </c>
      <c r="H128" s="469">
        <f>IFERROR(__xludf.DUMMYFUNCTION("""COMPUTED_VALUE"""),"SSR")</f>
        <v/>
      </c>
      <c r="I128" s="469">
        <f>IFERROR(__xludf.DUMMYFUNCTION("""COMPUTED_VALUE"""),"PremiumSSR")</f>
        <v/>
      </c>
      <c r="J128" s="469">
        <f>IFERROR(__xludf.DUMMYFUNCTION("""COMPUTED_VALUE"""),"黄")</f>
        <v/>
      </c>
      <c r="K128" s="469">
        <f>IFERROR(__xludf.DUMMYFUNCTION("""COMPUTED_VALUE"""),"chara")</f>
        <v/>
      </c>
      <c r="L128" s="469">
        <f>IFERROR(__xludf.DUMMYFUNCTION("""COMPUTED_VALUE"""),"テクニカル")</f>
        <v/>
      </c>
      <c r="M128" s="469">
        <f>IFERROR(__xludf.DUMMYFUNCTION("""COMPUTED_VALUE"""),"dageki_1")</f>
        <v/>
      </c>
      <c r="N128" s="469">
        <f>IFERROR(__xludf.DUMMYFUNCTION("""COMPUTED_VALUE"""),"Short")</f>
        <v/>
      </c>
      <c r="O128" s="469">
        <f>IFERROR(__xludf.DUMMYFUNCTION("""COMPUTED_VALUE"""),"shageki_1")</f>
        <v/>
      </c>
      <c r="P128" s="471" t="n"/>
      <c r="Q128" s="470">
        <f>IFERROR(__xludf.DUMMYFUNCTION("""COMPUTED_VALUE"""),"1.64")</f>
        <v/>
      </c>
      <c r="R128" s="470">
        <f>IFERROR(__xludf.DUMMYFUNCTION("""COMPUTED_VALUE"""),"stop有:1回目 0.65")</f>
        <v/>
      </c>
      <c r="S128" s="470">
        <f>IFERROR(__xludf.DUMMYFUNCTION("""COMPUTED_VALUE"""),"3.57")</f>
        <v/>
      </c>
      <c r="T128" s="470">
        <f>IFERROR(__xludf.DUMMYFUNCTION("""COMPUTED_VALUE"""),"stop無:1回目 0.97
stop無:2回目 1.08
stop無:3回目 1.2
stop無:4回目 1.32
stop有:5回目 1.48")</f>
        <v/>
      </c>
      <c r="U128" s="472">
        <f>IFERROR(__xludf.DUMMYFUNCTION("""COMPUTED_VALUE"""),46055.625)</f>
        <v/>
      </c>
      <c r="V128" s="472">
        <f>IFERROR(__xludf.DUMMYFUNCTION("""COMPUTED_VALUE"""),390812.49998842593)</f>
        <v/>
      </c>
      <c r="W128" s="469">
        <f>IFERROR(__xludf.DUMMYFUNCTION("""COMPUTED_VALUE"""),"catchcopy_character_chara_you_00101.png")</f>
        <v/>
      </c>
      <c r="X128" s="469">
        <f>IFERROR(__xludf.DUMMYFUNCTION("""COMPUTED_VALUE"""),"enemy_icon_chara_you_00101")</f>
        <v/>
      </c>
      <c r="Y128" s="469">
        <f>IFERROR(__xludf.DUMMYFUNCTION("""COMPUTED_VALUE"""),"boss_icon_chara_you_00101")</f>
        <v/>
      </c>
      <c r="Z128" s="469" t="n"/>
      <c r="AA128" s="469" t="n"/>
    </row>
    <row r="129">
      <c r="A129" s="468">
        <f>IFERROR(__xludf.DUMMYFUNCTION("""COMPUTED_VALUE"""),"you")</f>
        <v/>
      </c>
      <c r="B129" s="469">
        <f>IFERROR(__xludf.DUMMYFUNCTION("""COMPUTED_VALUE"""),"幼稚園WARS")</f>
        <v/>
      </c>
      <c r="C129" s="470">
        <f>IFERROR(__xludf.DUMMYFUNCTION("""COMPUTED_VALUE"""),"00201")</f>
        <v/>
      </c>
      <c r="D129" s="469">
        <f>IFERROR(__xludf.DUMMYFUNCTION("""COMPUTED_VALUE"""),"chara_you_00201")</f>
        <v/>
      </c>
      <c r="E129" s="469">
        <f>IFERROR(__xludf.DUMMYFUNCTION("""COMPUTED_VALUE"""),"ダグ")</f>
        <v/>
      </c>
      <c r="F129" s="469">
        <f>IFERROR(__xludf.DUMMYFUNCTION("""COMPUTED_VALUE"""),"ダグ")</f>
        <v/>
      </c>
      <c r="G129" s="469">
        <f>IFERROR(__xludf.DUMMYFUNCTION("""COMPUTED_VALUE"""),"これで貸しはチャラだ ")</f>
        <v/>
      </c>
      <c r="H129" s="469">
        <f>IFERROR(__xludf.DUMMYFUNCTION("""COMPUTED_VALUE"""),"SR")</f>
        <v/>
      </c>
      <c r="I129" s="469">
        <f>IFERROR(__xludf.DUMMYFUNCTION("""COMPUTED_VALUE"""),"DropSR")</f>
        <v/>
      </c>
      <c r="J129" s="469">
        <f>IFERROR(__xludf.DUMMYFUNCTION("""COMPUTED_VALUE"""),"緑")</f>
        <v/>
      </c>
      <c r="K129" s="469">
        <f>IFERROR(__xludf.DUMMYFUNCTION("""COMPUTED_VALUE"""),"chara")</f>
        <v/>
      </c>
      <c r="L129" s="469">
        <f>IFERROR(__xludf.DUMMYFUNCTION("""COMPUTED_VALUE"""),"テクニカル")</f>
        <v/>
      </c>
      <c r="M129" s="469">
        <f>IFERROR(__xludf.DUMMYFUNCTION("""COMPUTED_VALUE"""),"shageki_1")</f>
        <v/>
      </c>
      <c r="N129" s="469">
        <f>IFERROR(__xludf.DUMMYFUNCTION("""COMPUTED_VALUE"""),"Middle")</f>
        <v/>
      </c>
      <c r="O129" s="469">
        <f>IFERROR(__xludf.DUMMYFUNCTION("""COMPUTED_VALUE"""),"shageki_1")</f>
        <v/>
      </c>
      <c r="P129" s="471" t="n"/>
      <c r="Q129" s="470">
        <f>IFERROR(__xludf.DUMMYFUNCTION("""COMPUTED_VALUE"""),"1.67")</f>
        <v/>
      </c>
      <c r="R129" s="470">
        <f>IFERROR(__xludf.DUMMYFUNCTION("""COMPUTED_VALUE"""),"stop有:1回目 0.63")</f>
        <v/>
      </c>
      <c r="S129" s="470">
        <f>IFERROR(__xludf.DUMMYFUNCTION("""COMPUTED_VALUE"""),"3.17")</f>
        <v/>
      </c>
      <c r="T129" s="470">
        <f>IFERROR(__xludf.DUMMYFUNCTION("""COMPUTED_VALUE"""),"stop無:1回目 1.00
stop無:2回目 1.26
stop無:3回目 1.50
stop有:4回目 1.70")</f>
        <v/>
      </c>
      <c r="U129" s="472">
        <f>IFERROR(__xludf.DUMMYFUNCTION("""COMPUTED_VALUE"""),46055.625)</f>
        <v/>
      </c>
      <c r="V129" s="472">
        <f>IFERROR(__xludf.DUMMYFUNCTION("""COMPUTED_VALUE"""),390812.49998842593)</f>
        <v/>
      </c>
      <c r="W129" s="469">
        <f>IFERROR(__xludf.DUMMYFUNCTION("""COMPUTED_VALUE"""),"catchcopy_character_chara_you_00201.png")</f>
        <v/>
      </c>
      <c r="X129" s="469">
        <f>IFERROR(__xludf.DUMMYFUNCTION("""COMPUTED_VALUE"""),"enemy_icon_chara_you_00201")</f>
        <v/>
      </c>
      <c r="Y129" s="469">
        <f>IFERROR(__xludf.DUMMYFUNCTION("""COMPUTED_VALUE"""),"boss_icon_chara_you_00201")</f>
        <v/>
      </c>
      <c r="Z129" s="469" t="n"/>
      <c r="AA129" s="469" t="n"/>
    </row>
    <row r="130">
      <c r="A130" s="468">
        <f>IFERROR(__xludf.DUMMYFUNCTION("""COMPUTED_VALUE"""),"you")</f>
        <v/>
      </c>
      <c r="B130" s="469">
        <f>IFERROR(__xludf.DUMMYFUNCTION("""COMPUTED_VALUE"""),"幼稚園WARS")</f>
        <v/>
      </c>
      <c r="C130" s="470">
        <f>IFERROR(__xludf.DUMMYFUNCTION("""COMPUTED_VALUE"""),"00301")</f>
        <v/>
      </c>
      <c r="D130" s="469">
        <f>IFERROR(__xludf.DUMMYFUNCTION("""COMPUTED_VALUE"""),"chara_you_00301")</f>
        <v/>
      </c>
      <c r="E130" s="469">
        <f>IFERROR(__xludf.DUMMYFUNCTION("""COMPUTED_VALUE"""),"ハナ")</f>
        <v/>
      </c>
      <c r="F130" s="469">
        <f>IFERROR(__xludf.DUMMYFUNCTION("""COMPUTED_VALUE"""),"ハナ")</f>
        <v/>
      </c>
      <c r="G130" s="469">
        <f>IFERROR(__xludf.DUMMYFUNCTION("""COMPUTED_VALUE"""),"大丈夫だ")</f>
        <v/>
      </c>
      <c r="H130" s="469">
        <f>IFERROR(__xludf.DUMMYFUNCTION("""COMPUTED_VALUE"""),"SR")</f>
        <v/>
      </c>
      <c r="I130" s="469">
        <f>IFERROR(__xludf.DUMMYFUNCTION("""COMPUTED_VALUE"""),"DropSR")</f>
        <v/>
      </c>
      <c r="J130" s="469">
        <f>IFERROR(__xludf.DUMMYFUNCTION("""COMPUTED_VALUE"""),"青")</f>
        <v/>
      </c>
      <c r="K130" s="469">
        <f>IFERROR(__xludf.DUMMYFUNCTION("""COMPUTED_VALUE"""),"chara")</f>
        <v/>
      </c>
      <c r="L130" s="469">
        <f>IFERROR(__xludf.DUMMYFUNCTION("""COMPUTED_VALUE"""),"アタック")</f>
        <v/>
      </c>
      <c r="M130" s="469">
        <f>IFERROR(__xludf.DUMMYFUNCTION("""COMPUTED_VALUE"""),"dageki_1")</f>
        <v/>
      </c>
      <c r="N130" s="469">
        <f>IFERROR(__xludf.DUMMYFUNCTION("""COMPUTED_VALUE"""),"Short")</f>
        <v/>
      </c>
      <c r="O130" s="469">
        <f>IFERROR(__xludf.DUMMYFUNCTION("""COMPUTED_VALUE"""),"shageki_1")</f>
        <v/>
      </c>
      <c r="P130" s="471" t="n"/>
      <c r="Q130" s="470">
        <f>IFERROR(__xludf.DUMMYFUNCTION("""COMPUTED_VALUE"""),"1.77")</f>
        <v/>
      </c>
      <c r="R130" s="470">
        <f>IFERROR(__xludf.DUMMYFUNCTION("""COMPUTED_VALUE"""),"stop有:1回目 0.7")</f>
        <v/>
      </c>
      <c r="S130" s="470">
        <f>IFERROR(__xludf.DUMMYFUNCTION("""COMPUTED_VALUE"""),"3.67")</f>
        <v/>
      </c>
      <c r="T130" s="470">
        <f>IFERROR(__xludf.DUMMYFUNCTION("""COMPUTED_VALUE"""),"stop有 :1回目 2.2")</f>
        <v/>
      </c>
      <c r="U130" s="472">
        <f>IFERROR(__xludf.DUMMYFUNCTION("""COMPUTED_VALUE"""),46055.625)</f>
        <v/>
      </c>
      <c r="V130" s="472">
        <f>IFERROR(__xludf.DUMMYFUNCTION("""COMPUTED_VALUE"""),390812.49998842593)</f>
        <v/>
      </c>
      <c r="W130" s="469">
        <f>IFERROR(__xludf.DUMMYFUNCTION("""COMPUTED_VALUE"""),"catchcopy_character_chara_you_00301.png")</f>
        <v/>
      </c>
      <c r="X130" s="469">
        <f>IFERROR(__xludf.DUMMYFUNCTION("""COMPUTED_VALUE"""),"enemy_icon_chara_you_00301")</f>
        <v/>
      </c>
      <c r="Y130" s="469">
        <f>IFERROR(__xludf.DUMMYFUNCTION("""COMPUTED_VALUE"""),"boss_icon_chara_you_00301")</f>
        <v/>
      </c>
      <c r="Z130" s="469" t="n"/>
      <c r="AA130" s="469" t="n"/>
    </row>
    <row r="131">
      <c r="A131" s="468">
        <f>IFERROR(__xludf.DUMMYFUNCTION("""COMPUTED_VALUE"""),"kim")</f>
        <v/>
      </c>
      <c r="B131" s="469">
        <f>IFERROR(__xludf.DUMMYFUNCTION("""COMPUTED_VALUE"""),"君のことが大大大大大好きな100人の彼女")</f>
        <v/>
      </c>
      <c r="C131" s="470">
        <f>IFERROR(__xludf.DUMMYFUNCTION("""COMPUTED_VALUE"""),"00001")</f>
        <v/>
      </c>
      <c r="D131" s="469">
        <f>IFERROR(__xludf.DUMMYFUNCTION("""COMPUTED_VALUE"""),"chara_kim_00001")</f>
        <v/>
      </c>
      <c r="E131" s="469">
        <f>IFERROR(__xludf.DUMMYFUNCTION("""COMPUTED_VALUE"""),"花園羽々里")</f>
        <v/>
      </c>
      <c r="F131" s="469">
        <f>IFERROR(__xludf.DUMMYFUNCTION("""COMPUTED_VALUE"""),"溢れる母性 花園 羽々里")</f>
        <v/>
      </c>
      <c r="G131" s="469">
        <f>IFERROR(__xludf.DUMMYFUNCTION("""COMPUTED_VALUE"""),"私と付き合ってちょうだい!!")</f>
        <v/>
      </c>
      <c r="H131" s="469">
        <f>IFERROR(__xludf.DUMMYFUNCTION("""COMPUTED_VALUE"""),"UR")</f>
        <v/>
      </c>
      <c r="I131" s="469">
        <f>IFERROR(__xludf.DUMMYFUNCTION("""COMPUTED_VALUE"""),"PremiumUR")</f>
        <v/>
      </c>
      <c r="J131" s="469">
        <f>IFERROR(__xludf.DUMMYFUNCTION("""COMPUTED_VALUE"""),"青")</f>
        <v/>
      </c>
      <c r="K131" s="469">
        <f>IFERROR(__xludf.DUMMYFUNCTION("""COMPUTED_VALUE"""),"chara")</f>
        <v/>
      </c>
      <c r="L131" s="469">
        <f>IFERROR(__xludf.DUMMYFUNCTION("""COMPUTED_VALUE"""),"ディフェンス")</f>
        <v/>
      </c>
      <c r="M131" s="469">
        <f>IFERROR(__xludf.DUMMYFUNCTION("""COMPUTED_VALUE"""),"dageki_1")</f>
        <v/>
      </c>
      <c r="N131" s="469" t="n"/>
      <c r="O131" s="469">
        <f>IFERROR(__xludf.DUMMYFUNCTION("""COMPUTED_VALUE"""),"dageki_1")</f>
        <v/>
      </c>
      <c r="P131" s="471" t="n"/>
      <c r="Q131" s="470">
        <f>IFERROR(__xludf.DUMMYFUNCTION("""COMPUTED_VALUE"""),"1.3")</f>
        <v/>
      </c>
      <c r="R131" s="470">
        <f>IFERROR(__xludf.DUMMYFUNCTION("""COMPUTED_VALUE"""),"stop有:1回目 0.67")</f>
        <v/>
      </c>
      <c r="S131" s="470">
        <f>IFERROR(__xludf.DUMMYFUNCTION("""COMPUTED_VALUE"""),"2.5")</f>
        <v/>
      </c>
      <c r="T131" s="470">
        <f>IFERROR(__xludf.DUMMYFUNCTION("""COMPUTED_VALUE"""),"stop無:1回目 0.63
stop無:2回目 0.8
stop無:3回目 0.99
stop無:4回目 1.2
stop有:5回目 1.60")</f>
        <v/>
      </c>
      <c r="U131" s="469">
        <f>IFERROR(__xludf.DUMMYFUNCTION("""COMPUTED_VALUE"""),"2026/02中旬")</f>
        <v/>
      </c>
      <c r="V131" s="472">
        <f>IFERROR(__xludf.DUMMYFUNCTION("""COMPUTED_VALUE"""),390812.49998842593)</f>
        <v/>
      </c>
      <c r="W131" s="469">
        <f>IFERROR(__xludf.DUMMYFUNCTION("""COMPUTED_VALUE"""),"catchcopy_character_chara_kim_00001.png")</f>
        <v/>
      </c>
      <c r="X131" s="469">
        <f>IFERROR(__xludf.DUMMYFUNCTION("""COMPUTED_VALUE"""),"enemy_icon_chara_kim_00001")</f>
        <v/>
      </c>
      <c r="Y131" s="469">
        <f>IFERROR(__xludf.DUMMYFUNCTION("""COMPUTED_VALUE"""),"boss_icon_chara_kim_00001")</f>
        <v/>
      </c>
      <c r="Z131" s="469" t="n"/>
      <c r="AA131" s="469" t="n"/>
    </row>
    <row r="132">
      <c r="A132" s="468">
        <f>IFERROR(__xludf.DUMMYFUNCTION("""COMPUTED_VALUE"""),"kim")</f>
        <v/>
      </c>
      <c r="B132" s="469">
        <f>IFERROR(__xludf.DUMMYFUNCTION("""COMPUTED_VALUE"""),"君のことが大大大大大好きな100人の彼女")</f>
        <v/>
      </c>
      <c r="C132" s="470">
        <f>IFERROR(__xludf.DUMMYFUNCTION("""COMPUTED_VALUE"""),"00101")</f>
        <v/>
      </c>
      <c r="D132" s="469">
        <f>IFERROR(__xludf.DUMMYFUNCTION("""COMPUTED_VALUE"""),"chara_kim_00101")</f>
        <v/>
      </c>
      <c r="E132" s="469">
        <f>IFERROR(__xludf.DUMMYFUNCTION("""COMPUTED_VALUE"""),"花園羽香里")</f>
        <v/>
      </c>
      <c r="F132" s="469">
        <f>IFERROR(__xludf.DUMMYFUNCTION("""COMPUTED_VALUE"""),"花園 羽香里")</f>
        <v/>
      </c>
      <c r="G132" s="469">
        <f>IFERROR(__xludf.DUMMYFUNCTION("""COMPUTED_VALUE"""),"付き合ってください……！")</f>
        <v/>
      </c>
      <c r="H132" s="469">
        <f>IFERROR(__xludf.DUMMYFUNCTION("""COMPUTED_VALUE"""),"SSR")</f>
        <v/>
      </c>
      <c r="I132" s="469">
        <f>IFERROR(__xludf.DUMMYFUNCTION("""COMPUTED_VALUE"""),"PremiumSSR")</f>
        <v/>
      </c>
      <c r="J132" s="469">
        <f>IFERROR(__xludf.DUMMYFUNCTION("""COMPUTED_VALUE"""),"緑")</f>
        <v/>
      </c>
      <c r="K132" s="469">
        <f>IFERROR(__xludf.DUMMYFUNCTION("""COMPUTED_VALUE"""),"chara")</f>
        <v/>
      </c>
      <c r="L132" s="469">
        <f>IFERROR(__xludf.DUMMYFUNCTION("""COMPUTED_VALUE"""),"アタック")</f>
        <v/>
      </c>
      <c r="M132" s="469">
        <f>IFERROR(__xludf.DUMMYFUNCTION("""COMPUTED_VALUE"""),"dageki_1")</f>
        <v/>
      </c>
      <c r="N132" s="469" t="n"/>
      <c r="O132" s="469">
        <f>IFERROR(__xludf.DUMMYFUNCTION("""COMPUTED_VALUE"""),"dageki_1")</f>
        <v/>
      </c>
      <c r="P132" s="471" t="n"/>
      <c r="Q132" s="470">
        <f>IFERROR(__xludf.DUMMYFUNCTION("""COMPUTED_VALUE"""),"1.23")</f>
        <v/>
      </c>
      <c r="R132" s="470">
        <f>IFERROR(__xludf.DUMMYFUNCTION("""COMPUTED_VALUE"""),"stop有:1回目 0.25")</f>
        <v/>
      </c>
      <c r="S132" s="470">
        <f>IFERROR(__xludf.DUMMYFUNCTION("""COMPUTED_VALUE"""),"3.5")</f>
        <v/>
      </c>
      <c r="T132" s="470">
        <f>IFERROR(__xludf.DUMMYFUNCTION("""COMPUTED_VALUE"""),"stop無:1回目 1.11
stop無:2回目 1.33
stop無:3回目 1.53
stop無:4回目 1.75
stop有:5回目 1.93")</f>
        <v/>
      </c>
      <c r="U132" s="469">
        <f>IFERROR(__xludf.DUMMYFUNCTION("""COMPUTED_VALUE"""),"2026/02中旬")</f>
        <v/>
      </c>
      <c r="V132" s="472">
        <f>IFERROR(__xludf.DUMMYFUNCTION("""COMPUTED_VALUE"""),390812.49998842593)</f>
        <v/>
      </c>
      <c r="W132" s="469">
        <f>IFERROR(__xludf.DUMMYFUNCTION("""COMPUTED_VALUE"""),"catchcopy_character_chara_kim_00101.png")</f>
        <v/>
      </c>
      <c r="X132" s="469">
        <f>IFERROR(__xludf.DUMMYFUNCTION("""COMPUTED_VALUE"""),"enemy_icon_chara_kim_00101")</f>
        <v/>
      </c>
      <c r="Y132" s="469">
        <f>IFERROR(__xludf.DUMMYFUNCTION("""COMPUTED_VALUE"""),"boss_icon_chara_kim_00101")</f>
        <v/>
      </c>
      <c r="Z132" s="469" t="n"/>
      <c r="AA132" s="469" t="n"/>
    </row>
    <row r="133">
      <c r="A133" s="468">
        <f>IFERROR(__xludf.DUMMYFUNCTION("""COMPUTED_VALUE"""),"kim")</f>
        <v/>
      </c>
      <c r="B133" s="469">
        <f>IFERROR(__xludf.DUMMYFUNCTION("""COMPUTED_VALUE"""),"君のことが大大大大大好きな100人の彼女")</f>
        <v/>
      </c>
      <c r="C133" s="470">
        <f>IFERROR(__xludf.DUMMYFUNCTION("""COMPUTED_VALUE"""),"00201")</f>
        <v/>
      </c>
      <c r="D133" s="469">
        <f>IFERROR(__xludf.DUMMYFUNCTION("""COMPUTED_VALUE"""),"chara_kim_00201")</f>
        <v/>
      </c>
      <c r="E133" s="469">
        <f>IFERROR(__xludf.DUMMYFUNCTION("""COMPUTED_VALUE"""),"院田唐音")</f>
        <v/>
      </c>
      <c r="F133" s="469">
        <f>IFERROR(__xludf.DUMMYFUNCTION("""COMPUTED_VALUE"""),"院田 唐音")</f>
        <v/>
      </c>
      <c r="G133" s="469">
        <f>IFERROR(__xludf.DUMMYFUNCTION("""COMPUTED_VALUE"""),"付き合ってください……！")</f>
        <v/>
      </c>
      <c r="H133" s="469">
        <f>IFERROR(__xludf.DUMMYFUNCTION("""COMPUTED_VALUE"""),"SSR")</f>
        <v/>
      </c>
      <c r="I133" s="469">
        <f>IFERROR(__xludf.DUMMYFUNCTION("""COMPUTED_VALUE"""),"PremiumSSR")</f>
        <v/>
      </c>
      <c r="J133" s="469">
        <f>IFERROR(__xludf.DUMMYFUNCTION("""COMPUTED_VALUE"""),"赤")</f>
        <v/>
      </c>
      <c r="K133" s="469">
        <f>IFERROR(__xludf.DUMMYFUNCTION("""COMPUTED_VALUE"""),"chara")</f>
        <v/>
      </c>
      <c r="L133" s="469">
        <f>IFERROR(__xludf.DUMMYFUNCTION("""COMPUTED_VALUE"""),"テクニカル")</f>
        <v/>
      </c>
      <c r="M133" s="469">
        <f>IFERROR(__xludf.DUMMYFUNCTION("""COMPUTED_VALUE"""),"dageki_1")</f>
        <v/>
      </c>
      <c r="N133" s="469">
        <f>IFERROR(__xludf.DUMMYFUNCTION("""COMPUTED_VALUE"""),"Short")</f>
        <v/>
      </c>
      <c r="O133" s="469">
        <f>IFERROR(__xludf.DUMMYFUNCTION("""COMPUTED_VALUE"""),"dageki_1")</f>
        <v/>
      </c>
      <c r="P133" s="471" t="n"/>
      <c r="Q133" s="470">
        <f>IFERROR(__xludf.DUMMYFUNCTION("""COMPUTED_VALUE"""),"1.37")</f>
        <v/>
      </c>
      <c r="R133" s="470">
        <f>IFERROR(__xludf.DUMMYFUNCTION("""COMPUTED_VALUE"""),"stop有:1回目 0.2")</f>
        <v/>
      </c>
      <c r="S133" s="470">
        <f>IFERROR(__xludf.DUMMYFUNCTION("""COMPUTED_VALUE"""),"2.4")</f>
        <v/>
      </c>
      <c r="T133" s="470">
        <f>IFERROR(__xludf.DUMMYFUNCTION("""COMPUTED_VALUE"""),"stop無 :1回目 1.2")</f>
        <v/>
      </c>
      <c r="U133" s="469">
        <f>IFERROR(__xludf.DUMMYFUNCTION("""COMPUTED_VALUE"""),"2026/02中旬")</f>
        <v/>
      </c>
      <c r="V133" s="472">
        <f>IFERROR(__xludf.DUMMYFUNCTION("""COMPUTED_VALUE"""),390812.49998842593)</f>
        <v/>
      </c>
      <c r="W133" s="469">
        <f>IFERROR(__xludf.DUMMYFUNCTION("""COMPUTED_VALUE"""),"catchcopy_character_chara_kim_00201.png")</f>
        <v/>
      </c>
      <c r="X133" s="469">
        <f>IFERROR(__xludf.DUMMYFUNCTION("""COMPUTED_VALUE"""),"enemy_icon_chara_kim_00201")</f>
        <v/>
      </c>
      <c r="Y133" s="469">
        <f>IFERROR(__xludf.DUMMYFUNCTION("""COMPUTED_VALUE"""),"boss_icon_chara_kim_00201")</f>
        <v/>
      </c>
      <c r="Z133" s="469" t="n"/>
      <c r="AA133" s="469" t="n"/>
    </row>
    <row r="134">
      <c r="A134" s="468">
        <f>IFERROR(__xludf.DUMMYFUNCTION("""COMPUTED_VALUE"""),"kim")</f>
        <v/>
      </c>
      <c r="B134" s="469">
        <f>IFERROR(__xludf.DUMMYFUNCTION("""COMPUTED_VALUE"""),"君のことが大大大大大好きな100人の彼女")</f>
        <v/>
      </c>
      <c r="C134" s="470">
        <f>IFERROR(__xludf.DUMMYFUNCTION("""COMPUTED_VALUE"""),"00301")</f>
        <v/>
      </c>
      <c r="D134" s="469">
        <f>IFERROR(__xludf.DUMMYFUNCTION("""COMPUTED_VALUE"""),"chara_kim_00301")</f>
        <v/>
      </c>
      <c r="E134" s="469">
        <f>IFERROR(__xludf.DUMMYFUNCTION("""COMPUTED_VALUE"""),"好本 静")</f>
        <v/>
      </c>
      <c r="F134" s="469">
        <f>IFERROR(__xludf.DUMMYFUNCTION("""COMPUTED_VALUE"""),"好本 静")</f>
        <v/>
      </c>
      <c r="G134" s="469">
        <f>IFERROR(__xludf.DUMMYFUNCTION("""COMPUTED_VALUE"""),"「好きです」")</f>
        <v/>
      </c>
      <c r="H134" s="469">
        <f>IFERROR(__xludf.DUMMYFUNCTION("""COMPUTED_VALUE"""),"SSR")</f>
        <v/>
      </c>
      <c r="I134" s="469">
        <f>IFERROR(__xludf.DUMMYFUNCTION("""COMPUTED_VALUE"""),"PremiumSSR")</f>
        <v/>
      </c>
      <c r="J134" s="469">
        <f>IFERROR(__xludf.DUMMYFUNCTION("""COMPUTED_VALUE"""),"黄")</f>
        <v/>
      </c>
      <c r="K134" s="469">
        <f>IFERROR(__xludf.DUMMYFUNCTION("""COMPUTED_VALUE"""),"chara")</f>
        <v/>
      </c>
      <c r="L134" s="469">
        <f>IFERROR(__xludf.DUMMYFUNCTION("""COMPUTED_VALUE"""),"サポート")</f>
        <v/>
      </c>
      <c r="M134" s="469">
        <f>IFERROR(__xludf.DUMMYFUNCTION("""COMPUTED_VALUE"""),"dageki_1")</f>
        <v/>
      </c>
      <c r="N134" s="469">
        <f>IFERROR(__xludf.DUMMYFUNCTION("""COMPUTED_VALUE"""),"Middle")</f>
        <v/>
      </c>
      <c r="O134" s="469">
        <f>IFERROR(__xludf.DUMMYFUNCTION("""COMPUTED_VALUE"""),"-")</f>
        <v/>
      </c>
      <c r="P134" s="471" t="n"/>
      <c r="Q134" s="470">
        <f>IFERROR(__xludf.DUMMYFUNCTION("""COMPUTED_VALUE"""),"1.75")</f>
        <v/>
      </c>
      <c r="R134" s="470">
        <f>IFERROR(__xludf.DUMMYFUNCTION("""COMPUTED_VALUE"""),"stop有:1回目 0.78")</f>
        <v/>
      </c>
      <c r="S134" s="470">
        <f>IFERROR(__xludf.DUMMYFUNCTION("""COMPUTED_VALUE"""),"3.6")</f>
        <v/>
      </c>
      <c r="T134" s="470">
        <f>IFERROR(__xludf.DUMMYFUNCTION("""COMPUTED_VALUE"""),"stop無 :1回目 1.2")</f>
        <v/>
      </c>
      <c r="U134" s="469">
        <f>IFERROR(__xludf.DUMMYFUNCTION("""COMPUTED_VALUE"""),"2026/02中旬")</f>
        <v/>
      </c>
      <c r="V134" s="472">
        <f>IFERROR(__xludf.DUMMYFUNCTION("""COMPUTED_VALUE"""),390812.49998842593)</f>
        <v/>
      </c>
      <c r="W134" s="469">
        <f>IFERROR(__xludf.DUMMYFUNCTION("""COMPUTED_VALUE"""),"catchcopy_character_chara_kim_00301.png")</f>
        <v/>
      </c>
      <c r="X134" s="469">
        <f>IFERROR(__xludf.DUMMYFUNCTION("""COMPUTED_VALUE"""),"enemy_icon_chara_kim_00301")</f>
        <v/>
      </c>
      <c r="Y134" s="469">
        <f>IFERROR(__xludf.DUMMYFUNCTION("""COMPUTED_VALUE"""),"boss_icon_chara_kim_00301")</f>
        <v/>
      </c>
      <c r="Z134" s="469" t="n"/>
      <c r="AA134" s="469" t="n"/>
    </row>
    <row r="135">
      <c r="A135" s="468">
        <f>IFERROR(__xludf.DUMMYFUNCTION("""COMPUTED_VALUE"""),"hut")</f>
        <v/>
      </c>
      <c r="B135" s="469">
        <f>IFERROR(__xludf.DUMMYFUNCTION("""COMPUTED_VALUE"""),"ふつうの軽音部")</f>
        <v/>
      </c>
      <c r="C135" s="470">
        <f>IFERROR(__xludf.DUMMYFUNCTION("""COMPUTED_VALUE"""),"00001")</f>
        <v/>
      </c>
      <c r="D135" s="469">
        <f>IFERROR(__xludf.DUMMYFUNCTION("""COMPUTED_VALUE"""),"chara_hut_00001")</f>
        <v/>
      </c>
      <c r="E135" s="469">
        <f>IFERROR(__xludf.DUMMYFUNCTION("""COMPUTED_VALUE"""),"鳩野 ちひろ")</f>
        <v/>
      </c>
      <c r="F135" s="469">
        <f>IFERROR(__xludf.DUMMYFUNCTION("""COMPUTED_VALUE"""),"ひたむきギタリスト 鳩野 ちひろ")</f>
        <v/>
      </c>
      <c r="G135" s="469">
        <f>IFERROR(__xludf.DUMMYFUNCTION("""COMPUTED_VALUE"""),"いつか私たちの演奏で")</f>
        <v/>
      </c>
      <c r="H135" s="469">
        <f>IFERROR(__xludf.DUMMYFUNCTION("""COMPUTED_VALUE"""),"UR")</f>
        <v/>
      </c>
      <c r="I135" s="469">
        <f>IFERROR(__xludf.DUMMYFUNCTION("""COMPUTED_VALUE"""),"PremiumUR")</f>
        <v/>
      </c>
      <c r="J135" s="469">
        <f>IFERROR(__xludf.DUMMYFUNCTION("""COMPUTED_VALUE"""),"緑")</f>
        <v/>
      </c>
      <c r="K135" s="469">
        <f>IFERROR(__xludf.DUMMYFUNCTION("""COMPUTED_VALUE"""),"chara")</f>
        <v/>
      </c>
      <c r="L135" s="469">
        <f>IFERROR(__xludf.DUMMYFUNCTION("""COMPUTED_VALUE"""),"ディフェンス")</f>
        <v/>
      </c>
      <c r="M135" s="469">
        <f>IFERROR(__xludf.DUMMYFUNCTION("""COMPUTED_VALUE"""),"dageki_1")</f>
        <v/>
      </c>
      <c r="N135" s="469">
        <f>IFERROR(__xludf.DUMMYFUNCTION("""COMPUTED_VALUE"""),"Short")</f>
        <v/>
      </c>
      <c r="O135" s="469">
        <f>IFERROR(__xludf.DUMMYFUNCTION("""COMPUTED_VALUE"""),"dageki_1")</f>
        <v/>
      </c>
      <c r="P135" s="471" t="n"/>
      <c r="Q135" s="470">
        <f>IFERROR(__xludf.DUMMYFUNCTION("""COMPUTED_VALUE"""),"1.47")</f>
        <v/>
      </c>
      <c r="R135" s="470">
        <f>IFERROR(__xludf.DUMMYFUNCTION("""COMPUTED_VALUE"""),"stop有 :1回目 0.15")</f>
        <v/>
      </c>
      <c r="S135" s="470">
        <f>IFERROR(__xludf.DUMMYFUNCTION("""COMPUTED_VALUE"""),"2.8")</f>
        <v/>
      </c>
      <c r="T135" s="470">
        <f>IFERROR(__xludf.DUMMYFUNCTION("""COMPUTED_VALUE"""),"stop有:1回目 0.87")</f>
        <v/>
      </c>
      <c r="U135" s="469">
        <f>IFERROR(__xludf.DUMMYFUNCTION("""COMPUTED_VALUE"""),"2026/03上旬")</f>
        <v/>
      </c>
      <c r="V135" s="472">
        <f>IFERROR(__xludf.DUMMYFUNCTION("""COMPUTED_VALUE"""),390812.49998842593)</f>
        <v/>
      </c>
      <c r="W135" s="469">
        <f>IFERROR(__xludf.DUMMYFUNCTION("""COMPUTED_VALUE"""),"catchcopy_character_chara_hut_00001.png")</f>
        <v/>
      </c>
      <c r="X135" s="469">
        <f>IFERROR(__xludf.DUMMYFUNCTION("""COMPUTED_VALUE"""),"enemy_icon_chara_hut_00001")</f>
        <v/>
      </c>
      <c r="Y135" s="469">
        <f>IFERROR(__xludf.DUMMYFUNCTION("""COMPUTED_VALUE"""),"boss_icon_chara_hut_00001")</f>
        <v/>
      </c>
      <c r="Z135" s="469" t="n"/>
      <c r="AA135" s="469" t="n"/>
    </row>
    <row r="136">
      <c r="A136" s="468">
        <f>IFERROR(__xludf.DUMMYFUNCTION("""COMPUTED_VALUE"""),"hut")</f>
        <v/>
      </c>
      <c r="B136" s="469">
        <f>IFERROR(__xludf.DUMMYFUNCTION("""COMPUTED_VALUE"""),"ふつうの軽音部")</f>
        <v/>
      </c>
      <c r="C136" s="470">
        <f>IFERROR(__xludf.DUMMYFUNCTION("""COMPUTED_VALUE"""),"00101")</f>
        <v/>
      </c>
      <c r="D136" s="469">
        <f>IFERROR(__xludf.DUMMYFUNCTION("""COMPUTED_VALUE"""),"chara_hut_00101")</f>
        <v/>
      </c>
      <c r="E136" s="469">
        <f>IFERROR(__xludf.DUMMYFUNCTION("""COMPUTED_VALUE"""),"幸山 厘")</f>
        <v/>
      </c>
      <c r="F136" s="469">
        <f>IFERROR(__xludf.DUMMYFUNCTION("""COMPUTED_VALUE"""),"幸山 厘")</f>
        <v/>
      </c>
      <c r="G136" s="469">
        <f>IFERROR(__xludf.DUMMYFUNCTION("""COMPUTED_VALUE"""),"はとちゃん あなたは神")</f>
        <v/>
      </c>
      <c r="H136" s="469">
        <f>IFERROR(__xludf.DUMMYFUNCTION("""COMPUTED_VALUE"""),"SSR")</f>
        <v/>
      </c>
      <c r="I136" s="469">
        <f>IFERROR(__xludf.DUMMYFUNCTION("""COMPUTED_VALUE"""),"PremiumSSR")</f>
        <v/>
      </c>
      <c r="J136" s="469">
        <f>IFERROR(__xludf.DUMMYFUNCTION("""COMPUTED_VALUE"""),"青")</f>
        <v/>
      </c>
      <c r="K136" s="469">
        <f>IFERROR(__xludf.DUMMYFUNCTION("""COMPUTED_VALUE"""),"chara")</f>
        <v/>
      </c>
      <c r="L136" s="469">
        <f>IFERROR(__xludf.DUMMYFUNCTION("""COMPUTED_VALUE"""),"サポート")</f>
        <v/>
      </c>
      <c r="M136" s="469">
        <f>IFERROR(__xludf.DUMMYFUNCTION("""COMPUTED_VALUE"""),"dageki_1")</f>
        <v/>
      </c>
      <c r="N136" s="469">
        <f>IFERROR(__xludf.DUMMYFUNCTION("""COMPUTED_VALUE"""),"Middle")</f>
        <v/>
      </c>
      <c r="O136" s="469">
        <f>IFERROR(__xludf.DUMMYFUNCTION("""COMPUTED_VALUE"""),"dageki_1")</f>
        <v/>
      </c>
      <c r="P136" s="471" t="n"/>
      <c r="Q136" s="470">
        <f>IFERROR(__xludf.DUMMYFUNCTION("""COMPUTED_VALUE"""),"1.58")</f>
        <v/>
      </c>
      <c r="R136" s="470">
        <f>IFERROR(__xludf.DUMMYFUNCTION("""COMPUTED_VALUE"""),"stop有 :1回目 0.75")</f>
        <v/>
      </c>
      <c r="S136" s="470">
        <f>IFERROR(__xludf.DUMMYFUNCTION("""COMPUTED_VALUE"""),"2.58")</f>
        <v/>
      </c>
      <c r="T136" s="470">
        <f>IFERROR(__xludf.DUMMYFUNCTION("""COMPUTED_VALUE"""),"stop有:1回目 0.33
stop無:2回目 0.78
stop無:3回目 1.0
stop無:4回目 1.27
stop無:5回目 1.58")</f>
        <v/>
      </c>
      <c r="U136" s="469">
        <f>IFERROR(__xludf.DUMMYFUNCTION("""COMPUTED_VALUE"""),"2026/03上旬")</f>
        <v/>
      </c>
      <c r="V136" s="472">
        <f>IFERROR(__xludf.DUMMYFUNCTION("""COMPUTED_VALUE"""),390812.49998842593)</f>
        <v/>
      </c>
      <c r="W136" s="469">
        <f>IFERROR(__xludf.DUMMYFUNCTION("""COMPUTED_VALUE"""),"catchcopy_character_chara_hut_00101.png")</f>
        <v/>
      </c>
      <c r="X136" s="469">
        <f>IFERROR(__xludf.DUMMYFUNCTION("""COMPUTED_VALUE"""),"enemy_icon_chara_hut_00101")</f>
        <v/>
      </c>
      <c r="Y136" s="469">
        <f>IFERROR(__xludf.DUMMYFUNCTION("""COMPUTED_VALUE"""),"boss_icon_chara_hut_00101")</f>
        <v/>
      </c>
      <c r="Z136" s="469" t="n"/>
      <c r="AA136" s="469" t="n"/>
    </row>
    <row r="137">
      <c r="A137" s="468">
        <f>IFERROR(__xludf.DUMMYFUNCTION("""COMPUTED_VALUE"""),"hut")</f>
        <v/>
      </c>
      <c r="B137" s="469">
        <f>IFERROR(__xludf.DUMMYFUNCTION("""COMPUTED_VALUE"""),"ふつうの軽音部")</f>
        <v/>
      </c>
      <c r="C137" s="470">
        <f>IFERROR(__xludf.DUMMYFUNCTION("""COMPUTED_VALUE"""),"00201")</f>
        <v/>
      </c>
      <c r="D137" s="469">
        <f>IFERROR(__xludf.DUMMYFUNCTION("""COMPUTED_VALUE"""),"chara_hut_00201")</f>
        <v/>
      </c>
      <c r="E137" s="469">
        <f>IFERROR(__xludf.DUMMYFUNCTION("""COMPUTED_VALUE"""),"内田 桃")</f>
        <v/>
      </c>
      <c r="F137" s="469">
        <f>IFERROR(__xludf.DUMMYFUNCTION("""COMPUTED_VALUE"""),"内田 桃")</f>
        <v/>
      </c>
      <c r="G137" s="469">
        <f>IFERROR(__xludf.DUMMYFUNCTION("""COMPUTED_VALUE"""),"どれだけ未熟でも")</f>
        <v/>
      </c>
      <c r="H137" s="469">
        <f>IFERROR(__xludf.DUMMYFUNCTION("""COMPUTED_VALUE"""),"SR")</f>
        <v/>
      </c>
      <c r="I137" s="469">
        <f>IFERROR(__xludf.DUMMYFUNCTION("""COMPUTED_VALUE"""),"DropSR")</f>
        <v/>
      </c>
      <c r="J137" s="469">
        <f>IFERROR(__xludf.DUMMYFUNCTION("""COMPUTED_VALUE"""),"黄")</f>
        <v/>
      </c>
      <c r="K137" s="469">
        <f>IFERROR(__xludf.DUMMYFUNCTION("""COMPUTED_VALUE"""),"chara")</f>
        <v/>
      </c>
      <c r="L137" s="469">
        <f>IFERROR(__xludf.DUMMYFUNCTION("""COMPUTED_VALUE"""),"テクニカル")</f>
        <v/>
      </c>
      <c r="M137" s="469">
        <f>IFERROR(__xludf.DUMMYFUNCTION("""COMPUTED_VALUE"""),"dageki_1")</f>
        <v/>
      </c>
      <c r="N137" s="469">
        <f>IFERROR(__xludf.DUMMYFUNCTION("""COMPUTED_VALUE"""),"Long")</f>
        <v/>
      </c>
      <c r="O137" s="469">
        <f>IFERROR(__xludf.DUMMYFUNCTION("""COMPUTED_VALUE"""),"dageki_1")</f>
        <v/>
      </c>
      <c r="P137" s="471" t="n"/>
      <c r="Q137" s="470">
        <f>IFERROR(__xludf.DUMMYFUNCTION("""COMPUTED_VALUE"""),"1.2")</f>
        <v/>
      </c>
      <c r="R137" s="470">
        <f>IFERROR(__xludf.DUMMYFUNCTION("""COMPUTED_VALUE"""),"stop有 :1回目 0.34")</f>
        <v/>
      </c>
      <c r="S137" s="470">
        <f>IFERROR(__xludf.DUMMYFUNCTION("""COMPUTED_VALUE"""),"2.84")</f>
        <v/>
      </c>
      <c r="T137" s="470">
        <f>IFERROR(__xludf.DUMMYFUNCTION("""COMPUTED_VALUE"""),"stop無:1回目 1.1
stop無:2回目 1.44
stop有:3回目 1.97")</f>
        <v/>
      </c>
      <c r="U137" s="469">
        <f>IFERROR(__xludf.DUMMYFUNCTION("""COMPUTED_VALUE"""),"2026/03上旬")</f>
        <v/>
      </c>
      <c r="V137" s="472">
        <f>IFERROR(__xludf.DUMMYFUNCTION("""COMPUTED_VALUE"""),390812.49998842593)</f>
        <v/>
      </c>
      <c r="W137" s="469">
        <f>IFERROR(__xludf.DUMMYFUNCTION("""COMPUTED_VALUE"""),"catchcopy_character_chara_hut_00201.png")</f>
        <v/>
      </c>
      <c r="X137" s="469">
        <f>IFERROR(__xludf.DUMMYFUNCTION("""COMPUTED_VALUE"""),"enemy_icon_chara_hut_00201")</f>
        <v/>
      </c>
      <c r="Y137" s="469">
        <f>IFERROR(__xludf.DUMMYFUNCTION("""COMPUTED_VALUE"""),"boss_icon_chara_hut_00201")</f>
        <v/>
      </c>
      <c r="Z137" s="469" t="n"/>
      <c r="AA137" s="469" t="n"/>
    </row>
    <row r="138">
      <c r="A138" s="468">
        <f>IFERROR(__xludf.DUMMYFUNCTION("""COMPUTED_VALUE"""),"hut")</f>
        <v/>
      </c>
      <c r="B138" s="469">
        <f>IFERROR(__xludf.DUMMYFUNCTION("""COMPUTED_VALUE"""),"ふつうの軽音部")</f>
        <v/>
      </c>
      <c r="C138" s="470">
        <f>IFERROR(__xludf.DUMMYFUNCTION("""COMPUTED_VALUE"""),"00301")</f>
        <v/>
      </c>
      <c r="D138" s="469">
        <f>IFERROR(__xludf.DUMMYFUNCTION("""COMPUTED_VALUE"""),"chara_hut_00301")</f>
        <v/>
      </c>
      <c r="E138" s="469">
        <f>IFERROR(__xludf.DUMMYFUNCTION("""COMPUTED_VALUE"""),"藤井 彩目")</f>
        <v/>
      </c>
      <c r="F138" s="469">
        <f>IFERROR(__xludf.DUMMYFUNCTION("""COMPUTED_VALUE"""),"藤井 彩目")</f>
        <v/>
      </c>
      <c r="G138" s="469">
        <f>IFERROR(__xludf.DUMMYFUNCTION("""COMPUTED_VALUE"""),"かましたらなあかんやろ！")</f>
        <v/>
      </c>
      <c r="H138" s="469">
        <f>IFERROR(__xludf.DUMMYFUNCTION("""COMPUTED_VALUE"""),"SR")</f>
        <v/>
      </c>
      <c r="I138" s="469">
        <f>IFERROR(__xludf.DUMMYFUNCTION("""COMPUTED_VALUE"""),"DropSR")</f>
        <v/>
      </c>
      <c r="J138" s="469">
        <f>IFERROR(__xludf.DUMMYFUNCTION("""COMPUTED_VALUE"""),"赤")</f>
        <v/>
      </c>
      <c r="K138" s="469">
        <f>IFERROR(__xludf.DUMMYFUNCTION("""COMPUTED_VALUE"""),"chara")</f>
        <v/>
      </c>
      <c r="L138" s="469">
        <f>IFERROR(__xludf.DUMMYFUNCTION("""COMPUTED_VALUE"""),"アタック")</f>
        <v/>
      </c>
      <c r="M138" s="469">
        <f>IFERROR(__xludf.DUMMYFUNCTION("""COMPUTED_VALUE"""),"dageki_1")</f>
        <v/>
      </c>
      <c r="N138" s="469">
        <f>IFERROR(__xludf.DUMMYFUNCTION("""COMPUTED_VALUE"""),"Middle")</f>
        <v/>
      </c>
      <c r="O138" s="469">
        <f>IFERROR(__xludf.DUMMYFUNCTION("""COMPUTED_VALUE"""),"dageki_1")</f>
        <v/>
      </c>
      <c r="P138" s="471" t="n"/>
      <c r="Q138" s="470">
        <f>IFERROR(__xludf.DUMMYFUNCTION("""COMPUTED_VALUE"""),"1.33")</f>
        <v/>
      </c>
      <c r="R138" s="470">
        <f>IFERROR(__xludf.DUMMYFUNCTION("""COMPUTED_VALUE"""),"stop有 :1回目 0.33")</f>
        <v/>
      </c>
      <c r="S138" s="470">
        <f>IFERROR(__xludf.DUMMYFUNCTION("""COMPUTED_VALUE"""),"2.42")</f>
        <v/>
      </c>
      <c r="T138" s="470">
        <f>IFERROR(__xludf.DUMMYFUNCTION("""COMPUTED_VALUE"""),"stop無:1回目 0.3
stop無:2回目 0.61
stop無:3回目 0.93
stop無:4回目 1.25
stop有:5回目 1.6")</f>
        <v/>
      </c>
      <c r="U138" s="469">
        <f>IFERROR(__xludf.DUMMYFUNCTION("""COMPUTED_VALUE"""),"2026/03上旬")</f>
        <v/>
      </c>
      <c r="V138" s="472">
        <f>IFERROR(__xludf.DUMMYFUNCTION("""COMPUTED_VALUE"""),390812.49998842593)</f>
        <v/>
      </c>
      <c r="W138" s="469">
        <f>IFERROR(__xludf.DUMMYFUNCTION("""COMPUTED_VALUE"""),"catchcopy_character_chara_hut_00301.png")</f>
        <v/>
      </c>
      <c r="X138" s="469">
        <f>IFERROR(__xludf.DUMMYFUNCTION("""COMPUTED_VALUE"""),"enemy_icon_chara_hut_00301")</f>
        <v/>
      </c>
      <c r="Y138" s="469">
        <f>IFERROR(__xludf.DUMMYFUNCTION("""COMPUTED_VALUE"""),"boss_icon_chara_hut_00301")</f>
        <v/>
      </c>
      <c r="Z138" s="469" t="n"/>
      <c r="AA138" s="469" t="n"/>
    </row>
    <row r="139">
      <c r="A139" s="468">
        <f>IFERROR(__xludf.DUMMYFUNCTION("""COMPUTED_VALUE"""),"rur")</f>
        <v/>
      </c>
      <c r="B139" s="469">
        <f>IFERROR(__xludf.DUMMYFUNCTION("""COMPUTED_VALUE"""),"ルリドラゴン")</f>
        <v/>
      </c>
      <c r="C139" s="470">
        <f>IFERROR(__xludf.DUMMYFUNCTION("""COMPUTED_VALUE"""),"00001")</f>
        <v/>
      </c>
      <c r="D139" s="469">
        <f>IFERROR(__xludf.DUMMYFUNCTION("""COMPUTED_VALUE"""),"chara_rur_00001")</f>
        <v/>
      </c>
      <c r="E139" s="469">
        <f>IFERROR(__xludf.DUMMYFUNCTION("""COMPUTED_VALUE"""),"青木 瑠璃")</f>
        <v/>
      </c>
      <c r="F139" s="469">
        <f>IFERROR(__xludf.DUMMYFUNCTION("""COMPUTED_VALUE"""),"監修NG")</f>
        <v/>
      </c>
      <c r="G139" s="469" t="n"/>
      <c r="H139" s="469">
        <f>IFERROR(__xludf.DUMMYFUNCTION("""COMPUTED_VALUE"""),"UR")</f>
        <v/>
      </c>
      <c r="I139" s="469">
        <f>IFERROR(__xludf.DUMMYFUNCTION("""COMPUTED_VALUE"""),"PremiumUR")</f>
        <v/>
      </c>
      <c r="J139" s="469">
        <f>IFERROR(__xludf.DUMMYFUNCTION("""COMPUTED_VALUE"""),"青")</f>
        <v/>
      </c>
      <c r="K139" s="469">
        <f>IFERROR(__xludf.DUMMYFUNCTION("""COMPUTED_VALUE"""),"chara")</f>
        <v/>
      </c>
      <c r="L139" s="469">
        <f>IFERROR(__xludf.DUMMYFUNCTION("""COMPUTED_VALUE"""),"テクニカル")</f>
        <v/>
      </c>
      <c r="M139" s="469" t="n"/>
      <c r="N139" s="469" t="n"/>
      <c r="O139" s="469" t="n"/>
      <c r="P139" s="471" t="n"/>
      <c r="Q139" s="469" t="n"/>
      <c r="R139" s="469" t="n"/>
      <c r="S139" s="469" t="n"/>
      <c r="T139" s="469" t="n"/>
      <c r="U139" s="469">
        <f>IFERROR(__xludf.DUMMYFUNCTION("""COMPUTED_VALUE"""),"ハーフアニバ想定")</f>
        <v/>
      </c>
      <c r="V139" s="472">
        <f>IFERROR(__xludf.DUMMYFUNCTION("""COMPUTED_VALUE"""),390812.49998842593)</f>
        <v/>
      </c>
      <c r="W139" s="469">
        <f>IFERROR(__xludf.DUMMYFUNCTION("""COMPUTED_VALUE"""),"catchcopy_character_chara_rur_00001.png")</f>
        <v/>
      </c>
      <c r="X139" s="469">
        <f>IFERROR(__xludf.DUMMYFUNCTION("""COMPUTED_VALUE"""),"enemy_icon_chara_rur_00001")</f>
        <v/>
      </c>
      <c r="Y139" s="469">
        <f>IFERROR(__xludf.DUMMYFUNCTION("""COMPUTED_VALUE"""),"boss_icon_chara_rur_00001")</f>
        <v/>
      </c>
      <c r="Z139" s="469" t="n"/>
      <c r="AA139" s="469" t="n"/>
    </row>
    <row r="140">
      <c r="A140" s="468">
        <f>IFERROR(__xludf.DUMMYFUNCTION("""COMPUTED_VALUE"""),"hyp")</f>
        <v/>
      </c>
      <c r="B140" s="469">
        <f>IFERROR(__xludf.DUMMYFUNCTION("""COMPUTED_VALUE"""),"ハイパーインフレーション")</f>
        <v/>
      </c>
      <c r="C140" s="470">
        <f>IFERROR(__xludf.DUMMYFUNCTION("""COMPUTED_VALUE"""),"00001")</f>
        <v/>
      </c>
      <c r="D140" s="469">
        <f>IFERROR(__xludf.DUMMYFUNCTION("""COMPUTED_VALUE"""),"chara_hyp_00001")</f>
        <v/>
      </c>
      <c r="E140" s="469">
        <f>IFERROR(__xludf.DUMMYFUNCTION("""COMPUTED_VALUE"""),"ルーク")</f>
        <v/>
      </c>
      <c r="F140" s="469">
        <f>IFERROR(__xludf.DUMMYFUNCTION("""COMPUTED_VALUE"""),"ルーク")</f>
        <v/>
      </c>
      <c r="G140" s="469">
        <f>IFERROR(__xludf.DUMMYFUNCTION("""COMPUTED_VALUE"""),"カネが欲しいッ!!")</f>
        <v/>
      </c>
      <c r="H140" s="469">
        <f>IFERROR(__xludf.DUMMYFUNCTION("""COMPUTED_VALUE"""),"SSR")</f>
        <v/>
      </c>
      <c r="I140" s="469">
        <f>IFERROR(__xludf.DUMMYFUNCTION("""COMPUTED_VALUE"""),"DropSSR")</f>
        <v/>
      </c>
      <c r="J140" s="469">
        <f>IFERROR(__xludf.DUMMYFUNCTION("""COMPUTED_VALUE"""),"緑")</f>
        <v/>
      </c>
      <c r="K140" s="469">
        <f>IFERROR(__xludf.DUMMYFUNCTION("""COMPUTED_VALUE"""),"chara")</f>
        <v/>
      </c>
      <c r="L140" s="469">
        <f>IFERROR(__xludf.DUMMYFUNCTION("""COMPUTED_VALUE"""),"サポート")</f>
        <v/>
      </c>
      <c r="M140" s="469">
        <f>IFERROR(__xludf.DUMMYFUNCTION("""COMPUTED_VALUE"""),"dageki_1")</f>
        <v/>
      </c>
      <c r="N140" s="469">
        <f>IFERROR(__xludf.DUMMYFUNCTION("""COMPUTED_VALUE"""),"Short")</f>
        <v/>
      </c>
      <c r="O140" s="469">
        <f>IFERROR(__xludf.DUMMYFUNCTION("""COMPUTED_VALUE"""),"-")</f>
        <v/>
      </c>
      <c r="P140" s="471" t="n"/>
      <c r="Q140" s="470">
        <f>IFERROR(__xludf.DUMMYFUNCTION("""COMPUTED_VALUE"""),"1.57")</f>
        <v/>
      </c>
      <c r="R140" s="470">
        <f>IFERROR(__xludf.DUMMYFUNCTION("""COMPUTED_VALUE"""),"stop有 :1回目 0.45")</f>
        <v/>
      </c>
      <c r="S140" s="470">
        <f>IFERROR(__xludf.DUMMYFUNCTION("""COMPUTED_VALUE"""),"2.45")</f>
        <v/>
      </c>
      <c r="T140" s="470">
        <f>IFERROR(__xludf.DUMMYFUNCTION("""COMPUTED_VALUE"""),"stop無:1回目 0.85")</f>
        <v/>
      </c>
      <c r="U140" s="469">
        <f>IFERROR(__xludf.DUMMYFUNCTION("""COMPUTED_VALUE"""),"ハーフアニバ想定")</f>
        <v/>
      </c>
      <c r="V140" s="472">
        <f>IFERROR(__xludf.DUMMYFUNCTION("""COMPUTED_VALUE"""),390812.49998842593)</f>
        <v/>
      </c>
      <c r="W140" s="469">
        <f>IFERROR(__xludf.DUMMYFUNCTION("""COMPUTED_VALUE"""),"catchcopy_character_chara_hyp_00001.png")</f>
        <v/>
      </c>
      <c r="X140" s="469">
        <f>IFERROR(__xludf.DUMMYFUNCTION("""COMPUTED_VALUE"""),"enemy_icon_chara_hyp_00001")</f>
        <v/>
      </c>
      <c r="Y140" s="469">
        <f>IFERROR(__xludf.DUMMYFUNCTION("""COMPUTED_VALUE"""),"boss_icon_chara_hyp_00001")</f>
        <v/>
      </c>
      <c r="Z140" s="469" t="n"/>
      <c r="AA140" s="469" t="n"/>
    </row>
    <row r="141">
      <c r="A141" s="468">
        <f>IFERROR(__xludf.DUMMYFUNCTION("""COMPUTED_VALUE"""),"gam")</f>
        <v/>
      </c>
      <c r="B141" s="469">
        <f>IFERROR(__xludf.DUMMYFUNCTION("""COMPUTED_VALUE"""),"ゲーミングお嬢様")</f>
        <v/>
      </c>
      <c r="C141" s="470">
        <f>IFERROR(__xludf.DUMMYFUNCTION("""COMPUTED_VALUE"""),"00001")</f>
        <v/>
      </c>
      <c r="D141" s="469">
        <f>IFERROR(__xludf.DUMMYFUNCTION("""COMPUTED_VALUE"""),"chara_gam_00001")</f>
        <v/>
      </c>
      <c r="E141" s="469">
        <f>IFERROR(__xludf.DUMMYFUNCTION("""COMPUTED_VALUE"""),"祥龍院隆子")</f>
        <v/>
      </c>
      <c r="F141" s="469">
        <f>IFERROR(__xludf.DUMMYFUNCTION("""COMPUTED_VALUE"""),"祥龍院 隆子")</f>
        <v/>
      </c>
      <c r="G141" s="469">
        <f>IFERROR(__xludf.DUMMYFUNCTION("""COMPUTED_VALUE"""),"お嬢様は“完璧”であるべき")</f>
        <v/>
      </c>
      <c r="H141" s="469">
        <f>IFERROR(__xludf.DUMMYFUNCTION("""COMPUTED_VALUE"""),"SSR")</f>
        <v/>
      </c>
      <c r="I141" s="469">
        <f>IFERROR(__xludf.DUMMYFUNCTION("""COMPUTED_VALUE"""),"PremiumSSR")</f>
        <v/>
      </c>
      <c r="J141" s="469">
        <f>IFERROR(__xludf.DUMMYFUNCTION("""COMPUTED_VALUE"""),"黄")</f>
        <v/>
      </c>
      <c r="K141" s="469">
        <f>IFERROR(__xludf.DUMMYFUNCTION("""COMPUTED_VALUE"""),"chara")</f>
        <v/>
      </c>
      <c r="L141" s="469">
        <f>IFERROR(__xludf.DUMMYFUNCTION("""COMPUTED_VALUE"""),"アタック")</f>
        <v/>
      </c>
      <c r="M141" s="469">
        <f>IFERROR(__xludf.DUMMYFUNCTION("""COMPUTED_VALUE"""),"dageki_1")</f>
        <v/>
      </c>
      <c r="N141" s="469">
        <f>IFERROR(__xludf.DUMMYFUNCTION("""COMPUTED_VALUE"""),"Short")</f>
        <v/>
      </c>
      <c r="O141" s="469">
        <f>IFERROR(__xludf.DUMMYFUNCTION("""COMPUTED_VALUE"""),"-")</f>
        <v/>
      </c>
      <c r="P141" s="471" t="n"/>
      <c r="Q141" s="470">
        <f>IFERROR(__xludf.DUMMYFUNCTION("""COMPUTED_VALUE"""),"1.08")</f>
        <v/>
      </c>
      <c r="R141" s="470">
        <f>IFERROR(__xludf.DUMMYFUNCTION("""COMPUTED_VALUE"""),"stop有 : 0.55")</f>
        <v/>
      </c>
      <c r="S141" s="470">
        <f>IFERROR(__xludf.DUMMYFUNCTION("""COMPUTED_VALUE"""),"3.45")</f>
        <v/>
      </c>
      <c r="T141" s="470">
        <f>IFERROR(__xludf.DUMMYFUNCTION("""COMPUTED_VALUE"""),"stop有 : 0.73")</f>
        <v/>
      </c>
      <c r="U141" s="469">
        <f>IFERROR(__xludf.DUMMYFUNCTION("""COMPUTED_VALUE"""),"ハーフアニバ想定")</f>
        <v/>
      </c>
      <c r="V141" s="472">
        <f>IFERROR(__xludf.DUMMYFUNCTION("""COMPUTED_VALUE"""),390812.49998842593)</f>
        <v/>
      </c>
      <c r="W141" s="469">
        <f>IFERROR(__xludf.DUMMYFUNCTION("""COMPUTED_VALUE"""),"catchcopy_character_chara_gam_00001.png")</f>
        <v/>
      </c>
      <c r="X141" s="469">
        <f>IFERROR(__xludf.DUMMYFUNCTION("""COMPUTED_VALUE"""),"enemy_icon_chara_gam_00001")</f>
        <v/>
      </c>
      <c r="Y141" s="469">
        <f>IFERROR(__xludf.DUMMYFUNCTION("""COMPUTED_VALUE"""),"boss_icon_chara_gam_00001")</f>
        <v/>
      </c>
      <c r="Z141" s="469" t="n"/>
      <c r="AA141" s="469" t="n"/>
    </row>
    <row r="142">
      <c r="A142" s="468">
        <f>IFERROR(__xludf.DUMMYFUNCTION("""COMPUTED_VALUE"""),"ara")</f>
        <v/>
      </c>
      <c r="B142" s="469">
        <f>IFERROR(__xludf.DUMMYFUNCTION("""COMPUTED_VALUE"""),"アラガネの子")</f>
        <v/>
      </c>
      <c r="C142" s="470">
        <f>IFERROR(__xludf.DUMMYFUNCTION("""COMPUTED_VALUE"""),"00001")</f>
        <v/>
      </c>
      <c r="D142" s="469">
        <f>IFERROR(__xludf.DUMMYFUNCTION("""COMPUTED_VALUE"""),"chara_ara_00001")</f>
        <v/>
      </c>
      <c r="E142" s="469">
        <f>IFERROR(__xludf.DUMMYFUNCTION("""COMPUTED_VALUE"""),"灰（アラガネの子）")</f>
        <v/>
      </c>
      <c r="F142" s="469">
        <f>IFERROR(__xludf.DUMMYFUNCTION("""COMPUTED_VALUE"""),"灰")</f>
        <v/>
      </c>
      <c r="G142" s="469">
        <f>IFERROR(__xludf.DUMMYFUNCTION("""COMPUTED_VALUE"""),"金剛石 煌反閃転")</f>
        <v/>
      </c>
      <c r="H142" s="469">
        <f>IFERROR(__xludf.DUMMYFUNCTION("""COMPUTED_VALUE"""),"SR")</f>
        <v/>
      </c>
      <c r="I142" s="469">
        <f>IFERROR(__xludf.DUMMYFUNCTION("""COMPUTED_VALUE"""),"DropSR")</f>
        <v/>
      </c>
      <c r="J142" s="469">
        <f>IFERROR(__xludf.DUMMYFUNCTION("""COMPUTED_VALUE"""),"緑")</f>
        <v/>
      </c>
      <c r="K142" s="469">
        <f>IFERROR(__xludf.DUMMYFUNCTION("""COMPUTED_VALUE"""),"chara")</f>
        <v/>
      </c>
      <c r="L142" s="469">
        <f>IFERROR(__xludf.DUMMYFUNCTION("""COMPUTED_VALUE"""),"アタック")</f>
        <v/>
      </c>
      <c r="M142" s="469">
        <f>IFERROR(__xludf.DUMMYFUNCTION("""COMPUTED_VALUE"""),"zangeki_1")</f>
        <v/>
      </c>
      <c r="N142" s="469">
        <f>IFERROR(__xludf.DUMMYFUNCTION("""COMPUTED_VALUE"""),"Middle")</f>
        <v/>
      </c>
      <c r="O142" s="469">
        <f>IFERROR(__xludf.DUMMYFUNCTION("""COMPUTED_VALUE"""),"-")</f>
        <v/>
      </c>
      <c r="P142" s="471" t="n"/>
      <c r="Q142" s="470">
        <f>IFERROR(__xludf.DUMMYFUNCTION("""COMPUTED_VALUE"""),"1.37")</f>
        <v/>
      </c>
      <c r="R142" s="470">
        <f>IFERROR(__xludf.DUMMYFUNCTION("""COMPUTED_VALUE"""),"stop有 :1回目 0.3")</f>
        <v/>
      </c>
      <c r="S142" s="470">
        <f>IFERROR(__xludf.DUMMYFUNCTION("""COMPUTED_VALUE"""),"2.67")</f>
        <v/>
      </c>
      <c r="T142" s="470">
        <f>IFERROR(__xludf.DUMMYFUNCTION("""COMPUTED_VALUE"""),"stop有 : 0.7")</f>
        <v/>
      </c>
      <c r="U142" s="469">
        <f>IFERROR(__xludf.DUMMYFUNCTION("""COMPUTED_VALUE"""),"ハーフアニバ想定")</f>
        <v/>
      </c>
      <c r="V142" s="472">
        <f>IFERROR(__xludf.DUMMYFUNCTION("""COMPUTED_VALUE"""),390812.49998842593)</f>
        <v/>
      </c>
      <c r="W142" s="469">
        <f>IFERROR(__xludf.DUMMYFUNCTION("""COMPUTED_VALUE"""),"catchcopy_character_chara_ara_00001.png")</f>
        <v/>
      </c>
      <c r="X142" s="469">
        <f>IFERROR(__xludf.DUMMYFUNCTION("""COMPUTED_VALUE"""),"enemy_icon_chara_ara_00001")</f>
        <v/>
      </c>
      <c r="Y142" s="469">
        <f>IFERROR(__xludf.DUMMYFUNCTION("""COMPUTED_VALUE"""),"boss_icon_chara_ara_00001")</f>
        <v/>
      </c>
      <c r="Z142" s="469" t="n"/>
      <c r="AA142" s="469" t="n"/>
    </row>
    <row r="143">
      <c r="A143" s="468">
        <f>IFERROR(__xludf.DUMMYFUNCTION("""COMPUTED_VALUE"""),"aya")</f>
        <v/>
      </c>
      <c r="B143" s="469">
        <f>IFERROR(__xludf.DUMMYFUNCTION("""COMPUTED_VALUE"""),"あやかしトライアングル")</f>
        <v/>
      </c>
      <c r="C143" s="470">
        <f>IFERROR(__xludf.DUMMYFUNCTION("""COMPUTED_VALUE"""),"00001")</f>
        <v/>
      </c>
      <c r="D143" s="469">
        <f>IFERROR(__xludf.DUMMYFUNCTION("""COMPUTED_VALUE"""),"chara_aya_00001")</f>
        <v/>
      </c>
      <c r="E143" s="469">
        <f>IFERROR(__xludf.DUMMYFUNCTION("""COMPUTED_VALUE"""),"風巻 祭里")</f>
        <v/>
      </c>
      <c r="F143" s="469">
        <f>IFERROR(__xludf.DUMMYFUNCTION("""COMPUTED_VALUE"""),"一子相伝の風使い 風巻 祭里")</f>
        <v/>
      </c>
      <c r="G143" s="469">
        <f>IFERROR(__xludf.DUMMYFUNCTION("""COMPUTED_VALUE"""),"風巻流・祓忍法 螺旋突")</f>
        <v/>
      </c>
      <c r="H143" s="469">
        <f>IFERROR(__xludf.DUMMYFUNCTION("""COMPUTED_VALUE"""),"UR")</f>
        <v/>
      </c>
      <c r="I143" s="469">
        <f>IFERROR(__xludf.DUMMYFUNCTION("""COMPUTED_VALUE"""),"PremiumUR")</f>
        <v/>
      </c>
      <c r="J143" s="469">
        <f>IFERROR(__xludf.DUMMYFUNCTION("""COMPUTED_VALUE"""),"赤")</f>
        <v/>
      </c>
      <c r="K143" s="469">
        <f>IFERROR(__xludf.DUMMYFUNCTION("""COMPUTED_VALUE"""),"chara")</f>
        <v/>
      </c>
      <c r="L143" s="469">
        <f>IFERROR(__xludf.DUMMYFUNCTION("""COMPUTED_VALUE"""),"テクニカル")</f>
        <v/>
      </c>
      <c r="M143" s="469">
        <f>IFERROR(__xludf.DUMMYFUNCTION("""COMPUTED_VALUE"""),"zangeki_1")</f>
        <v/>
      </c>
      <c r="N143" s="469" t="n"/>
      <c r="O143" s="469">
        <f>IFERROR(__xludf.DUMMYFUNCTION("""COMPUTED_VALUE"""),"zangeki_1")</f>
        <v/>
      </c>
      <c r="P143" s="471" t="n"/>
      <c r="Q143" s="470">
        <f>IFERROR(__xludf.DUMMYFUNCTION("""COMPUTED_VALUE"""),"1.37")</f>
        <v/>
      </c>
      <c r="R143" s="470">
        <f>IFERROR(__xludf.DUMMYFUNCTION("""COMPUTED_VALUE"""),"stop有 :1回目 0.55")</f>
        <v/>
      </c>
      <c r="S143" s="470">
        <f>IFERROR(__xludf.DUMMYFUNCTION("""COMPUTED_VALUE"""),"2.75")</f>
        <v/>
      </c>
      <c r="T143" s="470">
        <f>IFERROR(__xludf.DUMMYFUNCTION("""COMPUTED_VALUE"""),"stop有:1回目 0.38
stop無:2回目 1.5")</f>
        <v/>
      </c>
      <c r="U143" s="469">
        <f>IFERROR(__xludf.DUMMYFUNCTION("""COMPUTED_VALUE"""),"2026/04/中旬")</f>
        <v/>
      </c>
      <c r="V143" s="472">
        <f>IFERROR(__xludf.DUMMYFUNCTION("""COMPUTED_VALUE"""),390812.49998842593)</f>
        <v/>
      </c>
      <c r="W143" s="469">
        <f>IFERROR(__xludf.DUMMYFUNCTION("""COMPUTED_VALUE"""),"catchcopy_character_chara_aya_00001.png")</f>
        <v/>
      </c>
      <c r="X143" s="469">
        <f>IFERROR(__xludf.DUMMYFUNCTION("""COMPUTED_VALUE"""),"enemy_icon_chara_aya_00001")</f>
        <v/>
      </c>
      <c r="Y143" s="469">
        <f>IFERROR(__xludf.DUMMYFUNCTION("""COMPUTED_VALUE"""),"boss_icon_chara_aya_00001")</f>
        <v/>
      </c>
      <c r="Z143" s="469" t="n"/>
      <c r="AA143" s="469" t="n"/>
    </row>
    <row r="144">
      <c r="A144" s="468">
        <f>IFERROR(__xludf.DUMMYFUNCTION("""COMPUTED_VALUE"""),"aya")</f>
        <v/>
      </c>
      <c r="B144" s="469">
        <f>IFERROR(__xludf.DUMMYFUNCTION("""COMPUTED_VALUE"""),"あやかしトライアングル")</f>
        <v/>
      </c>
      <c r="C144" s="470">
        <f>IFERROR(__xludf.DUMMYFUNCTION("""COMPUTED_VALUE"""),"00101")</f>
        <v/>
      </c>
      <c r="D144" s="469">
        <f>IFERROR(__xludf.DUMMYFUNCTION("""COMPUTED_VALUE"""),"chara_aya_00101")</f>
        <v/>
      </c>
      <c r="E144" s="469">
        <f>IFERROR(__xludf.DUMMYFUNCTION("""COMPUTED_VALUE"""),"花奏 すず")</f>
        <v/>
      </c>
      <c r="F144" s="469">
        <f>IFERROR(__xludf.DUMMYFUNCTION("""COMPUTED_VALUE"""),"花奏 すず")</f>
        <v/>
      </c>
      <c r="G144" s="469">
        <f>IFERROR(__xludf.DUMMYFUNCTION("""COMPUTED_VALUE"""),"妖巫女の覚悟")</f>
        <v/>
      </c>
      <c r="H144" s="469">
        <f>IFERROR(__xludf.DUMMYFUNCTION("""COMPUTED_VALUE"""),"SSR")</f>
        <v/>
      </c>
      <c r="I144" s="469">
        <f>IFERROR(__xludf.DUMMYFUNCTION("""COMPUTED_VALUE"""),"PremiumSSR")</f>
        <v/>
      </c>
      <c r="J144" s="469">
        <f>IFERROR(__xludf.DUMMYFUNCTION("""COMPUTED_VALUE"""),"赤")</f>
        <v/>
      </c>
      <c r="K144" s="469">
        <f>IFERROR(__xludf.DUMMYFUNCTION("""COMPUTED_VALUE"""),"chara")</f>
        <v/>
      </c>
      <c r="L144" s="469">
        <f>IFERROR(__xludf.DUMMYFUNCTION("""COMPUTED_VALUE"""),"ディフェンス")</f>
        <v/>
      </c>
      <c r="M144" s="469">
        <f>IFERROR(__xludf.DUMMYFUNCTION("""COMPUTED_VALUE"""),"zangeki_1")</f>
        <v/>
      </c>
      <c r="N144" s="469" t="n"/>
      <c r="O144" s="469">
        <f>IFERROR(__xludf.DUMMYFUNCTION("""COMPUTED_VALUE"""),"zangeki_1")</f>
        <v/>
      </c>
      <c r="P144" s="471" t="n"/>
      <c r="Q144" s="470">
        <f>IFERROR(__xludf.DUMMYFUNCTION("""COMPUTED_VALUE"""),"1.37")</f>
        <v/>
      </c>
      <c r="R144" s="470">
        <f>IFERROR(__xludf.DUMMYFUNCTION("""COMPUTED_VALUE"""),"stop有 :1回目 0.6")</f>
        <v/>
      </c>
      <c r="S144" s="470">
        <f>IFERROR(__xludf.DUMMYFUNCTION("""COMPUTED_VALUE"""),"2.57")</f>
        <v/>
      </c>
      <c r="T144" s="470">
        <f>IFERROR(__xludf.DUMMYFUNCTION("""COMPUTED_VALUE"""),"stop有 : 1.13")</f>
        <v/>
      </c>
      <c r="U144" s="469">
        <f>IFERROR(__xludf.DUMMYFUNCTION("""COMPUTED_VALUE"""),"2026/04/中旬")</f>
        <v/>
      </c>
      <c r="V144" s="472">
        <f>IFERROR(__xludf.DUMMYFUNCTION("""COMPUTED_VALUE"""),390812.49998842593)</f>
        <v/>
      </c>
      <c r="W144" s="469">
        <f>IFERROR(__xludf.DUMMYFUNCTION("""COMPUTED_VALUE"""),"catchcopy_character_chara_aya_00101.png")</f>
        <v/>
      </c>
      <c r="X144" s="469">
        <f>IFERROR(__xludf.DUMMYFUNCTION("""COMPUTED_VALUE"""),"enemy_icon_chara_aya_00101")</f>
        <v/>
      </c>
      <c r="Y144" s="469">
        <f>IFERROR(__xludf.DUMMYFUNCTION("""COMPUTED_VALUE"""),"boss_icon_chara_aya_00101")</f>
        <v/>
      </c>
      <c r="Z144" s="469" t="n"/>
      <c r="AA144" s="469" t="n"/>
    </row>
    <row r="145">
      <c r="A145" s="468">
        <f>IFERROR(__xludf.DUMMYFUNCTION("""COMPUTED_VALUE"""),"aya")</f>
        <v/>
      </c>
      <c r="B145" s="469">
        <f>IFERROR(__xludf.DUMMYFUNCTION("""COMPUTED_VALUE"""),"あやかしトライアングル")</f>
        <v/>
      </c>
      <c r="C145" s="470">
        <f>IFERROR(__xludf.DUMMYFUNCTION("""COMPUTED_VALUE"""),"00201")</f>
        <v/>
      </c>
      <c r="D145" s="469">
        <f>IFERROR(__xludf.DUMMYFUNCTION("""COMPUTED_VALUE"""),"chara_aya_00201")</f>
        <v/>
      </c>
      <c r="E145" s="469">
        <f>IFERROR(__xludf.DUMMYFUNCTION("""COMPUTED_VALUE"""),"香炉木 恋緒")</f>
        <v/>
      </c>
      <c r="F145" s="469">
        <f>IFERROR(__xludf.DUMMYFUNCTION("""COMPUTED_VALUE"""),"香炉木 恋緒")</f>
        <v/>
      </c>
      <c r="G145" s="469">
        <f>IFERROR(__xludf.DUMMYFUNCTION("""COMPUTED_VALUE"""),"サポートする責任があるんです")</f>
        <v/>
      </c>
      <c r="H145" s="469">
        <f>IFERROR(__xludf.DUMMYFUNCTION("""COMPUTED_VALUE"""),"SR")</f>
        <v/>
      </c>
      <c r="I145" s="469">
        <f>IFERROR(__xludf.DUMMYFUNCTION("""COMPUTED_VALUE"""),"DropSR")</f>
        <v/>
      </c>
      <c r="J145" s="469">
        <f>IFERROR(__xludf.DUMMYFUNCTION("""COMPUTED_VALUE"""),"黄")</f>
        <v/>
      </c>
      <c r="K145" s="469">
        <f>IFERROR(__xludf.DUMMYFUNCTION("""COMPUTED_VALUE"""),"chara")</f>
        <v/>
      </c>
      <c r="L145" s="469">
        <f>IFERROR(__xludf.DUMMYFUNCTION("""COMPUTED_VALUE"""),"サポート")</f>
        <v/>
      </c>
      <c r="M145" s="469">
        <f>IFERROR(__xludf.DUMMYFUNCTION("""COMPUTED_VALUE"""),"dageki_1")</f>
        <v/>
      </c>
      <c r="N145" s="469">
        <f>IFERROR(__xludf.DUMMYFUNCTION("""COMPUTED_VALUE"""),"Middle")</f>
        <v/>
      </c>
      <c r="O145" s="469">
        <f>IFERROR(__xludf.DUMMYFUNCTION("""COMPUTED_VALUE"""),"-")</f>
        <v/>
      </c>
      <c r="P145" s="471" t="n"/>
      <c r="Q145" s="470">
        <f>IFERROR(__xludf.DUMMYFUNCTION("""COMPUTED_VALUE"""),"1.33")</f>
        <v/>
      </c>
      <c r="R145" s="470">
        <f>IFERROR(__xludf.DUMMYFUNCTION("""COMPUTED_VALUE"""),"stop有 :1回目 0.58")</f>
        <v/>
      </c>
      <c r="S145" s="470">
        <f>IFERROR(__xludf.DUMMYFUNCTION("""COMPUTED_VALUE"""),"2.33")</f>
        <v/>
      </c>
      <c r="T145" s="470">
        <f>IFERROR(__xludf.DUMMYFUNCTION("""COMPUTED_VALUE"""),"stopud無 : 1.33")</f>
        <v/>
      </c>
      <c r="U145" s="469">
        <f>IFERROR(__xludf.DUMMYFUNCTION("""COMPUTED_VALUE"""),"2026/04/中旬")</f>
        <v/>
      </c>
      <c r="V145" s="472">
        <f>IFERROR(__xludf.DUMMYFUNCTION("""COMPUTED_VALUE"""),390812.49998842593)</f>
        <v/>
      </c>
      <c r="W145" s="469">
        <f>IFERROR(__xludf.DUMMYFUNCTION("""COMPUTED_VALUE"""),"catchcopy_character_chara_aya_00201.png")</f>
        <v/>
      </c>
      <c r="X145" s="469">
        <f>IFERROR(__xludf.DUMMYFUNCTION("""COMPUTED_VALUE"""),"enemy_icon_chara_aya_00201")</f>
        <v/>
      </c>
      <c r="Y145" s="469">
        <f>IFERROR(__xludf.DUMMYFUNCTION("""COMPUTED_VALUE"""),"boss_icon_chara_aya_00201")</f>
        <v/>
      </c>
      <c r="Z145" s="469" t="n"/>
      <c r="AA145" s="469" t="n"/>
    </row>
    <row r="146">
      <c r="A146" s="468">
        <f>IFERROR(__xludf.DUMMYFUNCTION("""COMPUTED_VALUE"""),"aya")</f>
        <v/>
      </c>
      <c r="B146" s="469">
        <f>IFERROR(__xludf.DUMMYFUNCTION("""COMPUTED_VALUE"""),"あやかしトライアングル")</f>
        <v/>
      </c>
      <c r="C146" s="470">
        <f>IFERROR(__xludf.DUMMYFUNCTION("""COMPUTED_VALUE"""),"00301")</f>
        <v/>
      </c>
      <c r="D146" s="469">
        <f>IFERROR(__xludf.DUMMYFUNCTION("""COMPUTED_VALUE"""),"chara_aya_00301")</f>
        <v/>
      </c>
      <c r="E146" s="469">
        <f>IFERROR(__xludf.DUMMYFUNCTION("""COMPUTED_VALUE"""),"ニノ曲 宗牙")</f>
        <v/>
      </c>
      <c r="F146" s="469">
        <f>IFERROR(__xludf.DUMMYFUNCTION("""COMPUTED_VALUE"""),"二ノ曲 宗牙")</f>
        <v/>
      </c>
      <c r="G146" s="469">
        <f>IFERROR(__xludf.DUMMYFUNCTION("""COMPUTED_VALUE"""),"ニノ曲流・祓忍法 迅雷跳断")</f>
        <v/>
      </c>
      <c r="H146" s="469">
        <f>IFERROR(__xludf.DUMMYFUNCTION("""COMPUTED_VALUE"""),"SR")</f>
        <v/>
      </c>
      <c r="I146" s="469">
        <f>IFERROR(__xludf.DUMMYFUNCTION("""COMPUTED_VALUE"""),"DropSR")</f>
        <v/>
      </c>
      <c r="J146" s="469">
        <f>IFERROR(__xludf.DUMMYFUNCTION("""COMPUTED_VALUE"""),"緑")</f>
        <v/>
      </c>
      <c r="K146" s="469">
        <f>IFERROR(__xludf.DUMMYFUNCTION("""COMPUTED_VALUE"""),"chara")</f>
        <v/>
      </c>
      <c r="L146" s="469">
        <f>IFERROR(__xludf.DUMMYFUNCTION("""COMPUTED_VALUE"""),"アタック")</f>
        <v/>
      </c>
      <c r="M146" s="469">
        <f>IFERROR(__xludf.DUMMYFUNCTION("""COMPUTED_VALUE"""),"zangeki_1")</f>
        <v/>
      </c>
      <c r="N146" s="469">
        <f>IFERROR(__xludf.DUMMYFUNCTION("""COMPUTED_VALUE"""),"Short")</f>
        <v/>
      </c>
      <c r="O146" s="469">
        <f>IFERROR(__xludf.DUMMYFUNCTION("""COMPUTED_VALUE"""),"zangeki_1")</f>
        <v/>
      </c>
      <c r="P146" s="471" t="n"/>
      <c r="Q146" s="470">
        <f>IFERROR(__xludf.DUMMYFUNCTION("""COMPUTED_VALUE"""),"1.31")</f>
        <v/>
      </c>
      <c r="R146" s="470">
        <f>IFERROR(__xludf.DUMMYFUNCTION("""COMPUTED_VALUE"""),"stop有 :1回目 0.5")</f>
        <v/>
      </c>
      <c r="S146" s="470">
        <f>IFERROR(__xludf.DUMMYFUNCTION("""COMPUTED_VALUE"""),"1.37")</f>
        <v/>
      </c>
      <c r="T146" s="470">
        <f>IFERROR(__xludf.DUMMYFUNCTION("""COMPUTED_VALUE"""),"stop無:1回目 0.62
stop無:2回目 0.78
stop無:3回目 1
stop無:4回目 1.19
stop有:5回目 1.5")</f>
        <v/>
      </c>
      <c r="U146" s="469">
        <f>IFERROR(__xludf.DUMMYFUNCTION("""COMPUTED_VALUE"""),"2026/04/中旬")</f>
        <v/>
      </c>
      <c r="V146" s="472">
        <f>IFERROR(__xludf.DUMMYFUNCTION("""COMPUTED_VALUE"""),390812.49998842593)</f>
        <v/>
      </c>
      <c r="W146" s="469">
        <f>IFERROR(__xludf.DUMMYFUNCTION("""COMPUTED_VALUE"""),"catchcopy_character_chara_aya_00301.png")</f>
        <v/>
      </c>
      <c r="X146" s="469">
        <f>IFERROR(__xludf.DUMMYFUNCTION("""COMPUTED_VALUE"""),"enemy_icon_chara_aya_00301")</f>
        <v/>
      </c>
      <c r="Y146" s="469">
        <f>IFERROR(__xludf.DUMMYFUNCTION("""COMPUTED_VALUE"""),"boss_icon_chara_aya_00301")</f>
        <v/>
      </c>
      <c r="Z146" s="469" t="n"/>
      <c r="AA146" s="469" t="n"/>
    </row>
    <row r="147">
      <c r="A147" s="468">
        <f>IFERROR(__xludf.DUMMYFUNCTION("""COMPUTED_VALUE"""),"mar")</f>
        <v/>
      </c>
      <c r="B147" s="469">
        <f>IFERROR(__xludf.DUMMYFUNCTION("""COMPUTED_VALUE"""),"マリッジトキシン")</f>
        <v/>
      </c>
      <c r="C147" s="470">
        <f>IFERROR(__xludf.DUMMYFUNCTION("""COMPUTED_VALUE"""),"00001")</f>
        <v/>
      </c>
      <c r="D147" s="469">
        <f>IFERROR(__xludf.DUMMYFUNCTION("""COMPUTED_VALUE"""),"chara_mar_00001")</f>
        <v/>
      </c>
      <c r="E147" s="469">
        <f>IFERROR(__xludf.DUMMYFUNCTION("""COMPUTED_VALUE"""),"下呂 ヒカル")</f>
        <v/>
      </c>
      <c r="F147" s="469">
        <f>IFERROR(__xludf.DUMMYFUNCTION("""COMPUTED_VALUE"""),"不器用な毒使い 下呂 ヒカル")</f>
        <v/>
      </c>
      <c r="G147" s="469">
        <f>IFERROR(__xludf.DUMMYFUNCTION("""COMPUTED_VALUE"""),"毒薬二連【舛】×【戈】")</f>
        <v/>
      </c>
      <c r="H147" s="469">
        <f>IFERROR(__xludf.DUMMYFUNCTION("""COMPUTED_VALUE"""),"UR")</f>
        <v/>
      </c>
      <c r="I147" s="469">
        <f>IFERROR(__xludf.DUMMYFUNCTION("""COMPUTED_VALUE"""),"PremiumUR")</f>
        <v/>
      </c>
      <c r="J147" s="469">
        <f>IFERROR(__xludf.DUMMYFUNCTION("""COMPUTED_VALUE"""),"緑")</f>
        <v/>
      </c>
      <c r="K147" s="469">
        <f>IFERROR(__xludf.DUMMYFUNCTION("""COMPUTED_VALUE"""),"chara")</f>
        <v/>
      </c>
      <c r="L147" s="469">
        <f>IFERROR(__xludf.DUMMYFUNCTION("""COMPUTED_VALUE"""),"テクニカル")</f>
        <v/>
      </c>
      <c r="M147" s="469">
        <f>IFERROR(__xludf.DUMMYFUNCTION("""COMPUTED_VALUE"""),"dageki_1")</f>
        <v/>
      </c>
      <c r="N147" s="469" t="n"/>
      <c r="O147" s="469">
        <f>IFERROR(__xludf.DUMMYFUNCTION("""COMPUTED_VALUE"""),"shageki_1")</f>
        <v/>
      </c>
      <c r="P147" s="471" t="n"/>
      <c r="Q147" s="470">
        <f>IFERROR(__xludf.DUMMYFUNCTION("""COMPUTED_VALUE"""),"1.34")</f>
        <v/>
      </c>
      <c r="R147" s="470">
        <f>IFERROR(__xludf.DUMMYFUNCTION("""COMPUTED_VALUE"""),"stop有 :1回目 0.34")</f>
        <v/>
      </c>
      <c r="S147" s="470">
        <f>IFERROR(__xludf.DUMMYFUNCTION("""COMPUTED_VALUE"""),"2.62")</f>
        <v/>
      </c>
      <c r="T147" s="470">
        <f>IFERROR(__xludf.DUMMYFUNCTION("""COMPUTED_VALUE"""),"stop有 :1回目 1.2")</f>
        <v/>
      </c>
      <c r="U147" s="469">
        <f>IFERROR(__xludf.DUMMYFUNCTION("""COMPUTED_VALUE"""),"2026/04/中旬")</f>
        <v/>
      </c>
      <c r="V147" s="472">
        <f>IFERROR(__xludf.DUMMYFUNCTION("""COMPUTED_VALUE"""),390812.49998842593)</f>
        <v/>
      </c>
      <c r="W147" s="469">
        <f>IFERROR(__xludf.DUMMYFUNCTION("""COMPUTED_VALUE"""),"catchcopy_character_chara_mar_00001.png")</f>
        <v/>
      </c>
      <c r="X147" s="469">
        <f>IFERROR(__xludf.DUMMYFUNCTION("""COMPUTED_VALUE"""),"enemy_icon_chara_mar_00001")</f>
        <v/>
      </c>
      <c r="Y147" s="469">
        <f>IFERROR(__xludf.DUMMYFUNCTION("""COMPUTED_VALUE"""),"boss_icon_chara_mar_00001")</f>
        <v/>
      </c>
      <c r="Z147" s="469" t="n"/>
      <c r="AA147" s="469" t="n"/>
    </row>
    <row r="148">
      <c r="A148" s="468">
        <f>IFERROR(__xludf.DUMMYFUNCTION("""COMPUTED_VALUE"""),"mar")</f>
        <v/>
      </c>
      <c r="B148" s="469">
        <f>IFERROR(__xludf.DUMMYFUNCTION("""COMPUTED_VALUE"""),"マリッジトキシン")</f>
        <v/>
      </c>
      <c r="C148" s="470">
        <f>IFERROR(__xludf.DUMMYFUNCTION("""COMPUTED_VALUE"""),"00002")</f>
        <v/>
      </c>
      <c r="D148" s="469">
        <f>IFERROR(__xludf.DUMMYFUNCTION("""COMPUTED_VALUE"""),"chara_mar_00002")</f>
        <v/>
      </c>
      <c r="E148" s="469">
        <f>IFERROR(__xludf.DUMMYFUNCTION("""COMPUTED_VALUE"""),"下呂 ヒカル（ドレスアップ）")</f>
        <v/>
      </c>
      <c r="F148" s="469">
        <f>IFERROR(__xludf.DUMMYFUNCTION("""COMPUTED_VALUE"""),"選定中")</f>
        <v/>
      </c>
      <c r="G148" s="469" t="n"/>
      <c r="H148" s="469">
        <f>IFERROR(__xludf.DUMMYFUNCTION("""COMPUTED_VALUE"""),"SR")</f>
        <v/>
      </c>
      <c r="I148" s="469">
        <f>IFERROR(__xludf.DUMMYFUNCTION("""COMPUTED_VALUE"""),"DropSR")</f>
        <v/>
      </c>
      <c r="J148" s="469">
        <f>IFERROR(__xludf.DUMMYFUNCTION("""COMPUTED_VALUE"""),"青")</f>
        <v/>
      </c>
      <c r="K148" s="469">
        <f>IFERROR(__xludf.DUMMYFUNCTION("""COMPUTED_VALUE"""),"chara")</f>
        <v/>
      </c>
      <c r="L148" s="469">
        <f>IFERROR(__xludf.DUMMYFUNCTION("""COMPUTED_VALUE"""),"テクニカル")</f>
        <v/>
      </c>
      <c r="M148" s="469" t="n"/>
      <c r="N148" s="469" t="n"/>
      <c r="O148" s="469" t="n"/>
      <c r="P148" s="471" t="n"/>
      <c r="Q148" s="469" t="n"/>
      <c r="R148" s="469" t="n"/>
      <c r="S148" s="469" t="n"/>
      <c r="T148" s="469" t="n"/>
      <c r="U148" s="469" t="n"/>
      <c r="V148" s="469" t="n"/>
      <c r="W148" s="469" t="n"/>
      <c r="X148" s="469" t="n"/>
      <c r="Y148" s="469" t="n"/>
      <c r="Z148" s="469" t="n"/>
      <c r="AA148" s="469" t="n"/>
    </row>
    <row r="149">
      <c r="A149" s="468">
        <f>IFERROR(__xludf.DUMMYFUNCTION("""COMPUTED_VALUE"""),"mar")</f>
        <v/>
      </c>
      <c r="B149" s="469">
        <f>IFERROR(__xludf.DUMMYFUNCTION("""COMPUTED_VALUE"""),"マリッジトキシン")</f>
        <v/>
      </c>
      <c r="C149" s="470">
        <f>IFERROR(__xludf.DUMMYFUNCTION("""COMPUTED_VALUE"""),"00101")</f>
        <v/>
      </c>
      <c r="D149" s="469">
        <f>IFERROR(__xludf.DUMMYFUNCTION("""COMPUTED_VALUE"""),"chara_mar_00101")</f>
        <v/>
      </c>
      <c r="E149" s="469">
        <f>IFERROR(__xludf.DUMMYFUNCTION("""COMPUTED_VALUE"""),"城崎 メイ")</f>
        <v/>
      </c>
      <c r="F149" s="469">
        <f>IFERROR(__xludf.DUMMYFUNCTION("""COMPUTED_VALUE"""),"城崎 メイ")</f>
        <v/>
      </c>
      <c r="G149" s="469">
        <f>IFERROR(__xludf.DUMMYFUNCTION("""COMPUTED_VALUE"""),"そんな提案初めて")</f>
        <v/>
      </c>
      <c r="H149" s="469">
        <f>IFERROR(__xludf.DUMMYFUNCTION("""COMPUTED_VALUE"""),"SSR")</f>
        <v/>
      </c>
      <c r="I149" s="469">
        <f>IFERROR(__xludf.DUMMYFUNCTION("""COMPUTED_VALUE"""),"PremiumSSR")</f>
        <v/>
      </c>
      <c r="J149" s="469">
        <f>IFERROR(__xludf.DUMMYFUNCTION("""COMPUTED_VALUE"""),"黄")</f>
        <v/>
      </c>
      <c r="K149" s="469">
        <f>IFERROR(__xludf.DUMMYFUNCTION("""COMPUTED_VALUE"""),"chara")</f>
        <v/>
      </c>
      <c r="L149" s="469">
        <f>IFERROR(__xludf.DUMMYFUNCTION("""COMPUTED_VALUE"""),"サポート")</f>
        <v/>
      </c>
      <c r="M149" s="469">
        <f>IFERROR(__xludf.DUMMYFUNCTION("""COMPUTED_VALUE"""),"dageki_1")</f>
        <v/>
      </c>
      <c r="N149" s="469" t="n"/>
      <c r="O149" s="469">
        <f>IFERROR(__xludf.DUMMYFUNCTION("""COMPUTED_VALUE"""),"-")</f>
        <v/>
      </c>
      <c r="P149" s="471" t="n"/>
      <c r="Q149" s="470">
        <f>IFERROR(__xludf.DUMMYFUNCTION("""COMPUTED_VALUE"""),"1.37")</f>
        <v/>
      </c>
      <c r="R149" s="470">
        <f>IFERROR(__xludf.DUMMYFUNCTION("""COMPUTED_VALUE"""),"stop有 :1回目 0.65")</f>
        <v/>
      </c>
      <c r="S149" s="470">
        <f>IFERROR(__xludf.DUMMYFUNCTION("""COMPUTED_VALUE"""),"2.67")</f>
        <v/>
      </c>
      <c r="T149" s="470">
        <f>IFERROR(__xludf.DUMMYFUNCTION("""COMPUTED_VALUE"""),"stop有 :1回目 0.83")</f>
        <v/>
      </c>
      <c r="U149" s="469">
        <f>IFERROR(__xludf.DUMMYFUNCTION("""COMPUTED_VALUE"""),"2026/04/中旬")</f>
        <v/>
      </c>
      <c r="V149" s="472">
        <f>IFERROR(__xludf.DUMMYFUNCTION("""COMPUTED_VALUE"""),390812.49998842593)</f>
        <v/>
      </c>
      <c r="W149" s="469">
        <f>IFERROR(__xludf.DUMMYFUNCTION("""COMPUTED_VALUE"""),"catchcopy_character_chara_mar_00101.png")</f>
        <v/>
      </c>
      <c r="X149" s="469">
        <f>IFERROR(__xludf.DUMMYFUNCTION("""COMPUTED_VALUE"""),"enemy_icon_chara_mar_00101")</f>
        <v/>
      </c>
      <c r="Y149" s="469">
        <f>IFERROR(__xludf.DUMMYFUNCTION("""COMPUTED_VALUE"""),"boss_icon_chara_mar_00101")</f>
        <v/>
      </c>
      <c r="Z149" s="469" t="n"/>
      <c r="AA149" s="469" t="n"/>
    </row>
    <row r="150">
      <c r="A150" s="468">
        <f>IFERROR(__xludf.DUMMYFUNCTION("""COMPUTED_VALUE"""),"mar")</f>
        <v/>
      </c>
      <c r="B150" s="469">
        <f>IFERROR(__xludf.DUMMYFUNCTION("""COMPUTED_VALUE"""),"マリッジトキシン")</f>
        <v/>
      </c>
      <c r="C150" s="470">
        <f>IFERROR(__xludf.DUMMYFUNCTION("""COMPUTED_VALUE"""),"00201")</f>
        <v/>
      </c>
      <c r="D150" s="469">
        <f>IFERROR(__xludf.DUMMYFUNCTION("""COMPUTED_VALUE"""),"chara_mar_00201")</f>
        <v/>
      </c>
      <c r="E150" s="469">
        <f>IFERROR(__xludf.DUMMYFUNCTION("""COMPUTED_VALUE"""),"姫川 杏子")</f>
        <v/>
      </c>
      <c r="F150" s="469">
        <f>IFERROR(__xludf.DUMMYFUNCTION("""COMPUTED_VALUE"""),"姫川 杏子")</f>
        <v/>
      </c>
      <c r="G150" s="469">
        <f>IFERROR(__xludf.DUMMYFUNCTION("""COMPUTED_VALUE"""),"サメフレのサメ重")</f>
        <v/>
      </c>
      <c r="H150" s="469">
        <f>IFERROR(__xludf.DUMMYFUNCTION("""COMPUTED_VALUE"""),"SR")</f>
        <v/>
      </c>
      <c r="I150" s="469">
        <f>IFERROR(__xludf.DUMMYFUNCTION("""COMPUTED_VALUE"""),"DropSR")</f>
        <v/>
      </c>
      <c r="J150" s="469">
        <f>IFERROR(__xludf.DUMMYFUNCTION("""COMPUTED_VALUE"""),"青")</f>
        <v/>
      </c>
      <c r="K150" s="469">
        <f>IFERROR(__xludf.DUMMYFUNCTION("""COMPUTED_VALUE"""),"chara")</f>
        <v/>
      </c>
      <c r="L150" s="469">
        <f>IFERROR(__xludf.DUMMYFUNCTION("""COMPUTED_VALUE"""),"ディフェンス")</f>
        <v/>
      </c>
      <c r="M150" s="469">
        <f>IFERROR(__xludf.DUMMYFUNCTION("""COMPUTED_VALUE"""),"dageki_1")</f>
        <v/>
      </c>
      <c r="N150" s="469" t="n"/>
      <c r="O150" s="469">
        <f>IFERROR(__xludf.DUMMYFUNCTION("""COMPUTED_VALUE"""),"dageki_1")</f>
        <v/>
      </c>
      <c r="P150" s="471" t="n"/>
      <c r="Q150" s="470">
        <f>IFERROR(__xludf.DUMMYFUNCTION("""COMPUTED_VALUE"""),"1.37")</f>
        <v/>
      </c>
      <c r="R150" s="470">
        <f>IFERROR(__xludf.DUMMYFUNCTION("""COMPUTED_VALUE"""),"stop有 :1回目 0.6")</f>
        <v/>
      </c>
      <c r="S150" s="470">
        <f>IFERROR(__xludf.DUMMYFUNCTION("""COMPUTED_VALUE"""),"2.51")</f>
        <v/>
      </c>
      <c r="T150" s="470">
        <f>IFERROR(__xludf.DUMMYFUNCTION("""COMPUTED_VALUE"""),"stop有 :1回目 1.0")</f>
        <v/>
      </c>
      <c r="U150" s="469">
        <f>IFERROR(__xludf.DUMMYFUNCTION("""COMPUTED_VALUE"""),"2026/04/中旬")</f>
        <v/>
      </c>
      <c r="V150" s="472">
        <f>IFERROR(__xludf.DUMMYFUNCTION("""COMPUTED_VALUE"""),390812.49998842593)</f>
        <v/>
      </c>
      <c r="W150" s="469">
        <f>IFERROR(__xludf.DUMMYFUNCTION("""COMPUTED_VALUE"""),"catchcopy_character_chara_mar_00201.png")</f>
        <v/>
      </c>
      <c r="X150" s="469">
        <f>IFERROR(__xludf.DUMMYFUNCTION("""COMPUTED_VALUE"""),"enemy_icon_chara_mar_00201")</f>
        <v/>
      </c>
      <c r="Y150" s="469">
        <f>IFERROR(__xludf.DUMMYFUNCTION("""COMPUTED_VALUE"""),"boss_icon_chara_mar_00201")</f>
        <v/>
      </c>
      <c r="Z150" s="469" t="n"/>
      <c r="AA150" s="469" t="n"/>
    </row>
    <row r="151">
      <c r="A151" s="468">
        <f>IFERROR(__xludf.DUMMYFUNCTION("""COMPUTED_VALUE"""),"mar")</f>
        <v/>
      </c>
      <c r="B151" s="469">
        <f>IFERROR(__xludf.DUMMYFUNCTION("""COMPUTED_VALUE"""),"マリッジトキシン")</f>
        <v/>
      </c>
      <c r="C151" s="470">
        <f>IFERROR(__xludf.DUMMYFUNCTION("""COMPUTED_VALUE"""),"00301")</f>
        <v/>
      </c>
      <c r="D151" s="469">
        <f>IFERROR(__xludf.DUMMYFUNCTION("""COMPUTED_VALUE"""),"chara_mar_00301")</f>
        <v/>
      </c>
      <c r="E151" s="469">
        <f>IFERROR(__xludf.DUMMYFUNCTION("""COMPUTED_VALUE"""),"嬉野 シオリ")</f>
        <v/>
      </c>
      <c r="F151" s="469">
        <f>IFERROR(__xludf.DUMMYFUNCTION("""COMPUTED_VALUE"""),"選定中")</f>
        <v/>
      </c>
      <c r="G151" s="469" t="n"/>
      <c r="H151" s="469">
        <f>IFERROR(__xludf.DUMMYFUNCTION("""COMPUTED_VALUE"""),"SR")</f>
        <v/>
      </c>
      <c r="I151" s="469">
        <f>IFERROR(__xludf.DUMMYFUNCTION("""COMPUTED_VALUE"""),"DropSR")</f>
        <v/>
      </c>
      <c r="J151" s="469">
        <f>IFERROR(__xludf.DUMMYFUNCTION("""COMPUTED_VALUE"""),"青")</f>
        <v/>
      </c>
      <c r="K151" s="469">
        <f>IFERROR(__xludf.DUMMYFUNCTION("""COMPUTED_VALUE"""),"chara")</f>
        <v/>
      </c>
      <c r="L151" s="469">
        <f>IFERROR(__xludf.DUMMYFUNCTION("""COMPUTED_VALUE"""),"ディフェンス")</f>
        <v/>
      </c>
      <c r="M151" s="469" t="n"/>
      <c r="N151" s="469" t="n"/>
      <c r="O151" s="469" t="n"/>
      <c r="P151" s="471" t="n"/>
      <c r="Q151" s="469" t="n"/>
      <c r="R151" s="469" t="n"/>
      <c r="S151" s="469" t="n"/>
      <c r="T151" s="469" t="n"/>
      <c r="U151" s="469">
        <f>IFERROR(__xludf.DUMMYFUNCTION("""COMPUTED_VALUE"""),"2026/04/中旬")</f>
        <v/>
      </c>
      <c r="V151" s="472">
        <f>IFERROR(__xludf.DUMMYFUNCTION("""COMPUTED_VALUE"""),390812.49998842593)</f>
        <v/>
      </c>
      <c r="W151" s="469">
        <f>IFERROR(__xludf.DUMMYFUNCTION("""COMPUTED_VALUE"""),"catchcopy_character_chara_mar_00301.png")</f>
        <v/>
      </c>
      <c r="X151" s="469">
        <f>IFERROR(__xludf.DUMMYFUNCTION("""COMPUTED_VALUE"""),"enemy_icon_chara_mar_00301")</f>
        <v/>
      </c>
      <c r="Y151" s="469">
        <f>IFERROR(__xludf.DUMMYFUNCTION("""COMPUTED_VALUE"""),"boss_icon_chara_mar_00301")</f>
        <v/>
      </c>
      <c r="Z151" s="469" t="n"/>
      <c r="AA151" s="469" t="n"/>
    </row>
    <row r="152">
      <c r="A152" s="468">
        <f>IFERROR(__xludf.DUMMYFUNCTION("""COMPUTED_VALUE"""),"mar")</f>
        <v/>
      </c>
      <c r="B152" s="469">
        <f>IFERROR(__xludf.DUMMYFUNCTION("""COMPUTED_VALUE"""),"マリッジトキシン")</f>
        <v/>
      </c>
      <c r="C152" s="470">
        <f>IFERROR(__xludf.DUMMYFUNCTION("""COMPUTED_VALUE"""),"00401")</f>
        <v/>
      </c>
      <c r="D152" s="469">
        <f>IFERROR(__xludf.DUMMYFUNCTION("""COMPUTED_VALUE"""),"chara_mar_00401")</f>
        <v/>
      </c>
      <c r="E152" s="469">
        <f>IFERROR(__xludf.DUMMYFUNCTION("""COMPUTED_VALUE"""),"鳴子")</f>
        <v/>
      </c>
      <c r="F152" s="469">
        <f>IFERROR(__xludf.DUMMYFUNCTION("""COMPUTED_VALUE"""),"音使い 鳴子")</f>
        <v/>
      </c>
      <c r="G152" s="469">
        <f>IFERROR(__xludf.DUMMYFUNCTION("""COMPUTED_VALUE"""),"変性血統＋＋【谺】")</f>
        <v/>
      </c>
      <c r="H152" s="469">
        <f>IFERROR(__xludf.DUMMYFUNCTION("""COMPUTED_VALUE"""),"SR")</f>
        <v/>
      </c>
      <c r="I152" s="469">
        <f>IFERROR(__xludf.DUMMYFUNCTION("""COMPUTED_VALUE"""),"DropSR")</f>
        <v/>
      </c>
      <c r="J152" s="469">
        <f>IFERROR(__xludf.DUMMYFUNCTION("""COMPUTED_VALUE"""),"赤")</f>
        <v/>
      </c>
      <c r="K152" s="469">
        <f>IFERROR(__xludf.DUMMYFUNCTION("""COMPUTED_VALUE"""),"chara")</f>
        <v/>
      </c>
      <c r="L152" s="469">
        <f>IFERROR(__xludf.DUMMYFUNCTION("""COMPUTED_VALUE"""),"テクニカル")</f>
        <v/>
      </c>
      <c r="M152" s="469">
        <f>IFERROR(__xludf.DUMMYFUNCTION("""COMPUTED_VALUE"""),"shageki_1")</f>
        <v/>
      </c>
      <c r="N152" s="469" t="n"/>
      <c r="O152" s="469">
        <f>IFERROR(__xludf.DUMMYFUNCTION("""COMPUTED_VALUE"""),"zangeki_1")</f>
        <v/>
      </c>
      <c r="P152" s="471" t="n"/>
      <c r="Q152" s="470">
        <f>IFERROR(__xludf.DUMMYFUNCTION("""COMPUTED_VALUE"""),"2.23")</f>
        <v/>
      </c>
      <c r="R152" s="470">
        <f>IFERROR(__xludf.DUMMYFUNCTION("""COMPUTED_VALUE"""),"stop有 :1回目 1")</f>
        <v/>
      </c>
      <c r="S152" s="470">
        <f>IFERROR(__xludf.DUMMYFUNCTION("""COMPUTED_VALUE"""),"2.27")</f>
        <v/>
      </c>
      <c r="T152" s="470">
        <f>IFERROR(__xludf.DUMMYFUNCTION("""COMPUTED_VALUE"""),"stop有 :1回目 1.5")</f>
        <v/>
      </c>
      <c r="U152" s="469">
        <f>IFERROR(__xludf.DUMMYFUNCTION("""COMPUTED_VALUE"""),"2026/04/中旬")</f>
        <v/>
      </c>
      <c r="V152" s="472">
        <f>IFERROR(__xludf.DUMMYFUNCTION("""COMPUTED_VALUE"""),390812.49998842593)</f>
        <v/>
      </c>
      <c r="W152" s="469">
        <f>IFERROR(__xludf.DUMMYFUNCTION("""COMPUTED_VALUE"""),"catchcopy_character_chara_mar_00401.png")</f>
        <v/>
      </c>
      <c r="X152" s="469">
        <f>IFERROR(__xludf.DUMMYFUNCTION("""COMPUTED_VALUE"""),"enemy_icon_chara_mar_00401")</f>
        <v/>
      </c>
      <c r="Y152" s="469">
        <f>IFERROR(__xludf.DUMMYFUNCTION("""COMPUTED_VALUE"""),"boss_icon_chara_mar_00401")</f>
        <v/>
      </c>
      <c r="Z152" s="469" t="n"/>
      <c r="AA152" s="469" t="n"/>
    </row>
    <row r="153">
      <c r="A153" s="468">
        <f>IFERROR(__xludf.DUMMYFUNCTION("""COMPUTED_VALUE"""),"sib")</f>
        <v/>
      </c>
      <c r="B153" s="469">
        <f>IFERROR(__xludf.DUMMYFUNCTION("""COMPUTED_VALUE"""),"シバつき物件")</f>
        <v/>
      </c>
      <c r="C153" s="470">
        <f>IFERROR(__xludf.DUMMYFUNCTION("""COMPUTED_VALUE"""),"00001")</f>
        <v/>
      </c>
      <c r="D153" s="469">
        <f>IFERROR(__xludf.DUMMYFUNCTION("""COMPUTED_VALUE"""),"chara_sib_00001")</f>
        <v/>
      </c>
      <c r="E153" s="469">
        <f>IFERROR(__xludf.DUMMYFUNCTION("""COMPUTED_VALUE"""),"百瀬 氷")</f>
        <v/>
      </c>
      <c r="F153" s="469">
        <f>IFERROR(__xludf.DUMMYFUNCTION("""COMPUTED_VALUE"""),"監修中")</f>
        <v/>
      </c>
      <c r="G153" s="469" t="n"/>
      <c r="H153" s="469">
        <f>IFERROR(__xludf.DUMMYFUNCTION("""COMPUTED_VALUE"""),"UR")</f>
        <v/>
      </c>
      <c r="I153" s="469">
        <f>IFERROR(__xludf.DUMMYFUNCTION("""COMPUTED_VALUE"""),"PremiumUR")</f>
        <v/>
      </c>
      <c r="J153" s="469">
        <f>IFERROR(__xludf.DUMMYFUNCTION("""COMPUTED_VALUE"""),"黄")</f>
        <v/>
      </c>
      <c r="K153" s="469">
        <f>IFERROR(__xludf.DUMMYFUNCTION("""COMPUTED_VALUE"""),"chara")</f>
        <v/>
      </c>
      <c r="L153" s="469">
        <f>IFERROR(__xludf.DUMMYFUNCTION("""COMPUTED_VALUE"""),"ディフェンス")</f>
        <v/>
      </c>
      <c r="M153" s="469" t="n"/>
      <c r="N153" s="469" t="n"/>
      <c r="O153" s="469" t="n"/>
      <c r="P153" s="471" t="n"/>
      <c r="Q153" s="470">
        <f>IFERROR(__xludf.DUMMYFUNCTION("""COMPUTED_VALUE"""),"1.37")</f>
        <v/>
      </c>
      <c r="R153" s="470">
        <f>IFERROR(__xludf.DUMMYFUNCTION("""COMPUTED_VALUE"""),"stop有 :1回目 0.43")</f>
        <v/>
      </c>
      <c r="S153" s="470">
        <f>IFERROR(__xludf.DUMMYFUNCTION("""COMPUTED_VALUE"""),"2.5")</f>
        <v/>
      </c>
      <c r="T153" s="470">
        <f>IFERROR(__xludf.DUMMYFUNCTION("""COMPUTED_VALUE"""),"stop無 :1回目 0.96")</f>
        <v/>
      </c>
      <c r="U153" s="469">
        <f>IFERROR(__xludf.DUMMYFUNCTION("""COMPUTED_VALUE"""),"2026/04/中旬")</f>
        <v/>
      </c>
      <c r="V153" s="472">
        <f>IFERROR(__xludf.DUMMYFUNCTION("""COMPUTED_VALUE"""),390812.49998842593)</f>
        <v/>
      </c>
      <c r="W153" s="469">
        <f>IFERROR(__xludf.DUMMYFUNCTION("""COMPUTED_VALUE"""),"catchcopy_character_chara_sib_00001.png")</f>
        <v/>
      </c>
      <c r="X153" s="469">
        <f>IFERROR(__xludf.DUMMYFUNCTION("""COMPUTED_VALUE"""),"enemy_icon_chara_sib_00001")</f>
        <v/>
      </c>
      <c r="Y153" s="469">
        <f>IFERROR(__xludf.DUMMYFUNCTION("""COMPUTED_VALUE"""),"boss_icon_chara_sib_00001")</f>
        <v/>
      </c>
      <c r="Z153" s="469" t="n"/>
      <c r="AA153" s="469" t="n"/>
    </row>
    <row r="154">
      <c r="A154" s="468">
        <f>IFERROR(__xludf.DUMMYFUNCTION("""COMPUTED_VALUE"""),"nek")</f>
        <v/>
      </c>
      <c r="B154" s="469">
        <f>IFERROR(__xludf.DUMMYFUNCTION("""COMPUTED_VALUE"""),"猫田びより")</f>
        <v/>
      </c>
      <c r="C154" s="470">
        <f>IFERROR(__xludf.DUMMYFUNCTION("""COMPUTED_VALUE"""),"00001")</f>
        <v/>
      </c>
      <c r="D154" s="469">
        <f>IFERROR(__xludf.DUMMYFUNCTION("""COMPUTED_VALUE"""),"chara_nek_00001")</f>
        <v/>
      </c>
      <c r="E154" s="469">
        <f>IFERROR(__xludf.DUMMYFUNCTION("""COMPUTED_VALUE"""),"猫田さん")</f>
        <v/>
      </c>
      <c r="F154" s="469">
        <f>IFERROR(__xludf.DUMMYFUNCTION("""COMPUTED_VALUE"""),"猫田さん")</f>
        <v/>
      </c>
      <c r="G154" s="469">
        <f>IFERROR(__xludf.DUMMYFUNCTION("""COMPUTED_VALUE"""),"何も生み出せない事を教えてやるぜ")</f>
        <v/>
      </c>
      <c r="H154" s="469">
        <f>IFERROR(__xludf.DUMMYFUNCTION("""COMPUTED_VALUE"""),"SSR")</f>
        <v/>
      </c>
      <c r="I154" s="469">
        <f>IFERROR(__xludf.DUMMYFUNCTION("""COMPUTED_VALUE"""),"PremiumSSR")</f>
        <v/>
      </c>
      <c r="J154" s="469">
        <f>IFERROR(__xludf.DUMMYFUNCTION("""COMPUTED_VALUE"""),"黄")</f>
        <v/>
      </c>
      <c r="K154" s="469">
        <f>IFERROR(__xludf.DUMMYFUNCTION("""COMPUTED_VALUE"""),"chara")</f>
        <v/>
      </c>
      <c r="L154" s="469">
        <f>IFERROR(__xludf.DUMMYFUNCTION("""COMPUTED_VALUE"""),"アタック")</f>
        <v/>
      </c>
      <c r="M154" s="469">
        <f>IFERROR(__xludf.DUMMYFUNCTION("""COMPUTED_VALUE"""),"dageki_1")</f>
        <v/>
      </c>
      <c r="N154" s="469" t="n"/>
      <c r="O154" s="469">
        <f>IFERROR(__xludf.DUMMYFUNCTION("""COMPUTED_VALUE"""),"dageki_1")</f>
        <v/>
      </c>
      <c r="P154" s="471" t="n"/>
      <c r="Q154" s="470">
        <f>IFERROR(__xludf.DUMMYFUNCTION("""COMPUTED_VALUE"""),"1.37")</f>
        <v/>
      </c>
      <c r="R154" s="470">
        <f>IFERROR(__xludf.DUMMYFUNCTION("""COMPUTED_VALUE"""),"stop有 :1回目 0.5")</f>
        <v/>
      </c>
      <c r="S154" s="470">
        <f>IFERROR(__xludf.DUMMYFUNCTION("""COMPUTED_VALUE"""),"1.9")</f>
        <v/>
      </c>
      <c r="T154" s="470">
        <f>IFERROR(__xludf.DUMMYFUNCTION("""COMPUTED_VALUE"""),"stop有 :1回目 0.85")</f>
        <v/>
      </c>
      <c r="U154" s="469">
        <f>IFERROR(__xludf.DUMMYFUNCTION("""COMPUTED_VALUE"""),"2026/04/中旬")</f>
        <v/>
      </c>
      <c r="V154" s="472">
        <f>IFERROR(__xludf.DUMMYFUNCTION("""COMPUTED_VALUE"""),390812.49998842593)</f>
        <v/>
      </c>
      <c r="W154" s="469">
        <f>IFERROR(__xludf.DUMMYFUNCTION("""COMPUTED_VALUE"""),"catchcopy_character_chara_nek_00001.png")</f>
        <v/>
      </c>
      <c r="X154" s="469">
        <f>IFERROR(__xludf.DUMMYFUNCTION("""COMPUTED_VALUE"""),"enemy_icon_chara_nek_00001")</f>
        <v/>
      </c>
      <c r="Y154" s="469">
        <f>IFERROR(__xludf.DUMMYFUNCTION("""COMPUTED_VALUE"""),"boss_icon_chara_nek_00001")</f>
        <v/>
      </c>
      <c r="Z154" s="469" t="n"/>
      <c r="AA154" s="469" t="n"/>
    </row>
    <row r="155">
      <c r="A155" s="468">
        <f>IFERROR(__xludf.DUMMYFUNCTION("""COMPUTED_VALUE"""),"mad")</f>
        <v/>
      </c>
      <c r="B155" s="469">
        <f>IFERROR(__xludf.DUMMYFUNCTION("""COMPUTED_VALUE"""),"MAD")</f>
        <v/>
      </c>
      <c r="C155" s="470">
        <f>IFERROR(__xludf.DUMMYFUNCTION("""COMPUTED_VALUE"""),"00001")</f>
        <v/>
      </c>
      <c r="D155" s="469">
        <f>IFERROR(__xludf.DUMMYFUNCTION("""COMPUTED_VALUE"""),"chara_mad_00001")</f>
        <v/>
      </c>
      <c r="E155" s="469">
        <f>IFERROR(__xludf.DUMMYFUNCTION("""COMPUTED_VALUE"""),"ジョン（エイリアン形態）")</f>
        <v/>
      </c>
      <c r="F155" s="469">
        <f>IFERROR(__xludf.DUMMYFUNCTION("""COMPUTED_VALUE"""),"選定中")</f>
        <v/>
      </c>
      <c r="G155" s="469" t="n"/>
      <c r="H155" s="469">
        <f>IFERROR(__xludf.DUMMYFUNCTION("""COMPUTED_VALUE"""),"UR")</f>
        <v/>
      </c>
      <c r="I155" s="469">
        <f>IFERROR(__xludf.DUMMYFUNCTION("""COMPUTED_VALUE"""),"PremiumUR")</f>
        <v/>
      </c>
      <c r="J155" s="469">
        <f>IFERROR(__xludf.DUMMYFUNCTION("""COMPUTED_VALUE"""),"青")</f>
        <v/>
      </c>
      <c r="K155" s="469">
        <f>IFERROR(__xludf.DUMMYFUNCTION("""COMPUTED_VALUE"""),"chara")</f>
        <v/>
      </c>
      <c r="L155" s="469">
        <f>IFERROR(__xludf.DUMMYFUNCTION("""COMPUTED_VALUE"""),"アタック")</f>
        <v/>
      </c>
      <c r="M155" s="469" t="n"/>
      <c r="N155" s="469" t="n"/>
      <c r="O155" s="469" t="n"/>
      <c r="P155" s="471" t="n"/>
      <c r="Q155" s="470">
        <f>IFERROR(__xludf.DUMMYFUNCTION("""COMPUTED_VALUE"""),"1.17")</f>
        <v/>
      </c>
      <c r="R155" s="470">
        <f>IFERROR(__xludf.DUMMYFUNCTION("""COMPUTED_VALUE"""),"stop有 :1回目 0.3")</f>
        <v/>
      </c>
      <c r="S155" s="470">
        <f>IFERROR(__xludf.DUMMYFUNCTION("""COMPUTED_VALUE"""),"3.33")</f>
        <v/>
      </c>
      <c r="T155" s="470">
        <f>IFERROR(__xludf.DUMMYFUNCTION("""COMPUTED_VALUE"""),"stop有 :1回目 0.75")</f>
        <v/>
      </c>
      <c r="U155" s="469">
        <f>IFERROR(__xludf.DUMMYFUNCTION("""COMPUTED_VALUE"""),"2026/06/上旬")</f>
        <v/>
      </c>
      <c r="V155" s="472">
        <f>IFERROR(__xludf.DUMMYFUNCTION("""COMPUTED_VALUE"""),390812.49998842593)</f>
        <v/>
      </c>
      <c r="W155" s="469">
        <f>IFERROR(__xludf.DUMMYFUNCTION("""COMPUTED_VALUE"""),"catchcopy_character_chara_mad_00001.png")</f>
        <v/>
      </c>
      <c r="X155" s="469">
        <f>IFERROR(__xludf.DUMMYFUNCTION("""COMPUTED_VALUE"""),"enemy_icon_chara_mad_00001")</f>
        <v/>
      </c>
      <c r="Y155" s="469">
        <f>IFERROR(__xludf.DUMMYFUNCTION("""COMPUTED_VALUE"""),"boss_icon_chara_mad_00001")</f>
        <v/>
      </c>
      <c r="Z155" s="469" t="n"/>
      <c r="AA155" s="469" t="n"/>
    </row>
    <row r="156">
      <c r="A156" s="468">
        <f>IFERROR(__xludf.DUMMYFUNCTION("""COMPUTED_VALUE"""),"mad")</f>
        <v/>
      </c>
      <c r="B156" s="469">
        <f>IFERROR(__xludf.DUMMYFUNCTION("""COMPUTED_VALUE"""),"MAD")</f>
        <v/>
      </c>
      <c r="C156" s="470">
        <f>IFERROR(__xludf.DUMMYFUNCTION("""COMPUTED_VALUE"""),"00101")</f>
        <v/>
      </c>
      <c r="D156" s="469">
        <f>IFERROR(__xludf.DUMMYFUNCTION("""COMPUTED_VALUE"""),"chara_mad_00101")</f>
        <v/>
      </c>
      <c r="E156" s="469">
        <f>IFERROR(__xludf.DUMMYFUNCTION("""COMPUTED_VALUE"""),"パノ")</f>
        <v/>
      </c>
      <c r="F156" s="469">
        <f>IFERROR(__xludf.DUMMYFUNCTION("""COMPUTED_VALUE"""),"選定中")</f>
        <v/>
      </c>
      <c r="G156" s="469" t="n"/>
      <c r="H156" s="469">
        <f>IFERROR(__xludf.DUMMYFUNCTION("""COMPUTED_VALUE"""),"UR")</f>
        <v/>
      </c>
      <c r="I156" s="469">
        <f>IFERROR(__xludf.DUMMYFUNCTION("""COMPUTED_VALUE"""),"PremiumUR")</f>
        <v/>
      </c>
      <c r="J156" s="469">
        <f>IFERROR(__xludf.DUMMYFUNCTION("""COMPUTED_VALUE"""),"赤")</f>
        <v/>
      </c>
      <c r="K156" s="469">
        <f>IFERROR(__xludf.DUMMYFUNCTION("""COMPUTED_VALUE"""),"chara")</f>
        <v/>
      </c>
      <c r="L156" s="469">
        <f>IFERROR(__xludf.DUMMYFUNCTION("""COMPUTED_VALUE"""),"テクニカル")</f>
        <v/>
      </c>
      <c r="M156" s="469" t="n"/>
      <c r="N156" s="469" t="n"/>
      <c r="O156" s="469" t="n"/>
      <c r="P156" s="471" t="n"/>
      <c r="Q156" s="470">
        <f>IFERROR(__xludf.DUMMYFUNCTION("""COMPUTED_VALUE"""),"1.23")</f>
        <v/>
      </c>
      <c r="R156" s="470">
        <f>IFERROR(__xludf.DUMMYFUNCTION("""COMPUTED_VALUE"""),"0.4")</f>
        <v/>
      </c>
      <c r="S156" s="470">
        <f>IFERROR(__xludf.DUMMYFUNCTION("""COMPUTED_VALUE"""),"3.17")</f>
        <v/>
      </c>
      <c r="T156" s="470">
        <f>IFERROR(__xludf.DUMMYFUNCTION("""COMPUTED_VALUE"""),"stop有 :1回目 1")</f>
        <v/>
      </c>
      <c r="U156" s="469">
        <f>IFERROR(__xludf.DUMMYFUNCTION("""COMPUTED_VALUE"""),"2026/06/上旬")</f>
        <v/>
      </c>
      <c r="V156" s="472">
        <f>IFERROR(__xludf.DUMMYFUNCTION("""COMPUTED_VALUE"""),390812.49998842593)</f>
        <v/>
      </c>
      <c r="W156" s="469">
        <f>IFERROR(__xludf.DUMMYFUNCTION("""COMPUTED_VALUE"""),"catchcopy_character_chara_mad_00101.png")</f>
        <v/>
      </c>
      <c r="X156" s="469">
        <f>IFERROR(__xludf.DUMMYFUNCTION("""COMPUTED_VALUE"""),"enemy_icon_chara_mad_00101")</f>
        <v/>
      </c>
      <c r="Y156" s="469">
        <f>IFERROR(__xludf.DUMMYFUNCTION("""COMPUTED_VALUE"""),"boss_icon_chara_mad_00101")</f>
        <v/>
      </c>
      <c r="Z156" s="469" t="n"/>
      <c r="AA156" s="469" t="n"/>
    </row>
    <row r="157">
      <c r="A157" s="468">
        <f>IFERROR(__xludf.DUMMYFUNCTION("""COMPUTED_VALUE"""),"mad")</f>
        <v/>
      </c>
      <c r="B157" s="469">
        <f>IFERROR(__xludf.DUMMYFUNCTION("""COMPUTED_VALUE"""),"MAD")</f>
        <v/>
      </c>
      <c r="C157" s="470">
        <f>IFERROR(__xludf.DUMMYFUNCTION("""COMPUTED_VALUE"""),"00201")</f>
        <v/>
      </c>
      <c r="D157" s="469">
        <f>IFERROR(__xludf.DUMMYFUNCTION("""COMPUTED_VALUE"""),"chara_mad_00201")</f>
        <v/>
      </c>
      <c r="E157" s="469">
        <f>IFERROR(__xludf.DUMMYFUNCTION("""COMPUTED_VALUE"""),"アルダ")</f>
        <v/>
      </c>
      <c r="F157" s="469">
        <f>IFERROR(__xludf.DUMMYFUNCTION("""COMPUTED_VALUE"""),"選定中")</f>
        <v/>
      </c>
      <c r="G157" s="469" t="n"/>
      <c r="H157" s="469">
        <f>IFERROR(__xludf.DUMMYFUNCTION("""COMPUTED_VALUE"""),"SR")</f>
        <v/>
      </c>
      <c r="I157" s="469">
        <f>IFERROR(__xludf.DUMMYFUNCTION("""COMPUTED_VALUE"""),"DropSR")</f>
        <v/>
      </c>
      <c r="J157" s="469">
        <f>IFERROR(__xludf.DUMMYFUNCTION("""COMPUTED_VALUE"""),"赤")</f>
        <v/>
      </c>
      <c r="K157" s="469">
        <f>IFERROR(__xludf.DUMMYFUNCTION("""COMPUTED_VALUE"""),"chara")</f>
        <v/>
      </c>
      <c r="L157" s="469">
        <f>IFERROR(__xludf.DUMMYFUNCTION("""COMPUTED_VALUE"""),"ディフェンス")</f>
        <v/>
      </c>
      <c r="M157" s="469" t="n"/>
      <c r="N157" s="469" t="n"/>
      <c r="O157" s="469" t="n"/>
      <c r="P157" s="471" t="n"/>
      <c r="Q157" s="470">
        <f>IFERROR(__xludf.DUMMYFUNCTION("""COMPUTED_VALUE"""),"1.33")</f>
        <v/>
      </c>
      <c r="R157" s="470">
        <f>IFERROR(__xludf.DUMMYFUNCTION("""COMPUTED_VALUE"""),"stop有 :1回目 0.43")</f>
        <v/>
      </c>
      <c r="S157" s="470">
        <f>IFERROR(__xludf.DUMMYFUNCTION("""COMPUTED_VALUE"""),"2.4")</f>
        <v/>
      </c>
      <c r="T157" s="470">
        <f>IFERROR(__xludf.DUMMYFUNCTION("""COMPUTED_VALUE"""),"stop無:1回目 0.26
stop無:2回目 0.4
stop有:3回目 1.23")</f>
        <v/>
      </c>
      <c r="U157" s="469">
        <f>IFERROR(__xludf.DUMMYFUNCTION("""COMPUTED_VALUE"""),"2026/06/上旬")</f>
        <v/>
      </c>
      <c r="V157" s="472">
        <f>IFERROR(__xludf.DUMMYFUNCTION("""COMPUTED_VALUE"""),390812.49998842593)</f>
        <v/>
      </c>
      <c r="W157" s="469">
        <f>IFERROR(__xludf.DUMMYFUNCTION("""COMPUTED_VALUE"""),"catchcopy_character_chara_mad_00201.png")</f>
        <v/>
      </c>
      <c r="X157" s="469">
        <f>IFERROR(__xludf.DUMMYFUNCTION("""COMPUTED_VALUE"""),"enemy_icon_chara_mad_00201")</f>
        <v/>
      </c>
      <c r="Y157" s="469">
        <f>IFERROR(__xludf.DUMMYFUNCTION("""COMPUTED_VALUE"""),"boss_icon_chara_mad_00201")</f>
        <v/>
      </c>
      <c r="Z157" s="469" t="n"/>
      <c r="AA157" s="469" t="n"/>
    </row>
    <row r="158">
      <c r="A158" s="468">
        <f>IFERROR(__xludf.DUMMYFUNCTION("""COMPUTED_VALUE"""),"mad")</f>
        <v/>
      </c>
      <c r="B158" s="469">
        <f>IFERROR(__xludf.DUMMYFUNCTION("""COMPUTED_VALUE"""),"MAD")</f>
        <v/>
      </c>
      <c r="C158" s="470">
        <f>IFERROR(__xludf.DUMMYFUNCTION("""COMPUTED_VALUE"""),"00301")</f>
        <v/>
      </c>
      <c r="D158" s="469">
        <f>IFERROR(__xludf.DUMMYFUNCTION("""COMPUTED_VALUE"""),"chara_mad_00301")</f>
        <v/>
      </c>
      <c r="E158" s="469">
        <f>IFERROR(__xludf.DUMMYFUNCTION("""COMPUTED_VALUE"""),"ボブ")</f>
        <v/>
      </c>
      <c r="F158" s="469">
        <f>IFERROR(__xludf.DUMMYFUNCTION("""COMPUTED_VALUE"""),"選定中")</f>
        <v/>
      </c>
      <c r="G158" s="469" t="n"/>
      <c r="H158" s="469">
        <f>IFERROR(__xludf.DUMMYFUNCTION("""COMPUTED_VALUE"""),"SR")</f>
        <v/>
      </c>
      <c r="I158" s="469">
        <f>IFERROR(__xludf.DUMMYFUNCTION("""COMPUTED_VALUE"""),"DropSR")</f>
        <v/>
      </c>
      <c r="J158" s="469">
        <f>IFERROR(__xludf.DUMMYFUNCTION("""COMPUTED_VALUE"""),"緑")</f>
        <v/>
      </c>
      <c r="K158" s="469">
        <f>IFERROR(__xludf.DUMMYFUNCTION("""COMPUTED_VALUE"""),"chara")</f>
        <v/>
      </c>
      <c r="L158" s="469">
        <f>IFERROR(__xludf.DUMMYFUNCTION("""COMPUTED_VALUE"""),"サポート")</f>
        <v/>
      </c>
      <c r="M158" s="469" t="n"/>
      <c r="N158" s="469" t="n"/>
      <c r="O158" s="469" t="n"/>
      <c r="P158" s="471" t="n"/>
      <c r="Q158" s="470">
        <f>IFERROR(__xludf.DUMMYFUNCTION("""COMPUTED_VALUE"""),"1.72")</f>
        <v/>
      </c>
      <c r="R158" s="470">
        <f>IFERROR(__xludf.DUMMYFUNCTION("""COMPUTED_VALUE"""),"stop有 :1回目 0.71")</f>
        <v/>
      </c>
      <c r="S158" s="470">
        <f>IFERROR(__xludf.DUMMYFUNCTION("""COMPUTED_VALUE"""),"2.13")</f>
        <v/>
      </c>
      <c r="T158" s="470">
        <f>IFERROR(__xludf.DUMMYFUNCTION("""COMPUTED_VALUE"""),"stop無:1回目 0.5")</f>
        <v/>
      </c>
      <c r="U158" s="469">
        <f>IFERROR(__xludf.DUMMYFUNCTION("""COMPUTED_VALUE"""),"2026/06/上旬")</f>
        <v/>
      </c>
      <c r="V158" s="472">
        <f>IFERROR(__xludf.DUMMYFUNCTION("""COMPUTED_VALUE"""),390812.49998842593)</f>
        <v/>
      </c>
      <c r="W158" s="469">
        <f>IFERROR(__xludf.DUMMYFUNCTION("""COMPUTED_VALUE"""),"catchcopy_character_chara_mad_00301.png")</f>
        <v/>
      </c>
      <c r="X158" s="469">
        <f>IFERROR(__xludf.DUMMYFUNCTION("""COMPUTED_VALUE"""),"enemy_icon_chara_mad_00301")</f>
        <v/>
      </c>
      <c r="Y158" s="469">
        <f>IFERROR(__xludf.DUMMYFUNCTION("""COMPUTED_VALUE"""),"boss_icon_chara_mad_00301")</f>
        <v/>
      </c>
      <c r="Z158" s="469" t="n"/>
      <c r="AA158" s="469" t="n"/>
    </row>
    <row r="159">
      <c r="A159" s="468">
        <f>IFERROR(__xludf.DUMMYFUNCTION("""COMPUTED_VALUE"""),"syu")</f>
        <v/>
      </c>
      <c r="B159" s="469">
        <f>IFERROR(__xludf.DUMMYFUNCTION("""COMPUTED_VALUE"""),"終末のハーレム")</f>
        <v/>
      </c>
      <c r="C159" s="470">
        <f>IFERROR(__xludf.DUMMYFUNCTION("""COMPUTED_VALUE"""),"00001")</f>
        <v/>
      </c>
      <c r="D159" s="469">
        <f>IFERROR(__xludf.DUMMYFUNCTION("""COMPUTED_VALUE"""),"chara_syu_00001")</f>
        <v/>
      </c>
      <c r="E159" s="469">
        <f>IFERROR(__xludf.DUMMYFUNCTION("""COMPUTED_VALUE"""),"周防 美来")</f>
        <v/>
      </c>
      <c r="F159" s="469">
        <f>IFERROR(__xludf.DUMMYFUNCTION("""COMPUTED_VALUE"""),"選定中")</f>
        <v/>
      </c>
      <c r="G159" s="469" t="n"/>
      <c r="H159" s="469">
        <f>IFERROR(__xludf.DUMMYFUNCTION("""COMPUTED_VALUE"""),"UR")</f>
        <v/>
      </c>
      <c r="I159" s="469">
        <f>IFERROR(__xludf.DUMMYFUNCTION("""COMPUTED_VALUE"""),"PremiumUR")</f>
        <v/>
      </c>
      <c r="J159" s="469">
        <f>IFERROR(__xludf.DUMMYFUNCTION("""COMPUTED_VALUE"""),"緑")</f>
        <v/>
      </c>
      <c r="K159" s="469">
        <f>IFERROR(__xludf.DUMMYFUNCTION("""COMPUTED_VALUE"""),"chara")</f>
        <v/>
      </c>
      <c r="L159" s="469">
        <f>IFERROR(__xludf.DUMMYFUNCTION("""COMPUTED_VALUE"""),"サポート")</f>
        <v/>
      </c>
      <c r="M159" s="469" t="n"/>
      <c r="N159" s="469" t="n"/>
      <c r="O159" s="469" t="n"/>
      <c r="P159" s="471" t="n"/>
      <c r="Q159" s="470">
        <f>IFERROR(__xludf.DUMMYFUNCTION("""COMPUTED_VALUE"""),"1.70")</f>
        <v/>
      </c>
      <c r="R159" s="470">
        <f>IFERROR(__xludf.DUMMYFUNCTION("""COMPUTED_VALUE"""),"stop有 :1回目 0.66")</f>
        <v/>
      </c>
      <c r="S159" s="470">
        <f>IFERROR(__xludf.DUMMYFUNCTION("""COMPUTED_VALUE"""),"3.1")</f>
        <v/>
      </c>
      <c r="T159" s="470">
        <f>IFERROR(__xludf.DUMMYFUNCTION("""COMPUTED_VALUE"""),"stop無:1回目 1.18")</f>
        <v/>
      </c>
      <c r="U159" s="469">
        <f>IFERROR(__xludf.DUMMYFUNCTION("""COMPUTED_VALUE"""),"2026/06/中旬")</f>
        <v/>
      </c>
      <c r="V159" s="472">
        <f>IFERROR(__xludf.DUMMYFUNCTION("""COMPUTED_VALUE"""),390812.49998842593)</f>
        <v/>
      </c>
      <c r="W159" s="469">
        <f>IFERROR(__xludf.DUMMYFUNCTION("""COMPUTED_VALUE"""),"catchcopy_character_chara_syu_00001.png")</f>
        <v/>
      </c>
      <c r="X159" s="469">
        <f>IFERROR(__xludf.DUMMYFUNCTION("""COMPUTED_VALUE"""),"enemy_icon_chara_syu_00001")</f>
        <v/>
      </c>
      <c r="Y159" s="469">
        <f>IFERROR(__xludf.DUMMYFUNCTION("""COMPUTED_VALUE"""),"boss_icon_chara_syu_00001")</f>
        <v/>
      </c>
      <c r="Z159" s="469" t="n"/>
      <c r="AA159" s="469" t="n"/>
    </row>
    <row r="160">
      <c r="A160" s="468">
        <f>IFERROR(__xludf.DUMMYFUNCTION("""COMPUTED_VALUE"""),"aft")</f>
        <v/>
      </c>
      <c r="B160" s="469">
        <f>IFERROR(__xludf.DUMMYFUNCTION("""COMPUTED_VALUE"""),"終末のハーレム After World")</f>
        <v/>
      </c>
      <c r="C160" s="470">
        <f>IFERROR(__xludf.DUMMYFUNCTION("""COMPUTED_VALUE"""),"00001")</f>
        <v/>
      </c>
      <c r="D160" s="469">
        <f>IFERROR(__xludf.DUMMYFUNCTION("""COMPUTED_VALUE"""),"chara_aft_00001")</f>
        <v/>
      </c>
      <c r="E160" s="469">
        <f>IFERROR(__xludf.DUMMYFUNCTION("""COMPUTED_VALUE"""),"溝下 乃薔薇")</f>
        <v/>
      </c>
      <c r="F160" s="469">
        <f>IFERROR(__xludf.DUMMYFUNCTION("""COMPUTED_VALUE"""),"選定中")</f>
        <v/>
      </c>
      <c r="G160" s="469" t="n"/>
      <c r="H160" s="469">
        <f>IFERROR(__xludf.DUMMYFUNCTION("""COMPUTED_VALUE"""),"UR")</f>
        <v/>
      </c>
      <c r="I160" s="469">
        <f>IFERROR(__xludf.DUMMYFUNCTION("""COMPUTED_VALUE"""),"PremiumUR")</f>
        <v/>
      </c>
      <c r="J160" s="469">
        <f>IFERROR(__xludf.DUMMYFUNCTION("""COMPUTED_VALUE"""),"赤")</f>
        <v/>
      </c>
      <c r="K160" s="469">
        <f>IFERROR(__xludf.DUMMYFUNCTION("""COMPUTED_VALUE"""),"chara")</f>
        <v/>
      </c>
      <c r="L160" s="469">
        <f>IFERROR(__xludf.DUMMYFUNCTION("""COMPUTED_VALUE"""),"ディフェンス")</f>
        <v/>
      </c>
      <c r="M160" s="469" t="n"/>
      <c r="N160" s="469" t="n"/>
      <c r="O160" s="469" t="n"/>
      <c r="P160" s="471" t="n"/>
      <c r="Q160" s="470">
        <f>IFERROR(__xludf.DUMMYFUNCTION("""COMPUTED_VALUE"""),"1.75")</f>
        <v/>
      </c>
      <c r="R160" s="470">
        <f>IFERROR(__xludf.DUMMYFUNCTION("""COMPUTED_VALUE"""),"stop有:1回目 1.08")</f>
        <v/>
      </c>
      <c r="S160" s="470">
        <f>IFERROR(__xludf.DUMMYFUNCTION("""COMPUTED_VALUE"""),"3.63")</f>
        <v/>
      </c>
      <c r="T160" s="470">
        <f>IFERROR(__xludf.DUMMYFUNCTION("""COMPUTED_VALUE"""),"stop無:1回目 1.08")</f>
        <v/>
      </c>
      <c r="U160" s="469">
        <f>IFERROR(__xludf.DUMMYFUNCTION("""COMPUTED_VALUE"""),"2026/06/中旬")</f>
        <v/>
      </c>
      <c r="V160" s="472">
        <f>IFERROR(__xludf.DUMMYFUNCTION("""COMPUTED_VALUE"""),390812.49998842593)</f>
        <v/>
      </c>
      <c r="W160" s="469">
        <f>IFERROR(__xludf.DUMMYFUNCTION("""COMPUTED_VALUE"""),"catchcopy_character_chara_aft_00001.png")</f>
        <v/>
      </c>
      <c r="X160" s="469">
        <f>IFERROR(__xludf.DUMMYFUNCTION("""COMPUTED_VALUE"""),"enemy_icon_chara_aft_00001")</f>
        <v/>
      </c>
      <c r="Y160" s="469">
        <f>IFERROR(__xludf.DUMMYFUNCTION("""COMPUTED_VALUE"""),"boss_icon_chara_aft_00001")</f>
        <v/>
      </c>
      <c r="Z160" s="469" t="n"/>
      <c r="AA160" s="469" t="n"/>
    </row>
    <row r="161">
      <c r="A161" s="468">
        <f>IFERROR(__xludf.DUMMYFUNCTION("""COMPUTED_VALUE"""),"kut")</f>
        <v/>
      </c>
      <c r="B161" s="469">
        <f>IFERROR(__xludf.DUMMYFUNCTION("""COMPUTED_VALUE"""),"口が裂けても君には")</f>
        <v/>
      </c>
      <c r="C161" s="470">
        <f>IFERROR(__xludf.DUMMYFUNCTION("""COMPUTED_VALUE"""),"00001")</f>
        <v/>
      </c>
      <c r="D161" s="469">
        <f>IFERROR(__xludf.DUMMYFUNCTION("""COMPUTED_VALUE"""),"chara_kut_00001")</f>
        <v/>
      </c>
      <c r="E161" s="469">
        <f>IFERROR(__xludf.DUMMYFUNCTION("""COMPUTED_VALUE"""),"みろく")</f>
        <v/>
      </c>
      <c r="F161" s="469">
        <f>IFERROR(__xludf.DUMMYFUNCTION("""COMPUTED_VALUE"""),"選定中")</f>
        <v/>
      </c>
      <c r="G161" s="469" t="n"/>
      <c r="H161" s="469">
        <f>IFERROR(__xludf.DUMMYFUNCTION("""COMPUTED_VALUE"""),"UR")</f>
        <v/>
      </c>
      <c r="I161" s="469">
        <f>IFERROR(__xludf.DUMMYFUNCTION("""COMPUTED_VALUE"""),"PremiumUR")</f>
        <v/>
      </c>
      <c r="J161" s="469">
        <f>IFERROR(__xludf.DUMMYFUNCTION("""COMPUTED_VALUE"""),"青")</f>
        <v/>
      </c>
      <c r="K161" s="469">
        <f>IFERROR(__xludf.DUMMYFUNCTION("""COMPUTED_VALUE"""),"chara")</f>
        <v/>
      </c>
      <c r="L161" s="469">
        <f>IFERROR(__xludf.DUMMYFUNCTION("""COMPUTED_VALUE"""),"テクニカル")</f>
        <v/>
      </c>
      <c r="M161" s="469" t="n"/>
      <c r="N161" s="469" t="n"/>
      <c r="O161" s="469" t="n"/>
      <c r="P161" s="471" t="n"/>
      <c r="Q161" s="470">
        <f>IFERROR(__xludf.DUMMYFUNCTION("""COMPUTED_VALUE"""),"1.67")</f>
        <v/>
      </c>
      <c r="R161" s="470">
        <f>IFERROR(__xludf.DUMMYFUNCTION("""COMPUTED_VALUE"""),"stop有:1回目 0.5")</f>
        <v/>
      </c>
      <c r="S161" s="470">
        <f>IFERROR(__xludf.DUMMYFUNCTION("""COMPUTED_VALUE"""),"3.43")</f>
        <v/>
      </c>
      <c r="T161" s="470">
        <f>IFERROR(__xludf.DUMMYFUNCTION("""COMPUTED_VALUE"""),"stop無:1回目 0.61")</f>
        <v/>
      </c>
      <c r="U161" s="469">
        <f>IFERROR(__xludf.DUMMYFUNCTION("""COMPUTED_VALUE"""),"2026/06/中旬")</f>
        <v/>
      </c>
      <c r="V161" s="472">
        <f>IFERROR(__xludf.DUMMYFUNCTION("""COMPUTED_VALUE"""),390812.49998842593)</f>
        <v/>
      </c>
      <c r="W161" s="469">
        <f>IFERROR(__xludf.DUMMYFUNCTION("""COMPUTED_VALUE"""),"catchcopy_character_chara_kut_00001.png")</f>
        <v/>
      </c>
      <c r="X161" s="469">
        <f>IFERROR(__xludf.DUMMYFUNCTION("""COMPUTED_VALUE"""),"enemy_icon_chara_kut_00001")</f>
        <v/>
      </c>
      <c r="Y161" s="469">
        <f>IFERROR(__xludf.DUMMYFUNCTION("""COMPUTED_VALUE"""),"boss_icon_chara_kut_00001")</f>
        <v/>
      </c>
      <c r="Z161" s="469" t="n"/>
      <c r="AA161" s="469" t="n"/>
    </row>
    <row r="162">
      <c r="A162" s="468">
        <f>IFERROR(__xludf.DUMMYFUNCTION("""COMPUTED_VALUE"""),"san")</f>
        <v/>
      </c>
      <c r="B162" s="469">
        <f>IFERROR(__xludf.DUMMYFUNCTION("""COMPUTED_VALUE"""),"サンキューピッチ")</f>
        <v/>
      </c>
      <c r="C162" s="470">
        <f>IFERROR(__xludf.DUMMYFUNCTION("""COMPUTED_VALUE"""),"00001")</f>
        <v/>
      </c>
      <c r="D162" s="469">
        <f>IFERROR(__xludf.DUMMYFUNCTION("""COMPUTED_VALUE"""),"chara_san_00001")</f>
        <v/>
      </c>
      <c r="E162" s="469">
        <f>IFERROR(__xludf.DUMMYFUNCTION("""COMPUTED_VALUE"""),"桐山 不折")</f>
        <v/>
      </c>
      <c r="F162" s="469">
        <f>IFERROR(__xludf.DUMMYFUNCTION("""COMPUTED_VALUE"""),"選定中")</f>
        <v/>
      </c>
      <c r="G162" s="469" t="n"/>
      <c r="H162" s="469">
        <f>IFERROR(__xludf.DUMMYFUNCTION("""COMPUTED_VALUE"""),"UR")</f>
        <v/>
      </c>
      <c r="I162" s="469">
        <f>IFERROR(__xludf.DUMMYFUNCTION("""COMPUTED_VALUE"""),"PremiumUR")</f>
        <v/>
      </c>
      <c r="J162" s="469">
        <f>IFERROR(__xludf.DUMMYFUNCTION("""COMPUTED_VALUE"""),"黄")</f>
        <v/>
      </c>
      <c r="K162" s="469">
        <f>IFERROR(__xludf.DUMMYFUNCTION("""COMPUTED_VALUE"""),"chara")</f>
        <v/>
      </c>
      <c r="L162" s="469">
        <f>IFERROR(__xludf.DUMMYFUNCTION("""COMPUTED_VALUE"""),"アタック")</f>
        <v/>
      </c>
      <c r="M162" s="469" t="n"/>
      <c r="N162" s="469" t="n"/>
      <c r="O162" s="469" t="n"/>
      <c r="P162" s="471" t="n"/>
      <c r="Q162" s="470">
        <f>IFERROR(__xludf.DUMMYFUNCTION("""COMPUTED_VALUE"""),"1.63")</f>
        <v/>
      </c>
      <c r="R162" s="470">
        <f>IFERROR(__xludf.DUMMYFUNCTION("""COMPUTED_VALUE"""),"stop有:1回目 0.58")</f>
        <v/>
      </c>
      <c r="S162" s="470">
        <f>IFERROR(__xludf.DUMMYFUNCTION("""COMPUTED_VALUE"""),"2.85")</f>
        <v/>
      </c>
      <c r="T162" s="470">
        <f>IFERROR(__xludf.DUMMYFUNCTION("""COMPUTED_VALUE"""),"stop有 :1回目 1.18")</f>
        <v/>
      </c>
      <c r="U162" s="469" t="n"/>
      <c r="V162" s="469" t="n"/>
      <c r="W162" s="469" t="n"/>
      <c r="X162" s="469" t="n"/>
      <c r="Y162" s="469" t="n"/>
      <c r="Z162" s="469" t="n"/>
      <c r="AA162" s="469" t="n"/>
    </row>
    <row r="163">
      <c r="A163" s="468">
        <f>IFERROR(__xludf.DUMMYFUNCTION("""COMPUTED_VALUE"""),"san")</f>
        <v/>
      </c>
      <c r="B163" s="469">
        <f>IFERROR(__xludf.DUMMYFUNCTION("""COMPUTED_VALUE"""),"サンキューピッチ")</f>
        <v/>
      </c>
      <c r="C163" s="470">
        <f>IFERROR(__xludf.DUMMYFUNCTION("""COMPUTED_VALUE"""),"00101")</f>
        <v/>
      </c>
      <c r="D163" s="469">
        <f>IFERROR(__xludf.DUMMYFUNCTION("""COMPUTED_VALUE"""),"chara_san_00101")</f>
        <v/>
      </c>
      <c r="E163" s="469">
        <f>IFERROR(__xludf.DUMMYFUNCTION("""COMPUTED_VALUE"""),"三馬 正磨")</f>
        <v/>
      </c>
      <c r="F163" s="469">
        <f>IFERROR(__xludf.DUMMYFUNCTION("""COMPUTED_VALUE"""),"選定中")</f>
        <v/>
      </c>
      <c r="G163" s="469" t="n"/>
      <c r="H163" s="469">
        <f>IFERROR(__xludf.DUMMYFUNCTION("""COMPUTED_VALUE"""),"SR")</f>
        <v/>
      </c>
      <c r="I163" s="469">
        <f>IFERROR(__xludf.DUMMYFUNCTION("""COMPUTED_VALUE"""),"DropSR")</f>
        <v/>
      </c>
      <c r="J163" s="469">
        <f>IFERROR(__xludf.DUMMYFUNCTION("""COMPUTED_VALUE"""),"赤")</f>
        <v/>
      </c>
      <c r="K163" s="469">
        <f>IFERROR(__xludf.DUMMYFUNCTION("""COMPUTED_VALUE"""),"chara")</f>
        <v/>
      </c>
      <c r="L163" s="469">
        <f>IFERROR(__xludf.DUMMYFUNCTION("""COMPUTED_VALUE"""),"アタック")</f>
        <v/>
      </c>
      <c r="M163" s="469" t="n"/>
      <c r="N163" s="469" t="n"/>
      <c r="O163" s="469" t="n"/>
      <c r="P163" s="471" t="n"/>
      <c r="Q163" s="470">
        <f>IFERROR(__xludf.DUMMYFUNCTION("""COMPUTED_VALUE"""),"1.57")</f>
        <v/>
      </c>
      <c r="R163" s="470">
        <f>IFERROR(__xludf.DUMMYFUNCTION("""COMPUTED_VALUE"""),"stop有:1回目 0.81")</f>
        <v/>
      </c>
      <c r="S163" s="470">
        <f>IFERROR(__xludf.DUMMYFUNCTION("""COMPUTED_VALUE"""),"2.67")</f>
        <v/>
      </c>
      <c r="T163" s="470">
        <f>IFERROR(__xludf.DUMMYFUNCTION("""COMPUTED_VALUE"""),"stop有 :1回目 1.6")</f>
        <v/>
      </c>
      <c r="U163" s="469" t="n"/>
      <c r="V163" s="469" t="n"/>
      <c r="W163" s="469" t="n"/>
      <c r="X163" s="469" t="n"/>
      <c r="Y163" s="469" t="n"/>
      <c r="Z163" s="469" t="n"/>
      <c r="AA163" s="469" t="n"/>
    </row>
    <row r="164">
      <c r="A164" s="468">
        <f>IFERROR(__xludf.DUMMYFUNCTION("""COMPUTED_VALUE"""),"sei")</f>
        <v/>
      </c>
      <c r="B164" s="469">
        <f>IFERROR(__xludf.DUMMYFUNCTION("""COMPUTED_VALUE"""),"正反対な君と僕")</f>
        <v/>
      </c>
      <c r="C164" s="470">
        <f>IFERROR(__xludf.DUMMYFUNCTION("""COMPUTED_VALUE"""),"00001")</f>
        <v/>
      </c>
      <c r="D164" s="469">
        <f>IFERROR(__xludf.DUMMYFUNCTION("""COMPUTED_VALUE"""),"chara_sei_00001")</f>
        <v/>
      </c>
      <c r="E164" s="469">
        <f>IFERROR(__xludf.DUMMYFUNCTION("""COMPUTED_VALUE"""),"鈴木 みゆ")</f>
        <v/>
      </c>
      <c r="F164" s="469">
        <f>IFERROR(__xludf.DUMMYFUNCTION("""COMPUTED_VALUE"""),"選定中")</f>
        <v/>
      </c>
      <c r="G164" s="469" t="n"/>
      <c r="H164" s="469">
        <f>IFERROR(__xludf.DUMMYFUNCTION("""COMPUTED_VALUE"""),"UR")</f>
        <v/>
      </c>
      <c r="I164" s="469">
        <f>IFERROR(__xludf.DUMMYFUNCTION("""COMPUTED_VALUE"""),"PremiumUR")</f>
        <v/>
      </c>
      <c r="J164" s="469">
        <f>IFERROR(__xludf.DUMMYFUNCTION("""COMPUTED_VALUE"""),"赤")</f>
        <v/>
      </c>
      <c r="K164" s="469">
        <f>IFERROR(__xludf.DUMMYFUNCTION("""COMPUTED_VALUE"""),"chara")</f>
        <v/>
      </c>
      <c r="L164" s="469">
        <f>IFERROR(__xludf.DUMMYFUNCTION("""COMPUTED_VALUE"""),"ディフェンス")</f>
        <v/>
      </c>
      <c r="M164" s="469" t="n"/>
      <c r="N164" s="469" t="n"/>
      <c r="O164" s="469" t="n"/>
      <c r="P164" s="471" t="n"/>
      <c r="Q164" s="469" t="n"/>
      <c r="R164" s="469" t="n"/>
      <c r="S164" s="469" t="n"/>
      <c r="T164" s="469" t="n"/>
      <c r="U164" s="469" t="n"/>
      <c r="V164" s="469" t="n"/>
      <c r="W164" s="469" t="n"/>
      <c r="X164" s="469" t="n"/>
      <c r="Y164" s="469" t="n"/>
      <c r="Z164" s="469" t="n"/>
      <c r="AA164" s="469" t="n"/>
    </row>
    <row r="165">
      <c r="A165" s="468">
        <f>IFERROR(__xludf.DUMMYFUNCTION("""COMPUTED_VALUE"""),"kus")</f>
        <v/>
      </c>
      <c r="B165" s="469">
        <f>IFERROR(__xludf.DUMMYFUNCTION("""COMPUTED_VALUE"""),"クソ女に幸あれ")</f>
        <v/>
      </c>
      <c r="C165" s="470">
        <f>IFERROR(__xludf.DUMMYFUNCTION("""COMPUTED_VALUE"""),"00001")</f>
        <v/>
      </c>
      <c r="D165" s="469">
        <f>IFERROR(__xludf.DUMMYFUNCTION("""COMPUTED_VALUE"""),"chara_kus_00001")</f>
        <v/>
      </c>
      <c r="E165" s="469">
        <f>IFERROR(__xludf.DUMMYFUNCTION("""COMPUTED_VALUE"""),"西川 檸檬
")</f>
        <v/>
      </c>
      <c r="F165" s="469">
        <f>IFERROR(__xludf.DUMMYFUNCTION("""COMPUTED_VALUE"""),"選定中")</f>
        <v/>
      </c>
      <c r="G165" s="469" t="n"/>
      <c r="H165" s="469">
        <f>IFERROR(__xludf.DUMMYFUNCTION("""COMPUTED_VALUE"""),"UR")</f>
        <v/>
      </c>
      <c r="I165" s="469">
        <f>IFERROR(__xludf.DUMMYFUNCTION("""COMPUTED_VALUE"""),"PremiumUR")</f>
        <v/>
      </c>
      <c r="J165" s="469">
        <f>IFERROR(__xludf.DUMMYFUNCTION("""COMPUTED_VALUE"""),"青")</f>
        <v/>
      </c>
      <c r="K165" s="469">
        <f>IFERROR(__xludf.DUMMYFUNCTION("""COMPUTED_VALUE"""),"chara")</f>
        <v/>
      </c>
      <c r="L165" s="469">
        <f>IFERROR(__xludf.DUMMYFUNCTION("""COMPUTED_VALUE"""),"テクニカル")</f>
        <v/>
      </c>
      <c r="M165" s="469" t="n"/>
      <c r="N165" s="469" t="n"/>
      <c r="O165" s="469" t="n"/>
      <c r="P165" s="471" t="n"/>
      <c r="Q165" s="469" t="n"/>
      <c r="R165" s="469" t="n"/>
      <c r="S165" s="469" t="n"/>
      <c r="T165" s="469" t="n"/>
      <c r="U165" s="469" t="n"/>
      <c r="V165" s="469" t="n"/>
      <c r="W165" s="469" t="n"/>
      <c r="X165" s="469" t="n"/>
      <c r="Y165" s="469" t="n"/>
      <c r="Z165" s="469" t="n"/>
      <c r="AA165" s="469" t="n"/>
    </row>
    <row r="166">
      <c r="A166" s="468">
        <f>IFERROR(__xludf.DUMMYFUNCTION("""COMPUTED_VALUE"""),"han")</f>
        <v/>
      </c>
      <c r="B166" s="469">
        <f>IFERROR(__xludf.DUMMYFUNCTION("""COMPUTED_VALUE"""),"半人前の恋人")</f>
        <v/>
      </c>
      <c r="C166" s="470">
        <f>IFERROR(__xludf.DUMMYFUNCTION("""COMPUTED_VALUE"""),"00001")</f>
        <v/>
      </c>
      <c r="D166" s="469">
        <f>IFERROR(__xludf.DUMMYFUNCTION("""COMPUTED_VALUE"""),"chara_han_00001")</f>
        <v/>
      </c>
      <c r="E166" s="469">
        <f>IFERROR(__xludf.DUMMYFUNCTION("""COMPUTED_VALUE"""),"杉崎 響子
")</f>
        <v/>
      </c>
      <c r="F166" s="469">
        <f>IFERROR(__xludf.DUMMYFUNCTION("""COMPUTED_VALUE"""),"選定中")</f>
        <v/>
      </c>
      <c r="G166" s="469" t="n"/>
      <c r="H166" s="469">
        <f>IFERROR(__xludf.DUMMYFUNCTION("""COMPUTED_VALUE"""),"SSR")</f>
        <v/>
      </c>
      <c r="I166" s="469">
        <f>IFERROR(__xludf.DUMMYFUNCTION("""COMPUTED_VALUE"""),"PremiumSSR")</f>
        <v/>
      </c>
      <c r="J166" s="469">
        <f>IFERROR(__xludf.DUMMYFUNCTION("""COMPUTED_VALUE"""),"赤")</f>
        <v/>
      </c>
      <c r="K166" s="469">
        <f>IFERROR(__xludf.DUMMYFUNCTION("""COMPUTED_VALUE"""),"chara")</f>
        <v/>
      </c>
      <c r="L166" s="469">
        <f>IFERROR(__xludf.DUMMYFUNCTION("""COMPUTED_VALUE"""),"ディフェンス")</f>
        <v/>
      </c>
      <c r="M166" s="469" t="n"/>
      <c r="N166" s="469" t="n"/>
      <c r="O166" s="469" t="n"/>
      <c r="P166" s="471" t="n"/>
      <c r="Q166" s="469" t="n"/>
      <c r="R166" s="469" t="n"/>
      <c r="S166" s="469" t="n"/>
      <c r="T166" s="469" t="n"/>
      <c r="U166" s="469" t="n"/>
      <c r="V166" s="469" t="n"/>
      <c r="W166" s="469" t="n"/>
      <c r="X166" s="469" t="n"/>
      <c r="Y166" s="469" t="n"/>
      <c r="Z166" s="469" t="n"/>
      <c r="AA166" s="469" t="n"/>
    </row>
    <row r="167">
      <c r="A167" s="468">
        <f>IFERROR(__xludf.DUMMYFUNCTION("""COMPUTED_VALUE"""),"kub")</f>
        <v/>
      </c>
      <c r="B167" s="469">
        <f>IFERROR(__xludf.DUMMYFUNCTION("""COMPUTED_VALUE"""),"久保さんは僕を許さない")</f>
        <v/>
      </c>
      <c r="C167" s="470">
        <f>IFERROR(__xludf.DUMMYFUNCTION("""COMPUTED_VALUE"""),"00001")</f>
        <v/>
      </c>
      <c r="D167" s="469">
        <f>IFERROR(__xludf.DUMMYFUNCTION("""COMPUTED_VALUE"""),"chara_kub_00001")</f>
        <v/>
      </c>
      <c r="E167" s="469">
        <f>IFERROR(__xludf.DUMMYFUNCTION("""COMPUTED_VALUE"""),"久保 渚咲
")</f>
        <v/>
      </c>
      <c r="F167" s="469">
        <f>IFERROR(__xludf.DUMMYFUNCTION("""COMPUTED_VALUE"""),"選定中")</f>
        <v/>
      </c>
      <c r="G167" s="469" t="n"/>
      <c r="H167" s="469">
        <f>IFERROR(__xludf.DUMMYFUNCTION("""COMPUTED_VALUE"""),"SR")</f>
        <v/>
      </c>
      <c r="I167" s="469">
        <f>IFERROR(__xludf.DUMMYFUNCTION("""COMPUTED_VALUE"""),"DropSR")</f>
        <v/>
      </c>
      <c r="J167" s="469">
        <f>IFERROR(__xludf.DUMMYFUNCTION("""COMPUTED_VALUE"""),"緑")</f>
        <v/>
      </c>
      <c r="K167" s="469">
        <f>IFERROR(__xludf.DUMMYFUNCTION("""COMPUTED_VALUE"""),"chara")</f>
        <v/>
      </c>
      <c r="L167" s="469">
        <f>IFERROR(__xludf.DUMMYFUNCTION("""COMPUTED_VALUE"""),"アタック")</f>
        <v/>
      </c>
      <c r="M167" s="469" t="n"/>
      <c r="N167" s="469" t="n"/>
      <c r="O167" s="469" t="n"/>
      <c r="P167" s="471" t="n"/>
      <c r="Q167" s="469" t="n"/>
      <c r="R167" s="469" t="n"/>
      <c r="S167" s="469" t="n"/>
      <c r="T167" s="469" t="n"/>
      <c r="U167" s="469" t="n"/>
      <c r="V167" s="469" t="n"/>
      <c r="W167" s="469" t="n"/>
      <c r="X167" s="469" t="n"/>
      <c r="Y167" s="469" t="n"/>
      <c r="Z167" s="469" t="n"/>
      <c r="AA167" s="469" t="n"/>
    </row>
    <row r="168">
      <c r="A168" s="468">
        <f>IFERROR(__xludf.DUMMYFUNCTION("""COMPUTED_VALUE"""),"c8m")</f>
        <v/>
      </c>
      <c r="B168" s="469">
        <f>IFERROR(__xludf.DUMMYFUNCTION("""COMPUTED_VALUE"""),"ちえりの恋は8メートル")</f>
        <v/>
      </c>
      <c r="C168" s="470">
        <f>IFERROR(__xludf.DUMMYFUNCTION("""COMPUTED_VALUE"""),"00001")</f>
        <v/>
      </c>
      <c r="D168" s="469">
        <f>IFERROR(__xludf.DUMMYFUNCTION("""COMPUTED_VALUE"""),"chara_c8m_00001")</f>
        <v/>
      </c>
      <c r="E168" s="469">
        <f>IFERROR(__xludf.DUMMYFUNCTION("""COMPUTED_VALUE"""),"大峰 ちえり
")</f>
        <v/>
      </c>
      <c r="F168" s="469">
        <f>IFERROR(__xludf.DUMMYFUNCTION("""COMPUTED_VALUE"""),"選定中")</f>
        <v/>
      </c>
      <c r="G168" s="469" t="n"/>
      <c r="H168" s="469">
        <f>IFERROR(__xludf.DUMMYFUNCTION("""COMPUTED_VALUE"""),"SR")</f>
        <v/>
      </c>
      <c r="I168" s="469">
        <f>IFERROR(__xludf.DUMMYFUNCTION("""COMPUTED_VALUE"""),"DropSR")</f>
        <v/>
      </c>
      <c r="J168" s="469">
        <f>IFERROR(__xludf.DUMMYFUNCTION("""COMPUTED_VALUE"""),"無")</f>
        <v/>
      </c>
      <c r="K168" s="469">
        <f>IFERROR(__xludf.DUMMYFUNCTION("""COMPUTED_VALUE"""),"chara")</f>
        <v/>
      </c>
      <c r="L168" s="469">
        <f>IFERROR(__xludf.DUMMYFUNCTION("""COMPUTED_VALUE"""),"スペシャル")</f>
        <v/>
      </c>
      <c r="M168" s="469" t="n"/>
      <c r="N168" s="469" t="n"/>
      <c r="O168" s="469" t="n"/>
      <c r="P168" s="471" t="n"/>
      <c r="Q168" s="469" t="n"/>
      <c r="R168" s="469" t="n"/>
      <c r="S168" s="469" t="n"/>
      <c r="T168" s="469" t="n"/>
      <c r="U168" s="469" t="n"/>
      <c r="V168" s="469" t="n"/>
      <c r="W168" s="469" t="n"/>
      <c r="X168" s="469" t="n"/>
      <c r="Y168" s="469" t="n"/>
      <c r="Z168" s="469" t="n"/>
      <c r="AA168" s="469" t="n"/>
    </row>
    <row r="169">
      <c r="A169" s="468">
        <f>IFERROR(__xludf.DUMMYFUNCTION("""COMPUTED_VALUE"""),"fan")</f>
        <v/>
      </c>
      <c r="B169" s="469">
        <f>IFERROR(__xludf.DUMMYFUNCTION("""COMPUTED_VALUE"""),"終末のハーレム ファンタジア")</f>
        <v/>
      </c>
      <c r="C169" s="470">
        <f>IFERROR(__xludf.DUMMYFUNCTION("""COMPUTED_VALUE"""),"00001")</f>
        <v/>
      </c>
      <c r="D169" s="469">
        <f>IFERROR(__xludf.DUMMYFUNCTION("""COMPUTED_VALUE"""),"chara_fan_00001")</f>
        <v/>
      </c>
      <c r="E169" s="469">
        <f>IFERROR(__xludf.DUMMYFUNCTION("""COMPUTED_VALUE"""),"ラティ")</f>
        <v/>
      </c>
      <c r="F169" s="469">
        <f>IFERROR(__xludf.DUMMYFUNCTION("""COMPUTED_VALUE"""),"選定中")</f>
        <v/>
      </c>
      <c r="G169" s="469" t="n"/>
      <c r="H169" s="469">
        <f>IFERROR(__xludf.DUMMYFUNCTION("""COMPUTED_VALUE"""),"UR")</f>
        <v/>
      </c>
      <c r="I169" s="469">
        <f>IFERROR(__xludf.DUMMYFUNCTION("""COMPUTED_VALUE"""),"PremiumUR")</f>
        <v/>
      </c>
      <c r="J169" s="469">
        <f>IFERROR(__xludf.DUMMYFUNCTION("""COMPUTED_VALUE"""),"青")</f>
        <v/>
      </c>
      <c r="K169" s="469">
        <f>IFERROR(__xludf.DUMMYFUNCTION("""COMPUTED_VALUE"""),"chara")</f>
        <v/>
      </c>
      <c r="L169" s="469">
        <f>IFERROR(__xludf.DUMMYFUNCTION("""COMPUTED_VALUE"""),"テクニカル")</f>
        <v/>
      </c>
      <c r="M169" s="469" t="n"/>
      <c r="N169" s="469" t="n"/>
      <c r="O169" s="469" t="n"/>
      <c r="P169" s="471" t="n"/>
      <c r="Q169" s="469" t="n"/>
      <c r="R169" s="469" t="n"/>
      <c r="S169" s="469" t="n"/>
      <c r="T169" s="469" t="n"/>
      <c r="U169" s="469" t="n"/>
      <c r="V169" s="469" t="n"/>
      <c r="W169" s="469" t="n"/>
      <c r="X169" s="469" t="n"/>
      <c r="Y169" s="469" t="n"/>
      <c r="Z169" s="469" t="n"/>
      <c r="AA169" s="469" t="n"/>
    </row>
    <row r="170">
      <c r="A170" s="468">
        <f>IFERROR(__xludf.DUMMYFUNCTION("""COMPUTED_VALUE"""),"kaw")</f>
        <v/>
      </c>
      <c r="B170" s="469">
        <f>IFERROR(__xludf.DUMMYFUNCTION("""COMPUTED_VALUE"""),"カワイスギクライシス")</f>
        <v/>
      </c>
      <c r="C170" s="470">
        <f>IFERROR(__xludf.DUMMYFUNCTION("""COMPUTED_VALUE"""),"00001")</f>
        <v/>
      </c>
      <c r="D170" s="469">
        <f>IFERROR(__xludf.DUMMYFUNCTION("""COMPUTED_VALUE"""),"chara_kaw_00001")</f>
        <v/>
      </c>
      <c r="E170" s="469">
        <f>IFERROR(__xludf.DUMMYFUNCTION("""COMPUTED_VALUE"""),"リザ・ルーナ")</f>
        <v/>
      </c>
      <c r="F170" s="469">
        <f>IFERROR(__xludf.DUMMYFUNCTION("""COMPUTED_VALUE"""),"選定中")</f>
        <v/>
      </c>
      <c r="G170" s="469" t="n"/>
      <c r="H170" s="469">
        <f>IFERROR(__xludf.DUMMYFUNCTION("""COMPUTED_VALUE"""),"SR")</f>
        <v/>
      </c>
      <c r="I170" s="469">
        <f>IFERROR(__xludf.DUMMYFUNCTION("""COMPUTED_VALUE"""),"DropSR")</f>
        <v/>
      </c>
      <c r="J170" s="469">
        <f>IFERROR(__xludf.DUMMYFUNCTION("""COMPUTED_VALUE"""),"赤")</f>
        <v/>
      </c>
      <c r="K170" s="469">
        <f>IFERROR(__xludf.DUMMYFUNCTION("""COMPUTED_VALUE"""),"chara")</f>
        <v/>
      </c>
      <c r="L170" s="469">
        <f>IFERROR(__xludf.DUMMYFUNCTION("""COMPUTED_VALUE"""),"アタック")</f>
        <v/>
      </c>
      <c r="M170" s="469" t="n"/>
      <c r="N170" s="469" t="n"/>
      <c r="O170" s="469" t="n"/>
      <c r="P170" s="471" t="n"/>
      <c r="Q170" s="469" t="n"/>
      <c r="R170" s="469" t="n"/>
      <c r="S170" s="469" t="n"/>
      <c r="T170" s="469" t="n"/>
      <c r="U170" s="469" t="n"/>
      <c r="V170" s="469" t="n"/>
      <c r="W170" s="469" t="n"/>
      <c r="X170" s="469" t="n"/>
      <c r="Y170" s="469" t="n"/>
      <c r="Z170" s="469" t="n"/>
      <c r="AA170" s="469" t="n"/>
    </row>
    <row r="171">
      <c r="A171" s="468">
        <f>IFERROR(__xludf.DUMMYFUNCTION("""COMPUTED_VALUE"""),"vig")</f>
        <v/>
      </c>
      <c r="B171" s="469">
        <f>IFERROR(__xludf.DUMMYFUNCTION("""COMPUTED_VALUE"""),"ヴィジランテ-僕のヒーローアカデミア ILLEGALS-")</f>
        <v/>
      </c>
      <c r="C171" s="470">
        <f>IFERROR(__xludf.DUMMYFUNCTION("""COMPUTED_VALUE"""),"00001")</f>
        <v/>
      </c>
      <c r="D171" s="469">
        <f>IFERROR(__xludf.DUMMYFUNCTION("""COMPUTED_VALUE"""),"chara_vig_00001")</f>
        <v/>
      </c>
      <c r="E171" s="469">
        <f>IFERROR(__xludf.DUMMYFUNCTION("""COMPUTED_VALUE"""),"灰廻 航一")</f>
        <v/>
      </c>
      <c r="F171" s="469">
        <f>IFERROR(__xludf.DUMMYFUNCTION("""COMPUTED_VALUE"""),"選定中")</f>
        <v/>
      </c>
      <c r="G171" s="469" t="n"/>
      <c r="H171" s="469">
        <f>IFERROR(__xludf.DUMMYFUNCTION("""COMPUTED_VALUE"""),"UR")</f>
        <v/>
      </c>
      <c r="I171" s="469">
        <f>IFERROR(__xludf.DUMMYFUNCTION("""COMPUTED_VALUE"""),"PremiumUR")</f>
        <v/>
      </c>
      <c r="J171" s="469">
        <f>IFERROR(__xludf.DUMMYFUNCTION("""COMPUTED_VALUE"""),"黄")</f>
        <v/>
      </c>
      <c r="K171" s="469">
        <f>IFERROR(__xludf.DUMMYFUNCTION("""COMPUTED_VALUE"""),"chara")</f>
        <v/>
      </c>
      <c r="L171" s="469">
        <f>IFERROR(__xludf.DUMMYFUNCTION("""COMPUTED_VALUE"""),"アタック")</f>
        <v/>
      </c>
      <c r="M171" s="469" t="n"/>
      <c r="N171" s="469" t="n"/>
      <c r="O171" s="469" t="n"/>
      <c r="P171" s="471" t="n"/>
      <c r="Q171" s="469" t="n"/>
      <c r="R171" s="469" t="n"/>
      <c r="S171" s="469" t="n"/>
      <c r="T171" s="469" t="n"/>
      <c r="U171" s="469" t="n"/>
      <c r="V171" s="469" t="n"/>
      <c r="W171" s="469" t="n"/>
      <c r="X171" s="469" t="n"/>
      <c r="Y171" s="469" t="n"/>
      <c r="Z171" s="469" t="n"/>
      <c r="AA171" s="469" t="n"/>
    </row>
    <row r="172">
      <c r="A172" s="468">
        <f>IFERROR(__xludf.DUMMYFUNCTION("""COMPUTED_VALUE"""),"vig")</f>
        <v/>
      </c>
      <c r="B172" s="469">
        <f>IFERROR(__xludf.DUMMYFUNCTION("""COMPUTED_VALUE"""),"ヴィジランテ-僕のヒーローアカデミア ILLEGALS-")</f>
        <v/>
      </c>
      <c r="C172" s="470">
        <f>IFERROR(__xludf.DUMMYFUNCTION("""COMPUTED_VALUE"""),"00101")</f>
        <v/>
      </c>
      <c r="D172" s="469">
        <f>IFERROR(__xludf.DUMMYFUNCTION("""COMPUTED_VALUE"""),"chara_vig_00101")</f>
        <v/>
      </c>
      <c r="E172" s="469">
        <f>IFERROR(__xludf.DUMMYFUNCTION("""COMPUTED_VALUE"""),"オールマイト")</f>
        <v/>
      </c>
      <c r="F172" s="469">
        <f>IFERROR(__xludf.DUMMYFUNCTION("""COMPUTED_VALUE"""),"選定中")</f>
        <v/>
      </c>
      <c r="G172" s="469" t="n"/>
      <c r="H172" s="469">
        <f>IFERROR(__xludf.DUMMYFUNCTION("""COMPUTED_VALUE"""),"UR")</f>
        <v/>
      </c>
      <c r="I172" s="469">
        <f>IFERROR(__xludf.DUMMYFUNCTION("""COMPUTED_VALUE"""),"FestivalUR")</f>
        <v/>
      </c>
      <c r="J172" s="469">
        <f>IFERROR(__xludf.DUMMYFUNCTION("""COMPUTED_VALUE"""),"赤")</f>
        <v/>
      </c>
      <c r="K172" s="469">
        <f>IFERROR(__xludf.DUMMYFUNCTION("""COMPUTED_VALUE"""),"chara")</f>
        <v/>
      </c>
      <c r="L172" s="469">
        <f>IFERROR(__xludf.DUMMYFUNCTION("""COMPUTED_VALUE"""),"アタック")</f>
        <v/>
      </c>
      <c r="M172" s="469" t="n"/>
      <c r="N172" s="469" t="n"/>
      <c r="O172" s="469" t="n"/>
      <c r="P172" s="471" t="n"/>
      <c r="Q172" s="469" t="n"/>
      <c r="R172" s="469" t="n"/>
      <c r="S172" s="469" t="n"/>
      <c r="T172" s="469" t="n"/>
      <c r="U172" s="469" t="n"/>
      <c r="V172" s="469" t="n"/>
      <c r="W172" s="469" t="n"/>
      <c r="X172" s="469" t="n"/>
      <c r="Y172" s="469" t="n"/>
      <c r="Z172" s="469" t="n"/>
      <c r="AA172" s="469" t="n"/>
    </row>
    <row r="173">
      <c r="A173" s="468">
        <f>IFERROR(__xludf.DUMMYFUNCTION("""COMPUTED_VALUE"""),"vig")</f>
        <v/>
      </c>
      <c r="B173" s="469">
        <f>IFERROR(__xludf.DUMMYFUNCTION("""COMPUTED_VALUE"""),"ヴィジランテ-僕のヒーローアカデミア ILLEGALS-")</f>
        <v/>
      </c>
      <c r="C173" s="470">
        <f>IFERROR(__xludf.DUMMYFUNCTION("""COMPUTED_VALUE"""),"00201")</f>
        <v/>
      </c>
      <c r="D173" s="469">
        <f>IFERROR(__xludf.DUMMYFUNCTION("""COMPUTED_VALUE"""),"chara_vig_00201")</f>
        <v/>
      </c>
      <c r="E173" s="469">
        <f>IFERROR(__xludf.DUMMYFUNCTION("""COMPUTED_VALUE"""),"イレイザーヘッド")</f>
        <v/>
      </c>
      <c r="F173" s="469">
        <f>IFERROR(__xludf.DUMMYFUNCTION("""COMPUTED_VALUE"""),"選定中")</f>
        <v/>
      </c>
      <c r="G173" s="469" t="n"/>
      <c r="H173" s="469">
        <f>IFERROR(__xludf.DUMMYFUNCTION("""COMPUTED_VALUE"""),"UR")</f>
        <v/>
      </c>
      <c r="I173" s="469">
        <f>IFERROR(__xludf.DUMMYFUNCTION("""COMPUTED_VALUE"""),"FestivalUR")</f>
        <v/>
      </c>
      <c r="J173" s="469">
        <f>IFERROR(__xludf.DUMMYFUNCTION("""COMPUTED_VALUE"""),"青")</f>
        <v/>
      </c>
      <c r="K173" s="469">
        <f>IFERROR(__xludf.DUMMYFUNCTION("""COMPUTED_VALUE"""),"chara")</f>
        <v/>
      </c>
      <c r="L173" s="469">
        <f>IFERROR(__xludf.DUMMYFUNCTION("""COMPUTED_VALUE"""),"テクニカル")</f>
        <v/>
      </c>
      <c r="M173" s="469" t="n"/>
      <c r="N173" s="469" t="n"/>
      <c r="O173" s="469" t="n"/>
      <c r="P173" s="471" t="n"/>
      <c r="Q173" s="469" t="n"/>
      <c r="R173" s="469" t="n"/>
      <c r="S173" s="469" t="n"/>
      <c r="T173" s="469" t="n"/>
      <c r="U173" s="469" t="n"/>
      <c r="V173" s="469" t="n"/>
      <c r="W173" s="469" t="n"/>
      <c r="X173" s="469" t="n"/>
      <c r="Y173" s="469" t="n"/>
      <c r="Z173" s="469" t="n"/>
      <c r="AA173" s="469" t="n"/>
    </row>
    <row r="174">
      <c r="A174" s="468">
        <f>IFERROR(__xludf.DUMMYFUNCTION("""COMPUTED_VALUE"""),"chi2")</f>
        <v/>
      </c>
      <c r="B174" s="469">
        <f>IFERROR(__xludf.DUMMYFUNCTION("""COMPUTED_VALUE"""),"チェンソーマン 第二部")</f>
        <v/>
      </c>
      <c r="C174" s="470">
        <f>IFERROR(__xludf.DUMMYFUNCTION("""COMPUTED_VALUE"""),"00001")</f>
        <v/>
      </c>
      <c r="D174" s="469">
        <f>IFERROR(__xludf.DUMMYFUNCTION("""COMPUTED_VALUE"""),"chara_chi2_00001")</f>
        <v/>
      </c>
      <c r="E174" s="469">
        <f>IFERROR(__xludf.DUMMYFUNCTION("""COMPUTED_VALUE"""),"三鷹 アサ&amp;ヨル")</f>
        <v/>
      </c>
      <c r="F174" s="469">
        <f>IFERROR(__xludf.DUMMYFUNCTION("""COMPUTED_VALUE"""),"選定中")</f>
        <v/>
      </c>
      <c r="G174" s="469" t="n"/>
      <c r="H174" s="469">
        <f>IFERROR(__xludf.DUMMYFUNCTION("""COMPUTED_VALUE"""),"UR")</f>
        <v/>
      </c>
      <c r="I174" s="469">
        <f>IFERROR(__xludf.DUMMYFUNCTION("""COMPUTED_VALUE"""),"FestivalUR")</f>
        <v/>
      </c>
      <c r="J174" s="469">
        <f>IFERROR(__xludf.DUMMYFUNCTION("""COMPUTED_VALUE"""),"緑")</f>
        <v/>
      </c>
      <c r="K174" s="469">
        <f>IFERROR(__xludf.DUMMYFUNCTION("""COMPUTED_VALUE"""),"chara")</f>
        <v/>
      </c>
      <c r="L174" s="469">
        <f>IFERROR(__xludf.DUMMYFUNCTION("""COMPUTED_VALUE"""),"アタック")</f>
        <v/>
      </c>
      <c r="M174" s="469" t="n"/>
      <c r="N174" s="469" t="n"/>
      <c r="O174" s="469" t="n"/>
      <c r="P174" s="471" t="n"/>
      <c r="Q174" s="469" t="n"/>
      <c r="R174" s="469" t="n"/>
      <c r="S174" s="469" t="n"/>
      <c r="T174" s="469" t="n"/>
      <c r="U174" s="469" t="n"/>
      <c r="V174" s="469" t="n"/>
      <c r="W174" s="469" t="n"/>
      <c r="X174" s="469" t="n"/>
      <c r="Y174" s="469" t="n"/>
      <c r="Z174" s="469" t="n"/>
      <c r="AA174" s="469" t="n"/>
    </row>
    <row r="175">
      <c r="A175" s="468">
        <f>IFERROR(__xludf.DUMMYFUNCTION("""COMPUTED_VALUE"""),"ssm")</f>
        <v/>
      </c>
      <c r="B175" s="469">
        <f>IFERROR(__xludf.DUMMYFUNCTION("""COMPUTED_VALUE"""),"すすめ！ジャンプへっぽこ探検隊！")</f>
        <v/>
      </c>
      <c r="C175" s="470">
        <f>IFERROR(__xludf.DUMMYFUNCTION("""COMPUTED_VALUE"""),"00001")</f>
        <v/>
      </c>
      <c r="D175" s="469">
        <f>IFERROR(__xludf.DUMMYFUNCTION("""COMPUTED_VALUE"""),"chara_ssm_00001")</f>
        <v/>
      </c>
      <c r="E175" s="469">
        <f>IFERROR(__xludf.DUMMYFUNCTION("""COMPUTED_VALUE"""),"サクライ タケシ 先生")</f>
        <v/>
      </c>
      <c r="F175" s="469">
        <f>IFERROR(__xludf.DUMMYFUNCTION("""COMPUTED_VALUE"""),"選定中")</f>
        <v/>
      </c>
      <c r="G175" s="469" t="n"/>
      <c r="H175" s="469">
        <f>IFERROR(__xludf.DUMMYFUNCTION("""COMPUTED_VALUE"""),"SSR")</f>
        <v/>
      </c>
      <c r="I175" s="469">
        <f>IFERROR(__xludf.DUMMYFUNCTION("""COMPUTED_VALUE"""),"PremiumSR")</f>
        <v/>
      </c>
      <c r="J175" s="469">
        <f>IFERROR(__xludf.DUMMYFUNCTION("""COMPUTED_VALUE"""),"無")</f>
        <v/>
      </c>
      <c r="K175" s="469">
        <f>IFERROR(__xludf.DUMMYFUNCTION("""COMPUTED_VALUE"""),"chara")</f>
        <v/>
      </c>
      <c r="L175" s="469">
        <f>IFERROR(__xludf.DUMMYFUNCTION("""COMPUTED_VALUE"""),"ディフェンス")</f>
        <v/>
      </c>
      <c r="M175" s="469" t="n"/>
      <c r="N175" s="469" t="n"/>
      <c r="O175" s="469" t="n"/>
      <c r="P175" s="471" t="n"/>
      <c r="Q175" s="469" t="n"/>
      <c r="R175" s="469" t="n"/>
      <c r="S175" s="469" t="n"/>
      <c r="T175" s="469" t="n"/>
      <c r="U175" s="469" t="n"/>
      <c r="V175" s="469" t="n"/>
      <c r="W175" s="469" t="n"/>
      <c r="X175" s="469" t="n"/>
      <c r="Y175" s="469" t="n"/>
      <c r="Z175" s="469" t="n"/>
      <c r="AA175" s="469" t="n"/>
    </row>
    <row r="176">
      <c r="A176" s="468">
        <f>IFERROR(__xludf.DUMMYFUNCTION("""COMPUTED_VALUE"""),"eiu")</f>
        <v/>
      </c>
      <c r="B176" s="469">
        <f>IFERROR(__xludf.DUMMYFUNCTION("""COMPUTED_VALUE"""),"英雄機関")</f>
        <v/>
      </c>
      <c r="C176" s="470">
        <f>IFERROR(__xludf.DUMMYFUNCTION("""COMPUTED_VALUE"""),"00001")</f>
        <v/>
      </c>
      <c r="D176" s="469">
        <f>IFERROR(__xludf.DUMMYFUNCTION("""COMPUTED_VALUE"""),"chara_eiu_00001")</f>
        <v/>
      </c>
      <c r="E176" s="469">
        <f>IFERROR(__xludf.DUMMYFUNCTION("""COMPUTED_VALUE"""),"レオニダス・タイラー")</f>
        <v/>
      </c>
      <c r="F176" s="469">
        <f>IFERROR(__xludf.DUMMYFUNCTION("""COMPUTED_VALUE"""),"選定中")</f>
        <v/>
      </c>
      <c r="G176" s="469" t="n"/>
      <c r="H176" s="469">
        <f>IFERROR(__xludf.DUMMYFUNCTION("""COMPUTED_VALUE"""),"SR")</f>
        <v/>
      </c>
      <c r="I176" s="469">
        <f>IFERROR(__xludf.DUMMYFUNCTION("""COMPUTED_VALUE"""),"DropSR")</f>
        <v/>
      </c>
      <c r="J176" s="469">
        <f>IFERROR(__xludf.DUMMYFUNCTION("""COMPUTED_VALUE"""),"緑")</f>
        <v/>
      </c>
      <c r="K176" s="469">
        <f>IFERROR(__xludf.DUMMYFUNCTION("""COMPUTED_VALUE"""),"chara")</f>
        <v/>
      </c>
      <c r="L176" s="469">
        <f>IFERROR(__xludf.DUMMYFUNCTION("""COMPUTED_VALUE"""),"アタック")</f>
        <v/>
      </c>
      <c r="M176" s="469" t="n"/>
      <c r="N176" s="469" t="n"/>
      <c r="O176" s="469" t="n"/>
      <c r="P176" s="471" t="n"/>
      <c r="Q176" s="469" t="n"/>
      <c r="R176" s="469" t="n"/>
      <c r="S176" s="469" t="n"/>
      <c r="T176" s="469" t="n"/>
      <c r="U176" s="469" t="n"/>
      <c r="V176" s="469" t="n"/>
      <c r="W176" s="469" t="n"/>
      <c r="X176" s="469" t="n"/>
      <c r="Y176" s="469" t="n"/>
      <c r="Z176" s="469" t="n"/>
      <c r="AA176" s="469" t="n"/>
    </row>
    <row r="177">
      <c r="A177" s="468">
        <f>IFERROR(__xludf.DUMMYFUNCTION("""COMPUTED_VALUE"""),"exo")</f>
        <v/>
      </c>
      <c r="B177" s="469">
        <f>IFERROR(__xludf.DUMMYFUNCTION("""COMPUTED_VALUE"""),"エクソシストを堕とせない")</f>
        <v/>
      </c>
      <c r="C177" s="470">
        <f>IFERROR(__xludf.DUMMYFUNCTION("""COMPUTED_VALUE"""),"00001")</f>
        <v/>
      </c>
      <c r="D177" s="469">
        <f>IFERROR(__xludf.DUMMYFUNCTION("""COMPUTED_VALUE"""),"chara_exo_00001")</f>
        <v/>
      </c>
      <c r="E177" s="469">
        <f>IFERROR(__xludf.DUMMYFUNCTION("""COMPUTED_VALUE"""),"少年神父")</f>
        <v/>
      </c>
      <c r="F177" s="469">
        <f>IFERROR(__xludf.DUMMYFUNCTION("""COMPUTED_VALUE"""),"選定中")</f>
        <v/>
      </c>
      <c r="G177" s="469" t="n"/>
      <c r="H177" s="469">
        <f>IFERROR(__xludf.DUMMYFUNCTION("""COMPUTED_VALUE"""),"SR")</f>
        <v/>
      </c>
      <c r="I177" s="469">
        <f>IFERROR(__xludf.DUMMYFUNCTION("""COMPUTED_VALUE"""),"DropSR")</f>
        <v/>
      </c>
      <c r="J177" s="469">
        <f>IFERROR(__xludf.DUMMYFUNCTION("""COMPUTED_VALUE"""),"黄")</f>
        <v/>
      </c>
      <c r="K177" s="469">
        <f>IFERROR(__xludf.DUMMYFUNCTION("""COMPUTED_VALUE"""),"chara")</f>
        <v/>
      </c>
      <c r="L177" s="469">
        <f>IFERROR(__xludf.DUMMYFUNCTION("""COMPUTED_VALUE"""),"アタック")</f>
        <v/>
      </c>
      <c r="M177" s="469" t="n"/>
      <c r="N177" s="469" t="n"/>
      <c r="O177" s="469" t="n"/>
      <c r="P177" s="471" t="n"/>
      <c r="Q177" s="469" t="n"/>
      <c r="R177" s="469" t="n"/>
      <c r="S177" s="469" t="n"/>
      <c r="T177" s="469" t="n"/>
      <c r="U177" s="469" t="n"/>
      <c r="V177" s="469" t="n"/>
      <c r="W177" s="469" t="n"/>
      <c r="X177" s="469" t="n"/>
      <c r="Y177" s="469" t="n"/>
      <c r="Z177" s="469" t="n"/>
      <c r="AA177" s="469" t="n"/>
    </row>
    <row r="178">
      <c r="A178" s="468">
        <f>IFERROR(__xludf.DUMMYFUNCTION("""COMPUTED_VALUE"""),"oto")</f>
        <v/>
      </c>
      <c r="B178" s="469">
        <f>IFERROR(__xludf.DUMMYFUNCTION("""COMPUTED_VALUE"""),"大人大戦")</f>
        <v/>
      </c>
      <c r="C178" s="470">
        <f>IFERROR(__xludf.DUMMYFUNCTION("""COMPUTED_VALUE"""),"00001")</f>
        <v/>
      </c>
      <c r="D178" s="469">
        <f>IFERROR(__xludf.DUMMYFUNCTION("""COMPUTED_VALUE"""),"chara_oto_00001")</f>
        <v/>
      </c>
      <c r="E178" s="469">
        <f>IFERROR(__xludf.DUMMYFUNCTION("""COMPUTED_VALUE"""),"浦島 優太郎")</f>
        <v/>
      </c>
      <c r="F178" s="469" t="n"/>
      <c r="G178" s="469" t="n"/>
      <c r="H178" s="469">
        <f>IFERROR(__xludf.DUMMYFUNCTION("""COMPUTED_VALUE"""),"SR")</f>
        <v/>
      </c>
      <c r="I178" s="469">
        <f>IFERROR(__xludf.DUMMYFUNCTION("""COMPUTED_VALUE"""),"DropSR")</f>
        <v/>
      </c>
      <c r="J178" s="469">
        <f>IFERROR(__xludf.DUMMYFUNCTION("""COMPUTED_VALUE"""),"赤")</f>
        <v/>
      </c>
      <c r="K178" s="469">
        <f>IFERROR(__xludf.DUMMYFUNCTION("""COMPUTED_VALUE"""),"chara")</f>
        <v/>
      </c>
      <c r="L178" s="469">
        <f>IFERROR(__xludf.DUMMYFUNCTION("""COMPUTED_VALUE"""),"サポート")</f>
        <v/>
      </c>
      <c r="M178" s="469" t="n"/>
      <c r="N178" s="469" t="n"/>
      <c r="O178" s="469" t="n"/>
      <c r="P178" s="471" t="n"/>
      <c r="Q178" s="469" t="n"/>
      <c r="R178" s="469" t="n"/>
      <c r="S178" s="469" t="n"/>
      <c r="T178" s="469" t="n"/>
      <c r="U178" s="469" t="n"/>
      <c r="V178" s="469" t="n"/>
      <c r="W178" s="469" t="n"/>
      <c r="X178" s="469" t="n"/>
      <c r="Y178" s="469" t="n"/>
      <c r="Z178" s="469" t="n"/>
      <c r="AA178" s="469" t="n"/>
    </row>
    <row r="179">
      <c r="A179" s="468" t="n"/>
      <c r="B179" s="469">
        <f>IFERROR(__xludf.DUMMYFUNCTION("""COMPUTED_VALUE"""),"error")</f>
        <v/>
      </c>
      <c r="C179" s="469" t="n"/>
      <c r="D179" s="469">
        <f>IFERROR(__xludf.DUMMYFUNCTION("""COMPUTED_VALUE"""),"__")</f>
        <v/>
      </c>
      <c r="E179" s="469" t="n"/>
      <c r="F179" s="469" t="n"/>
      <c r="G179" s="469" t="n"/>
      <c r="H179" s="469" t="n"/>
      <c r="I179" s="469" t="n"/>
      <c r="J179" s="469" t="n"/>
      <c r="K179" s="469" t="n"/>
      <c r="L179" s="469" t="n"/>
      <c r="M179" s="469" t="n"/>
      <c r="N179" s="469" t="n"/>
      <c r="O179" s="469" t="n"/>
      <c r="P179" s="471" t="n"/>
      <c r="Q179" s="469" t="n"/>
      <c r="R179" s="469" t="n"/>
      <c r="S179" s="469" t="n"/>
      <c r="T179" s="469" t="n"/>
      <c r="U179" s="469" t="n"/>
      <c r="V179" s="469" t="n"/>
      <c r="W179" s="469" t="n"/>
      <c r="X179" s="469" t="n"/>
      <c r="Y179" s="469" t="n"/>
      <c r="Z179" s="469" t="n"/>
      <c r="AA179" s="469" t="n"/>
    </row>
    <row r="180">
      <c r="A180" s="468" t="n"/>
      <c r="B180" s="469">
        <f>IFERROR(__xludf.DUMMYFUNCTION("""COMPUTED_VALUE"""),"error")</f>
        <v/>
      </c>
      <c r="C180" s="469" t="n"/>
      <c r="D180" s="469">
        <f>IFERROR(__xludf.DUMMYFUNCTION("""COMPUTED_VALUE"""),"__")</f>
        <v/>
      </c>
      <c r="E180" s="469" t="n"/>
      <c r="F180" s="469" t="n"/>
      <c r="G180" s="469" t="n"/>
      <c r="H180" s="469" t="n"/>
      <c r="I180" s="469" t="n"/>
      <c r="J180" s="469" t="n"/>
      <c r="K180" s="469" t="n"/>
      <c r="L180" s="469" t="n"/>
      <c r="M180" s="469" t="n"/>
      <c r="N180" s="469" t="n"/>
      <c r="O180" s="469" t="n"/>
      <c r="P180" s="471" t="n"/>
      <c r="Q180" s="469" t="n"/>
      <c r="R180" s="469" t="n"/>
      <c r="S180" s="469" t="n"/>
      <c r="T180" s="469" t="n"/>
      <c r="U180" s="469" t="n"/>
      <c r="V180" s="469" t="n"/>
      <c r="W180" s="469" t="n"/>
      <c r="X180" s="469" t="n"/>
      <c r="Y180" s="469" t="n"/>
      <c r="Z180" s="469" t="n"/>
      <c r="AA180" s="469" t="n"/>
    </row>
    <row r="181">
      <c r="A181" s="468" t="n"/>
      <c r="B181" s="469">
        <f>IFERROR(__xludf.DUMMYFUNCTION("""COMPUTED_VALUE"""),"error")</f>
        <v/>
      </c>
      <c r="C181" s="469" t="n"/>
      <c r="D181" s="469">
        <f>IFERROR(__xludf.DUMMYFUNCTION("""COMPUTED_VALUE"""),"__")</f>
        <v/>
      </c>
      <c r="E181" s="469" t="n"/>
      <c r="F181" s="469" t="n"/>
      <c r="G181" s="469" t="n"/>
      <c r="H181" s="469" t="n"/>
      <c r="I181" s="469" t="n"/>
      <c r="J181" s="469" t="n"/>
      <c r="K181" s="469" t="n"/>
      <c r="L181" s="469" t="n"/>
      <c r="M181" s="469" t="n"/>
      <c r="N181" s="469" t="n"/>
      <c r="O181" s="469" t="n"/>
      <c r="P181" s="471" t="n"/>
      <c r="Q181" s="469" t="n"/>
      <c r="R181" s="469" t="n"/>
      <c r="S181" s="469" t="n"/>
      <c r="T181" s="469" t="n"/>
      <c r="U181" s="469" t="n"/>
      <c r="V181" s="469" t="n"/>
      <c r="W181" s="469" t="n"/>
      <c r="X181" s="469" t="n"/>
      <c r="Y181" s="469" t="n"/>
      <c r="Z181" s="469" t="n"/>
      <c r="AA181" s="469" t="n"/>
    </row>
    <row r="182">
      <c r="A182" s="468" t="n"/>
      <c r="B182" s="469">
        <f>IFERROR(__xludf.DUMMYFUNCTION("""COMPUTED_VALUE"""),"error")</f>
        <v/>
      </c>
      <c r="C182" s="469" t="n"/>
      <c r="D182" s="469">
        <f>IFERROR(__xludf.DUMMYFUNCTION("""COMPUTED_VALUE"""),"__")</f>
        <v/>
      </c>
      <c r="E182" s="469" t="n"/>
      <c r="F182" s="469" t="n"/>
      <c r="G182" s="469" t="n"/>
      <c r="H182" s="469" t="n"/>
      <c r="I182" s="469" t="n"/>
      <c r="J182" s="469" t="n"/>
      <c r="K182" s="469" t="n"/>
      <c r="L182" s="469" t="n"/>
      <c r="M182" s="469" t="n"/>
      <c r="N182" s="469" t="n"/>
      <c r="O182" s="469" t="n"/>
      <c r="P182" s="471" t="n"/>
      <c r="Q182" s="469" t="n"/>
      <c r="R182" s="469" t="n"/>
      <c r="S182" s="469" t="n"/>
      <c r="T182" s="469" t="n"/>
      <c r="U182" s="469" t="n"/>
      <c r="V182" s="469" t="n"/>
      <c r="W182" s="469" t="n"/>
      <c r="X182" s="469" t="n"/>
      <c r="Y182" s="469" t="n"/>
      <c r="Z182" s="469" t="n"/>
      <c r="AA182" s="469" t="n"/>
    </row>
    <row r="183">
      <c r="A183" s="468" t="n"/>
      <c r="B183" s="469">
        <f>IFERROR(__xludf.DUMMYFUNCTION("""COMPUTED_VALUE"""),"error")</f>
        <v/>
      </c>
      <c r="C183" s="469" t="n"/>
      <c r="D183" s="469">
        <f>IFERROR(__xludf.DUMMYFUNCTION("""COMPUTED_VALUE"""),"__")</f>
        <v/>
      </c>
      <c r="E183" s="469" t="n"/>
      <c r="F183" s="469" t="n"/>
      <c r="G183" s="469" t="n"/>
      <c r="H183" s="469" t="n"/>
      <c r="I183" s="469" t="n"/>
      <c r="J183" s="469" t="n"/>
      <c r="K183" s="469" t="n"/>
      <c r="L183" s="469" t="n"/>
      <c r="M183" s="469" t="n"/>
      <c r="N183" s="469" t="n"/>
      <c r="O183" s="469" t="n"/>
      <c r="P183" s="471" t="n"/>
      <c r="Q183" s="469" t="n"/>
      <c r="R183" s="469" t="n"/>
      <c r="S183" s="469" t="n"/>
      <c r="T183" s="469" t="n"/>
      <c r="U183" s="469" t="n"/>
      <c r="V183" s="469" t="n"/>
      <c r="W183" s="469" t="n"/>
      <c r="X183" s="469" t="n"/>
      <c r="Y183" s="469" t="n"/>
      <c r="Z183" s="469" t="n"/>
      <c r="AA183" s="469" t="n"/>
    </row>
    <row r="184">
      <c r="A184" s="468" t="n"/>
      <c r="B184" s="469">
        <f>IFERROR(__xludf.DUMMYFUNCTION("""COMPUTED_VALUE"""),"error")</f>
        <v/>
      </c>
      <c r="C184" s="469" t="n"/>
      <c r="D184" s="469">
        <f>IFERROR(__xludf.DUMMYFUNCTION("""COMPUTED_VALUE"""),"__")</f>
        <v/>
      </c>
      <c r="E184" s="469" t="n"/>
      <c r="F184" s="469" t="n"/>
      <c r="G184" s="469" t="n"/>
      <c r="H184" s="469" t="n"/>
      <c r="I184" s="469" t="n"/>
      <c r="J184" s="469" t="n"/>
      <c r="K184" s="469" t="n"/>
      <c r="L184" s="469" t="n"/>
      <c r="M184" s="469" t="n"/>
      <c r="N184" s="469" t="n"/>
      <c r="O184" s="469" t="n"/>
      <c r="P184" s="471" t="n"/>
      <c r="Q184" s="469" t="n"/>
      <c r="R184" s="469" t="n"/>
      <c r="S184" s="469" t="n"/>
      <c r="T184" s="469" t="n"/>
      <c r="U184" s="469" t="n"/>
      <c r="V184" s="469" t="n"/>
      <c r="W184" s="469" t="n"/>
      <c r="X184" s="469" t="n"/>
      <c r="Y184" s="469" t="n"/>
      <c r="Z184" s="469" t="n"/>
      <c r="AA184" s="469" t="n"/>
    </row>
    <row r="185">
      <c r="A185" s="468" t="n"/>
      <c r="B185" s="469">
        <f>IFERROR(__xludf.DUMMYFUNCTION("""COMPUTED_VALUE"""),"error")</f>
        <v/>
      </c>
      <c r="C185" s="469" t="n"/>
      <c r="D185" s="469">
        <f>IFERROR(__xludf.DUMMYFUNCTION("""COMPUTED_VALUE"""),"__")</f>
        <v/>
      </c>
      <c r="E185" s="469" t="n"/>
      <c r="F185" s="469" t="n"/>
      <c r="G185" s="469" t="n"/>
      <c r="H185" s="469" t="n"/>
      <c r="I185" s="469" t="n"/>
      <c r="J185" s="469" t="n"/>
      <c r="K185" s="469" t="n"/>
      <c r="L185" s="469" t="n"/>
      <c r="M185" s="469" t="n"/>
      <c r="N185" s="469" t="n"/>
      <c r="O185" s="469" t="n"/>
      <c r="P185" s="471" t="n"/>
      <c r="Q185" s="469" t="n"/>
      <c r="R185" s="469" t="n"/>
      <c r="S185" s="469" t="n"/>
      <c r="T185" s="469" t="n"/>
      <c r="U185" s="469" t="n"/>
      <c r="V185" s="469" t="n"/>
      <c r="W185" s="469" t="n"/>
      <c r="X185" s="469" t="n"/>
      <c r="Y185" s="469" t="n"/>
      <c r="Z185" s="469" t="n"/>
      <c r="AA185" s="469" t="n"/>
    </row>
    <row r="186">
      <c r="A186" s="468" t="n"/>
      <c r="B186" s="469">
        <f>IFERROR(__xludf.DUMMYFUNCTION("""COMPUTED_VALUE"""),"error")</f>
        <v/>
      </c>
      <c r="C186" s="469" t="n"/>
      <c r="D186" s="469">
        <f>IFERROR(__xludf.DUMMYFUNCTION("""COMPUTED_VALUE"""),"__")</f>
        <v/>
      </c>
      <c r="E186" s="469" t="n"/>
      <c r="F186" s="469" t="n"/>
      <c r="G186" s="469" t="n"/>
      <c r="H186" s="469" t="n"/>
      <c r="I186" s="469" t="n"/>
      <c r="J186" s="469" t="n"/>
      <c r="K186" s="469" t="n"/>
      <c r="L186" s="469" t="n"/>
      <c r="M186" s="469" t="n"/>
      <c r="N186" s="469" t="n"/>
      <c r="O186" s="469" t="n"/>
      <c r="P186" s="471" t="n"/>
      <c r="Q186" s="469" t="n"/>
      <c r="R186" s="469" t="n"/>
      <c r="S186" s="469" t="n"/>
      <c r="T186" s="469" t="n"/>
      <c r="U186" s="469" t="n"/>
      <c r="V186" s="469" t="n"/>
      <c r="W186" s="469" t="n"/>
      <c r="X186" s="469" t="n"/>
      <c r="Y186" s="469" t="n"/>
      <c r="Z186" s="469" t="n"/>
      <c r="AA186" s="469" t="n"/>
    </row>
    <row r="187">
      <c r="A187" s="468" t="n"/>
      <c r="B187" s="469">
        <f>IFERROR(__xludf.DUMMYFUNCTION("""COMPUTED_VALUE"""),"error")</f>
        <v/>
      </c>
      <c r="C187" s="469" t="n"/>
      <c r="D187" s="469">
        <f>IFERROR(__xludf.DUMMYFUNCTION("""COMPUTED_VALUE"""),"__")</f>
        <v/>
      </c>
      <c r="E187" s="469" t="n"/>
      <c r="F187" s="469" t="n"/>
      <c r="G187" s="469" t="n"/>
      <c r="H187" s="469" t="n"/>
      <c r="I187" s="469" t="n"/>
      <c r="J187" s="469" t="n"/>
      <c r="K187" s="469" t="n"/>
      <c r="L187" s="469" t="n"/>
      <c r="M187" s="469" t="n"/>
      <c r="N187" s="469" t="n"/>
      <c r="O187" s="469" t="n"/>
      <c r="P187" s="471" t="n"/>
      <c r="Q187" s="469" t="n"/>
      <c r="R187" s="469" t="n"/>
      <c r="S187" s="469" t="n"/>
      <c r="T187" s="469" t="n"/>
      <c r="U187" s="469" t="n"/>
      <c r="V187" s="469" t="n"/>
      <c r="W187" s="469" t="n"/>
      <c r="X187" s="469" t="n"/>
      <c r="Y187" s="469" t="n"/>
      <c r="Z187" s="469" t="n"/>
      <c r="AA187" s="469" t="n"/>
    </row>
    <row r="188">
      <c r="A188" s="468" t="n"/>
      <c r="B188" s="469">
        <f>IFERROR(__xludf.DUMMYFUNCTION("""COMPUTED_VALUE"""),"error")</f>
        <v/>
      </c>
      <c r="C188" s="469" t="n"/>
      <c r="D188" s="469">
        <f>IFERROR(__xludf.DUMMYFUNCTION("""COMPUTED_VALUE"""),"__")</f>
        <v/>
      </c>
      <c r="E188" s="469" t="n"/>
      <c r="F188" s="469" t="n"/>
      <c r="G188" s="469" t="n"/>
      <c r="H188" s="469" t="n"/>
      <c r="I188" s="469" t="n"/>
      <c r="J188" s="469" t="n"/>
      <c r="K188" s="469" t="n"/>
      <c r="L188" s="469" t="n"/>
      <c r="M188" s="469" t="n"/>
      <c r="N188" s="469" t="n"/>
      <c r="O188" s="469" t="n"/>
      <c r="P188" s="471" t="n"/>
      <c r="Q188" s="469" t="n"/>
      <c r="R188" s="469" t="n"/>
      <c r="S188" s="469" t="n"/>
      <c r="T188" s="469" t="n"/>
      <c r="U188" s="469" t="n"/>
      <c r="V188" s="469" t="n"/>
      <c r="W188" s="469" t="n"/>
      <c r="X188" s="469" t="n"/>
      <c r="Y188" s="469" t="n"/>
      <c r="Z188" s="469" t="n"/>
      <c r="AA188" s="469" t="n"/>
    </row>
    <row r="189">
      <c r="A189" s="468">
        <f>IFERROR(__xludf.DUMMYFUNCTION("""COMPUTED_VALUE"""),"以下エネミーを記載")</f>
        <v/>
      </c>
      <c r="B189" s="469" t="n"/>
      <c r="C189" s="469" t="n"/>
      <c r="D189" s="469" t="n"/>
      <c r="E189" s="469" t="n"/>
      <c r="F189" s="469">
        <f>IFERROR(__xludf.DUMMYFUNCTION("""COMPUTED_VALUE"""),"以下エネミーを記載")</f>
        <v/>
      </c>
      <c r="G189" s="469" t="n"/>
      <c r="H189" s="469" t="n"/>
      <c r="I189" s="469" t="n"/>
      <c r="J189" s="469" t="n"/>
      <c r="K189" s="469">
        <f>IFERROR(__xludf.DUMMYFUNCTION("""COMPUTED_VALUE"""),"以下エネミーを記載")</f>
        <v/>
      </c>
      <c r="L189" s="469" t="n"/>
      <c r="M189" s="469" t="n"/>
      <c r="N189" s="469" t="n"/>
      <c r="O189" s="469" t="n"/>
      <c r="P189" s="471" t="n"/>
      <c r="Q189" s="470">
        <f>IFERROR(__xludf.DUMMYFUNCTION("""COMPUTED_VALUE"""),"以下エネミーを記載")</f>
        <v/>
      </c>
      <c r="R189" s="469" t="n"/>
      <c r="S189" s="469" t="n"/>
      <c r="T189" s="469" t="n"/>
      <c r="U189" s="469" t="n"/>
      <c r="V189" s="469">
        <f>IFERROR(__xludf.DUMMYFUNCTION("""COMPUTED_VALUE"""),"以下エネミーを記載")</f>
        <v/>
      </c>
      <c r="W189" s="469" t="n"/>
      <c r="X189" s="469" t="n"/>
      <c r="Y189" s="469" t="n"/>
      <c r="Z189" s="469" t="n"/>
      <c r="AA189" s="469">
        <f>IFERROR(__xludf.DUMMYFUNCTION("""COMPUTED_VALUE"""),"以下エネミーを記載")</f>
        <v/>
      </c>
    </row>
    <row r="190">
      <c r="A190" s="468" t="n"/>
      <c r="B190" s="469" t="n"/>
      <c r="C190" s="469" t="n"/>
      <c r="D190" s="469" t="n"/>
      <c r="E190" s="469" t="n"/>
      <c r="F190" s="469" t="n"/>
      <c r="G190" s="469" t="n"/>
      <c r="H190" s="469" t="n"/>
      <c r="I190" s="469" t="n"/>
      <c r="J190" s="469" t="n"/>
      <c r="K190" s="469" t="n"/>
      <c r="L190" s="469" t="n"/>
      <c r="M190" s="469" t="n"/>
      <c r="N190" s="469" t="n"/>
      <c r="O190" s="469" t="n"/>
      <c r="P190" s="471" t="n"/>
      <c r="Q190" s="469" t="n"/>
      <c r="R190" s="469" t="n"/>
      <c r="S190" s="469" t="n"/>
      <c r="T190" s="469" t="n"/>
      <c r="U190" s="469" t="n"/>
      <c r="V190" s="469" t="n"/>
      <c r="W190" s="469" t="n"/>
      <c r="X190" s="469" t="n"/>
      <c r="Y190" s="469" t="n"/>
      <c r="Z190" s="469" t="n"/>
      <c r="AA190" s="469" t="n"/>
    </row>
    <row r="191">
      <c r="A191" s="468">
        <f>IFERROR(__xludf.DUMMYFUNCTION("""COMPUTED_VALUE"""),"spy")</f>
        <v/>
      </c>
      <c r="B191" s="469">
        <f>IFERROR(__xludf.DUMMYFUNCTION("""COMPUTED_VALUE"""),"SPY×FAMILY")</f>
        <v/>
      </c>
      <c r="C191" s="470">
        <f>IFERROR(__xludf.DUMMYFUNCTION("""COMPUTED_VALUE"""),"00001")</f>
        <v/>
      </c>
      <c r="D191" s="469">
        <f>IFERROR(__xludf.DUMMYFUNCTION("""COMPUTED_VALUE"""),"enemy_spy_00001")</f>
        <v/>
      </c>
      <c r="E191" s="469">
        <f>IFERROR(__xludf.DUMMYFUNCTION("""COMPUTED_VALUE"""),"密輸組織の残党")</f>
        <v/>
      </c>
      <c r="F191" s="469">
        <f>IFERROR(__xludf.DUMMYFUNCTION("""COMPUTED_VALUE"""),"密輸組織の残党")</f>
        <v/>
      </c>
      <c r="G191" s="469" t="n"/>
      <c r="H191" s="469" t="n"/>
      <c r="I191" s="469" t="n"/>
      <c r="J191" s="469" t="n"/>
      <c r="K191" s="469">
        <f>IFERROR(__xludf.DUMMYFUNCTION("""COMPUTED_VALUE"""),"enemy")</f>
        <v/>
      </c>
      <c r="L191" s="469" t="n"/>
      <c r="M191" s="469">
        <f>IFERROR(__xludf.DUMMYFUNCTION("""COMPUTED_VALUE"""),"shageki_1")</f>
        <v/>
      </c>
      <c r="N191" s="469">
        <f>IFERROR(__xludf.DUMMYFUNCTION("""COMPUTED_VALUE"""),"Short")</f>
        <v/>
      </c>
      <c r="O191" s="469" t="n"/>
      <c r="P191" s="471" t="n"/>
      <c r="Q191" s="470">
        <f>IFERROR(__xludf.DUMMYFUNCTION("""COMPUTED_VALUE"""),"1.00")</f>
        <v/>
      </c>
      <c r="R191" s="470">
        <f>IFERROR(__xludf.DUMMYFUNCTION("""COMPUTED_VALUE"""),"0.17")</f>
        <v/>
      </c>
      <c r="S191" s="470">
        <f>IFERROR(__xludf.DUMMYFUNCTION("""COMPUTED_VALUE"""),"-")</f>
        <v/>
      </c>
      <c r="T191" s="470">
        <f>IFERROR(__xludf.DUMMYFUNCTION("""COMPUTED_VALUE"""),"-")</f>
        <v/>
      </c>
      <c r="U191" s="472">
        <f>IFERROR(__xludf.DUMMYFUNCTION("""COMPUTED_VALUE"""),45658.0)</f>
        <v/>
      </c>
      <c r="V191" s="472">
        <f>IFERROR(__xludf.DUMMYFUNCTION("""COMPUTED_VALUE"""),390812.49998842593)</f>
        <v/>
      </c>
      <c r="W191" s="469">
        <f>IFERROR(__xludf.DUMMYFUNCTION("""COMPUTED_VALUE"""),"catchcopy_character_enemy_spy_00001.png")</f>
        <v/>
      </c>
      <c r="X191" s="469">
        <f>IFERROR(__xludf.DUMMYFUNCTION("""COMPUTED_VALUE"""),"enemy_icon_enemy_spy_00001")</f>
        <v/>
      </c>
      <c r="Y191" s="469">
        <f>IFERROR(__xludf.DUMMYFUNCTION("""COMPUTED_VALUE"""),"boss_icon_enemy_spy_00001")</f>
        <v/>
      </c>
      <c r="Z191" s="469">
        <f>IFERROR(__xludf.DUMMYFUNCTION("""COMPUTED_VALUE"""),"enemy_spy_00001_normal")</f>
        <v/>
      </c>
      <c r="AA191" s="469" t="n"/>
    </row>
    <row r="192">
      <c r="A192" s="468">
        <f>IFERROR(__xludf.DUMMYFUNCTION("""COMPUTED_VALUE"""),"spy")</f>
        <v/>
      </c>
      <c r="B192" s="469">
        <f>IFERROR(__xludf.DUMMYFUNCTION("""COMPUTED_VALUE"""),"SPY×FAMILY")</f>
        <v/>
      </c>
      <c r="C192" s="470">
        <f>IFERROR(__xludf.DUMMYFUNCTION("""COMPUTED_VALUE"""),"00101")</f>
        <v/>
      </c>
      <c r="D192" s="469">
        <f>IFERROR(__xludf.DUMMYFUNCTION("""COMPUTED_VALUE"""),"enemy_spy_00101")</f>
        <v/>
      </c>
      <c r="E192" s="469">
        <f>IFERROR(__xludf.DUMMYFUNCTION("""COMPUTED_VALUE"""),"グエン")</f>
        <v/>
      </c>
      <c r="F192" s="469">
        <f>IFERROR(__xludf.DUMMYFUNCTION("""COMPUTED_VALUE"""),"グエン")</f>
        <v/>
      </c>
      <c r="G192" s="469" t="n"/>
      <c r="H192" s="469" t="n"/>
      <c r="I192" s="469" t="n"/>
      <c r="J192" s="469" t="n"/>
      <c r="K192" s="469">
        <f>IFERROR(__xludf.DUMMYFUNCTION("""COMPUTED_VALUE"""),"enemy")</f>
        <v/>
      </c>
      <c r="L192" s="469" t="n"/>
      <c r="M192" s="469">
        <f>IFERROR(__xludf.DUMMYFUNCTION("""COMPUTED_VALUE"""),"dageki_1")</f>
        <v/>
      </c>
      <c r="N192" s="469">
        <f>IFERROR(__xludf.DUMMYFUNCTION("""COMPUTED_VALUE"""),"Long")</f>
        <v/>
      </c>
      <c r="O192" s="469" t="n"/>
      <c r="P192" s="471" t="n"/>
      <c r="Q192" s="470">
        <f>IFERROR(__xludf.DUMMYFUNCTION("""COMPUTED_VALUE"""),"1.20")</f>
        <v/>
      </c>
      <c r="R192" s="470">
        <f>IFERROR(__xludf.DUMMYFUNCTION("""COMPUTED_VALUE"""),"0.50")</f>
        <v/>
      </c>
      <c r="S192" s="470">
        <f>IFERROR(__xludf.DUMMYFUNCTION("""COMPUTED_VALUE"""),"-")</f>
        <v/>
      </c>
      <c r="T192" s="470">
        <f>IFERROR(__xludf.DUMMYFUNCTION("""COMPUTED_VALUE"""),"-")</f>
        <v/>
      </c>
      <c r="U192" s="472">
        <f>IFERROR(__xludf.DUMMYFUNCTION("""COMPUTED_VALUE"""),45658.0)</f>
        <v/>
      </c>
      <c r="V192" s="472">
        <f>IFERROR(__xludf.DUMMYFUNCTION("""COMPUTED_VALUE"""),390812.49998842593)</f>
        <v/>
      </c>
      <c r="W192" s="469">
        <f>IFERROR(__xludf.DUMMYFUNCTION("""COMPUTED_VALUE"""),"catchcopy_character_enemy_spy_00101.png")</f>
        <v/>
      </c>
      <c r="X192" s="469">
        <f>IFERROR(__xludf.DUMMYFUNCTION("""COMPUTED_VALUE"""),"enemy_icon_enemy_spy_00101")</f>
        <v/>
      </c>
      <c r="Y192" s="469">
        <f>IFERROR(__xludf.DUMMYFUNCTION("""COMPUTED_VALUE"""),"boss_icon_enemy_spy_00101")</f>
        <v/>
      </c>
      <c r="Z192" s="469">
        <f>IFERROR(__xludf.DUMMYFUNCTION("""COMPUTED_VALUE"""),"enemy_spy_00101_normal")</f>
        <v/>
      </c>
      <c r="AA192" s="469" t="n"/>
    </row>
    <row r="193">
      <c r="A193" s="468">
        <f>IFERROR(__xludf.DUMMYFUNCTION("""COMPUTED_VALUE"""),"spy")</f>
        <v/>
      </c>
      <c r="B193" s="469">
        <f>IFERROR(__xludf.DUMMYFUNCTION("""COMPUTED_VALUE"""),"SPY×FAMILY")</f>
        <v/>
      </c>
      <c r="C193" s="470">
        <f>IFERROR(__xludf.DUMMYFUNCTION("""COMPUTED_VALUE"""),"00201")</f>
        <v/>
      </c>
      <c r="D193" s="469">
        <f>IFERROR(__xludf.DUMMYFUNCTION("""COMPUTED_VALUE"""),"enemy_spy_00201")</f>
        <v/>
      </c>
      <c r="E193" s="469">
        <f>IFERROR(__xludf.DUMMYFUNCTION("""COMPUTED_VALUE"""),"鎖窯使いのバーナビー")</f>
        <v/>
      </c>
      <c r="F193" s="469" t="n"/>
      <c r="G193" s="469" t="n"/>
      <c r="H193" s="469" t="n"/>
      <c r="I193" s="469" t="n"/>
      <c r="J193" s="469" t="n"/>
      <c r="K193" s="469">
        <f>IFERROR(__xludf.DUMMYFUNCTION("""COMPUTED_VALUE"""),"enemy")</f>
        <v/>
      </c>
      <c r="L193" s="469" t="n"/>
      <c r="M193" s="469" t="n"/>
      <c r="N193" s="469">
        <f>IFERROR(__xludf.DUMMYFUNCTION("""COMPUTED_VALUE"""),"Long")</f>
        <v/>
      </c>
      <c r="O193" s="469" t="n"/>
      <c r="P193" s="471" t="n"/>
      <c r="Q193" s="469" t="n"/>
      <c r="R193" s="469" t="n"/>
      <c r="S193" s="470">
        <f>IFERROR(__xludf.DUMMYFUNCTION("""COMPUTED_VALUE"""),"-")</f>
        <v/>
      </c>
      <c r="T193" s="470">
        <f>IFERROR(__xludf.DUMMYFUNCTION("""COMPUTED_VALUE"""),"-")</f>
        <v/>
      </c>
      <c r="U193" s="472">
        <f>IFERROR(__xludf.DUMMYFUNCTION("""COMPUTED_VALUE"""),45658.0)</f>
        <v/>
      </c>
      <c r="V193" s="472">
        <f>IFERROR(__xludf.DUMMYFUNCTION("""COMPUTED_VALUE"""),390812.49998842593)</f>
        <v/>
      </c>
      <c r="W193" s="469">
        <f>IFERROR(__xludf.DUMMYFUNCTION("""COMPUTED_VALUE"""),"catchcopy_character_enemy_spy_00201.png")</f>
        <v/>
      </c>
      <c r="X193" s="469">
        <f>IFERROR(__xludf.DUMMYFUNCTION("""COMPUTED_VALUE"""),"enemy_icon_enemy_spy_00201")</f>
        <v/>
      </c>
      <c r="Y193" s="469">
        <f>IFERROR(__xludf.DUMMYFUNCTION("""COMPUTED_VALUE"""),"boss_icon_enemy_spy_00201")</f>
        <v/>
      </c>
      <c r="Z193" s="469" t="n"/>
      <c r="AA193" s="469" t="n"/>
    </row>
    <row r="194">
      <c r="A194" s="468">
        <f>IFERROR(__xludf.DUMMYFUNCTION("""COMPUTED_VALUE"""),"spy")</f>
        <v/>
      </c>
      <c r="B194" s="469">
        <f>IFERROR(__xludf.DUMMYFUNCTION("""COMPUTED_VALUE"""),"SPY×FAMILY")</f>
        <v/>
      </c>
      <c r="C194" s="470">
        <f>IFERROR(__xludf.DUMMYFUNCTION("""COMPUTED_VALUE"""),"00301")</f>
        <v/>
      </c>
      <c r="D194" s="469">
        <f>IFERROR(__xludf.DUMMYFUNCTION("""COMPUTED_VALUE"""),"enemy_spy_00301")</f>
        <v/>
      </c>
      <c r="E194" s="469">
        <f>IFERROR(__xludf.DUMMYFUNCTION("""COMPUTED_VALUE"""),"毒霧使い")</f>
        <v/>
      </c>
      <c r="F194" s="469" t="n"/>
      <c r="G194" s="469" t="n"/>
      <c r="H194" s="469" t="n"/>
      <c r="I194" s="469" t="n"/>
      <c r="J194" s="469" t="n"/>
      <c r="K194" s="469">
        <f>IFERROR(__xludf.DUMMYFUNCTION("""COMPUTED_VALUE"""),"enemy")</f>
        <v/>
      </c>
      <c r="L194" s="469" t="n"/>
      <c r="M194" s="469" t="n"/>
      <c r="N194" s="469">
        <f>IFERROR(__xludf.DUMMYFUNCTION("""COMPUTED_VALUE"""),"Middle")</f>
        <v/>
      </c>
      <c r="O194" s="469" t="n"/>
      <c r="P194" s="471" t="n"/>
      <c r="Q194" s="469" t="n"/>
      <c r="R194" s="469" t="n"/>
      <c r="S194" s="470">
        <f>IFERROR(__xludf.DUMMYFUNCTION("""COMPUTED_VALUE"""),"-")</f>
        <v/>
      </c>
      <c r="T194" s="470">
        <f>IFERROR(__xludf.DUMMYFUNCTION("""COMPUTED_VALUE"""),"-")</f>
        <v/>
      </c>
      <c r="U194" s="472">
        <f>IFERROR(__xludf.DUMMYFUNCTION("""COMPUTED_VALUE"""),45658.0)</f>
        <v/>
      </c>
      <c r="V194" s="472">
        <f>IFERROR(__xludf.DUMMYFUNCTION("""COMPUTED_VALUE"""),390812.49998842593)</f>
        <v/>
      </c>
      <c r="W194" s="469">
        <f>IFERROR(__xludf.DUMMYFUNCTION("""COMPUTED_VALUE"""),"catchcopy_character_enemy_spy_00301.png")</f>
        <v/>
      </c>
      <c r="X194" s="469">
        <f>IFERROR(__xludf.DUMMYFUNCTION("""COMPUTED_VALUE"""),"enemy_icon_enemy_spy_00301")</f>
        <v/>
      </c>
      <c r="Y194" s="469">
        <f>IFERROR(__xludf.DUMMYFUNCTION("""COMPUTED_VALUE"""),"boss_icon_enemy_spy_00301")</f>
        <v/>
      </c>
      <c r="Z194" s="469" t="n"/>
      <c r="AA194" s="469" t="n"/>
    </row>
    <row r="195">
      <c r="A195" s="468">
        <f>IFERROR(__xludf.DUMMYFUNCTION("""COMPUTED_VALUE"""),"dan")</f>
        <v/>
      </c>
      <c r="B195" s="469">
        <f>IFERROR(__xludf.DUMMYFUNCTION("""COMPUTED_VALUE"""),"ダンダダン")</f>
        <v/>
      </c>
      <c r="C195" s="470">
        <f>IFERROR(__xludf.DUMMYFUNCTION("""COMPUTED_VALUE"""),"00001")</f>
        <v/>
      </c>
      <c r="D195" s="469">
        <f>IFERROR(__xludf.DUMMYFUNCTION("""COMPUTED_VALUE"""),"enemy_dan_00001")</f>
        <v/>
      </c>
      <c r="E195" s="469">
        <f>IFERROR(__xludf.DUMMYFUNCTION("""COMPUTED_VALUE"""),"セルポ星人")</f>
        <v/>
      </c>
      <c r="F195" s="469">
        <f>IFERROR(__xludf.DUMMYFUNCTION("""COMPUTED_VALUE"""),"セルポ星人")</f>
        <v/>
      </c>
      <c r="G195" s="469">
        <f>IFERROR(__xludf.DUMMYFUNCTION("""COMPUTED_VALUE"""),"ー")</f>
        <v/>
      </c>
      <c r="H195" s="469" t="n"/>
      <c r="I195" s="469" t="n"/>
      <c r="J195" s="469" t="n"/>
      <c r="K195" s="469">
        <f>IFERROR(__xludf.DUMMYFUNCTION("""COMPUTED_VALUE"""),"enemy")</f>
        <v/>
      </c>
      <c r="L195" s="469" t="n"/>
      <c r="M195" s="469">
        <f>IFERROR(__xludf.DUMMYFUNCTION("""COMPUTED_VALUE"""),"dageki_1")</f>
        <v/>
      </c>
      <c r="N195" s="469" t="n"/>
      <c r="O195" s="469" t="n"/>
      <c r="P195" s="471" t="n"/>
      <c r="Q195" s="470">
        <f>IFERROR(__xludf.DUMMYFUNCTION("""COMPUTED_VALUE"""),"1.16")</f>
        <v/>
      </c>
      <c r="R195" s="470">
        <f>IFERROR(__xludf.DUMMYFUNCTION("""COMPUTED_VALUE"""),"0.50")</f>
        <v/>
      </c>
      <c r="S195" s="470">
        <f>IFERROR(__xludf.DUMMYFUNCTION("""COMPUTED_VALUE"""),"-")</f>
        <v/>
      </c>
      <c r="T195" s="470">
        <f>IFERROR(__xludf.DUMMYFUNCTION("""COMPUTED_VALUE"""),"-")</f>
        <v/>
      </c>
      <c r="U195" s="472">
        <f>IFERROR(__xludf.DUMMYFUNCTION("""COMPUTED_VALUE"""),45658.0)</f>
        <v/>
      </c>
      <c r="V195" s="472">
        <f>IFERROR(__xludf.DUMMYFUNCTION("""COMPUTED_VALUE"""),390812.49998842593)</f>
        <v/>
      </c>
      <c r="W195" s="469">
        <f>IFERROR(__xludf.DUMMYFUNCTION("""COMPUTED_VALUE"""),"catchcopy_character_enemy_dan_00001.png")</f>
        <v/>
      </c>
      <c r="X195" s="469">
        <f>IFERROR(__xludf.DUMMYFUNCTION("""COMPUTED_VALUE"""),"enemy_icon_enemy_dan_00001")</f>
        <v/>
      </c>
      <c r="Y195" s="469">
        <f>IFERROR(__xludf.DUMMYFUNCTION("""COMPUTED_VALUE"""),"boss_icon_enemy_dan_00001")</f>
        <v/>
      </c>
      <c r="Z195" s="469" t="n"/>
      <c r="AA195" s="469" t="n"/>
    </row>
    <row r="196">
      <c r="A196" s="468">
        <f>IFERROR(__xludf.DUMMYFUNCTION("""COMPUTED_VALUE"""),"dan")</f>
        <v/>
      </c>
      <c r="B196" s="469">
        <f>IFERROR(__xludf.DUMMYFUNCTION("""COMPUTED_VALUE"""),"ダンダダン")</f>
        <v/>
      </c>
      <c r="C196" s="470">
        <f>IFERROR(__xludf.DUMMYFUNCTION("""COMPUTED_VALUE"""),"00101")</f>
        <v/>
      </c>
      <c r="D196" s="469">
        <f>IFERROR(__xludf.DUMMYFUNCTION("""COMPUTED_VALUE"""),"enemy_dan_00101")</f>
        <v/>
      </c>
      <c r="E196" s="469">
        <f>IFERROR(__xludf.DUMMYFUNCTION("""COMPUTED_VALUE"""),"セルポ星人（変身）")</f>
        <v/>
      </c>
      <c r="F196" s="469">
        <f>IFERROR(__xludf.DUMMYFUNCTION("""COMPUTED_VALUE"""),"セルポ星人(変身)")</f>
        <v/>
      </c>
      <c r="G196" s="469">
        <f>IFERROR(__xludf.DUMMYFUNCTION("""COMPUTED_VALUE"""),"ー")</f>
        <v/>
      </c>
      <c r="H196" s="469" t="n"/>
      <c r="I196" s="469" t="n"/>
      <c r="J196" s="469" t="n"/>
      <c r="K196" s="469">
        <f>IFERROR(__xludf.DUMMYFUNCTION("""COMPUTED_VALUE"""),"enemy")</f>
        <v/>
      </c>
      <c r="L196" s="469" t="n"/>
      <c r="M196" s="469">
        <f>IFERROR(__xludf.DUMMYFUNCTION("""COMPUTED_VALUE"""),"dageki_1")</f>
        <v/>
      </c>
      <c r="N196" s="469" t="n"/>
      <c r="O196" s="469" t="n"/>
      <c r="P196" s="471" t="n"/>
      <c r="Q196" s="470">
        <f>IFERROR(__xludf.DUMMYFUNCTION("""COMPUTED_VALUE"""),"1.40")</f>
        <v/>
      </c>
      <c r="R196" s="470">
        <f>IFERROR(__xludf.DUMMYFUNCTION("""COMPUTED_VALUE"""),"0.70")</f>
        <v/>
      </c>
      <c r="S196" s="470">
        <f>IFERROR(__xludf.DUMMYFUNCTION("""COMPUTED_VALUE"""),"-")</f>
        <v/>
      </c>
      <c r="T196" s="470">
        <f>IFERROR(__xludf.DUMMYFUNCTION("""COMPUTED_VALUE"""),"-")</f>
        <v/>
      </c>
      <c r="U196" s="472">
        <f>IFERROR(__xludf.DUMMYFUNCTION("""COMPUTED_VALUE"""),45658.0)</f>
        <v/>
      </c>
      <c r="V196" s="472">
        <f>IFERROR(__xludf.DUMMYFUNCTION("""COMPUTED_VALUE"""),390812.49998842593)</f>
        <v/>
      </c>
      <c r="W196" s="469">
        <f>IFERROR(__xludf.DUMMYFUNCTION("""COMPUTED_VALUE"""),"catchcopy_character_enemy_dan_00101.png")</f>
        <v/>
      </c>
      <c r="X196" s="469">
        <f>IFERROR(__xludf.DUMMYFUNCTION("""COMPUTED_VALUE"""),"enemy_icon_enemy_dan_00101")</f>
        <v/>
      </c>
      <c r="Y196" s="469">
        <f>IFERROR(__xludf.DUMMYFUNCTION("""COMPUTED_VALUE"""),"boss_icon_enemy_dan_00101")</f>
        <v/>
      </c>
      <c r="Z196" s="469">
        <f>IFERROR(__xludf.DUMMYFUNCTION("""COMPUTED_VALUE"""),"enemy_dan_00101_normal")</f>
        <v/>
      </c>
      <c r="AA196" s="469" t="n"/>
    </row>
    <row r="197">
      <c r="A197" s="468">
        <f>IFERROR(__xludf.DUMMYFUNCTION("""COMPUTED_VALUE"""),"dan")</f>
        <v/>
      </c>
      <c r="B197" s="469">
        <f>IFERROR(__xludf.DUMMYFUNCTION("""COMPUTED_VALUE"""),"ダンダダン")</f>
        <v/>
      </c>
      <c r="C197" s="470">
        <f>IFERROR(__xludf.DUMMYFUNCTION("""COMPUTED_VALUE"""),"00201")</f>
        <v/>
      </c>
      <c r="D197" s="469">
        <f>IFERROR(__xludf.DUMMYFUNCTION("""COMPUTED_VALUE"""),"enemy_dan_00201")</f>
        <v/>
      </c>
      <c r="E197" s="469">
        <f>IFERROR(__xludf.DUMMYFUNCTION("""COMPUTED_VALUE"""),"ターボババア")</f>
        <v/>
      </c>
      <c r="F197" s="469">
        <f>IFERROR(__xludf.DUMMYFUNCTION("""COMPUTED_VALUE"""),"ターボババア")</f>
        <v/>
      </c>
      <c r="G197" s="469">
        <f>IFERROR(__xludf.DUMMYFUNCTION("""COMPUTED_VALUE"""),"ー")</f>
        <v/>
      </c>
      <c r="H197" s="469" t="n"/>
      <c r="I197" s="469" t="n"/>
      <c r="J197" s="469" t="n"/>
      <c r="K197" s="469">
        <f>IFERROR(__xludf.DUMMYFUNCTION("""COMPUTED_VALUE"""),"enemy")</f>
        <v/>
      </c>
      <c r="L197" s="469" t="n"/>
      <c r="M197" s="469">
        <f>IFERROR(__xludf.DUMMYFUNCTION("""COMPUTED_VALUE"""),"dageki_1")</f>
        <v/>
      </c>
      <c r="N197" s="469" t="n"/>
      <c r="O197" s="469" t="n"/>
      <c r="P197" s="471" t="n"/>
      <c r="Q197" s="470">
        <f>IFERROR(__xludf.DUMMYFUNCTION("""COMPUTED_VALUE"""),"1.50")</f>
        <v/>
      </c>
      <c r="R197" s="470">
        <f>IFERROR(__xludf.DUMMYFUNCTION("""COMPUTED_VALUE"""),"0.40")</f>
        <v/>
      </c>
      <c r="S197" s="470">
        <f>IFERROR(__xludf.DUMMYFUNCTION("""COMPUTED_VALUE"""),"-")</f>
        <v/>
      </c>
      <c r="T197" s="470">
        <f>IFERROR(__xludf.DUMMYFUNCTION("""COMPUTED_VALUE"""),"-")</f>
        <v/>
      </c>
      <c r="U197" s="472">
        <f>IFERROR(__xludf.DUMMYFUNCTION("""COMPUTED_VALUE"""),45658.0)</f>
        <v/>
      </c>
      <c r="V197" s="472">
        <f>IFERROR(__xludf.DUMMYFUNCTION("""COMPUTED_VALUE"""),390812.49998842593)</f>
        <v/>
      </c>
      <c r="W197" s="469">
        <f>IFERROR(__xludf.DUMMYFUNCTION("""COMPUTED_VALUE"""),"catchcopy_character_enemy_dan_00201.png")</f>
        <v/>
      </c>
      <c r="X197" s="469">
        <f>IFERROR(__xludf.DUMMYFUNCTION("""COMPUTED_VALUE"""),"enemy_icon_enemy_dan_00201")</f>
        <v/>
      </c>
      <c r="Y197" s="469">
        <f>IFERROR(__xludf.DUMMYFUNCTION("""COMPUTED_VALUE"""),"boss_icon_enemy_dan_00201")</f>
        <v/>
      </c>
      <c r="Z197" s="469" t="n"/>
      <c r="AA197" s="469" t="n"/>
    </row>
    <row r="198">
      <c r="A198" s="468">
        <f>IFERROR(__xludf.DUMMYFUNCTION("""COMPUTED_VALUE"""),"dan")</f>
        <v/>
      </c>
      <c r="B198" s="469">
        <f>IFERROR(__xludf.DUMMYFUNCTION("""COMPUTED_VALUE"""),"ダンダダン")</f>
        <v/>
      </c>
      <c r="C198" s="470">
        <f>IFERROR(__xludf.DUMMYFUNCTION("""COMPUTED_VALUE"""),"00301")</f>
        <v/>
      </c>
      <c r="D198" s="469">
        <f>IFERROR(__xludf.DUMMYFUNCTION("""COMPUTED_VALUE"""),"enemy_dan_00301")</f>
        <v/>
      </c>
      <c r="E198" s="469">
        <f>IFERROR(__xludf.DUMMYFUNCTION("""COMPUTED_VALUE"""),"アクロバティックさらさら")</f>
        <v/>
      </c>
      <c r="F198" s="469">
        <f>IFERROR(__xludf.DUMMYFUNCTION("""COMPUTED_VALUE"""),"アクロバティックさらさら")</f>
        <v/>
      </c>
      <c r="G198" s="469">
        <f>IFERROR(__xludf.DUMMYFUNCTION("""COMPUTED_VALUE"""),"ー")</f>
        <v/>
      </c>
      <c r="H198" s="469" t="n"/>
      <c r="I198" s="469" t="n"/>
      <c r="J198" s="469" t="n"/>
      <c r="K198" s="469">
        <f>IFERROR(__xludf.DUMMYFUNCTION("""COMPUTED_VALUE"""),"enemy")</f>
        <v/>
      </c>
      <c r="L198" s="469" t="n"/>
      <c r="M198" s="469">
        <f>IFERROR(__xludf.DUMMYFUNCTION("""COMPUTED_VALUE"""),"dageki_1")</f>
        <v/>
      </c>
      <c r="N198" s="469">
        <f>IFERROR(__xludf.DUMMYFUNCTION("""COMPUTED_VALUE"""),"Middle")</f>
        <v/>
      </c>
      <c r="O198" s="469" t="n"/>
      <c r="P198" s="471" t="n"/>
      <c r="Q198" s="470">
        <f>IFERROR(__xludf.DUMMYFUNCTION("""COMPUTED_VALUE"""),"1.20")</f>
        <v/>
      </c>
      <c r="R198" s="470">
        <f>IFERROR(__xludf.DUMMYFUNCTION("""COMPUTED_VALUE"""),"0.27")</f>
        <v/>
      </c>
      <c r="S198" s="470">
        <f>IFERROR(__xludf.DUMMYFUNCTION("""COMPUTED_VALUE"""),"-")</f>
        <v/>
      </c>
      <c r="T198" s="470">
        <f>IFERROR(__xludf.DUMMYFUNCTION("""COMPUTED_VALUE"""),"-")</f>
        <v/>
      </c>
      <c r="U198" s="472">
        <f>IFERROR(__xludf.DUMMYFUNCTION("""COMPUTED_VALUE"""),45658.0)</f>
        <v/>
      </c>
      <c r="V198" s="472">
        <f>IFERROR(__xludf.DUMMYFUNCTION("""COMPUTED_VALUE"""),390812.49998842593)</f>
        <v/>
      </c>
      <c r="W198" s="469">
        <f>IFERROR(__xludf.DUMMYFUNCTION("""COMPUTED_VALUE"""),"catchcopy_character_enemy_dan_00301.png")</f>
        <v/>
      </c>
      <c r="X198" s="469">
        <f>IFERROR(__xludf.DUMMYFUNCTION("""COMPUTED_VALUE"""),"enemy_icon_enemy_dan_00301")</f>
        <v/>
      </c>
      <c r="Y198" s="469">
        <f>IFERROR(__xludf.DUMMYFUNCTION("""COMPUTED_VALUE"""),"boss_icon_enemy_dan_00301")</f>
        <v/>
      </c>
      <c r="Z198" s="469">
        <f>IFERROR(__xludf.DUMMYFUNCTION("""COMPUTED_VALUE"""),"enemy_dan_00301_normal")</f>
        <v/>
      </c>
      <c r="AA198" s="469" t="n"/>
    </row>
    <row r="199">
      <c r="A199" s="468">
        <f>IFERROR(__xludf.DUMMYFUNCTION("""COMPUTED_VALUE"""),"gom")</f>
        <v/>
      </c>
      <c r="B199" s="469">
        <f>IFERROR(__xludf.DUMMYFUNCTION("""COMPUTED_VALUE"""),"姫様“拷問”の時間です")</f>
        <v/>
      </c>
      <c r="C199" s="470">
        <f>IFERROR(__xludf.DUMMYFUNCTION("""COMPUTED_VALUE"""),"00101")</f>
        <v/>
      </c>
      <c r="D199" s="469">
        <f>IFERROR(__xludf.DUMMYFUNCTION("""COMPUTED_VALUE"""),"enemy_gom_00101")</f>
        <v/>
      </c>
      <c r="E199" s="469">
        <f>IFERROR(__xludf.DUMMYFUNCTION("""COMPUTED_VALUE"""),"トーチャー・トルチュール")</f>
        <v/>
      </c>
      <c r="F199" s="469">
        <f>IFERROR(__xludf.DUMMYFUNCTION("""COMPUTED_VALUE"""),"トーチャー・トルチュール")</f>
        <v/>
      </c>
      <c r="G199" s="469">
        <f>IFERROR(__xludf.DUMMYFUNCTION("""COMPUTED_VALUE"""),"""拷問""の時間です")</f>
        <v/>
      </c>
      <c r="H199" s="469" t="n"/>
      <c r="I199" s="469" t="n"/>
      <c r="J199" s="469" t="n"/>
      <c r="K199" s="469">
        <f>IFERROR(__xludf.DUMMYFUNCTION("""COMPUTED_VALUE"""),"enemy")</f>
        <v/>
      </c>
      <c r="L199" s="469">
        <f>IFERROR(__xludf.DUMMYFUNCTION("""COMPUTED_VALUE"""),"テクニカル")</f>
        <v/>
      </c>
      <c r="M199" s="469">
        <f>IFERROR(__xludf.DUMMYFUNCTION("""COMPUTED_VALUE"""),"dageki_2")</f>
        <v/>
      </c>
      <c r="N199" s="469" t="n"/>
      <c r="O199" s="469" t="n"/>
      <c r="P199" s="473">
        <f>IFERROR(__xludf.DUMMYFUNCTION("""COMPUTED_VALUE"""),"00101")</f>
        <v/>
      </c>
      <c r="Q199" s="470">
        <f>IFERROR(__xludf.DUMMYFUNCTION("""COMPUTED_VALUE"""),"2.90")</f>
        <v/>
      </c>
      <c r="R199" s="470">
        <f>IFERROR(__xludf.DUMMYFUNCTION("""COMPUTED_VALUE"""),"1.00")</f>
        <v/>
      </c>
      <c r="S199" s="470">
        <f>IFERROR(__xludf.DUMMYFUNCTION("""COMPUTED_VALUE"""),"-")</f>
        <v/>
      </c>
      <c r="T199" s="470">
        <f>IFERROR(__xludf.DUMMYFUNCTION("""COMPUTED_VALUE"""),"-")</f>
        <v/>
      </c>
      <c r="U199" s="472">
        <f>IFERROR(__xludf.DUMMYFUNCTION("""COMPUTED_VALUE"""),45658.0)</f>
        <v/>
      </c>
      <c r="V199" s="472">
        <f>IFERROR(__xludf.DUMMYFUNCTION("""COMPUTED_VALUE"""),390812.49998842593)</f>
        <v/>
      </c>
      <c r="W199" s="469">
        <f>IFERROR(__xludf.DUMMYFUNCTION("""COMPUTED_VALUE"""),"catchcopy_character_enemy_gom_00101.png")</f>
        <v/>
      </c>
      <c r="X199" s="469">
        <f>IFERROR(__xludf.DUMMYFUNCTION("""COMPUTED_VALUE"""),"enemy_icon_enemy_gom_00101")</f>
        <v/>
      </c>
      <c r="Y199" s="469">
        <f>IFERROR(__xludf.DUMMYFUNCTION("""COMPUTED_VALUE"""),"boss_icon_enemy_gom_00101")</f>
        <v/>
      </c>
      <c r="Z199" s="469">
        <f>IFERROR(__xludf.DUMMYFUNCTION("""COMPUTED_VALUE"""),"chara_gom_00101_normal")</f>
        <v/>
      </c>
      <c r="AA199" s="469" t="n"/>
    </row>
    <row r="200">
      <c r="A200" s="468">
        <f>IFERROR(__xludf.DUMMYFUNCTION("""COMPUTED_VALUE"""),"gom")</f>
        <v/>
      </c>
      <c r="B200" s="469">
        <f>IFERROR(__xludf.DUMMYFUNCTION("""COMPUTED_VALUE"""),"姫様“拷問”の時間です")</f>
        <v/>
      </c>
      <c r="C200" s="470">
        <f>IFERROR(__xludf.DUMMYFUNCTION("""COMPUTED_VALUE"""),"00001")</f>
        <v/>
      </c>
      <c r="D200" s="469">
        <f>IFERROR(__xludf.DUMMYFUNCTION("""COMPUTED_VALUE"""),"enemy_gom_00001")</f>
        <v/>
      </c>
      <c r="E200" s="469">
        <f>IFERROR(__xludf.DUMMYFUNCTION("""COMPUTED_VALUE"""),"カナッジ")</f>
        <v/>
      </c>
      <c r="F200" s="469">
        <f>IFERROR(__xludf.DUMMYFUNCTION("""COMPUTED_VALUE"""),"カナッジ")</f>
        <v/>
      </c>
      <c r="G200" s="469">
        <f>IFERROR(__xludf.DUMMYFUNCTION("""COMPUTED_VALUE"""),"ー")</f>
        <v/>
      </c>
      <c r="H200" s="469" t="n"/>
      <c r="I200" s="469" t="n"/>
      <c r="J200" s="469">
        <f>IFERROR(__xludf.DUMMYFUNCTION("""COMPUTED_VALUE"""),"無")</f>
        <v/>
      </c>
      <c r="K200" s="469">
        <f>IFERROR(__xludf.DUMMYFUNCTION("""COMPUTED_VALUE"""),"enemy")</f>
        <v/>
      </c>
      <c r="L200" s="469" t="n"/>
      <c r="M200" s="469" t="n"/>
      <c r="N200" s="469" t="n"/>
      <c r="O200" s="469" t="n"/>
      <c r="P200" s="471" t="n"/>
      <c r="Q200" s="470">
        <f>IFERROR(__xludf.DUMMYFUNCTION("""COMPUTED_VALUE"""),"1.60")</f>
        <v/>
      </c>
      <c r="R200" s="470">
        <f>IFERROR(__xludf.DUMMYFUNCTION("""COMPUTED_VALUE"""),"0.50")</f>
        <v/>
      </c>
      <c r="S200" s="470">
        <f>IFERROR(__xludf.DUMMYFUNCTION("""COMPUTED_VALUE"""),"-")</f>
        <v/>
      </c>
      <c r="T200" s="470">
        <f>IFERROR(__xludf.DUMMYFUNCTION("""COMPUTED_VALUE"""),"-")</f>
        <v/>
      </c>
      <c r="U200" s="472">
        <f>IFERROR(__xludf.DUMMYFUNCTION("""COMPUTED_VALUE"""),45658.0)</f>
        <v/>
      </c>
      <c r="V200" s="472">
        <f>IFERROR(__xludf.DUMMYFUNCTION("""COMPUTED_VALUE"""),390812.49998842593)</f>
        <v/>
      </c>
      <c r="W200" s="469">
        <f>IFERROR(__xludf.DUMMYFUNCTION("""COMPUTED_VALUE"""),"catchcopy_character_enemy_gom_00001.png")</f>
        <v/>
      </c>
      <c r="X200" s="469">
        <f>IFERROR(__xludf.DUMMYFUNCTION("""COMPUTED_VALUE"""),"enemy_icon_enemy_gom_00001")</f>
        <v/>
      </c>
      <c r="Y200" s="469">
        <f>IFERROR(__xludf.DUMMYFUNCTION("""COMPUTED_VALUE"""),"boss_icon_enemy_gom_00001")</f>
        <v/>
      </c>
      <c r="Z200" s="469" t="n"/>
      <c r="AA200" s="469" t="n"/>
    </row>
    <row r="201">
      <c r="A201" s="468">
        <f>IFERROR(__xludf.DUMMYFUNCTION("""COMPUTED_VALUE"""),"gom")</f>
        <v/>
      </c>
      <c r="B201" s="469">
        <f>IFERROR(__xludf.DUMMYFUNCTION("""COMPUTED_VALUE"""),"姫様“拷問”の時間です")</f>
        <v/>
      </c>
      <c r="C201" s="470">
        <f>IFERROR(__xludf.DUMMYFUNCTION("""COMPUTED_VALUE"""),"00201")</f>
        <v/>
      </c>
      <c r="D201" s="469">
        <f>IFERROR(__xludf.DUMMYFUNCTION("""COMPUTED_VALUE"""),"enemy_gom_00201")</f>
        <v/>
      </c>
      <c r="E201" s="469">
        <f>IFERROR(__xludf.DUMMYFUNCTION("""COMPUTED_VALUE"""),"クロル")</f>
        <v/>
      </c>
      <c r="F201" s="469">
        <f>IFERROR(__xludf.DUMMYFUNCTION("""COMPUTED_VALUE"""),"クロル")</f>
        <v/>
      </c>
      <c r="G201" s="469">
        <f>IFERROR(__xludf.DUMMYFUNCTION("""COMPUTED_VALUE"""),"ー")</f>
        <v/>
      </c>
      <c r="H201" s="469" t="n"/>
      <c r="I201" s="469" t="n"/>
      <c r="J201" s="469" t="n"/>
      <c r="K201" s="469">
        <f>IFERROR(__xludf.DUMMYFUNCTION("""COMPUTED_VALUE"""),"enemy")</f>
        <v/>
      </c>
      <c r="L201" s="469" t="n"/>
      <c r="M201" s="469">
        <f>IFERROR(__xludf.DUMMYFUNCTION("""COMPUTED_VALUE"""),"dageki_1")</f>
        <v/>
      </c>
      <c r="N201" s="469" t="n"/>
      <c r="O201" s="469" t="n"/>
      <c r="P201" s="471" t="n"/>
      <c r="Q201" s="470">
        <f>IFERROR(__xludf.DUMMYFUNCTION("""COMPUTED_VALUE"""),"1.30")</f>
        <v/>
      </c>
      <c r="R201" s="470">
        <f>IFERROR(__xludf.DUMMYFUNCTION("""COMPUTED_VALUE"""),"0.30")</f>
        <v/>
      </c>
      <c r="S201" s="470">
        <f>IFERROR(__xludf.DUMMYFUNCTION("""COMPUTED_VALUE"""),"-")</f>
        <v/>
      </c>
      <c r="T201" s="470">
        <f>IFERROR(__xludf.DUMMYFUNCTION("""COMPUTED_VALUE"""),"-")</f>
        <v/>
      </c>
      <c r="U201" s="472">
        <f>IFERROR(__xludf.DUMMYFUNCTION("""COMPUTED_VALUE"""),45658.0)</f>
        <v/>
      </c>
      <c r="V201" s="472">
        <f>IFERROR(__xludf.DUMMYFUNCTION("""COMPUTED_VALUE"""),390812.49998842593)</f>
        <v/>
      </c>
      <c r="W201" s="469">
        <f>IFERROR(__xludf.DUMMYFUNCTION("""COMPUTED_VALUE"""),"catchcopy_character_enemy_gom_00201.png")</f>
        <v/>
      </c>
      <c r="X201" s="469">
        <f>IFERROR(__xludf.DUMMYFUNCTION("""COMPUTED_VALUE"""),"enemy_icon_enemy_gom_00201")</f>
        <v/>
      </c>
      <c r="Y201" s="469">
        <f>IFERROR(__xludf.DUMMYFUNCTION("""COMPUTED_VALUE"""),"boss_icon_enemy_gom_00201")</f>
        <v/>
      </c>
      <c r="Z201" s="469" t="n"/>
      <c r="AA201" s="469" t="n"/>
    </row>
    <row r="202">
      <c r="A202" s="468">
        <f>IFERROR(__xludf.DUMMYFUNCTION("""COMPUTED_VALUE"""),"gom")</f>
        <v/>
      </c>
      <c r="B202" s="469">
        <f>IFERROR(__xludf.DUMMYFUNCTION("""COMPUTED_VALUE"""),"姫様“拷問”の時間です")</f>
        <v/>
      </c>
      <c r="C202" s="470">
        <f>IFERROR(__xludf.DUMMYFUNCTION("""COMPUTED_VALUE"""),"00301")</f>
        <v/>
      </c>
      <c r="D202" s="469">
        <f>IFERROR(__xludf.DUMMYFUNCTION("""COMPUTED_VALUE"""),"enemy_gom_00301")</f>
        <v/>
      </c>
      <c r="E202" s="469">
        <f>IFERROR(__xludf.DUMMYFUNCTION("""COMPUTED_VALUE"""),"キュイ")</f>
        <v/>
      </c>
      <c r="F202" s="469">
        <f>IFERROR(__xludf.DUMMYFUNCTION("""COMPUTED_VALUE"""),"キュイ")</f>
        <v/>
      </c>
      <c r="G202" s="469">
        <f>IFERROR(__xludf.DUMMYFUNCTION("""COMPUTED_VALUE"""),"ー")</f>
        <v/>
      </c>
      <c r="H202" s="469" t="n"/>
      <c r="I202" s="469" t="n"/>
      <c r="J202" s="469" t="n"/>
      <c r="K202" s="469">
        <f>IFERROR(__xludf.DUMMYFUNCTION("""COMPUTED_VALUE"""),"enemy")</f>
        <v/>
      </c>
      <c r="L202" s="469">
        <f>IFERROR(__xludf.DUMMYFUNCTION("""COMPUTED_VALUE"""),"ディフェンス")</f>
        <v/>
      </c>
      <c r="M202" s="469">
        <f>IFERROR(__xludf.DUMMYFUNCTION("""COMPUTED_VALUE"""),"dageki_1")</f>
        <v/>
      </c>
      <c r="N202" s="469" t="n"/>
      <c r="O202" s="469" t="n"/>
      <c r="P202" s="471" t="n"/>
      <c r="Q202" s="470">
        <f>IFERROR(__xludf.DUMMYFUNCTION("""COMPUTED_VALUE"""),"2.76")</f>
        <v/>
      </c>
      <c r="R202" s="470">
        <f>IFERROR(__xludf.DUMMYFUNCTION("""COMPUTED_VALUE"""),"1.50")</f>
        <v/>
      </c>
      <c r="S202" s="470">
        <f>IFERROR(__xludf.DUMMYFUNCTION("""COMPUTED_VALUE"""),"-")</f>
        <v/>
      </c>
      <c r="T202" s="470">
        <f>IFERROR(__xludf.DUMMYFUNCTION("""COMPUTED_VALUE"""),"-")</f>
        <v/>
      </c>
      <c r="U202" s="472">
        <f>IFERROR(__xludf.DUMMYFUNCTION("""COMPUTED_VALUE"""),45658.0)</f>
        <v/>
      </c>
      <c r="V202" s="472">
        <f>IFERROR(__xludf.DUMMYFUNCTION("""COMPUTED_VALUE"""),390812.49998842593)</f>
        <v/>
      </c>
      <c r="W202" s="469">
        <f>IFERROR(__xludf.DUMMYFUNCTION("""COMPUTED_VALUE"""),"catchcopy_character_enemy_gom_00001.png")</f>
        <v/>
      </c>
      <c r="X202" s="469">
        <f>IFERROR(__xludf.DUMMYFUNCTION("""COMPUTED_VALUE"""),"enemy_icon_enemy_gom_00301")</f>
        <v/>
      </c>
      <c r="Y202" s="469">
        <f>IFERROR(__xludf.DUMMYFUNCTION("""COMPUTED_VALUE"""),"boss_icon_enemy_gom_00301")</f>
        <v/>
      </c>
      <c r="Z202" s="469" t="n"/>
      <c r="AA202" s="469" t="n"/>
    </row>
    <row r="203">
      <c r="A203" s="468">
        <f>IFERROR(__xludf.DUMMYFUNCTION("""COMPUTED_VALUE"""),"gom")</f>
        <v/>
      </c>
      <c r="B203" s="469">
        <f>IFERROR(__xludf.DUMMYFUNCTION("""COMPUTED_VALUE"""),"姫様“拷問”の時間です")</f>
        <v/>
      </c>
      <c r="C203" s="470">
        <f>IFERROR(__xludf.DUMMYFUNCTION("""COMPUTED_VALUE"""),"00401")</f>
        <v/>
      </c>
      <c r="D203" s="469">
        <f>IFERROR(__xludf.DUMMYFUNCTION("""COMPUTED_VALUE"""),"enemy_gom_00401")</f>
        <v/>
      </c>
      <c r="E203" s="469">
        <f>IFERROR(__xludf.DUMMYFUNCTION("""COMPUTED_VALUE"""),"たこ焼きくん")</f>
        <v/>
      </c>
      <c r="F203" s="469">
        <f>IFERROR(__xludf.DUMMYFUNCTION("""COMPUTED_VALUE"""),"たこ焼きくん")</f>
        <v/>
      </c>
      <c r="G203" s="469">
        <f>IFERROR(__xludf.DUMMYFUNCTION("""COMPUTED_VALUE"""),"ー")</f>
        <v/>
      </c>
      <c r="H203" s="469" t="n"/>
      <c r="I203" s="469" t="n"/>
      <c r="J203" s="469" t="n"/>
      <c r="K203" s="469">
        <f>IFERROR(__xludf.DUMMYFUNCTION("""COMPUTED_VALUE"""),"enemy")</f>
        <v/>
      </c>
      <c r="L203" s="469">
        <f>IFERROR(__xludf.DUMMYFUNCTION("""COMPUTED_VALUE"""),"アタック")</f>
        <v/>
      </c>
      <c r="M203" s="469">
        <f>IFERROR(__xludf.DUMMYFUNCTION("""COMPUTED_VALUE"""),"dageki_1")</f>
        <v/>
      </c>
      <c r="N203" s="469" t="n"/>
      <c r="O203" s="469" t="n"/>
      <c r="P203" s="471" t="n"/>
      <c r="Q203" s="470">
        <f>IFERROR(__xludf.DUMMYFUNCTION("""COMPUTED_VALUE"""),"1.00")</f>
        <v/>
      </c>
      <c r="R203" s="470">
        <f>IFERROR(__xludf.DUMMYFUNCTION("""COMPUTED_VALUE"""),"0.833")</f>
        <v/>
      </c>
      <c r="S203" s="470">
        <f>IFERROR(__xludf.DUMMYFUNCTION("""COMPUTED_VALUE"""),"-")</f>
        <v/>
      </c>
      <c r="T203" s="470">
        <f>IFERROR(__xludf.DUMMYFUNCTION("""COMPUTED_VALUE"""),"-")</f>
        <v/>
      </c>
      <c r="U203" s="472">
        <f>IFERROR(__xludf.DUMMYFUNCTION("""COMPUTED_VALUE"""),45658.0)</f>
        <v/>
      </c>
      <c r="V203" s="472">
        <f>IFERROR(__xludf.DUMMYFUNCTION("""COMPUTED_VALUE"""),390812.49998842593)</f>
        <v/>
      </c>
      <c r="W203" s="469">
        <f>IFERROR(__xludf.DUMMYFUNCTION("""COMPUTED_VALUE"""),"catchcopy_character_enemy_gom_00002.png")</f>
        <v/>
      </c>
      <c r="X203" s="469">
        <f>IFERROR(__xludf.DUMMYFUNCTION("""COMPUTED_VALUE"""),"enemy_icon_enemy_gom_00401")</f>
        <v/>
      </c>
      <c r="Y203" s="469">
        <f>IFERROR(__xludf.DUMMYFUNCTION("""COMPUTED_VALUE"""),"boss_icon_enemy_gom_00401")</f>
        <v/>
      </c>
      <c r="Z203" s="469">
        <f>IFERROR(__xludf.DUMMYFUNCTION("""COMPUTED_VALUE"""),"enemy_dan_00401_normal")</f>
        <v/>
      </c>
      <c r="AA203" s="469" t="n"/>
    </row>
    <row r="204">
      <c r="A204" s="468">
        <f>IFERROR(__xludf.DUMMYFUNCTION("""COMPUTED_VALUE"""),"gom")</f>
        <v/>
      </c>
      <c r="B204" s="469">
        <f>IFERROR(__xludf.DUMMYFUNCTION("""COMPUTED_VALUE"""),"姫様“拷問”の時間です")</f>
        <v/>
      </c>
      <c r="C204" s="470">
        <f>IFERROR(__xludf.DUMMYFUNCTION("""COMPUTED_VALUE"""),"00402")</f>
        <v/>
      </c>
      <c r="D204" s="469">
        <f>IFERROR(__xludf.DUMMYFUNCTION("""COMPUTED_VALUE"""),"enemy_gom_00402")</f>
        <v/>
      </c>
      <c r="E204" s="469">
        <f>IFERROR(__xludf.DUMMYFUNCTION("""COMPUTED_VALUE"""),"たこ焼き")</f>
        <v/>
      </c>
      <c r="F204" s="469">
        <f>IFERROR(__xludf.DUMMYFUNCTION("""COMPUTED_VALUE"""),"たこ焼き")</f>
        <v/>
      </c>
      <c r="G204" s="469">
        <f>IFERROR(__xludf.DUMMYFUNCTION("""COMPUTED_VALUE"""),"ー")</f>
        <v/>
      </c>
      <c r="H204" s="469" t="n"/>
      <c r="I204" s="469" t="n"/>
      <c r="J204" s="469" t="n"/>
      <c r="K204" s="469">
        <f>IFERROR(__xludf.DUMMYFUNCTION("""COMPUTED_VALUE"""),"enemy")</f>
        <v/>
      </c>
      <c r="L204" s="469">
        <f>IFERROR(__xludf.DUMMYFUNCTION("""COMPUTED_VALUE"""),"アタック")</f>
        <v/>
      </c>
      <c r="M204" s="469">
        <f>IFERROR(__xludf.DUMMYFUNCTION("""COMPUTED_VALUE"""),"dageki_1")</f>
        <v/>
      </c>
      <c r="N204" s="469" t="n"/>
      <c r="O204" s="469" t="n"/>
      <c r="P204" s="471" t="n"/>
      <c r="Q204" s="470">
        <f>IFERROR(__xludf.DUMMYFUNCTION("""COMPUTED_VALUE"""),"1.00")</f>
        <v/>
      </c>
      <c r="R204" s="470">
        <f>IFERROR(__xludf.DUMMYFUNCTION("""COMPUTED_VALUE"""),"0.833")</f>
        <v/>
      </c>
      <c r="S204" s="470">
        <f>IFERROR(__xludf.DUMMYFUNCTION("""COMPUTED_VALUE"""),"-")</f>
        <v/>
      </c>
      <c r="T204" s="470">
        <f>IFERROR(__xludf.DUMMYFUNCTION("""COMPUTED_VALUE"""),"-")</f>
        <v/>
      </c>
      <c r="U204" s="472">
        <f>IFERROR(__xludf.DUMMYFUNCTION("""COMPUTED_VALUE"""),45658.0)</f>
        <v/>
      </c>
      <c r="V204" s="472">
        <f>IFERROR(__xludf.DUMMYFUNCTION("""COMPUTED_VALUE"""),390812.49998842593)</f>
        <v/>
      </c>
      <c r="W204" s="469">
        <f>IFERROR(__xludf.DUMMYFUNCTION("""COMPUTED_VALUE"""),"catchcopy_character_enemy_gom_00001.png")</f>
        <v/>
      </c>
      <c r="X204" s="469">
        <f>IFERROR(__xludf.DUMMYFUNCTION("""COMPUTED_VALUE"""),"enemy_icon_enemy_gom_00402")</f>
        <v/>
      </c>
      <c r="Y204" s="469">
        <f>IFERROR(__xludf.DUMMYFUNCTION("""COMPUTED_VALUE"""),"boss_icon_enemy_gom_00402")</f>
        <v/>
      </c>
      <c r="Z204" s="469" t="n"/>
      <c r="AA204" s="469" t="n"/>
    </row>
    <row r="205">
      <c r="A205" s="468">
        <f>IFERROR(__xludf.DUMMYFUNCTION("""COMPUTED_VALUE"""),"gom")</f>
        <v/>
      </c>
      <c r="B205" s="469">
        <f>IFERROR(__xludf.DUMMYFUNCTION("""COMPUTED_VALUE"""),"姫様“拷問”の時間です")</f>
        <v/>
      </c>
      <c r="C205" s="470">
        <f>IFERROR(__xludf.DUMMYFUNCTION("""COMPUTED_VALUE"""),"00501")</f>
        <v/>
      </c>
      <c r="D205" s="469">
        <f>IFERROR(__xludf.DUMMYFUNCTION("""COMPUTED_VALUE"""),"enemy_gom_00501")</f>
        <v/>
      </c>
      <c r="E205" s="469">
        <f>IFERROR(__xludf.DUMMYFUNCTION("""COMPUTED_VALUE"""),"バタートースト")</f>
        <v/>
      </c>
      <c r="F205" s="469">
        <f>IFERROR(__xludf.DUMMYFUNCTION("""COMPUTED_VALUE"""),"バタートースト")</f>
        <v/>
      </c>
      <c r="G205" s="469">
        <f>IFERROR(__xludf.DUMMYFUNCTION("""COMPUTED_VALUE"""),"ー")</f>
        <v/>
      </c>
      <c r="H205" s="469" t="n"/>
      <c r="I205" s="469" t="n"/>
      <c r="J205" s="469" t="n"/>
      <c r="K205" s="469">
        <f>IFERROR(__xludf.DUMMYFUNCTION("""COMPUTED_VALUE"""),"enemy")</f>
        <v/>
      </c>
      <c r="L205" s="469">
        <f>IFERROR(__xludf.DUMMYFUNCTION("""COMPUTED_VALUE"""),"ディフェンス")</f>
        <v/>
      </c>
      <c r="M205" s="469">
        <f>IFERROR(__xludf.DUMMYFUNCTION("""COMPUTED_VALUE"""),"dageki_1")</f>
        <v/>
      </c>
      <c r="N205" s="469" t="n"/>
      <c r="O205" s="469" t="n"/>
      <c r="P205" s="471" t="n"/>
      <c r="Q205" s="470">
        <f>IFERROR(__xludf.DUMMYFUNCTION("""COMPUTED_VALUE"""),"1.00")</f>
        <v/>
      </c>
      <c r="R205" s="470">
        <f>IFERROR(__xludf.DUMMYFUNCTION("""COMPUTED_VALUE"""),"0.833")</f>
        <v/>
      </c>
      <c r="S205" s="470">
        <f>IFERROR(__xludf.DUMMYFUNCTION("""COMPUTED_VALUE"""),"-")</f>
        <v/>
      </c>
      <c r="T205" s="470">
        <f>IFERROR(__xludf.DUMMYFUNCTION("""COMPUTED_VALUE"""),"-")</f>
        <v/>
      </c>
      <c r="U205" s="472">
        <f>IFERROR(__xludf.DUMMYFUNCTION("""COMPUTED_VALUE"""),45658.0)</f>
        <v/>
      </c>
      <c r="V205" s="472">
        <f>IFERROR(__xludf.DUMMYFUNCTION("""COMPUTED_VALUE"""),390812.49998842593)</f>
        <v/>
      </c>
      <c r="W205" s="469">
        <f>IFERROR(__xludf.DUMMYFUNCTION("""COMPUTED_VALUE"""),"catchcopy_character_enemy_gom_00001.png")</f>
        <v/>
      </c>
      <c r="X205" s="469">
        <f>IFERROR(__xludf.DUMMYFUNCTION("""COMPUTED_VALUE"""),"enemy_icon_enemy_gom_00501")</f>
        <v/>
      </c>
      <c r="Y205" s="469">
        <f>IFERROR(__xludf.DUMMYFUNCTION("""COMPUTED_VALUE"""),"boss_icon_enemy_gom_00501")</f>
        <v/>
      </c>
      <c r="Z205" s="469" t="n"/>
      <c r="AA205" s="469" t="n"/>
    </row>
    <row r="206">
      <c r="A206" s="468">
        <f>IFERROR(__xludf.DUMMYFUNCTION("""COMPUTED_VALUE"""),"gom")</f>
        <v/>
      </c>
      <c r="B206" s="469">
        <f>IFERROR(__xludf.DUMMYFUNCTION("""COMPUTED_VALUE"""),"姫様“拷問”の時間です")</f>
        <v/>
      </c>
      <c r="C206" s="470">
        <f>IFERROR(__xludf.DUMMYFUNCTION("""COMPUTED_VALUE"""),"00502")</f>
        <v/>
      </c>
      <c r="D206" s="469">
        <f>IFERROR(__xludf.DUMMYFUNCTION("""COMPUTED_VALUE"""),"enemy_gom_00502")</f>
        <v/>
      </c>
      <c r="E206" s="469">
        <f>IFERROR(__xludf.DUMMYFUNCTION("""COMPUTED_VALUE"""),"割きトースト")</f>
        <v/>
      </c>
      <c r="F206" s="469">
        <f>IFERROR(__xludf.DUMMYFUNCTION("""COMPUTED_VALUE"""),"割きトースト")</f>
        <v/>
      </c>
      <c r="G206" s="469">
        <f>IFERROR(__xludf.DUMMYFUNCTION("""COMPUTED_VALUE"""),"ー")</f>
        <v/>
      </c>
      <c r="H206" s="469" t="n"/>
      <c r="I206" s="469" t="n"/>
      <c r="J206" s="469" t="n"/>
      <c r="K206" s="469">
        <f>IFERROR(__xludf.DUMMYFUNCTION("""COMPUTED_VALUE"""),"enemy")</f>
        <v/>
      </c>
      <c r="L206" s="469">
        <f>IFERROR(__xludf.DUMMYFUNCTION("""COMPUTED_VALUE"""),"アタック")</f>
        <v/>
      </c>
      <c r="M206" s="469">
        <f>IFERROR(__xludf.DUMMYFUNCTION("""COMPUTED_VALUE"""),"dageki_1")</f>
        <v/>
      </c>
      <c r="N206" s="469" t="n"/>
      <c r="O206" s="469" t="n"/>
      <c r="P206" s="471" t="n"/>
      <c r="Q206" s="470">
        <f>IFERROR(__xludf.DUMMYFUNCTION("""COMPUTED_VALUE"""),"1.00")</f>
        <v/>
      </c>
      <c r="R206" s="470">
        <f>IFERROR(__xludf.DUMMYFUNCTION("""COMPUTED_VALUE"""),"0.833")</f>
        <v/>
      </c>
      <c r="S206" s="470">
        <f>IFERROR(__xludf.DUMMYFUNCTION("""COMPUTED_VALUE"""),"-")</f>
        <v/>
      </c>
      <c r="T206" s="470">
        <f>IFERROR(__xludf.DUMMYFUNCTION("""COMPUTED_VALUE"""),"-")</f>
        <v/>
      </c>
      <c r="U206" s="472">
        <f>IFERROR(__xludf.DUMMYFUNCTION("""COMPUTED_VALUE"""),45658.0)</f>
        <v/>
      </c>
      <c r="V206" s="472">
        <f>IFERROR(__xludf.DUMMYFUNCTION("""COMPUTED_VALUE"""),390812.49998842593)</f>
        <v/>
      </c>
      <c r="W206" s="469">
        <f>IFERROR(__xludf.DUMMYFUNCTION("""COMPUTED_VALUE"""),"catchcopy_character_enemy_gom_00001.png")</f>
        <v/>
      </c>
      <c r="X206" s="469">
        <f>IFERROR(__xludf.DUMMYFUNCTION("""COMPUTED_VALUE"""),"enemy_icon_enemy_gom_00502")</f>
        <v/>
      </c>
      <c r="Y206" s="469">
        <f>IFERROR(__xludf.DUMMYFUNCTION("""COMPUTED_VALUE"""),"boss_icon_enemy_gom_00502")</f>
        <v/>
      </c>
      <c r="Z206" s="469" t="n"/>
      <c r="AA206" s="469" t="n"/>
    </row>
    <row r="207">
      <c r="A207" s="468">
        <f>IFERROR(__xludf.DUMMYFUNCTION("""COMPUTED_VALUE"""),"gom")</f>
        <v/>
      </c>
      <c r="B207" s="469">
        <f>IFERROR(__xludf.DUMMYFUNCTION("""COMPUTED_VALUE"""),"姫様“拷問”の時間です")</f>
        <v/>
      </c>
      <c r="C207" s="470">
        <f>IFERROR(__xludf.DUMMYFUNCTION("""COMPUTED_VALUE"""),"00601")</f>
        <v/>
      </c>
      <c r="D207" s="469">
        <f>IFERROR(__xludf.DUMMYFUNCTION("""COMPUTED_VALUE"""),"enemy_gom_00601")</f>
        <v/>
      </c>
      <c r="E207" s="469">
        <f>IFERROR(__xludf.DUMMYFUNCTION("""COMPUTED_VALUE"""),"ゴリラのマーチA")</f>
        <v/>
      </c>
      <c r="F207" s="469">
        <f>IFERROR(__xludf.DUMMYFUNCTION("""COMPUTED_VALUE"""),"ゴリラのマーチ")</f>
        <v/>
      </c>
      <c r="G207" s="469">
        <f>IFERROR(__xludf.DUMMYFUNCTION("""COMPUTED_VALUE"""),"ー")</f>
        <v/>
      </c>
      <c r="H207" s="469" t="n"/>
      <c r="I207" s="469" t="n"/>
      <c r="J207" s="469" t="n"/>
      <c r="K207" s="469">
        <f>IFERROR(__xludf.DUMMYFUNCTION("""COMPUTED_VALUE"""),"enemy")</f>
        <v/>
      </c>
      <c r="L207" s="469">
        <f>IFERROR(__xludf.DUMMYFUNCTION("""COMPUTED_VALUE"""),"アタック")</f>
        <v/>
      </c>
      <c r="M207" s="469">
        <f>IFERROR(__xludf.DUMMYFUNCTION("""COMPUTED_VALUE"""),"dageki_1")</f>
        <v/>
      </c>
      <c r="N207" s="469" t="n"/>
      <c r="O207" s="469" t="n"/>
      <c r="P207" s="471" t="n"/>
      <c r="Q207" s="470">
        <f>IFERROR(__xludf.DUMMYFUNCTION("""COMPUTED_VALUE"""),"1")</f>
        <v/>
      </c>
      <c r="R207" s="470">
        <f>IFERROR(__xludf.DUMMYFUNCTION("""COMPUTED_VALUE"""),"0.833")</f>
        <v/>
      </c>
      <c r="S207" s="470">
        <f>IFERROR(__xludf.DUMMYFUNCTION("""COMPUTED_VALUE"""),"-")</f>
        <v/>
      </c>
      <c r="T207" s="470">
        <f>IFERROR(__xludf.DUMMYFUNCTION("""COMPUTED_VALUE"""),"-")</f>
        <v/>
      </c>
      <c r="U207" s="472">
        <f>IFERROR(__xludf.DUMMYFUNCTION("""COMPUTED_VALUE"""),45658.0)</f>
        <v/>
      </c>
      <c r="V207" s="472">
        <f>IFERROR(__xludf.DUMMYFUNCTION("""COMPUTED_VALUE"""),390812.49998842593)</f>
        <v/>
      </c>
      <c r="W207" s="469">
        <f>IFERROR(__xludf.DUMMYFUNCTION("""COMPUTED_VALUE"""),"catchcopy_character_enemy_gom_00001.png")</f>
        <v/>
      </c>
      <c r="X207" s="469">
        <f>IFERROR(__xludf.DUMMYFUNCTION("""COMPUTED_VALUE"""),"enemy_icon_enemy_gom_00601")</f>
        <v/>
      </c>
      <c r="Y207" s="469">
        <f>IFERROR(__xludf.DUMMYFUNCTION("""COMPUTED_VALUE"""),"boss_icon_enemy_gom_00601")</f>
        <v/>
      </c>
      <c r="Z207" s="469" t="n"/>
      <c r="AA207" s="469" t="n"/>
    </row>
    <row r="208">
      <c r="A208" s="468">
        <f>IFERROR(__xludf.DUMMYFUNCTION("""COMPUTED_VALUE"""),"gom")</f>
        <v/>
      </c>
      <c r="B208" s="469">
        <f>IFERROR(__xludf.DUMMYFUNCTION("""COMPUTED_VALUE"""),"姫様“拷問”の時間です")</f>
        <v/>
      </c>
      <c r="C208" s="470">
        <f>IFERROR(__xludf.DUMMYFUNCTION("""COMPUTED_VALUE"""),"00611")</f>
        <v/>
      </c>
      <c r="D208" s="469">
        <f>IFERROR(__xludf.DUMMYFUNCTION("""COMPUTED_VALUE"""),"enemy_gom_00611")</f>
        <v/>
      </c>
      <c r="E208" s="469">
        <f>IFERROR(__xludf.DUMMYFUNCTION("""COMPUTED_VALUE"""),"ゴリラのマーチB")</f>
        <v/>
      </c>
      <c r="F208" s="469">
        <f>IFERROR(__xludf.DUMMYFUNCTION("""COMPUTED_VALUE"""),"ゴリラのマーチ")</f>
        <v/>
      </c>
      <c r="G208" s="469">
        <f>IFERROR(__xludf.DUMMYFUNCTION("""COMPUTED_VALUE"""),"ー")</f>
        <v/>
      </c>
      <c r="H208" s="469" t="n"/>
      <c r="I208" s="469" t="n"/>
      <c r="J208" s="469" t="n"/>
      <c r="K208" s="469">
        <f>IFERROR(__xludf.DUMMYFUNCTION("""COMPUTED_VALUE"""),"enemy")</f>
        <v/>
      </c>
      <c r="L208" s="469">
        <f>IFERROR(__xludf.DUMMYFUNCTION("""COMPUTED_VALUE"""),"アタック")</f>
        <v/>
      </c>
      <c r="M208" s="469">
        <f>IFERROR(__xludf.DUMMYFUNCTION("""COMPUTED_VALUE"""),"dageki_1")</f>
        <v/>
      </c>
      <c r="N208" s="469" t="n"/>
      <c r="O208" s="469" t="n"/>
      <c r="P208" s="471" t="n"/>
      <c r="Q208" s="470">
        <f>IFERROR(__xludf.DUMMYFUNCTION("""COMPUTED_VALUE"""),"1")</f>
        <v/>
      </c>
      <c r="R208" s="470">
        <f>IFERROR(__xludf.DUMMYFUNCTION("""COMPUTED_VALUE"""),"0.833")</f>
        <v/>
      </c>
      <c r="S208" s="470">
        <f>IFERROR(__xludf.DUMMYFUNCTION("""COMPUTED_VALUE"""),"-")</f>
        <v/>
      </c>
      <c r="T208" s="470">
        <f>IFERROR(__xludf.DUMMYFUNCTION("""COMPUTED_VALUE"""),"-")</f>
        <v/>
      </c>
      <c r="U208" s="472">
        <f>IFERROR(__xludf.DUMMYFUNCTION("""COMPUTED_VALUE"""),45658.0)</f>
        <v/>
      </c>
      <c r="V208" s="472">
        <f>IFERROR(__xludf.DUMMYFUNCTION("""COMPUTED_VALUE"""),390812.49998842593)</f>
        <v/>
      </c>
      <c r="W208" s="469">
        <f>IFERROR(__xludf.DUMMYFUNCTION("""COMPUTED_VALUE"""),"catchcopy_character_enemy_gom_00001.png")</f>
        <v/>
      </c>
      <c r="X208" s="469">
        <f>IFERROR(__xludf.DUMMYFUNCTION("""COMPUTED_VALUE"""),"enemy_icon_enemy_gom_00611")</f>
        <v/>
      </c>
      <c r="Y208" s="469">
        <f>IFERROR(__xludf.DUMMYFUNCTION("""COMPUTED_VALUE"""),"boss_icon_enemy_gom_00611")</f>
        <v/>
      </c>
      <c r="Z208" s="469" t="n"/>
      <c r="AA208" s="469" t="n"/>
    </row>
    <row r="209">
      <c r="A209" s="468">
        <f>IFERROR(__xludf.DUMMYFUNCTION("""COMPUTED_VALUE"""),"gom")</f>
        <v/>
      </c>
      <c r="B209" s="469">
        <f>IFERROR(__xludf.DUMMYFUNCTION("""COMPUTED_VALUE"""),"姫様“拷問”の時間です")</f>
        <v/>
      </c>
      <c r="C209" s="470">
        <f>IFERROR(__xludf.DUMMYFUNCTION("""COMPUTED_VALUE"""),"00621")</f>
        <v/>
      </c>
      <c r="D209" s="469">
        <f>IFERROR(__xludf.DUMMYFUNCTION("""COMPUTED_VALUE"""),"enemy_gom_00621")</f>
        <v/>
      </c>
      <c r="E209" s="469">
        <f>IFERROR(__xludf.DUMMYFUNCTION("""COMPUTED_VALUE"""),"ゴリラのマーチC")</f>
        <v/>
      </c>
      <c r="F209" s="469">
        <f>IFERROR(__xludf.DUMMYFUNCTION("""COMPUTED_VALUE"""),"ゴリラのマーチ")</f>
        <v/>
      </c>
      <c r="G209" s="469">
        <f>IFERROR(__xludf.DUMMYFUNCTION("""COMPUTED_VALUE"""),"ー")</f>
        <v/>
      </c>
      <c r="H209" s="469" t="n"/>
      <c r="I209" s="469" t="n"/>
      <c r="J209" s="469" t="n"/>
      <c r="K209" s="469">
        <f>IFERROR(__xludf.DUMMYFUNCTION("""COMPUTED_VALUE"""),"enemy")</f>
        <v/>
      </c>
      <c r="L209" s="469">
        <f>IFERROR(__xludf.DUMMYFUNCTION("""COMPUTED_VALUE"""),"アタック")</f>
        <v/>
      </c>
      <c r="M209" s="469">
        <f>IFERROR(__xludf.DUMMYFUNCTION("""COMPUTED_VALUE"""),"dageki_1")</f>
        <v/>
      </c>
      <c r="N209" s="469" t="n"/>
      <c r="O209" s="469" t="n"/>
      <c r="P209" s="471" t="n"/>
      <c r="Q209" s="470">
        <f>IFERROR(__xludf.DUMMYFUNCTION("""COMPUTED_VALUE"""),"1")</f>
        <v/>
      </c>
      <c r="R209" s="470">
        <f>IFERROR(__xludf.DUMMYFUNCTION("""COMPUTED_VALUE"""),"0.833")</f>
        <v/>
      </c>
      <c r="S209" s="470">
        <f>IFERROR(__xludf.DUMMYFUNCTION("""COMPUTED_VALUE"""),"-")</f>
        <v/>
      </c>
      <c r="T209" s="470">
        <f>IFERROR(__xludf.DUMMYFUNCTION("""COMPUTED_VALUE"""),"-")</f>
        <v/>
      </c>
      <c r="U209" s="472">
        <f>IFERROR(__xludf.DUMMYFUNCTION("""COMPUTED_VALUE"""),45658.0)</f>
        <v/>
      </c>
      <c r="V209" s="472">
        <f>IFERROR(__xludf.DUMMYFUNCTION("""COMPUTED_VALUE"""),390812.49998842593)</f>
        <v/>
      </c>
      <c r="W209" s="469">
        <f>IFERROR(__xludf.DUMMYFUNCTION("""COMPUTED_VALUE"""),"catchcopy_character_enemy_gom_00001.png")</f>
        <v/>
      </c>
      <c r="X209" s="469">
        <f>IFERROR(__xludf.DUMMYFUNCTION("""COMPUTED_VALUE"""),"enemy_icon_enemy_gom_00621")</f>
        <v/>
      </c>
      <c r="Y209" s="469">
        <f>IFERROR(__xludf.DUMMYFUNCTION("""COMPUTED_VALUE"""),"boss_icon_enemy_gom_00621")</f>
        <v/>
      </c>
      <c r="Z209" s="469" t="n"/>
      <c r="AA209" s="469" t="n"/>
    </row>
    <row r="210">
      <c r="A210" s="468">
        <f>IFERROR(__xludf.DUMMYFUNCTION("""COMPUTED_VALUE"""),"gom")</f>
        <v/>
      </c>
      <c r="B210" s="469">
        <f>IFERROR(__xludf.DUMMYFUNCTION("""COMPUTED_VALUE"""),"姫様“拷問”の時間です")</f>
        <v/>
      </c>
      <c r="C210" s="470">
        <f>IFERROR(__xludf.DUMMYFUNCTION("""COMPUTED_VALUE"""),"00631")</f>
        <v/>
      </c>
      <c r="D210" s="469">
        <f>IFERROR(__xludf.DUMMYFUNCTION("""COMPUTED_VALUE"""),"enemy_gom_00631")</f>
        <v/>
      </c>
      <c r="E210" s="469">
        <f>IFERROR(__xludf.DUMMYFUNCTION("""COMPUTED_VALUE"""),"ゴリラのマーチD")</f>
        <v/>
      </c>
      <c r="F210" s="469">
        <f>IFERROR(__xludf.DUMMYFUNCTION("""COMPUTED_VALUE"""),"ゴリラのマーチ")</f>
        <v/>
      </c>
      <c r="G210" s="469">
        <f>IFERROR(__xludf.DUMMYFUNCTION("""COMPUTED_VALUE"""),"ー")</f>
        <v/>
      </c>
      <c r="H210" s="469" t="n"/>
      <c r="I210" s="469" t="n"/>
      <c r="J210" s="469" t="n"/>
      <c r="K210" s="469">
        <f>IFERROR(__xludf.DUMMYFUNCTION("""COMPUTED_VALUE"""),"enemy")</f>
        <v/>
      </c>
      <c r="L210" s="469">
        <f>IFERROR(__xludf.DUMMYFUNCTION("""COMPUTED_VALUE"""),"アタック")</f>
        <v/>
      </c>
      <c r="M210" s="469">
        <f>IFERROR(__xludf.DUMMYFUNCTION("""COMPUTED_VALUE"""),"dageki_1")</f>
        <v/>
      </c>
      <c r="N210" s="469" t="n"/>
      <c r="O210" s="469" t="n"/>
      <c r="P210" s="471" t="n"/>
      <c r="Q210" s="470">
        <f>IFERROR(__xludf.DUMMYFUNCTION("""COMPUTED_VALUE"""),"1")</f>
        <v/>
      </c>
      <c r="R210" s="470">
        <f>IFERROR(__xludf.DUMMYFUNCTION("""COMPUTED_VALUE"""),"0.833")</f>
        <v/>
      </c>
      <c r="S210" s="470">
        <f>IFERROR(__xludf.DUMMYFUNCTION("""COMPUTED_VALUE"""),"-")</f>
        <v/>
      </c>
      <c r="T210" s="470">
        <f>IFERROR(__xludf.DUMMYFUNCTION("""COMPUTED_VALUE"""),"-")</f>
        <v/>
      </c>
      <c r="U210" s="472">
        <f>IFERROR(__xludf.DUMMYFUNCTION("""COMPUTED_VALUE"""),45658.0)</f>
        <v/>
      </c>
      <c r="V210" s="472">
        <f>IFERROR(__xludf.DUMMYFUNCTION("""COMPUTED_VALUE"""),390812.49998842593)</f>
        <v/>
      </c>
      <c r="W210" s="469">
        <f>IFERROR(__xludf.DUMMYFUNCTION("""COMPUTED_VALUE"""),"catchcopy_character_enemy_gom_00001.png")</f>
        <v/>
      </c>
      <c r="X210" s="469">
        <f>IFERROR(__xludf.DUMMYFUNCTION("""COMPUTED_VALUE"""),"enemy_icon_enemy_gom_00631")</f>
        <v/>
      </c>
      <c r="Y210" s="469">
        <f>IFERROR(__xludf.DUMMYFUNCTION("""COMPUTED_VALUE"""),"boss_icon_enemy_gom_00631")</f>
        <v/>
      </c>
      <c r="Z210" s="469" t="n"/>
      <c r="AA210" s="469" t="n"/>
    </row>
    <row r="211">
      <c r="A211" s="468">
        <f>IFERROR(__xludf.DUMMYFUNCTION("""COMPUTED_VALUE"""),"gom")</f>
        <v/>
      </c>
      <c r="B211" s="469">
        <f>IFERROR(__xludf.DUMMYFUNCTION("""COMPUTED_VALUE"""),"姫様“拷問”の時間です")</f>
        <v/>
      </c>
      <c r="C211" s="470">
        <f>IFERROR(__xludf.DUMMYFUNCTION("""COMPUTED_VALUE"""),"00701")</f>
        <v/>
      </c>
      <c r="D211" s="469">
        <f>IFERROR(__xludf.DUMMYFUNCTION("""COMPUTED_VALUE"""),"enemy_gom_00701")</f>
        <v/>
      </c>
      <c r="E211" s="469">
        <f>IFERROR(__xludf.DUMMYFUNCTION("""COMPUTED_VALUE"""),"ラーメン")</f>
        <v/>
      </c>
      <c r="F211" s="469">
        <f>IFERROR(__xludf.DUMMYFUNCTION("""COMPUTED_VALUE"""),"ラーメン")</f>
        <v/>
      </c>
      <c r="G211" s="469">
        <f>IFERROR(__xludf.DUMMYFUNCTION("""COMPUTED_VALUE"""),"ー")</f>
        <v/>
      </c>
      <c r="H211" s="469" t="n"/>
      <c r="I211" s="469" t="n"/>
      <c r="J211" s="469" t="n"/>
      <c r="K211" s="469">
        <f>IFERROR(__xludf.DUMMYFUNCTION("""COMPUTED_VALUE"""),"enemy")</f>
        <v/>
      </c>
      <c r="L211" s="469">
        <f>IFERROR(__xludf.DUMMYFUNCTION("""COMPUTED_VALUE"""),"アタック")</f>
        <v/>
      </c>
      <c r="M211" s="469">
        <f>IFERROR(__xludf.DUMMYFUNCTION("""COMPUTED_VALUE"""),"dageki_1")</f>
        <v/>
      </c>
      <c r="N211" s="469" t="n"/>
      <c r="O211" s="469" t="n"/>
      <c r="P211" s="471" t="n"/>
      <c r="Q211" s="470">
        <f>IFERROR(__xludf.DUMMYFUNCTION("""COMPUTED_VALUE"""),"1.00")</f>
        <v/>
      </c>
      <c r="R211" s="470">
        <f>IFERROR(__xludf.DUMMYFUNCTION("""COMPUTED_VALUE"""),"0.833")</f>
        <v/>
      </c>
      <c r="S211" s="470">
        <f>IFERROR(__xludf.DUMMYFUNCTION("""COMPUTED_VALUE"""),"-")</f>
        <v/>
      </c>
      <c r="T211" s="470">
        <f>IFERROR(__xludf.DUMMYFUNCTION("""COMPUTED_VALUE"""),"-")</f>
        <v/>
      </c>
      <c r="U211" s="472">
        <f>IFERROR(__xludf.DUMMYFUNCTION("""COMPUTED_VALUE"""),45658.0)</f>
        <v/>
      </c>
      <c r="V211" s="472">
        <f>IFERROR(__xludf.DUMMYFUNCTION("""COMPUTED_VALUE"""),390812.49998842593)</f>
        <v/>
      </c>
      <c r="W211" s="469">
        <f>IFERROR(__xludf.DUMMYFUNCTION("""COMPUTED_VALUE"""),"catchcopy_character_enemy_gom_00001.png")</f>
        <v/>
      </c>
      <c r="X211" s="469">
        <f>IFERROR(__xludf.DUMMYFUNCTION("""COMPUTED_VALUE"""),"enemy_icon_enemy_gom_00701")</f>
        <v/>
      </c>
      <c r="Y211" s="469">
        <f>IFERROR(__xludf.DUMMYFUNCTION("""COMPUTED_VALUE"""),"boss_icon_enemy_gom_00701")</f>
        <v/>
      </c>
      <c r="Z211" s="469" t="n"/>
      <c r="AA211" s="469" t="n"/>
    </row>
    <row r="212">
      <c r="A212" s="468">
        <f>IFERROR(__xludf.DUMMYFUNCTION("""COMPUTED_VALUE"""),"gom")</f>
        <v/>
      </c>
      <c r="B212" s="469">
        <f>IFERROR(__xludf.DUMMYFUNCTION("""COMPUTED_VALUE"""),"姫様“拷問”の時間です")</f>
        <v/>
      </c>
      <c r="C212" s="470">
        <f>IFERROR(__xludf.DUMMYFUNCTION("""COMPUTED_VALUE"""),"00801")</f>
        <v/>
      </c>
      <c r="D212" s="469">
        <f>IFERROR(__xludf.DUMMYFUNCTION("""COMPUTED_VALUE"""),"enemy_gom_00801")</f>
        <v/>
      </c>
      <c r="E212" s="469">
        <f>IFERROR(__xludf.DUMMYFUNCTION("""COMPUTED_VALUE"""),"ライス")</f>
        <v/>
      </c>
      <c r="F212" s="469">
        <f>IFERROR(__xludf.DUMMYFUNCTION("""COMPUTED_VALUE"""),"ライス")</f>
        <v/>
      </c>
      <c r="G212" s="469">
        <f>IFERROR(__xludf.DUMMYFUNCTION("""COMPUTED_VALUE"""),"ー")</f>
        <v/>
      </c>
      <c r="H212" s="469" t="n"/>
      <c r="I212" s="469" t="n"/>
      <c r="J212" s="469" t="n"/>
      <c r="K212" s="469">
        <f>IFERROR(__xludf.DUMMYFUNCTION("""COMPUTED_VALUE"""),"enemy")</f>
        <v/>
      </c>
      <c r="L212" s="469">
        <f>IFERROR(__xludf.DUMMYFUNCTION("""COMPUTED_VALUE"""),"ディフェンス")</f>
        <v/>
      </c>
      <c r="M212" s="469">
        <f>IFERROR(__xludf.DUMMYFUNCTION("""COMPUTED_VALUE"""),"dageki_1")</f>
        <v/>
      </c>
      <c r="N212" s="469" t="n"/>
      <c r="O212" s="469" t="n"/>
      <c r="P212" s="471" t="n"/>
      <c r="Q212" s="470">
        <f>IFERROR(__xludf.DUMMYFUNCTION("""COMPUTED_VALUE"""),"1.00")</f>
        <v/>
      </c>
      <c r="R212" s="470">
        <f>IFERROR(__xludf.DUMMYFUNCTION("""COMPUTED_VALUE"""),"0.833")</f>
        <v/>
      </c>
      <c r="S212" s="470">
        <f>IFERROR(__xludf.DUMMYFUNCTION("""COMPUTED_VALUE"""),"-")</f>
        <v/>
      </c>
      <c r="T212" s="470">
        <f>IFERROR(__xludf.DUMMYFUNCTION("""COMPUTED_VALUE"""),"-")</f>
        <v/>
      </c>
      <c r="U212" s="472">
        <f>IFERROR(__xludf.DUMMYFUNCTION("""COMPUTED_VALUE"""),45658.0)</f>
        <v/>
      </c>
      <c r="V212" s="472">
        <f>IFERROR(__xludf.DUMMYFUNCTION("""COMPUTED_VALUE"""),390812.49998842593)</f>
        <v/>
      </c>
      <c r="W212" s="469">
        <f>IFERROR(__xludf.DUMMYFUNCTION("""COMPUTED_VALUE"""),"catchcopy_character_enemy_gom_00001.png")</f>
        <v/>
      </c>
      <c r="X212" s="469">
        <f>IFERROR(__xludf.DUMMYFUNCTION("""COMPUTED_VALUE"""),"enemy_icon_enemy_gom_00801")</f>
        <v/>
      </c>
      <c r="Y212" s="469">
        <f>IFERROR(__xludf.DUMMYFUNCTION("""COMPUTED_VALUE"""),"boss_icon_enemy_gom_00801")</f>
        <v/>
      </c>
      <c r="Z212" s="469" t="n"/>
      <c r="AA212" s="469" t="n"/>
    </row>
    <row r="213">
      <c r="A213" s="468">
        <f>IFERROR(__xludf.DUMMYFUNCTION("""COMPUTED_VALUE"""),"gom")</f>
        <v/>
      </c>
      <c r="B213" s="469">
        <f>IFERROR(__xludf.DUMMYFUNCTION("""COMPUTED_VALUE"""),"姫様“拷問”の時間です")</f>
        <v/>
      </c>
      <c r="C213" s="470">
        <f>IFERROR(__xludf.DUMMYFUNCTION("""COMPUTED_VALUE"""),"00901")</f>
        <v/>
      </c>
      <c r="D213" s="469">
        <f>IFERROR(__xludf.DUMMYFUNCTION("""COMPUTED_VALUE"""),"enemy_gom_00901")</f>
        <v/>
      </c>
      <c r="E213" s="469">
        <f>IFERROR(__xludf.DUMMYFUNCTION("""COMPUTED_VALUE"""),"ライス(海苔)")</f>
        <v/>
      </c>
      <c r="F213" s="469">
        <f>IFERROR(__xludf.DUMMYFUNCTION("""COMPUTED_VALUE"""),"ライス (海苔)")</f>
        <v/>
      </c>
      <c r="G213" s="469">
        <f>IFERROR(__xludf.DUMMYFUNCTION("""COMPUTED_VALUE"""),"ー")</f>
        <v/>
      </c>
      <c r="H213" s="469" t="n"/>
      <c r="I213" s="469" t="n"/>
      <c r="J213" s="469" t="n"/>
      <c r="K213" s="469">
        <f>IFERROR(__xludf.DUMMYFUNCTION("""COMPUTED_VALUE"""),"enemy")</f>
        <v/>
      </c>
      <c r="L213" s="469">
        <f>IFERROR(__xludf.DUMMYFUNCTION("""COMPUTED_VALUE"""),"アタック")</f>
        <v/>
      </c>
      <c r="M213" s="469">
        <f>IFERROR(__xludf.DUMMYFUNCTION("""COMPUTED_VALUE"""),"dageki_1")</f>
        <v/>
      </c>
      <c r="N213" s="469" t="n"/>
      <c r="O213" s="469" t="n"/>
      <c r="P213" s="471" t="n"/>
      <c r="Q213" s="470">
        <f>IFERROR(__xludf.DUMMYFUNCTION("""COMPUTED_VALUE"""),"1.00")</f>
        <v/>
      </c>
      <c r="R213" s="470">
        <f>IFERROR(__xludf.DUMMYFUNCTION("""COMPUTED_VALUE"""),"0.833")</f>
        <v/>
      </c>
      <c r="S213" s="470">
        <f>IFERROR(__xludf.DUMMYFUNCTION("""COMPUTED_VALUE"""),"-")</f>
        <v/>
      </c>
      <c r="T213" s="470">
        <f>IFERROR(__xludf.DUMMYFUNCTION("""COMPUTED_VALUE"""),"-")</f>
        <v/>
      </c>
      <c r="U213" s="472">
        <f>IFERROR(__xludf.DUMMYFUNCTION("""COMPUTED_VALUE"""),45658.0)</f>
        <v/>
      </c>
      <c r="V213" s="472">
        <f>IFERROR(__xludf.DUMMYFUNCTION("""COMPUTED_VALUE"""),390812.49998842593)</f>
        <v/>
      </c>
      <c r="W213" s="469">
        <f>IFERROR(__xludf.DUMMYFUNCTION("""COMPUTED_VALUE"""),"catchcopy_character_enemy_gom_00001.png")</f>
        <v/>
      </c>
      <c r="X213" s="469">
        <f>IFERROR(__xludf.DUMMYFUNCTION("""COMPUTED_VALUE"""),"enemy_icon_enemy_gom_00901")</f>
        <v/>
      </c>
      <c r="Y213" s="469">
        <f>IFERROR(__xludf.DUMMYFUNCTION("""COMPUTED_VALUE"""),"boss_icon_enemy_gom_00901")</f>
        <v/>
      </c>
      <c r="Z213" s="469" t="n"/>
      <c r="AA213" s="469" t="n"/>
    </row>
    <row r="214">
      <c r="A214" s="468">
        <f>IFERROR(__xludf.DUMMYFUNCTION("""COMPUTED_VALUE"""),"gom")</f>
        <v/>
      </c>
      <c r="B214" s="469">
        <f>IFERROR(__xludf.DUMMYFUNCTION("""COMPUTED_VALUE"""),"姫様“拷問”の時間です")</f>
        <v/>
      </c>
      <c r="C214" s="470">
        <f>IFERROR(__xludf.DUMMYFUNCTION("""COMPUTED_VALUE"""),"01001")</f>
        <v/>
      </c>
      <c r="D214" s="469">
        <f>IFERROR(__xludf.DUMMYFUNCTION("""COMPUTED_VALUE"""),"enemy_gom_01001")</f>
        <v/>
      </c>
      <c r="E214" s="469">
        <f>IFERROR(__xludf.DUMMYFUNCTION("""COMPUTED_VALUE"""),"あんぱん")</f>
        <v/>
      </c>
      <c r="F214" s="469">
        <f>IFERROR(__xludf.DUMMYFUNCTION("""COMPUTED_VALUE"""),"あんぱん")</f>
        <v/>
      </c>
      <c r="G214" s="469">
        <f>IFERROR(__xludf.DUMMYFUNCTION("""COMPUTED_VALUE"""),"ー")</f>
        <v/>
      </c>
      <c r="H214" s="469" t="n"/>
      <c r="I214" s="469" t="n"/>
      <c r="J214" s="469" t="n"/>
      <c r="K214" s="469">
        <f>IFERROR(__xludf.DUMMYFUNCTION("""COMPUTED_VALUE"""),"enemy")</f>
        <v/>
      </c>
      <c r="L214" s="469" t="n"/>
      <c r="M214" s="469" t="n"/>
      <c r="N214" s="469" t="n"/>
      <c r="O214" s="469" t="n"/>
      <c r="P214" s="471" t="n"/>
      <c r="Q214" s="469" t="n"/>
      <c r="R214" s="469" t="n"/>
      <c r="S214" s="470">
        <f>IFERROR(__xludf.DUMMYFUNCTION("""COMPUTED_VALUE"""),"-")</f>
        <v/>
      </c>
      <c r="T214" s="470">
        <f>IFERROR(__xludf.DUMMYFUNCTION("""COMPUTED_VALUE"""),"-")</f>
        <v/>
      </c>
      <c r="U214" s="472">
        <f>IFERROR(__xludf.DUMMYFUNCTION("""COMPUTED_VALUE"""),45658.0)</f>
        <v/>
      </c>
      <c r="V214" s="472">
        <f>IFERROR(__xludf.DUMMYFUNCTION("""COMPUTED_VALUE"""),390812.49998842593)</f>
        <v/>
      </c>
      <c r="W214" s="469">
        <f>IFERROR(__xludf.DUMMYFUNCTION("""COMPUTED_VALUE"""),"catchcopy_character_enemy_gom_00001.png")</f>
        <v/>
      </c>
      <c r="X214" s="469">
        <f>IFERROR(__xludf.DUMMYFUNCTION("""COMPUTED_VALUE"""),"enemy_icon_enemy_gom_01001")</f>
        <v/>
      </c>
      <c r="Y214" s="469">
        <f>IFERROR(__xludf.DUMMYFUNCTION("""COMPUTED_VALUE"""),"boss_icon_enemy_gom_01001")</f>
        <v/>
      </c>
      <c r="Z214" s="469" t="n"/>
      <c r="AA214" s="469" t="n"/>
    </row>
    <row r="215">
      <c r="A215" s="468">
        <f>IFERROR(__xludf.DUMMYFUNCTION("""COMPUTED_VALUE"""),"gom")</f>
        <v/>
      </c>
      <c r="B215" s="469">
        <f>IFERROR(__xludf.DUMMYFUNCTION("""COMPUTED_VALUE"""),"姫様“拷問”の時間です")</f>
        <v/>
      </c>
      <c r="C215" s="470">
        <f>IFERROR(__xludf.DUMMYFUNCTION("""COMPUTED_VALUE"""),"01002")</f>
        <v/>
      </c>
      <c r="D215" s="469">
        <f>IFERROR(__xludf.DUMMYFUNCTION("""COMPUTED_VALUE"""),"enemy_gom_01002")</f>
        <v/>
      </c>
      <c r="E215" s="469">
        <f>IFERROR(__xludf.DUMMYFUNCTION("""COMPUTED_VALUE"""),"トーストあんぱん")</f>
        <v/>
      </c>
      <c r="F215" s="469">
        <f>IFERROR(__xludf.DUMMYFUNCTION("""COMPUTED_VALUE"""),"トーストあんぱん")</f>
        <v/>
      </c>
      <c r="G215" s="469">
        <f>IFERROR(__xludf.DUMMYFUNCTION("""COMPUTED_VALUE"""),"ー")</f>
        <v/>
      </c>
      <c r="H215" s="469" t="n"/>
      <c r="I215" s="469" t="n"/>
      <c r="J215" s="469" t="n"/>
      <c r="K215" s="469">
        <f>IFERROR(__xludf.DUMMYFUNCTION("""COMPUTED_VALUE"""),"enemy")</f>
        <v/>
      </c>
      <c r="L215" s="469" t="n"/>
      <c r="M215" s="469" t="n"/>
      <c r="N215" s="469" t="n"/>
      <c r="O215" s="469" t="n"/>
      <c r="P215" s="471" t="n"/>
      <c r="Q215" s="469" t="n"/>
      <c r="R215" s="469" t="n"/>
      <c r="S215" s="470">
        <f>IFERROR(__xludf.DUMMYFUNCTION("""COMPUTED_VALUE"""),"-")</f>
        <v/>
      </c>
      <c r="T215" s="470">
        <f>IFERROR(__xludf.DUMMYFUNCTION("""COMPUTED_VALUE"""),"-")</f>
        <v/>
      </c>
      <c r="U215" s="472">
        <f>IFERROR(__xludf.DUMMYFUNCTION("""COMPUTED_VALUE"""),45658.0)</f>
        <v/>
      </c>
      <c r="V215" s="472">
        <f>IFERROR(__xludf.DUMMYFUNCTION("""COMPUTED_VALUE"""),390812.49998842593)</f>
        <v/>
      </c>
      <c r="W215" s="469">
        <f>IFERROR(__xludf.DUMMYFUNCTION("""COMPUTED_VALUE"""),"catchcopy_character_enemy_gom_00001.png")</f>
        <v/>
      </c>
      <c r="X215" s="469">
        <f>IFERROR(__xludf.DUMMYFUNCTION("""COMPUTED_VALUE"""),"enemy_icon_enemy_gom_01002")</f>
        <v/>
      </c>
      <c r="Y215" s="469">
        <f>IFERROR(__xludf.DUMMYFUNCTION("""COMPUTED_VALUE"""),"boss_icon_enemy_gom_01002")</f>
        <v/>
      </c>
      <c r="Z215" s="469" t="n"/>
      <c r="AA215" s="469" t="n"/>
    </row>
    <row r="216">
      <c r="A216" s="468">
        <f>IFERROR(__xludf.DUMMYFUNCTION("""COMPUTED_VALUE"""),"gom")</f>
        <v/>
      </c>
      <c r="B216" s="469">
        <f>IFERROR(__xludf.DUMMYFUNCTION("""COMPUTED_VALUE"""),"姫様“拷問”の時間です")</f>
        <v/>
      </c>
      <c r="C216" s="470">
        <f>IFERROR(__xludf.DUMMYFUNCTION("""COMPUTED_VALUE"""),"01101")</f>
        <v/>
      </c>
      <c r="D216" s="469">
        <f>IFERROR(__xludf.DUMMYFUNCTION("""COMPUTED_VALUE"""),"enemy_gom_01101")</f>
        <v/>
      </c>
      <c r="E216" s="469">
        <f>IFERROR(__xludf.DUMMYFUNCTION("""COMPUTED_VALUE"""),"魔王ゴッドサンダー")</f>
        <v/>
      </c>
      <c r="F216" s="469">
        <f>IFERROR(__xludf.DUMMYFUNCTION("""COMPUTED_VALUE"""),"魔王ゴッドサンダー")</f>
        <v/>
      </c>
      <c r="G216" s="469">
        <f>IFERROR(__xludf.DUMMYFUNCTION("""COMPUTED_VALUE"""),"ー")</f>
        <v/>
      </c>
      <c r="H216" s="469" t="n"/>
      <c r="I216" s="469" t="n"/>
      <c r="J216" s="469" t="n"/>
      <c r="K216" s="469">
        <f>IFERROR(__xludf.DUMMYFUNCTION("""COMPUTED_VALUE"""),"enemy")</f>
        <v/>
      </c>
      <c r="L216" s="469" t="n"/>
      <c r="M216" s="469" t="n"/>
      <c r="N216" s="469" t="n"/>
      <c r="O216" s="469" t="n"/>
      <c r="P216" s="471" t="n"/>
      <c r="Q216" s="469" t="n"/>
      <c r="R216" s="469" t="n"/>
      <c r="S216" s="470">
        <f>IFERROR(__xludf.DUMMYFUNCTION("""COMPUTED_VALUE"""),"-")</f>
        <v/>
      </c>
      <c r="T216" s="470">
        <f>IFERROR(__xludf.DUMMYFUNCTION("""COMPUTED_VALUE"""),"-")</f>
        <v/>
      </c>
      <c r="U216" s="472">
        <f>IFERROR(__xludf.DUMMYFUNCTION("""COMPUTED_VALUE"""),45658.0)</f>
        <v/>
      </c>
      <c r="V216" s="472">
        <f>IFERROR(__xludf.DUMMYFUNCTION("""COMPUTED_VALUE"""),390812.49998842593)</f>
        <v/>
      </c>
      <c r="W216" s="469">
        <f>IFERROR(__xludf.DUMMYFUNCTION("""COMPUTED_VALUE"""),"catchcopy_character_enemy_gom_00001.png")</f>
        <v/>
      </c>
      <c r="X216" s="469">
        <f>IFERROR(__xludf.DUMMYFUNCTION("""COMPUTED_VALUE"""),"enemy_icon_enemy_gom_01101")</f>
        <v/>
      </c>
      <c r="Y216" s="469">
        <f>IFERROR(__xludf.DUMMYFUNCTION("""COMPUTED_VALUE"""),"boss_icon_enemy_gom_01101")</f>
        <v/>
      </c>
      <c r="Z216" s="469" t="n"/>
      <c r="AA216" s="469" t="n"/>
    </row>
    <row r="217">
      <c r="A217" s="468">
        <f>IFERROR(__xludf.DUMMYFUNCTION("""COMPUTED_VALUE"""),"chi")</f>
        <v/>
      </c>
      <c r="B217" s="469">
        <f>IFERROR(__xludf.DUMMYFUNCTION("""COMPUTED_VALUE"""),"チェンソーマン")</f>
        <v/>
      </c>
      <c r="C217" s="470">
        <f>IFERROR(__xludf.DUMMYFUNCTION("""COMPUTED_VALUE"""),"00001")</f>
        <v/>
      </c>
      <c r="D217" s="469">
        <f>IFERROR(__xludf.DUMMYFUNCTION("""COMPUTED_VALUE"""),"enemy_chi_00001")</f>
        <v/>
      </c>
      <c r="E217" s="469">
        <f>IFERROR(__xludf.DUMMYFUNCTION("""COMPUTED_VALUE"""),"ゾンビの悪魔")</f>
        <v/>
      </c>
      <c r="F217" s="469">
        <f>IFERROR(__xludf.DUMMYFUNCTION("""COMPUTED_VALUE"""),"ゾンビの悪魔")</f>
        <v/>
      </c>
      <c r="G217" s="469">
        <f>IFERROR(__xludf.DUMMYFUNCTION("""COMPUTED_VALUE"""),"ー")</f>
        <v/>
      </c>
      <c r="H217" s="469" t="n"/>
      <c r="I217" s="469" t="n"/>
      <c r="J217" s="469" t="n"/>
      <c r="K217" s="469">
        <f>IFERROR(__xludf.DUMMYFUNCTION("""COMPUTED_VALUE"""),"enemy")</f>
        <v/>
      </c>
      <c r="L217" s="469" t="n"/>
      <c r="M217" s="469">
        <f>IFERROR(__xludf.DUMMYFUNCTION("""COMPUTED_VALUE"""),"dageki_2")</f>
        <v/>
      </c>
      <c r="N217" s="469" t="n"/>
      <c r="O217" s="469" t="n"/>
      <c r="P217" s="471" t="n"/>
      <c r="Q217" s="470">
        <f>IFERROR(__xludf.DUMMYFUNCTION("""COMPUTED_VALUE"""),"1.13")</f>
        <v/>
      </c>
      <c r="R217" s="470">
        <f>IFERROR(__xludf.DUMMYFUNCTION("""COMPUTED_VALUE"""),"0.20")</f>
        <v/>
      </c>
      <c r="S217" s="470">
        <f>IFERROR(__xludf.DUMMYFUNCTION("""COMPUTED_VALUE"""),"-")</f>
        <v/>
      </c>
      <c r="T217" s="470">
        <f>IFERROR(__xludf.DUMMYFUNCTION("""COMPUTED_VALUE"""),"-")</f>
        <v/>
      </c>
      <c r="U217" s="472">
        <f>IFERROR(__xludf.DUMMYFUNCTION("""COMPUTED_VALUE"""),45658.0)</f>
        <v/>
      </c>
      <c r="V217" s="472">
        <f>IFERROR(__xludf.DUMMYFUNCTION("""COMPUTED_VALUE"""),390812.49998842593)</f>
        <v/>
      </c>
      <c r="W217" s="469">
        <f>IFERROR(__xludf.DUMMYFUNCTION("""COMPUTED_VALUE"""),"catchcopy_character_enemy_chi_00001.png")</f>
        <v/>
      </c>
      <c r="X217" s="469">
        <f>IFERROR(__xludf.DUMMYFUNCTION("""COMPUTED_VALUE"""),"enemy_icon_enemy_chi_00001")</f>
        <v/>
      </c>
      <c r="Y217" s="469">
        <f>IFERROR(__xludf.DUMMYFUNCTION("""COMPUTED_VALUE"""),"boss_icon_enemy_chi_00001")</f>
        <v/>
      </c>
      <c r="Z217" s="469">
        <f>IFERROR(__xludf.DUMMYFUNCTION("""COMPUTED_VALUE"""),"enemy_chi_00001_normal")</f>
        <v/>
      </c>
      <c r="AA217" s="469" t="n"/>
    </row>
    <row r="218">
      <c r="A218" s="468">
        <f>IFERROR(__xludf.DUMMYFUNCTION("""COMPUTED_VALUE"""),"chi")</f>
        <v/>
      </c>
      <c r="B218" s="469">
        <f>IFERROR(__xludf.DUMMYFUNCTION("""COMPUTED_VALUE"""),"チェンソーマン")</f>
        <v/>
      </c>
      <c r="C218" s="470">
        <f>IFERROR(__xludf.DUMMYFUNCTION("""COMPUTED_VALUE"""),"00101")</f>
        <v/>
      </c>
      <c r="D218" s="469">
        <f>IFERROR(__xludf.DUMMYFUNCTION("""COMPUTED_VALUE"""),"enemy_chi_00101")</f>
        <v/>
      </c>
      <c r="E218" s="469">
        <f>IFERROR(__xludf.DUMMYFUNCTION("""COMPUTED_VALUE"""),"ゾンビ")</f>
        <v/>
      </c>
      <c r="F218" s="469">
        <f>IFERROR(__xludf.DUMMYFUNCTION("""COMPUTED_VALUE"""),"ゾンビ")</f>
        <v/>
      </c>
      <c r="G218" s="469">
        <f>IFERROR(__xludf.DUMMYFUNCTION("""COMPUTED_VALUE"""),"ー")</f>
        <v/>
      </c>
      <c r="H218" s="469" t="n"/>
      <c r="I218" s="469" t="n"/>
      <c r="J218" s="469" t="n"/>
      <c r="K218" s="469">
        <f>IFERROR(__xludf.DUMMYFUNCTION("""COMPUTED_VALUE"""),"enemy")</f>
        <v/>
      </c>
      <c r="L218" s="469" t="n"/>
      <c r="M218" s="469">
        <f>IFERROR(__xludf.DUMMYFUNCTION("""COMPUTED_VALUE"""),"dageki_1")</f>
        <v/>
      </c>
      <c r="N218" s="469" t="n"/>
      <c r="O218" s="469" t="n"/>
      <c r="P218" s="471" t="n"/>
      <c r="Q218" s="470">
        <f>IFERROR(__xludf.DUMMYFUNCTION("""COMPUTED_VALUE"""),"1.90")</f>
        <v/>
      </c>
      <c r="R218" s="470">
        <f>IFERROR(__xludf.DUMMYFUNCTION("""COMPUTED_VALUE"""),"0.66")</f>
        <v/>
      </c>
      <c r="S218" s="470">
        <f>IFERROR(__xludf.DUMMYFUNCTION("""COMPUTED_VALUE"""),"-")</f>
        <v/>
      </c>
      <c r="T218" s="470">
        <f>IFERROR(__xludf.DUMMYFUNCTION("""COMPUTED_VALUE"""),"-")</f>
        <v/>
      </c>
      <c r="U218" s="472">
        <f>IFERROR(__xludf.DUMMYFUNCTION("""COMPUTED_VALUE"""),45658.0)</f>
        <v/>
      </c>
      <c r="V218" s="472">
        <f>IFERROR(__xludf.DUMMYFUNCTION("""COMPUTED_VALUE"""),390812.49998842593)</f>
        <v/>
      </c>
      <c r="W218" s="469">
        <f>IFERROR(__xludf.DUMMYFUNCTION("""COMPUTED_VALUE"""),"catchcopy_character_enemy_chi_00101.png")</f>
        <v/>
      </c>
      <c r="X218" s="469">
        <f>IFERROR(__xludf.DUMMYFUNCTION("""COMPUTED_VALUE"""),"enemy_icon_enemy_chi_00101")</f>
        <v/>
      </c>
      <c r="Y218" s="469">
        <f>IFERROR(__xludf.DUMMYFUNCTION("""COMPUTED_VALUE"""),"boss_icon_enemy_chi_00101")</f>
        <v/>
      </c>
      <c r="Z218" s="469" t="n"/>
      <c r="AA218" s="469" t="n"/>
    </row>
    <row r="219">
      <c r="A219" s="468">
        <f>IFERROR(__xludf.DUMMYFUNCTION("""COMPUTED_VALUE"""),"chi")</f>
        <v/>
      </c>
      <c r="B219" s="469">
        <f>IFERROR(__xludf.DUMMYFUNCTION("""COMPUTED_VALUE"""),"チェンソーマン")</f>
        <v/>
      </c>
      <c r="C219" s="470">
        <f>IFERROR(__xludf.DUMMYFUNCTION("""COMPUTED_VALUE"""),"00201")</f>
        <v/>
      </c>
      <c r="D219" s="469">
        <f>IFERROR(__xludf.DUMMYFUNCTION("""COMPUTED_VALUE"""),"enemy_chi_00201")</f>
        <v/>
      </c>
      <c r="E219" s="469">
        <f>IFERROR(__xludf.DUMMYFUNCTION("""COMPUTED_VALUE"""),"コウモリの悪魔")</f>
        <v/>
      </c>
      <c r="F219" s="469">
        <f>IFERROR(__xludf.DUMMYFUNCTION("""COMPUTED_VALUE"""),"コウモリの悪魔")</f>
        <v/>
      </c>
      <c r="G219" s="469">
        <f>IFERROR(__xludf.DUMMYFUNCTION("""COMPUTED_VALUE"""),"ー")</f>
        <v/>
      </c>
      <c r="H219" s="469" t="n"/>
      <c r="I219" s="469" t="n"/>
      <c r="J219" s="469" t="n"/>
      <c r="K219" s="469">
        <f>IFERROR(__xludf.DUMMYFUNCTION("""COMPUTED_VALUE"""),"enemy")</f>
        <v/>
      </c>
      <c r="L219" s="469" t="n"/>
      <c r="M219" s="469">
        <f>IFERROR(__xludf.DUMMYFUNCTION("""COMPUTED_VALUE"""),"dageki_1")</f>
        <v/>
      </c>
      <c r="N219" s="469" t="n"/>
      <c r="O219" s="469" t="n"/>
      <c r="P219" s="471" t="n"/>
      <c r="Q219" s="470">
        <f>IFERROR(__xludf.DUMMYFUNCTION("""COMPUTED_VALUE"""),"1.34")</f>
        <v/>
      </c>
      <c r="R219" s="470">
        <f>IFERROR(__xludf.DUMMYFUNCTION("""COMPUTED_VALUE"""),"0.33")</f>
        <v/>
      </c>
      <c r="S219" s="470">
        <f>IFERROR(__xludf.DUMMYFUNCTION("""COMPUTED_VALUE"""),"-")</f>
        <v/>
      </c>
      <c r="T219" s="470">
        <f>IFERROR(__xludf.DUMMYFUNCTION("""COMPUTED_VALUE"""),"-")</f>
        <v/>
      </c>
      <c r="U219" s="472">
        <f>IFERROR(__xludf.DUMMYFUNCTION("""COMPUTED_VALUE"""),45658.0)</f>
        <v/>
      </c>
      <c r="V219" s="472">
        <f>IFERROR(__xludf.DUMMYFUNCTION("""COMPUTED_VALUE"""),390812.49998842593)</f>
        <v/>
      </c>
      <c r="W219" s="469">
        <f>IFERROR(__xludf.DUMMYFUNCTION("""COMPUTED_VALUE"""),"catchcopy_character_enemy_chi_00201.png")</f>
        <v/>
      </c>
      <c r="X219" s="469">
        <f>IFERROR(__xludf.DUMMYFUNCTION("""COMPUTED_VALUE"""),"enemy_icon_enemy_chi_00201")</f>
        <v/>
      </c>
      <c r="Y219" s="469">
        <f>IFERROR(__xludf.DUMMYFUNCTION("""COMPUTED_VALUE"""),"boss_icon_enemy_chi_00201")</f>
        <v/>
      </c>
      <c r="Z219" s="469">
        <f>IFERROR(__xludf.DUMMYFUNCTION("""COMPUTED_VALUE"""),"enemy_chi_00201_normal")</f>
        <v/>
      </c>
      <c r="AA219" s="469" t="n"/>
    </row>
    <row r="220">
      <c r="A220" s="468">
        <f>IFERROR(__xludf.DUMMYFUNCTION("""COMPUTED_VALUE"""),"kai")</f>
        <v/>
      </c>
      <c r="B220" s="469">
        <f>IFERROR(__xludf.DUMMYFUNCTION("""COMPUTED_VALUE"""),"怪獣８号")</f>
        <v/>
      </c>
      <c r="C220" s="470">
        <f>IFERROR(__xludf.DUMMYFUNCTION("""COMPUTED_VALUE"""),"00001")</f>
        <v/>
      </c>
      <c r="D220" s="469">
        <f>IFERROR(__xludf.DUMMYFUNCTION("""COMPUTED_VALUE"""),"enemy_kai_00001")</f>
        <v/>
      </c>
      <c r="E220" s="469">
        <f>IFERROR(__xludf.DUMMYFUNCTION("""COMPUTED_VALUE"""),"怪獣 本獣")</f>
        <v/>
      </c>
      <c r="F220" s="469">
        <f>IFERROR(__xludf.DUMMYFUNCTION("""COMPUTED_VALUE"""),"怪獣 本獣")</f>
        <v/>
      </c>
      <c r="G220" s="469">
        <f>IFERROR(__xludf.DUMMYFUNCTION("""COMPUTED_VALUE"""),"ー")</f>
        <v/>
      </c>
      <c r="H220" s="469" t="n"/>
      <c r="I220" s="469" t="n"/>
      <c r="J220" s="469" t="n"/>
      <c r="K220" s="469">
        <f>IFERROR(__xludf.DUMMYFUNCTION("""COMPUTED_VALUE"""),"enemy")</f>
        <v/>
      </c>
      <c r="L220" s="469" t="n"/>
      <c r="M220" s="469">
        <f>IFERROR(__xludf.DUMMYFUNCTION("""COMPUTED_VALUE"""),"dageki_1")</f>
        <v/>
      </c>
      <c r="N220" s="469" t="n"/>
      <c r="O220" s="469" t="n"/>
      <c r="P220" s="471" t="n"/>
      <c r="Q220" s="470">
        <f>IFERROR(__xludf.DUMMYFUNCTION("""COMPUTED_VALUE"""),"2.34")</f>
        <v/>
      </c>
      <c r="R220" s="470">
        <f>IFERROR(__xludf.DUMMYFUNCTION("""COMPUTED_VALUE"""),"stop有:1回目 1.00")</f>
        <v/>
      </c>
      <c r="S220" s="470">
        <f>IFERROR(__xludf.DUMMYFUNCTION("""COMPUTED_VALUE"""),"-")</f>
        <v/>
      </c>
      <c r="T220" s="470">
        <f>IFERROR(__xludf.DUMMYFUNCTION("""COMPUTED_VALUE"""),"-")</f>
        <v/>
      </c>
      <c r="U220" s="472">
        <f>IFERROR(__xludf.DUMMYFUNCTION("""COMPUTED_VALUE"""),45658.0)</f>
        <v/>
      </c>
      <c r="V220" s="472">
        <f>IFERROR(__xludf.DUMMYFUNCTION("""COMPUTED_VALUE"""),390812.49998842593)</f>
        <v/>
      </c>
      <c r="W220" s="469">
        <f>IFERROR(__xludf.DUMMYFUNCTION("""COMPUTED_VALUE"""),"catchcopy_character_enemy_kai_00001.png")</f>
        <v/>
      </c>
      <c r="X220" s="469">
        <f>IFERROR(__xludf.DUMMYFUNCTION("""COMPUTED_VALUE"""),"enemy_icon_enemy_kai_00001")</f>
        <v/>
      </c>
      <c r="Y220" s="469">
        <f>IFERROR(__xludf.DUMMYFUNCTION("""COMPUTED_VALUE"""),"boss_icon_enemy_kai_00001")</f>
        <v/>
      </c>
      <c r="Z220" s="469" t="n"/>
      <c r="AA220" s="469" t="n"/>
    </row>
    <row r="221">
      <c r="A221" s="468">
        <f>IFERROR(__xludf.DUMMYFUNCTION("""COMPUTED_VALUE"""),"kai")</f>
        <v/>
      </c>
      <c r="B221" s="469">
        <f>IFERROR(__xludf.DUMMYFUNCTION("""COMPUTED_VALUE"""),"怪獣８号")</f>
        <v/>
      </c>
      <c r="C221" s="470">
        <f>IFERROR(__xludf.DUMMYFUNCTION("""COMPUTED_VALUE"""),"00101")</f>
        <v/>
      </c>
      <c r="D221" s="469">
        <f>IFERROR(__xludf.DUMMYFUNCTION("""COMPUTED_VALUE"""),"enemy_kai_00101")</f>
        <v/>
      </c>
      <c r="E221" s="469">
        <f>IFERROR(__xludf.DUMMYFUNCTION("""COMPUTED_VALUE"""),"怪獣 余獣")</f>
        <v/>
      </c>
      <c r="F221" s="469">
        <f>IFERROR(__xludf.DUMMYFUNCTION("""COMPUTED_VALUE"""),"怪獣 余獣")</f>
        <v/>
      </c>
      <c r="G221" s="469">
        <f>IFERROR(__xludf.DUMMYFUNCTION("""COMPUTED_VALUE"""),"ー")</f>
        <v/>
      </c>
      <c r="H221" s="469" t="n"/>
      <c r="I221" s="469" t="n"/>
      <c r="J221" s="469" t="n"/>
      <c r="K221" s="469">
        <f>IFERROR(__xludf.DUMMYFUNCTION("""COMPUTED_VALUE"""),"enemy")</f>
        <v/>
      </c>
      <c r="L221" s="469" t="n"/>
      <c r="M221" s="469">
        <f>IFERROR(__xludf.DUMMYFUNCTION("""COMPUTED_VALUE"""),"dageki_1")</f>
        <v/>
      </c>
      <c r="N221" s="469" t="n"/>
      <c r="O221" s="469" t="n"/>
      <c r="P221" s="471" t="n"/>
      <c r="Q221" s="470">
        <f>IFERROR(__xludf.DUMMYFUNCTION("""COMPUTED_VALUE"""),"1.23")</f>
        <v/>
      </c>
      <c r="R221" s="470">
        <f>IFERROR(__xludf.DUMMYFUNCTION("""COMPUTED_VALUE"""),"stop有:1回目 0.56")</f>
        <v/>
      </c>
      <c r="S221" s="470">
        <f>IFERROR(__xludf.DUMMYFUNCTION("""COMPUTED_VALUE"""),"-")</f>
        <v/>
      </c>
      <c r="T221" s="470">
        <f>IFERROR(__xludf.DUMMYFUNCTION("""COMPUTED_VALUE"""),"-")</f>
        <v/>
      </c>
      <c r="U221" s="472">
        <f>IFERROR(__xludf.DUMMYFUNCTION("""COMPUTED_VALUE"""),45658.0)</f>
        <v/>
      </c>
      <c r="V221" s="472">
        <f>IFERROR(__xludf.DUMMYFUNCTION("""COMPUTED_VALUE"""),390812.49998842593)</f>
        <v/>
      </c>
      <c r="W221" s="469">
        <f>IFERROR(__xludf.DUMMYFUNCTION("""COMPUTED_VALUE"""),"catchcopy_character_enemy_kai_00101.png")</f>
        <v/>
      </c>
      <c r="X221" s="469">
        <f>IFERROR(__xludf.DUMMYFUNCTION("""COMPUTED_VALUE"""),"enemy_icon_enemy_kai_00101")</f>
        <v/>
      </c>
      <c r="Y221" s="469">
        <f>IFERROR(__xludf.DUMMYFUNCTION("""COMPUTED_VALUE"""),"boss_icon_enemy_kai_00101")</f>
        <v/>
      </c>
      <c r="Z221" s="469" t="n"/>
      <c r="AA221" s="469" t="n"/>
    </row>
    <row r="222">
      <c r="A222" s="468">
        <f>IFERROR(__xludf.DUMMYFUNCTION("""COMPUTED_VALUE"""),"kai")</f>
        <v/>
      </c>
      <c r="B222" s="469">
        <f>IFERROR(__xludf.DUMMYFUNCTION("""COMPUTED_VALUE"""),"怪獣８号")</f>
        <v/>
      </c>
      <c r="C222" s="470">
        <f>IFERROR(__xludf.DUMMYFUNCTION("""COMPUTED_VALUE"""),"00201")</f>
        <v/>
      </c>
      <c r="D222" s="469">
        <f>IFERROR(__xludf.DUMMYFUNCTION("""COMPUTED_VALUE"""),"enemy_kai_00201")</f>
        <v/>
      </c>
      <c r="E222" s="469">
        <f>IFERROR(__xludf.DUMMYFUNCTION("""COMPUTED_VALUE"""),"怪獣９号")</f>
        <v/>
      </c>
      <c r="F222" s="469">
        <f>IFERROR(__xludf.DUMMYFUNCTION("""COMPUTED_VALUE"""),"怪獣９号")</f>
        <v/>
      </c>
      <c r="G222" s="469">
        <f>IFERROR(__xludf.DUMMYFUNCTION("""COMPUTED_VALUE"""),"ー")</f>
        <v/>
      </c>
      <c r="H222" s="469" t="n"/>
      <c r="I222" s="469" t="n"/>
      <c r="J222" s="469" t="n"/>
      <c r="K222" s="469">
        <f>IFERROR(__xludf.DUMMYFUNCTION("""COMPUTED_VALUE"""),"enemy")</f>
        <v/>
      </c>
      <c r="L222" s="469" t="n"/>
      <c r="M222" s="469">
        <f>IFERROR(__xludf.DUMMYFUNCTION("""COMPUTED_VALUE"""),"shageki_1")</f>
        <v/>
      </c>
      <c r="N222" s="469" t="n"/>
      <c r="O222" s="469" t="n"/>
      <c r="P222" s="471" t="n"/>
      <c r="Q222" s="470">
        <f>IFERROR(__xludf.DUMMYFUNCTION("""COMPUTED_VALUE"""),"2.47")</f>
        <v/>
      </c>
      <c r="R222" s="470">
        <f>IFERROR(__xludf.DUMMYFUNCTION("""COMPUTED_VALUE"""),"stop有:1回目 1.26")</f>
        <v/>
      </c>
      <c r="S222" s="470">
        <f>IFERROR(__xludf.DUMMYFUNCTION("""COMPUTED_VALUE"""),"-")</f>
        <v/>
      </c>
      <c r="T222" s="470">
        <f>IFERROR(__xludf.DUMMYFUNCTION("""COMPUTED_VALUE"""),"-")</f>
        <v/>
      </c>
      <c r="U222" s="472">
        <f>IFERROR(__xludf.DUMMYFUNCTION("""COMPUTED_VALUE"""),45658.0)</f>
        <v/>
      </c>
      <c r="V222" s="472">
        <f>IFERROR(__xludf.DUMMYFUNCTION("""COMPUTED_VALUE"""),390812.49998842593)</f>
        <v/>
      </c>
      <c r="W222" s="469">
        <f>IFERROR(__xludf.DUMMYFUNCTION("""COMPUTED_VALUE"""),"catchcopy_character_enemy_kai_00201.png")</f>
        <v/>
      </c>
      <c r="X222" s="469">
        <f>IFERROR(__xludf.DUMMYFUNCTION("""COMPUTED_VALUE"""),"enemy_icon_enemy_kai_00201")</f>
        <v/>
      </c>
      <c r="Y222" s="469">
        <f>IFERROR(__xludf.DUMMYFUNCTION("""COMPUTED_VALUE"""),"boss_icon_enemy_kai_00201")</f>
        <v/>
      </c>
      <c r="Z222" s="469" t="n"/>
      <c r="AA222" s="469" t="n"/>
    </row>
    <row r="223">
      <c r="A223" s="468">
        <f>IFERROR(__xludf.DUMMYFUNCTION("""COMPUTED_VALUE"""),"kai")</f>
        <v/>
      </c>
      <c r="B223" s="469">
        <f>IFERROR(__xludf.DUMMYFUNCTION("""COMPUTED_VALUE"""),"怪獣８号")</f>
        <v/>
      </c>
      <c r="C223" s="470">
        <f>IFERROR(__xludf.DUMMYFUNCTION("""COMPUTED_VALUE"""),"00301")</f>
        <v/>
      </c>
      <c r="D223" s="469">
        <f>IFERROR(__xludf.DUMMYFUNCTION("""COMPUTED_VALUE"""),"enemy_kai_00301")</f>
        <v/>
      </c>
      <c r="E223" s="469">
        <f>IFERROR(__xludf.DUMMYFUNCTION("""COMPUTED_VALUE"""),"蜘蛛の怪獣")</f>
        <v/>
      </c>
      <c r="F223" s="469">
        <f>IFERROR(__xludf.DUMMYFUNCTION("""COMPUTED_VALUE"""),"蜘蛛の怪獣")</f>
        <v/>
      </c>
      <c r="G223" s="469">
        <f>IFERROR(__xludf.DUMMYFUNCTION("""COMPUTED_VALUE"""),"ー")</f>
        <v/>
      </c>
      <c r="H223" s="469" t="n"/>
      <c r="I223" s="469" t="n"/>
      <c r="J223" s="469" t="n"/>
      <c r="K223" s="469">
        <f>IFERROR(__xludf.DUMMYFUNCTION("""COMPUTED_VALUE"""),"enemy")</f>
        <v/>
      </c>
      <c r="L223" s="469" t="n"/>
      <c r="M223" s="469">
        <f>IFERROR(__xludf.DUMMYFUNCTION("""COMPUTED_VALUE"""),"dageki_1")</f>
        <v/>
      </c>
      <c r="N223" s="469" t="n"/>
      <c r="O223" s="469" t="n"/>
      <c r="P223" s="471" t="n"/>
      <c r="Q223" s="470">
        <f>IFERROR(__xludf.DUMMYFUNCTION("""COMPUTED_VALUE"""),"1.00")</f>
        <v/>
      </c>
      <c r="R223" s="470">
        <f>IFERROR(__xludf.DUMMYFUNCTION("""COMPUTED_VALUE"""),"0.40")</f>
        <v/>
      </c>
      <c r="S223" s="470">
        <f>IFERROR(__xludf.DUMMYFUNCTION("""COMPUTED_VALUE"""),"-")</f>
        <v/>
      </c>
      <c r="T223" s="470">
        <f>IFERROR(__xludf.DUMMYFUNCTION("""COMPUTED_VALUE"""),"-")</f>
        <v/>
      </c>
      <c r="U223" s="469" t="n"/>
      <c r="V223" s="469" t="n"/>
      <c r="W223" s="469" t="n"/>
      <c r="X223" s="469" t="n"/>
      <c r="Y223" s="469" t="n"/>
      <c r="Z223" s="469" t="n"/>
      <c r="AA223" s="469" t="n"/>
    </row>
    <row r="224">
      <c r="A224" s="468">
        <f>IFERROR(__xludf.DUMMYFUNCTION("""COMPUTED_VALUE"""),"kai")</f>
        <v/>
      </c>
      <c r="B224" s="469">
        <f>IFERROR(__xludf.DUMMYFUNCTION("""COMPUTED_VALUE"""),"怪獣８号")</f>
        <v/>
      </c>
      <c r="C224" s="470">
        <f>IFERROR(__xludf.DUMMYFUNCTION("""COMPUTED_VALUE"""),"00401")</f>
        <v/>
      </c>
      <c r="D224" s="469">
        <f>IFERROR(__xludf.DUMMYFUNCTION("""COMPUTED_VALUE"""),"enemy_kai_00401")</f>
        <v/>
      </c>
      <c r="E224" s="469">
        <f>IFERROR(__xludf.DUMMYFUNCTION("""COMPUTED_VALUE"""),"怪獣１０号")</f>
        <v/>
      </c>
      <c r="F224" s="469">
        <f>IFERROR(__xludf.DUMMYFUNCTION("""COMPUTED_VALUE"""),"怪獣１０号")</f>
        <v/>
      </c>
      <c r="G224" s="469">
        <f>IFERROR(__xludf.DUMMYFUNCTION("""COMPUTED_VALUE"""),"ー")</f>
        <v/>
      </c>
      <c r="H224" s="469" t="n"/>
      <c r="I224" s="469" t="n"/>
      <c r="J224" s="469" t="n"/>
      <c r="K224" s="469">
        <f>IFERROR(__xludf.DUMMYFUNCTION("""COMPUTED_VALUE"""),"enemy")</f>
        <v/>
      </c>
      <c r="L224" s="469" t="n"/>
      <c r="M224" s="469">
        <f>IFERROR(__xludf.DUMMYFUNCTION("""COMPUTED_VALUE"""),"dageki_1")</f>
        <v/>
      </c>
      <c r="N224" s="469" t="n"/>
      <c r="O224" s="469" t="n"/>
      <c r="P224" s="471" t="n"/>
      <c r="Q224" s="470">
        <f>IFERROR(__xludf.DUMMYFUNCTION("""COMPUTED_VALUE"""),"1.30")</f>
        <v/>
      </c>
      <c r="R224" s="470">
        <f>IFERROR(__xludf.DUMMYFUNCTION("""COMPUTED_VALUE"""),"stop有:1回目 0.55")</f>
        <v/>
      </c>
      <c r="S224" s="470">
        <f>IFERROR(__xludf.DUMMYFUNCTION("""COMPUTED_VALUE"""),"-")</f>
        <v/>
      </c>
      <c r="T224" s="470">
        <f>IFERROR(__xludf.DUMMYFUNCTION("""COMPUTED_VALUE"""),"-")</f>
        <v/>
      </c>
      <c r="U224" s="469" t="n"/>
      <c r="V224" s="469" t="n"/>
      <c r="W224" s="469" t="n"/>
      <c r="X224" s="469" t="n"/>
      <c r="Y224" s="469" t="n"/>
      <c r="Z224" s="469" t="n"/>
      <c r="AA224" s="469" t="n"/>
    </row>
    <row r="225">
      <c r="A225" s="468">
        <f>IFERROR(__xludf.DUMMYFUNCTION("""COMPUTED_VALUE"""),"sur")</f>
        <v/>
      </c>
      <c r="B225" s="469">
        <f>IFERROR(__xludf.DUMMYFUNCTION("""COMPUTED_VALUE"""),"魔都精兵のスレイブ")</f>
        <v/>
      </c>
      <c r="C225" s="470">
        <f>IFERROR(__xludf.DUMMYFUNCTION("""COMPUTED_VALUE"""),"00001")</f>
        <v/>
      </c>
      <c r="D225" s="469">
        <f>IFERROR(__xludf.DUMMYFUNCTION("""COMPUTED_VALUE"""),"enemy_sur_00001")</f>
        <v/>
      </c>
      <c r="E225" s="469">
        <f>IFERROR(__xludf.DUMMYFUNCTION("""COMPUTED_VALUE"""),"和倉 青羽")</f>
        <v/>
      </c>
      <c r="F225" s="469">
        <f>IFERROR(__xludf.DUMMYFUNCTION("""COMPUTED_VALUE"""),"和倉 青羽")</f>
        <v/>
      </c>
      <c r="G225" s="469">
        <f>IFERROR(__xludf.DUMMYFUNCTION("""COMPUTED_VALUE"""),"ー")</f>
        <v/>
      </c>
      <c r="H225" s="469" t="n"/>
      <c r="I225" s="469" t="n"/>
      <c r="J225" s="469" t="n"/>
      <c r="K225" s="469">
        <f>IFERROR(__xludf.DUMMYFUNCTION("""COMPUTED_VALUE"""),"enemy")</f>
        <v/>
      </c>
      <c r="L225" s="469" t="n"/>
      <c r="M225" s="469">
        <f>IFERROR(__xludf.DUMMYFUNCTION("""COMPUTED_VALUE"""),"dageki_1")</f>
        <v/>
      </c>
      <c r="N225" s="469" t="n"/>
      <c r="O225" s="469" t="n"/>
      <c r="P225" s="471" t="n"/>
      <c r="Q225" s="470">
        <f>IFERROR(__xludf.DUMMYFUNCTION("""COMPUTED_VALUE"""),"1.24")</f>
        <v/>
      </c>
      <c r="R225" s="470">
        <f>IFERROR(__xludf.DUMMYFUNCTION("""COMPUTED_VALUE"""),"stop有:1回目 0.50")</f>
        <v/>
      </c>
      <c r="S225" s="470">
        <f>IFERROR(__xludf.DUMMYFUNCTION("""COMPUTED_VALUE"""),"-")</f>
        <v/>
      </c>
      <c r="T225" s="470">
        <f>IFERROR(__xludf.DUMMYFUNCTION("""COMPUTED_VALUE"""),"-")</f>
        <v/>
      </c>
      <c r="U225" s="472">
        <f>IFERROR(__xludf.DUMMYFUNCTION("""COMPUTED_VALUE"""),45658.0)</f>
        <v/>
      </c>
      <c r="V225" s="472">
        <f>IFERROR(__xludf.DUMMYFUNCTION("""COMPUTED_VALUE"""),390812.49998842593)</f>
        <v/>
      </c>
      <c r="W225" s="469">
        <f>IFERROR(__xludf.DUMMYFUNCTION("""COMPUTED_VALUE"""),"catchcopy_character_enemy_sur_00001.png")</f>
        <v/>
      </c>
      <c r="X225" s="469">
        <f>IFERROR(__xludf.DUMMYFUNCTION("""COMPUTED_VALUE"""),"enemy_icon_enemy_sur_00001")</f>
        <v/>
      </c>
      <c r="Y225" s="469">
        <f>IFERROR(__xludf.DUMMYFUNCTION("""COMPUTED_VALUE"""),"boss_icon_enemy_sur_00001")</f>
        <v/>
      </c>
      <c r="Z225" s="469" t="n"/>
      <c r="AA225" s="469" t="n"/>
    </row>
    <row r="226">
      <c r="A226" s="468">
        <f>IFERROR(__xludf.DUMMYFUNCTION("""COMPUTED_VALUE"""),"sur")</f>
        <v/>
      </c>
      <c r="B226" s="469">
        <f>IFERROR(__xludf.DUMMYFUNCTION("""COMPUTED_VALUE"""),"魔都精兵のスレイブ")</f>
        <v/>
      </c>
      <c r="C226" s="470">
        <f>IFERROR(__xludf.DUMMYFUNCTION("""COMPUTED_VALUE"""),"00101")</f>
        <v/>
      </c>
      <c r="D226" s="469">
        <f>IFERROR(__xludf.DUMMYFUNCTION("""COMPUTED_VALUE"""),"enemy_sur_00101")</f>
        <v/>
      </c>
      <c r="E226" s="469">
        <f>IFERROR(__xludf.DUMMYFUNCTION("""COMPUTED_VALUE"""),"醜鬼")</f>
        <v/>
      </c>
      <c r="F226" s="469">
        <f>IFERROR(__xludf.DUMMYFUNCTION("""COMPUTED_VALUE"""),"醜鬼")</f>
        <v/>
      </c>
      <c r="G226" s="469">
        <f>IFERROR(__xludf.DUMMYFUNCTION("""COMPUTED_VALUE"""),"ー")</f>
        <v/>
      </c>
      <c r="H226" s="469" t="n"/>
      <c r="I226" s="469" t="n"/>
      <c r="J226" s="469" t="n"/>
      <c r="K226" s="469">
        <f>IFERROR(__xludf.DUMMYFUNCTION("""COMPUTED_VALUE"""),"enemy")</f>
        <v/>
      </c>
      <c r="L226" s="469">
        <f>IFERROR(__xludf.DUMMYFUNCTION("""COMPUTED_VALUE"""),"ディフェンス")</f>
        <v/>
      </c>
      <c r="M226" s="469">
        <f>IFERROR(__xludf.DUMMYFUNCTION("""COMPUTED_VALUE"""),"dageki_1")</f>
        <v/>
      </c>
      <c r="N226" s="469" t="n"/>
      <c r="O226" s="469" t="n"/>
      <c r="P226" s="471" t="n"/>
      <c r="Q226" s="470">
        <f>IFERROR(__xludf.DUMMYFUNCTION("""COMPUTED_VALUE"""),"0.80")</f>
        <v/>
      </c>
      <c r="R226" s="470">
        <f>IFERROR(__xludf.DUMMYFUNCTION("""COMPUTED_VALUE"""),"0.30")</f>
        <v/>
      </c>
      <c r="S226" s="470">
        <f>IFERROR(__xludf.DUMMYFUNCTION("""COMPUTED_VALUE"""),"-")</f>
        <v/>
      </c>
      <c r="T226" s="470">
        <f>IFERROR(__xludf.DUMMYFUNCTION("""COMPUTED_VALUE"""),"-")</f>
        <v/>
      </c>
      <c r="U226" s="472">
        <f>IFERROR(__xludf.DUMMYFUNCTION("""COMPUTED_VALUE"""),45658.0)</f>
        <v/>
      </c>
      <c r="V226" s="472">
        <f>IFERROR(__xludf.DUMMYFUNCTION("""COMPUTED_VALUE"""),390812.49998842593)</f>
        <v/>
      </c>
      <c r="W226" s="469">
        <f>IFERROR(__xludf.DUMMYFUNCTION("""COMPUTED_VALUE"""),"catchcopy_character_enemy_sur_00101.png")</f>
        <v/>
      </c>
      <c r="X226" s="469">
        <f>IFERROR(__xludf.DUMMYFUNCTION("""COMPUTED_VALUE"""),"enemy_icon_enemy_sur_00101")</f>
        <v/>
      </c>
      <c r="Y226" s="469">
        <f>IFERROR(__xludf.DUMMYFUNCTION("""COMPUTED_VALUE"""),"boss_icon_enemy_sur_00101")</f>
        <v/>
      </c>
      <c r="Z226" s="469" t="n"/>
      <c r="AA226" s="469" t="n"/>
    </row>
    <row r="227">
      <c r="A227" s="468">
        <f>IFERROR(__xludf.DUMMYFUNCTION("""COMPUTED_VALUE"""),"jig")</f>
        <v/>
      </c>
      <c r="B227" s="469">
        <f>IFERROR(__xludf.DUMMYFUNCTION("""COMPUTED_VALUE"""),"地獄楽")</f>
        <v/>
      </c>
      <c r="C227" s="470">
        <f>IFERROR(__xludf.DUMMYFUNCTION("""COMPUTED_VALUE"""),"00001")</f>
        <v/>
      </c>
      <c r="D227" s="469">
        <f>IFERROR(__xludf.DUMMYFUNCTION("""COMPUTED_VALUE"""),"enemy_jig_00001")</f>
        <v/>
      </c>
      <c r="E227" s="469">
        <f>IFERROR(__xludf.DUMMYFUNCTION("""COMPUTED_VALUE"""),"門神")</f>
        <v/>
      </c>
      <c r="F227" s="469">
        <f>IFERROR(__xludf.DUMMYFUNCTION("""COMPUTED_VALUE"""),"門神")</f>
        <v/>
      </c>
      <c r="G227" s="469">
        <f>IFERROR(__xludf.DUMMYFUNCTION("""COMPUTED_VALUE"""),"ー")</f>
        <v/>
      </c>
      <c r="H227" s="469" t="n"/>
      <c r="I227" s="469" t="n"/>
      <c r="J227" s="469" t="n"/>
      <c r="K227" s="469">
        <f>IFERROR(__xludf.DUMMYFUNCTION("""COMPUTED_VALUE"""),"enemy")</f>
        <v/>
      </c>
      <c r="L227" s="469">
        <f>IFERROR(__xludf.DUMMYFUNCTION("""COMPUTED_VALUE"""),"ディフェンス")</f>
        <v/>
      </c>
      <c r="M227" s="469">
        <f>IFERROR(__xludf.DUMMYFUNCTION("""COMPUTED_VALUE"""),"dageki_1")</f>
        <v/>
      </c>
      <c r="N227" s="469" t="n"/>
      <c r="O227" s="469" t="n"/>
      <c r="P227" s="471" t="n"/>
      <c r="Q227" s="470">
        <f>IFERROR(__xludf.DUMMYFUNCTION("""COMPUTED_VALUE"""),"1.83")</f>
        <v/>
      </c>
      <c r="R227" s="470">
        <f>IFERROR(__xludf.DUMMYFUNCTION("""COMPUTED_VALUE"""),"0.83")</f>
        <v/>
      </c>
      <c r="S227" s="470">
        <f>IFERROR(__xludf.DUMMYFUNCTION("""COMPUTED_VALUE"""),"-")</f>
        <v/>
      </c>
      <c r="T227" s="470">
        <f>IFERROR(__xludf.DUMMYFUNCTION("""COMPUTED_VALUE"""),"-")</f>
        <v/>
      </c>
      <c r="U227" s="472">
        <f>IFERROR(__xludf.DUMMYFUNCTION("""COMPUTED_VALUE"""),45658.0)</f>
        <v/>
      </c>
      <c r="V227" s="472">
        <f>IFERROR(__xludf.DUMMYFUNCTION("""COMPUTED_VALUE"""),390812.49998842593)</f>
        <v/>
      </c>
      <c r="W227" s="469">
        <f>IFERROR(__xludf.DUMMYFUNCTION("""COMPUTED_VALUE"""),"catchcopy_character_enemy_jig_00001.png")</f>
        <v/>
      </c>
      <c r="X227" s="469">
        <f>IFERROR(__xludf.DUMMYFUNCTION("""COMPUTED_VALUE"""),"enemy_icon_enemy_jig_00001")</f>
        <v/>
      </c>
      <c r="Y227" s="469">
        <f>IFERROR(__xludf.DUMMYFUNCTION("""COMPUTED_VALUE"""),"boss_icon_enemy_jig_00001")</f>
        <v/>
      </c>
      <c r="Z227" s="469">
        <f>IFERROR(__xludf.DUMMYFUNCTION("""COMPUTED_VALUE"""),"enemy_jig_00001_normal")</f>
        <v/>
      </c>
      <c r="AA227" s="469" t="n"/>
    </row>
    <row r="228">
      <c r="A228" s="468">
        <f>IFERROR(__xludf.DUMMYFUNCTION("""COMPUTED_VALUE"""),"jig")</f>
        <v/>
      </c>
      <c r="B228" s="469">
        <f>IFERROR(__xludf.DUMMYFUNCTION("""COMPUTED_VALUE"""),"地獄楽")</f>
        <v/>
      </c>
      <c r="C228" s="470">
        <f>IFERROR(__xludf.DUMMYFUNCTION("""COMPUTED_VALUE"""),"00101")</f>
        <v/>
      </c>
      <c r="D228" s="469">
        <f>IFERROR(__xludf.DUMMYFUNCTION("""COMPUTED_VALUE"""),"enemy_jig_00101")</f>
        <v/>
      </c>
      <c r="E228" s="469">
        <f>IFERROR(__xludf.DUMMYFUNCTION("""COMPUTED_VALUE"""),"門神 （小）")</f>
        <v/>
      </c>
      <c r="F228" s="469">
        <f>IFERROR(__xludf.DUMMYFUNCTION("""COMPUTED_VALUE"""),"門神 (小)")</f>
        <v/>
      </c>
      <c r="G228" s="469">
        <f>IFERROR(__xludf.DUMMYFUNCTION("""COMPUTED_VALUE"""),"ー")</f>
        <v/>
      </c>
      <c r="H228" s="469" t="n"/>
      <c r="I228" s="469" t="n"/>
      <c r="J228" s="469" t="n"/>
      <c r="K228" s="469">
        <f>IFERROR(__xludf.DUMMYFUNCTION("""COMPUTED_VALUE"""),"enemy")</f>
        <v/>
      </c>
      <c r="L228" s="469">
        <f>IFERROR(__xludf.DUMMYFUNCTION("""COMPUTED_VALUE"""),"ディフェンス")</f>
        <v/>
      </c>
      <c r="M228" s="469">
        <f>IFERROR(__xludf.DUMMYFUNCTION("""COMPUTED_VALUE"""),"dageki_1")</f>
        <v/>
      </c>
      <c r="N228" s="469" t="n"/>
      <c r="O228" s="469" t="n"/>
      <c r="P228" s="471" t="n"/>
      <c r="Q228" s="470">
        <f>IFERROR(__xludf.DUMMYFUNCTION("""COMPUTED_VALUE"""),"1.83")</f>
        <v/>
      </c>
      <c r="R228" s="470">
        <f>IFERROR(__xludf.DUMMYFUNCTION("""COMPUTED_VALUE"""),"0.83")</f>
        <v/>
      </c>
      <c r="S228" s="470">
        <f>IFERROR(__xludf.DUMMYFUNCTION("""COMPUTED_VALUE"""),"-")</f>
        <v/>
      </c>
      <c r="T228" s="470">
        <f>IFERROR(__xludf.DUMMYFUNCTION("""COMPUTED_VALUE"""),"-")</f>
        <v/>
      </c>
      <c r="U228" s="472">
        <f>IFERROR(__xludf.DUMMYFUNCTION("""COMPUTED_VALUE"""),45658.0)</f>
        <v/>
      </c>
      <c r="V228" s="472">
        <f>IFERROR(__xludf.DUMMYFUNCTION("""COMPUTED_VALUE"""),390812.49998842593)</f>
        <v/>
      </c>
      <c r="W228" s="469">
        <f>IFERROR(__xludf.DUMMYFUNCTION("""COMPUTED_VALUE"""),"catchcopy_character_enemy_jig_00101.png")</f>
        <v/>
      </c>
      <c r="X228" s="469">
        <f>IFERROR(__xludf.DUMMYFUNCTION("""COMPUTED_VALUE"""),"enemy_icon_enemy_jig_00101")</f>
        <v/>
      </c>
      <c r="Y228" s="469">
        <f>IFERROR(__xludf.DUMMYFUNCTION("""COMPUTED_VALUE"""),"boss_icon_enemy_jig_00101")</f>
        <v/>
      </c>
      <c r="Z228" s="469">
        <f>IFERROR(__xludf.DUMMYFUNCTION("""COMPUTED_VALUE"""),"enemy_jig_00101_normal")</f>
        <v/>
      </c>
      <c r="AA228" s="469" t="n"/>
    </row>
    <row r="229">
      <c r="A229" s="468">
        <f>IFERROR(__xludf.DUMMYFUNCTION("""COMPUTED_VALUE"""),"jig")</f>
        <v/>
      </c>
      <c r="B229" s="469">
        <f>IFERROR(__xludf.DUMMYFUNCTION("""COMPUTED_VALUE"""),"地獄楽")</f>
        <v/>
      </c>
      <c r="C229" s="470">
        <f>IFERROR(__xludf.DUMMYFUNCTION("""COMPUTED_VALUE"""),"00201")</f>
        <v/>
      </c>
      <c r="D229" s="469">
        <f>IFERROR(__xludf.DUMMYFUNCTION("""COMPUTED_VALUE"""),"enemy_jig_00201")</f>
        <v/>
      </c>
      <c r="E229" s="469">
        <f>IFERROR(__xludf.DUMMYFUNCTION("""COMPUTED_VALUE"""),"門神 （大）")</f>
        <v/>
      </c>
      <c r="F229" s="469">
        <f>IFERROR(__xludf.DUMMYFUNCTION("""COMPUTED_VALUE"""),"門神 (大)")</f>
        <v/>
      </c>
      <c r="G229" s="469">
        <f>IFERROR(__xludf.DUMMYFUNCTION("""COMPUTED_VALUE"""),"ー")</f>
        <v/>
      </c>
      <c r="H229" s="469" t="n"/>
      <c r="I229" s="469" t="n"/>
      <c r="J229" s="469" t="n"/>
      <c r="K229" s="469">
        <f>IFERROR(__xludf.DUMMYFUNCTION("""COMPUTED_VALUE"""),"enemy")</f>
        <v/>
      </c>
      <c r="L229" s="469">
        <f>IFERROR(__xludf.DUMMYFUNCTION("""COMPUTED_VALUE"""),"ディフェンス")</f>
        <v/>
      </c>
      <c r="M229" s="469">
        <f>IFERROR(__xludf.DUMMYFUNCTION("""COMPUTED_VALUE"""),"dageki_1")</f>
        <v/>
      </c>
      <c r="N229" s="469" t="n"/>
      <c r="O229" s="469" t="n"/>
      <c r="P229" s="471" t="n"/>
      <c r="Q229" s="470">
        <f>IFERROR(__xludf.DUMMYFUNCTION("""COMPUTED_VALUE"""),"1.83")</f>
        <v/>
      </c>
      <c r="R229" s="470">
        <f>IFERROR(__xludf.DUMMYFUNCTION("""COMPUTED_VALUE"""),"0.83")</f>
        <v/>
      </c>
      <c r="S229" s="470">
        <f>IFERROR(__xludf.DUMMYFUNCTION("""COMPUTED_VALUE"""),"-")</f>
        <v/>
      </c>
      <c r="T229" s="470">
        <f>IFERROR(__xludf.DUMMYFUNCTION("""COMPUTED_VALUE"""),"-")</f>
        <v/>
      </c>
      <c r="U229" s="472">
        <f>IFERROR(__xludf.DUMMYFUNCTION("""COMPUTED_VALUE"""),45658.0)</f>
        <v/>
      </c>
      <c r="V229" s="472">
        <f>IFERROR(__xludf.DUMMYFUNCTION("""COMPUTED_VALUE"""),390812.49998842593)</f>
        <v/>
      </c>
      <c r="W229" s="469">
        <f>IFERROR(__xludf.DUMMYFUNCTION("""COMPUTED_VALUE"""),"catchcopy_character_enemy_jig_00201.png")</f>
        <v/>
      </c>
      <c r="X229" s="469">
        <f>IFERROR(__xludf.DUMMYFUNCTION("""COMPUTED_VALUE"""),"enemy_icon_enemy_jig_00201")</f>
        <v/>
      </c>
      <c r="Y229" s="469">
        <f>IFERROR(__xludf.DUMMYFUNCTION("""COMPUTED_VALUE"""),"boss_icon_enemy_jig_00201")</f>
        <v/>
      </c>
      <c r="Z229" s="469">
        <f>IFERROR(__xludf.DUMMYFUNCTION("""COMPUTED_VALUE"""),"enemy_jig_00201_normal")</f>
        <v/>
      </c>
      <c r="AA229" s="469" t="n"/>
    </row>
    <row r="230">
      <c r="A230" s="468">
        <f>IFERROR(__xludf.DUMMYFUNCTION("""COMPUTED_VALUE"""),"jig")</f>
        <v/>
      </c>
      <c r="B230" s="469">
        <f>IFERROR(__xludf.DUMMYFUNCTION("""COMPUTED_VALUE"""),"地獄楽")</f>
        <v/>
      </c>
      <c r="C230" s="470">
        <f>IFERROR(__xludf.DUMMYFUNCTION("""COMPUTED_VALUE"""),"00301")</f>
        <v/>
      </c>
      <c r="D230" s="469">
        <f>IFERROR(__xludf.DUMMYFUNCTION("""COMPUTED_VALUE"""),"enemy_jig_00301")</f>
        <v/>
      </c>
      <c r="E230" s="469">
        <f>IFERROR(__xludf.DUMMYFUNCTION("""COMPUTED_VALUE"""),"竈神 魚")</f>
        <v/>
      </c>
      <c r="F230" s="469">
        <f>IFERROR(__xludf.DUMMYFUNCTION("""COMPUTED_VALUE"""),"竈神 魚")</f>
        <v/>
      </c>
      <c r="G230" s="469">
        <f>IFERROR(__xludf.DUMMYFUNCTION("""COMPUTED_VALUE"""),"ー")</f>
        <v/>
      </c>
      <c r="H230" s="469" t="n"/>
      <c r="I230" s="469" t="n"/>
      <c r="J230" s="469" t="n"/>
      <c r="K230" s="469">
        <f>IFERROR(__xludf.DUMMYFUNCTION("""COMPUTED_VALUE"""),"enemy")</f>
        <v/>
      </c>
      <c r="L230" s="469">
        <f>IFERROR(__xludf.DUMMYFUNCTION("""COMPUTED_VALUE"""),"アタック")</f>
        <v/>
      </c>
      <c r="M230" s="469">
        <f>IFERROR(__xludf.DUMMYFUNCTION("""COMPUTED_VALUE"""),"dageki_1")</f>
        <v/>
      </c>
      <c r="N230" s="469" t="n"/>
      <c r="O230" s="469" t="n"/>
      <c r="P230" s="471" t="n"/>
      <c r="Q230" s="470">
        <f>IFERROR(__xludf.DUMMYFUNCTION("""COMPUTED_VALUE"""),"1.50")</f>
        <v/>
      </c>
      <c r="R230" s="470">
        <f>IFERROR(__xludf.DUMMYFUNCTION("""COMPUTED_VALUE"""),"0.66")</f>
        <v/>
      </c>
      <c r="S230" s="470">
        <f>IFERROR(__xludf.DUMMYFUNCTION("""COMPUTED_VALUE"""),"-")</f>
        <v/>
      </c>
      <c r="T230" s="470">
        <f>IFERROR(__xludf.DUMMYFUNCTION("""COMPUTED_VALUE"""),"-")</f>
        <v/>
      </c>
      <c r="U230" s="472">
        <f>IFERROR(__xludf.DUMMYFUNCTION("""COMPUTED_VALUE"""),45658.0)</f>
        <v/>
      </c>
      <c r="V230" s="472">
        <f>IFERROR(__xludf.DUMMYFUNCTION("""COMPUTED_VALUE"""),390812.49998842593)</f>
        <v/>
      </c>
      <c r="W230" s="469">
        <f>IFERROR(__xludf.DUMMYFUNCTION("""COMPUTED_VALUE"""),"catchcopy_character_enemy_jig_00301.png")</f>
        <v/>
      </c>
      <c r="X230" s="469">
        <f>IFERROR(__xludf.DUMMYFUNCTION("""COMPUTED_VALUE"""),"enemy_icon_enemy_jig_00301")</f>
        <v/>
      </c>
      <c r="Y230" s="469">
        <f>IFERROR(__xludf.DUMMYFUNCTION("""COMPUTED_VALUE"""),"boss_icon_enemy_jig_00301")</f>
        <v/>
      </c>
      <c r="Z230" s="469" t="n"/>
      <c r="AA230" s="469" t="n"/>
    </row>
    <row r="231">
      <c r="A231" s="468">
        <f>IFERROR(__xludf.DUMMYFUNCTION("""COMPUTED_VALUE"""),"jig")</f>
        <v/>
      </c>
      <c r="B231" s="469">
        <f>IFERROR(__xludf.DUMMYFUNCTION("""COMPUTED_VALUE"""),"地獄楽")</f>
        <v/>
      </c>
      <c r="C231" s="470">
        <f>IFERROR(__xludf.DUMMYFUNCTION("""COMPUTED_VALUE"""),"00401")</f>
        <v/>
      </c>
      <c r="D231" s="469">
        <f>IFERROR(__xludf.DUMMYFUNCTION("""COMPUTED_VALUE"""),"enemy_jig_00401")</f>
        <v/>
      </c>
      <c r="E231" s="469">
        <f>IFERROR(__xludf.DUMMYFUNCTION("""COMPUTED_VALUE"""),"極楽蝶")</f>
        <v/>
      </c>
      <c r="F231" s="469">
        <f>IFERROR(__xludf.DUMMYFUNCTION("""COMPUTED_VALUE"""),"極楽蝶")</f>
        <v/>
      </c>
      <c r="G231" s="469">
        <f>IFERROR(__xludf.DUMMYFUNCTION("""COMPUTED_VALUE"""),"ー")</f>
        <v/>
      </c>
      <c r="H231" s="469" t="n"/>
      <c r="I231" s="469" t="n"/>
      <c r="J231" s="469" t="n"/>
      <c r="K231" s="469">
        <f>IFERROR(__xludf.DUMMYFUNCTION("""COMPUTED_VALUE"""),"enemy")</f>
        <v/>
      </c>
      <c r="L231" s="469">
        <f>IFERROR(__xludf.DUMMYFUNCTION("""COMPUTED_VALUE"""),"アタック")</f>
        <v/>
      </c>
      <c r="M231" s="469">
        <f>IFERROR(__xludf.DUMMYFUNCTION("""COMPUTED_VALUE"""),"dageki_2")</f>
        <v/>
      </c>
      <c r="N231" s="469" t="n"/>
      <c r="O231" s="469" t="n"/>
      <c r="P231" s="471" t="n"/>
      <c r="Q231" s="470">
        <f>IFERROR(__xludf.DUMMYFUNCTION("""COMPUTED_VALUE"""),"1.30")</f>
        <v/>
      </c>
      <c r="R231" s="470">
        <f>IFERROR(__xludf.DUMMYFUNCTION("""COMPUTED_VALUE"""),"0.66")</f>
        <v/>
      </c>
      <c r="S231" s="470">
        <f>IFERROR(__xludf.DUMMYFUNCTION("""COMPUTED_VALUE"""),"-")</f>
        <v/>
      </c>
      <c r="T231" s="470">
        <f>IFERROR(__xludf.DUMMYFUNCTION("""COMPUTED_VALUE"""),"-")</f>
        <v/>
      </c>
      <c r="U231" s="472">
        <f>IFERROR(__xludf.DUMMYFUNCTION("""COMPUTED_VALUE"""),45658.0)</f>
        <v/>
      </c>
      <c r="V231" s="472">
        <f>IFERROR(__xludf.DUMMYFUNCTION("""COMPUTED_VALUE"""),390812.49998842593)</f>
        <v/>
      </c>
      <c r="W231" s="469">
        <f>IFERROR(__xludf.DUMMYFUNCTION("""COMPUTED_VALUE"""),"catchcopy_character_enemy_jig_00401.png")</f>
        <v/>
      </c>
      <c r="X231" s="469">
        <f>IFERROR(__xludf.DUMMYFUNCTION("""COMPUTED_VALUE"""),"enemy_icon_enemy_jig_00401")</f>
        <v/>
      </c>
      <c r="Y231" s="469">
        <f>IFERROR(__xludf.DUMMYFUNCTION("""COMPUTED_VALUE"""),"boss_icon_enemy_jig_00401")</f>
        <v/>
      </c>
      <c r="Z231" s="469" t="n"/>
      <c r="AA231" s="469" t="n"/>
    </row>
    <row r="232">
      <c r="A232" s="468">
        <f>IFERROR(__xludf.DUMMYFUNCTION("""COMPUTED_VALUE"""),"jig")</f>
        <v/>
      </c>
      <c r="B232" s="469">
        <f>IFERROR(__xludf.DUMMYFUNCTION("""COMPUTED_VALUE"""),"地獄楽")</f>
        <v/>
      </c>
      <c r="C232" s="470">
        <f>IFERROR(__xludf.DUMMYFUNCTION("""COMPUTED_VALUE"""),"00402")</f>
        <v/>
      </c>
      <c r="D232" s="469">
        <f>IFERROR(__xludf.DUMMYFUNCTION("""COMPUTED_VALUE"""),"enemy_jig_00402")</f>
        <v/>
      </c>
      <c r="E232" s="469">
        <f>IFERROR(__xludf.DUMMYFUNCTION("""COMPUTED_VALUE"""),"極楽蝶")</f>
        <v/>
      </c>
      <c r="F232" s="469">
        <f>IFERROR(__xludf.DUMMYFUNCTION("""COMPUTED_VALUE"""),"極楽蝶")</f>
        <v/>
      </c>
      <c r="G232" s="469">
        <f>IFERROR(__xludf.DUMMYFUNCTION("""COMPUTED_VALUE"""),"ー")</f>
        <v/>
      </c>
      <c r="H232" s="469" t="n"/>
      <c r="I232" s="469" t="n"/>
      <c r="J232" s="469" t="n"/>
      <c r="K232" s="469">
        <f>IFERROR(__xludf.DUMMYFUNCTION("""COMPUTED_VALUE"""),"enemy")</f>
        <v/>
      </c>
      <c r="L232" s="469">
        <f>IFERROR(__xludf.DUMMYFUNCTION("""COMPUTED_VALUE"""),"アタック")</f>
        <v/>
      </c>
      <c r="M232" s="469">
        <f>IFERROR(__xludf.DUMMYFUNCTION("""COMPUTED_VALUE"""),"dageki_2")</f>
        <v/>
      </c>
      <c r="N232" s="469" t="n"/>
      <c r="O232" s="469" t="n"/>
      <c r="P232" s="471" t="n"/>
      <c r="Q232" s="470">
        <f>IFERROR(__xludf.DUMMYFUNCTION("""COMPUTED_VALUE"""),"2.10")</f>
        <v/>
      </c>
      <c r="R232" s="470">
        <f>IFERROR(__xludf.DUMMYFUNCTION("""COMPUTED_VALUE"""),"0.60")</f>
        <v/>
      </c>
      <c r="S232" s="470">
        <f>IFERROR(__xludf.DUMMYFUNCTION("""COMPUTED_VALUE"""),"-")</f>
        <v/>
      </c>
      <c r="T232" s="470">
        <f>IFERROR(__xludf.DUMMYFUNCTION("""COMPUTED_VALUE"""),"-")</f>
        <v/>
      </c>
      <c r="U232" s="472">
        <f>IFERROR(__xludf.DUMMYFUNCTION("""COMPUTED_VALUE"""),45658.0)</f>
        <v/>
      </c>
      <c r="V232" s="472">
        <f>IFERROR(__xludf.DUMMYFUNCTION("""COMPUTED_VALUE"""),390812.49998842593)</f>
        <v/>
      </c>
      <c r="W232" s="469">
        <f>IFERROR(__xludf.DUMMYFUNCTION("""COMPUTED_VALUE"""),"catchcopy_character_enemy_jig_00402.png")</f>
        <v/>
      </c>
      <c r="X232" s="469">
        <f>IFERROR(__xludf.DUMMYFUNCTION("""COMPUTED_VALUE"""),"enemy_icon_enemy_jig_00402")</f>
        <v/>
      </c>
      <c r="Y232" s="469">
        <f>IFERROR(__xludf.DUMMYFUNCTION("""COMPUTED_VALUE"""),"boss_icon_enemy_jig_00402")</f>
        <v/>
      </c>
      <c r="Z232" s="469">
        <f>IFERROR(__xludf.DUMMYFUNCTION("""COMPUTED_VALUE"""),"enemy_jig_00402_normal")</f>
        <v/>
      </c>
      <c r="AA232" s="469" t="n"/>
    </row>
    <row r="233">
      <c r="A233" s="468">
        <f>IFERROR(__xludf.DUMMYFUNCTION("""COMPUTED_VALUE"""),"jig")</f>
        <v/>
      </c>
      <c r="B233" s="469">
        <f>IFERROR(__xludf.DUMMYFUNCTION("""COMPUTED_VALUE"""),"地獄楽")</f>
        <v/>
      </c>
      <c r="C233" s="470">
        <f>IFERROR(__xludf.DUMMYFUNCTION("""COMPUTED_VALUE"""),"00501")</f>
        <v/>
      </c>
      <c r="D233" s="469">
        <f>IFERROR(__xludf.DUMMYFUNCTION("""COMPUTED_VALUE"""),"enemy_jig_00501")</f>
        <v/>
      </c>
      <c r="E233" s="469">
        <f>IFERROR(__xludf.DUMMYFUNCTION("""COMPUTED_VALUE"""),"山田浅ェ門 源嗣")</f>
        <v/>
      </c>
      <c r="F233" s="469">
        <f>IFERROR(__xludf.DUMMYFUNCTION("""COMPUTED_VALUE"""),"山田浅ェ門 源嗣")</f>
        <v/>
      </c>
      <c r="G233" s="469">
        <f>IFERROR(__xludf.DUMMYFUNCTION("""COMPUTED_VALUE"""),"ー")</f>
        <v/>
      </c>
      <c r="H233" s="469" t="n"/>
      <c r="I233" s="469" t="n"/>
      <c r="J233" s="469" t="n"/>
      <c r="K233" s="469">
        <f>IFERROR(__xludf.DUMMYFUNCTION("""COMPUTED_VALUE"""),"enemy")</f>
        <v/>
      </c>
      <c r="L233" s="469">
        <f>IFERROR(__xludf.DUMMYFUNCTION("""COMPUTED_VALUE"""),"ディフェンス")</f>
        <v/>
      </c>
      <c r="M233" s="469">
        <f>IFERROR(__xludf.DUMMYFUNCTION("""COMPUTED_VALUE"""),"zangeki_1")</f>
        <v/>
      </c>
      <c r="N233" s="469" t="n"/>
      <c r="O233" s="469" t="n"/>
      <c r="P233" s="471" t="n"/>
      <c r="Q233" s="470">
        <f>IFERROR(__xludf.DUMMYFUNCTION("""COMPUTED_VALUE"""),"1.43")</f>
        <v/>
      </c>
      <c r="R233" s="470">
        <f>IFERROR(__xludf.DUMMYFUNCTION("""COMPUTED_VALUE"""),"0.66")</f>
        <v/>
      </c>
      <c r="S233" s="470">
        <f>IFERROR(__xludf.DUMMYFUNCTION("""COMPUTED_VALUE"""),"-")</f>
        <v/>
      </c>
      <c r="T233" s="470">
        <f>IFERROR(__xludf.DUMMYFUNCTION("""COMPUTED_VALUE"""),"-")</f>
        <v/>
      </c>
      <c r="U233" s="472">
        <f>IFERROR(__xludf.DUMMYFUNCTION("""COMPUTED_VALUE"""),45658.0)</f>
        <v/>
      </c>
      <c r="V233" s="472">
        <f>IFERROR(__xludf.DUMMYFUNCTION("""COMPUTED_VALUE"""),390812.49998842593)</f>
        <v/>
      </c>
      <c r="W233" s="469">
        <f>IFERROR(__xludf.DUMMYFUNCTION("""COMPUTED_VALUE"""),"catchcopy_character_enemy_jig_00501.png")</f>
        <v/>
      </c>
      <c r="X233" s="469">
        <f>IFERROR(__xludf.DUMMYFUNCTION("""COMPUTED_VALUE"""),"enemy_icon_enemy_jig_00501")</f>
        <v/>
      </c>
      <c r="Y233" s="469">
        <f>IFERROR(__xludf.DUMMYFUNCTION("""COMPUTED_VALUE"""),"boss_icon_enemy_jig_00501")</f>
        <v/>
      </c>
      <c r="Z233" s="469">
        <f>IFERROR(__xludf.DUMMYFUNCTION("""COMPUTED_VALUE"""),"enemy_jig_00501_normal")</f>
        <v/>
      </c>
      <c r="AA233" s="469" t="n"/>
    </row>
    <row r="234">
      <c r="A234" s="468">
        <f>IFERROR(__xludf.DUMMYFUNCTION("""COMPUTED_VALUE"""),"jig")</f>
        <v/>
      </c>
      <c r="B234" s="469">
        <f>IFERROR(__xludf.DUMMYFUNCTION("""COMPUTED_VALUE"""),"地獄楽")</f>
        <v/>
      </c>
      <c r="C234" s="470">
        <f>IFERROR(__xludf.DUMMYFUNCTION("""COMPUTED_VALUE"""),"00601")</f>
        <v/>
      </c>
      <c r="D234" s="469">
        <f>IFERROR(__xludf.DUMMYFUNCTION("""COMPUTED_VALUE"""),"enemy_jig_00601")</f>
        <v/>
      </c>
      <c r="E234" s="469">
        <f>IFERROR(__xludf.DUMMYFUNCTION("""COMPUTED_VALUE"""),"朱槿")</f>
        <v/>
      </c>
      <c r="F234" s="469">
        <f>IFERROR(__xludf.DUMMYFUNCTION("""COMPUTED_VALUE"""),"朱槿")</f>
        <v/>
      </c>
      <c r="G234" s="469">
        <f>IFERROR(__xludf.DUMMYFUNCTION("""COMPUTED_VALUE"""),"ー")</f>
        <v/>
      </c>
      <c r="H234" s="469" t="n"/>
      <c r="I234" s="469" t="n"/>
      <c r="J234" s="469" t="n"/>
      <c r="K234" s="469">
        <f>IFERROR(__xludf.DUMMYFUNCTION("""COMPUTED_VALUE"""),"enemy")</f>
        <v/>
      </c>
      <c r="L234" s="469" t="n"/>
      <c r="M234" s="469" t="n"/>
      <c r="N234" s="469" t="n"/>
      <c r="O234" s="469" t="n"/>
      <c r="P234" s="471" t="n"/>
      <c r="Q234" s="470">
        <f>IFERROR(__xludf.DUMMYFUNCTION("""COMPUTED_VALUE"""),"1.5")</f>
        <v/>
      </c>
      <c r="R234" s="470">
        <f>IFERROR(__xludf.DUMMYFUNCTION("""COMPUTED_VALUE"""),"0.75")</f>
        <v/>
      </c>
      <c r="S234" s="470">
        <f>IFERROR(__xludf.DUMMYFUNCTION("""COMPUTED_VALUE"""),"-")</f>
        <v/>
      </c>
      <c r="T234" s="470">
        <f>IFERROR(__xludf.DUMMYFUNCTION("""COMPUTED_VALUE"""),"-")</f>
        <v/>
      </c>
      <c r="U234" s="472">
        <f>IFERROR(__xludf.DUMMYFUNCTION("""COMPUTED_VALUE"""),46038.625)</f>
        <v/>
      </c>
      <c r="V234" s="472">
        <f>IFERROR(__xludf.DUMMYFUNCTION("""COMPUTED_VALUE"""),390812.49998842593)</f>
        <v/>
      </c>
      <c r="W234" s="469">
        <f>IFERROR(__xludf.DUMMYFUNCTION("""COMPUTED_VALUE"""),"catchcopy_character_enemy_jig_00601.png")</f>
        <v/>
      </c>
      <c r="X234" s="469">
        <f>IFERROR(__xludf.DUMMYFUNCTION("""COMPUTED_VALUE"""),"enemy_icon_enemy_jig_00601")</f>
        <v/>
      </c>
      <c r="Y234" s="469">
        <f>IFERROR(__xludf.DUMMYFUNCTION("""COMPUTED_VALUE"""),"boss_icon_enemy_jig_00501")</f>
        <v/>
      </c>
      <c r="Z234" s="469" t="n"/>
      <c r="AA234" s="469" t="n"/>
    </row>
    <row r="235">
      <c r="A235" s="468">
        <f>IFERROR(__xludf.DUMMYFUNCTION("""COMPUTED_VALUE"""),"mag")</f>
        <v/>
      </c>
      <c r="B235" s="469">
        <f>IFERROR(__xludf.DUMMYFUNCTION("""COMPUTED_VALUE"""),"株式会社マジルミエ")</f>
        <v/>
      </c>
      <c r="C235" s="470">
        <f>IFERROR(__xludf.DUMMYFUNCTION("""COMPUTED_VALUE"""),"00001")</f>
        <v/>
      </c>
      <c r="D235" s="469">
        <f>IFERROR(__xludf.DUMMYFUNCTION("""COMPUTED_VALUE"""),"enemy_mag_00001")</f>
        <v/>
      </c>
      <c r="E235" s="469">
        <f>IFERROR(__xludf.DUMMYFUNCTION("""COMPUTED_VALUE"""),"冷却系の怪異")</f>
        <v/>
      </c>
      <c r="F235" s="469">
        <f>IFERROR(__xludf.DUMMYFUNCTION("""COMPUTED_VALUE"""),"冷却系怪異")</f>
        <v/>
      </c>
      <c r="G235" s="469">
        <f>IFERROR(__xludf.DUMMYFUNCTION("""COMPUTED_VALUE"""),"ー")</f>
        <v/>
      </c>
      <c r="H235" s="469" t="n"/>
      <c r="I235" s="469" t="n"/>
      <c r="J235" s="469" t="n"/>
      <c r="K235" s="469">
        <f>IFERROR(__xludf.DUMMYFUNCTION("""COMPUTED_VALUE"""),"enemy")</f>
        <v/>
      </c>
      <c r="L235" s="469" t="n"/>
      <c r="M235" s="469">
        <f>IFERROR(__xludf.DUMMYFUNCTION("""COMPUTED_VALUE"""),"shageki_1")</f>
        <v/>
      </c>
      <c r="N235" s="469" t="n"/>
      <c r="O235" s="469" t="n"/>
      <c r="P235" s="473">
        <f>IFERROR(__xludf.DUMMYFUNCTION("""COMPUTED_VALUE"""),"00001")</f>
        <v/>
      </c>
      <c r="Q235" s="470">
        <f>IFERROR(__xludf.DUMMYFUNCTION("""COMPUTED_VALUE"""),"1.50")</f>
        <v/>
      </c>
      <c r="R235" s="470">
        <f>IFERROR(__xludf.DUMMYFUNCTION("""COMPUTED_VALUE"""),"0.80")</f>
        <v/>
      </c>
      <c r="S235" s="470">
        <f>IFERROR(__xludf.DUMMYFUNCTION("""COMPUTED_VALUE"""),"-")</f>
        <v/>
      </c>
      <c r="T235" s="470">
        <f>IFERROR(__xludf.DUMMYFUNCTION("""COMPUTED_VALUE"""),"-")</f>
        <v/>
      </c>
      <c r="U235" s="472">
        <f>IFERROR(__xludf.DUMMYFUNCTION("""COMPUTED_VALUE"""),45658.0)</f>
        <v/>
      </c>
      <c r="V235" s="472">
        <f>IFERROR(__xludf.DUMMYFUNCTION("""COMPUTED_VALUE"""),390812.49998842593)</f>
        <v/>
      </c>
      <c r="W235" s="469">
        <f>IFERROR(__xludf.DUMMYFUNCTION("""COMPUTED_VALUE"""),"catchcopy_character_enemy_mag_00001.png")</f>
        <v/>
      </c>
      <c r="X235" s="469">
        <f>IFERROR(__xludf.DUMMYFUNCTION("""COMPUTED_VALUE"""),"enemy_icon_enemy_mag_00001")</f>
        <v/>
      </c>
      <c r="Y235" s="469">
        <f>IFERROR(__xludf.DUMMYFUNCTION("""COMPUTED_VALUE"""),"boss_icon_enemy_mag_00001")</f>
        <v/>
      </c>
      <c r="Z235" s="469">
        <f>IFERROR(__xludf.DUMMYFUNCTION("""COMPUTED_VALUE"""),"enemy_mag_00001_normal")</f>
        <v/>
      </c>
      <c r="AA235" s="469" t="n"/>
    </row>
    <row r="236">
      <c r="A236" s="468">
        <f>IFERROR(__xludf.DUMMYFUNCTION("""COMPUTED_VALUE"""),"mag")</f>
        <v/>
      </c>
      <c r="B236" s="469">
        <f>IFERROR(__xludf.DUMMYFUNCTION("""COMPUTED_VALUE"""),"株式会社マジルミエ")</f>
        <v/>
      </c>
      <c r="C236" s="470">
        <f>IFERROR(__xludf.DUMMYFUNCTION("""COMPUTED_VALUE"""),"00101")</f>
        <v/>
      </c>
      <c r="D236" s="469">
        <f>IFERROR(__xludf.DUMMYFUNCTION("""COMPUTED_VALUE"""),"enemy_mag_00101")</f>
        <v/>
      </c>
      <c r="E236" s="469">
        <f>IFERROR(__xludf.DUMMYFUNCTION("""COMPUTED_VALUE"""),"つらら")</f>
        <v/>
      </c>
      <c r="F236" s="469">
        <f>IFERROR(__xludf.DUMMYFUNCTION("""COMPUTED_VALUE"""),"つらら")</f>
        <v/>
      </c>
      <c r="G236" s="469">
        <f>IFERROR(__xludf.DUMMYFUNCTION("""COMPUTED_VALUE"""),"ー")</f>
        <v/>
      </c>
      <c r="H236" s="469" t="n"/>
      <c r="I236" s="469" t="n"/>
      <c r="J236" s="469" t="n"/>
      <c r="K236" s="469">
        <f>IFERROR(__xludf.DUMMYFUNCTION("""COMPUTED_VALUE"""),"enemy")</f>
        <v/>
      </c>
      <c r="L236" s="469" t="n"/>
      <c r="M236" s="469">
        <f>IFERROR(__xludf.DUMMYFUNCTION("""COMPUTED_VALUE"""),"zangeki_1")</f>
        <v/>
      </c>
      <c r="N236" s="469" t="n"/>
      <c r="O236" s="469" t="n"/>
      <c r="P236" s="473">
        <f>IFERROR(__xludf.DUMMYFUNCTION("""COMPUTED_VALUE"""),"00101")</f>
        <v/>
      </c>
      <c r="Q236" s="470">
        <f>IFERROR(__xludf.DUMMYFUNCTION("""COMPUTED_VALUE"""),"0.37")</f>
        <v/>
      </c>
      <c r="R236" s="470">
        <f>IFERROR(__xludf.DUMMYFUNCTION("""COMPUTED_VALUE"""),"stop有:1回目 0.20")</f>
        <v/>
      </c>
      <c r="S236" s="470">
        <f>IFERROR(__xludf.DUMMYFUNCTION("""COMPUTED_VALUE"""),"-")</f>
        <v/>
      </c>
      <c r="T236" s="470">
        <f>IFERROR(__xludf.DUMMYFUNCTION("""COMPUTED_VALUE"""),"-")</f>
        <v/>
      </c>
      <c r="U236" s="472">
        <f>IFERROR(__xludf.DUMMYFUNCTION("""COMPUTED_VALUE"""),45658.0)</f>
        <v/>
      </c>
      <c r="V236" s="472">
        <f>IFERROR(__xludf.DUMMYFUNCTION("""COMPUTED_VALUE"""),390812.49998842593)</f>
        <v/>
      </c>
      <c r="W236" s="469">
        <f>IFERROR(__xludf.DUMMYFUNCTION("""COMPUTED_VALUE"""),"catchcopy_character_enemy_mag_00101.png")</f>
        <v/>
      </c>
      <c r="X236" s="469">
        <f>IFERROR(__xludf.DUMMYFUNCTION("""COMPUTED_VALUE"""),"enemy_icon_enemy_mag_00101")</f>
        <v/>
      </c>
      <c r="Y236" s="469">
        <f>IFERROR(__xludf.DUMMYFUNCTION("""COMPUTED_VALUE"""),"boss_icon_enemy_mag_00101")</f>
        <v/>
      </c>
      <c r="Z236" s="469" t="n"/>
      <c r="AA236" s="469" t="n"/>
    </row>
    <row r="237">
      <c r="A237" s="468">
        <f>IFERROR(__xludf.DUMMYFUNCTION("""COMPUTED_VALUE"""),"mag")</f>
        <v/>
      </c>
      <c r="B237" s="469">
        <f>IFERROR(__xludf.DUMMYFUNCTION("""COMPUTED_VALUE"""),"株式会社マジルミエ")</f>
        <v/>
      </c>
      <c r="C237" s="470">
        <f>IFERROR(__xludf.DUMMYFUNCTION("""COMPUTED_VALUE"""),"00201")</f>
        <v/>
      </c>
      <c r="D237" s="469">
        <f>IFERROR(__xludf.DUMMYFUNCTION("""COMPUTED_VALUE"""),"enemy_mag_00201")</f>
        <v/>
      </c>
      <c r="E237" s="469">
        <f>IFERROR(__xludf.DUMMYFUNCTION("""COMPUTED_VALUE"""),"建造物寄生型の怪異（大）")</f>
        <v/>
      </c>
      <c r="F237" s="469">
        <f>IFERROR(__xludf.DUMMYFUNCTION("""COMPUTED_VALUE"""),"建造物寄生型の怪異 (大)")</f>
        <v/>
      </c>
      <c r="G237" s="469">
        <f>IFERROR(__xludf.DUMMYFUNCTION("""COMPUTED_VALUE"""),"ー")</f>
        <v/>
      </c>
      <c r="H237" s="469" t="n"/>
      <c r="I237" s="469" t="n"/>
      <c r="J237" s="469" t="n"/>
      <c r="K237" s="469">
        <f>IFERROR(__xludf.DUMMYFUNCTION("""COMPUTED_VALUE"""),"enemy")</f>
        <v/>
      </c>
      <c r="L237" s="469" t="n"/>
      <c r="M237" s="469">
        <f>IFERROR(__xludf.DUMMYFUNCTION("""COMPUTED_VALUE"""),"dageki_1")</f>
        <v/>
      </c>
      <c r="N237" s="469" t="n"/>
      <c r="O237" s="469" t="n"/>
      <c r="P237" s="473">
        <f>IFERROR(__xludf.DUMMYFUNCTION("""COMPUTED_VALUE"""),"00201")</f>
        <v/>
      </c>
      <c r="Q237" s="470">
        <f>IFERROR(__xludf.DUMMYFUNCTION("""COMPUTED_VALUE"""),"1.50")</f>
        <v/>
      </c>
      <c r="R237" s="470">
        <f>IFERROR(__xludf.DUMMYFUNCTION("""COMPUTED_VALUE"""),"0.74")</f>
        <v/>
      </c>
      <c r="S237" s="470">
        <f>IFERROR(__xludf.DUMMYFUNCTION("""COMPUTED_VALUE"""),"-")</f>
        <v/>
      </c>
      <c r="T237" s="470">
        <f>IFERROR(__xludf.DUMMYFUNCTION("""COMPUTED_VALUE"""),"-")</f>
        <v/>
      </c>
      <c r="U237" s="472">
        <f>IFERROR(__xludf.DUMMYFUNCTION("""COMPUTED_VALUE"""),45658.0)</f>
        <v/>
      </c>
      <c r="V237" s="472">
        <f>IFERROR(__xludf.DUMMYFUNCTION("""COMPUTED_VALUE"""),390812.49998842593)</f>
        <v/>
      </c>
      <c r="W237" s="469">
        <f>IFERROR(__xludf.DUMMYFUNCTION("""COMPUTED_VALUE"""),"catchcopy_character_enemy_mag_00201.png")</f>
        <v/>
      </c>
      <c r="X237" s="469">
        <f>IFERROR(__xludf.DUMMYFUNCTION("""COMPUTED_VALUE"""),"enemy_icon_enemy_mag_00201")</f>
        <v/>
      </c>
      <c r="Y237" s="469">
        <f>IFERROR(__xludf.DUMMYFUNCTION("""COMPUTED_VALUE"""),"boss_icon_enemy_mag_00201")</f>
        <v/>
      </c>
      <c r="Z237" s="469">
        <f>IFERROR(__xludf.DUMMYFUNCTION("""COMPUTED_VALUE"""),"enemy_mag_00201_normal")</f>
        <v/>
      </c>
      <c r="AA237" s="469" t="n"/>
    </row>
    <row r="238">
      <c r="A238" s="468">
        <f>IFERROR(__xludf.DUMMYFUNCTION("""COMPUTED_VALUE"""),"mag")</f>
        <v/>
      </c>
      <c r="B238" s="469">
        <f>IFERROR(__xludf.DUMMYFUNCTION("""COMPUTED_VALUE"""),"株式会社マジルミエ")</f>
        <v/>
      </c>
      <c r="C238" s="470">
        <f>IFERROR(__xludf.DUMMYFUNCTION("""COMPUTED_VALUE"""),"00301")</f>
        <v/>
      </c>
      <c r="D238" s="469">
        <f>IFERROR(__xludf.DUMMYFUNCTION("""COMPUTED_VALUE"""),"enemy_mag_00301")</f>
        <v/>
      </c>
      <c r="E238" s="469">
        <f>IFERROR(__xludf.DUMMYFUNCTION("""COMPUTED_VALUE"""),"建造物寄生型の怪異（小）")</f>
        <v/>
      </c>
      <c r="F238" s="469">
        <f>IFERROR(__xludf.DUMMYFUNCTION("""COMPUTED_VALUE"""),"建造物寄生型の怪異")</f>
        <v/>
      </c>
      <c r="G238" s="469">
        <f>IFERROR(__xludf.DUMMYFUNCTION("""COMPUTED_VALUE"""),"ー")</f>
        <v/>
      </c>
      <c r="H238" s="469" t="n"/>
      <c r="I238" s="469" t="n"/>
      <c r="J238" s="469" t="n"/>
      <c r="K238" s="469">
        <f>IFERROR(__xludf.DUMMYFUNCTION("""COMPUTED_VALUE"""),"enemy")</f>
        <v/>
      </c>
      <c r="L238" s="469" t="n"/>
      <c r="M238" s="469">
        <f>IFERROR(__xludf.DUMMYFUNCTION("""COMPUTED_VALUE"""),"dageki_2")</f>
        <v/>
      </c>
      <c r="N238" s="469" t="n"/>
      <c r="O238" s="469" t="n"/>
      <c r="P238" s="473">
        <f>IFERROR(__xludf.DUMMYFUNCTION("""COMPUTED_VALUE"""),"00301")</f>
        <v/>
      </c>
      <c r="Q238" s="470">
        <f>IFERROR(__xludf.DUMMYFUNCTION("""COMPUTED_VALUE"""),"1.50")</f>
        <v/>
      </c>
      <c r="R238" s="470">
        <f>IFERROR(__xludf.DUMMYFUNCTION("""COMPUTED_VALUE"""),"0.74")</f>
        <v/>
      </c>
      <c r="S238" s="470">
        <f>IFERROR(__xludf.DUMMYFUNCTION("""COMPUTED_VALUE"""),"-")</f>
        <v/>
      </c>
      <c r="T238" s="470">
        <f>IFERROR(__xludf.DUMMYFUNCTION("""COMPUTED_VALUE"""),"-")</f>
        <v/>
      </c>
      <c r="U238" s="472">
        <f>IFERROR(__xludf.DUMMYFUNCTION("""COMPUTED_VALUE"""),45658.0)</f>
        <v/>
      </c>
      <c r="V238" s="472">
        <f>IFERROR(__xludf.DUMMYFUNCTION("""COMPUTED_VALUE"""),390812.49998842593)</f>
        <v/>
      </c>
      <c r="W238" s="469">
        <f>IFERROR(__xludf.DUMMYFUNCTION("""COMPUTED_VALUE"""),"catchcopy_character_enemy_mag_00301.png")</f>
        <v/>
      </c>
      <c r="X238" s="469">
        <f>IFERROR(__xludf.DUMMYFUNCTION("""COMPUTED_VALUE"""),"enemy_icon_enemy_mag_00301")</f>
        <v/>
      </c>
      <c r="Y238" s="469">
        <f>IFERROR(__xludf.DUMMYFUNCTION("""COMPUTED_VALUE"""),"boss_icon_enemy_mag_00301")</f>
        <v/>
      </c>
      <c r="Z238" s="469" t="n"/>
      <c r="AA238" s="469" t="n"/>
    </row>
    <row r="239">
      <c r="A239" s="468">
        <f>IFERROR(__xludf.DUMMYFUNCTION("""COMPUTED_VALUE"""),"mag")</f>
        <v/>
      </c>
      <c r="B239" s="469">
        <f>IFERROR(__xludf.DUMMYFUNCTION("""COMPUTED_VALUE"""),"株式会社マジルミエ")</f>
        <v/>
      </c>
      <c r="C239" s="470">
        <f>IFERROR(__xludf.DUMMYFUNCTION("""COMPUTED_VALUE"""),"00401")</f>
        <v/>
      </c>
      <c r="D239" s="469">
        <f>IFERROR(__xludf.DUMMYFUNCTION("""COMPUTED_VALUE"""),"enemy_mag_00401")</f>
        <v/>
      </c>
      <c r="E239" s="469">
        <f>IFERROR(__xludf.DUMMYFUNCTION("""COMPUTED_VALUE"""),"工事現場の怪異")</f>
        <v/>
      </c>
      <c r="F239" s="469">
        <f>IFERROR(__xludf.DUMMYFUNCTION("""COMPUTED_VALUE"""),"工事現場の怪異")</f>
        <v/>
      </c>
      <c r="G239" s="469" t="n"/>
      <c r="H239" s="469" t="n"/>
      <c r="I239" s="469" t="n"/>
      <c r="J239" s="469" t="n"/>
      <c r="K239" s="469">
        <f>IFERROR(__xludf.DUMMYFUNCTION("""COMPUTED_VALUE"""),"enemy")</f>
        <v/>
      </c>
      <c r="L239" s="469" t="n"/>
      <c r="M239" s="469" t="n"/>
      <c r="N239" s="469" t="n"/>
      <c r="O239" s="469" t="n"/>
      <c r="P239" s="471" t="n"/>
      <c r="Q239" s="470">
        <f>IFERROR(__xludf.DUMMYFUNCTION("""COMPUTED_VALUE"""),"1.67")</f>
        <v/>
      </c>
      <c r="R239" s="470">
        <f>IFERROR(__xludf.DUMMYFUNCTION("""COMPUTED_VALUE"""),"stop有:0.84")</f>
        <v/>
      </c>
      <c r="S239" s="470">
        <f>IFERROR(__xludf.DUMMYFUNCTION("""COMPUTED_VALUE"""),"-")</f>
        <v/>
      </c>
      <c r="T239" s="470">
        <f>IFERROR(__xludf.DUMMYFUNCTION("""COMPUTED_VALUE"""),"-")</f>
        <v/>
      </c>
      <c r="U239" s="469" t="n"/>
      <c r="V239" s="469" t="n"/>
      <c r="W239" s="469" t="n"/>
      <c r="X239" s="469" t="n"/>
      <c r="Y239" s="469" t="n"/>
      <c r="Z239" s="469" t="n"/>
      <c r="AA239" s="469" t="n"/>
    </row>
    <row r="240">
      <c r="A240" s="468">
        <f>IFERROR(__xludf.DUMMYFUNCTION("""COMPUTED_VALUE"""),"sum")</f>
        <v/>
      </c>
      <c r="B240" s="469">
        <f>IFERROR(__xludf.DUMMYFUNCTION("""COMPUTED_VALUE"""),"サマータイムレンダ")</f>
        <v/>
      </c>
      <c r="C240" s="470">
        <f>IFERROR(__xludf.DUMMYFUNCTION("""COMPUTED_VALUE"""),"00001")</f>
        <v/>
      </c>
      <c r="D240" s="469">
        <f>IFERROR(__xludf.DUMMYFUNCTION("""COMPUTED_VALUE"""),"enemy_sum_00001")</f>
        <v/>
      </c>
      <c r="E240" s="469">
        <f>IFERROR(__xludf.DUMMYFUNCTION("""COMPUTED_VALUE"""),"影")</f>
        <v/>
      </c>
      <c r="F240" s="469">
        <f>IFERROR(__xludf.DUMMYFUNCTION("""COMPUTED_VALUE"""),"影")</f>
        <v/>
      </c>
      <c r="G240" s="469">
        <f>IFERROR(__xludf.DUMMYFUNCTION("""COMPUTED_VALUE"""),"ー")</f>
        <v/>
      </c>
      <c r="H240" s="469" t="n"/>
      <c r="I240" s="469" t="n"/>
      <c r="J240" s="469" t="n"/>
      <c r="K240" s="469">
        <f>IFERROR(__xludf.DUMMYFUNCTION("""COMPUTED_VALUE"""),"enemy")</f>
        <v/>
      </c>
      <c r="L240" s="469">
        <f>IFERROR(__xludf.DUMMYFUNCTION("""COMPUTED_VALUE"""),"ディフェンス")</f>
        <v/>
      </c>
      <c r="M240" s="469">
        <f>IFERROR(__xludf.DUMMYFUNCTION("""COMPUTED_VALUE"""),"dageki_1")</f>
        <v/>
      </c>
      <c r="N240" s="469" t="n"/>
      <c r="O240" s="469" t="n"/>
      <c r="P240" s="473">
        <f>IFERROR(__xludf.DUMMYFUNCTION("""COMPUTED_VALUE"""),"00001")</f>
        <v/>
      </c>
      <c r="Q240" s="470">
        <f>IFERROR(__xludf.DUMMYFUNCTION("""COMPUTED_VALUE"""),"1.50")</f>
        <v/>
      </c>
      <c r="R240" s="470">
        <f>IFERROR(__xludf.DUMMYFUNCTION("""COMPUTED_VALUE"""),"0.66")</f>
        <v/>
      </c>
      <c r="S240" s="470">
        <f>IFERROR(__xludf.DUMMYFUNCTION("""COMPUTED_VALUE"""),"-")</f>
        <v/>
      </c>
      <c r="T240" s="470">
        <f>IFERROR(__xludf.DUMMYFUNCTION("""COMPUTED_VALUE"""),"-")</f>
        <v/>
      </c>
      <c r="U240" s="472">
        <f>IFERROR(__xludf.DUMMYFUNCTION("""COMPUTED_VALUE"""),45658.0)</f>
        <v/>
      </c>
      <c r="V240" s="472">
        <f>IFERROR(__xludf.DUMMYFUNCTION("""COMPUTED_VALUE"""),390812.49998842593)</f>
        <v/>
      </c>
      <c r="W240" s="469">
        <f>IFERROR(__xludf.DUMMYFUNCTION("""COMPUTED_VALUE"""),"catchcopy_character_enemy_sum_00001.png")</f>
        <v/>
      </c>
      <c r="X240" s="469">
        <f>IFERROR(__xludf.DUMMYFUNCTION("""COMPUTED_VALUE"""),"enemy_icon_enemy_sum_00001")</f>
        <v/>
      </c>
      <c r="Y240" s="469">
        <f>IFERROR(__xludf.DUMMYFUNCTION("""COMPUTED_VALUE"""),"boss_icon_enemy_sum_00001")</f>
        <v/>
      </c>
      <c r="Z240" s="469">
        <f>IFERROR(__xludf.DUMMYFUNCTION("""COMPUTED_VALUE"""),"enemy_sum_00001_normal")</f>
        <v/>
      </c>
      <c r="AA240" s="469" t="n"/>
    </row>
    <row r="241">
      <c r="A241" s="468">
        <f>IFERROR(__xludf.DUMMYFUNCTION("""COMPUTED_VALUE"""),"sum")</f>
        <v/>
      </c>
      <c r="B241" s="469">
        <f>IFERROR(__xludf.DUMMYFUNCTION("""COMPUTED_VALUE"""),"サマータイムレンダ")</f>
        <v/>
      </c>
      <c r="C241" s="470">
        <f>IFERROR(__xludf.DUMMYFUNCTION("""COMPUTED_VALUE"""),"00101")</f>
        <v/>
      </c>
      <c r="D241" s="469">
        <f>IFERROR(__xludf.DUMMYFUNCTION("""COMPUTED_VALUE"""),"enemy_sum_00101")</f>
        <v/>
      </c>
      <c r="E241" s="469">
        <f>IFERROR(__xludf.DUMMYFUNCTION("""COMPUTED_VALUE"""),"小舟 澪(影)_拳銃")</f>
        <v/>
      </c>
      <c r="F241" s="469">
        <f>IFERROR(__xludf.DUMMYFUNCTION("""COMPUTED_VALUE"""),"小舟 澪の影 (拳銃)")</f>
        <v/>
      </c>
      <c r="G241" s="469">
        <f>IFERROR(__xludf.DUMMYFUNCTION("""COMPUTED_VALUE"""),"ー")</f>
        <v/>
      </c>
      <c r="H241" s="469" t="n"/>
      <c r="I241" s="469" t="n"/>
      <c r="J241" s="469" t="n"/>
      <c r="K241" s="469">
        <f>IFERROR(__xludf.DUMMYFUNCTION("""COMPUTED_VALUE"""),"enemy")</f>
        <v/>
      </c>
      <c r="L241" s="469">
        <f>IFERROR(__xludf.DUMMYFUNCTION("""COMPUTED_VALUE"""),"アタック")</f>
        <v/>
      </c>
      <c r="M241" s="469">
        <f>IFERROR(__xludf.DUMMYFUNCTION("""COMPUTED_VALUE"""),"shageki_1")</f>
        <v/>
      </c>
      <c r="N241" s="469" t="n"/>
      <c r="O241" s="469" t="n"/>
      <c r="P241" s="473">
        <f>IFERROR(__xludf.DUMMYFUNCTION("""COMPUTED_VALUE"""),"00101")</f>
        <v/>
      </c>
      <c r="Q241" s="470">
        <f>IFERROR(__xludf.DUMMYFUNCTION("""COMPUTED_VALUE"""),"1.40")</f>
        <v/>
      </c>
      <c r="R241" s="470">
        <f>IFERROR(__xludf.DUMMYFUNCTION("""COMPUTED_VALUE"""),"0.60")</f>
        <v/>
      </c>
      <c r="S241" s="470">
        <f>IFERROR(__xludf.DUMMYFUNCTION("""COMPUTED_VALUE"""),"-")</f>
        <v/>
      </c>
      <c r="T241" s="470">
        <f>IFERROR(__xludf.DUMMYFUNCTION("""COMPUTED_VALUE"""),"-")</f>
        <v/>
      </c>
      <c r="U241" s="472">
        <f>IFERROR(__xludf.DUMMYFUNCTION("""COMPUTED_VALUE"""),45658.0)</f>
        <v/>
      </c>
      <c r="V241" s="472">
        <f>IFERROR(__xludf.DUMMYFUNCTION("""COMPUTED_VALUE"""),390812.49998842593)</f>
        <v/>
      </c>
      <c r="W241" s="469">
        <f>IFERROR(__xludf.DUMMYFUNCTION("""COMPUTED_VALUE"""),"catchcopy_character_enemy_sum_00101.png")</f>
        <v/>
      </c>
      <c r="X241" s="469">
        <f>IFERROR(__xludf.DUMMYFUNCTION("""COMPUTED_VALUE"""),"enemy_icon_enemy_sum_00101")</f>
        <v/>
      </c>
      <c r="Y241" s="469">
        <f>IFERROR(__xludf.DUMMYFUNCTION("""COMPUTED_VALUE"""),"boss_icon_enemy_sum_00101")</f>
        <v/>
      </c>
      <c r="Z241" s="469">
        <f>IFERROR(__xludf.DUMMYFUNCTION("""COMPUTED_VALUE"""),"enemy_sum_00101_normal")</f>
        <v/>
      </c>
      <c r="AA241" s="469" t="n"/>
    </row>
    <row r="242">
      <c r="A242" s="468">
        <f>IFERROR(__xludf.DUMMYFUNCTION("""COMPUTED_VALUE"""),"sum")</f>
        <v/>
      </c>
      <c r="B242" s="469">
        <f>IFERROR(__xludf.DUMMYFUNCTION("""COMPUTED_VALUE"""),"サマータイムレンダ")</f>
        <v/>
      </c>
      <c r="C242" s="470">
        <f>IFERROR(__xludf.DUMMYFUNCTION("""COMPUTED_VALUE"""),"00201")</f>
        <v/>
      </c>
      <c r="D242" s="469">
        <f>IFERROR(__xludf.DUMMYFUNCTION("""COMPUTED_VALUE"""),"enemy_sum_00201")</f>
        <v/>
      </c>
      <c r="E242" s="469">
        <f>IFERROR(__xludf.DUMMYFUNCTION("""COMPUTED_VALUE"""),"小舟 澪(影)_包丁")</f>
        <v/>
      </c>
      <c r="F242" s="469">
        <f>IFERROR(__xludf.DUMMYFUNCTION("""COMPUTED_VALUE"""),"小舟 澪の影 (包丁)")</f>
        <v/>
      </c>
      <c r="G242" s="469">
        <f>IFERROR(__xludf.DUMMYFUNCTION("""COMPUTED_VALUE"""),"ー")</f>
        <v/>
      </c>
      <c r="H242" s="469" t="n"/>
      <c r="I242" s="469" t="n"/>
      <c r="J242" s="469" t="n"/>
      <c r="K242" s="469">
        <f>IFERROR(__xludf.DUMMYFUNCTION("""COMPUTED_VALUE"""),"enemy")</f>
        <v/>
      </c>
      <c r="L242" s="469">
        <f>IFERROR(__xludf.DUMMYFUNCTION("""COMPUTED_VALUE"""),"アタック")</f>
        <v/>
      </c>
      <c r="M242" s="469">
        <f>IFERROR(__xludf.DUMMYFUNCTION("""COMPUTED_VALUE"""),"zangeki_1")</f>
        <v/>
      </c>
      <c r="N242" s="469" t="n"/>
      <c r="O242" s="469" t="n"/>
      <c r="P242" s="473">
        <f>IFERROR(__xludf.DUMMYFUNCTION("""COMPUTED_VALUE"""),"00201")</f>
        <v/>
      </c>
      <c r="Q242" s="470">
        <f>IFERROR(__xludf.DUMMYFUNCTION("""COMPUTED_VALUE"""),"1.40")</f>
        <v/>
      </c>
      <c r="R242" s="470">
        <f>IFERROR(__xludf.DUMMYFUNCTION("""COMPUTED_VALUE"""),"0.66")</f>
        <v/>
      </c>
      <c r="S242" s="470">
        <f>IFERROR(__xludf.DUMMYFUNCTION("""COMPUTED_VALUE"""),"-")</f>
        <v/>
      </c>
      <c r="T242" s="470">
        <f>IFERROR(__xludf.DUMMYFUNCTION("""COMPUTED_VALUE"""),"-")</f>
        <v/>
      </c>
      <c r="U242" s="472">
        <f>IFERROR(__xludf.DUMMYFUNCTION("""COMPUTED_VALUE"""),45658.0)</f>
        <v/>
      </c>
      <c r="V242" s="472">
        <f>IFERROR(__xludf.DUMMYFUNCTION("""COMPUTED_VALUE"""),390812.49998842593)</f>
        <v/>
      </c>
      <c r="W242" s="469">
        <f>IFERROR(__xludf.DUMMYFUNCTION("""COMPUTED_VALUE"""),"catchcopy_character_enemy_sum_00201.png")</f>
        <v/>
      </c>
      <c r="X242" s="469">
        <f>IFERROR(__xludf.DUMMYFUNCTION("""COMPUTED_VALUE"""),"enemy_icon_enemy_sum_00201")</f>
        <v/>
      </c>
      <c r="Y242" s="469">
        <f>IFERROR(__xludf.DUMMYFUNCTION("""COMPUTED_VALUE"""),"boss_icon_enemy_sum_00201")</f>
        <v/>
      </c>
      <c r="Z242" s="469">
        <f>IFERROR(__xludf.DUMMYFUNCTION("""COMPUTED_VALUE"""),"enemy_sum_00201_normal")</f>
        <v/>
      </c>
      <c r="AA242" s="469" t="n"/>
    </row>
    <row r="243">
      <c r="A243" s="468">
        <f>IFERROR(__xludf.DUMMYFUNCTION("""COMPUTED_VALUE"""),"you")</f>
        <v/>
      </c>
      <c r="B243" s="469">
        <f>IFERROR(__xludf.DUMMYFUNCTION("""COMPUTED_VALUE"""),"幼稚園WARS")</f>
        <v/>
      </c>
      <c r="C243" s="470">
        <f>IFERROR(__xludf.DUMMYFUNCTION("""COMPUTED_VALUE"""),"00001")</f>
        <v/>
      </c>
      <c r="D243" s="469">
        <f>IFERROR(__xludf.DUMMYFUNCTION("""COMPUTED_VALUE"""),"enemy_you_00001")</f>
        <v/>
      </c>
      <c r="E243" s="469">
        <f>IFERROR(__xludf.DUMMYFUNCTION("""COMPUTED_VALUE"""),"暗殺者（近）")</f>
        <v/>
      </c>
      <c r="F243" s="469">
        <f>IFERROR(__xludf.DUMMYFUNCTION("""COMPUTED_VALUE"""),"不良系金髪イケメン")</f>
        <v/>
      </c>
      <c r="G243" s="469">
        <f>IFERROR(__xludf.DUMMYFUNCTION("""COMPUTED_VALUE"""),"ー")</f>
        <v/>
      </c>
      <c r="H243" s="469" t="n"/>
      <c r="I243" s="469" t="n"/>
      <c r="J243" s="469" t="n"/>
      <c r="K243" s="469">
        <f>IFERROR(__xludf.DUMMYFUNCTION("""COMPUTED_VALUE"""),"enemy")</f>
        <v/>
      </c>
      <c r="L243" s="469">
        <f>IFERROR(__xludf.DUMMYFUNCTION("""COMPUTED_VALUE"""),"アタック")</f>
        <v/>
      </c>
      <c r="M243" s="469">
        <f>IFERROR(__xludf.DUMMYFUNCTION("""COMPUTED_VALUE"""),"zangeki_1")</f>
        <v/>
      </c>
      <c r="N243" s="469" t="n"/>
      <c r="O243" s="469" t="n"/>
      <c r="P243" s="471" t="n"/>
      <c r="Q243" s="470">
        <f>IFERROR(__xludf.DUMMYFUNCTION("""COMPUTED_VALUE"""),"1.27")</f>
        <v/>
      </c>
      <c r="R243" s="470">
        <f>IFERROR(__xludf.DUMMYFUNCTION("""COMPUTED_VALUE"""),"stop有0.5")</f>
        <v/>
      </c>
      <c r="S243" s="470">
        <f>IFERROR(__xludf.DUMMYFUNCTION("""COMPUTED_VALUE"""),"-")</f>
        <v/>
      </c>
      <c r="T243" s="470">
        <f>IFERROR(__xludf.DUMMYFUNCTION("""COMPUTED_VALUE"""),"-")</f>
        <v/>
      </c>
      <c r="U243" s="472">
        <f>IFERROR(__xludf.DUMMYFUNCTION("""COMPUTED_VALUE"""),46055.625)</f>
        <v/>
      </c>
      <c r="V243" s="472">
        <f>IFERROR(__xludf.DUMMYFUNCTION("""COMPUTED_VALUE"""),390812.49998842593)</f>
        <v/>
      </c>
      <c r="W243" s="469">
        <f>IFERROR(__xludf.DUMMYFUNCTION("""COMPUTED_VALUE"""),"catchcopy_character_enemy_you_00001.png")</f>
        <v/>
      </c>
      <c r="X243" s="469">
        <f>IFERROR(__xludf.DUMMYFUNCTION("""COMPUTED_VALUE"""),"enemy_icon_enemy_you_00001")</f>
        <v/>
      </c>
      <c r="Y243" s="469">
        <f>IFERROR(__xludf.DUMMYFUNCTION("""COMPUTED_VALUE"""),"boss_icon_enemy_you_00001")</f>
        <v/>
      </c>
      <c r="Z243" s="469" t="n"/>
      <c r="AA243" s="469" t="n"/>
    </row>
    <row r="244">
      <c r="A244" s="468">
        <f>IFERROR(__xludf.DUMMYFUNCTION("""COMPUTED_VALUE"""),"you")</f>
        <v/>
      </c>
      <c r="B244" s="469">
        <f>IFERROR(__xludf.DUMMYFUNCTION("""COMPUTED_VALUE"""),"幼稚園WARS")</f>
        <v/>
      </c>
      <c r="C244" s="470">
        <f>IFERROR(__xludf.DUMMYFUNCTION("""COMPUTED_VALUE"""),"00101")</f>
        <v/>
      </c>
      <c r="D244" s="469">
        <f>IFERROR(__xludf.DUMMYFUNCTION("""COMPUTED_VALUE"""),"enemy_you_00101")</f>
        <v/>
      </c>
      <c r="E244" s="469">
        <f>IFERROR(__xludf.DUMMYFUNCTION("""COMPUTED_VALUE"""),"暗殺者（遠）")</f>
        <v/>
      </c>
      <c r="F244" s="469">
        <f>IFERROR(__xludf.DUMMYFUNCTION("""COMPUTED_VALUE"""),"イケメンじゃない殺し屋")</f>
        <v/>
      </c>
      <c r="G244" s="469">
        <f>IFERROR(__xludf.DUMMYFUNCTION("""COMPUTED_VALUE"""),"ー")</f>
        <v/>
      </c>
      <c r="H244" s="469" t="n"/>
      <c r="I244" s="469" t="n"/>
      <c r="J244" s="469" t="n"/>
      <c r="K244" s="469">
        <f>IFERROR(__xludf.DUMMYFUNCTION("""COMPUTED_VALUE"""),"enemy")</f>
        <v/>
      </c>
      <c r="L244" s="469">
        <f>IFERROR(__xludf.DUMMYFUNCTION("""COMPUTED_VALUE"""),"アタック")</f>
        <v/>
      </c>
      <c r="M244" s="469">
        <f>IFERROR(__xludf.DUMMYFUNCTION("""COMPUTED_VALUE"""),"shageki_1")</f>
        <v/>
      </c>
      <c r="N244" s="469" t="n"/>
      <c r="O244" s="469" t="n"/>
      <c r="P244" s="471" t="n"/>
      <c r="Q244" s="470">
        <f>IFERROR(__xludf.DUMMYFUNCTION("""COMPUTED_VALUE"""),"1.27")</f>
        <v/>
      </c>
      <c r="R244" s="470">
        <f>IFERROR(__xludf.DUMMYFUNCTION("""COMPUTED_VALUE"""),"0.56")</f>
        <v/>
      </c>
      <c r="S244" s="470">
        <f>IFERROR(__xludf.DUMMYFUNCTION("""COMPUTED_VALUE"""),"-")</f>
        <v/>
      </c>
      <c r="T244" s="470">
        <f>IFERROR(__xludf.DUMMYFUNCTION("""COMPUTED_VALUE"""),"-")</f>
        <v/>
      </c>
      <c r="U244" s="472">
        <f>IFERROR(__xludf.DUMMYFUNCTION("""COMPUTED_VALUE"""),46055.625)</f>
        <v/>
      </c>
      <c r="V244" s="472">
        <f>IFERROR(__xludf.DUMMYFUNCTION("""COMPUTED_VALUE"""),390812.49998842593)</f>
        <v/>
      </c>
      <c r="W244" s="469">
        <f>IFERROR(__xludf.DUMMYFUNCTION("""COMPUTED_VALUE"""),"catchcopy_character_enemy_you_00101.png")</f>
        <v/>
      </c>
      <c r="X244" s="469">
        <f>IFERROR(__xludf.DUMMYFUNCTION("""COMPUTED_VALUE"""),"enemy_icon_enemy_you_00101")</f>
        <v/>
      </c>
      <c r="Y244" s="469">
        <f>IFERROR(__xludf.DUMMYFUNCTION("""COMPUTED_VALUE"""),"boss_icon_enemy_you_00101")</f>
        <v/>
      </c>
      <c r="Z244" s="469" t="n"/>
      <c r="AA244" s="469" t="n"/>
    </row>
    <row r="245">
      <c r="A245" s="468">
        <f>IFERROR(__xludf.DUMMYFUNCTION("""COMPUTED_VALUE"""),"kim")</f>
        <v/>
      </c>
      <c r="B245" s="469">
        <f>IFERROR(__xludf.DUMMYFUNCTION("""COMPUTED_VALUE"""),"君のことが大大大大大好きな100人の彼女")</f>
        <v/>
      </c>
      <c r="C245" s="470">
        <f>IFERROR(__xludf.DUMMYFUNCTION("""COMPUTED_VALUE"""),"00001")</f>
        <v/>
      </c>
      <c r="D245" s="469">
        <f>IFERROR(__xludf.DUMMYFUNCTION("""COMPUTED_VALUE"""),"enemy_kim_00001")</f>
        <v/>
      </c>
      <c r="E245" s="469">
        <f>IFERROR(__xludf.DUMMYFUNCTION("""COMPUTED_VALUE"""),"愛城 恋太郎")</f>
        <v/>
      </c>
      <c r="F245" s="469">
        <f>IFERROR(__xludf.DUMMYFUNCTION("""COMPUTED_VALUE"""),"愛城 恋太郎")</f>
        <v/>
      </c>
      <c r="G245" s="469">
        <f>IFERROR(__xludf.DUMMYFUNCTION("""COMPUTED_VALUE"""),"ー")</f>
        <v/>
      </c>
      <c r="H245" s="469" t="n"/>
      <c r="I245" s="469" t="n"/>
      <c r="J245" s="469" t="n"/>
      <c r="K245" s="469">
        <f>IFERROR(__xludf.DUMMYFUNCTION("""COMPUTED_VALUE"""),"enemy")</f>
        <v/>
      </c>
      <c r="L245" s="469">
        <f>IFERROR(__xludf.DUMMYFUNCTION("""COMPUTED_VALUE"""),"アタック")</f>
        <v/>
      </c>
      <c r="M245" s="469" t="n"/>
      <c r="N245" s="469" t="n"/>
      <c r="O245" s="469" t="n"/>
      <c r="P245" s="471" t="n"/>
      <c r="Q245" s="470">
        <f>IFERROR(__xludf.DUMMYFUNCTION("""COMPUTED_VALUE"""),"1.27")</f>
        <v/>
      </c>
      <c r="R245" s="470">
        <f>IFERROR(__xludf.DUMMYFUNCTION("""COMPUTED_VALUE"""),"stop有:0.2")</f>
        <v/>
      </c>
      <c r="S245" s="470">
        <f>IFERROR(__xludf.DUMMYFUNCTION("""COMPUTED_VALUE"""),"-")</f>
        <v/>
      </c>
      <c r="T245" s="470">
        <f>IFERROR(__xludf.DUMMYFUNCTION("""COMPUTED_VALUE"""),"-")</f>
        <v/>
      </c>
      <c r="U245" s="472">
        <f>IFERROR(__xludf.DUMMYFUNCTION("""COMPUTED_VALUE"""),45658.0)</f>
        <v/>
      </c>
      <c r="V245" s="472">
        <f>IFERROR(__xludf.DUMMYFUNCTION("""COMPUTED_VALUE"""),390812.49998842593)</f>
        <v/>
      </c>
      <c r="W245" s="469">
        <f>IFERROR(__xludf.DUMMYFUNCTION("""COMPUTED_VALUE"""),"catchcopy_character_enemy_kim_00001.png")</f>
        <v/>
      </c>
      <c r="X245" s="469">
        <f>IFERROR(__xludf.DUMMYFUNCTION("""COMPUTED_VALUE"""),"enemy_icon_enemy_kim_00001")</f>
        <v/>
      </c>
      <c r="Y245" s="469">
        <f>IFERROR(__xludf.DUMMYFUNCTION("""COMPUTED_VALUE"""),"boss_icon_enemy_kim_00001")</f>
        <v/>
      </c>
      <c r="Z245" s="469" t="n"/>
      <c r="AA245" s="469" t="n"/>
    </row>
    <row r="246">
      <c r="A246" s="468">
        <f>IFERROR(__xludf.DUMMYFUNCTION("""COMPUTED_VALUE"""),"kim")</f>
        <v/>
      </c>
      <c r="B246" s="469">
        <f>IFERROR(__xludf.DUMMYFUNCTION("""COMPUTED_VALUE"""),"君のことが大大大大大好きな100人の彼女")</f>
        <v/>
      </c>
      <c r="C246" s="470">
        <f>IFERROR(__xludf.DUMMYFUNCTION("""COMPUTED_VALUE"""),"00101")</f>
        <v/>
      </c>
      <c r="D246" s="469">
        <f>IFERROR(__xludf.DUMMYFUNCTION("""COMPUTED_VALUE"""),"enemy_kim_00101")</f>
        <v/>
      </c>
      <c r="E246" s="469">
        <f>IFERROR(__xludf.DUMMYFUNCTION("""COMPUTED_VALUE"""),"学生A（男）")</f>
        <v/>
      </c>
      <c r="F246" s="469" t="n"/>
      <c r="G246" s="469">
        <f>IFERROR(__xludf.DUMMYFUNCTION("""COMPUTED_VALUE"""),"ー")</f>
        <v/>
      </c>
      <c r="H246" s="469" t="n"/>
      <c r="I246" s="469" t="n"/>
      <c r="J246" s="469" t="n"/>
      <c r="K246" s="469">
        <f>IFERROR(__xludf.DUMMYFUNCTION("""COMPUTED_VALUE"""),"enemy")</f>
        <v/>
      </c>
      <c r="L246" s="469">
        <f>IFERROR(__xludf.DUMMYFUNCTION("""COMPUTED_VALUE"""),"アタック")</f>
        <v/>
      </c>
      <c r="M246" s="469" t="n"/>
      <c r="N246" s="469" t="n"/>
      <c r="O246" s="469" t="n"/>
      <c r="P246" s="471" t="n"/>
      <c r="Q246" s="469" t="n"/>
      <c r="R246" s="469" t="n"/>
      <c r="S246" s="470">
        <f>IFERROR(__xludf.DUMMYFUNCTION("""COMPUTED_VALUE"""),"-")</f>
        <v/>
      </c>
      <c r="T246" s="470">
        <f>IFERROR(__xludf.DUMMYFUNCTION("""COMPUTED_VALUE"""),"-")</f>
        <v/>
      </c>
      <c r="U246" s="472">
        <f>IFERROR(__xludf.DUMMYFUNCTION("""COMPUTED_VALUE"""),45658.0)</f>
        <v/>
      </c>
      <c r="V246" s="472">
        <f>IFERROR(__xludf.DUMMYFUNCTION("""COMPUTED_VALUE"""),390812.49998842593)</f>
        <v/>
      </c>
      <c r="W246" s="469">
        <f>IFERROR(__xludf.DUMMYFUNCTION("""COMPUTED_VALUE"""),"catchcopy_character_enemy_kim_00101.png")</f>
        <v/>
      </c>
      <c r="X246" s="469">
        <f>IFERROR(__xludf.DUMMYFUNCTION("""COMPUTED_VALUE"""),"enemy_icon_enemy_kim_00101")</f>
        <v/>
      </c>
      <c r="Y246" s="469">
        <f>IFERROR(__xludf.DUMMYFUNCTION("""COMPUTED_VALUE"""),"boss_icon_enemy_kim_00101")</f>
        <v/>
      </c>
      <c r="Z246" s="469" t="n"/>
      <c r="AA246" s="469" t="n"/>
    </row>
    <row r="247">
      <c r="A247" s="468">
        <f>IFERROR(__xludf.DUMMYFUNCTION("""COMPUTED_VALUE"""),"hut")</f>
        <v/>
      </c>
      <c r="B247" s="469">
        <f>IFERROR(__xludf.DUMMYFUNCTION("""COMPUTED_VALUE"""),"ふつうの軽音部")</f>
        <v/>
      </c>
      <c r="C247" s="470">
        <f>IFERROR(__xludf.DUMMYFUNCTION("""COMPUTED_VALUE"""),"00001")</f>
        <v/>
      </c>
      <c r="D247" s="469">
        <f>IFERROR(__xludf.DUMMYFUNCTION("""COMPUTED_VALUE"""),"enemy_hut_00001")</f>
        <v/>
      </c>
      <c r="E247" s="469">
        <f>IFERROR(__xludf.DUMMYFUNCTION("""COMPUTED_VALUE"""),"鷹見 項希")</f>
        <v/>
      </c>
      <c r="F247" s="469">
        <f>IFERROR(__xludf.DUMMYFUNCTION("""COMPUTED_VALUE"""),"鷹見 項希")</f>
        <v/>
      </c>
      <c r="G247" s="469">
        <f>IFERROR(__xludf.DUMMYFUNCTION("""COMPUTED_VALUE"""),"ー")</f>
        <v/>
      </c>
      <c r="H247" s="469" t="n"/>
      <c r="I247" s="469" t="n"/>
      <c r="J247" s="469" t="n"/>
      <c r="K247" s="469">
        <f>IFERROR(__xludf.DUMMYFUNCTION("""COMPUTED_VALUE"""),"enemy")</f>
        <v/>
      </c>
      <c r="L247" s="469">
        <f>IFERROR(__xludf.DUMMYFUNCTION("""COMPUTED_VALUE"""),"アタック")</f>
        <v/>
      </c>
      <c r="M247" s="469" t="n"/>
      <c r="N247" s="469" t="n"/>
      <c r="O247" s="469" t="n"/>
      <c r="P247" s="471" t="n"/>
      <c r="Q247" s="470">
        <f>IFERROR(__xludf.DUMMYFUNCTION("""COMPUTED_VALUE"""),"1.37")</f>
        <v/>
      </c>
      <c r="R247" s="470">
        <f>IFERROR(__xludf.DUMMYFUNCTION("""COMPUTED_VALUE"""),"stop有:0.51")</f>
        <v/>
      </c>
      <c r="S247" s="470">
        <f>IFERROR(__xludf.DUMMYFUNCTION("""COMPUTED_VALUE"""),"-")</f>
        <v/>
      </c>
      <c r="T247" s="470">
        <f>IFERROR(__xludf.DUMMYFUNCTION("""COMPUTED_VALUE"""),"-")</f>
        <v/>
      </c>
      <c r="U247" s="472">
        <f>IFERROR(__xludf.DUMMYFUNCTION("""COMPUTED_VALUE"""),45658.0)</f>
        <v/>
      </c>
      <c r="V247" s="472">
        <f>IFERROR(__xludf.DUMMYFUNCTION("""COMPUTED_VALUE"""),390812.49998842593)</f>
        <v/>
      </c>
      <c r="W247" s="469">
        <f>IFERROR(__xludf.DUMMYFUNCTION("""COMPUTED_VALUE"""),"catchcopy_character_enemy_hut_00001.png")</f>
        <v/>
      </c>
      <c r="X247" s="469">
        <f>IFERROR(__xludf.DUMMYFUNCTION("""COMPUTED_VALUE"""),"enemy_icon_enemy_hut_00001")</f>
        <v/>
      </c>
      <c r="Y247" s="469">
        <f>IFERROR(__xludf.DUMMYFUNCTION("""COMPUTED_VALUE"""),"boss_icon_enemy_hut_00001")</f>
        <v/>
      </c>
      <c r="Z247" s="469" t="n"/>
      <c r="AA247" s="469" t="n"/>
    </row>
    <row r="248">
      <c r="A248" s="468">
        <f>IFERROR(__xludf.DUMMYFUNCTION("""COMPUTED_VALUE"""),"hut")</f>
        <v/>
      </c>
      <c r="B248" s="469">
        <f>IFERROR(__xludf.DUMMYFUNCTION("""COMPUTED_VALUE"""),"ふつうの軽音部")</f>
        <v/>
      </c>
      <c r="C248" s="470">
        <f>IFERROR(__xludf.DUMMYFUNCTION("""COMPUTED_VALUE"""),"00101")</f>
        <v/>
      </c>
      <c r="D248" s="469">
        <f>IFERROR(__xludf.DUMMYFUNCTION("""COMPUTED_VALUE"""),"enemy_hut_00101")</f>
        <v/>
      </c>
      <c r="E248" s="469">
        <f>IFERROR(__xludf.DUMMYFUNCTION("""COMPUTED_VALUE"""),"学生B")</f>
        <v/>
      </c>
      <c r="F248" s="469">
        <f>IFERROR(__xludf.DUMMYFUNCTION("""COMPUTED_VALUE"""),"学生A")</f>
        <v/>
      </c>
      <c r="G248" s="469">
        <f>IFERROR(__xludf.DUMMYFUNCTION("""COMPUTED_VALUE"""),"ー")</f>
        <v/>
      </c>
      <c r="H248" s="469" t="n"/>
      <c r="I248" s="469" t="n"/>
      <c r="J248" s="469" t="n"/>
      <c r="K248" s="469">
        <f>IFERROR(__xludf.DUMMYFUNCTION("""COMPUTED_VALUE"""),"enemy")</f>
        <v/>
      </c>
      <c r="L248" s="469">
        <f>IFERROR(__xludf.DUMMYFUNCTION("""COMPUTED_VALUE"""),"アタック")</f>
        <v/>
      </c>
      <c r="M248" s="469" t="n"/>
      <c r="N248" s="469" t="n"/>
      <c r="O248" s="469" t="n"/>
      <c r="P248" s="471" t="n"/>
      <c r="Q248" s="470">
        <f>IFERROR(__xludf.DUMMYFUNCTION("""COMPUTED_VALUE"""),"1.28")</f>
        <v/>
      </c>
      <c r="R248" s="470">
        <f>IFERROR(__xludf.DUMMYFUNCTION("""COMPUTED_VALUE"""),"stop有:0.25")</f>
        <v/>
      </c>
      <c r="S248" s="470">
        <f>IFERROR(__xludf.DUMMYFUNCTION("""COMPUTED_VALUE"""),"-")</f>
        <v/>
      </c>
      <c r="T248" s="470">
        <f>IFERROR(__xludf.DUMMYFUNCTION("""COMPUTED_VALUE"""),"-")</f>
        <v/>
      </c>
      <c r="U248" s="472">
        <f>IFERROR(__xludf.DUMMYFUNCTION("""COMPUTED_VALUE"""),45658.0)</f>
        <v/>
      </c>
      <c r="V248" s="472">
        <f>IFERROR(__xludf.DUMMYFUNCTION("""COMPUTED_VALUE"""),390812.49998842593)</f>
        <v/>
      </c>
      <c r="W248" s="469">
        <f>IFERROR(__xludf.DUMMYFUNCTION("""COMPUTED_VALUE"""),"catchcopy_character_enemy_hut_00101.png")</f>
        <v/>
      </c>
      <c r="X248" s="469">
        <f>IFERROR(__xludf.DUMMYFUNCTION("""COMPUTED_VALUE"""),"enemy_icon_enemy_hut_00101")</f>
        <v/>
      </c>
      <c r="Y248" s="469">
        <f>IFERROR(__xludf.DUMMYFUNCTION("""COMPUTED_VALUE"""),"boss_icon_enemy_hut_00101")</f>
        <v/>
      </c>
      <c r="Z248" s="469" t="n"/>
      <c r="AA248" s="469" t="n"/>
    </row>
    <row r="249">
      <c r="A249" s="468">
        <f>IFERROR(__xludf.DUMMYFUNCTION("""COMPUTED_VALUE"""),"aya")</f>
        <v/>
      </c>
      <c r="B249" s="469">
        <f>IFERROR(__xludf.DUMMYFUNCTION("""COMPUTED_VALUE"""),"あやかしトライアングル")</f>
        <v/>
      </c>
      <c r="C249" s="470">
        <f>IFERROR(__xludf.DUMMYFUNCTION("""COMPUTED_VALUE"""),"00001")</f>
        <v/>
      </c>
      <c r="D249" s="469">
        <f>IFERROR(__xludf.DUMMYFUNCTION("""COMPUTED_VALUE"""),"enemy_aya_00001")</f>
        <v/>
      </c>
      <c r="E249" s="469">
        <f>IFERROR(__xludf.DUMMYFUNCTION("""COMPUTED_VALUE"""),"シロガネ")</f>
        <v/>
      </c>
      <c r="F249" s="469">
        <f>IFERROR(__xludf.DUMMYFUNCTION("""COMPUTED_VALUE"""),"シロガネ")</f>
        <v/>
      </c>
      <c r="G249" s="469">
        <f>IFERROR(__xludf.DUMMYFUNCTION("""COMPUTED_VALUE"""),"ー")</f>
        <v/>
      </c>
      <c r="H249" s="469" t="n"/>
      <c r="I249" s="469" t="n"/>
      <c r="J249" s="469" t="n"/>
      <c r="K249" s="469">
        <f>IFERROR(__xludf.DUMMYFUNCTION("""COMPUTED_VALUE"""),"enemy")</f>
        <v/>
      </c>
      <c r="L249" s="469">
        <f>IFERROR(__xludf.DUMMYFUNCTION("""COMPUTED_VALUE"""),"アタック")</f>
        <v/>
      </c>
      <c r="M249" s="469" t="n"/>
      <c r="N249" s="469" t="n"/>
      <c r="O249" s="469" t="n"/>
      <c r="P249" s="471" t="n"/>
      <c r="Q249" s="469" t="n"/>
      <c r="R249" s="470">
        <f>IFERROR(__xludf.DUMMYFUNCTION("""COMPUTED_VALUE"""),"stop有:0.63")</f>
        <v/>
      </c>
      <c r="S249" s="470">
        <f>IFERROR(__xludf.DUMMYFUNCTION("""COMPUTED_VALUE"""),"-")</f>
        <v/>
      </c>
      <c r="T249" s="470">
        <f>IFERROR(__xludf.DUMMYFUNCTION("""COMPUTED_VALUE"""),"-")</f>
        <v/>
      </c>
      <c r="U249" s="469">
        <f>IFERROR(__xludf.DUMMYFUNCTION("""COMPUTED_VALUE"""),"2026/04/中旬")</f>
        <v/>
      </c>
      <c r="V249" s="472">
        <f>IFERROR(__xludf.DUMMYFUNCTION("""COMPUTED_VALUE"""),390812.49998842593)</f>
        <v/>
      </c>
      <c r="W249" s="469">
        <f>IFERROR(__xludf.DUMMYFUNCTION("""COMPUTED_VALUE"""),"catchcopy_character_enemy_aya_00001.png")</f>
        <v/>
      </c>
      <c r="X249" s="469">
        <f>IFERROR(__xludf.DUMMYFUNCTION("""COMPUTED_VALUE"""),"enemy_icon_enemy_aya_00001")</f>
        <v/>
      </c>
      <c r="Y249" s="469">
        <f>IFERROR(__xludf.DUMMYFUNCTION("""COMPUTED_VALUE"""),"boss_icon_enemy_aya_00001")</f>
        <v/>
      </c>
      <c r="Z249" s="469" t="n"/>
      <c r="AA249" s="469" t="n"/>
    </row>
    <row r="250">
      <c r="A250" s="468">
        <f>IFERROR(__xludf.DUMMYFUNCTION("""COMPUTED_VALUE"""),"mar")</f>
        <v/>
      </c>
      <c r="B250" s="469">
        <f>IFERROR(__xludf.DUMMYFUNCTION("""COMPUTED_VALUE"""),"マリッジトキシン")</f>
        <v/>
      </c>
      <c r="C250" s="470">
        <f>IFERROR(__xludf.DUMMYFUNCTION("""COMPUTED_VALUE"""),"00001")</f>
        <v/>
      </c>
      <c r="D250" s="469">
        <f>IFERROR(__xludf.DUMMYFUNCTION("""COMPUTED_VALUE"""),"enemy_mar_00001")</f>
        <v/>
      </c>
      <c r="E250" s="469">
        <f>IFERROR(__xludf.DUMMYFUNCTION("""COMPUTED_VALUE"""),"水使い")</f>
        <v/>
      </c>
      <c r="F250" s="469">
        <f>IFERROR(__xludf.DUMMYFUNCTION("""COMPUTED_VALUE"""),"水使い 潮")</f>
        <v/>
      </c>
      <c r="G250" s="469">
        <f>IFERROR(__xludf.DUMMYFUNCTION("""COMPUTED_VALUE"""),"ー")</f>
        <v/>
      </c>
      <c r="H250" s="469" t="n"/>
      <c r="I250" s="469" t="n"/>
      <c r="J250" s="469" t="n"/>
      <c r="K250" s="469">
        <f>IFERROR(__xludf.DUMMYFUNCTION("""COMPUTED_VALUE"""),"enemy")</f>
        <v/>
      </c>
      <c r="L250" s="469">
        <f>IFERROR(__xludf.DUMMYFUNCTION("""COMPUTED_VALUE"""),"アタック")</f>
        <v/>
      </c>
      <c r="M250" s="469">
        <f>IFERROR(__xludf.DUMMYFUNCTION("""COMPUTED_VALUE"""),"dageki_1")</f>
        <v/>
      </c>
      <c r="N250" s="469" t="n"/>
      <c r="O250" s="469" t="n"/>
      <c r="P250" s="471" t="n"/>
      <c r="Q250" s="470">
        <f>IFERROR(__xludf.DUMMYFUNCTION("""COMPUTED_VALUE"""),"1.22")</f>
        <v/>
      </c>
      <c r="R250" s="470">
        <f>IFERROR(__xludf.DUMMYFUNCTION("""COMPUTED_VALUE"""),"stop無:1回目 0.28
stop無:2回目 0.46
stop無:3回目 0.66
stop有:4回目 0.76")</f>
        <v/>
      </c>
      <c r="S250" s="470">
        <f>IFERROR(__xludf.DUMMYFUNCTION("""COMPUTED_VALUE"""),"-")</f>
        <v/>
      </c>
      <c r="T250" s="470">
        <f>IFERROR(__xludf.DUMMYFUNCTION("""COMPUTED_VALUE"""),"-")</f>
        <v/>
      </c>
      <c r="U250" s="469">
        <f>IFERROR(__xludf.DUMMYFUNCTION("""COMPUTED_VALUE"""),"2026/05/上旬マリッジトキシン")</f>
        <v/>
      </c>
      <c r="V250" s="472">
        <f>IFERROR(__xludf.DUMMYFUNCTION("""COMPUTED_VALUE"""),390812.49998842593)</f>
        <v/>
      </c>
      <c r="W250" s="469">
        <f>IFERROR(__xludf.DUMMYFUNCTION("""COMPUTED_VALUE"""),"catchcopy_character_enemy_mar_00001.png")</f>
        <v/>
      </c>
      <c r="X250" s="469">
        <f>IFERROR(__xludf.DUMMYFUNCTION("""COMPUTED_VALUE"""),"enemy_icon_enemy_mar_00001")</f>
        <v/>
      </c>
      <c r="Y250" s="469">
        <f>IFERROR(__xludf.DUMMYFUNCTION("""COMPUTED_VALUE"""),"boss_icon_enemy_mar_00001")</f>
        <v/>
      </c>
      <c r="Z250" s="469" t="n"/>
      <c r="AA250" s="469" t="n"/>
    </row>
    <row r="251">
      <c r="A251" s="468">
        <f>IFERROR(__xludf.DUMMYFUNCTION("""COMPUTED_VALUE"""),"mad")</f>
        <v/>
      </c>
      <c r="B251" s="469">
        <f>IFERROR(__xludf.DUMMYFUNCTION("""COMPUTED_VALUE"""),"MAD")</f>
        <v/>
      </c>
      <c r="C251" s="470">
        <f>IFERROR(__xludf.DUMMYFUNCTION("""COMPUTED_VALUE"""),"00001")</f>
        <v/>
      </c>
      <c r="D251" s="469">
        <f>IFERROR(__xludf.DUMMYFUNCTION("""COMPUTED_VALUE"""),"enemy_mad_00001")</f>
        <v/>
      </c>
      <c r="E251" s="469">
        <f>IFERROR(__xludf.DUMMYFUNCTION("""COMPUTED_VALUE"""),"エイリアン")</f>
        <v/>
      </c>
      <c r="F251" s="469" t="n"/>
      <c r="G251" s="469" t="n"/>
      <c r="H251" s="469" t="n"/>
      <c r="I251" s="469" t="n"/>
      <c r="J251" s="469" t="n"/>
      <c r="K251" s="469">
        <f>IFERROR(__xludf.DUMMYFUNCTION("""COMPUTED_VALUE"""),"enemy")</f>
        <v/>
      </c>
      <c r="L251" s="469">
        <f>IFERROR(__xludf.DUMMYFUNCTION("""COMPUTED_VALUE"""),"アタック")</f>
        <v/>
      </c>
      <c r="M251" s="469" t="n"/>
      <c r="N251" s="469" t="n"/>
      <c r="O251" s="469" t="n"/>
      <c r="P251" s="471" t="n"/>
      <c r="Q251" s="470">
        <f>IFERROR(__xludf.DUMMYFUNCTION("""COMPUTED_VALUE"""),"1.63")</f>
        <v/>
      </c>
      <c r="R251" s="470">
        <f>IFERROR(__xludf.DUMMYFUNCTION("""COMPUTED_VALUE"""),"stop有:0.7")</f>
        <v/>
      </c>
      <c r="S251" s="470">
        <f>IFERROR(__xludf.DUMMYFUNCTION("""COMPUTED_VALUE"""),"-")</f>
        <v/>
      </c>
      <c r="T251" s="470">
        <f>IFERROR(__xludf.DUMMYFUNCTION("""COMPUTED_VALUE"""),"-")</f>
        <v/>
      </c>
      <c r="U251" s="469">
        <f>IFERROR(__xludf.DUMMYFUNCTION("""COMPUTED_VALUE"""),"26/06上旬MAD")</f>
        <v/>
      </c>
      <c r="V251" s="472">
        <f>IFERROR(__xludf.DUMMYFUNCTION("""COMPUTED_VALUE"""),390812.49998842593)</f>
        <v/>
      </c>
      <c r="W251" s="469">
        <f>IFERROR(__xludf.DUMMYFUNCTION("""COMPUTED_VALUE"""),"catchcopy_character_enemy_mad_00001.png")</f>
        <v/>
      </c>
      <c r="X251" s="469">
        <f>IFERROR(__xludf.DUMMYFUNCTION("""COMPUTED_VALUE"""),"enemy_icon_enemy_mad_00001")</f>
        <v/>
      </c>
      <c r="Y251" s="469">
        <f>IFERROR(__xludf.DUMMYFUNCTION("""COMPUTED_VALUE"""),"boss_icon_enemy_mad_00001")</f>
        <v/>
      </c>
      <c r="Z251" s="469" t="n"/>
      <c r="AA251" s="469" t="n"/>
    </row>
    <row r="252">
      <c r="A252" s="468">
        <f>IFERROR(__xludf.DUMMYFUNCTION("""COMPUTED_VALUE"""),"syu")</f>
        <v/>
      </c>
      <c r="B252" s="469">
        <f>IFERROR(__xludf.DUMMYFUNCTION("""COMPUTED_VALUE"""),"終末のハーレム")</f>
        <v/>
      </c>
      <c r="C252" s="470">
        <f>IFERROR(__xludf.DUMMYFUNCTION("""COMPUTED_VALUE"""),"00001")</f>
        <v/>
      </c>
      <c r="D252" s="469">
        <f>IFERROR(__xludf.DUMMYFUNCTION("""COMPUTED_VALUE"""),"enemy_syu_00001")</f>
        <v/>
      </c>
      <c r="E252" s="469">
        <f>IFERROR(__xludf.DUMMYFUNCTION("""COMPUTED_VALUE"""),"水原 怜人")</f>
        <v/>
      </c>
      <c r="F252" s="469" t="n"/>
      <c r="G252" s="469" t="n"/>
      <c r="H252" s="469" t="n"/>
      <c r="I252" s="469" t="n"/>
      <c r="J252" s="469" t="n"/>
      <c r="K252" s="469">
        <f>IFERROR(__xludf.DUMMYFUNCTION("""COMPUTED_VALUE"""),"enemy")</f>
        <v/>
      </c>
      <c r="L252" s="469">
        <f>IFERROR(__xludf.DUMMYFUNCTION("""COMPUTED_VALUE"""),"アタック")</f>
        <v/>
      </c>
      <c r="M252" s="469" t="n"/>
      <c r="N252" s="469" t="n"/>
      <c r="O252" s="469" t="n"/>
      <c r="P252" s="471" t="n"/>
      <c r="Q252" s="470">
        <f>IFERROR(__xludf.DUMMYFUNCTION("""COMPUTED_VALUE"""),"1.57")</f>
        <v/>
      </c>
      <c r="R252" s="470">
        <f>IFERROR(__xludf.DUMMYFUNCTION("""COMPUTED_VALUE"""),"stop有:0.58")</f>
        <v/>
      </c>
      <c r="S252" s="469" t="n"/>
      <c r="T252" s="469" t="n"/>
      <c r="U252" s="469">
        <f>IFERROR(__xludf.DUMMYFUNCTION("""COMPUTED_VALUE"""),"26/06中旬ジュンブラ")</f>
        <v/>
      </c>
      <c r="V252" s="472">
        <f>IFERROR(__xludf.DUMMYFUNCTION("""COMPUTED_VALUE"""),390812.49998842593)</f>
        <v/>
      </c>
      <c r="W252" s="469">
        <f>IFERROR(__xludf.DUMMYFUNCTION("""COMPUTED_VALUE"""),"catchcopy_character_enemy_syu_00001.png")</f>
        <v/>
      </c>
      <c r="X252" s="469">
        <f>IFERROR(__xludf.DUMMYFUNCTION("""COMPUTED_VALUE"""),"enemy_icon_enemy_syu_00001")</f>
        <v/>
      </c>
      <c r="Y252" s="469">
        <f>IFERROR(__xludf.DUMMYFUNCTION("""COMPUTED_VALUE"""),"boss_icon_enemy_syu_00001")</f>
        <v/>
      </c>
      <c r="Z252" s="469" t="n"/>
      <c r="AA252" s="469" t="n"/>
    </row>
    <row r="253">
      <c r="A253" s="468">
        <f>IFERROR(__xludf.DUMMYFUNCTION("""COMPUTED_VALUE"""),"aft")</f>
        <v/>
      </c>
      <c r="B253" s="469">
        <f>IFERROR(__xludf.DUMMYFUNCTION("""COMPUTED_VALUE"""),"終末のハーレム After World")</f>
        <v/>
      </c>
      <c r="C253" s="470">
        <f>IFERROR(__xludf.DUMMYFUNCTION("""COMPUTED_VALUE"""),"00001")</f>
        <v/>
      </c>
      <c r="D253" s="469">
        <f>IFERROR(__xludf.DUMMYFUNCTION("""COMPUTED_VALUE"""),"enemy_aft_00001")</f>
        <v/>
      </c>
      <c r="E253" s="469">
        <f>IFERROR(__xludf.DUMMYFUNCTION("""COMPUTED_VALUE"""),"金村 陸")</f>
        <v/>
      </c>
      <c r="F253" s="469" t="n"/>
      <c r="G253" s="469" t="n"/>
      <c r="H253" s="469" t="n"/>
      <c r="I253" s="469" t="n"/>
      <c r="J253" s="469" t="n"/>
      <c r="K253" s="469">
        <f>IFERROR(__xludf.DUMMYFUNCTION("""COMPUTED_VALUE"""),"enemy")</f>
        <v/>
      </c>
      <c r="L253" s="469">
        <f>IFERROR(__xludf.DUMMYFUNCTION("""COMPUTED_VALUE"""),"アタック")</f>
        <v/>
      </c>
      <c r="M253" s="469" t="n"/>
      <c r="N253" s="469" t="n"/>
      <c r="O253" s="469" t="n"/>
      <c r="P253" s="471" t="n"/>
      <c r="Q253" s="470">
        <f>IFERROR(__xludf.DUMMYFUNCTION("""COMPUTED_VALUE"""),"1.57")</f>
        <v/>
      </c>
      <c r="R253" s="470">
        <f>IFERROR(__xludf.DUMMYFUNCTION("""COMPUTED_VALUE"""),"stop有:0.41")</f>
        <v/>
      </c>
      <c r="S253" s="469" t="n"/>
      <c r="T253" s="469" t="n"/>
      <c r="U253" s="469">
        <f>IFERROR(__xludf.DUMMYFUNCTION("""COMPUTED_VALUE"""),"26/06中旬ジュンブラ")</f>
        <v/>
      </c>
      <c r="V253" s="472">
        <f>IFERROR(__xludf.DUMMYFUNCTION("""COMPUTED_VALUE"""),390812.49998842593)</f>
        <v/>
      </c>
      <c r="W253" s="469">
        <f>IFERROR(__xludf.DUMMYFUNCTION("""COMPUTED_VALUE"""),"catchcopy_character_enemy_aft_00001.png")</f>
        <v/>
      </c>
      <c r="X253" s="469">
        <f>IFERROR(__xludf.DUMMYFUNCTION("""COMPUTED_VALUE"""),"enemy_icon_enemy_aft_00001")</f>
        <v/>
      </c>
      <c r="Y253" s="469">
        <f>IFERROR(__xludf.DUMMYFUNCTION("""COMPUTED_VALUE"""),"boss_icon_enemy_aft_00001")</f>
        <v/>
      </c>
      <c r="Z253" s="469" t="n"/>
      <c r="AA253" s="469" t="n"/>
    </row>
    <row r="254">
      <c r="A254" s="468">
        <f>IFERROR(__xludf.DUMMYFUNCTION("""COMPUTED_VALUE"""),"kut")</f>
        <v/>
      </c>
      <c r="B254" s="469">
        <f>IFERROR(__xludf.DUMMYFUNCTION("""COMPUTED_VALUE"""),"口が裂けても君には")</f>
        <v/>
      </c>
      <c r="C254" s="470">
        <f>IFERROR(__xludf.DUMMYFUNCTION("""COMPUTED_VALUE"""),"00001")</f>
        <v/>
      </c>
      <c r="D254" s="469">
        <f>IFERROR(__xludf.DUMMYFUNCTION("""COMPUTED_VALUE"""),"enemy_kut_00001")</f>
        <v/>
      </c>
      <c r="E254" s="469">
        <f>IFERROR(__xludf.DUMMYFUNCTION("""COMPUTED_VALUE"""),"茶乃 紅一")</f>
        <v/>
      </c>
      <c r="F254" s="469" t="n"/>
      <c r="G254" s="469" t="n"/>
      <c r="H254" s="469" t="n"/>
      <c r="I254" s="469" t="n"/>
      <c r="J254" s="469" t="n"/>
      <c r="K254" s="469">
        <f>IFERROR(__xludf.DUMMYFUNCTION("""COMPUTED_VALUE"""),"enemy")</f>
        <v/>
      </c>
      <c r="L254" s="469">
        <f>IFERROR(__xludf.DUMMYFUNCTION("""COMPUTED_VALUE"""),"ディフェンス")</f>
        <v/>
      </c>
      <c r="M254" s="469" t="n"/>
      <c r="N254" s="469" t="n"/>
      <c r="O254" s="469" t="n"/>
      <c r="P254" s="471" t="n"/>
      <c r="Q254" s="470">
        <f>IFERROR(__xludf.DUMMYFUNCTION("""COMPUTED_VALUE"""),"1.55")</f>
        <v/>
      </c>
      <c r="R254" s="470">
        <f>IFERROR(__xludf.DUMMYFUNCTION("""COMPUTED_VALUE"""),"stop有:0.55")</f>
        <v/>
      </c>
      <c r="S254" s="469" t="n"/>
      <c r="T254" s="469" t="n"/>
      <c r="U254" s="469">
        <f>IFERROR(__xludf.DUMMYFUNCTION("""COMPUTED_VALUE"""),"26/06中旬ジュンブラ")</f>
        <v/>
      </c>
      <c r="V254" s="472">
        <f>IFERROR(__xludf.DUMMYFUNCTION("""COMPUTED_VALUE"""),390812.49998842593)</f>
        <v/>
      </c>
      <c r="W254" s="469">
        <f>IFERROR(__xludf.DUMMYFUNCTION("""COMPUTED_VALUE"""),"catchcopy_character_enemy_kut_00001.png")</f>
        <v/>
      </c>
      <c r="X254" s="469">
        <f>IFERROR(__xludf.DUMMYFUNCTION("""COMPUTED_VALUE"""),"enemy_icon_enemy_kut_00001")</f>
        <v/>
      </c>
      <c r="Y254" s="469">
        <f>IFERROR(__xludf.DUMMYFUNCTION("""COMPUTED_VALUE"""),"boss_icon_enemy_kut_00001")</f>
        <v/>
      </c>
      <c r="Z254" s="469" t="n"/>
      <c r="AA254" s="469" t="n"/>
    </row>
    <row r="255">
      <c r="A255" s="468">
        <f>IFERROR(__xludf.DUMMYFUNCTION("""COMPUTED_VALUE"""),"kai")</f>
        <v/>
      </c>
      <c r="B255" s="469">
        <f>IFERROR(__xludf.DUMMYFUNCTION("""COMPUTED_VALUE"""),"怪獣８号")</f>
        <v/>
      </c>
      <c r="C255" s="470">
        <f>IFERROR(__xludf.DUMMYFUNCTION("""COMPUTED_VALUE"""),"00002")</f>
        <v/>
      </c>
      <c r="D255" s="469">
        <f>IFERROR(__xludf.DUMMYFUNCTION("""COMPUTED_VALUE"""),"enemy_kai_00002")</f>
        <v/>
      </c>
      <c r="E255" s="469">
        <f>IFERROR(__xludf.DUMMYFUNCTION("""COMPUTED_VALUE"""),"本獣(8巻ver.)")</f>
        <v/>
      </c>
      <c r="F255" s="469" t="n"/>
      <c r="G255" s="469" t="n"/>
      <c r="H255" s="469" t="n"/>
      <c r="I255" s="469" t="n"/>
      <c r="J255" s="469" t="n"/>
      <c r="K255" s="469">
        <f>IFERROR(__xludf.DUMMYFUNCTION("""COMPUTED_VALUE"""),"enemy")</f>
        <v/>
      </c>
      <c r="L255" s="469">
        <f>IFERROR(__xludf.DUMMYFUNCTION("""COMPUTED_VALUE"""),"アタック")</f>
        <v/>
      </c>
      <c r="M255" s="469" t="n"/>
      <c r="N255" s="469" t="n"/>
      <c r="O255" s="469" t="n"/>
      <c r="P255" s="471" t="n"/>
      <c r="Q255" s="469" t="n"/>
      <c r="R255" s="469" t="n"/>
      <c r="S255" s="469" t="n"/>
      <c r="T255" s="469" t="n"/>
      <c r="U255" s="469">
        <f>IFERROR(__xludf.DUMMYFUNCTION("""COMPUTED_VALUE"""),"26/07上旬怪獣8号")</f>
        <v/>
      </c>
      <c r="V255" s="472">
        <f>IFERROR(__xludf.DUMMYFUNCTION("""COMPUTED_VALUE"""),390812.49998842593)</f>
        <v/>
      </c>
      <c r="W255" s="469">
        <f>IFERROR(__xludf.DUMMYFUNCTION("""COMPUTED_VALUE"""),"catchcopy_character_enemy_kai_00002.png")</f>
        <v/>
      </c>
      <c r="X255" s="469">
        <f>IFERROR(__xludf.DUMMYFUNCTION("""COMPUTED_VALUE"""),"enemy_icon_enemy_kai_00002")</f>
        <v/>
      </c>
      <c r="Y255" s="469">
        <f>IFERROR(__xludf.DUMMYFUNCTION("""COMPUTED_VALUE"""),"boss_icon_enemy_kai_00002")</f>
        <v/>
      </c>
      <c r="Z255" s="469" t="n"/>
      <c r="AA255" s="469" t="n"/>
    </row>
    <row r="256">
      <c r="A256" s="468">
        <f>IFERROR(__xludf.DUMMYFUNCTION("""COMPUTED_VALUE"""),"kai")</f>
        <v/>
      </c>
      <c r="B256" s="469">
        <f>IFERROR(__xludf.DUMMYFUNCTION("""COMPUTED_VALUE"""),"怪獣８号")</f>
        <v/>
      </c>
      <c r="C256" s="470">
        <f>IFERROR(__xludf.DUMMYFUNCTION("""COMPUTED_VALUE"""),"00501")</f>
        <v/>
      </c>
      <c r="D256" s="469">
        <f>IFERROR(__xludf.DUMMYFUNCTION("""COMPUTED_VALUE"""),"enemy_kai_00501")</f>
        <v/>
      </c>
      <c r="E256" s="469">
        <f>IFERROR(__xludf.DUMMYFUNCTION("""COMPUTED_VALUE"""),"怪獣9号(差分)")</f>
        <v/>
      </c>
      <c r="F256" s="469" t="n"/>
      <c r="G256" s="469" t="n"/>
      <c r="H256" s="469" t="n"/>
      <c r="I256" s="469" t="n"/>
      <c r="J256" s="469" t="n"/>
      <c r="K256" s="469">
        <f>IFERROR(__xludf.DUMMYFUNCTION("""COMPUTED_VALUE"""),"enemy")</f>
        <v/>
      </c>
      <c r="L256" s="469">
        <f>IFERROR(__xludf.DUMMYFUNCTION("""COMPUTED_VALUE"""),"アタック")</f>
        <v/>
      </c>
      <c r="M256" s="469" t="n"/>
      <c r="N256" s="469" t="n"/>
      <c r="O256" s="469" t="n"/>
      <c r="P256" s="471" t="n"/>
      <c r="Q256" s="469" t="n"/>
      <c r="R256" s="469" t="n"/>
      <c r="S256" s="469" t="n"/>
      <c r="T256" s="469" t="n"/>
      <c r="U256" s="469">
        <f>IFERROR(__xludf.DUMMYFUNCTION("""COMPUTED_VALUE"""),"26/07上旬怪獣8号")</f>
        <v/>
      </c>
      <c r="V256" s="472">
        <f>IFERROR(__xludf.DUMMYFUNCTION("""COMPUTED_VALUE"""),390812.49998842593)</f>
        <v/>
      </c>
      <c r="W256" s="469">
        <f>IFERROR(__xludf.DUMMYFUNCTION("""COMPUTED_VALUE"""),"catchcopy_character_enemy_kai_00501.png")</f>
        <v/>
      </c>
      <c r="X256" s="469">
        <f>IFERROR(__xludf.DUMMYFUNCTION("""COMPUTED_VALUE"""),"enemy_icon_enemy_kai_00501")</f>
        <v/>
      </c>
      <c r="Y256" s="469">
        <f>IFERROR(__xludf.DUMMYFUNCTION("""COMPUTED_VALUE"""),"boss_icon_enemy_kai_00501")</f>
        <v/>
      </c>
      <c r="Z256" s="469" t="n"/>
      <c r="AA256" s="469" t="n"/>
    </row>
    <row r="257">
      <c r="A257" s="468">
        <f>IFERROR(__xludf.DUMMYFUNCTION("""COMPUTED_VALUE"""),"osh")</f>
        <v/>
      </c>
      <c r="B257" s="469">
        <f>IFERROR(__xludf.DUMMYFUNCTION("""COMPUTED_VALUE"""),"【推しの子】")</f>
        <v/>
      </c>
      <c r="C257" s="470">
        <f>IFERROR(__xludf.DUMMYFUNCTION("""COMPUTED_VALUE"""),"00001")</f>
        <v/>
      </c>
      <c r="D257" s="469">
        <f>IFERROR(__xludf.DUMMYFUNCTION("""COMPUTED_VALUE"""),"enemy_osh_00001")</f>
        <v/>
      </c>
      <c r="E257" s="469">
        <f>IFERROR(__xludf.DUMMYFUNCTION("""COMPUTED_VALUE"""),"姫川 大輝 (東京ブレイド編ver.)")</f>
        <v/>
      </c>
      <c r="F257" s="469" t="n"/>
      <c r="G257" s="469" t="n"/>
      <c r="H257" s="469" t="n"/>
      <c r="I257" s="469" t="n"/>
      <c r="J257" s="469" t="n"/>
      <c r="K257" s="469">
        <f>IFERROR(__xludf.DUMMYFUNCTION("""COMPUTED_VALUE"""),"enemy")</f>
        <v/>
      </c>
      <c r="L257" s="469" t="n"/>
      <c r="M257" s="469" t="n"/>
      <c r="N257" s="469" t="n"/>
      <c r="O257" s="469" t="n"/>
      <c r="P257" s="471" t="n"/>
      <c r="Q257" s="469" t="n"/>
      <c r="R257" s="469" t="n"/>
      <c r="S257" s="469" t="n"/>
      <c r="T257" s="469" t="n"/>
      <c r="U257" s="469" t="n"/>
      <c r="V257" s="469" t="n"/>
      <c r="W257" s="469" t="n"/>
      <c r="X257" s="469" t="n"/>
      <c r="Y257" s="469" t="n"/>
      <c r="Z257" s="469" t="n"/>
      <c r="AA257" s="469" t="n"/>
    </row>
    <row r="258">
      <c r="A258" s="468">
        <f>IFERROR(__xludf.DUMMYFUNCTION("""COMPUTED_VALUE"""),"osh")</f>
        <v/>
      </c>
      <c r="B258" s="469">
        <f>IFERROR(__xludf.DUMMYFUNCTION("""COMPUTED_VALUE"""),"【推しの子】")</f>
        <v/>
      </c>
      <c r="C258" s="470">
        <f>IFERROR(__xludf.DUMMYFUNCTION("""COMPUTED_VALUE"""),"00101")</f>
        <v/>
      </c>
      <c r="D258" s="469">
        <f>IFERROR(__xludf.DUMMYFUNCTION("""COMPUTED_VALUE"""),"enemy_osh_00101")</f>
        <v/>
      </c>
      <c r="E258" s="469">
        <f>IFERROR(__xludf.DUMMYFUNCTION("""COMPUTED_VALUE"""),"鳴嶋 メルト (東京ブレイド編ver.)")</f>
        <v/>
      </c>
      <c r="F258" s="469" t="n"/>
      <c r="G258" s="469" t="n"/>
      <c r="H258" s="469" t="n"/>
      <c r="I258" s="469" t="n"/>
      <c r="J258" s="469" t="n"/>
      <c r="K258" s="469">
        <f>IFERROR(__xludf.DUMMYFUNCTION("""COMPUTED_VALUE"""),"enemy")</f>
        <v/>
      </c>
      <c r="L258" s="469" t="n"/>
      <c r="M258" s="469" t="n"/>
      <c r="N258" s="469" t="n"/>
      <c r="O258" s="469" t="n"/>
      <c r="P258" s="471" t="n"/>
      <c r="Q258" s="469" t="n"/>
      <c r="R258" s="469" t="n"/>
      <c r="S258" s="469" t="n"/>
      <c r="T258" s="469" t="n"/>
      <c r="U258" s="469" t="n"/>
      <c r="V258" s="469" t="n"/>
      <c r="W258" s="469" t="n"/>
      <c r="X258" s="469" t="n"/>
      <c r="Y258" s="469" t="n"/>
      <c r="Z258" s="469" t="n"/>
      <c r="AA258" s="469" t="n"/>
    </row>
    <row r="259">
      <c r="A259" s="468">
        <f>IFERROR(__xludf.DUMMYFUNCTION("""COMPUTED_VALUE"""),"osh")</f>
        <v/>
      </c>
      <c r="B259" s="469">
        <f>IFERROR(__xludf.DUMMYFUNCTION("""COMPUTED_VALUE"""),"【推しの子】")</f>
        <v/>
      </c>
      <c r="C259" s="470">
        <f>IFERROR(__xludf.DUMMYFUNCTION("""COMPUTED_VALUE"""),"00201")</f>
        <v/>
      </c>
      <c r="D259" s="469">
        <f>IFERROR(__xludf.DUMMYFUNCTION("""COMPUTED_VALUE"""),"enemy_osh_00201")</f>
        <v/>
      </c>
      <c r="E259" s="469">
        <f>IFERROR(__xludf.DUMMYFUNCTION("""COMPUTED_VALUE"""),"鴨志田 朔夜 (東京ブレイド編ver.)")</f>
        <v/>
      </c>
      <c r="F259" s="469" t="n"/>
      <c r="G259" s="469" t="n"/>
      <c r="H259" s="469" t="n"/>
      <c r="I259" s="469" t="n"/>
      <c r="J259" s="469" t="n"/>
      <c r="K259" s="469">
        <f>IFERROR(__xludf.DUMMYFUNCTION("""COMPUTED_VALUE"""),"enemy")</f>
        <v/>
      </c>
      <c r="L259" s="469" t="n"/>
      <c r="M259" s="469" t="n"/>
      <c r="N259" s="469" t="n"/>
      <c r="O259" s="469" t="n"/>
      <c r="P259" s="471" t="n"/>
      <c r="Q259" s="469" t="n"/>
      <c r="R259" s="469" t="n"/>
      <c r="S259" s="469" t="n"/>
      <c r="T259" s="469" t="n"/>
      <c r="U259" s="469" t="n"/>
      <c r="V259" s="469" t="n"/>
      <c r="W259" s="469" t="n"/>
      <c r="X259" s="469" t="n"/>
      <c r="Y259" s="469" t="n"/>
      <c r="Z259" s="469" t="n"/>
      <c r="AA259" s="469" t="n"/>
    </row>
    <row r="260">
      <c r="A260" s="468">
        <f>IFERROR(__xludf.DUMMYFUNCTION("""COMPUTED_VALUE"""),"eiu")</f>
        <v/>
      </c>
      <c r="B260" s="469">
        <f>IFERROR(__xludf.DUMMYFUNCTION("""COMPUTED_VALUE"""),"英雄機関")</f>
        <v/>
      </c>
      <c r="C260" s="470">
        <f>IFERROR(__xludf.DUMMYFUNCTION("""COMPUTED_VALUE"""),"00001")</f>
        <v/>
      </c>
      <c r="D260" s="469">
        <f>IFERROR(__xludf.DUMMYFUNCTION("""COMPUTED_VALUE"""),"enemy_eiu_00001")</f>
        <v/>
      </c>
      <c r="E260" s="469">
        <f>IFERROR(__xludf.DUMMYFUNCTION("""COMPUTED_VALUE"""),"星獣")</f>
        <v/>
      </c>
      <c r="F260" s="469">
        <f>IFERROR(__xludf.DUMMYFUNCTION("""COMPUTED_VALUE"""),"選定中")</f>
        <v/>
      </c>
      <c r="G260" s="469" t="n"/>
      <c r="H260" s="469" t="n"/>
      <c r="I260" s="469" t="n"/>
      <c r="J260" s="469" t="n"/>
      <c r="K260" s="469">
        <f>IFERROR(__xludf.DUMMYFUNCTION("""COMPUTED_VALUE"""),"enemy")</f>
        <v/>
      </c>
      <c r="L260" s="469" t="n"/>
      <c r="M260" s="469" t="n"/>
      <c r="N260" s="469" t="n"/>
      <c r="O260" s="469" t="n"/>
      <c r="P260" s="471" t="n"/>
      <c r="Q260" s="469" t="n"/>
      <c r="R260" s="469" t="n"/>
      <c r="S260" s="469" t="n"/>
      <c r="T260" s="469" t="n"/>
      <c r="U260" s="469" t="n"/>
      <c r="V260" s="469" t="n"/>
      <c r="W260" s="469" t="n"/>
      <c r="X260" s="469" t="n"/>
      <c r="Y260" s="469" t="n"/>
      <c r="Z260" s="469" t="n"/>
      <c r="AA260" s="469" t="n"/>
    </row>
    <row r="261">
      <c r="A261" s="468" t="n"/>
      <c r="B261" s="469">
        <f>IFERROR(__xludf.DUMMYFUNCTION("""COMPUTED_VALUE"""),"error")</f>
        <v/>
      </c>
      <c r="C261" s="469" t="n"/>
      <c r="D261" s="469">
        <f>IFERROR(__xludf.DUMMYFUNCTION("""COMPUTED_VALUE"""),"__")</f>
        <v/>
      </c>
      <c r="E261" s="469" t="n"/>
      <c r="F261" s="469" t="n"/>
      <c r="G261" s="469" t="n"/>
      <c r="H261" s="469" t="n"/>
      <c r="I261" s="469" t="n"/>
      <c r="J261" s="469" t="n"/>
      <c r="K261" s="469" t="n"/>
      <c r="L261" s="469" t="n"/>
      <c r="M261" s="469" t="n"/>
      <c r="N261" s="469" t="n"/>
      <c r="O261" s="469" t="n"/>
      <c r="P261" s="471" t="n"/>
      <c r="Q261" s="469" t="n"/>
      <c r="R261" s="469" t="n"/>
      <c r="S261" s="469" t="n"/>
      <c r="T261" s="469" t="n"/>
      <c r="U261" s="469" t="n"/>
      <c r="V261" s="469" t="n"/>
      <c r="W261" s="469" t="n"/>
      <c r="X261" s="469" t="n"/>
      <c r="Y261" s="469" t="n"/>
      <c r="Z261" s="469" t="n"/>
      <c r="AA261" s="469" t="n"/>
    </row>
    <row r="262">
      <c r="A262" s="468" t="n"/>
      <c r="B262" s="469">
        <f>IFERROR(__xludf.DUMMYFUNCTION("""COMPUTED_VALUE"""),"error")</f>
        <v/>
      </c>
      <c r="C262" s="469" t="n"/>
      <c r="D262" s="469">
        <f>IFERROR(__xludf.DUMMYFUNCTION("""COMPUTED_VALUE"""),"__")</f>
        <v/>
      </c>
      <c r="E262" s="469" t="n"/>
      <c r="F262" s="469" t="n"/>
      <c r="G262" s="469" t="n"/>
      <c r="H262" s="469" t="n"/>
      <c r="I262" s="469" t="n"/>
      <c r="J262" s="469" t="n"/>
      <c r="K262" s="469" t="n"/>
      <c r="L262" s="469" t="n"/>
      <c r="M262" s="469" t="n"/>
      <c r="N262" s="469" t="n"/>
      <c r="O262" s="469" t="n"/>
      <c r="P262" s="471" t="n"/>
      <c r="Q262" s="469" t="n"/>
      <c r="R262" s="469" t="n"/>
      <c r="S262" s="469" t="n"/>
      <c r="T262" s="469" t="n"/>
      <c r="U262" s="469" t="n"/>
      <c r="V262" s="469" t="n"/>
      <c r="W262" s="469" t="n"/>
      <c r="X262" s="469" t="n"/>
      <c r="Y262" s="469" t="n"/>
      <c r="Z262" s="469" t="n"/>
      <c r="AA262" s="469" t="n"/>
    </row>
    <row r="263">
      <c r="A263" s="468" t="n"/>
      <c r="B263" s="469">
        <f>IFERROR(__xludf.DUMMYFUNCTION("""COMPUTED_VALUE"""),"error")</f>
        <v/>
      </c>
      <c r="C263" s="469" t="n"/>
      <c r="D263" s="469">
        <f>IFERROR(__xludf.DUMMYFUNCTION("""COMPUTED_VALUE"""),"__")</f>
        <v/>
      </c>
      <c r="E263" s="469" t="n"/>
      <c r="F263" s="469" t="n"/>
      <c r="G263" s="469" t="n"/>
      <c r="H263" s="469" t="n"/>
      <c r="I263" s="469" t="n"/>
      <c r="J263" s="469" t="n"/>
      <c r="K263" s="469" t="n"/>
      <c r="L263" s="469" t="n"/>
      <c r="M263" s="469" t="n"/>
      <c r="N263" s="469" t="n"/>
      <c r="O263" s="469" t="n"/>
      <c r="P263" s="471" t="n"/>
      <c r="Q263" s="469" t="n"/>
      <c r="R263" s="469" t="n"/>
      <c r="S263" s="469" t="n"/>
      <c r="T263" s="469" t="n"/>
      <c r="U263" s="469" t="n"/>
      <c r="V263" s="469" t="n"/>
      <c r="W263" s="469" t="n"/>
      <c r="X263" s="469" t="n"/>
      <c r="Y263" s="469" t="n"/>
      <c r="Z263" s="469" t="n"/>
      <c r="AA263" s="469" t="n"/>
    </row>
    <row r="264">
      <c r="A264" s="468" t="n"/>
      <c r="B264" s="469">
        <f>IFERROR(__xludf.DUMMYFUNCTION("""COMPUTED_VALUE"""),"error")</f>
        <v/>
      </c>
      <c r="C264" s="469" t="n"/>
      <c r="D264" s="469">
        <f>IFERROR(__xludf.DUMMYFUNCTION("""COMPUTED_VALUE"""),"__")</f>
        <v/>
      </c>
      <c r="E264" s="469" t="n"/>
      <c r="F264" s="469" t="n"/>
      <c r="G264" s="469" t="n"/>
      <c r="H264" s="469" t="n"/>
      <c r="I264" s="469" t="n"/>
      <c r="J264" s="469" t="n"/>
      <c r="K264" s="469" t="n"/>
      <c r="L264" s="469" t="n"/>
      <c r="M264" s="469" t="n"/>
      <c r="N264" s="469" t="n"/>
      <c r="O264" s="469" t="n"/>
      <c r="P264" s="471" t="n"/>
      <c r="Q264" s="469" t="n"/>
      <c r="R264" s="469" t="n"/>
      <c r="S264" s="469" t="n"/>
      <c r="T264" s="469" t="n"/>
      <c r="U264" s="469" t="n"/>
      <c r="V264" s="469" t="n"/>
      <c r="W264" s="469" t="n"/>
      <c r="X264" s="469" t="n"/>
      <c r="Y264" s="469" t="n"/>
      <c r="Z264" s="469" t="n"/>
      <c r="AA264" s="469" t="n"/>
    </row>
    <row r="265">
      <c r="A265" s="468" t="n"/>
      <c r="B265" s="469">
        <f>IFERROR(__xludf.DUMMYFUNCTION("""COMPUTED_VALUE"""),"error")</f>
        <v/>
      </c>
      <c r="C265" s="469" t="n"/>
      <c r="D265" s="469">
        <f>IFERROR(__xludf.DUMMYFUNCTION("""COMPUTED_VALUE"""),"__")</f>
        <v/>
      </c>
      <c r="E265" s="469" t="n"/>
      <c r="F265" s="469" t="n"/>
      <c r="G265" s="469" t="n"/>
      <c r="H265" s="469" t="n"/>
      <c r="I265" s="469" t="n"/>
      <c r="J265" s="469" t="n"/>
      <c r="K265" s="469" t="n"/>
      <c r="L265" s="469" t="n"/>
      <c r="M265" s="469" t="n"/>
      <c r="N265" s="469" t="n"/>
      <c r="O265" s="469" t="n"/>
      <c r="P265" s="471" t="n"/>
      <c r="Q265" s="469" t="n"/>
      <c r="R265" s="469" t="n"/>
      <c r="S265" s="469" t="n"/>
      <c r="T265" s="469" t="n"/>
      <c r="U265" s="469" t="n"/>
      <c r="V265" s="469" t="n"/>
      <c r="W265" s="469" t="n"/>
      <c r="X265" s="469" t="n"/>
      <c r="Y265" s="469" t="n"/>
      <c r="Z265" s="469" t="n"/>
      <c r="AA265" s="469" t="n"/>
    </row>
    <row r="266">
      <c r="A266" s="468" t="n"/>
      <c r="B266" s="469">
        <f>IFERROR(__xludf.DUMMYFUNCTION("""COMPUTED_VALUE"""),"error")</f>
        <v/>
      </c>
      <c r="C266" s="469" t="n"/>
      <c r="D266" s="469">
        <f>IFERROR(__xludf.DUMMYFUNCTION("""COMPUTED_VALUE"""),"__")</f>
        <v/>
      </c>
      <c r="E266" s="469" t="n"/>
      <c r="F266" s="469" t="n"/>
      <c r="G266" s="469" t="n"/>
      <c r="H266" s="469" t="n"/>
      <c r="I266" s="469" t="n"/>
      <c r="J266" s="469" t="n"/>
      <c r="K266" s="469" t="n"/>
      <c r="L266" s="469" t="n"/>
      <c r="M266" s="469" t="n"/>
      <c r="N266" s="469" t="n"/>
      <c r="O266" s="469" t="n"/>
      <c r="P266" s="471" t="n"/>
      <c r="Q266" s="469" t="n"/>
      <c r="R266" s="469" t="n"/>
      <c r="S266" s="469" t="n"/>
      <c r="T266" s="469" t="n"/>
      <c r="U266" s="469" t="n"/>
      <c r="V266" s="469" t="n"/>
      <c r="W266" s="469" t="n"/>
      <c r="X266" s="469" t="n"/>
      <c r="Y266" s="469" t="n"/>
      <c r="Z266" s="469" t="n"/>
      <c r="AA266" s="469" t="n"/>
    </row>
    <row r="267">
      <c r="A267" s="468" t="n"/>
      <c r="B267" s="469">
        <f>IFERROR(__xludf.DUMMYFUNCTION("""COMPUTED_VALUE"""),"error")</f>
        <v/>
      </c>
      <c r="C267" s="469" t="n"/>
      <c r="D267" s="469">
        <f>IFERROR(__xludf.DUMMYFUNCTION("""COMPUTED_VALUE"""),"__")</f>
        <v/>
      </c>
      <c r="E267" s="469" t="n"/>
      <c r="F267" s="469" t="n"/>
      <c r="G267" s="469" t="n"/>
      <c r="H267" s="469" t="n"/>
      <c r="I267" s="469" t="n"/>
      <c r="J267" s="469" t="n"/>
      <c r="K267" s="469" t="n"/>
      <c r="L267" s="469" t="n"/>
      <c r="M267" s="469" t="n"/>
      <c r="N267" s="469" t="n"/>
      <c r="O267" s="469" t="n"/>
      <c r="P267" s="471" t="n"/>
      <c r="Q267" s="469" t="n"/>
      <c r="R267" s="469" t="n"/>
      <c r="S267" s="469" t="n"/>
      <c r="T267" s="469" t="n"/>
      <c r="U267" s="469" t="n"/>
      <c r="V267" s="469" t="n"/>
      <c r="W267" s="469" t="n"/>
      <c r="X267" s="469" t="n"/>
      <c r="Y267" s="469" t="n"/>
      <c r="Z267" s="469" t="n"/>
      <c r="AA267" s="469" t="n"/>
    </row>
    <row r="268">
      <c r="A268" s="468" t="n"/>
      <c r="B268" s="469">
        <f>IFERROR(__xludf.DUMMYFUNCTION("""COMPUTED_VALUE"""),"error")</f>
        <v/>
      </c>
      <c r="C268" s="469" t="n"/>
      <c r="D268" s="469">
        <f>IFERROR(__xludf.DUMMYFUNCTION("""COMPUTED_VALUE"""),"__")</f>
        <v/>
      </c>
      <c r="E268" s="469" t="n"/>
      <c r="F268" s="469" t="n"/>
      <c r="G268" s="469" t="n"/>
      <c r="H268" s="469" t="n"/>
      <c r="I268" s="469" t="n"/>
      <c r="J268" s="469" t="n"/>
      <c r="K268" s="469" t="n"/>
      <c r="L268" s="469" t="n"/>
      <c r="M268" s="469" t="n"/>
      <c r="N268" s="469" t="n"/>
      <c r="O268" s="469" t="n"/>
      <c r="P268" s="471" t="n"/>
      <c r="Q268" s="469" t="n"/>
      <c r="R268" s="469" t="n"/>
      <c r="S268" s="469" t="n"/>
      <c r="T268" s="469" t="n"/>
      <c r="U268" s="469" t="n"/>
      <c r="V268" s="469" t="n"/>
      <c r="W268" s="469" t="n"/>
      <c r="X268" s="469" t="n"/>
      <c r="Y268" s="469" t="n"/>
      <c r="Z268" s="469" t="n"/>
      <c r="AA268" s="469" t="n"/>
    </row>
    <row r="269">
      <c r="A269" s="468" t="n"/>
      <c r="B269" s="469">
        <f>IFERROR(__xludf.DUMMYFUNCTION("""COMPUTED_VALUE"""),"error")</f>
        <v/>
      </c>
      <c r="C269" s="469" t="n"/>
      <c r="D269" s="469">
        <f>IFERROR(__xludf.DUMMYFUNCTION("""COMPUTED_VALUE"""),"__")</f>
        <v/>
      </c>
      <c r="E269" s="469" t="n"/>
      <c r="F269" s="469" t="n"/>
      <c r="G269" s="469" t="n"/>
      <c r="H269" s="469" t="n"/>
      <c r="I269" s="469" t="n"/>
      <c r="J269" s="469" t="n"/>
      <c r="K269" s="469" t="n"/>
      <c r="L269" s="469" t="n"/>
      <c r="M269" s="469" t="n"/>
      <c r="N269" s="469" t="n"/>
      <c r="O269" s="469" t="n"/>
      <c r="P269" s="471" t="n"/>
      <c r="Q269" s="469" t="n"/>
      <c r="R269" s="469" t="n"/>
      <c r="S269" s="469" t="n"/>
      <c r="T269" s="469" t="n"/>
      <c r="U269" s="469" t="n"/>
      <c r="V269" s="469" t="n"/>
      <c r="W269" s="469" t="n"/>
      <c r="X269" s="469" t="n"/>
      <c r="Y269" s="469" t="n"/>
      <c r="Z269" s="469" t="n"/>
      <c r="AA269" s="469" t="n"/>
    </row>
    <row r="270">
      <c r="A270" s="468">
        <f>IFERROR(__xludf.DUMMYFUNCTION("""COMPUTED_VALUE"""),"glo")</f>
        <v/>
      </c>
      <c r="B270" s="469">
        <f>IFERROR(__xludf.DUMMYFUNCTION("""COMPUTED_VALUE"""),"GLOW")</f>
        <v/>
      </c>
      <c r="C270" s="470">
        <f>IFERROR(__xludf.DUMMYFUNCTION("""COMPUTED_VALUE"""),"00001")</f>
        <v/>
      </c>
      <c r="D270" s="469">
        <f>IFERROR(__xludf.DUMMYFUNCTION("""COMPUTED_VALUE"""),"enemy_glo_00001")</f>
        <v/>
      </c>
      <c r="E270" s="469">
        <f>IFERROR(__xludf.DUMMYFUNCTION("""COMPUTED_VALUE"""),"ファントム")</f>
        <v/>
      </c>
      <c r="F270" s="469">
        <f>IFERROR(__xludf.DUMMYFUNCTION("""COMPUTED_VALUE"""),"ファントム")</f>
        <v/>
      </c>
      <c r="G270" s="469">
        <f>IFERROR(__xludf.DUMMYFUNCTION("""COMPUTED_VALUE"""),"ー")</f>
        <v/>
      </c>
      <c r="H270" s="469" t="n"/>
      <c r="I270" s="469" t="n"/>
      <c r="J270" s="469" t="n"/>
      <c r="K270" s="469">
        <f>IFERROR(__xludf.DUMMYFUNCTION("""COMPUTED_VALUE"""),"enemy")</f>
        <v/>
      </c>
      <c r="L270" s="469">
        <f>IFERROR(__xludf.DUMMYFUNCTION("""COMPUTED_VALUE"""),"アタック")</f>
        <v/>
      </c>
      <c r="M270" s="469">
        <f>IFERROR(__xludf.DUMMYFUNCTION("""COMPUTED_VALUE"""),"dageki_1")</f>
        <v/>
      </c>
      <c r="N270" s="469" t="n"/>
      <c r="O270" s="469" t="n"/>
      <c r="P270" s="473">
        <f>IFERROR(__xludf.DUMMYFUNCTION("""COMPUTED_VALUE"""),"00001")</f>
        <v/>
      </c>
      <c r="Q270" s="470">
        <f>IFERROR(__xludf.DUMMYFUNCTION("""COMPUTED_VALUE"""),"1.00")</f>
        <v/>
      </c>
      <c r="R270" s="470">
        <f>IFERROR(__xludf.DUMMYFUNCTION("""COMPUTED_VALUE"""),"0.50")</f>
        <v/>
      </c>
      <c r="S270" s="469" t="n"/>
      <c r="T270" s="469" t="n"/>
      <c r="U270" s="472">
        <f>IFERROR(__xludf.DUMMYFUNCTION("""COMPUTED_VALUE"""),45658.0)</f>
        <v/>
      </c>
      <c r="V270" s="472">
        <f>IFERROR(__xludf.DUMMYFUNCTION("""COMPUTED_VALUE"""),390812.49998842593)</f>
        <v/>
      </c>
      <c r="W270" s="469">
        <f>IFERROR(__xludf.DUMMYFUNCTION("""COMPUTED_VALUE"""),"catchcopy_character_enemy_glo_00001.png")</f>
        <v/>
      </c>
      <c r="X270" s="469">
        <f>IFERROR(__xludf.DUMMYFUNCTION("""COMPUTED_VALUE"""),"enemy_icon_enemy_glo_00001")</f>
        <v/>
      </c>
      <c r="Y270" s="469">
        <f>IFERROR(__xludf.DUMMYFUNCTION("""COMPUTED_VALUE"""),"boss_icon_enemy_glo_00001")</f>
        <v/>
      </c>
      <c r="Z270" s="469">
        <f>IFERROR(__xludf.DUMMYFUNCTION("""COMPUTED_VALUE"""),"enemy_glo_00001_normal")</f>
        <v/>
      </c>
      <c r="AA270" s="469">
        <f>IFERROR(__xludf.DUMMYFUNCTION("""COMPUTED_VALUE"""),"enemy_glo_00001_special")</f>
        <v/>
      </c>
    </row>
    <row r="271">
      <c r="A271" s="468">
        <f>IFERROR(__xludf.DUMMYFUNCTION("""COMPUTED_VALUE"""),"glo")</f>
        <v/>
      </c>
      <c r="B271" s="469">
        <f>IFERROR(__xludf.DUMMYFUNCTION("""COMPUTED_VALUE"""),"GLOW")</f>
        <v/>
      </c>
      <c r="C271" s="470">
        <f>IFERROR(__xludf.DUMMYFUNCTION("""COMPUTED_VALUE"""),"00002")</f>
        <v/>
      </c>
      <c r="D271" s="469">
        <f>IFERROR(__xludf.DUMMYFUNCTION("""COMPUTED_VALUE"""),"enemy_glo_00002")</f>
        <v/>
      </c>
      <c r="E271" s="469">
        <f>IFERROR(__xludf.DUMMYFUNCTION("""COMPUTED_VALUE"""),"サイリウム持ちファントム")</f>
        <v/>
      </c>
      <c r="F271" s="469">
        <f>IFERROR(__xludf.DUMMYFUNCTION("""COMPUTED_VALUE"""),"推し活ファントム")</f>
        <v/>
      </c>
      <c r="G271" s="469">
        <f>IFERROR(__xludf.DUMMYFUNCTION("""COMPUTED_VALUE"""),"ー")</f>
        <v/>
      </c>
      <c r="H271" s="469" t="n"/>
      <c r="I271" s="469" t="n"/>
      <c r="J271" s="469" t="n"/>
      <c r="K271" s="469">
        <f>IFERROR(__xludf.DUMMYFUNCTION("""COMPUTED_VALUE"""),"enemy")</f>
        <v/>
      </c>
      <c r="L271" s="469">
        <f>IFERROR(__xludf.DUMMYFUNCTION("""COMPUTED_VALUE"""),"アタック")</f>
        <v/>
      </c>
      <c r="M271" s="469">
        <f>IFERROR(__xludf.DUMMYFUNCTION("""COMPUTED_VALUE"""),"dageki_1")</f>
        <v/>
      </c>
      <c r="N271" s="469" t="n"/>
      <c r="O271" s="469" t="n"/>
      <c r="P271" s="473">
        <f>IFERROR(__xludf.DUMMYFUNCTION("""COMPUTED_VALUE"""),"00002")</f>
        <v/>
      </c>
      <c r="Q271" s="470">
        <f>IFERROR(__xludf.DUMMYFUNCTION("""COMPUTED_VALUE"""),"1.17")</f>
        <v/>
      </c>
      <c r="R271" s="470">
        <f>IFERROR(__xludf.DUMMYFUNCTION("""COMPUTED_VALUE"""),"stop有:1回目 0.6")</f>
        <v/>
      </c>
      <c r="S271" s="469" t="n"/>
      <c r="T271" s="469" t="n"/>
      <c r="U271" s="472">
        <f>IFERROR(__xludf.DUMMYFUNCTION("""COMPUTED_VALUE"""),45658.0)</f>
        <v/>
      </c>
      <c r="V271" s="472">
        <f>IFERROR(__xludf.DUMMYFUNCTION("""COMPUTED_VALUE"""),390812.49998842593)</f>
        <v/>
      </c>
      <c r="W271" s="469">
        <f>IFERROR(__xludf.DUMMYFUNCTION("""COMPUTED_VALUE"""),"catchcopy_character_enemy_glo_00002.png")</f>
        <v/>
      </c>
      <c r="X271" s="469">
        <f>IFERROR(__xludf.DUMMYFUNCTION("""COMPUTED_VALUE"""),"enemy_icon_enemy_glo_00002")</f>
        <v/>
      </c>
      <c r="Y271" s="469">
        <f>IFERROR(__xludf.DUMMYFUNCTION("""COMPUTED_VALUE"""),"boss_icon_enemy_glo_00002")</f>
        <v/>
      </c>
      <c r="Z271" s="469" t="n"/>
      <c r="AA271" s="469" t="n"/>
    </row>
    <row r="272">
      <c r="A272" s="468">
        <f>IFERROR(__xludf.DUMMYFUNCTION("""COMPUTED_VALUE"""),"glo")</f>
        <v/>
      </c>
      <c r="B272" s="469">
        <f>IFERROR(__xludf.DUMMYFUNCTION("""COMPUTED_VALUE"""),"GLOW")</f>
        <v/>
      </c>
      <c r="C272" s="470">
        <f>IFERROR(__xludf.DUMMYFUNCTION("""COMPUTED_VALUE"""),"00003")</f>
        <v/>
      </c>
      <c r="D272" s="469">
        <f>IFERROR(__xludf.DUMMYFUNCTION("""COMPUTED_VALUE"""),"enemy_glo_00003")</f>
        <v/>
      </c>
      <c r="E272" s="469">
        <f>IFERROR(__xludf.DUMMYFUNCTION("""COMPUTED_VALUE"""),"バッターファントム")</f>
        <v/>
      </c>
      <c r="F272" s="469" t="n"/>
      <c r="G272" s="469" t="n"/>
      <c r="H272" s="469" t="n"/>
      <c r="I272" s="469" t="n"/>
      <c r="J272" s="469" t="n"/>
      <c r="K272" s="469">
        <f>IFERROR(__xludf.DUMMYFUNCTION("""COMPUTED_VALUE"""),"enemy")</f>
        <v/>
      </c>
      <c r="L272" s="469" t="n"/>
      <c r="M272" s="469" t="n"/>
      <c r="N272" s="469" t="n"/>
      <c r="O272" s="469" t="n"/>
      <c r="P272" s="471" t="n"/>
      <c r="Q272" s="470">
        <f>IFERROR(__xludf.DUMMYFUNCTION("""COMPUTED_VALUE"""),"1.57")</f>
        <v/>
      </c>
      <c r="R272" s="470">
        <f>IFERROR(__xludf.DUMMYFUNCTION("""COMPUTED_VALUE"""),"stop有:1回目 0.68")</f>
        <v/>
      </c>
      <c r="S272" s="469" t="n"/>
      <c r="T272" s="469" t="n"/>
      <c r="U272" s="469" t="n"/>
      <c r="V272" s="469" t="n"/>
      <c r="W272" s="469" t="n"/>
      <c r="X272" s="469" t="n"/>
      <c r="Y272" s="469" t="n"/>
      <c r="Z272" s="469" t="n"/>
      <c r="AA272" s="469" t="n"/>
    </row>
    <row r="273">
      <c r="A273" s="468">
        <f>IFERROR(__xludf.DUMMYFUNCTION("""COMPUTED_VALUE"""),"glo")</f>
        <v/>
      </c>
      <c r="B273" s="469">
        <f>IFERROR(__xludf.DUMMYFUNCTION("""COMPUTED_VALUE"""),"GLOW")</f>
        <v/>
      </c>
      <c r="C273" s="470">
        <f>IFERROR(__xludf.DUMMYFUNCTION("""COMPUTED_VALUE"""),"00004")</f>
        <v/>
      </c>
      <c r="D273" s="469">
        <f>IFERROR(__xludf.DUMMYFUNCTION("""COMPUTED_VALUE"""),"enemy_glo_00004")</f>
        <v/>
      </c>
      <c r="E273" s="469">
        <f>IFERROR(__xludf.DUMMYFUNCTION("""COMPUTED_VALUE"""),"ピッチャーファントム")</f>
        <v/>
      </c>
      <c r="F273" s="469" t="n"/>
      <c r="G273" s="469" t="n"/>
      <c r="H273" s="469" t="n"/>
      <c r="I273" s="469" t="n"/>
      <c r="J273" s="469" t="n"/>
      <c r="K273" s="469">
        <f>IFERROR(__xludf.DUMMYFUNCTION("""COMPUTED_VALUE"""),"enemy")</f>
        <v/>
      </c>
      <c r="L273" s="469" t="n"/>
      <c r="M273" s="469" t="n"/>
      <c r="N273" s="469" t="n"/>
      <c r="O273" s="469" t="n"/>
      <c r="P273" s="471" t="n"/>
      <c r="Q273" s="470">
        <f>IFERROR(__xludf.DUMMYFUNCTION("""COMPUTED_VALUE"""),"1.6")</f>
        <v/>
      </c>
      <c r="R273" s="470">
        <f>IFERROR(__xludf.DUMMYFUNCTION("""COMPUTED_VALUE"""),"stop有:1回目 0.7")</f>
        <v/>
      </c>
      <c r="S273" s="469" t="n"/>
      <c r="T273" s="469" t="n"/>
      <c r="U273" s="469" t="n"/>
      <c r="V273" s="469" t="n"/>
      <c r="W273" s="469" t="n"/>
      <c r="X273" s="469" t="n"/>
      <c r="Y273" s="469" t="n"/>
      <c r="Z273" s="469" t="n"/>
      <c r="AA273" s="469" t="n"/>
    </row>
    <row r="274">
      <c r="A274" s="468">
        <f>IFERROR(__xludf.DUMMYFUNCTION("""COMPUTED_VALUE"""),"glo")</f>
        <v/>
      </c>
      <c r="B274" s="469">
        <f>IFERROR(__xludf.DUMMYFUNCTION("""COMPUTED_VALUE"""),"GLOW")</f>
        <v/>
      </c>
      <c r="C274" s="470">
        <f>IFERROR(__xludf.DUMMYFUNCTION("""COMPUTED_VALUE"""),"00005")</f>
        <v/>
      </c>
      <c r="D274" s="469">
        <f>IFERROR(__xludf.DUMMYFUNCTION("""COMPUTED_VALUE"""),"enemy_glo_00005")</f>
        <v/>
      </c>
      <c r="E274" s="469">
        <f>IFERROR(__xludf.DUMMYFUNCTION("""COMPUTED_VALUE"""),"野球帽ファントム")</f>
        <v/>
      </c>
      <c r="F274" s="469" t="n"/>
      <c r="G274" s="469" t="n"/>
      <c r="H274" s="469" t="n"/>
      <c r="I274" s="469" t="n"/>
      <c r="J274" s="469" t="n"/>
      <c r="K274" s="469">
        <f>IFERROR(__xludf.DUMMYFUNCTION("""COMPUTED_VALUE"""),"enemy")</f>
        <v/>
      </c>
      <c r="L274" s="469" t="n"/>
      <c r="M274" s="469" t="n"/>
      <c r="N274" s="469" t="n"/>
      <c r="O274" s="469" t="n"/>
      <c r="P274" s="471" t="n"/>
      <c r="Q274" s="470">
        <f>IFERROR(__xludf.DUMMYFUNCTION("""COMPUTED_VALUE"""),"1.57")</f>
        <v/>
      </c>
      <c r="R274" s="470">
        <f>IFERROR(__xludf.DUMMYFUNCTION("""COMPUTED_VALUE"""),"stop有:1回目 0.6")</f>
        <v/>
      </c>
      <c r="S274" s="470">
        <f>IFERROR(__xludf.DUMMYFUNCTION("""COMPUTED_VALUE"""),"-")</f>
        <v/>
      </c>
      <c r="T274" s="470">
        <f>IFERROR(__xludf.DUMMYFUNCTION("""COMPUTED_VALUE"""),"-")</f>
        <v/>
      </c>
      <c r="U274" s="469" t="n"/>
      <c r="V274" s="469" t="n"/>
      <c r="W274" s="469" t="n"/>
      <c r="X274" s="469" t="n"/>
      <c r="Y274" s="469" t="n"/>
      <c r="Z274" s="469" t="n"/>
      <c r="AA274" s="469" t="n"/>
    </row>
    <row r="275">
      <c r="A275" s="468">
        <f>IFERROR(__xludf.DUMMYFUNCTION("""COMPUTED_VALUE"""),"glo")</f>
        <v/>
      </c>
      <c r="B275" s="469">
        <f>IFERROR(__xludf.DUMMYFUNCTION("""COMPUTED_VALUE"""),"GLOW")</f>
        <v/>
      </c>
      <c r="C275" s="470">
        <f>IFERROR(__xludf.DUMMYFUNCTION("""COMPUTED_VALUE"""),"00006")</f>
        <v/>
      </c>
      <c r="D275" s="469">
        <f>IFERROR(__xludf.DUMMYFUNCTION("""COMPUTED_VALUE"""),"enemy_glo_00006")</f>
        <v/>
      </c>
      <c r="E275" s="469">
        <f>IFERROR(__xludf.DUMMYFUNCTION("""COMPUTED_VALUE"""),"ジューンブライドファントム")</f>
        <v/>
      </c>
      <c r="F275" s="469" t="n"/>
      <c r="G275" s="469" t="n"/>
      <c r="H275" s="469" t="n"/>
      <c r="I275" s="469" t="n"/>
      <c r="J275" s="469" t="n"/>
      <c r="K275" s="469">
        <f>IFERROR(__xludf.DUMMYFUNCTION("""COMPUTED_VALUE"""),"enemy")</f>
        <v/>
      </c>
      <c r="L275" s="469" t="n"/>
      <c r="M275" s="469" t="n"/>
      <c r="N275" s="469" t="n"/>
      <c r="O275" s="469" t="n"/>
      <c r="P275" s="471" t="n"/>
      <c r="Q275" s="470">
        <f>IFERROR(__xludf.DUMMYFUNCTION("""COMPUTED_VALUE"""),"1.17")</f>
        <v/>
      </c>
      <c r="R275" s="470">
        <f>IFERROR(__xludf.DUMMYFUNCTION("""COMPUTED_VALUE"""),"stop有:1回目 0.6")</f>
        <v/>
      </c>
      <c r="S275" s="470">
        <f>IFERROR(__xludf.DUMMYFUNCTION("""COMPUTED_VALUE"""),"-")</f>
        <v/>
      </c>
      <c r="T275" s="470">
        <f>IFERROR(__xludf.DUMMYFUNCTION("""COMPUTED_VALUE"""),"-")</f>
        <v/>
      </c>
      <c r="U275" s="469" t="n"/>
      <c r="V275" s="469" t="n"/>
      <c r="W275" s="469" t="n"/>
      <c r="X275" s="469" t="n"/>
      <c r="Y275" s="469" t="n"/>
      <c r="Z275" s="469" t="n"/>
      <c r="AA275" s="469" t="n"/>
    </row>
    <row r="276">
      <c r="A276" s="468">
        <f>IFERROR(__xludf.DUMMYFUNCTION("""COMPUTED_VALUE"""),"glo")</f>
        <v/>
      </c>
      <c r="B276" s="469">
        <f>IFERROR(__xludf.DUMMYFUNCTION("""COMPUTED_VALUE"""),"GLOW")</f>
        <v/>
      </c>
      <c r="C276" s="470">
        <f>IFERROR(__xludf.DUMMYFUNCTION("""COMPUTED_VALUE"""),"00007")</f>
        <v/>
      </c>
      <c r="D276" s="469">
        <f>IFERROR(__xludf.DUMMYFUNCTION("""COMPUTED_VALUE"""),"enemy_glo_00007")</f>
        <v/>
      </c>
      <c r="E276" s="469">
        <f>IFERROR(__xludf.DUMMYFUNCTION("""COMPUTED_VALUE"""),"黒服ファントム")</f>
        <v/>
      </c>
      <c r="F276" s="469" t="n"/>
      <c r="G276" s="469" t="n"/>
      <c r="H276" s="469" t="n"/>
      <c r="I276" s="469" t="n"/>
      <c r="J276" s="469" t="n"/>
      <c r="K276" s="469">
        <f>IFERROR(__xludf.DUMMYFUNCTION("""COMPUTED_VALUE"""),"enemy")</f>
        <v/>
      </c>
      <c r="L276" s="469" t="n"/>
      <c r="M276" s="469" t="n"/>
      <c r="N276" s="469" t="n"/>
      <c r="O276" s="469" t="n"/>
      <c r="P276" s="471" t="n"/>
      <c r="Q276" s="469" t="n"/>
      <c r="R276" s="469" t="n"/>
      <c r="S276" s="469" t="n"/>
      <c r="T276" s="469" t="n"/>
      <c r="U276" s="469" t="n"/>
      <c r="V276" s="469" t="n"/>
      <c r="W276" s="469" t="n"/>
      <c r="X276" s="469" t="n"/>
      <c r="Y276" s="469" t="n"/>
      <c r="Z276" s="469" t="n"/>
      <c r="AA276" s="469" t="n"/>
    </row>
    <row r="277">
      <c r="A277" s="468">
        <f>IFERROR(__xludf.DUMMYFUNCTION("""COMPUTED_VALUE"""),"glo")</f>
        <v/>
      </c>
      <c r="B277" s="469">
        <f>IFERROR(__xludf.DUMMYFUNCTION("""COMPUTED_VALUE"""),"GLOW")</f>
        <v/>
      </c>
      <c r="C277" s="470">
        <f>IFERROR(__xludf.DUMMYFUNCTION("""COMPUTED_VALUE"""),"00008")</f>
        <v/>
      </c>
      <c r="D277" s="469">
        <f>IFERROR(__xludf.DUMMYFUNCTION("""COMPUTED_VALUE"""),"enemy_glo_00008")</f>
        <v/>
      </c>
      <c r="E277" s="469">
        <f>IFERROR(__xludf.DUMMYFUNCTION("""COMPUTED_VALUE"""),"金色ファントム")</f>
        <v/>
      </c>
      <c r="F277" s="469" t="n"/>
      <c r="G277" s="469" t="n"/>
      <c r="H277" s="469" t="n"/>
      <c r="I277" s="469" t="n"/>
      <c r="J277" s="469" t="n"/>
      <c r="K277" s="469">
        <f>IFERROR(__xludf.DUMMYFUNCTION("""COMPUTED_VALUE"""),"enemy")</f>
        <v/>
      </c>
      <c r="L277" s="469" t="n"/>
      <c r="M277" s="469" t="n"/>
      <c r="N277" s="469" t="n"/>
      <c r="O277" s="469" t="n"/>
      <c r="P277" s="471" t="n"/>
      <c r="Q277" s="470">
        <f>IFERROR(__xludf.DUMMYFUNCTION("""COMPUTED_VALUE"""),"1.00")</f>
        <v/>
      </c>
      <c r="R277" s="470">
        <f>IFERROR(__xludf.DUMMYFUNCTION("""COMPUTED_VALUE"""),"stop有:1回目 0.50")</f>
        <v/>
      </c>
      <c r="S277" s="470">
        <f>IFERROR(__xludf.DUMMYFUNCTION("""COMPUTED_VALUE"""),"-")</f>
        <v/>
      </c>
      <c r="T277" s="470">
        <f>IFERROR(__xludf.DUMMYFUNCTION("""COMPUTED_VALUE"""),"-")</f>
        <v/>
      </c>
      <c r="U277" s="469" t="n"/>
      <c r="V277" s="469" t="n"/>
      <c r="W277" s="469" t="n"/>
      <c r="X277" s="469" t="n"/>
      <c r="Y277" s="469" t="n"/>
      <c r="Z277" s="469" t="n"/>
      <c r="AA277" s="469" t="n"/>
    </row>
    <row r="278">
      <c r="A278" s="468">
        <f>IFERROR(__xludf.DUMMYFUNCTION("""COMPUTED_VALUE"""),"glo")</f>
        <v/>
      </c>
      <c r="B278" s="469">
        <f>IFERROR(__xludf.DUMMYFUNCTION("""COMPUTED_VALUE"""),"GLOW")</f>
        <v/>
      </c>
      <c r="C278" s="470">
        <f>IFERROR(__xludf.DUMMYFUNCTION("""COMPUTED_VALUE"""),"00101")</f>
        <v/>
      </c>
      <c r="D278" s="469">
        <f>IFERROR(__xludf.DUMMYFUNCTION("""COMPUTED_VALUE"""),"enemy_glo_00101")</f>
        <v/>
      </c>
      <c r="E278" s="469">
        <f>IFERROR(__xludf.DUMMYFUNCTION("""COMPUTED_VALUE"""),"中ボスエネミー")</f>
        <v/>
      </c>
      <c r="F278" s="469">
        <f>IFERROR(__xludf.DUMMYFUNCTION("""COMPUTED_VALUE"""),"ボスファントム")</f>
        <v/>
      </c>
      <c r="G278" s="469">
        <f>IFERROR(__xludf.DUMMYFUNCTION("""COMPUTED_VALUE"""),"ー")</f>
        <v/>
      </c>
      <c r="H278" s="469" t="n"/>
      <c r="I278" s="469" t="n"/>
      <c r="J278" s="469" t="n"/>
      <c r="K278" s="469">
        <f>IFERROR(__xludf.DUMMYFUNCTION("""COMPUTED_VALUE"""),"enemy")</f>
        <v/>
      </c>
      <c r="L278" s="469">
        <f>IFERROR(__xludf.DUMMYFUNCTION("""COMPUTED_VALUE"""),"アタック")</f>
        <v/>
      </c>
      <c r="M278" s="469">
        <f>IFERROR(__xludf.DUMMYFUNCTION("""COMPUTED_VALUE"""),"-")</f>
        <v/>
      </c>
      <c r="N278" s="469" t="n"/>
      <c r="O278" s="469" t="n"/>
      <c r="P278" s="473">
        <f>IFERROR(__xludf.DUMMYFUNCTION("""COMPUTED_VALUE"""),"00101")</f>
        <v/>
      </c>
      <c r="Q278" s="470">
        <f>IFERROR(__xludf.DUMMYFUNCTION("""COMPUTED_VALUE"""),"1.17")</f>
        <v/>
      </c>
      <c r="R278" s="470">
        <f>IFERROR(__xludf.DUMMYFUNCTION("""COMPUTED_VALUE"""),"stop有:1回目 0.56")</f>
        <v/>
      </c>
      <c r="S278" s="470">
        <f>IFERROR(__xludf.DUMMYFUNCTION("""COMPUTED_VALUE"""),"-")</f>
        <v/>
      </c>
      <c r="T278" s="470">
        <f>IFERROR(__xludf.DUMMYFUNCTION("""COMPUTED_VALUE"""),"-")</f>
        <v/>
      </c>
      <c r="U278" s="472">
        <f>IFERROR(__xludf.DUMMYFUNCTION("""COMPUTED_VALUE"""),45658.0)</f>
        <v/>
      </c>
      <c r="V278" s="472">
        <f>IFERROR(__xludf.DUMMYFUNCTION("""COMPUTED_VALUE"""),390812.49998842593)</f>
        <v/>
      </c>
      <c r="W278" s="469">
        <f>IFERROR(__xludf.DUMMYFUNCTION("""COMPUTED_VALUE"""),"catchcopy_character_enemy_glo_00101.png")</f>
        <v/>
      </c>
      <c r="X278" s="469">
        <f>IFERROR(__xludf.DUMMYFUNCTION("""COMPUTED_VALUE"""),"enemy_icon_enemy_glo_00101")</f>
        <v/>
      </c>
      <c r="Y278" s="469">
        <f>IFERROR(__xludf.DUMMYFUNCTION("""COMPUTED_VALUE"""),"boss_icon_enemy_glo_00101")</f>
        <v/>
      </c>
      <c r="Z278" s="469" t="n"/>
      <c r="AA278" s="469" t="n"/>
    </row>
    <row r="279">
      <c r="A279" s="468">
        <f>IFERROR(__xludf.DUMMYFUNCTION("""COMPUTED_VALUE"""),"glo")</f>
        <v/>
      </c>
      <c r="B279" s="469">
        <f>IFERROR(__xludf.DUMMYFUNCTION("""COMPUTED_VALUE"""),"GLOW")</f>
        <v/>
      </c>
      <c r="C279" s="470">
        <f>IFERROR(__xludf.DUMMYFUNCTION("""COMPUTED_VALUE"""),"00901")</f>
        <v/>
      </c>
      <c r="D279" s="469">
        <f>IFERROR(__xludf.DUMMYFUNCTION("""COMPUTED_VALUE"""),"enemy_glo_00901")</f>
        <v/>
      </c>
      <c r="E279" s="469">
        <f>IFERROR(__xludf.DUMMYFUNCTION("""COMPUTED_VALUE"""),"宝箱")</f>
        <v/>
      </c>
      <c r="F279" s="469">
        <f>IFERROR(__xludf.DUMMYFUNCTION("""COMPUTED_VALUE"""),"宝箱")</f>
        <v/>
      </c>
      <c r="G279" s="469">
        <f>IFERROR(__xludf.DUMMYFUNCTION("""COMPUTED_VALUE"""),"ー")</f>
        <v/>
      </c>
      <c r="H279" s="469" t="n"/>
      <c r="I279" s="469" t="n"/>
      <c r="J279" s="469">
        <f>IFERROR(__xludf.DUMMYFUNCTION("""COMPUTED_VALUE"""),"無")</f>
        <v/>
      </c>
      <c r="K279" s="469">
        <f>IFERROR(__xludf.DUMMYFUNCTION("""COMPUTED_VALUE"""),"enemy")</f>
        <v/>
      </c>
      <c r="L279" s="469">
        <f>IFERROR(__xludf.DUMMYFUNCTION("""COMPUTED_VALUE"""),"アタック")</f>
        <v/>
      </c>
      <c r="M279" s="469">
        <f>IFERROR(__xludf.DUMMYFUNCTION("""COMPUTED_VALUE"""),"-")</f>
        <v/>
      </c>
      <c r="N279" s="469" t="n"/>
      <c r="O279" s="469" t="n"/>
      <c r="P279" s="473">
        <f>IFERROR(__xludf.DUMMYFUNCTION("""COMPUTED_VALUE"""),"00901")</f>
        <v/>
      </c>
      <c r="Q279" s="469" t="n"/>
      <c r="R279" s="469" t="n"/>
      <c r="S279" s="469" t="n"/>
      <c r="T279" s="469" t="n"/>
      <c r="U279" s="472">
        <f>IFERROR(__xludf.DUMMYFUNCTION("""COMPUTED_VALUE"""),45658.0)</f>
        <v/>
      </c>
      <c r="V279" s="472">
        <f>IFERROR(__xludf.DUMMYFUNCTION("""COMPUTED_VALUE"""),390812.49998842593)</f>
        <v/>
      </c>
      <c r="W279" s="469">
        <f>IFERROR(__xludf.DUMMYFUNCTION("""COMPUTED_VALUE"""),"catchcopy_character_enemy_glo_00901.png")</f>
        <v/>
      </c>
      <c r="X279" s="469">
        <f>IFERROR(__xludf.DUMMYFUNCTION("""COMPUTED_VALUE"""),"enemy_icon_enemy_glo_00901")</f>
        <v/>
      </c>
      <c r="Y279" s="469">
        <f>IFERROR(__xludf.DUMMYFUNCTION("""COMPUTED_VALUE"""),"boss_icon_enemy_glo_00901")</f>
        <v/>
      </c>
      <c r="Z279" s="469" t="n"/>
      <c r="AA279" s="469" t="n"/>
    </row>
    <row r="280">
      <c r="A280" s="468" t="n"/>
      <c r="B280" s="469" t="n"/>
      <c r="C280" s="469" t="n"/>
      <c r="D280" s="469" t="n"/>
      <c r="E280" s="469" t="n"/>
      <c r="F280" s="469" t="n"/>
      <c r="G280" s="469" t="n"/>
      <c r="H280" s="469" t="n"/>
      <c r="I280" s="469" t="n"/>
      <c r="J280" s="469">
        <f>IFERROR(__xludf.DUMMYFUNCTION("""COMPUTED_VALUE"""),"無")</f>
        <v/>
      </c>
      <c r="K280" s="469" t="n"/>
      <c r="L280" s="469">
        <f>IFERROR(__xludf.DUMMYFUNCTION("""COMPUTED_VALUE"""),"アタック")</f>
        <v/>
      </c>
      <c r="M280" s="469" t="n"/>
      <c r="N280" s="469" t="n"/>
      <c r="O280" s="469" t="n"/>
      <c r="P280" s="471" t="n"/>
      <c r="Q280" s="469" t="n"/>
      <c r="R280" s="469" t="n"/>
      <c r="S280" s="469" t="n"/>
      <c r="T280" s="469" t="n"/>
      <c r="U280" s="469" t="n"/>
      <c r="V280" s="469" t="n"/>
      <c r="W280" s="469" t="n"/>
      <c r="X280" s="469" t="n"/>
      <c r="Y280" s="469" t="n"/>
      <c r="Z280" s="469" t="n"/>
      <c r="AA280" s="469" t="n"/>
    </row>
    <row r="281">
      <c r="A281" s="468" t="n"/>
      <c r="B281" s="469" t="n"/>
      <c r="C281" s="469" t="n"/>
      <c r="D281" s="469" t="n"/>
      <c r="E281" s="469" t="n"/>
      <c r="F281" s="469" t="n"/>
      <c r="G281" s="469" t="n"/>
      <c r="H281" s="469" t="n"/>
      <c r="I281" s="469" t="n"/>
      <c r="J281" s="469" t="n"/>
      <c r="K281" s="469" t="n"/>
      <c r="L281" s="469" t="n"/>
      <c r="M281" s="469" t="n"/>
      <c r="N281" s="469" t="n"/>
      <c r="O281" s="469" t="n"/>
      <c r="P281" s="471" t="n"/>
      <c r="Q281" s="469" t="n"/>
      <c r="R281" s="469" t="n"/>
      <c r="S281" s="469" t="n"/>
      <c r="T281" s="469" t="n"/>
      <c r="U281" s="469" t="n"/>
      <c r="V281" s="469" t="n"/>
      <c r="W281" s="469" t="n"/>
      <c r="X281" s="469" t="n"/>
      <c r="Y281" s="469" t="n"/>
      <c r="Z281" s="469" t="n"/>
      <c r="AA281" s="469" t="n"/>
    </row>
    <row r="282">
      <c r="A282" s="468" t="n"/>
      <c r="B282" s="469" t="n"/>
      <c r="C282" s="469" t="n"/>
      <c r="D282" s="469" t="n"/>
      <c r="E282" s="469" t="n"/>
      <c r="F282" s="469" t="n"/>
      <c r="G282" s="469" t="n"/>
      <c r="H282" s="469" t="n"/>
      <c r="I282" s="469" t="n"/>
      <c r="J282" s="469" t="n"/>
      <c r="K282" s="469" t="n"/>
      <c r="L282" s="469" t="n"/>
      <c r="M282" s="469" t="n"/>
      <c r="N282" s="469" t="n"/>
      <c r="O282" s="469" t="n"/>
      <c r="P282" s="471" t="n"/>
      <c r="Q282" s="469" t="n"/>
      <c r="R282" s="469" t="n"/>
      <c r="S282" s="469" t="n"/>
      <c r="T282" s="469" t="n"/>
      <c r="U282" s="469" t="n"/>
      <c r="V282" s="469" t="n"/>
      <c r="W282" s="469" t="n"/>
      <c r="X282" s="469" t="n"/>
      <c r="Y282" s="469" t="n"/>
      <c r="Z282" s="469" t="n"/>
      <c r="AA282" s="469" t="n"/>
    </row>
    <row r="283">
      <c r="A283" s="468" t="n"/>
      <c r="B283" s="469" t="n"/>
      <c r="C283" s="469" t="n"/>
      <c r="D283" s="469" t="n"/>
      <c r="E283" s="469" t="n"/>
      <c r="F283" s="469" t="n"/>
      <c r="G283" s="469" t="n"/>
      <c r="H283" s="469" t="n"/>
      <c r="I283" s="469" t="n"/>
      <c r="J283" s="469" t="n"/>
      <c r="K283" s="469" t="n"/>
      <c r="L283" s="469" t="n"/>
      <c r="M283" s="469" t="n"/>
      <c r="N283" s="469" t="n"/>
      <c r="O283" s="469" t="n"/>
      <c r="P283" s="471" t="n"/>
      <c r="Q283" s="469" t="n"/>
      <c r="R283" s="469" t="n"/>
      <c r="S283" s="469" t="n"/>
      <c r="T283" s="469" t="n"/>
      <c r="U283" s="469" t="n"/>
      <c r="V283" s="469" t="n"/>
      <c r="W283" s="469" t="n"/>
      <c r="X283" s="469" t="n"/>
      <c r="Y283" s="469" t="n"/>
      <c r="Z283" s="469" t="n"/>
      <c r="AA283" s="469" t="n"/>
    </row>
    <row r="284">
      <c r="A284" s="468" t="n"/>
      <c r="B284" s="469" t="n"/>
      <c r="C284" s="469" t="n"/>
      <c r="D284" s="469" t="n"/>
      <c r="E284" s="469" t="n"/>
      <c r="F284" s="469" t="n"/>
      <c r="G284" s="469" t="n"/>
      <c r="H284" s="469" t="n"/>
      <c r="I284" s="469" t="n"/>
      <c r="J284" s="469" t="n"/>
      <c r="K284" s="469" t="n"/>
      <c r="L284" s="469" t="n"/>
      <c r="M284" s="469" t="n"/>
      <c r="N284" s="469" t="n"/>
      <c r="O284" s="469" t="n"/>
      <c r="P284" s="471" t="n"/>
      <c r="Q284" s="469" t="n"/>
      <c r="R284" s="469" t="n"/>
      <c r="S284" s="469" t="n"/>
      <c r="T284" s="469" t="n"/>
      <c r="U284" s="469" t="n"/>
      <c r="V284" s="469" t="n"/>
      <c r="W284" s="469" t="n"/>
      <c r="X284" s="469" t="n"/>
      <c r="Y284" s="469" t="n"/>
      <c r="Z284" s="469" t="n"/>
      <c r="AA284" s="469" t="n"/>
    </row>
    <row r="285">
      <c r="A285" s="468" t="n"/>
      <c r="B285" s="469" t="n"/>
      <c r="C285" s="469" t="n"/>
      <c r="D285" s="469" t="n"/>
      <c r="E285" s="469" t="n"/>
      <c r="F285" s="469" t="n"/>
      <c r="G285" s="469" t="n"/>
      <c r="H285" s="469" t="n"/>
      <c r="I285" s="469" t="n"/>
      <c r="J285" s="469" t="n"/>
      <c r="K285" s="469" t="n"/>
      <c r="L285" s="469" t="n"/>
      <c r="M285" s="469" t="n"/>
      <c r="N285" s="469" t="n"/>
      <c r="O285" s="469" t="n"/>
      <c r="P285" s="471" t="n"/>
      <c r="Q285" s="469" t="n"/>
      <c r="R285" s="469" t="n"/>
      <c r="S285" s="469" t="n"/>
      <c r="T285" s="469" t="n"/>
      <c r="U285" s="469" t="n"/>
      <c r="V285" s="469" t="n"/>
      <c r="W285" s="469" t="n"/>
      <c r="X285" s="469" t="n"/>
      <c r="Y285" s="469" t="n"/>
      <c r="Z285" s="469" t="n"/>
      <c r="AA285" s="469" t="n"/>
    </row>
    <row r="286">
      <c r="A286" s="468" t="n"/>
      <c r="B286" s="469" t="n"/>
      <c r="C286" s="469" t="n"/>
      <c r="D286" s="469" t="n"/>
      <c r="E286" s="469" t="n"/>
      <c r="F286" s="469" t="n"/>
      <c r="G286" s="469" t="n"/>
      <c r="H286" s="469" t="n"/>
      <c r="I286" s="469" t="n"/>
      <c r="J286" s="469" t="n"/>
      <c r="K286" s="469" t="n"/>
      <c r="L286" s="469" t="n"/>
      <c r="M286" s="469" t="n"/>
      <c r="N286" s="469" t="n"/>
      <c r="O286" s="469" t="n"/>
      <c r="P286" s="471" t="n"/>
      <c r="Q286" s="469" t="n"/>
      <c r="R286" s="469" t="n"/>
      <c r="S286" s="469" t="n"/>
      <c r="T286" s="469" t="n"/>
      <c r="U286" s="469" t="n"/>
      <c r="V286" s="469" t="n"/>
      <c r="W286" s="469" t="n"/>
      <c r="X286" s="469" t="n"/>
      <c r="Y286" s="469" t="n"/>
      <c r="Z286" s="469" t="n"/>
      <c r="AA286" s="469" t="n"/>
    </row>
    <row r="287">
      <c r="A287" s="468" t="n"/>
      <c r="B287" s="469" t="n"/>
      <c r="C287" s="469" t="n"/>
      <c r="D287" s="469" t="n"/>
      <c r="E287" s="469" t="n"/>
      <c r="F287" s="469" t="n"/>
      <c r="G287" s="469" t="n"/>
      <c r="H287" s="469" t="n"/>
      <c r="I287" s="469" t="n"/>
      <c r="J287" s="469" t="n"/>
      <c r="K287" s="469" t="n"/>
      <c r="L287" s="469" t="n"/>
      <c r="M287" s="469" t="n"/>
      <c r="N287" s="469" t="n"/>
      <c r="O287" s="469" t="n"/>
      <c r="P287" s="471" t="n"/>
      <c r="Q287" s="469" t="n"/>
      <c r="R287" s="469" t="n"/>
      <c r="S287" s="469" t="n"/>
      <c r="T287" s="469" t="n"/>
      <c r="U287" s="469" t="n"/>
      <c r="V287" s="469" t="n"/>
      <c r="W287" s="469" t="n"/>
      <c r="X287" s="469" t="n"/>
      <c r="Y287" s="469" t="n"/>
      <c r="Z287" s="469" t="n"/>
      <c r="AA287" s="469" t="n"/>
    </row>
    <row r="288">
      <c r="A288" s="468" t="n"/>
      <c r="B288" s="469" t="n"/>
      <c r="C288" s="469" t="n"/>
      <c r="D288" s="469" t="n"/>
      <c r="E288" s="469" t="n"/>
      <c r="F288" s="469" t="n"/>
      <c r="G288" s="469" t="n"/>
      <c r="H288" s="469" t="n"/>
      <c r="I288" s="469" t="n"/>
      <c r="J288" s="469" t="n"/>
      <c r="K288" s="469" t="n"/>
      <c r="L288" s="469" t="n"/>
      <c r="M288" s="469" t="n"/>
      <c r="N288" s="469" t="n"/>
      <c r="O288" s="469" t="n"/>
      <c r="P288" s="471" t="n"/>
      <c r="Q288" s="469" t="n"/>
      <c r="R288" s="469" t="n"/>
      <c r="S288" s="469" t="n"/>
      <c r="T288" s="469" t="n"/>
      <c r="U288" s="469" t="n"/>
      <c r="V288" s="469" t="n"/>
      <c r="W288" s="469" t="n"/>
      <c r="X288" s="469" t="n"/>
      <c r="Y288" s="469" t="n"/>
      <c r="Z288" s="469" t="n"/>
      <c r="AA288" s="469" t="n"/>
    </row>
    <row r="289">
      <c r="A289" s="468" t="n"/>
      <c r="B289" s="469" t="n"/>
      <c r="C289" s="469" t="n"/>
      <c r="D289" s="469" t="n"/>
      <c r="E289" s="469" t="n"/>
      <c r="F289" s="469" t="n"/>
      <c r="G289" s="469" t="n"/>
      <c r="H289" s="469" t="n"/>
      <c r="I289" s="469" t="n"/>
      <c r="J289" s="469" t="n"/>
      <c r="K289" s="469" t="n"/>
      <c r="L289" s="469" t="n"/>
      <c r="M289" s="469" t="n"/>
      <c r="N289" s="469" t="n"/>
      <c r="O289" s="469" t="n"/>
      <c r="P289" s="471" t="n"/>
      <c r="Q289" s="469" t="n"/>
      <c r="R289" s="469" t="n"/>
      <c r="S289" s="469" t="n"/>
      <c r="T289" s="469" t="n"/>
      <c r="U289" s="469" t="n"/>
      <c r="V289" s="469" t="n"/>
      <c r="W289" s="469" t="n"/>
      <c r="X289" s="469" t="n"/>
      <c r="Y289" s="469" t="n"/>
      <c r="Z289" s="469" t="n"/>
      <c r="AA289" s="469" t="n"/>
    </row>
    <row r="290">
      <c r="A290" s="468" t="n"/>
      <c r="B290" s="469" t="n"/>
      <c r="C290" s="469" t="n"/>
      <c r="D290" s="469" t="n"/>
      <c r="E290" s="469" t="n"/>
      <c r="F290" s="469" t="n"/>
      <c r="G290" s="469" t="n"/>
      <c r="H290" s="469" t="n"/>
      <c r="I290" s="469" t="n"/>
      <c r="J290" s="469" t="n"/>
      <c r="K290" s="469" t="n"/>
      <c r="L290" s="469" t="n"/>
      <c r="M290" s="469" t="n"/>
      <c r="N290" s="469" t="n"/>
      <c r="O290" s="469" t="n"/>
      <c r="P290" s="471" t="n"/>
      <c r="Q290" s="469" t="n"/>
      <c r="R290" s="469" t="n"/>
      <c r="S290" s="469" t="n"/>
      <c r="T290" s="469" t="n"/>
      <c r="U290" s="469" t="n"/>
      <c r="V290" s="469" t="n"/>
      <c r="W290" s="469" t="n"/>
      <c r="X290" s="469" t="n"/>
      <c r="Y290" s="469" t="n"/>
      <c r="Z290" s="469" t="n"/>
      <c r="AA290" s="469" t="n"/>
    </row>
    <row r="291">
      <c r="A291" s="468" t="n"/>
      <c r="B291" s="469" t="n"/>
      <c r="C291" s="469" t="n"/>
      <c r="D291" s="469" t="n"/>
      <c r="E291" s="469" t="n"/>
      <c r="F291" s="469" t="n"/>
      <c r="G291" s="469" t="n"/>
      <c r="H291" s="469" t="n"/>
      <c r="I291" s="469" t="n"/>
      <c r="J291" s="469" t="n"/>
      <c r="K291" s="469" t="n"/>
      <c r="L291" s="469" t="n"/>
      <c r="M291" s="469" t="n"/>
      <c r="N291" s="469" t="n"/>
      <c r="O291" s="469" t="n"/>
      <c r="P291" s="471" t="n"/>
      <c r="Q291" s="469" t="n"/>
      <c r="R291" s="469" t="n"/>
      <c r="S291" s="469" t="n"/>
      <c r="T291" s="469" t="n"/>
      <c r="U291" s="469" t="n"/>
      <c r="V291" s="469" t="n"/>
      <c r="W291" s="469" t="n"/>
      <c r="X291" s="469" t="n"/>
      <c r="Y291" s="469" t="n"/>
      <c r="Z291" s="469" t="n"/>
      <c r="AA291" s="469" t="n"/>
    </row>
    <row r="292">
      <c r="A292" s="468" t="n"/>
      <c r="B292" s="469" t="n"/>
      <c r="C292" s="469" t="n"/>
      <c r="D292" s="469" t="n"/>
      <c r="E292" s="469" t="n"/>
      <c r="F292" s="469" t="n"/>
      <c r="G292" s="469" t="n"/>
      <c r="H292" s="469" t="n"/>
      <c r="I292" s="469" t="n"/>
      <c r="J292" s="469" t="n"/>
      <c r="K292" s="469" t="n"/>
      <c r="L292" s="469" t="n"/>
      <c r="M292" s="469" t="n"/>
      <c r="N292" s="469" t="n"/>
      <c r="O292" s="469" t="n"/>
      <c r="P292" s="471" t="n"/>
      <c r="Q292" s="469" t="n"/>
      <c r="R292" s="469" t="n"/>
      <c r="S292" s="469" t="n"/>
      <c r="T292" s="469" t="n"/>
      <c r="U292" s="469" t="n"/>
      <c r="V292" s="469" t="n"/>
      <c r="W292" s="469" t="n"/>
      <c r="X292" s="469" t="n"/>
      <c r="Y292" s="469" t="n"/>
      <c r="Z292" s="469" t="n"/>
      <c r="AA292" s="469" t="n"/>
    </row>
    <row r="293">
      <c r="A293" s="468" t="n"/>
      <c r="B293" s="469" t="n"/>
      <c r="C293" s="469" t="n"/>
      <c r="D293" s="469" t="n"/>
      <c r="E293" s="469" t="n"/>
      <c r="F293" s="469" t="n"/>
      <c r="G293" s="469" t="n"/>
      <c r="H293" s="469" t="n"/>
      <c r="I293" s="469" t="n"/>
      <c r="J293" s="469" t="n"/>
      <c r="K293" s="469" t="n"/>
      <c r="L293" s="469" t="n"/>
      <c r="M293" s="469" t="n"/>
      <c r="N293" s="469" t="n"/>
      <c r="O293" s="469" t="n"/>
      <c r="P293" s="471" t="n"/>
      <c r="Q293" s="469" t="n"/>
      <c r="R293" s="469" t="n"/>
      <c r="S293" s="469" t="n"/>
      <c r="T293" s="469" t="n"/>
      <c r="U293" s="469" t="n"/>
      <c r="V293" s="469" t="n"/>
      <c r="W293" s="469" t="n"/>
      <c r="X293" s="469" t="n"/>
      <c r="Y293" s="469" t="n"/>
      <c r="Z293" s="469" t="n"/>
      <c r="AA293" s="469" t="n"/>
    </row>
    <row r="294">
      <c r="A294" s="468" t="n"/>
      <c r="B294" s="469" t="n"/>
      <c r="C294" s="469" t="n"/>
      <c r="D294" s="469" t="n"/>
      <c r="E294" s="469" t="n"/>
      <c r="F294" s="469" t="n"/>
      <c r="G294" s="469" t="n"/>
      <c r="H294" s="469" t="n"/>
      <c r="I294" s="469" t="n"/>
      <c r="J294" s="469" t="n"/>
      <c r="K294" s="469" t="n"/>
      <c r="L294" s="469" t="n"/>
      <c r="M294" s="469" t="n"/>
      <c r="N294" s="469" t="n"/>
      <c r="O294" s="469" t="n"/>
      <c r="P294" s="471" t="n"/>
      <c r="Q294" s="469" t="n"/>
      <c r="R294" s="469" t="n"/>
      <c r="S294" s="469" t="n"/>
      <c r="T294" s="469" t="n"/>
      <c r="U294" s="469" t="n"/>
      <c r="V294" s="469" t="n"/>
      <c r="W294" s="469" t="n"/>
      <c r="X294" s="469" t="n"/>
      <c r="Y294" s="469" t="n"/>
      <c r="Z294" s="469" t="n"/>
      <c r="AA294" s="469" t="n"/>
    </row>
    <row r="295">
      <c r="A295" s="468" t="n"/>
      <c r="B295" s="469" t="n"/>
      <c r="C295" s="469" t="n"/>
      <c r="D295" s="469" t="n"/>
      <c r="E295" s="469" t="n"/>
      <c r="F295" s="469" t="n"/>
      <c r="G295" s="469" t="n"/>
      <c r="H295" s="469" t="n"/>
      <c r="I295" s="469" t="n"/>
      <c r="J295" s="469" t="n"/>
      <c r="K295" s="469" t="n"/>
      <c r="L295" s="469" t="n"/>
      <c r="M295" s="469" t="n"/>
      <c r="N295" s="469" t="n"/>
      <c r="O295" s="469" t="n"/>
      <c r="P295" s="471" t="n"/>
      <c r="Q295" s="469" t="n"/>
      <c r="R295" s="469" t="n"/>
      <c r="S295" s="469" t="n"/>
      <c r="T295" s="469" t="n"/>
      <c r="U295" s="469" t="n"/>
      <c r="V295" s="469" t="n"/>
      <c r="W295" s="469" t="n"/>
      <c r="X295" s="469" t="n"/>
      <c r="Y295" s="469" t="n"/>
      <c r="Z295" s="469" t="n"/>
      <c r="AA295" s="469" t="n"/>
    </row>
    <row r="296">
      <c r="A296" s="468" t="n"/>
      <c r="B296" s="469" t="n"/>
      <c r="C296" s="469" t="n"/>
      <c r="D296" s="469" t="n"/>
      <c r="E296" s="469" t="n"/>
      <c r="F296" s="469" t="n"/>
      <c r="G296" s="469" t="n"/>
      <c r="H296" s="469" t="n"/>
      <c r="I296" s="469" t="n"/>
      <c r="J296" s="469" t="n"/>
      <c r="K296" s="469" t="n"/>
      <c r="L296" s="469" t="n"/>
      <c r="M296" s="469" t="n"/>
      <c r="N296" s="469" t="n"/>
      <c r="O296" s="469" t="n"/>
      <c r="P296" s="471" t="n"/>
      <c r="Q296" s="469" t="n"/>
      <c r="R296" s="469" t="n"/>
      <c r="S296" s="469" t="n"/>
      <c r="T296" s="469" t="n"/>
      <c r="U296" s="469" t="n"/>
      <c r="V296" s="469" t="n"/>
      <c r="W296" s="469" t="n"/>
      <c r="X296" s="469" t="n"/>
      <c r="Y296" s="469" t="n"/>
      <c r="Z296" s="469" t="n"/>
      <c r="AA296" s="469" t="n"/>
    </row>
    <row r="297">
      <c r="A297" s="468" t="n"/>
      <c r="B297" s="469" t="n"/>
      <c r="C297" s="469" t="n"/>
      <c r="D297" s="469" t="n"/>
      <c r="E297" s="469" t="n"/>
      <c r="F297" s="469" t="n"/>
      <c r="G297" s="469" t="n"/>
      <c r="H297" s="469" t="n"/>
      <c r="I297" s="469" t="n"/>
      <c r="J297" s="469" t="n"/>
      <c r="K297" s="469" t="n"/>
      <c r="L297" s="469" t="n"/>
      <c r="M297" s="469" t="n"/>
      <c r="N297" s="469" t="n"/>
      <c r="O297" s="469" t="n"/>
      <c r="P297" s="471" t="n"/>
      <c r="Q297" s="469" t="n"/>
      <c r="R297" s="469" t="n"/>
      <c r="S297" s="469" t="n"/>
      <c r="T297" s="469" t="n"/>
      <c r="U297" s="469" t="n"/>
      <c r="V297" s="469" t="n"/>
      <c r="W297" s="469" t="n"/>
      <c r="X297" s="469" t="n"/>
      <c r="Y297" s="469" t="n"/>
      <c r="Z297" s="469" t="n"/>
      <c r="AA297" s="469" t="n"/>
    </row>
    <row r="298">
      <c r="A298" s="468" t="n"/>
      <c r="B298" s="469" t="n"/>
      <c r="C298" s="469" t="n"/>
      <c r="D298" s="469" t="n"/>
      <c r="E298" s="469" t="n"/>
      <c r="F298" s="469" t="n"/>
      <c r="G298" s="469" t="n"/>
      <c r="H298" s="469" t="n"/>
      <c r="I298" s="469" t="n"/>
      <c r="J298" s="469" t="n"/>
      <c r="K298" s="469" t="n"/>
      <c r="L298" s="469" t="n"/>
      <c r="M298" s="469" t="n"/>
      <c r="N298" s="469" t="n"/>
      <c r="O298" s="469" t="n"/>
      <c r="P298" s="471" t="n"/>
      <c r="Q298" s="469" t="n"/>
      <c r="R298" s="469" t="n"/>
      <c r="S298" s="469" t="n"/>
      <c r="T298" s="469" t="n"/>
      <c r="U298" s="469" t="n"/>
      <c r="V298" s="469" t="n"/>
      <c r="W298" s="469" t="n"/>
      <c r="X298" s="469" t="n"/>
      <c r="Y298" s="469" t="n"/>
      <c r="Z298" s="469" t="n"/>
      <c r="AA298" s="469" t="n"/>
    </row>
    <row r="299">
      <c r="A299" s="468" t="n"/>
      <c r="B299" s="469" t="n"/>
      <c r="C299" s="469" t="n"/>
      <c r="D299" s="469" t="n"/>
      <c r="E299" s="469" t="n"/>
      <c r="F299" s="469" t="n"/>
      <c r="G299" s="469" t="n"/>
      <c r="H299" s="469" t="n"/>
      <c r="I299" s="469" t="n"/>
      <c r="J299" s="469" t="n"/>
      <c r="K299" s="469" t="n"/>
      <c r="L299" s="469" t="n"/>
      <c r="M299" s="469" t="n"/>
      <c r="N299" s="469" t="n"/>
      <c r="O299" s="469" t="n"/>
      <c r="P299" s="471" t="n"/>
      <c r="Q299" s="469" t="n"/>
      <c r="R299" s="469" t="n"/>
      <c r="S299" s="469" t="n"/>
      <c r="T299" s="469" t="n"/>
      <c r="U299" s="469" t="n"/>
      <c r="V299" s="469" t="n"/>
      <c r="W299" s="469" t="n"/>
      <c r="X299" s="469" t="n"/>
      <c r="Y299" s="469" t="n"/>
      <c r="Z299" s="469" t="n"/>
      <c r="AA299" s="469" t="n"/>
    </row>
    <row r="300">
      <c r="A300" s="468" t="n"/>
      <c r="B300" s="469" t="n"/>
      <c r="C300" s="469" t="n"/>
      <c r="D300" s="469" t="n"/>
      <c r="E300" s="469" t="n"/>
      <c r="F300" s="469" t="n"/>
      <c r="G300" s="469" t="n"/>
      <c r="H300" s="469" t="n"/>
      <c r="I300" s="469" t="n"/>
      <c r="J300" s="469" t="n"/>
      <c r="K300" s="469" t="n"/>
      <c r="L300" s="469" t="n"/>
      <c r="M300" s="469" t="n"/>
      <c r="N300" s="469" t="n"/>
      <c r="O300" s="469" t="n"/>
      <c r="P300" s="471" t="n"/>
      <c r="Q300" s="469" t="n"/>
      <c r="R300" s="469" t="n"/>
      <c r="S300" s="469" t="n"/>
      <c r="T300" s="469" t="n"/>
      <c r="U300" s="469" t="n"/>
      <c r="V300" s="469" t="n"/>
      <c r="W300" s="469" t="n"/>
      <c r="X300" s="469" t="n"/>
      <c r="Y300" s="469" t="n"/>
      <c r="Z300" s="469" t="n"/>
      <c r="AA300" s="469" t="n"/>
    </row>
    <row r="301">
      <c r="A301" s="468" t="n"/>
      <c r="B301" s="469" t="n"/>
      <c r="C301" s="469" t="n"/>
      <c r="D301" s="469" t="n"/>
      <c r="E301" s="469" t="n"/>
      <c r="F301" s="469" t="n"/>
      <c r="G301" s="469" t="n"/>
      <c r="H301" s="469" t="n"/>
      <c r="I301" s="469" t="n"/>
      <c r="J301" s="469" t="n"/>
      <c r="K301" s="469" t="n"/>
      <c r="L301" s="469" t="n"/>
      <c r="M301" s="469" t="n"/>
      <c r="N301" s="469" t="n"/>
      <c r="O301" s="469" t="n"/>
      <c r="P301" s="471" t="n"/>
      <c r="Q301" s="469" t="n"/>
      <c r="R301" s="469" t="n"/>
      <c r="S301" s="469" t="n"/>
      <c r="T301" s="469" t="n"/>
      <c r="U301" s="469" t="n"/>
      <c r="V301" s="469" t="n"/>
      <c r="W301" s="469" t="n"/>
      <c r="X301" s="469" t="n"/>
      <c r="Y301" s="469" t="n"/>
      <c r="Z301" s="469" t="n"/>
      <c r="AA301" s="469" t="n"/>
    </row>
    <row r="302">
      <c r="A302" s="468" t="n"/>
      <c r="B302" s="469" t="n"/>
      <c r="C302" s="469" t="n"/>
      <c r="D302" s="469" t="n"/>
      <c r="E302" s="469" t="n"/>
      <c r="F302" s="469" t="n"/>
      <c r="G302" s="469" t="n"/>
      <c r="H302" s="469" t="n"/>
      <c r="I302" s="469" t="n"/>
      <c r="J302" s="469" t="n"/>
      <c r="K302" s="469" t="n"/>
      <c r="L302" s="469" t="n"/>
      <c r="M302" s="469" t="n"/>
      <c r="N302" s="469" t="n"/>
      <c r="O302" s="469" t="n"/>
      <c r="P302" s="471" t="n"/>
      <c r="Q302" s="469" t="n"/>
      <c r="R302" s="469" t="n"/>
      <c r="S302" s="469" t="n"/>
      <c r="T302" s="469" t="n"/>
      <c r="U302" s="469" t="n"/>
      <c r="V302" s="469" t="n"/>
      <c r="W302" s="469" t="n"/>
      <c r="X302" s="469" t="n"/>
      <c r="Y302" s="469" t="n"/>
      <c r="Z302" s="469" t="n"/>
      <c r="AA302" s="469" t="n"/>
    </row>
    <row r="303">
      <c r="A303" s="468" t="n"/>
      <c r="B303" s="469" t="n"/>
      <c r="C303" s="469" t="n"/>
      <c r="D303" s="469" t="n"/>
      <c r="E303" s="469" t="n"/>
      <c r="F303" s="469" t="n"/>
      <c r="G303" s="469" t="n"/>
      <c r="H303" s="469" t="n"/>
      <c r="I303" s="469" t="n"/>
      <c r="J303" s="469" t="n"/>
      <c r="K303" s="469" t="n"/>
      <c r="L303" s="469" t="n"/>
      <c r="M303" s="469" t="n"/>
      <c r="N303" s="469" t="n"/>
      <c r="O303" s="469" t="n"/>
      <c r="P303" s="471" t="n"/>
      <c r="Q303" s="469" t="n"/>
      <c r="R303" s="469" t="n"/>
      <c r="S303" s="469" t="n"/>
      <c r="T303" s="469" t="n"/>
      <c r="U303" s="469" t="n"/>
      <c r="V303" s="469" t="n"/>
      <c r="W303" s="469" t="n"/>
      <c r="X303" s="469" t="n"/>
      <c r="Y303" s="469" t="n"/>
      <c r="Z303" s="469" t="n"/>
      <c r="AA303" s="469" t="n"/>
    </row>
    <row r="304">
      <c r="A304" s="468" t="n"/>
      <c r="B304" s="469" t="n"/>
      <c r="C304" s="469" t="n"/>
      <c r="D304" s="469" t="n"/>
      <c r="E304" s="469" t="n"/>
      <c r="F304" s="469" t="n"/>
      <c r="G304" s="469" t="n"/>
      <c r="H304" s="469" t="n"/>
      <c r="I304" s="469" t="n"/>
      <c r="J304" s="469" t="n"/>
      <c r="K304" s="469" t="n"/>
      <c r="L304" s="469" t="n"/>
      <c r="M304" s="469" t="n"/>
      <c r="N304" s="469" t="n"/>
      <c r="O304" s="469" t="n"/>
      <c r="P304" s="471" t="n"/>
      <c r="Q304" s="469" t="n"/>
      <c r="R304" s="469" t="n"/>
      <c r="S304" s="469" t="n"/>
      <c r="T304" s="469" t="n"/>
      <c r="U304" s="469" t="n"/>
      <c r="V304" s="469" t="n"/>
      <c r="W304" s="469" t="n"/>
      <c r="X304" s="469" t="n"/>
      <c r="Y304" s="469" t="n"/>
      <c r="Z304" s="469" t="n"/>
      <c r="AA304" s="469" t="n"/>
    </row>
    <row r="305">
      <c r="A305" s="468" t="n"/>
      <c r="B305" s="469" t="n"/>
      <c r="C305" s="469" t="n"/>
      <c r="D305" s="469" t="n"/>
      <c r="E305" s="469" t="n"/>
      <c r="F305" s="469" t="n"/>
      <c r="G305" s="469" t="n"/>
      <c r="H305" s="469" t="n"/>
      <c r="I305" s="469" t="n"/>
      <c r="J305" s="469" t="n"/>
      <c r="K305" s="469" t="n"/>
      <c r="L305" s="469" t="n"/>
      <c r="M305" s="469" t="n"/>
      <c r="N305" s="469" t="n"/>
      <c r="O305" s="469" t="n"/>
      <c r="P305" s="471" t="n"/>
      <c r="Q305" s="469" t="n"/>
      <c r="R305" s="469" t="n"/>
      <c r="S305" s="469" t="n"/>
      <c r="T305" s="469" t="n"/>
      <c r="U305" s="469" t="n"/>
      <c r="V305" s="469" t="n"/>
      <c r="W305" s="469" t="n"/>
      <c r="X305" s="469" t="n"/>
      <c r="Y305" s="469" t="n"/>
      <c r="Z305" s="469" t="n"/>
      <c r="AA305" s="469" t="n"/>
    </row>
    <row r="306">
      <c r="A306" s="468" t="n"/>
      <c r="B306" s="469" t="n"/>
      <c r="C306" s="469" t="n"/>
      <c r="D306" s="469" t="n"/>
      <c r="E306" s="469" t="n"/>
      <c r="F306" s="469" t="n"/>
      <c r="G306" s="469" t="n"/>
      <c r="H306" s="469" t="n"/>
      <c r="I306" s="469" t="n"/>
      <c r="J306" s="469" t="n"/>
      <c r="K306" s="469" t="n"/>
      <c r="L306" s="469" t="n"/>
      <c r="M306" s="469" t="n"/>
      <c r="N306" s="469" t="n"/>
      <c r="O306" s="469" t="n"/>
      <c r="P306" s="471" t="n"/>
      <c r="Q306" s="469" t="n"/>
      <c r="R306" s="469" t="n"/>
      <c r="S306" s="469" t="n"/>
      <c r="T306" s="469" t="n"/>
      <c r="U306" s="469" t="n"/>
      <c r="V306" s="469" t="n"/>
      <c r="W306" s="469" t="n"/>
      <c r="X306" s="469" t="n"/>
      <c r="Y306" s="469" t="n"/>
      <c r="Z306" s="469" t="n"/>
      <c r="AA306" s="469" t="n"/>
    </row>
    <row r="307">
      <c r="A307" s="468" t="n"/>
      <c r="B307" s="469" t="n"/>
      <c r="C307" s="469" t="n"/>
      <c r="D307" s="469" t="n"/>
      <c r="E307" s="469" t="n"/>
      <c r="F307" s="469" t="n"/>
      <c r="G307" s="469" t="n"/>
      <c r="H307" s="469" t="n"/>
      <c r="I307" s="469" t="n"/>
      <c r="J307" s="469" t="n"/>
      <c r="K307" s="469" t="n"/>
      <c r="L307" s="469" t="n"/>
      <c r="M307" s="469" t="n"/>
      <c r="N307" s="469" t="n"/>
      <c r="O307" s="469" t="n"/>
      <c r="P307" s="471" t="n"/>
      <c r="Q307" s="469" t="n"/>
      <c r="R307" s="469" t="n"/>
      <c r="S307" s="469" t="n"/>
      <c r="T307" s="469" t="n"/>
      <c r="U307" s="469" t="n"/>
      <c r="V307" s="469" t="n"/>
      <c r="W307" s="469" t="n"/>
      <c r="X307" s="469" t="n"/>
      <c r="Y307" s="469" t="n"/>
      <c r="Z307" s="469" t="n"/>
      <c r="AA307" s="469" t="n"/>
    </row>
    <row r="308">
      <c r="A308" s="468" t="n"/>
      <c r="B308" s="469" t="n"/>
      <c r="C308" s="469" t="n"/>
      <c r="D308" s="469" t="n"/>
      <c r="E308" s="469" t="n"/>
      <c r="F308" s="469" t="n"/>
      <c r="G308" s="469" t="n"/>
      <c r="H308" s="469" t="n"/>
      <c r="I308" s="469" t="n"/>
      <c r="J308" s="469" t="n"/>
      <c r="K308" s="469" t="n"/>
      <c r="L308" s="469" t="n"/>
      <c r="M308" s="469" t="n"/>
      <c r="N308" s="469" t="n"/>
      <c r="O308" s="469" t="n"/>
      <c r="P308" s="471" t="n"/>
      <c r="Q308" s="469" t="n"/>
      <c r="R308" s="469" t="n"/>
      <c r="S308" s="469" t="n"/>
      <c r="T308" s="469" t="n"/>
      <c r="U308" s="469" t="n"/>
      <c r="V308" s="469" t="n"/>
      <c r="W308" s="469" t="n"/>
      <c r="X308" s="469" t="n"/>
      <c r="Y308" s="469" t="n"/>
      <c r="Z308" s="469" t="n"/>
      <c r="AA308" s="469" t="n"/>
    </row>
    <row r="309">
      <c r="A309" s="468" t="n"/>
      <c r="B309" s="469" t="n"/>
      <c r="C309" s="469" t="n"/>
      <c r="D309" s="469" t="n"/>
      <c r="E309" s="469" t="n"/>
      <c r="F309" s="469" t="n"/>
      <c r="G309" s="469" t="n"/>
      <c r="H309" s="469" t="n"/>
      <c r="I309" s="469" t="n"/>
      <c r="J309" s="469" t="n"/>
      <c r="K309" s="469" t="n"/>
      <c r="L309" s="469" t="n"/>
      <c r="M309" s="469" t="n"/>
      <c r="N309" s="469" t="n"/>
      <c r="O309" s="469" t="n"/>
      <c r="P309" s="471" t="n"/>
      <c r="Q309" s="469" t="n"/>
      <c r="R309" s="469" t="n"/>
      <c r="S309" s="469" t="n"/>
      <c r="T309" s="469" t="n"/>
      <c r="U309" s="469" t="n"/>
      <c r="V309" s="469" t="n"/>
      <c r="W309" s="469" t="n"/>
      <c r="X309" s="469" t="n"/>
      <c r="Y309" s="469" t="n"/>
      <c r="Z309" s="469" t="n"/>
      <c r="AA309" s="469" t="n"/>
    </row>
    <row r="310">
      <c r="A310" s="468" t="n"/>
      <c r="B310" s="469" t="n"/>
      <c r="C310" s="469" t="n"/>
      <c r="D310" s="469" t="n"/>
      <c r="E310" s="469" t="n"/>
      <c r="F310" s="469" t="n"/>
      <c r="G310" s="469" t="n"/>
      <c r="H310" s="469" t="n"/>
      <c r="I310" s="469" t="n"/>
      <c r="J310" s="469" t="n"/>
      <c r="K310" s="469" t="n"/>
      <c r="L310" s="469" t="n"/>
      <c r="M310" s="469" t="n"/>
      <c r="N310" s="469" t="n"/>
      <c r="O310" s="469" t="n"/>
      <c r="P310" s="471" t="n"/>
      <c r="Q310" s="469" t="n"/>
      <c r="R310" s="469" t="n"/>
      <c r="S310" s="469" t="n"/>
      <c r="T310" s="469" t="n"/>
      <c r="U310" s="469" t="n"/>
      <c r="V310" s="469" t="n"/>
      <c r="W310" s="469" t="n"/>
      <c r="X310" s="469" t="n"/>
      <c r="Y310" s="469" t="n"/>
      <c r="Z310" s="469" t="n"/>
      <c r="AA310" s="469" t="n"/>
    </row>
    <row r="311">
      <c r="A311" s="468" t="n"/>
      <c r="B311" s="469" t="n"/>
      <c r="C311" s="469" t="n"/>
      <c r="D311" s="469" t="n"/>
      <c r="E311" s="469" t="n"/>
      <c r="F311" s="469" t="n"/>
      <c r="G311" s="469" t="n"/>
      <c r="H311" s="469" t="n"/>
      <c r="I311" s="469" t="n"/>
      <c r="J311" s="469" t="n"/>
      <c r="K311" s="469" t="n"/>
      <c r="L311" s="469" t="n"/>
      <c r="M311" s="469" t="n"/>
      <c r="N311" s="469" t="n"/>
      <c r="O311" s="469" t="n"/>
      <c r="P311" s="471" t="n"/>
      <c r="Q311" s="469" t="n"/>
      <c r="R311" s="469" t="n"/>
      <c r="S311" s="469" t="n"/>
      <c r="T311" s="469" t="n"/>
      <c r="U311" s="469" t="n"/>
      <c r="V311" s="469" t="n"/>
      <c r="W311" s="469" t="n"/>
      <c r="X311" s="469" t="n"/>
      <c r="Y311" s="469" t="n"/>
      <c r="Z311" s="469" t="n"/>
      <c r="AA311" s="469" t="n"/>
    </row>
    <row r="312">
      <c r="A312" s="468" t="n"/>
      <c r="B312" s="469" t="n"/>
      <c r="C312" s="469" t="n"/>
      <c r="D312" s="469" t="n"/>
      <c r="E312" s="469" t="n"/>
      <c r="F312" s="469" t="n"/>
      <c r="G312" s="469" t="n"/>
      <c r="H312" s="469" t="n"/>
      <c r="I312" s="469" t="n"/>
      <c r="J312" s="469" t="n"/>
      <c r="K312" s="469" t="n"/>
      <c r="L312" s="469" t="n"/>
      <c r="M312" s="469" t="n"/>
      <c r="N312" s="469" t="n"/>
      <c r="O312" s="469" t="n"/>
      <c r="P312" s="471" t="n"/>
      <c r="Q312" s="469" t="n"/>
      <c r="R312" s="469" t="n"/>
      <c r="S312" s="469" t="n"/>
      <c r="T312" s="469" t="n"/>
      <c r="U312" s="469" t="n"/>
      <c r="V312" s="469" t="n"/>
      <c r="W312" s="469" t="n"/>
      <c r="X312" s="469" t="n"/>
      <c r="Y312" s="469" t="n"/>
      <c r="Z312" s="469" t="n"/>
      <c r="AA312" s="469" t="n"/>
    </row>
    <row r="313">
      <c r="A313" s="468" t="n"/>
      <c r="B313" s="469" t="n"/>
      <c r="C313" s="469" t="n"/>
      <c r="D313" s="469" t="n"/>
      <c r="E313" s="469" t="n"/>
      <c r="F313" s="469" t="n"/>
      <c r="G313" s="469" t="n"/>
      <c r="H313" s="469" t="n"/>
      <c r="I313" s="469" t="n"/>
      <c r="J313" s="469" t="n"/>
      <c r="K313" s="469" t="n"/>
      <c r="L313" s="469" t="n"/>
      <c r="M313" s="469" t="n"/>
      <c r="N313" s="469" t="n"/>
      <c r="O313" s="469" t="n"/>
      <c r="P313" s="471" t="n"/>
      <c r="Q313" s="469" t="n"/>
      <c r="R313" s="469" t="n"/>
      <c r="S313" s="469" t="n"/>
      <c r="T313" s="469" t="n"/>
      <c r="U313" s="469" t="n"/>
      <c r="V313" s="469" t="n"/>
      <c r="W313" s="469" t="n"/>
      <c r="X313" s="469" t="n"/>
      <c r="Y313" s="469" t="n"/>
      <c r="Z313" s="469" t="n"/>
      <c r="AA313" s="469" t="n"/>
    </row>
    <row r="314">
      <c r="A314" s="468" t="n"/>
      <c r="B314" s="469" t="n"/>
      <c r="C314" s="469" t="n"/>
      <c r="D314" s="469" t="n"/>
      <c r="E314" s="469" t="n"/>
      <c r="F314" s="469" t="n"/>
      <c r="G314" s="469" t="n"/>
      <c r="H314" s="469" t="n"/>
      <c r="I314" s="469" t="n"/>
      <c r="J314" s="469" t="n"/>
      <c r="K314" s="469" t="n"/>
      <c r="L314" s="469" t="n"/>
      <c r="M314" s="469" t="n"/>
      <c r="N314" s="469" t="n"/>
      <c r="O314" s="469" t="n"/>
      <c r="P314" s="471" t="n"/>
      <c r="Q314" s="469" t="n"/>
      <c r="R314" s="469" t="n"/>
      <c r="S314" s="469" t="n"/>
      <c r="T314" s="469" t="n"/>
      <c r="U314" s="469" t="n"/>
      <c r="V314" s="469" t="n"/>
      <c r="W314" s="469" t="n"/>
      <c r="X314" s="469" t="n"/>
      <c r="Y314" s="469" t="n"/>
      <c r="Z314" s="469" t="n"/>
      <c r="AA314" s="469" t="n"/>
    </row>
    <row r="315">
      <c r="A315" s="468" t="n"/>
      <c r="B315" s="469" t="n"/>
      <c r="C315" s="469" t="n"/>
      <c r="D315" s="469" t="n"/>
      <c r="E315" s="469" t="n"/>
      <c r="F315" s="469" t="n"/>
      <c r="G315" s="469" t="n"/>
      <c r="H315" s="469" t="n"/>
      <c r="I315" s="469" t="n"/>
      <c r="J315" s="469" t="n"/>
      <c r="K315" s="469" t="n"/>
      <c r="L315" s="469" t="n"/>
      <c r="M315" s="469" t="n"/>
      <c r="N315" s="469" t="n"/>
      <c r="O315" s="469" t="n"/>
      <c r="P315" s="471" t="n"/>
      <c r="Q315" s="469" t="n"/>
      <c r="R315" s="469" t="n"/>
      <c r="S315" s="469" t="n"/>
      <c r="T315" s="469" t="n"/>
      <c r="U315" s="469" t="n"/>
      <c r="V315" s="469" t="n"/>
      <c r="W315" s="469" t="n"/>
      <c r="X315" s="469" t="n"/>
      <c r="Y315" s="469" t="n"/>
      <c r="Z315" s="469" t="n"/>
      <c r="AA315" s="469" t="n"/>
    </row>
    <row r="316">
      <c r="A316" s="468" t="n"/>
      <c r="B316" s="469" t="n"/>
      <c r="C316" s="469" t="n"/>
      <c r="D316" s="469" t="n"/>
      <c r="E316" s="469" t="n"/>
      <c r="F316" s="469" t="n"/>
      <c r="G316" s="469" t="n"/>
      <c r="H316" s="469" t="n"/>
      <c r="I316" s="469" t="n"/>
      <c r="J316" s="469" t="n"/>
      <c r="K316" s="469" t="n"/>
      <c r="L316" s="469" t="n"/>
      <c r="M316" s="469" t="n"/>
      <c r="N316" s="469" t="n"/>
      <c r="O316" s="469" t="n"/>
      <c r="P316" s="471" t="n"/>
      <c r="Q316" s="469" t="n"/>
      <c r="R316" s="469" t="n"/>
      <c r="S316" s="469" t="n"/>
      <c r="T316" s="469" t="n"/>
      <c r="U316" s="469" t="n"/>
      <c r="V316" s="469" t="n"/>
      <c r="W316" s="469" t="n"/>
      <c r="X316" s="469" t="n"/>
      <c r="Y316" s="469" t="n"/>
      <c r="Z316" s="469" t="n"/>
      <c r="AA316" s="469" t="n"/>
    </row>
    <row r="317">
      <c r="A317" s="468" t="n"/>
      <c r="B317" s="469" t="n"/>
      <c r="C317" s="469" t="n"/>
      <c r="D317" s="469" t="n"/>
      <c r="E317" s="469" t="n"/>
      <c r="F317" s="469" t="n"/>
      <c r="G317" s="469" t="n"/>
      <c r="H317" s="469" t="n"/>
      <c r="I317" s="469" t="n"/>
      <c r="J317" s="469" t="n"/>
      <c r="K317" s="469" t="n"/>
      <c r="L317" s="469" t="n"/>
      <c r="M317" s="469" t="n"/>
      <c r="N317" s="469" t="n"/>
      <c r="O317" s="469" t="n"/>
      <c r="P317" s="471" t="n"/>
      <c r="Q317" s="469" t="n"/>
      <c r="R317" s="469" t="n"/>
      <c r="S317" s="469" t="n"/>
      <c r="T317" s="469" t="n"/>
      <c r="U317" s="469" t="n"/>
      <c r="V317" s="469" t="n"/>
      <c r="W317" s="469" t="n"/>
      <c r="X317" s="469" t="n"/>
      <c r="Y317" s="469" t="n"/>
      <c r="Z317" s="469" t="n"/>
      <c r="AA317" s="469" t="n"/>
    </row>
    <row r="318">
      <c r="A318" s="468" t="n"/>
      <c r="B318" s="469" t="n"/>
      <c r="C318" s="469" t="n"/>
      <c r="D318" s="469" t="n"/>
      <c r="E318" s="469" t="n"/>
      <c r="F318" s="469" t="n"/>
      <c r="G318" s="469" t="n"/>
      <c r="H318" s="469" t="n"/>
      <c r="I318" s="469" t="n"/>
      <c r="J318" s="469" t="n"/>
      <c r="K318" s="469" t="n"/>
      <c r="L318" s="469" t="n"/>
      <c r="M318" s="469" t="n"/>
      <c r="N318" s="469" t="n"/>
      <c r="O318" s="469" t="n"/>
      <c r="P318" s="471" t="n"/>
      <c r="Q318" s="469" t="n"/>
      <c r="R318" s="469" t="n"/>
      <c r="S318" s="469" t="n"/>
      <c r="T318" s="469" t="n"/>
      <c r="U318" s="469" t="n"/>
      <c r="V318" s="469" t="n"/>
      <c r="W318" s="469" t="n"/>
      <c r="X318" s="469" t="n"/>
      <c r="Y318" s="469" t="n"/>
      <c r="Z318" s="469" t="n"/>
      <c r="AA318" s="469" t="n"/>
    </row>
    <row r="319">
      <c r="A319" s="468" t="n"/>
      <c r="B319" s="469" t="n"/>
      <c r="C319" s="469" t="n"/>
      <c r="D319" s="469" t="n"/>
      <c r="E319" s="469" t="n"/>
      <c r="F319" s="469" t="n"/>
      <c r="G319" s="469" t="n"/>
      <c r="H319" s="469" t="n"/>
      <c r="I319" s="469" t="n"/>
      <c r="J319" s="469" t="n"/>
      <c r="K319" s="469" t="n"/>
      <c r="L319" s="469" t="n"/>
      <c r="M319" s="469" t="n"/>
      <c r="N319" s="469" t="n"/>
      <c r="O319" s="469" t="n"/>
      <c r="P319" s="471" t="n"/>
      <c r="Q319" s="469" t="n"/>
      <c r="R319" s="469" t="n"/>
      <c r="S319" s="469" t="n"/>
      <c r="T319" s="469" t="n"/>
      <c r="U319" s="469" t="n"/>
      <c r="V319" s="469" t="n"/>
      <c r="W319" s="469" t="n"/>
      <c r="X319" s="469" t="n"/>
      <c r="Y319" s="469" t="n"/>
      <c r="Z319" s="469" t="n"/>
      <c r="AA319" s="469" t="n"/>
    </row>
    <row r="320">
      <c r="A320" s="468" t="n"/>
      <c r="B320" s="469" t="n"/>
      <c r="C320" s="469" t="n"/>
      <c r="D320" s="469" t="n"/>
      <c r="E320" s="469" t="n"/>
      <c r="F320" s="469" t="n"/>
      <c r="G320" s="469" t="n"/>
      <c r="H320" s="469" t="n"/>
      <c r="I320" s="469" t="n"/>
      <c r="J320" s="469" t="n"/>
      <c r="K320" s="469" t="n"/>
      <c r="L320" s="469" t="n"/>
      <c r="M320" s="469" t="n"/>
      <c r="N320" s="469" t="n"/>
      <c r="O320" s="469" t="n"/>
      <c r="P320" s="471" t="n"/>
      <c r="Q320" s="469" t="n"/>
      <c r="R320" s="469" t="n"/>
      <c r="S320" s="469" t="n"/>
      <c r="T320" s="469" t="n"/>
      <c r="U320" s="469" t="n"/>
      <c r="V320" s="469" t="n"/>
      <c r="W320" s="469" t="n"/>
      <c r="X320" s="469" t="n"/>
      <c r="Y320" s="469" t="n"/>
      <c r="Z320" s="469" t="n"/>
      <c r="AA320" s="469" t="n"/>
    </row>
    <row r="321">
      <c r="A321" s="468" t="n"/>
      <c r="B321" s="469" t="n"/>
      <c r="C321" s="469" t="n"/>
      <c r="D321" s="469" t="n"/>
      <c r="E321" s="469" t="n"/>
      <c r="F321" s="469" t="n"/>
      <c r="G321" s="469" t="n"/>
      <c r="H321" s="469" t="n"/>
      <c r="I321" s="469" t="n"/>
      <c r="J321" s="469" t="n"/>
      <c r="K321" s="469" t="n"/>
      <c r="L321" s="469" t="n"/>
      <c r="M321" s="469" t="n"/>
      <c r="N321" s="469" t="n"/>
      <c r="O321" s="469" t="n"/>
      <c r="P321" s="471" t="n"/>
      <c r="Q321" s="469" t="n"/>
      <c r="R321" s="469" t="n"/>
      <c r="S321" s="469" t="n"/>
      <c r="T321" s="469" t="n"/>
      <c r="U321" s="469" t="n"/>
      <c r="V321" s="469" t="n"/>
      <c r="W321" s="469" t="n"/>
      <c r="X321" s="469" t="n"/>
      <c r="Y321" s="469" t="n"/>
      <c r="Z321" s="469" t="n"/>
      <c r="AA321" s="469" t="n"/>
    </row>
    <row r="322">
      <c r="A322" s="468" t="n"/>
      <c r="B322" s="469" t="n"/>
      <c r="C322" s="469" t="n"/>
      <c r="D322" s="469" t="n"/>
      <c r="E322" s="469" t="n"/>
      <c r="F322" s="469" t="n"/>
      <c r="G322" s="469" t="n"/>
      <c r="H322" s="469" t="n"/>
      <c r="I322" s="469" t="n"/>
      <c r="J322" s="469" t="n"/>
      <c r="K322" s="469" t="n"/>
      <c r="L322" s="469" t="n"/>
      <c r="M322" s="469" t="n"/>
      <c r="N322" s="469" t="n"/>
      <c r="O322" s="469" t="n"/>
      <c r="P322" s="471" t="n"/>
      <c r="Q322" s="469" t="n"/>
      <c r="R322" s="469" t="n"/>
      <c r="S322" s="469" t="n"/>
      <c r="T322" s="469" t="n"/>
      <c r="U322" s="469" t="n"/>
      <c r="V322" s="469" t="n"/>
      <c r="W322" s="469" t="n"/>
      <c r="X322" s="469" t="n"/>
      <c r="Y322" s="469" t="n"/>
      <c r="Z322" s="469" t="n"/>
      <c r="AA322" s="469" t="n"/>
    </row>
    <row r="323">
      <c r="A323" s="468" t="n"/>
      <c r="B323" s="469" t="n"/>
      <c r="C323" s="469" t="n"/>
      <c r="D323" s="469" t="n"/>
      <c r="E323" s="469" t="n"/>
      <c r="F323" s="469" t="n"/>
      <c r="G323" s="469" t="n"/>
      <c r="H323" s="469" t="n"/>
      <c r="I323" s="469" t="n"/>
      <c r="J323" s="469" t="n"/>
      <c r="K323" s="469" t="n"/>
      <c r="L323" s="469" t="n"/>
      <c r="M323" s="469" t="n"/>
      <c r="N323" s="469" t="n"/>
      <c r="O323" s="469" t="n"/>
      <c r="P323" s="471" t="n"/>
      <c r="Q323" s="469" t="n"/>
      <c r="R323" s="469" t="n"/>
      <c r="S323" s="469" t="n"/>
      <c r="T323" s="469" t="n"/>
      <c r="U323" s="469" t="n"/>
      <c r="V323" s="469" t="n"/>
      <c r="W323" s="469" t="n"/>
      <c r="X323" s="469" t="n"/>
      <c r="Y323" s="469" t="n"/>
      <c r="Z323" s="469" t="n"/>
      <c r="AA323" s="469" t="n"/>
    </row>
    <row r="324">
      <c r="A324" s="468" t="n"/>
      <c r="B324" s="469" t="n"/>
      <c r="C324" s="469" t="n"/>
      <c r="D324" s="469" t="n"/>
      <c r="E324" s="469" t="n"/>
      <c r="F324" s="469" t="n"/>
      <c r="G324" s="469" t="n"/>
      <c r="H324" s="469" t="n"/>
      <c r="I324" s="469" t="n"/>
      <c r="J324" s="469" t="n"/>
      <c r="K324" s="469" t="n"/>
      <c r="L324" s="469" t="n"/>
      <c r="M324" s="469" t="n"/>
      <c r="N324" s="469" t="n"/>
      <c r="O324" s="469" t="n"/>
      <c r="P324" s="471" t="n"/>
      <c r="Q324" s="469" t="n"/>
      <c r="R324" s="469" t="n"/>
      <c r="S324" s="469" t="n"/>
      <c r="T324" s="469" t="n"/>
      <c r="U324" s="469" t="n"/>
      <c r="V324" s="469" t="n"/>
      <c r="W324" s="469" t="n"/>
      <c r="X324" s="469" t="n"/>
      <c r="Y324" s="469" t="n"/>
      <c r="Z324" s="469" t="n"/>
      <c r="AA324" s="469" t="n"/>
    </row>
    <row r="325">
      <c r="A325" s="468" t="n"/>
      <c r="B325" s="469" t="n"/>
      <c r="C325" s="469" t="n"/>
      <c r="D325" s="469" t="n"/>
      <c r="E325" s="469" t="n"/>
      <c r="F325" s="469" t="n"/>
      <c r="G325" s="469" t="n"/>
      <c r="H325" s="469" t="n"/>
      <c r="I325" s="469" t="n"/>
      <c r="J325" s="469" t="n"/>
      <c r="K325" s="469" t="n"/>
      <c r="L325" s="469" t="n"/>
      <c r="M325" s="469" t="n"/>
      <c r="N325" s="469" t="n"/>
      <c r="O325" s="469" t="n"/>
      <c r="P325" s="471" t="n"/>
      <c r="Q325" s="469" t="n"/>
      <c r="R325" s="469" t="n"/>
      <c r="S325" s="469" t="n"/>
      <c r="T325" s="469" t="n"/>
      <c r="U325" s="469" t="n"/>
      <c r="V325" s="469" t="n"/>
      <c r="W325" s="469" t="n"/>
      <c r="X325" s="469" t="n"/>
      <c r="Y325" s="469" t="n"/>
      <c r="Z325" s="469" t="n"/>
      <c r="AA325" s="469" t="n"/>
    </row>
    <row r="326">
      <c r="A326" s="468" t="n"/>
      <c r="B326" s="469" t="n"/>
      <c r="C326" s="469" t="n"/>
      <c r="D326" s="469" t="n"/>
      <c r="E326" s="469" t="n"/>
      <c r="F326" s="469" t="n"/>
      <c r="G326" s="469" t="n"/>
      <c r="H326" s="469" t="n"/>
      <c r="I326" s="469" t="n"/>
      <c r="J326" s="469" t="n"/>
      <c r="K326" s="469" t="n"/>
      <c r="L326" s="469" t="n"/>
      <c r="M326" s="469" t="n"/>
      <c r="N326" s="469" t="n"/>
      <c r="O326" s="469" t="n"/>
      <c r="P326" s="471" t="n"/>
      <c r="Q326" s="469" t="n"/>
      <c r="R326" s="469" t="n"/>
      <c r="S326" s="469" t="n"/>
      <c r="T326" s="469" t="n"/>
      <c r="U326" s="469" t="n"/>
      <c r="V326" s="469" t="n"/>
      <c r="W326" s="469" t="n"/>
      <c r="X326" s="469" t="n"/>
      <c r="Y326" s="469" t="n"/>
      <c r="Z326" s="469" t="n"/>
      <c r="AA326" s="469" t="n"/>
    </row>
    <row r="327">
      <c r="A327" s="468" t="n"/>
      <c r="B327" s="469" t="n"/>
      <c r="C327" s="469" t="n"/>
      <c r="D327" s="469" t="n"/>
      <c r="E327" s="469" t="n"/>
      <c r="F327" s="469" t="n"/>
      <c r="G327" s="469" t="n"/>
      <c r="H327" s="469" t="n"/>
      <c r="I327" s="469" t="n"/>
      <c r="J327" s="469" t="n"/>
      <c r="K327" s="469" t="n"/>
      <c r="L327" s="469" t="n"/>
      <c r="M327" s="469" t="n"/>
      <c r="N327" s="469" t="n"/>
      <c r="O327" s="469" t="n"/>
      <c r="P327" s="471" t="n"/>
      <c r="Q327" s="469" t="n"/>
      <c r="R327" s="469" t="n"/>
      <c r="S327" s="469" t="n"/>
      <c r="T327" s="469" t="n"/>
      <c r="U327" s="469" t="n"/>
      <c r="V327" s="469" t="n"/>
      <c r="W327" s="469" t="n"/>
      <c r="X327" s="469" t="n"/>
      <c r="Y327" s="469" t="n"/>
      <c r="Z327" s="469" t="n"/>
      <c r="AA327" s="469" t="n"/>
    </row>
    <row r="328">
      <c r="A328" s="468" t="n"/>
      <c r="B328" s="469" t="n"/>
      <c r="C328" s="469" t="n"/>
      <c r="D328" s="469" t="n"/>
      <c r="E328" s="469" t="n"/>
      <c r="F328" s="469" t="n"/>
      <c r="G328" s="469" t="n"/>
      <c r="H328" s="469" t="n"/>
      <c r="I328" s="469" t="n"/>
      <c r="J328" s="469" t="n"/>
      <c r="K328" s="469" t="n"/>
      <c r="L328" s="469" t="n"/>
      <c r="M328" s="469" t="n"/>
      <c r="N328" s="469" t="n"/>
      <c r="O328" s="469" t="n"/>
      <c r="P328" s="471" t="n"/>
      <c r="Q328" s="469" t="n"/>
      <c r="R328" s="469" t="n"/>
      <c r="S328" s="469" t="n"/>
      <c r="T328" s="469" t="n"/>
      <c r="U328" s="469" t="n"/>
      <c r="V328" s="469" t="n"/>
      <c r="W328" s="469" t="n"/>
      <c r="X328" s="469" t="n"/>
      <c r="Y328" s="469" t="n"/>
      <c r="Z328" s="469" t="n"/>
      <c r="AA328" s="469" t="n"/>
    </row>
    <row r="329">
      <c r="A329" s="468" t="n"/>
      <c r="B329" s="469" t="n"/>
      <c r="C329" s="469" t="n"/>
      <c r="D329" s="469" t="n"/>
      <c r="E329" s="469" t="n"/>
      <c r="F329" s="469" t="n"/>
      <c r="G329" s="469" t="n"/>
      <c r="H329" s="469" t="n"/>
      <c r="I329" s="469" t="n"/>
      <c r="J329" s="469" t="n"/>
      <c r="K329" s="469" t="n"/>
      <c r="L329" s="469" t="n"/>
      <c r="M329" s="469" t="n"/>
      <c r="N329" s="469" t="n"/>
      <c r="O329" s="469" t="n"/>
      <c r="P329" s="471" t="n"/>
      <c r="Q329" s="469" t="n"/>
      <c r="R329" s="469" t="n"/>
      <c r="S329" s="469" t="n"/>
      <c r="T329" s="469" t="n"/>
      <c r="U329" s="469" t="n"/>
      <c r="V329" s="469" t="n"/>
      <c r="W329" s="469" t="n"/>
      <c r="X329" s="469" t="n"/>
      <c r="Y329" s="469" t="n"/>
      <c r="Z329" s="469" t="n"/>
      <c r="AA329" s="469" t="n"/>
    </row>
    <row r="330">
      <c r="A330" s="468" t="n"/>
      <c r="B330" s="469" t="n"/>
      <c r="C330" s="469" t="n"/>
      <c r="D330" s="469" t="n"/>
      <c r="E330" s="469" t="n"/>
      <c r="F330" s="469" t="n"/>
      <c r="G330" s="469" t="n"/>
      <c r="H330" s="469" t="n"/>
      <c r="I330" s="469" t="n"/>
      <c r="J330" s="469" t="n"/>
      <c r="K330" s="469" t="n"/>
      <c r="L330" s="469" t="n"/>
      <c r="M330" s="469" t="n"/>
      <c r="N330" s="469" t="n"/>
      <c r="O330" s="469" t="n"/>
      <c r="P330" s="471" t="n"/>
      <c r="Q330" s="469" t="n"/>
      <c r="R330" s="469" t="n"/>
      <c r="S330" s="469" t="n"/>
      <c r="T330" s="469" t="n"/>
      <c r="U330" s="469" t="n"/>
      <c r="V330" s="469" t="n"/>
      <c r="W330" s="469" t="n"/>
      <c r="X330" s="469" t="n"/>
      <c r="Y330" s="469" t="n"/>
      <c r="Z330" s="469" t="n"/>
      <c r="AA330" s="469" t="n"/>
    </row>
    <row r="331">
      <c r="A331" s="468" t="n"/>
      <c r="B331" s="469" t="n"/>
      <c r="C331" s="469" t="n"/>
      <c r="D331" s="469" t="n"/>
      <c r="E331" s="469" t="n"/>
      <c r="F331" s="469" t="n"/>
      <c r="G331" s="469" t="n"/>
      <c r="H331" s="469" t="n"/>
      <c r="I331" s="469" t="n"/>
      <c r="J331" s="469" t="n"/>
      <c r="K331" s="469" t="n"/>
      <c r="L331" s="469" t="n"/>
      <c r="M331" s="469" t="n"/>
      <c r="N331" s="469" t="n"/>
      <c r="O331" s="469" t="n"/>
      <c r="P331" s="471" t="n"/>
      <c r="Q331" s="469" t="n"/>
      <c r="R331" s="469" t="n"/>
      <c r="S331" s="469" t="n"/>
      <c r="T331" s="469" t="n"/>
      <c r="U331" s="469" t="n"/>
      <c r="V331" s="469" t="n"/>
      <c r="W331" s="469" t="n"/>
      <c r="X331" s="469" t="n"/>
      <c r="Y331" s="469" t="n"/>
      <c r="Z331" s="469" t="n"/>
      <c r="AA331" s="469" t="n"/>
    </row>
    <row r="332">
      <c r="A332" s="468" t="n"/>
      <c r="B332" s="469" t="n"/>
      <c r="C332" s="469" t="n"/>
      <c r="D332" s="469" t="n"/>
      <c r="E332" s="469" t="n"/>
      <c r="F332" s="469" t="n"/>
      <c r="G332" s="469" t="n"/>
      <c r="H332" s="469" t="n"/>
      <c r="I332" s="469" t="n"/>
      <c r="J332" s="469" t="n"/>
      <c r="K332" s="469" t="n"/>
      <c r="L332" s="469" t="n"/>
      <c r="M332" s="469" t="n"/>
      <c r="N332" s="469" t="n"/>
      <c r="O332" s="469" t="n"/>
      <c r="P332" s="471" t="n"/>
      <c r="Q332" s="469" t="n"/>
      <c r="R332" s="469" t="n"/>
      <c r="S332" s="469" t="n"/>
      <c r="T332" s="469" t="n"/>
      <c r="U332" s="469" t="n"/>
      <c r="V332" s="469" t="n"/>
      <c r="W332" s="469" t="n"/>
      <c r="X332" s="469" t="n"/>
      <c r="Y332" s="469" t="n"/>
      <c r="Z332" s="469" t="n"/>
      <c r="AA332" s="469" t="n"/>
    </row>
    <row r="333">
      <c r="A333" s="468" t="n"/>
      <c r="B333" s="469" t="n"/>
      <c r="C333" s="469" t="n"/>
      <c r="D333" s="469" t="n"/>
      <c r="E333" s="469" t="n"/>
      <c r="F333" s="469" t="n"/>
      <c r="G333" s="469" t="n"/>
      <c r="H333" s="469" t="n"/>
      <c r="I333" s="469" t="n"/>
      <c r="J333" s="469" t="n"/>
      <c r="K333" s="469" t="n"/>
      <c r="L333" s="469" t="n"/>
      <c r="M333" s="469" t="n"/>
      <c r="N333" s="469" t="n"/>
      <c r="O333" s="469" t="n"/>
      <c r="P333" s="471" t="n"/>
      <c r="Q333" s="469" t="n"/>
      <c r="R333" s="469" t="n"/>
      <c r="S333" s="469" t="n"/>
      <c r="T333" s="469" t="n"/>
      <c r="U333" s="469" t="n"/>
      <c r="V333" s="469" t="n"/>
      <c r="W333" s="469" t="n"/>
      <c r="X333" s="469" t="n"/>
      <c r="Y333" s="469" t="n"/>
      <c r="Z333" s="469" t="n"/>
      <c r="AA333" s="469" t="n"/>
    </row>
    <row r="334">
      <c r="A334" s="468" t="n"/>
      <c r="B334" s="469" t="n"/>
      <c r="C334" s="469" t="n"/>
      <c r="D334" s="469" t="n"/>
      <c r="E334" s="469" t="n"/>
      <c r="F334" s="469" t="n"/>
      <c r="G334" s="469" t="n"/>
      <c r="H334" s="469" t="n"/>
      <c r="I334" s="469" t="n"/>
      <c r="J334" s="469" t="n"/>
      <c r="K334" s="469" t="n"/>
      <c r="L334" s="469" t="n"/>
      <c r="M334" s="469" t="n"/>
      <c r="N334" s="469" t="n"/>
      <c r="O334" s="469" t="n"/>
      <c r="P334" s="471" t="n"/>
      <c r="Q334" s="469" t="n"/>
      <c r="R334" s="469" t="n"/>
      <c r="S334" s="469" t="n"/>
      <c r="T334" s="469" t="n"/>
      <c r="U334" s="469" t="n"/>
      <c r="V334" s="469" t="n"/>
      <c r="W334" s="469" t="n"/>
      <c r="X334" s="469" t="n"/>
      <c r="Y334" s="469" t="n"/>
      <c r="Z334" s="469" t="n"/>
      <c r="AA334" s="469" t="n"/>
    </row>
    <row r="335">
      <c r="A335" s="468" t="n"/>
      <c r="B335" s="469" t="n"/>
      <c r="C335" s="469" t="n"/>
      <c r="D335" s="469" t="n"/>
      <c r="E335" s="469" t="n"/>
      <c r="F335" s="469" t="n"/>
      <c r="G335" s="469" t="n"/>
      <c r="H335" s="469" t="n"/>
      <c r="I335" s="469" t="n"/>
      <c r="J335" s="469" t="n"/>
      <c r="K335" s="469" t="n"/>
      <c r="L335" s="469" t="n"/>
      <c r="M335" s="469" t="n"/>
      <c r="N335" s="469" t="n"/>
      <c r="O335" s="469" t="n"/>
      <c r="P335" s="471" t="n"/>
      <c r="Q335" s="469" t="n"/>
      <c r="R335" s="469" t="n"/>
      <c r="S335" s="469" t="n"/>
      <c r="T335" s="469" t="n"/>
      <c r="U335" s="469" t="n"/>
      <c r="V335" s="469" t="n"/>
      <c r="W335" s="469" t="n"/>
      <c r="X335" s="469" t="n"/>
      <c r="Y335" s="469" t="n"/>
      <c r="Z335" s="469" t="n"/>
      <c r="AA335" s="469" t="n"/>
    </row>
    <row r="336">
      <c r="A336" s="468" t="n"/>
      <c r="B336" s="469" t="n"/>
      <c r="C336" s="469" t="n"/>
      <c r="D336" s="469" t="n"/>
      <c r="E336" s="469" t="n"/>
      <c r="F336" s="469" t="n"/>
      <c r="G336" s="469" t="n"/>
      <c r="H336" s="469" t="n"/>
      <c r="I336" s="469" t="n"/>
      <c r="J336" s="469" t="n"/>
      <c r="K336" s="469" t="n"/>
      <c r="L336" s="469" t="n"/>
      <c r="M336" s="469" t="n"/>
      <c r="N336" s="469" t="n"/>
      <c r="O336" s="469" t="n"/>
      <c r="P336" s="471" t="n"/>
      <c r="Q336" s="469" t="n"/>
      <c r="R336" s="469" t="n"/>
      <c r="S336" s="469" t="n"/>
      <c r="T336" s="469" t="n"/>
      <c r="U336" s="469" t="n"/>
      <c r="V336" s="469" t="n"/>
      <c r="W336" s="469" t="n"/>
      <c r="X336" s="469" t="n"/>
      <c r="Y336" s="469" t="n"/>
      <c r="Z336" s="469" t="n"/>
      <c r="AA336" s="469" t="n"/>
    </row>
    <row r="337">
      <c r="A337" s="468" t="n"/>
      <c r="B337" s="469" t="n"/>
      <c r="C337" s="469" t="n"/>
      <c r="D337" s="469" t="n"/>
      <c r="E337" s="469" t="n"/>
      <c r="F337" s="469" t="n"/>
      <c r="G337" s="469" t="n"/>
      <c r="H337" s="469" t="n"/>
      <c r="I337" s="469" t="n"/>
      <c r="J337" s="469" t="n"/>
      <c r="K337" s="469" t="n"/>
      <c r="L337" s="469" t="n"/>
      <c r="M337" s="469" t="n"/>
      <c r="N337" s="469" t="n"/>
      <c r="O337" s="469" t="n"/>
      <c r="P337" s="471" t="n"/>
      <c r="Q337" s="469" t="n"/>
      <c r="R337" s="469" t="n"/>
      <c r="S337" s="469" t="n"/>
      <c r="T337" s="469" t="n"/>
      <c r="U337" s="469" t="n"/>
      <c r="V337" s="469" t="n"/>
      <c r="W337" s="469" t="n"/>
      <c r="X337" s="469" t="n"/>
      <c r="Y337" s="469" t="n"/>
      <c r="Z337" s="469" t="n"/>
      <c r="AA337" s="469" t="n"/>
    </row>
    <row r="338">
      <c r="A338" s="468" t="n"/>
      <c r="B338" s="469" t="n"/>
      <c r="C338" s="469" t="n"/>
      <c r="D338" s="469" t="n"/>
      <c r="E338" s="469" t="n"/>
      <c r="F338" s="469" t="n"/>
      <c r="G338" s="469" t="n"/>
      <c r="H338" s="469" t="n"/>
      <c r="I338" s="469" t="n"/>
      <c r="J338" s="469" t="n"/>
      <c r="K338" s="469" t="n"/>
      <c r="L338" s="469" t="n"/>
      <c r="M338" s="469" t="n"/>
      <c r="N338" s="469" t="n"/>
      <c r="O338" s="469" t="n"/>
      <c r="P338" s="471" t="n"/>
      <c r="Q338" s="469" t="n"/>
      <c r="R338" s="469" t="n"/>
      <c r="S338" s="469" t="n"/>
      <c r="T338" s="469" t="n"/>
      <c r="U338" s="469" t="n"/>
      <c r="V338" s="469" t="n"/>
      <c r="W338" s="469" t="n"/>
      <c r="X338" s="469" t="n"/>
      <c r="Y338" s="469" t="n"/>
      <c r="Z338" s="469" t="n"/>
      <c r="AA338" s="469" t="n"/>
    </row>
    <row r="339">
      <c r="A339" s="468" t="n"/>
      <c r="B339" s="469" t="n"/>
      <c r="C339" s="469" t="n"/>
      <c r="D339" s="469" t="n"/>
      <c r="E339" s="469" t="n"/>
      <c r="F339" s="469" t="n"/>
      <c r="G339" s="469" t="n"/>
      <c r="H339" s="469" t="n"/>
      <c r="I339" s="469" t="n"/>
      <c r="J339" s="469" t="n"/>
      <c r="K339" s="469" t="n"/>
      <c r="L339" s="469" t="n"/>
      <c r="M339" s="469" t="n"/>
      <c r="N339" s="469" t="n"/>
      <c r="O339" s="469" t="n"/>
      <c r="P339" s="471" t="n"/>
      <c r="Q339" s="469" t="n"/>
      <c r="R339" s="469" t="n"/>
      <c r="S339" s="469" t="n"/>
      <c r="T339" s="469" t="n"/>
      <c r="U339" s="469" t="n"/>
      <c r="V339" s="469" t="n"/>
      <c r="W339" s="469" t="n"/>
      <c r="X339" s="469" t="n"/>
      <c r="Y339" s="469" t="n"/>
      <c r="Z339" s="469" t="n"/>
      <c r="AA339" s="469" t="n"/>
    </row>
    <row r="340">
      <c r="A340" s="468" t="n"/>
      <c r="B340" s="469" t="n"/>
      <c r="C340" s="469" t="n"/>
      <c r="D340" s="469" t="n"/>
      <c r="E340" s="469" t="n"/>
      <c r="F340" s="469" t="n"/>
      <c r="G340" s="469" t="n"/>
      <c r="H340" s="469" t="n"/>
      <c r="I340" s="469" t="n"/>
      <c r="J340" s="469" t="n"/>
      <c r="K340" s="469" t="n"/>
      <c r="L340" s="469" t="n"/>
      <c r="M340" s="469" t="n"/>
      <c r="N340" s="469" t="n"/>
      <c r="O340" s="469" t="n"/>
      <c r="P340" s="471" t="n"/>
      <c r="Q340" s="469" t="n"/>
      <c r="R340" s="469" t="n"/>
      <c r="S340" s="469" t="n"/>
      <c r="T340" s="469" t="n"/>
      <c r="U340" s="469" t="n"/>
      <c r="V340" s="469" t="n"/>
      <c r="W340" s="469" t="n"/>
      <c r="X340" s="469" t="n"/>
      <c r="Y340" s="469" t="n"/>
      <c r="Z340" s="469" t="n"/>
      <c r="AA340" s="469" t="n"/>
    </row>
    <row r="341">
      <c r="A341" s="468" t="n"/>
      <c r="B341" s="469" t="n"/>
      <c r="C341" s="469" t="n"/>
      <c r="D341" s="469" t="n"/>
      <c r="E341" s="469" t="n"/>
      <c r="F341" s="469" t="n"/>
      <c r="G341" s="469" t="n"/>
      <c r="H341" s="469" t="n"/>
      <c r="I341" s="469" t="n"/>
      <c r="J341" s="469" t="n"/>
      <c r="K341" s="469" t="n"/>
      <c r="L341" s="469" t="n"/>
      <c r="M341" s="469" t="n"/>
      <c r="N341" s="469" t="n"/>
      <c r="O341" s="469" t="n"/>
      <c r="P341" s="471" t="n"/>
      <c r="Q341" s="469" t="n"/>
      <c r="R341" s="469" t="n"/>
      <c r="S341" s="469" t="n"/>
      <c r="T341" s="469" t="n"/>
      <c r="U341" s="469" t="n"/>
      <c r="V341" s="469" t="n"/>
      <c r="W341" s="469" t="n"/>
      <c r="X341" s="469" t="n"/>
      <c r="Y341" s="469" t="n"/>
      <c r="Z341" s="469" t="n"/>
      <c r="AA341" s="469" t="n"/>
    </row>
    <row r="342">
      <c r="A342" s="468" t="n"/>
      <c r="B342" s="469" t="n"/>
      <c r="C342" s="469" t="n"/>
      <c r="D342" s="469" t="n"/>
      <c r="E342" s="469" t="n"/>
      <c r="F342" s="469" t="n"/>
      <c r="G342" s="469" t="n"/>
      <c r="H342" s="469" t="n"/>
      <c r="I342" s="469" t="n"/>
      <c r="J342" s="469" t="n"/>
      <c r="K342" s="469" t="n"/>
      <c r="L342" s="469" t="n"/>
      <c r="M342" s="469" t="n"/>
      <c r="N342" s="469" t="n"/>
      <c r="O342" s="469" t="n"/>
      <c r="P342" s="471" t="n"/>
      <c r="Q342" s="469" t="n"/>
      <c r="R342" s="469" t="n"/>
      <c r="S342" s="469" t="n"/>
      <c r="T342" s="469" t="n"/>
      <c r="U342" s="469" t="n"/>
      <c r="V342" s="469" t="n"/>
      <c r="W342" s="469" t="n"/>
      <c r="X342" s="469" t="n"/>
      <c r="Y342" s="469" t="n"/>
      <c r="Z342" s="469" t="n"/>
      <c r="AA342" s="469" t="n"/>
    </row>
    <row r="343">
      <c r="A343" s="468" t="n"/>
      <c r="B343" s="469" t="n"/>
      <c r="C343" s="469" t="n"/>
      <c r="D343" s="469" t="n"/>
      <c r="E343" s="469" t="n"/>
      <c r="F343" s="469" t="n"/>
      <c r="G343" s="469" t="n"/>
      <c r="H343" s="469" t="n"/>
      <c r="I343" s="469" t="n"/>
      <c r="J343" s="469" t="n"/>
      <c r="K343" s="469" t="n"/>
      <c r="L343" s="469" t="n"/>
      <c r="M343" s="469" t="n"/>
      <c r="N343" s="469" t="n"/>
      <c r="O343" s="469" t="n"/>
      <c r="P343" s="471" t="n"/>
      <c r="Q343" s="469" t="n"/>
      <c r="R343" s="469" t="n"/>
      <c r="S343" s="469" t="n"/>
      <c r="T343" s="469" t="n"/>
      <c r="U343" s="469" t="n"/>
      <c r="V343" s="469" t="n"/>
      <c r="W343" s="469" t="n"/>
      <c r="X343" s="469" t="n"/>
      <c r="Y343" s="469" t="n"/>
      <c r="Z343" s="469" t="n"/>
      <c r="AA343" s="469" t="n"/>
    </row>
    <row r="344">
      <c r="A344" s="468" t="n"/>
      <c r="B344" s="469" t="n"/>
      <c r="C344" s="469" t="n"/>
      <c r="D344" s="469" t="n"/>
      <c r="E344" s="469" t="n"/>
      <c r="F344" s="469" t="n"/>
      <c r="G344" s="469" t="n"/>
      <c r="H344" s="469" t="n"/>
      <c r="I344" s="469" t="n"/>
      <c r="J344" s="469" t="n"/>
      <c r="K344" s="469" t="n"/>
      <c r="L344" s="469" t="n"/>
      <c r="M344" s="469" t="n"/>
      <c r="N344" s="469" t="n"/>
      <c r="O344" s="469" t="n"/>
      <c r="P344" s="471" t="n"/>
      <c r="Q344" s="469" t="n"/>
      <c r="R344" s="469" t="n"/>
      <c r="S344" s="469" t="n"/>
      <c r="T344" s="469" t="n"/>
      <c r="U344" s="469" t="n"/>
      <c r="V344" s="469" t="n"/>
      <c r="W344" s="469" t="n"/>
      <c r="X344" s="469" t="n"/>
      <c r="Y344" s="469" t="n"/>
      <c r="Z344" s="469" t="n"/>
      <c r="AA344" s="469" t="n"/>
    </row>
    <row r="345">
      <c r="A345" s="468" t="n"/>
      <c r="B345" s="469" t="n"/>
      <c r="C345" s="469" t="n"/>
      <c r="D345" s="469" t="n"/>
      <c r="E345" s="469" t="n"/>
      <c r="F345" s="469" t="n"/>
      <c r="G345" s="469" t="n"/>
      <c r="H345" s="469" t="n"/>
      <c r="I345" s="469" t="n"/>
      <c r="J345" s="469" t="n"/>
      <c r="K345" s="469" t="n"/>
      <c r="L345" s="469" t="n"/>
      <c r="M345" s="469" t="n"/>
      <c r="N345" s="469" t="n"/>
      <c r="O345" s="469" t="n"/>
      <c r="P345" s="471" t="n"/>
      <c r="Q345" s="469" t="n"/>
      <c r="R345" s="469" t="n"/>
      <c r="S345" s="469" t="n"/>
      <c r="T345" s="469" t="n"/>
      <c r="U345" s="469" t="n"/>
      <c r="V345" s="469" t="n"/>
      <c r="W345" s="469" t="n"/>
      <c r="X345" s="469" t="n"/>
      <c r="Y345" s="469" t="n"/>
      <c r="Z345" s="469" t="n"/>
      <c r="AA345" s="469" t="n"/>
    </row>
    <row r="346">
      <c r="A346" s="468" t="n"/>
      <c r="B346" s="469" t="n"/>
      <c r="C346" s="469" t="n"/>
      <c r="D346" s="469" t="n"/>
      <c r="E346" s="469" t="n"/>
      <c r="F346" s="469" t="n"/>
      <c r="G346" s="469" t="n"/>
      <c r="H346" s="469" t="n"/>
      <c r="I346" s="469" t="n"/>
      <c r="J346" s="469" t="n"/>
      <c r="K346" s="469" t="n"/>
      <c r="L346" s="469" t="n"/>
      <c r="M346" s="469" t="n"/>
      <c r="N346" s="469" t="n"/>
      <c r="O346" s="469" t="n"/>
      <c r="P346" s="471" t="n"/>
      <c r="Q346" s="469" t="n"/>
      <c r="R346" s="469" t="n"/>
      <c r="S346" s="469" t="n"/>
      <c r="T346" s="469" t="n"/>
      <c r="U346" s="469" t="n"/>
      <c r="V346" s="469" t="n"/>
      <c r="W346" s="469" t="n"/>
      <c r="X346" s="469" t="n"/>
      <c r="Y346" s="469" t="n"/>
      <c r="Z346" s="469" t="n"/>
      <c r="AA346" s="469" t="n"/>
    </row>
    <row r="347">
      <c r="A347" s="468" t="n"/>
      <c r="B347" s="469" t="n"/>
      <c r="C347" s="469" t="n"/>
      <c r="D347" s="469" t="n"/>
      <c r="E347" s="469" t="n"/>
      <c r="F347" s="469" t="n"/>
      <c r="G347" s="469" t="n"/>
      <c r="H347" s="469" t="n"/>
      <c r="I347" s="469" t="n"/>
      <c r="J347" s="469" t="n"/>
      <c r="K347" s="469" t="n"/>
      <c r="L347" s="469" t="n"/>
      <c r="M347" s="469" t="n"/>
      <c r="N347" s="469" t="n"/>
      <c r="O347" s="469" t="n"/>
      <c r="P347" s="471" t="n"/>
      <c r="Q347" s="469" t="n"/>
      <c r="R347" s="469" t="n"/>
      <c r="S347" s="469" t="n"/>
      <c r="T347" s="469" t="n"/>
      <c r="U347" s="469" t="n"/>
      <c r="V347" s="469" t="n"/>
      <c r="W347" s="469" t="n"/>
      <c r="X347" s="469" t="n"/>
      <c r="Y347" s="469" t="n"/>
      <c r="Z347" s="469" t="n"/>
      <c r="AA347" s="469" t="n"/>
    </row>
    <row r="348">
      <c r="A348" s="468" t="n"/>
      <c r="B348" s="469" t="n"/>
      <c r="C348" s="469" t="n"/>
      <c r="D348" s="469" t="n"/>
      <c r="E348" s="469" t="n"/>
      <c r="F348" s="469" t="n"/>
      <c r="G348" s="469" t="n"/>
      <c r="H348" s="469" t="n"/>
      <c r="I348" s="469" t="n"/>
      <c r="J348" s="469" t="n"/>
      <c r="K348" s="469" t="n"/>
      <c r="L348" s="469" t="n"/>
      <c r="M348" s="469" t="n"/>
      <c r="N348" s="469" t="n"/>
      <c r="O348" s="469" t="n"/>
      <c r="P348" s="471" t="n"/>
      <c r="Q348" s="469" t="n"/>
      <c r="R348" s="469" t="n"/>
      <c r="S348" s="469" t="n"/>
      <c r="T348" s="469" t="n"/>
      <c r="U348" s="469" t="n"/>
      <c r="V348" s="469" t="n"/>
      <c r="W348" s="469" t="n"/>
      <c r="X348" s="469" t="n"/>
      <c r="Y348" s="469" t="n"/>
      <c r="Z348" s="469" t="n"/>
      <c r="AA348" s="469" t="n"/>
    </row>
    <row r="349">
      <c r="A349" s="468" t="n"/>
      <c r="B349" s="469" t="n"/>
      <c r="C349" s="469" t="n"/>
      <c r="D349" s="469" t="n"/>
      <c r="E349" s="469" t="n"/>
      <c r="F349" s="469" t="n"/>
      <c r="G349" s="469" t="n"/>
      <c r="H349" s="469" t="n"/>
      <c r="I349" s="469" t="n"/>
      <c r="J349" s="469" t="n"/>
      <c r="K349" s="469" t="n"/>
      <c r="L349" s="469" t="n"/>
      <c r="M349" s="469" t="n"/>
      <c r="N349" s="469" t="n"/>
      <c r="O349" s="469" t="n"/>
      <c r="P349" s="471" t="n"/>
      <c r="Q349" s="469" t="n"/>
      <c r="R349" s="469" t="n"/>
      <c r="S349" s="469" t="n"/>
      <c r="T349" s="469" t="n"/>
      <c r="U349" s="469" t="n"/>
      <c r="V349" s="469" t="n"/>
      <c r="W349" s="469" t="n"/>
      <c r="X349" s="469" t="n"/>
      <c r="Y349" s="469" t="n"/>
      <c r="Z349" s="469" t="n"/>
      <c r="AA349" s="469" t="n"/>
    </row>
    <row r="350">
      <c r="A350" s="468" t="n"/>
      <c r="B350" s="469" t="n"/>
      <c r="C350" s="469" t="n"/>
      <c r="D350" s="469" t="n"/>
      <c r="E350" s="469" t="n"/>
      <c r="F350" s="469" t="n"/>
      <c r="G350" s="469" t="n"/>
      <c r="H350" s="469" t="n"/>
      <c r="I350" s="469" t="n"/>
      <c r="J350" s="469" t="n"/>
      <c r="K350" s="469" t="n"/>
      <c r="L350" s="469" t="n"/>
      <c r="M350" s="469" t="n"/>
      <c r="N350" s="469" t="n"/>
      <c r="O350" s="469" t="n"/>
      <c r="P350" s="471" t="n"/>
      <c r="Q350" s="469" t="n"/>
      <c r="R350" s="469" t="n"/>
      <c r="S350" s="469" t="n"/>
      <c r="T350" s="469" t="n"/>
      <c r="U350" s="469" t="n"/>
      <c r="V350" s="469" t="n"/>
      <c r="W350" s="469" t="n"/>
      <c r="X350" s="469" t="n"/>
      <c r="Y350" s="469" t="n"/>
      <c r="Z350" s="469" t="n"/>
      <c r="AA350" s="469" t="n"/>
    </row>
    <row r="351">
      <c r="A351" s="468" t="n"/>
      <c r="B351" s="469" t="n"/>
      <c r="C351" s="469" t="n"/>
      <c r="D351" s="469" t="n"/>
      <c r="E351" s="469" t="n"/>
      <c r="F351" s="469" t="n"/>
      <c r="G351" s="469" t="n"/>
      <c r="H351" s="469" t="n"/>
      <c r="I351" s="469" t="n"/>
      <c r="J351" s="469" t="n"/>
      <c r="K351" s="469" t="n"/>
      <c r="L351" s="469" t="n"/>
      <c r="M351" s="469" t="n"/>
      <c r="N351" s="469" t="n"/>
      <c r="O351" s="469" t="n"/>
      <c r="P351" s="471" t="n"/>
      <c r="Q351" s="469" t="n"/>
      <c r="R351" s="469" t="n"/>
      <c r="S351" s="469" t="n"/>
      <c r="T351" s="469" t="n"/>
      <c r="U351" s="469" t="n"/>
      <c r="V351" s="469" t="n"/>
      <c r="W351" s="469" t="n"/>
      <c r="X351" s="469" t="n"/>
      <c r="Y351" s="469" t="n"/>
      <c r="Z351" s="469" t="n"/>
      <c r="AA351" s="469" t="n"/>
    </row>
    <row r="352">
      <c r="A352" s="468" t="n"/>
      <c r="B352" s="469" t="n"/>
      <c r="C352" s="469" t="n"/>
      <c r="D352" s="469" t="n"/>
      <c r="E352" s="469" t="n"/>
      <c r="F352" s="469" t="n"/>
      <c r="G352" s="469" t="n"/>
      <c r="H352" s="469" t="n"/>
      <c r="I352" s="469" t="n"/>
      <c r="J352" s="469" t="n"/>
      <c r="K352" s="469" t="n"/>
      <c r="L352" s="469" t="n"/>
      <c r="M352" s="469" t="n"/>
      <c r="N352" s="469" t="n"/>
      <c r="O352" s="469" t="n"/>
      <c r="P352" s="471" t="n"/>
      <c r="Q352" s="469" t="n"/>
      <c r="R352" s="469" t="n"/>
      <c r="S352" s="469" t="n"/>
      <c r="T352" s="469" t="n"/>
      <c r="U352" s="469" t="n"/>
      <c r="V352" s="469" t="n"/>
      <c r="W352" s="469" t="n"/>
      <c r="X352" s="469" t="n"/>
      <c r="Y352" s="469" t="n"/>
      <c r="Z352" s="469" t="n"/>
      <c r="AA352" s="469" t="n"/>
    </row>
    <row r="353">
      <c r="A353" s="468" t="n"/>
      <c r="B353" s="469" t="n"/>
      <c r="C353" s="469" t="n"/>
      <c r="D353" s="469" t="n"/>
      <c r="E353" s="469" t="n"/>
      <c r="F353" s="469" t="n"/>
      <c r="G353" s="469" t="n"/>
      <c r="H353" s="469" t="n"/>
      <c r="I353" s="469" t="n"/>
      <c r="J353" s="469" t="n"/>
      <c r="K353" s="469" t="n"/>
      <c r="L353" s="469" t="n"/>
      <c r="M353" s="469" t="n"/>
      <c r="N353" s="469" t="n"/>
      <c r="O353" s="469" t="n"/>
      <c r="P353" s="471" t="n"/>
      <c r="Q353" s="469" t="n"/>
      <c r="R353" s="469" t="n"/>
      <c r="S353" s="469" t="n"/>
      <c r="T353" s="469" t="n"/>
      <c r="U353" s="469" t="n"/>
      <c r="V353" s="469" t="n"/>
      <c r="W353" s="469" t="n"/>
      <c r="X353" s="469" t="n"/>
      <c r="Y353" s="469" t="n"/>
      <c r="Z353" s="469" t="n"/>
      <c r="AA353" s="469" t="n"/>
    </row>
    <row r="354">
      <c r="A354" s="468" t="n"/>
      <c r="B354" s="469" t="n"/>
      <c r="C354" s="469" t="n"/>
      <c r="D354" s="469" t="n"/>
      <c r="E354" s="469" t="n"/>
      <c r="F354" s="469" t="n"/>
      <c r="G354" s="469" t="n"/>
      <c r="H354" s="469" t="n"/>
      <c r="I354" s="469" t="n"/>
      <c r="J354" s="469" t="n"/>
      <c r="K354" s="469" t="n"/>
      <c r="L354" s="469" t="n"/>
      <c r="M354" s="469" t="n"/>
      <c r="N354" s="469" t="n"/>
      <c r="O354" s="469" t="n"/>
      <c r="P354" s="471" t="n"/>
      <c r="Q354" s="469" t="n"/>
      <c r="R354" s="469" t="n"/>
      <c r="S354" s="469" t="n"/>
      <c r="T354" s="469" t="n"/>
      <c r="U354" s="469" t="n"/>
      <c r="V354" s="469" t="n"/>
      <c r="W354" s="469" t="n"/>
      <c r="X354" s="469" t="n"/>
      <c r="Y354" s="469" t="n"/>
      <c r="Z354" s="469" t="n"/>
      <c r="AA354" s="469" t="n"/>
    </row>
    <row r="355">
      <c r="A355" s="468" t="n"/>
      <c r="B355" s="469" t="n"/>
      <c r="C355" s="469" t="n"/>
      <c r="D355" s="469" t="n"/>
      <c r="E355" s="469" t="n"/>
      <c r="F355" s="469" t="n"/>
      <c r="G355" s="469" t="n"/>
      <c r="H355" s="469" t="n"/>
      <c r="I355" s="469" t="n"/>
      <c r="J355" s="469" t="n"/>
      <c r="K355" s="469" t="n"/>
      <c r="L355" s="469" t="n"/>
      <c r="M355" s="469" t="n"/>
      <c r="N355" s="469" t="n"/>
      <c r="O355" s="469" t="n"/>
      <c r="P355" s="471" t="n"/>
      <c r="Q355" s="469" t="n"/>
      <c r="R355" s="469" t="n"/>
      <c r="S355" s="469" t="n"/>
      <c r="T355" s="469" t="n"/>
      <c r="U355" s="469" t="n"/>
      <c r="V355" s="469" t="n"/>
      <c r="W355" s="469" t="n"/>
      <c r="X355" s="469" t="n"/>
      <c r="Y355" s="469" t="n"/>
      <c r="Z355" s="469" t="n"/>
      <c r="AA355" s="469" t="n"/>
    </row>
    <row r="356">
      <c r="A356" s="468" t="n"/>
      <c r="B356" s="469" t="n"/>
      <c r="C356" s="469" t="n"/>
      <c r="D356" s="469" t="n"/>
      <c r="E356" s="469" t="n"/>
      <c r="F356" s="469" t="n"/>
      <c r="G356" s="469" t="n"/>
      <c r="H356" s="469" t="n"/>
      <c r="I356" s="469" t="n"/>
      <c r="J356" s="469" t="n"/>
      <c r="K356" s="469" t="n"/>
      <c r="L356" s="469" t="n"/>
      <c r="M356" s="469" t="n"/>
      <c r="N356" s="469" t="n"/>
      <c r="O356" s="469" t="n"/>
      <c r="P356" s="471" t="n"/>
      <c r="Q356" s="469" t="n"/>
      <c r="R356" s="469" t="n"/>
      <c r="S356" s="469" t="n"/>
      <c r="T356" s="469" t="n"/>
      <c r="U356" s="469" t="n"/>
      <c r="V356" s="469" t="n"/>
      <c r="W356" s="469" t="n"/>
      <c r="X356" s="469" t="n"/>
      <c r="Y356" s="469" t="n"/>
      <c r="Z356" s="469" t="n"/>
      <c r="AA356" s="469" t="n"/>
    </row>
    <row r="357">
      <c r="A357" s="468" t="n"/>
      <c r="B357" s="469" t="n"/>
      <c r="C357" s="469" t="n"/>
      <c r="D357" s="469" t="n"/>
      <c r="E357" s="469" t="n"/>
      <c r="F357" s="469" t="n"/>
      <c r="G357" s="469" t="n"/>
      <c r="H357" s="469" t="n"/>
      <c r="I357" s="469" t="n"/>
      <c r="J357" s="469" t="n"/>
      <c r="K357" s="469" t="n"/>
      <c r="L357" s="469" t="n"/>
      <c r="M357" s="469" t="n"/>
      <c r="N357" s="469" t="n"/>
      <c r="O357" s="469" t="n"/>
      <c r="P357" s="471" t="n"/>
      <c r="Q357" s="469" t="n"/>
      <c r="R357" s="469" t="n"/>
      <c r="S357" s="469" t="n"/>
      <c r="T357" s="469" t="n"/>
      <c r="U357" s="469" t="n"/>
      <c r="V357" s="469" t="n"/>
      <c r="W357" s="469" t="n"/>
      <c r="X357" s="469" t="n"/>
      <c r="Y357" s="469" t="n"/>
      <c r="Z357" s="469" t="n"/>
      <c r="AA357" s="469" t="n"/>
    </row>
    <row r="358">
      <c r="A358" s="468" t="n"/>
      <c r="B358" s="469" t="n"/>
      <c r="C358" s="469" t="n"/>
      <c r="D358" s="469" t="n"/>
      <c r="E358" s="469" t="n"/>
      <c r="F358" s="469" t="n"/>
      <c r="G358" s="469" t="n"/>
      <c r="H358" s="469" t="n"/>
      <c r="I358" s="469" t="n"/>
      <c r="J358" s="469" t="n"/>
      <c r="K358" s="469" t="n"/>
      <c r="L358" s="469" t="n"/>
      <c r="M358" s="469" t="n"/>
      <c r="N358" s="469" t="n"/>
      <c r="O358" s="469" t="n"/>
      <c r="P358" s="471" t="n"/>
      <c r="Q358" s="469" t="n"/>
      <c r="R358" s="469" t="n"/>
      <c r="S358" s="469" t="n"/>
      <c r="T358" s="469" t="n"/>
      <c r="U358" s="469" t="n"/>
      <c r="V358" s="469" t="n"/>
      <c r="W358" s="469" t="n"/>
      <c r="X358" s="469" t="n"/>
      <c r="Y358" s="469" t="n"/>
      <c r="Z358" s="469" t="n"/>
      <c r="AA358" s="469" t="n"/>
    </row>
    <row r="359">
      <c r="A359" s="468" t="n"/>
      <c r="B359" s="469" t="n"/>
      <c r="C359" s="469" t="n"/>
      <c r="D359" s="469" t="n"/>
      <c r="E359" s="469" t="n"/>
      <c r="F359" s="469" t="n"/>
      <c r="G359" s="469" t="n"/>
      <c r="H359" s="469" t="n"/>
      <c r="I359" s="469" t="n"/>
      <c r="J359" s="469" t="n"/>
      <c r="K359" s="469" t="n"/>
      <c r="L359" s="469" t="n"/>
      <c r="M359" s="469" t="n"/>
      <c r="N359" s="469" t="n"/>
      <c r="O359" s="469" t="n"/>
      <c r="P359" s="471" t="n"/>
      <c r="Q359" s="469" t="n"/>
      <c r="R359" s="469" t="n"/>
      <c r="S359" s="469" t="n"/>
      <c r="T359" s="469" t="n"/>
      <c r="U359" s="469" t="n"/>
      <c r="V359" s="469" t="n"/>
      <c r="W359" s="469" t="n"/>
      <c r="X359" s="469" t="n"/>
      <c r="Y359" s="469" t="n"/>
      <c r="Z359" s="469" t="n"/>
      <c r="AA359" s="469" t="n"/>
    </row>
    <row r="360">
      <c r="A360" s="468" t="n"/>
      <c r="B360" s="469" t="n"/>
      <c r="C360" s="469" t="n"/>
      <c r="D360" s="469" t="n"/>
      <c r="E360" s="469" t="n"/>
      <c r="F360" s="469" t="n"/>
      <c r="G360" s="469" t="n"/>
      <c r="H360" s="469" t="n"/>
      <c r="I360" s="469" t="n"/>
      <c r="J360" s="469" t="n"/>
      <c r="K360" s="469" t="n"/>
      <c r="L360" s="469" t="n"/>
      <c r="M360" s="469" t="n"/>
      <c r="N360" s="469" t="n"/>
      <c r="O360" s="469" t="n"/>
      <c r="P360" s="471" t="n"/>
      <c r="Q360" s="469" t="n"/>
      <c r="R360" s="469" t="n"/>
      <c r="S360" s="469" t="n"/>
      <c r="T360" s="469" t="n"/>
      <c r="U360" s="469" t="n"/>
      <c r="V360" s="469" t="n"/>
      <c r="W360" s="469" t="n"/>
      <c r="X360" s="469" t="n"/>
      <c r="Y360" s="469" t="n"/>
      <c r="Z360" s="469" t="n"/>
      <c r="AA360" s="469" t="n"/>
    </row>
    <row r="361">
      <c r="A361" s="468" t="n"/>
      <c r="B361" s="469" t="n"/>
      <c r="C361" s="469" t="n"/>
      <c r="D361" s="469" t="n"/>
      <c r="E361" s="469" t="n"/>
      <c r="F361" s="469" t="n"/>
      <c r="G361" s="469" t="n"/>
      <c r="H361" s="469" t="n"/>
      <c r="I361" s="469" t="n"/>
      <c r="J361" s="469" t="n"/>
      <c r="K361" s="469" t="n"/>
      <c r="L361" s="469" t="n"/>
      <c r="M361" s="469" t="n"/>
      <c r="N361" s="469" t="n"/>
      <c r="O361" s="469" t="n"/>
      <c r="P361" s="471" t="n"/>
      <c r="Q361" s="469" t="n"/>
      <c r="R361" s="469" t="n"/>
      <c r="S361" s="469" t="n"/>
      <c r="T361" s="469" t="n"/>
      <c r="U361" s="469" t="n"/>
      <c r="V361" s="469" t="n"/>
      <c r="W361" s="469" t="n"/>
      <c r="X361" s="469" t="n"/>
      <c r="Y361" s="469" t="n"/>
      <c r="Z361" s="469" t="n"/>
      <c r="AA361" s="469" t="n"/>
    </row>
    <row r="362">
      <c r="A362" s="468" t="n"/>
      <c r="B362" s="469" t="n"/>
      <c r="C362" s="469" t="n"/>
      <c r="D362" s="469" t="n"/>
      <c r="E362" s="469" t="n"/>
      <c r="F362" s="469" t="n"/>
      <c r="G362" s="469" t="n"/>
      <c r="H362" s="469" t="n"/>
      <c r="I362" s="469" t="n"/>
      <c r="J362" s="469" t="n"/>
      <c r="K362" s="469" t="n"/>
      <c r="L362" s="469" t="n"/>
      <c r="M362" s="469" t="n"/>
      <c r="N362" s="469" t="n"/>
      <c r="O362" s="469" t="n"/>
      <c r="P362" s="471" t="n"/>
      <c r="Q362" s="469" t="n"/>
      <c r="R362" s="469" t="n"/>
      <c r="S362" s="469" t="n"/>
      <c r="T362" s="469" t="n"/>
      <c r="U362" s="469" t="n"/>
      <c r="V362" s="469" t="n"/>
      <c r="W362" s="469" t="n"/>
      <c r="X362" s="469" t="n"/>
      <c r="Y362" s="469" t="n"/>
      <c r="Z362" s="469" t="n"/>
      <c r="AA362" s="469" t="n"/>
    </row>
    <row r="363">
      <c r="A363" s="468" t="n"/>
      <c r="B363" s="469" t="n"/>
      <c r="C363" s="469" t="n"/>
      <c r="D363" s="469" t="n"/>
      <c r="E363" s="469" t="n"/>
      <c r="F363" s="469" t="n"/>
      <c r="G363" s="469" t="n"/>
      <c r="H363" s="469" t="n"/>
      <c r="I363" s="469" t="n"/>
      <c r="J363" s="469" t="n"/>
      <c r="K363" s="469" t="n"/>
      <c r="L363" s="469" t="n"/>
      <c r="M363" s="469" t="n"/>
      <c r="N363" s="469" t="n"/>
      <c r="O363" s="469" t="n"/>
      <c r="P363" s="471" t="n"/>
      <c r="Q363" s="469" t="n"/>
      <c r="R363" s="469" t="n"/>
      <c r="S363" s="469" t="n"/>
      <c r="T363" s="469" t="n"/>
      <c r="U363" s="469" t="n"/>
      <c r="V363" s="469" t="n"/>
      <c r="W363" s="469" t="n"/>
      <c r="X363" s="469" t="n"/>
      <c r="Y363" s="469" t="n"/>
      <c r="Z363" s="469" t="n"/>
      <c r="AA363" s="469" t="n"/>
    </row>
    <row r="364">
      <c r="A364" s="468" t="n"/>
      <c r="B364" s="469" t="n"/>
      <c r="C364" s="469" t="n"/>
      <c r="D364" s="469" t="n"/>
      <c r="E364" s="469" t="n"/>
      <c r="F364" s="469" t="n"/>
      <c r="G364" s="469" t="n"/>
      <c r="H364" s="469" t="n"/>
      <c r="I364" s="469" t="n"/>
      <c r="J364" s="469" t="n"/>
      <c r="K364" s="469" t="n"/>
      <c r="L364" s="469" t="n"/>
      <c r="M364" s="469" t="n"/>
      <c r="N364" s="469" t="n"/>
      <c r="O364" s="469" t="n"/>
      <c r="P364" s="471" t="n"/>
      <c r="Q364" s="469" t="n"/>
      <c r="R364" s="469" t="n"/>
      <c r="S364" s="469" t="n"/>
      <c r="T364" s="469" t="n"/>
      <c r="U364" s="469" t="n"/>
      <c r="V364" s="469" t="n"/>
      <c r="W364" s="469" t="n"/>
      <c r="X364" s="469" t="n"/>
      <c r="Y364" s="469" t="n"/>
      <c r="Z364" s="469" t="n"/>
      <c r="AA364" s="469" t="n"/>
    </row>
    <row r="365">
      <c r="A365" s="468" t="n"/>
      <c r="B365" s="469" t="n"/>
      <c r="C365" s="469" t="n"/>
      <c r="D365" s="469" t="n"/>
      <c r="E365" s="469" t="n"/>
      <c r="F365" s="469" t="n"/>
      <c r="G365" s="469" t="n"/>
      <c r="H365" s="469" t="n"/>
      <c r="I365" s="469" t="n"/>
      <c r="J365" s="469" t="n"/>
      <c r="K365" s="469" t="n"/>
      <c r="L365" s="469" t="n"/>
      <c r="M365" s="469" t="n"/>
      <c r="N365" s="469" t="n"/>
      <c r="O365" s="469" t="n"/>
      <c r="P365" s="471" t="n"/>
      <c r="Q365" s="469" t="n"/>
      <c r="R365" s="469" t="n"/>
      <c r="S365" s="469" t="n"/>
      <c r="T365" s="469" t="n"/>
      <c r="U365" s="469" t="n"/>
      <c r="V365" s="469" t="n"/>
      <c r="W365" s="469" t="n"/>
      <c r="X365" s="469" t="n"/>
      <c r="Y365" s="469" t="n"/>
      <c r="Z365" s="469" t="n"/>
      <c r="AA365" s="469" t="n"/>
    </row>
    <row r="366">
      <c r="A366" s="468" t="n"/>
      <c r="B366" s="469" t="n"/>
      <c r="C366" s="469" t="n"/>
      <c r="D366" s="469" t="n"/>
      <c r="E366" s="469" t="n"/>
      <c r="F366" s="469" t="n"/>
      <c r="G366" s="469" t="n"/>
      <c r="H366" s="469" t="n"/>
      <c r="I366" s="469" t="n"/>
      <c r="J366" s="469" t="n"/>
      <c r="K366" s="469" t="n"/>
      <c r="L366" s="469" t="n"/>
      <c r="M366" s="469" t="n"/>
      <c r="N366" s="469" t="n"/>
      <c r="O366" s="469" t="n"/>
      <c r="P366" s="471" t="n"/>
      <c r="Q366" s="469" t="n"/>
      <c r="R366" s="469" t="n"/>
      <c r="S366" s="469" t="n"/>
      <c r="T366" s="469" t="n"/>
      <c r="U366" s="469" t="n"/>
      <c r="V366" s="469" t="n"/>
      <c r="W366" s="469" t="n"/>
      <c r="X366" s="469" t="n"/>
      <c r="Y366" s="469" t="n"/>
      <c r="Z366" s="469" t="n"/>
      <c r="AA366" s="469" t="n"/>
    </row>
    <row r="367">
      <c r="A367" s="468" t="n"/>
      <c r="B367" s="469" t="n"/>
      <c r="C367" s="469" t="n"/>
      <c r="D367" s="469" t="n"/>
      <c r="E367" s="469" t="n"/>
      <c r="F367" s="469" t="n"/>
      <c r="G367" s="469" t="n"/>
      <c r="H367" s="469" t="n"/>
      <c r="I367" s="469" t="n"/>
      <c r="J367" s="469" t="n"/>
      <c r="K367" s="469" t="n"/>
      <c r="L367" s="469" t="n"/>
      <c r="M367" s="469" t="n"/>
      <c r="N367" s="469" t="n"/>
      <c r="O367" s="469" t="n"/>
      <c r="P367" s="471" t="n"/>
      <c r="Q367" s="469" t="n"/>
      <c r="R367" s="469" t="n"/>
      <c r="S367" s="469" t="n"/>
      <c r="T367" s="469" t="n"/>
      <c r="U367" s="469" t="n"/>
      <c r="V367" s="469" t="n"/>
      <c r="W367" s="469" t="n"/>
      <c r="X367" s="469" t="n"/>
      <c r="Y367" s="469" t="n"/>
      <c r="Z367" s="469" t="n"/>
      <c r="AA367" s="469" t="n"/>
    </row>
    <row r="368">
      <c r="A368" s="468" t="n"/>
      <c r="B368" s="469" t="n"/>
      <c r="C368" s="469" t="n"/>
      <c r="D368" s="469" t="n"/>
      <c r="E368" s="469" t="n"/>
      <c r="F368" s="469" t="n"/>
      <c r="G368" s="469" t="n"/>
      <c r="H368" s="469" t="n"/>
      <c r="I368" s="469" t="n"/>
      <c r="J368" s="469" t="n"/>
      <c r="K368" s="469" t="n"/>
      <c r="L368" s="469" t="n"/>
      <c r="M368" s="469" t="n"/>
      <c r="N368" s="469" t="n"/>
      <c r="O368" s="469" t="n"/>
      <c r="P368" s="471" t="n"/>
      <c r="Q368" s="469" t="n"/>
      <c r="R368" s="469" t="n"/>
      <c r="S368" s="469" t="n"/>
      <c r="T368" s="469" t="n"/>
      <c r="U368" s="469" t="n"/>
      <c r="V368" s="469" t="n"/>
      <c r="W368" s="469" t="n"/>
      <c r="X368" s="469" t="n"/>
      <c r="Y368" s="469" t="n"/>
      <c r="Z368" s="469" t="n"/>
      <c r="AA368" s="469" t="n"/>
    </row>
    <row r="369">
      <c r="A369" s="468" t="n"/>
      <c r="B369" s="469" t="n"/>
      <c r="C369" s="469" t="n"/>
      <c r="D369" s="469" t="n"/>
      <c r="E369" s="469" t="n"/>
      <c r="F369" s="469" t="n"/>
      <c r="G369" s="469" t="n"/>
      <c r="H369" s="469" t="n"/>
      <c r="I369" s="469" t="n"/>
      <c r="J369" s="469" t="n"/>
      <c r="K369" s="469" t="n"/>
      <c r="L369" s="469" t="n"/>
      <c r="M369" s="469" t="n"/>
      <c r="N369" s="469" t="n"/>
      <c r="O369" s="469" t="n"/>
      <c r="P369" s="471" t="n"/>
      <c r="Q369" s="469" t="n"/>
      <c r="R369" s="469" t="n"/>
      <c r="S369" s="469" t="n"/>
      <c r="T369" s="469" t="n"/>
      <c r="U369" s="469" t="n"/>
      <c r="V369" s="469" t="n"/>
      <c r="W369" s="469" t="n"/>
      <c r="X369" s="469" t="n"/>
      <c r="Y369" s="469" t="n"/>
      <c r="Z369" s="469" t="n"/>
      <c r="AA369" s="469" t="n"/>
    </row>
    <row r="370">
      <c r="A370" s="468" t="n"/>
      <c r="B370" s="469" t="n"/>
      <c r="C370" s="469" t="n"/>
      <c r="D370" s="469" t="n"/>
      <c r="E370" s="469" t="n"/>
      <c r="F370" s="469" t="n"/>
      <c r="G370" s="469" t="n"/>
      <c r="H370" s="469" t="n"/>
      <c r="I370" s="469" t="n"/>
      <c r="J370" s="469" t="n"/>
      <c r="K370" s="469" t="n"/>
      <c r="L370" s="469" t="n"/>
      <c r="M370" s="469" t="n"/>
      <c r="N370" s="469" t="n"/>
      <c r="O370" s="469" t="n"/>
      <c r="P370" s="471" t="n"/>
      <c r="Q370" s="469" t="n"/>
      <c r="R370" s="469" t="n"/>
      <c r="S370" s="469" t="n"/>
      <c r="T370" s="469" t="n"/>
      <c r="U370" s="469" t="n"/>
      <c r="V370" s="469" t="n"/>
      <c r="W370" s="469" t="n"/>
      <c r="X370" s="469" t="n"/>
      <c r="Y370" s="469" t="n"/>
      <c r="Z370" s="469" t="n"/>
      <c r="AA370" s="469" t="n"/>
    </row>
    <row r="371">
      <c r="A371" s="468" t="n"/>
      <c r="B371" s="469" t="n"/>
      <c r="C371" s="469" t="n"/>
      <c r="D371" s="469" t="n"/>
      <c r="E371" s="469" t="n"/>
      <c r="F371" s="469" t="n"/>
      <c r="G371" s="469" t="n"/>
      <c r="H371" s="469" t="n"/>
      <c r="I371" s="469" t="n"/>
      <c r="J371" s="469" t="n"/>
      <c r="K371" s="469" t="n"/>
      <c r="L371" s="469" t="n"/>
      <c r="M371" s="469" t="n"/>
      <c r="N371" s="469" t="n"/>
      <c r="O371" s="469" t="n"/>
      <c r="P371" s="471" t="n"/>
      <c r="Q371" s="469" t="n"/>
      <c r="R371" s="469" t="n"/>
      <c r="S371" s="469" t="n"/>
      <c r="T371" s="469" t="n"/>
      <c r="U371" s="469" t="n"/>
      <c r="V371" s="469" t="n"/>
      <c r="W371" s="469" t="n"/>
      <c r="X371" s="469" t="n"/>
      <c r="Y371" s="469" t="n"/>
      <c r="Z371" s="469" t="n"/>
      <c r="AA371" s="469" t="n"/>
    </row>
    <row r="372">
      <c r="A372" s="468" t="n"/>
      <c r="B372" s="469" t="n"/>
      <c r="C372" s="469" t="n"/>
      <c r="D372" s="469" t="n"/>
      <c r="E372" s="469" t="n"/>
      <c r="F372" s="469" t="n"/>
      <c r="G372" s="469" t="n"/>
      <c r="H372" s="469" t="n"/>
      <c r="I372" s="469" t="n"/>
      <c r="J372" s="469" t="n"/>
      <c r="K372" s="469" t="n"/>
      <c r="L372" s="469" t="n"/>
      <c r="M372" s="469" t="n"/>
      <c r="N372" s="469" t="n"/>
      <c r="O372" s="469" t="n"/>
      <c r="P372" s="471" t="n"/>
      <c r="Q372" s="469" t="n"/>
      <c r="R372" s="469" t="n"/>
      <c r="S372" s="469" t="n"/>
      <c r="T372" s="469" t="n"/>
      <c r="U372" s="469" t="n"/>
      <c r="V372" s="469" t="n"/>
      <c r="W372" s="469" t="n"/>
      <c r="X372" s="469" t="n"/>
      <c r="Y372" s="469" t="n"/>
      <c r="Z372" s="469" t="n"/>
      <c r="AA372" s="469" t="n"/>
    </row>
    <row r="373">
      <c r="A373" s="468" t="n"/>
      <c r="B373" s="469" t="n"/>
      <c r="C373" s="469" t="n"/>
      <c r="D373" s="469" t="n"/>
      <c r="E373" s="469" t="n"/>
      <c r="F373" s="469" t="n"/>
      <c r="G373" s="469" t="n"/>
      <c r="H373" s="469" t="n"/>
      <c r="I373" s="469" t="n"/>
      <c r="J373" s="469" t="n"/>
      <c r="K373" s="469" t="n"/>
      <c r="L373" s="469" t="n"/>
      <c r="M373" s="469" t="n"/>
      <c r="N373" s="469" t="n"/>
      <c r="O373" s="469" t="n"/>
      <c r="P373" s="471" t="n"/>
      <c r="Q373" s="469" t="n"/>
      <c r="R373" s="469" t="n"/>
      <c r="S373" s="469" t="n"/>
      <c r="T373" s="469" t="n"/>
      <c r="U373" s="469" t="n"/>
      <c r="V373" s="469" t="n"/>
      <c r="W373" s="469" t="n"/>
      <c r="X373" s="469" t="n"/>
      <c r="Y373" s="469" t="n"/>
      <c r="Z373" s="469" t="n"/>
      <c r="AA373" s="469" t="n"/>
    </row>
    <row r="374">
      <c r="A374" s="468" t="n"/>
      <c r="B374" s="469" t="n"/>
      <c r="C374" s="469" t="n"/>
      <c r="D374" s="469" t="n"/>
      <c r="E374" s="469" t="n"/>
      <c r="F374" s="469" t="n"/>
      <c r="G374" s="469" t="n"/>
      <c r="H374" s="469" t="n"/>
      <c r="I374" s="469" t="n"/>
      <c r="J374" s="469" t="n"/>
      <c r="K374" s="469" t="n"/>
      <c r="L374" s="469" t="n"/>
      <c r="M374" s="469" t="n"/>
      <c r="N374" s="469" t="n"/>
      <c r="O374" s="469" t="n"/>
      <c r="P374" s="471" t="n"/>
      <c r="Q374" s="469" t="n"/>
      <c r="R374" s="469" t="n"/>
      <c r="S374" s="469" t="n"/>
      <c r="T374" s="469" t="n"/>
      <c r="U374" s="469" t="n"/>
      <c r="V374" s="469" t="n"/>
      <c r="W374" s="469" t="n"/>
      <c r="X374" s="469" t="n"/>
      <c r="Y374" s="469" t="n"/>
      <c r="Z374" s="469" t="n"/>
      <c r="AA374" s="469" t="n"/>
    </row>
    <row r="375">
      <c r="A375" s="468" t="n"/>
      <c r="B375" s="469" t="n"/>
      <c r="C375" s="469" t="n"/>
      <c r="D375" s="469" t="n"/>
      <c r="E375" s="469" t="n"/>
      <c r="F375" s="469" t="n"/>
      <c r="G375" s="469" t="n"/>
      <c r="H375" s="469" t="n"/>
      <c r="I375" s="469" t="n"/>
      <c r="J375" s="469" t="n"/>
      <c r="K375" s="469" t="n"/>
      <c r="L375" s="469" t="n"/>
      <c r="M375" s="469" t="n"/>
      <c r="N375" s="469" t="n"/>
      <c r="O375" s="469" t="n"/>
      <c r="P375" s="471" t="n"/>
      <c r="Q375" s="469" t="n"/>
      <c r="R375" s="469" t="n"/>
      <c r="S375" s="469" t="n"/>
      <c r="T375" s="469" t="n"/>
      <c r="U375" s="469" t="n"/>
      <c r="V375" s="469" t="n"/>
      <c r="W375" s="469" t="n"/>
      <c r="X375" s="469" t="n"/>
      <c r="Y375" s="469" t="n"/>
      <c r="Z375" s="469" t="n"/>
      <c r="AA375" s="469" t="n"/>
    </row>
    <row r="376">
      <c r="A376" s="468" t="n"/>
      <c r="B376" s="469" t="n"/>
      <c r="C376" s="469" t="n"/>
      <c r="D376" s="469" t="n"/>
      <c r="E376" s="469" t="n"/>
      <c r="F376" s="469" t="n"/>
      <c r="G376" s="469" t="n"/>
      <c r="H376" s="469" t="n"/>
      <c r="I376" s="469" t="n"/>
      <c r="J376" s="469" t="n"/>
      <c r="K376" s="469" t="n"/>
      <c r="L376" s="469" t="n"/>
      <c r="M376" s="469" t="n"/>
      <c r="N376" s="469" t="n"/>
      <c r="O376" s="469" t="n"/>
      <c r="P376" s="471" t="n"/>
      <c r="Q376" s="469" t="n"/>
      <c r="R376" s="469" t="n"/>
      <c r="S376" s="469" t="n"/>
      <c r="T376" s="469" t="n"/>
      <c r="U376" s="469" t="n"/>
      <c r="V376" s="469" t="n"/>
      <c r="W376" s="469" t="n"/>
      <c r="X376" s="469" t="n"/>
      <c r="Y376" s="469" t="n"/>
      <c r="Z376" s="469" t="n"/>
      <c r="AA376" s="469" t="n"/>
    </row>
    <row r="377">
      <c r="A377" s="468" t="n"/>
      <c r="B377" s="469" t="n"/>
      <c r="C377" s="469" t="n"/>
      <c r="D377" s="469" t="n"/>
      <c r="E377" s="469" t="n"/>
      <c r="F377" s="469" t="n"/>
      <c r="G377" s="469" t="n"/>
      <c r="H377" s="469" t="n"/>
      <c r="I377" s="469" t="n"/>
      <c r="J377" s="469" t="n"/>
      <c r="K377" s="469" t="n"/>
      <c r="L377" s="469" t="n"/>
      <c r="M377" s="469" t="n"/>
      <c r="N377" s="469" t="n"/>
      <c r="O377" s="469" t="n"/>
      <c r="P377" s="471" t="n"/>
      <c r="Q377" s="469" t="n"/>
      <c r="R377" s="469" t="n"/>
      <c r="S377" s="469" t="n"/>
      <c r="T377" s="469" t="n"/>
      <c r="U377" s="469" t="n"/>
      <c r="V377" s="469" t="n"/>
      <c r="W377" s="469" t="n"/>
      <c r="X377" s="469" t="n"/>
      <c r="Y377" s="469" t="n"/>
      <c r="Z377" s="469" t="n"/>
      <c r="AA377" s="469" t="n"/>
    </row>
    <row r="378">
      <c r="A378" s="468" t="n"/>
      <c r="B378" s="469" t="n"/>
      <c r="C378" s="469" t="n"/>
      <c r="D378" s="469" t="n"/>
      <c r="E378" s="469" t="n"/>
      <c r="F378" s="469" t="n"/>
      <c r="G378" s="469" t="n"/>
      <c r="H378" s="469" t="n"/>
      <c r="I378" s="469" t="n"/>
      <c r="J378" s="469" t="n"/>
      <c r="K378" s="469" t="n"/>
      <c r="L378" s="469" t="n"/>
      <c r="M378" s="469" t="n"/>
      <c r="N378" s="469" t="n"/>
      <c r="O378" s="469" t="n"/>
      <c r="P378" s="471" t="n"/>
      <c r="Q378" s="469" t="n"/>
      <c r="R378" s="469" t="n"/>
      <c r="S378" s="469" t="n"/>
      <c r="T378" s="469" t="n"/>
      <c r="U378" s="469" t="n"/>
      <c r="V378" s="469" t="n"/>
      <c r="W378" s="469" t="n"/>
      <c r="X378" s="469" t="n"/>
      <c r="Y378" s="469" t="n"/>
      <c r="Z378" s="469" t="n"/>
      <c r="AA378" s="469" t="n"/>
    </row>
    <row r="379">
      <c r="A379" s="468" t="n"/>
      <c r="B379" s="469" t="n"/>
      <c r="C379" s="469" t="n"/>
      <c r="D379" s="469" t="n"/>
      <c r="E379" s="469" t="n"/>
      <c r="F379" s="469" t="n"/>
      <c r="G379" s="469" t="n"/>
      <c r="H379" s="469" t="n"/>
      <c r="I379" s="469" t="n"/>
      <c r="J379" s="469" t="n"/>
      <c r="K379" s="469" t="n"/>
      <c r="L379" s="469" t="n"/>
      <c r="M379" s="469" t="n"/>
      <c r="N379" s="469" t="n"/>
      <c r="O379" s="469" t="n"/>
      <c r="P379" s="471" t="n"/>
      <c r="Q379" s="469" t="n"/>
      <c r="R379" s="469" t="n"/>
      <c r="S379" s="469" t="n"/>
      <c r="T379" s="469" t="n"/>
      <c r="U379" s="469" t="n"/>
      <c r="V379" s="469" t="n"/>
      <c r="W379" s="469" t="n"/>
      <c r="X379" s="469" t="n"/>
      <c r="Y379" s="469" t="n"/>
      <c r="Z379" s="469" t="n"/>
      <c r="AA379" s="469" t="n"/>
    </row>
    <row r="380">
      <c r="A380" s="468" t="n"/>
      <c r="B380" s="469" t="n"/>
      <c r="C380" s="469" t="n"/>
      <c r="D380" s="469" t="n"/>
      <c r="E380" s="469" t="n"/>
      <c r="F380" s="469" t="n"/>
      <c r="G380" s="469" t="n"/>
      <c r="H380" s="469" t="n"/>
      <c r="I380" s="469" t="n"/>
      <c r="J380" s="469" t="n"/>
      <c r="K380" s="469" t="n"/>
      <c r="L380" s="469" t="n"/>
      <c r="M380" s="469" t="n"/>
      <c r="N380" s="469" t="n"/>
      <c r="O380" s="469" t="n"/>
      <c r="P380" s="471" t="n"/>
      <c r="Q380" s="469" t="n"/>
      <c r="R380" s="469" t="n"/>
      <c r="S380" s="469" t="n"/>
      <c r="T380" s="469" t="n"/>
      <c r="U380" s="469" t="n"/>
      <c r="V380" s="469" t="n"/>
      <c r="W380" s="469" t="n"/>
      <c r="X380" s="469" t="n"/>
      <c r="Y380" s="469" t="n"/>
      <c r="Z380" s="469" t="n"/>
      <c r="AA380" s="469" t="n"/>
    </row>
    <row r="381">
      <c r="A381" s="468" t="n"/>
      <c r="B381" s="469" t="n"/>
      <c r="C381" s="469" t="n"/>
      <c r="D381" s="469" t="n"/>
      <c r="E381" s="469" t="n"/>
      <c r="F381" s="469" t="n"/>
      <c r="G381" s="469" t="n"/>
      <c r="H381" s="469" t="n"/>
      <c r="I381" s="469" t="n"/>
      <c r="J381" s="469" t="n"/>
      <c r="K381" s="469" t="n"/>
      <c r="L381" s="469" t="n"/>
      <c r="M381" s="469" t="n"/>
      <c r="N381" s="469" t="n"/>
      <c r="O381" s="469" t="n"/>
      <c r="P381" s="471" t="n"/>
      <c r="Q381" s="469" t="n"/>
      <c r="R381" s="469" t="n"/>
      <c r="S381" s="469" t="n"/>
      <c r="T381" s="469" t="n"/>
      <c r="U381" s="469" t="n"/>
      <c r="V381" s="469" t="n"/>
      <c r="W381" s="469" t="n"/>
      <c r="X381" s="469" t="n"/>
      <c r="Y381" s="469" t="n"/>
      <c r="Z381" s="469" t="n"/>
      <c r="AA381" s="469" t="n"/>
    </row>
    <row r="382">
      <c r="A382" s="468" t="n"/>
      <c r="B382" s="469" t="n"/>
      <c r="C382" s="469" t="n"/>
      <c r="D382" s="469" t="n"/>
      <c r="E382" s="469" t="n"/>
      <c r="F382" s="469" t="n"/>
      <c r="G382" s="469" t="n"/>
      <c r="H382" s="469" t="n"/>
      <c r="I382" s="469" t="n"/>
      <c r="J382" s="469" t="n"/>
      <c r="K382" s="469" t="n"/>
      <c r="L382" s="469" t="n"/>
      <c r="M382" s="469" t="n"/>
      <c r="N382" s="469" t="n"/>
      <c r="O382" s="469" t="n"/>
      <c r="P382" s="471" t="n"/>
      <c r="Q382" s="469" t="n"/>
      <c r="R382" s="469" t="n"/>
      <c r="S382" s="469" t="n"/>
      <c r="T382" s="469" t="n"/>
      <c r="U382" s="469" t="n"/>
      <c r="V382" s="469" t="n"/>
      <c r="W382" s="469" t="n"/>
      <c r="X382" s="469" t="n"/>
      <c r="Y382" s="469" t="n"/>
      <c r="Z382" s="469" t="n"/>
      <c r="AA382" s="469" t="n"/>
    </row>
    <row r="383">
      <c r="A383" s="468" t="n"/>
      <c r="B383" s="469" t="n"/>
      <c r="C383" s="469" t="n"/>
      <c r="D383" s="469" t="n"/>
      <c r="E383" s="469" t="n"/>
      <c r="F383" s="469" t="n"/>
      <c r="G383" s="469" t="n"/>
      <c r="H383" s="469" t="n"/>
      <c r="I383" s="469" t="n"/>
      <c r="J383" s="469" t="n"/>
      <c r="K383" s="469" t="n"/>
      <c r="L383" s="469" t="n"/>
      <c r="M383" s="469" t="n"/>
      <c r="N383" s="469" t="n"/>
      <c r="O383" s="469" t="n"/>
      <c r="P383" s="471" t="n"/>
      <c r="Q383" s="469" t="n"/>
      <c r="R383" s="469" t="n"/>
      <c r="S383" s="469" t="n"/>
      <c r="T383" s="469" t="n"/>
      <c r="U383" s="469" t="n"/>
      <c r="V383" s="469" t="n"/>
      <c r="W383" s="469" t="n"/>
      <c r="X383" s="469" t="n"/>
      <c r="Y383" s="469" t="n"/>
      <c r="Z383" s="469" t="n"/>
      <c r="AA383" s="469" t="n"/>
    </row>
    <row r="384">
      <c r="A384" s="468" t="n"/>
      <c r="B384" s="469" t="n"/>
      <c r="C384" s="469" t="n"/>
      <c r="D384" s="469" t="n"/>
      <c r="E384" s="469" t="n"/>
      <c r="F384" s="469" t="n"/>
      <c r="G384" s="469" t="n"/>
      <c r="H384" s="469" t="n"/>
      <c r="I384" s="469" t="n"/>
      <c r="J384" s="469" t="n"/>
      <c r="K384" s="469" t="n"/>
      <c r="L384" s="469" t="n"/>
      <c r="M384" s="469" t="n"/>
      <c r="N384" s="469" t="n"/>
      <c r="O384" s="469" t="n"/>
      <c r="P384" s="471" t="n"/>
      <c r="Q384" s="469" t="n"/>
      <c r="R384" s="469" t="n"/>
      <c r="S384" s="469" t="n"/>
      <c r="T384" s="469" t="n"/>
      <c r="U384" s="469" t="n"/>
      <c r="V384" s="469" t="n"/>
      <c r="W384" s="469" t="n"/>
      <c r="X384" s="469" t="n"/>
      <c r="Y384" s="469" t="n"/>
      <c r="Z384" s="469" t="n"/>
      <c r="AA384" s="469" t="n"/>
    </row>
    <row r="385">
      <c r="A385" s="468" t="n"/>
      <c r="B385" s="469" t="n"/>
      <c r="C385" s="469" t="n"/>
      <c r="D385" s="469" t="n"/>
      <c r="E385" s="469" t="n"/>
      <c r="F385" s="469" t="n"/>
      <c r="G385" s="469" t="n"/>
      <c r="H385" s="469" t="n"/>
      <c r="I385" s="469" t="n"/>
      <c r="J385" s="469" t="n"/>
      <c r="K385" s="469" t="n"/>
      <c r="L385" s="469" t="n"/>
      <c r="M385" s="469" t="n"/>
      <c r="N385" s="469" t="n"/>
      <c r="O385" s="469" t="n"/>
      <c r="P385" s="471" t="n"/>
      <c r="Q385" s="469" t="n"/>
      <c r="R385" s="469" t="n"/>
      <c r="S385" s="469" t="n"/>
      <c r="T385" s="469" t="n"/>
      <c r="U385" s="469" t="n"/>
      <c r="V385" s="469" t="n"/>
      <c r="W385" s="469" t="n"/>
      <c r="X385" s="469" t="n"/>
      <c r="Y385" s="469" t="n"/>
      <c r="Z385" s="469" t="n"/>
      <c r="AA385" s="469" t="n"/>
    </row>
    <row r="386">
      <c r="A386" s="468" t="n"/>
      <c r="B386" s="469" t="n"/>
      <c r="C386" s="469" t="n"/>
      <c r="D386" s="469" t="n"/>
      <c r="E386" s="469" t="n"/>
      <c r="F386" s="469" t="n"/>
      <c r="G386" s="469" t="n"/>
      <c r="H386" s="469" t="n"/>
      <c r="I386" s="469" t="n"/>
      <c r="J386" s="469" t="n"/>
      <c r="K386" s="469" t="n"/>
      <c r="L386" s="469" t="n"/>
      <c r="M386" s="469" t="n"/>
      <c r="N386" s="469" t="n"/>
      <c r="O386" s="469" t="n"/>
      <c r="P386" s="471" t="n"/>
      <c r="Q386" s="469" t="n"/>
      <c r="R386" s="469" t="n"/>
      <c r="S386" s="469" t="n"/>
      <c r="T386" s="469" t="n"/>
      <c r="U386" s="469" t="n"/>
      <c r="V386" s="469" t="n"/>
      <c r="W386" s="469" t="n"/>
      <c r="X386" s="469" t="n"/>
      <c r="Y386" s="469" t="n"/>
      <c r="Z386" s="469" t="n"/>
      <c r="AA386" s="469" t="n"/>
    </row>
    <row r="387">
      <c r="A387" s="468" t="n"/>
      <c r="B387" s="469" t="n"/>
      <c r="C387" s="469" t="n"/>
      <c r="D387" s="469" t="n"/>
      <c r="E387" s="469" t="n"/>
      <c r="F387" s="469" t="n"/>
      <c r="G387" s="469" t="n"/>
      <c r="H387" s="469" t="n"/>
      <c r="I387" s="469" t="n"/>
      <c r="J387" s="469" t="n"/>
      <c r="K387" s="469" t="n"/>
      <c r="L387" s="469" t="n"/>
      <c r="M387" s="469" t="n"/>
      <c r="N387" s="469" t="n"/>
      <c r="O387" s="469" t="n"/>
      <c r="P387" s="471" t="n"/>
      <c r="Q387" s="469" t="n"/>
      <c r="R387" s="469" t="n"/>
      <c r="S387" s="469" t="n"/>
      <c r="T387" s="469" t="n"/>
      <c r="U387" s="469" t="n"/>
      <c r="V387" s="469" t="n"/>
      <c r="W387" s="469" t="n"/>
      <c r="X387" s="469" t="n"/>
      <c r="Y387" s="469" t="n"/>
      <c r="Z387" s="469" t="n"/>
      <c r="AA387" s="469" t="n"/>
    </row>
    <row r="388">
      <c r="A388" s="468" t="n"/>
      <c r="B388" s="469" t="n"/>
      <c r="C388" s="469" t="n"/>
      <c r="D388" s="469" t="n"/>
      <c r="E388" s="469" t="n"/>
      <c r="F388" s="469" t="n"/>
      <c r="G388" s="469" t="n"/>
      <c r="H388" s="469" t="n"/>
      <c r="I388" s="469" t="n"/>
      <c r="J388" s="469" t="n"/>
      <c r="K388" s="469" t="n"/>
      <c r="L388" s="469" t="n"/>
      <c r="M388" s="469" t="n"/>
      <c r="N388" s="469" t="n"/>
      <c r="O388" s="469" t="n"/>
      <c r="P388" s="471" t="n"/>
      <c r="Q388" s="469" t="n"/>
      <c r="R388" s="469" t="n"/>
      <c r="S388" s="469" t="n"/>
      <c r="T388" s="469" t="n"/>
      <c r="U388" s="469" t="n"/>
      <c r="V388" s="469" t="n"/>
      <c r="W388" s="469" t="n"/>
      <c r="X388" s="469" t="n"/>
      <c r="Y388" s="469" t="n"/>
      <c r="Z388" s="469" t="n"/>
      <c r="AA388" s="469" t="n"/>
    </row>
    <row r="389">
      <c r="A389" s="468" t="n"/>
      <c r="B389" s="469" t="n"/>
      <c r="C389" s="469" t="n"/>
      <c r="D389" s="469" t="n"/>
      <c r="E389" s="469" t="n"/>
      <c r="F389" s="469" t="n"/>
      <c r="G389" s="469" t="n"/>
      <c r="H389" s="469" t="n"/>
      <c r="I389" s="469" t="n"/>
      <c r="J389" s="469" t="n"/>
      <c r="K389" s="469" t="n"/>
      <c r="L389" s="469" t="n"/>
      <c r="M389" s="469" t="n"/>
      <c r="N389" s="469" t="n"/>
      <c r="O389" s="469" t="n"/>
      <c r="P389" s="471" t="n"/>
      <c r="Q389" s="469" t="n"/>
      <c r="R389" s="469" t="n"/>
      <c r="S389" s="469" t="n"/>
      <c r="T389" s="469" t="n"/>
      <c r="U389" s="469" t="n"/>
      <c r="V389" s="469" t="n"/>
      <c r="W389" s="469" t="n"/>
      <c r="X389" s="469" t="n"/>
      <c r="Y389" s="469" t="n"/>
      <c r="Z389" s="469" t="n"/>
      <c r="AA389" s="469" t="n"/>
    </row>
    <row r="390">
      <c r="A390" s="468" t="n"/>
      <c r="B390" s="469" t="n"/>
      <c r="C390" s="469" t="n"/>
      <c r="D390" s="469" t="n"/>
      <c r="E390" s="469" t="n"/>
      <c r="F390" s="469" t="n"/>
      <c r="G390" s="469" t="n"/>
      <c r="H390" s="469" t="n"/>
      <c r="I390" s="469" t="n"/>
      <c r="J390" s="469" t="n"/>
      <c r="K390" s="469" t="n"/>
      <c r="L390" s="469" t="n"/>
      <c r="M390" s="469" t="n"/>
      <c r="N390" s="469" t="n"/>
      <c r="O390" s="469" t="n"/>
      <c r="P390" s="471" t="n"/>
      <c r="Q390" s="469" t="n"/>
      <c r="R390" s="469" t="n"/>
      <c r="S390" s="469" t="n"/>
      <c r="T390" s="469" t="n"/>
      <c r="U390" s="469" t="n"/>
      <c r="V390" s="469" t="n"/>
      <c r="W390" s="469" t="n"/>
      <c r="X390" s="469" t="n"/>
      <c r="Y390" s="469" t="n"/>
      <c r="Z390" s="469" t="n"/>
      <c r="AA390" s="469" t="n"/>
    </row>
    <row r="391">
      <c r="A391" s="468" t="n"/>
      <c r="B391" s="469" t="n"/>
      <c r="C391" s="469" t="n"/>
      <c r="D391" s="469" t="n"/>
      <c r="E391" s="469" t="n"/>
      <c r="F391" s="469" t="n"/>
      <c r="G391" s="469" t="n"/>
      <c r="H391" s="469" t="n"/>
      <c r="I391" s="469" t="n"/>
      <c r="J391" s="469" t="n"/>
      <c r="K391" s="469" t="n"/>
      <c r="L391" s="469" t="n"/>
      <c r="M391" s="469" t="n"/>
      <c r="N391" s="469" t="n"/>
      <c r="O391" s="469" t="n"/>
      <c r="P391" s="471" t="n"/>
      <c r="Q391" s="469" t="n"/>
      <c r="R391" s="469" t="n"/>
      <c r="S391" s="469" t="n"/>
      <c r="T391" s="469" t="n"/>
      <c r="U391" s="469" t="n"/>
      <c r="V391" s="469" t="n"/>
      <c r="W391" s="469" t="n"/>
      <c r="X391" s="469" t="n"/>
      <c r="Y391" s="469" t="n"/>
      <c r="Z391" s="469" t="n"/>
      <c r="AA391" s="469" t="n"/>
    </row>
    <row r="392">
      <c r="A392" s="468" t="n"/>
      <c r="B392" s="469" t="n"/>
      <c r="C392" s="469" t="n"/>
      <c r="D392" s="469" t="n"/>
      <c r="E392" s="469" t="n"/>
      <c r="F392" s="469" t="n"/>
      <c r="G392" s="469" t="n"/>
      <c r="H392" s="469" t="n"/>
      <c r="I392" s="469" t="n"/>
      <c r="J392" s="469" t="n"/>
      <c r="K392" s="469" t="n"/>
      <c r="L392" s="469" t="n"/>
      <c r="M392" s="469" t="n"/>
      <c r="N392" s="469" t="n"/>
      <c r="O392" s="469" t="n"/>
      <c r="P392" s="471" t="n"/>
      <c r="Q392" s="469" t="n"/>
      <c r="R392" s="469" t="n"/>
      <c r="S392" s="469" t="n"/>
      <c r="T392" s="469" t="n"/>
      <c r="U392" s="469" t="n"/>
      <c r="V392" s="469" t="n"/>
      <c r="W392" s="469" t="n"/>
      <c r="X392" s="469" t="n"/>
      <c r="Y392" s="469" t="n"/>
      <c r="Z392" s="469" t="n"/>
      <c r="AA392" s="469" t="n"/>
    </row>
    <row r="393">
      <c r="A393" s="468" t="n"/>
      <c r="B393" s="469" t="n"/>
      <c r="C393" s="469" t="n"/>
      <c r="D393" s="469" t="n"/>
      <c r="E393" s="469" t="n"/>
      <c r="F393" s="469" t="n"/>
      <c r="G393" s="469" t="n"/>
      <c r="H393" s="469" t="n"/>
      <c r="I393" s="469" t="n"/>
      <c r="J393" s="469" t="n"/>
      <c r="K393" s="469" t="n"/>
      <c r="L393" s="469" t="n"/>
      <c r="M393" s="469" t="n"/>
      <c r="N393" s="469" t="n"/>
      <c r="O393" s="469" t="n"/>
      <c r="P393" s="471" t="n"/>
      <c r="Q393" s="469" t="n"/>
      <c r="R393" s="469" t="n"/>
      <c r="S393" s="469" t="n"/>
      <c r="T393" s="469" t="n"/>
      <c r="U393" s="469" t="n"/>
      <c r="V393" s="469" t="n"/>
      <c r="W393" s="469" t="n"/>
      <c r="X393" s="469" t="n"/>
      <c r="Y393" s="469" t="n"/>
      <c r="Z393" s="469" t="n"/>
      <c r="AA393" s="469" t="n"/>
    </row>
    <row r="394">
      <c r="A394" s="468" t="n"/>
      <c r="B394" s="469" t="n"/>
      <c r="C394" s="469" t="n"/>
      <c r="D394" s="469" t="n"/>
      <c r="E394" s="469" t="n"/>
      <c r="F394" s="469" t="n"/>
      <c r="G394" s="469" t="n"/>
      <c r="H394" s="469" t="n"/>
      <c r="I394" s="469" t="n"/>
      <c r="J394" s="469" t="n"/>
      <c r="K394" s="469" t="n"/>
      <c r="L394" s="469" t="n"/>
      <c r="M394" s="469" t="n"/>
      <c r="N394" s="469" t="n"/>
      <c r="O394" s="469" t="n"/>
      <c r="P394" s="471" t="n"/>
      <c r="Q394" s="469" t="n"/>
      <c r="R394" s="469" t="n"/>
      <c r="S394" s="469" t="n"/>
      <c r="T394" s="469" t="n"/>
      <c r="U394" s="469" t="n"/>
      <c r="V394" s="469" t="n"/>
      <c r="W394" s="469" t="n"/>
      <c r="X394" s="469" t="n"/>
      <c r="Y394" s="469" t="n"/>
      <c r="Z394" s="469" t="n"/>
      <c r="AA394" s="469" t="n"/>
    </row>
    <row r="395">
      <c r="A395" s="468" t="n"/>
      <c r="B395" s="469" t="n"/>
      <c r="C395" s="469" t="n"/>
      <c r="D395" s="469" t="n"/>
      <c r="E395" s="469" t="n"/>
      <c r="F395" s="469" t="n"/>
      <c r="G395" s="469" t="n"/>
      <c r="H395" s="469" t="n"/>
      <c r="I395" s="469" t="n"/>
      <c r="J395" s="469" t="n"/>
      <c r="K395" s="469" t="n"/>
      <c r="L395" s="469" t="n"/>
      <c r="M395" s="469" t="n"/>
      <c r="N395" s="469" t="n"/>
      <c r="O395" s="469" t="n"/>
      <c r="P395" s="471" t="n"/>
      <c r="Q395" s="469" t="n"/>
      <c r="R395" s="469" t="n"/>
      <c r="S395" s="469" t="n"/>
      <c r="T395" s="469" t="n"/>
      <c r="U395" s="469" t="n"/>
      <c r="V395" s="469" t="n"/>
      <c r="W395" s="469" t="n"/>
      <c r="X395" s="469" t="n"/>
      <c r="Y395" s="469" t="n"/>
      <c r="Z395" s="469" t="n"/>
      <c r="AA395" s="469" t="n"/>
    </row>
    <row r="396">
      <c r="A396" s="468" t="n"/>
      <c r="B396" s="469" t="n"/>
      <c r="C396" s="469" t="n"/>
      <c r="D396" s="469" t="n"/>
      <c r="E396" s="469" t="n"/>
      <c r="F396" s="469" t="n"/>
      <c r="G396" s="469" t="n"/>
      <c r="H396" s="469" t="n"/>
      <c r="I396" s="469" t="n"/>
      <c r="J396" s="469" t="n"/>
      <c r="K396" s="469" t="n"/>
      <c r="L396" s="469" t="n"/>
      <c r="M396" s="469" t="n"/>
      <c r="N396" s="469" t="n"/>
      <c r="O396" s="469" t="n"/>
      <c r="P396" s="471" t="n"/>
      <c r="Q396" s="469" t="n"/>
      <c r="R396" s="469" t="n"/>
      <c r="S396" s="469" t="n"/>
      <c r="T396" s="469" t="n"/>
      <c r="U396" s="469" t="n"/>
      <c r="V396" s="469" t="n"/>
      <c r="W396" s="469" t="n"/>
      <c r="X396" s="469" t="n"/>
      <c r="Y396" s="469" t="n"/>
      <c r="Z396" s="469" t="n"/>
      <c r="AA396" s="469" t="n"/>
    </row>
    <row r="397">
      <c r="A397" s="468" t="n"/>
      <c r="B397" s="469" t="n"/>
      <c r="C397" s="469" t="n"/>
      <c r="D397" s="469" t="n"/>
      <c r="E397" s="469" t="n"/>
      <c r="F397" s="469" t="n"/>
      <c r="G397" s="469" t="n"/>
      <c r="H397" s="469" t="n"/>
      <c r="I397" s="469" t="n"/>
      <c r="J397" s="469" t="n"/>
      <c r="K397" s="469" t="n"/>
      <c r="L397" s="469" t="n"/>
      <c r="M397" s="469" t="n"/>
      <c r="N397" s="469" t="n"/>
      <c r="O397" s="469" t="n"/>
      <c r="P397" s="471" t="n"/>
      <c r="Q397" s="469" t="n"/>
      <c r="R397" s="469" t="n"/>
      <c r="S397" s="469" t="n"/>
      <c r="T397" s="469" t="n"/>
      <c r="U397" s="469" t="n"/>
      <c r="V397" s="469" t="n"/>
      <c r="W397" s="469" t="n"/>
      <c r="X397" s="469" t="n"/>
      <c r="Y397" s="469" t="n"/>
      <c r="Z397" s="469" t="n"/>
      <c r="AA397" s="469" t="n"/>
    </row>
    <row r="398">
      <c r="A398" s="468" t="n"/>
      <c r="B398" s="469" t="n"/>
      <c r="C398" s="469" t="n"/>
      <c r="D398" s="469" t="n"/>
      <c r="E398" s="469" t="n"/>
      <c r="F398" s="469" t="n"/>
      <c r="G398" s="469" t="n"/>
      <c r="H398" s="469" t="n"/>
      <c r="I398" s="469" t="n"/>
      <c r="J398" s="469" t="n"/>
      <c r="K398" s="469" t="n"/>
      <c r="L398" s="469" t="n"/>
      <c r="M398" s="469" t="n"/>
      <c r="N398" s="469" t="n"/>
      <c r="O398" s="469" t="n"/>
      <c r="P398" s="471" t="n"/>
      <c r="Q398" s="469" t="n"/>
      <c r="R398" s="469" t="n"/>
      <c r="S398" s="469" t="n"/>
      <c r="T398" s="469" t="n"/>
      <c r="U398" s="469" t="n"/>
      <c r="V398" s="469" t="n"/>
      <c r="W398" s="469" t="n"/>
      <c r="X398" s="469" t="n"/>
      <c r="Y398" s="469" t="n"/>
      <c r="Z398" s="469" t="n"/>
      <c r="AA398" s="469" t="n"/>
    </row>
    <row r="399">
      <c r="A399" s="468" t="n"/>
      <c r="B399" s="469" t="n"/>
      <c r="C399" s="469" t="n"/>
      <c r="D399" s="469" t="n"/>
      <c r="E399" s="469" t="n"/>
      <c r="F399" s="469" t="n"/>
      <c r="G399" s="469" t="n"/>
      <c r="H399" s="469" t="n"/>
      <c r="I399" s="469" t="n"/>
      <c r="J399" s="469" t="n"/>
      <c r="K399" s="469" t="n"/>
      <c r="L399" s="469" t="n"/>
      <c r="M399" s="469" t="n"/>
      <c r="N399" s="469" t="n"/>
      <c r="O399" s="469" t="n"/>
      <c r="P399" s="471" t="n"/>
      <c r="Q399" s="469" t="n"/>
      <c r="R399" s="469" t="n"/>
      <c r="S399" s="469" t="n"/>
      <c r="T399" s="469" t="n"/>
      <c r="U399" s="469" t="n"/>
      <c r="V399" s="469" t="n"/>
      <c r="W399" s="469" t="n"/>
      <c r="X399" s="469" t="n"/>
      <c r="Y399" s="469" t="n"/>
      <c r="Z399" s="469" t="n"/>
      <c r="AA399" s="469" t="n"/>
    </row>
    <row r="400">
      <c r="A400" s="468" t="n"/>
      <c r="B400" s="469" t="n"/>
      <c r="C400" s="469" t="n"/>
      <c r="D400" s="469" t="n"/>
      <c r="E400" s="469" t="n"/>
      <c r="F400" s="469" t="n"/>
      <c r="G400" s="469" t="n"/>
      <c r="H400" s="469" t="n"/>
      <c r="I400" s="469" t="n"/>
      <c r="J400" s="469" t="n"/>
      <c r="K400" s="469" t="n"/>
      <c r="L400" s="469" t="n"/>
      <c r="M400" s="469" t="n"/>
      <c r="N400" s="469" t="n"/>
      <c r="O400" s="469" t="n"/>
      <c r="P400" s="471" t="n"/>
      <c r="Q400" s="469" t="n"/>
      <c r="R400" s="469" t="n"/>
      <c r="S400" s="469" t="n"/>
      <c r="T400" s="469" t="n"/>
      <c r="U400" s="469" t="n"/>
      <c r="V400" s="469" t="n"/>
      <c r="W400" s="469" t="n"/>
      <c r="X400" s="469" t="n"/>
      <c r="Y400" s="469" t="n"/>
      <c r="Z400" s="469" t="n"/>
      <c r="AA400" s="469" t="n"/>
    </row>
    <row r="401">
      <c r="A401" s="468" t="n"/>
      <c r="B401" s="469" t="n"/>
      <c r="C401" s="469" t="n"/>
      <c r="D401" s="469" t="n"/>
      <c r="E401" s="469" t="n"/>
      <c r="F401" s="469" t="n"/>
      <c r="G401" s="469" t="n"/>
      <c r="H401" s="469" t="n"/>
      <c r="I401" s="469" t="n"/>
      <c r="J401" s="469" t="n"/>
      <c r="K401" s="469" t="n"/>
      <c r="L401" s="469" t="n"/>
      <c r="M401" s="469" t="n"/>
      <c r="N401" s="469" t="n"/>
      <c r="O401" s="469" t="n"/>
      <c r="P401" s="471" t="n"/>
      <c r="Q401" s="469" t="n"/>
      <c r="R401" s="469" t="n"/>
      <c r="S401" s="469" t="n"/>
      <c r="T401" s="469" t="n"/>
      <c r="U401" s="469" t="n"/>
      <c r="V401" s="469" t="n"/>
      <c r="W401" s="469" t="n"/>
      <c r="X401" s="469" t="n"/>
      <c r="Y401" s="469" t="n"/>
      <c r="Z401" s="469" t="n"/>
      <c r="AA401" s="469" t="n"/>
    </row>
    <row r="402">
      <c r="A402" s="468" t="n"/>
      <c r="B402" s="469" t="n"/>
      <c r="C402" s="469" t="n"/>
      <c r="D402" s="469" t="n"/>
      <c r="E402" s="469" t="n"/>
      <c r="F402" s="469" t="n"/>
      <c r="G402" s="469" t="n"/>
      <c r="H402" s="469" t="n"/>
      <c r="I402" s="469" t="n"/>
      <c r="J402" s="469" t="n"/>
      <c r="K402" s="469" t="n"/>
      <c r="L402" s="469" t="n"/>
      <c r="M402" s="469" t="n"/>
      <c r="N402" s="469" t="n"/>
      <c r="O402" s="469" t="n"/>
      <c r="P402" s="471" t="n"/>
      <c r="Q402" s="469" t="n"/>
      <c r="R402" s="469" t="n"/>
      <c r="S402" s="469" t="n"/>
      <c r="T402" s="469" t="n"/>
      <c r="U402" s="469" t="n"/>
      <c r="V402" s="469" t="n"/>
      <c r="W402" s="469" t="n"/>
      <c r="X402" s="469" t="n"/>
      <c r="Y402" s="469" t="n"/>
      <c r="Z402" s="469" t="n"/>
      <c r="AA402" s="469" t="n"/>
    </row>
    <row r="403">
      <c r="A403" s="468" t="n"/>
      <c r="B403" s="469" t="n"/>
      <c r="C403" s="469" t="n"/>
      <c r="D403" s="469" t="n"/>
      <c r="E403" s="469" t="n"/>
      <c r="F403" s="469" t="n"/>
      <c r="G403" s="469" t="n"/>
      <c r="H403" s="469" t="n"/>
      <c r="I403" s="469" t="n"/>
      <c r="J403" s="469" t="n"/>
      <c r="K403" s="469" t="n"/>
      <c r="L403" s="469" t="n"/>
      <c r="M403" s="469" t="n"/>
      <c r="N403" s="469" t="n"/>
      <c r="O403" s="469" t="n"/>
      <c r="P403" s="471" t="n"/>
      <c r="Q403" s="469" t="n"/>
      <c r="R403" s="469" t="n"/>
      <c r="S403" s="469" t="n"/>
      <c r="T403" s="469" t="n"/>
      <c r="U403" s="469" t="n"/>
      <c r="V403" s="469" t="n"/>
      <c r="W403" s="469" t="n"/>
      <c r="X403" s="469" t="n"/>
      <c r="Y403" s="469" t="n"/>
      <c r="Z403" s="469" t="n"/>
      <c r="AA403" s="469" t="n"/>
    </row>
    <row r="404">
      <c r="A404" s="468" t="n"/>
      <c r="B404" s="469" t="n"/>
      <c r="C404" s="469" t="n"/>
      <c r="D404" s="469" t="n"/>
      <c r="E404" s="469" t="n"/>
      <c r="F404" s="469" t="n"/>
      <c r="G404" s="469" t="n"/>
      <c r="H404" s="469" t="n"/>
      <c r="I404" s="469" t="n"/>
      <c r="J404" s="469" t="n"/>
      <c r="K404" s="469" t="n"/>
      <c r="L404" s="469" t="n"/>
      <c r="M404" s="469" t="n"/>
      <c r="N404" s="469" t="n"/>
      <c r="O404" s="469" t="n"/>
      <c r="P404" s="471" t="n"/>
      <c r="Q404" s="469" t="n"/>
      <c r="R404" s="469" t="n"/>
      <c r="S404" s="469" t="n"/>
      <c r="T404" s="469" t="n"/>
      <c r="U404" s="469" t="n"/>
      <c r="V404" s="469" t="n"/>
      <c r="W404" s="469" t="n"/>
      <c r="X404" s="469" t="n"/>
      <c r="Y404" s="469" t="n"/>
      <c r="Z404" s="469" t="n"/>
      <c r="AA404" s="469" t="n"/>
    </row>
    <row r="405">
      <c r="A405" s="468" t="n"/>
      <c r="B405" s="469" t="n"/>
      <c r="C405" s="469" t="n"/>
      <c r="D405" s="469" t="n"/>
      <c r="E405" s="469" t="n"/>
      <c r="F405" s="469" t="n"/>
      <c r="G405" s="469" t="n"/>
      <c r="H405" s="469" t="n"/>
      <c r="I405" s="469" t="n"/>
      <c r="J405" s="469" t="n"/>
      <c r="K405" s="469" t="n"/>
      <c r="L405" s="469" t="n"/>
      <c r="M405" s="469" t="n"/>
      <c r="N405" s="469" t="n"/>
      <c r="O405" s="469" t="n"/>
      <c r="P405" s="471" t="n"/>
      <c r="Q405" s="469" t="n"/>
      <c r="R405" s="469" t="n"/>
      <c r="S405" s="469" t="n"/>
      <c r="T405" s="469" t="n"/>
      <c r="U405" s="469" t="n"/>
      <c r="V405" s="469" t="n"/>
      <c r="W405" s="469" t="n"/>
      <c r="X405" s="469" t="n"/>
      <c r="Y405" s="469" t="n"/>
      <c r="Z405" s="469" t="n"/>
      <c r="AA405" s="469" t="n"/>
    </row>
    <row r="406">
      <c r="A406" s="468" t="n"/>
      <c r="B406" s="469" t="n"/>
      <c r="C406" s="469" t="n"/>
      <c r="D406" s="469" t="n"/>
      <c r="E406" s="469" t="n"/>
      <c r="F406" s="469" t="n"/>
      <c r="G406" s="469" t="n"/>
      <c r="H406" s="469" t="n"/>
      <c r="I406" s="469" t="n"/>
      <c r="J406" s="469" t="n"/>
      <c r="K406" s="469" t="n"/>
      <c r="L406" s="469" t="n"/>
      <c r="M406" s="469" t="n"/>
      <c r="N406" s="469" t="n"/>
      <c r="O406" s="469" t="n"/>
      <c r="P406" s="471" t="n"/>
      <c r="Q406" s="469" t="n"/>
      <c r="R406" s="469" t="n"/>
      <c r="S406" s="469" t="n"/>
      <c r="T406" s="469" t="n"/>
      <c r="U406" s="469" t="n"/>
      <c r="V406" s="469" t="n"/>
      <c r="W406" s="469" t="n"/>
      <c r="X406" s="469" t="n"/>
      <c r="Y406" s="469" t="n"/>
      <c r="Z406" s="469" t="n"/>
      <c r="AA406" s="469" t="n"/>
    </row>
    <row r="407">
      <c r="A407" s="468" t="n"/>
      <c r="B407" s="469" t="n"/>
      <c r="C407" s="469" t="n"/>
      <c r="D407" s="469" t="n"/>
      <c r="E407" s="469" t="n"/>
      <c r="F407" s="469" t="n"/>
      <c r="G407" s="469" t="n"/>
      <c r="H407" s="469" t="n"/>
      <c r="I407" s="469" t="n"/>
      <c r="J407" s="469" t="n"/>
      <c r="K407" s="469" t="n"/>
      <c r="L407" s="469" t="n"/>
      <c r="M407" s="469" t="n"/>
      <c r="N407" s="469" t="n"/>
      <c r="O407" s="469" t="n"/>
      <c r="P407" s="471" t="n"/>
      <c r="Q407" s="469" t="n"/>
      <c r="R407" s="469" t="n"/>
      <c r="S407" s="469" t="n"/>
      <c r="T407" s="469" t="n"/>
      <c r="U407" s="469" t="n"/>
      <c r="V407" s="469" t="n"/>
      <c r="W407" s="469" t="n"/>
      <c r="X407" s="469" t="n"/>
      <c r="Y407" s="469" t="n"/>
      <c r="Z407" s="469" t="n"/>
      <c r="AA407" s="469" t="n"/>
    </row>
    <row r="408">
      <c r="A408" s="468" t="n"/>
      <c r="B408" s="469" t="n"/>
      <c r="C408" s="469" t="n"/>
      <c r="D408" s="469" t="n"/>
      <c r="E408" s="469" t="n"/>
      <c r="F408" s="469" t="n"/>
      <c r="G408" s="469" t="n"/>
      <c r="H408" s="469" t="n"/>
      <c r="I408" s="469" t="n"/>
      <c r="J408" s="469" t="n"/>
      <c r="K408" s="469" t="n"/>
      <c r="L408" s="469" t="n"/>
      <c r="M408" s="469" t="n"/>
      <c r="N408" s="469" t="n"/>
      <c r="O408" s="469" t="n"/>
      <c r="P408" s="471" t="n"/>
      <c r="Q408" s="469" t="n"/>
      <c r="R408" s="469" t="n"/>
      <c r="S408" s="469" t="n"/>
      <c r="T408" s="469" t="n"/>
      <c r="U408" s="469" t="n"/>
      <c r="V408" s="469" t="n"/>
      <c r="W408" s="469" t="n"/>
      <c r="X408" s="469" t="n"/>
      <c r="Y408" s="469" t="n"/>
      <c r="Z408" s="469" t="n"/>
      <c r="AA408" s="469" t="n"/>
    </row>
    <row r="409">
      <c r="A409" s="468" t="n"/>
      <c r="B409" s="469" t="n"/>
      <c r="C409" s="469" t="n"/>
      <c r="D409" s="469" t="n"/>
      <c r="E409" s="469" t="n"/>
      <c r="F409" s="469" t="n"/>
      <c r="G409" s="469" t="n"/>
      <c r="H409" s="469" t="n"/>
      <c r="I409" s="469" t="n"/>
      <c r="J409" s="469" t="n"/>
      <c r="K409" s="469" t="n"/>
      <c r="L409" s="469" t="n"/>
      <c r="M409" s="469" t="n"/>
      <c r="N409" s="469" t="n"/>
      <c r="O409" s="469" t="n"/>
      <c r="P409" s="471" t="n"/>
      <c r="Q409" s="469" t="n"/>
      <c r="R409" s="469" t="n"/>
      <c r="S409" s="469" t="n"/>
      <c r="T409" s="469" t="n"/>
      <c r="U409" s="469" t="n"/>
      <c r="V409" s="469" t="n"/>
      <c r="W409" s="469" t="n"/>
      <c r="X409" s="469" t="n"/>
      <c r="Y409" s="469" t="n"/>
      <c r="Z409" s="469" t="n"/>
      <c r="AA409" s="469" t="n"/>
    </row>
    <row r="410">
      <c r="A410" s="468" t="n"/>
      <c r="B410" s="469" t="n"/>
      <c r="C410" s="469" t="n"/>
      <c r="D410" s="469" t="n"/>
      <c r="E410" s="469" t="n"/>
      <c r="F410" s="469" t="n"/>
      <c r="G410" s="469" t="n"/>
      <c r="H410" s="469" t="n"/>
      <c r="I410" s="469" t="n"/>
      <c r="J410" s="469" t="n"/>
      <c r="K410" s="469" t="n"/>
      <c r="L410" s="469" t="n"/>
      <c r="M410" s="469" t="n"/>
      <c r="N410" s="469" t="n"/>
      <c r="O410" s="469" t="n"/>
      <c r="P410" s="471" t="n"/>
      <c r="Q410" s="469" t="n"/>
      <c r="R410" s="469" t="n"/>
      <c r="S410" s="469" t="n"/>
      <c r="T410" s="469" t="n"/>
      <c r="U410" s="469" t="n"/>
      <c r="V410" s="469" t="n"/>
      <c r="W410" s="469" t="n"/>
      <c r="X410" s="469" t="n"/>
      <c r="Y410" s="469" t="n"/>
      <c r="Z410" s="469" t="n"/>
      <c r="AA410" s="469" t="n"/>
    </row>
    <row r="411">
      <c r="A411" s="468" t="n"/>
      <c r="B411" s="469" t="n"/>
      <c r="C411" s="469" t="n"/>
      <c r="D411" s="469" t="n"/>
      <c r="E411" s="469" t="n"/>
      <c r="F411" s="469" t="n"/>
      <c r="G411" s="469" t="n"/>
      <c r="H411" s="469" t="n"/>
      <c r="I411" s="469" t="n"/>
      <c r="J411" s="469" t="n"/>
      <c r="K411" s="469" t="n"/>
      <c r="L411" s="469" t="n"/>
      <c r="M411" s="469" t="n"/>
      <c r="N411" s="469" t="n"/>
      <c r="O411" s="469" t="n"/>
      <c r="P411" s="471" t="n"/>
      <c r="Q411" s="469" t="n"/>
      <c r="R411" s="469" t="n"/>
      <c r="S411" s="469" t="n"/>
      <c r="T411" s="469" t="n"/>
      <c r="U411" s="469" t="n"/>
      <c r="V411" s="469" t="n"/>
      <c r="W411" s="469" t="n"/>
      <c r="X411" s="469" t="n"/>
      <c r="Y411" s="469" t="n"/>
      <c r="Z411" s="469" t="n"/>
      <c r="AA411" s="469" t="n"/>
    </row>
    <row r="412">
      <c r="A412" s="468" t="n"/>
      <c r="B412" s="469" t="n"/>
      <c r="C412" s="469" t="n"/>
      <c r="D412" s="469" t="n"/>
      <c r="E412" s="469" t="n"/>
      <c r="F412" s="469" t="n"/>
      <c r="G412" s="469" t="n"/>
      <c r="H412" s="469" t="n"/>
      <c r="I412" s="469" t="n"/>
      <c r="J412" s="469" t="n"/>
      <c r="K412" s="469" t="n"/>
      <c r="L412" s="469" t="n"/>
      <c r="M412" s="469" t="n"/>
      <c r="N412" s="469" t="n"/>
      <c r="O412" s="469" t="n"/>
      <c r="P412" s="471" t="n"/>
      <c r="Q412" s="469" t="n"/>
      <c r="R412" s="469" t="n"/>
      <c r="S412" s="469" t="n"/>
      <c r="T412" s="469" t="n"/>
      <c r="U412" s="469" t="n"/>
      <c r="V412" s="469" t="n"/>
      <c r="W412" s="469" t="n"/>
      <c r="X412" s="469" t="n"/>
      <c r="Y412" s="469" t="n"/>
      <c r="Z412" s="469" t="n"/>
      <c r="AA412" s="469" t="n"/>
    </row>
    <row r="413">
      <c r="A413" s="468" t="n"/>
      <c r="B413" s="469" t="n"/>
      <c r="C413" s="469" t="n"/>
      <c r="D413" s="469" t="n"/>
      <c r="E413" s="469" t="n"/>
      <c r="F413" s="469" t="n"/>
      <c r="G413" s="469" t="n"/>
      <c r="H413" s="469" t="n"/>
      <c r="I413" s="469" t="n"/>
      <c r="J413" s="469" t="n"/>
      <c r="K413" s="469" t="n"/>
      <c r="L413" s="469" t="n"/>
      <c r="M413" s="469" t="n"/>
      <c r="N413" s="469" t="n"/>
      <c r="O413" s="469" t="n"/>
      <c r="P413" s="471" t="n"/>
      <c r="Q413" s="469" t="n"/>
      <c r="R413" s="469" t="n"/>
      <c r="S413" s="469" t="n"/>
      <c r="T413" s="469" t="n"/>
      <c r="U413" s="469" t="n"/>
      <c r="V413" s="469" t="n"/>
      <c r="W413" s="469" t="n"/>
      <c r="X413" s="469" t="n"/>
      <c r="Y413" s="469" t="n"/>
      <c r="Z413" s="469" t="n"/>
      <c r="AA413" s="469" t="n"/>
    </row>
    <row r="414">
      <c r="A414" s="468" t="n"/>
      <c r="B414" s="469" t="n"/>
      <c r="C414" s="469" t="n"/>
      <c r="D414" s="469" t="n"/>
      <c r="E414" s="469" t="n"/>
      <c r="F414" s="469" t="n"/>
      <c r="G414" s="469" t="n"/>
      <c r="H414" s="469" t="n"/>
      <c r="I414" s="469" t="n"/>
      <c r="J414" s="469" t="n"/>
      <c r="K414" s="469" t="n"/>
      <c r="L414" s="469" t="n"/>
      <c r="M414" s="469" t="n"/>
      <c r="N414" s="469" t="n"/>
      <c r="O414" s="469" t="n"/>
      <c r="P414" s="471" t="n"/>
      <c r="Q414" s="469" t="n"/>
      <c r="R414" s="469" t="n"/>
      <c r="S414" s="469" t="n"/>
      <c r="T414" s="469" t="n"/>
      <c r="U414" s="469" t="n"/>
      <c r="V414" s="469" t="n"/>
      <c r="W414" s="469" t="n"/>
      <c r="X414" s="469" t="n"/>
      <c r="Y414" s="469" t="n"/>
      <c r="Z414" s="469" t="n"/>
      <c r="AA414" s="469" t="n"/>
    </row>
    <row r="415">
      <c r="A415" s="468" t="n"/>
      <c r="B415" s="469" t="n"/>
      <c r="C415" s="469" t="n"/>
      <c r="D415" s="469" t="n"/>
      <c r="E415" s="469" t="n"/>
      <c r="F415" s="469" t="n"/>
      <c r="G415" s="469" t="n"/>
      <c r="H415" s="469" t="n"/>
      <c r="I415" s="469" t="n"/>
      <c r="J415" s="469" t="n"/>
      <c r="K415" s="469" t="n"/>
      <c r="L415" s="469" t="n"/>
      <c r="M415" s="469" t="n"/>
      <c r="N415" s="469" t="n"/>
      <c r="O415" s="469" t="n"/>
      <c r="P415" s="471" t="n"/>
      <c r="Q415" s="469" t="n"/>
      <c r="R415" s="469" t="n"/>
      <c r="S415" s="469" t="n"/>
      <c r="T415" s="469" t="n"/>
      <c r="U415" s="469" t="n"/>
      <c r="V415" s="469" t="n"/>
      <c r="W415" s="469" t="n"/>
      <c r="X415" s="469" t="n"/>
      <c r="Y415" s="469" t="n"/>
      <c r="Z415" s="469" t="n"/>
      <c r="AA415" s="469" t="n"/>
    </row>
    <row r="416">
      <c r="A416" s="468" t="n"/>
      <c r="B416" s="469" t="n"/>
      <c r="C416" s="469" t="n"/>
      <c r="D416" s="469" t="n"/>
      <c r="E416" s="469" t="n"/>
      <c r="F416" s="469" t="n"/>
      <c r="G416" s="469" t="n"/>
      <c r="H416" s="469" t="n"/>
      <c r="I416" s="469" t="n"/>
      <c r="J416" s="469" t="n"/>
      <c r="K416" s="469" t="n"/>
      <c r="L416" s="469" t="n"/>
      <c r="M416" s="469" t="n"/>
      <c r="N416" s="469" t="n"/>
      <c r="O416" s="469" t="n"/>
      <c r="P416" s="471" t="n"/>
      <c r="Q416" s="469" t="n"/>
      <c r="R416" s="469" t="n"/>
      <c r="S416" s="469" t="n"/>
      <c r="T416" s="469" t="n"/>
      <c r="U416" s="469" t="n"/>
      <c r="V416" s="469" t="n"/>
      <c r="W416" s="469" t="n"/>
      <c r="X416" s="469" t="n"/>
      <c r="Y416" s="469" t="n"/>
      <c r="Z416" s="469" t="n"/>
      <c r="AA416" s="469" t="n"/>
    </row>
    <row r="417">
      <c r="A417" s="468" t="n"/>
      <c r="B417" s="469" t="n"/>
      <c r="C417" s="469" t="n"/>
      <c r="D417" s="469" t="n"/>
      <c r="E417" s="469" t="n"/>
      <c r="F417" s="469" t="n"/>
      <c r="G417" s="469" t="n"/>
      <c r="H417" s="469" t="n"/>
      <c r="I417" s="469" t="n"/>
      <c r="J417" s="469" t="n"/>
      <c r="K417" s="469" t="n"/>
      <c r="L417" s="469" t="n"/>
      <c r="M417" s="469" t="n"/>
      <c r="N417" s="469" t="n"/>
      <c r="O417" s="469" t="n"/>
      <c r="P417" s="471" t="n"/>
      <c r="Q417" s="469" t="n"/>
      <c r="R417" s="469" t="n"/>
      <c r="S417" s="469" t="n"/>
      <c r="T417" s="469" t="n"/>
      <c r="U417" s="469" t="n"/>
      <c r="V417" s="469" t="n"/>
      <c r="W417" s="469" t="n"/>
      <c r="X417" s="469" t="n"/>
      <c r="Y417" s="469" t="n"/>
      <c r="Z417" s="469" t="n"/>
      <c r="AA417" s="469" t="n"/>
    </row>
    <row r="418">
      <c r="A418" s="468" t="n"/>
      <c r="B418" s="469" t="n"/>
      <c r="C418" s="469" t="n"/>
      <c r="D418" s="469" t="n"/>
      <c r="E418" s="469" t="n"/>
      <c r="F418" s="469" t="n"/>
      <c r="G418" s="469" t="n"/>
      <c r="H418" s="469" t="n"/>
      <c r="I418" s="469" t="n"/>
      <c r="J418" s="469" t="n"/>
      <c r="K418" s="469" t="n"/>
      <c r="L418" s="469" t="n"/>
      <c r="M418" s="469" t="n"/>
      <c r="N418" s="469" t="n"/>
      <c r="O418" s="469" t="n"/>
      <c r="P418" s="471" t="n"/>
      <c r="Q418" s="469" t="n"/>
      <c r="R418" s="469" t="n"/>
      <c r="S418" s="469" t="n"/>
      <c r="T418" s="469" t="n"/>
      <c r="U418" s="469" t="n"/>
      <c r="V418" s="469" t="n"/>
      <c r="W418" s="469" t="n"/>
      <c r="X418" s="469" t="n"/>
      <c r="Y418" s="469" t="n"/>
      <c r="Z418" s="469" t="n"/>
      <c r="AA418" s="469" t="n"/>
    </row>
    <row r="419">
      <c r="A419" s="468" t="n"/>
      <c r="B419" s="469" t="n"/>
      <c r="C419" s="469" t="n"/>
      <c r="D419" s="469" t="n"/>
      <c r="E419" s="469" t="n"/>
      <c r="F419" s="469" t="n"/>
      <c r="G419" s="469" t="n"/>
      <c r="H419" s="469" t="n"/>
      <c r="I419" s="469" t="n"/>
      <c r="J419" s="469" t="n"/>
      <c r="K419" s="469" t="n"/>
      <c r="L419" s="469" t="n"/>
      <c r="M419" s="469" t="n"/>
      <c r="N419" s="469" t="n"/>
      <c r="O419" s="469" t="n"/>
      <c r="P419" s="471" t="n"/>
      <c r="Q419" s="469" t="n"/>
      <c r="R419" s="469" t="n"/>
      <c r="S419" s="469" t="n"/>
      <c r="T419" s="469" t="n"/>
      <c r="U419" s="469" t="n"/>
      <c r="V419" s="469" t="n"/>
      <c r="W419" s="469" t="n"/>
      <c r="X419" s="469" t="n"/>
      <c r="Y419" s="469" t="n"/>
      <c r="Z419" s="469" t="n"/>
      <c r="AA419" s="469" t="n"/>
    </row>
    <row r="420">
      <c r="A420" s="468" t="n"/>
      <c r="B420" s="469" t="n"/>
      <c r="C420" s="469" t="n"/>
      <c r="D420" s="469" t="n"/>
      <c r="E420" s="469" t="n"/>
      <c r="F420" s="469" t="n"/>
      <c r="G420" s="469" t="n"/>
      <c r="H420" s="469" t="n"/>
      <c r="I420" s="469" t="n"/>
      <c r="J420" s="469" t="n"/>
      <c r="K420" s="469" t="n"/>
      <c r="L420" s="469" t="n"/>
      <c r="M420" s="469" t="n"/>
      <c r="N420" s="469" t="n"/>
      <c r="O420" s="469" t="n"/>
      <c r="P420" s="471" t="n"/>
      <c r="Q420" s="469" t="n"/>
      <c r="R420" s="469" t="n"/>
      <c r="S420" s="469" t="n"/>
      <c r="T420" s="469" t="n"/>
      <c r="U420" s="469" t="n"/>
      <c r="V420" s="469" t="n"/>
      <c r="W420" s="469" t="n"/>
      <c r="X420" s="469" t="n"/>
      <c r="Y420" s="469" t="n"/>
      <c r="Z420" s="469" t="n"/>
      <c r="AA420" s="469" t="n"/>
    </row>
    <row r="421">
      <c r="A421" s="468" t="n"/>
      <c r="B421" s="469" t="n"/>
      <c r="C421" s="469" t="n"/>
      <c r="D421" s="469" t="n"/>
      <c r="E421" s="469" t="n"/>
      <c r="F421" s="469" t="n"/>
      <c r="G421" s="469" t="n"/>
      <c r="H421" s="469" t="n"/>
      <c r="I421" s="469" t="n"/>
      <c r="J421" s="469" t="n"/>
      <c r="K421" s="469" t="n"/>
      <c r="L421" s="469" t="n"/>
      <c r="M421" s="469" t="n"/>
      <c r="N421" s="469" t="n"/>
      <c r="O421" s="469" t="n"/>
      <c r="P421" s="471" t="n"/>
      <c r="Q421" s="469" t="n"/>
      <c r="R421" s="469" t="n"/>
      <c r="S421" s="469" t="n"/>
      <c r="T421" s="469" t="n"/>
      <c r="U421" s="469" t="n"/>
      <c r="V421" s="469" t="n"/>
      <c r="W421" s="469" t="n"/>
      <c r="X421" s="469" t="n"/>
      <c r="Y421" s="469" t="n"/>
      <c r="Z421" s="469" t="n"/>
      <c r="AA421" s="469" t="n"/>
    </row>
    <row r="422">
      <c r="A422" s="468" t="n"/>
      <c r="B422" s="469" t="n"/>
      <c r="C422" s="469" t="n"/>
      <c r="D422" s="469" t="n"/>
      <c r="E422" s="469" t="n"/>
      <c r="F422" s="469" t="n"/>
      <c r="G422" s="469" t="n"/>
      <c r="H422" s="469" t="n"/>
      <c r="I422" s="469" t="n"/>
      <c r="J422" s="469" t="n"/>
      <c r="K422" s="469" t="n"/>
      <c r="L422" s="469" t="n"/>
      <c r="M422" s="469" t="n"/>
      <c r="N422" s="469" t="n"/>
      <c r="O422" s="469" t="n"/>
      <c r="P422" s="471" t="n"/>
      <c r="Q422" s="469" t="n"/>
      <c r="R422" s="469" t="n"/>
      <c r="S422" s="469" t="n"/>
      <c r="T422" s="469" t="n"/>
      <c r="U422" s="469" t="n"/>
      <c r="V422" s="469" t="n"/>
      <c r="W422" s="469" t="n"/>
      <c r="X422" s="469" t="n"/>
      <c r="Y422" s="469" t="n"/>
      <c r="Z422" s="469" t="n"/>
      <c r="AA422" s="469" t="n"/>
    </row>
    <row r="423">
      <c r="A423" s="468" t="n"/>
      <c r="B423" s="469" t="n"/>
      <c r="C423" s="469" t="n"/>
      <c r="D423" s="469" t="n"/>
      <c r="E423" s="469" t="n"/>
      <c r="F423" s="469" t="n"/>
      <c r="G423" s="469" t="n"/>
      <c r="H423" s="469" t="n"/>
      <c r="I423" s="469" t="n"/>
      <c r="J423" s="469" t="n"/>
      <c r="K423" s="469" t="n"/>
      <c r="L423" s="469" t="n"/>
      <c r="M423" s="469" t="n"/>
      <c r="N423" s="469" t="n"/>
      <c r="O423" s="469" t="n"/>
      <c r="P423" s="471" t="n"/>
      <c r="Q423" s="469" t="n"/>
      <c r="R423" s="469" t="n"/>
      <c r="S423" s="469" t="n"/>
      <c r="T423" s="469" t="n"/>
      <c r="U423" s="469" t="n"/>
      <c r="V423" s="469" t="n"/>
      <c r="W423" s="469" t="n"/>
      <c r="X423" s="469" t="n"/>
      <c r="Y423" s="469" t="n"/>
      <c r="Z423" s="469" t="n"/>
      <c r="AA423" s="469" t="n"/>
    </row>
    <row r="424">
      <c r="A424" s="468" t="n"/>
      <c r="B424" s="469" t="n"/>
      <c r="C424" s="469" t="n"/>
      <c r="D424" s="469" t="n"/>
      <c r="E424" s="469" t="n"/>
      <c r="F424" s="469" t="n"/>
      <c r="G424" s="469" t="n"/>
      <c r="H424" s="469" t="n"/>
      <c r="I424" s="469" t="n"/>
      <c r="J424" s="469" t="n"/>
      <c r="K424" s="469" t="n"/>
      <c r="L424" s="469" t="n"/>
      <c r="M424" s="469" t="n"/>
      <c r="N424" s="469" t="n"/>
      <c r="O424" s="469" t="n"/>
      <c r="P424" s="471" t="n"/>
      <c r="Q424" s="469" t="n"/>
      <c r="R424" s="469" t="n"/>
      <c r="S424" s="469" t="n"/>
      <c r="T424" s="469" t="n"/>
      <c r="U424" s="469" t="n"/>
      <c r="V424" s="469" t="n"/>
      <c r="W424" s="469" t="n"/>
      <c r="X424" s="469" t="n"/>
      <c r="Y424" s="469" t="n"/>
      <c r="Z424" s="469" t="n"/>
      <c r="AA424" s="469" t="n"/>
    </row>
    <row r="425">
      <c r="A425" s="468" t="n"/>
      <c r="B425" s="469" t="n"/>
      <c r="C425" s="469" t="n"/>
      <c r="D425" s="469" t="n"/>
      <c r="E425" s="469" t="n"/>
      <c r="F425" s="469" t="n"/>
      <c r="G425" s="469" t="n"/>
      <c r="H425" s="469" t="n"/>
      <c r="I425" s="469" t="n"/>
      <c r="J425" s="469" t="n"/>
      <c r="K425" s="469" t="n"/>
      <c r="L425" s="469" t="n"/>
      <c r="M425" s="469" t="n"/>
      <c r="N425" s="469" t="n"/>
      <c r="O425" s="469" t="n"/>
      <c r="P425" s="471" t="n"/>
      <c r="Q425" s="469" t="n"/>
      <c r="R425" s="469" t="n"/>
      <c r="S425" s="469" t="n"/>
      <c r="T425" s="469" t="n"/>
      <c r="U425" s="469" t="n"/>
      <c r="V425" s="469" t="n"/>
      <c r="W425" s="469" t="n"/>
      <c r="X425" s="469" t="n"/>
      <c r="Y425" s="469" t="n"/>
      <c r="Z425" s="469" t="n"/>
      <c r="AA425" s="469" t="n"/>
    </row>
    <row r="426">
      <c r="A426" s="468" t="n"/>
      <c r="B426" s="469" t="n"/>
      <c r="C426" s="469" t="n"/>
      <c r="D426" s="469" t="n"/>
      <c r="E426" s="469" t="n"/>
      <c r="F426" s="469" t="n"/>
      <c r="G426" s="469" t="n"/>
      <c r="H426" s="469" t="n"/>
      <c r="I426" s="469" t="n"/>
      <c r="J426" s="469" t="n"/>
      <c r="K426" s="469" t="n"/>
      <c r="L426" s="469" t="n"/>
      <c r="M426" s="469" t="n"/>
      <c r="N426" s="469" t="n"/>
      <c r="O426" s="469" t="n"/>
      <c r="P426" s="471" t="n"/>
      <c r="Q426" s="469" t="n"/>
      <c r="R426" s="469" t="n"/>
      <c r="S426" s="469" t="n"/>
      <c r="T426" s="469" t="n"/>
      <c r="U426" s="469" t="n"/>
      <c r="V426" s="469" t="n"/>
      <c r="W426" s="469" t="n"/>
      <c r="X426" s="469" t="n"/>
      <c r="Y426" s="469" t="n"/>
      <c r="Z426" s="469" t="n"/>
      <c r="AA426" s="469" t="n"/>
    </row>
    <row r="427">
      <c r="A427" s="468" t="n"/>
      <c r="B427" s="469" t="n"/>
      <c r="C427" s="469" t="n"/>
      <c r="D427" s="469" t="n"/>
      <c r="E427" s="469" t="n"/>
      <c r="F427" s="469" t="n"/>
      <c r="G427" s="469" t="n"/>
      <c r="H427" s="469" t="n"/>
      <c r="I427" s="469" t="n"/>
      <c r="J427" s="469" t="n"/>
      <c r="K427" s="469" t="n"/>
      <c r="L427" s="469" t="n"/>
      <c r="M427" s="469" t="n"/>
      <c r="N427" s="469" t="n"/>
      <c r="O427" s="469" t="n"/>
      <c r="P427" s="471" t="n"/>
      <c r="Q427" s="469" t="n"/>
      <c r="R427" s="469" t="n"/>
      <c r="S427" s="469" t="n"/>
      <c r="T427" s="469" t="n"/>
      <c r="U427" s="469" t="n"/>
      <c r="V427" s="469" t="n"/>
      <c r="W427" s="469" t="n"/>
      <c r="X427" s="469" t="n"/>
      <c r="Y427" s="469" t="n"/>
      <c r="Z427" s="469" t="n"/>
      <c r="AA427" s="469" t="n"/>
    </row>
    <row r="428">
      <c r="A428" s="468" t="n"/>
      <c r="B428" s="469" t="n"/>
      <c r="C428" s="469" t="n"/>
      <c r="D428" s="469" t="n"/>
      <c r="E428" s="469" t="n"/>
      <c r="F428" s="469" t="n"/>
      <c r="G428" s="469" t="n"/>
      <c r="H428" s="469" t="n"/>
      <c r="I428" s="469" t="n"/>
      <c r="J428" s="469" t="n"/>
      <c r="K428" s="469" t="n"/>
      <c r="L428" s="469" t="n"/>
      <c r="M428" s="469" t="n"/>
      <c r="N428" s="469" t="n"/>
      <c r="O428" s="469" t="n"/>
      <c r="P428" s="471" t="n"/>
      <c r="Q428" s="469" t="n"/>
      <c r="R428" s="469" t="n"/>
      <c r="S428" s="469" t="n"/>
      <c r="T428" s="469" t="n"/>
      <c r="U428" s="469" t="n"/>
      <c r="V428" s="469" t="n"/>
      <c r="W428" s="469" t="n"/>
      <c r="X428" s="469" t="n"/>
      <c r="Y428" s="469" t="n"/>
      <c r="Z428" s="469" t="n"/>
      <c r="AA428" s="469" t="n"/>
    </row>
    <row r="429">
      <c r="A429" s="468" t="n"/>
      <c r="B429" s="469" t="n"/>
      <c r="C429" s="469" t="n"/>
      <c r="D429" s="469" t="n"/>
      <c r="E429" s="469" t="n"/>
      <c r="F429" s="469" t="n"/>
      <c r="G429" s="469" t="n"/>
      <c r="H429" s="469" t="n"/>
      <c r="I429" s="469" t="n"/>
      <c r="J429" s="469" t="n"/>
      <c r="K429" s="469" t="n"/>
      <c r="L429" s="469" t="n"/>
      <c r="M429" s="469" t="n"/>
      <c r="N429" s="469" t="n"/>
      <c r="O429" s="469" t="n"/>
      <c r="P429" s="471" t="n"/>
      <c r="Q429" s="469" t="n"/>
      <c r="R429" s="469" t="n"/>
      <c r="S429" s="469" t="n"/>
      <c r="T429" s="469" t="n"/>
      <c r="U429" s="469" t="n"/>
      <c r="V429" s="469" t="n"/>
      <c r="W429" s="469" t="n"/>
      <c r="X429" s="469" t="n"/>
      <c r="Y429" s="469" t="n"/>
      <c r="Z429" s="469" t="n"/>
      <c r="AA429" s="469" t="n"/>
    </row>
    <row r="430">
      <c r="A430" s="468" t="n"/>
      <c r="B430" s="469" t="n"/>
      <c r="C430" s="469" t="n"/>
      <c r="D430" s="469" t="n"/>
      <c r="E430" s="469" t="n"/>
      <c r="F430" s="469" t="n"/>
      <c r="G430" s="469" t="n"/>
      <c r="H430" s="469" t="n"/>
      <c r="I430" s="469" t="n"/>
      <c r="J430" s="469" t="n"/>
      <c r="K430" s="469" t="n"/>
      <c r="L430" s="469" t="n"/>
      <c r="M430" s="469" t="n"/>
      <c r="N430" s="469" t="n"/>
      <c r="O430" s="469" t="n"/>
      <c r="P430" s="471" t="n"/>
      <c r="Q430" s="469" t="n"/>
      <c r="R430" s="469" t="n"/>
      <c r="S430" s="469" t="n"/>
      <c r="T430" s="469" t="n"/>
      <c r="U430" s="469" t="n"/>
      <c r="V430" s="469" t="n"/>
      <c r="W430" s="469" t="n"/>
      <c r="X430" s="469" t="n"/>
      <c r="Y430" s="469" t="n"/>
      <c r="Z430" s="469" t="n"/>
      <c r="AA430" s="469" t="n"/>
    </row>
    <row r="431">
      <c r="A431" s="468" t="n"/>
      <c r="B431" s="469" t="n"/>
      <c r="C431" s="469" t="n"/>
      <c r="D431" s="469" t="n"/>
      <c r="E431" s="469" t="n"/>
      <c r="F431" s="469" t="n"/>
      <c r="G431" s="469" t="n"/>
      <c r="H431" s="469" t="n"/>
      <c r="I431" s="469" t="n"/>
      <c r="J431" s="469" t="n"/>
      <c r="K431" s="469" t="n"/>
      <c r="L431" s="469" t="n"/>
      <c r="M431" s="469" t="n"/>
      <c r="N431" s="469" t="n"/>
      <c r="O431" s="469" t="n"/>
      <c r="P431" s="471" t="n"/>
      <c r="Q431" s="469" t="n"/>
      <c r="R431" s="469" t="n"/>
      <c r="S431" s="469" t="n"/>
      <c r="T431" s="469" t="n"/>
      <c r="U431" s="469" t="n"/>
      <c r="V431" s="469" t="n"/>
      <c r="W431" s="469" t="n"/>
      <c r="X431" s="469" t="n"/>
      <c r="Y431" s="469" t="n"/>
      <c r="Z431" s="469" t="n"/>
      <c r="AA431" s="469" t="n"/>
    </row>
    <row r="432">
      <c r="A432" s="468" t="n"/>
      <c r="B432" s="469" t="n"/>
      <c r="C432" s="469" t="n"/>
      <c r="D432" s="469" t="n"/>
      <c r="E432" s="469" t="n"/>
      <c r="F432" s="469" t="n"/>
      <c r="G432" s="469" t="n"/>
      <c r="H432" s="469" t="n"/>
      <c r="I432" s="469" t="n"/>
      <c r="J432" s="469" t="n"/>
      <c r="K432" s="469" t="n"/>
      <c r="L432" s="469" t="n"/>
      <c r="M432" s="469" t="n"/>
      <c r="N432" s="469" t="n"/>
      <c r="O432" s="469" t="n"/>
      <c r="P432" s="471" t="n"/>
      <c r="Q432" s="469" t="n"/>
      <c r="R432" s="469" t="n"/>
      <c r="S432" s="469" t="n"/>
      <c r="T432" s="469" t="n"/>
      <c r="U432" s="469" t="n"/>
      <c r="V432" s="469" t="n"/>
      <c r="W432" s="469" t="n"/>
      <c r="X432" s="469" t="n"/>
      <c r="Y432" s="469" t="n"/>
      <c r="Z432" s="469" t="n"/>
      <c r="AA432" s="469" t="n"/>
    </row>
    <row r="433">
      <c r="A433" s="468" t="n"/>
      <c r="B433" s="469" t="n"/>
      <c r="C433" s="469" t="n"/>
      <c r="D433" s="469" t="n"/>
      <c r="E433" s="469" t="n"/>
      <c r="F433" s="469" t="n"/>
      <c r="G433" s="469" t="n"/>
      <c r="H433" s="469" t="n"/>
      <c r="I433" s="469" t="n"/>
      <c r="J433" s="469" t="n"/>
      <c r="K433" s="469" t="n"/>
      <c r="L433" s="469" t="n"/>
      <c r="M433" s="469" t="n"/>
      <c r="N433" s="469" t="n"/>
      <c r="O433" s="469" t="n"/>
      <c r="P433" s="471" t="n"/>
      <c r="Q433" s="469" t="n"/>
      <c r="R433" s="469" t="n"/>
      <c r="S433" s="469" t="n"/>
      <c r="T433" s="469" t="n"/>
      <c r="U433" s="469" t="n"/>
      <c r="V433" s="469" t="n"/>
      <c r="W433" s="469" t="n"/>
      <c r="X433" s="469" t="n"/>
      <c r="Y433" s="469" t="n"/>
      <c r="Z433" s="469" t="n"/>
      <c r="AA433" s="469" t="n"/>
    </row>
    <row r="434">
      <c r="A434" s="468" t="n"/>
      <c r="B434" s="469" t="n"/>
      <c r="C434" s="469" t="n"/>
      <c r="D434" s="469" t="n"/>
      <c r="E434" s="469" t="n"/>
      <c r="F434" s="469" t="n"/>
      <c r="G434" s="469" t="n"/>
      <c r="H434" s="469" t="n"/>
      <c r="I434" s="469" t="n"/>
      <c r="J434" s="469" t="n"/>
      <c r="K434" s="469" t="n"/>
      <c r="L434" s="469" t="n"/>
      <c r="M434" s="469" t="n"/>
      <c r="N434" s="469" t="n"/>
      <c r="O434" s="469" t="n"/>
      <c r="P434" s="471" t="n"/>
      <c r="Q434" s="469" t="n"/>
      <c r="R434" s="469" t="n"/>
      <c r="S434" s="469" t="n"/>
      <c r="T434" s="469" t="n"/>
      <c r="U434" s="469" t="n"/>
      <c r="V434" s="469" t="n"/>
      <c r="W434" s="469" t="n"/>
      <c r="X434" s="469" t="n"/>
      <c r="Y434" s="469" t="n"/>
      <c r="Z434" s="469" t="n"/>
      <c r="AA434" s="469" t="n"/>
    </row>
    <row r="435">
      <c r="A435" s="468" t="n"/>
      <c r="B435" s="469" t="n"/>
      <c r="C435" s="469" t="n"/>
      <c r="D435" s="469" t="n"/>
      <c r="E435" s="469" t="n"/>
      <c r="F435" s="469" t="n"/>
      <c r="G435" s="469" t="n"/>
      <c r="H435" s="469" t="n"/>
      <c r="I435" s="469" t="n"/>
      <c r="J435" s="469" t="n"/>
      <c r="K435" s="469" t="n"/>
      <c r="L435" s="469" t="n"/>
      <c r="M435" s="469" t="n"/>
      <c r="N435" s="469" t="n"/>
      <c r="O435" s="469" t="n"/>
      <c r="P435" s="471" t="n"/>
      <c r="Q435" s="469" t="n"/>
      <c r="R435" s="469" t="n"/>
      <c r="S435" s="469" t="n"/>
      <c r="T435" s="469" t="n"/>
      <c r="U435" s="469" t="n"/>
      <c r="V435" s="469" t="n"/>
      <c r="W435" s="469" t="n"/>
      <c r="X435" s="469" t="n"/>
      <c r="Y435" s="469" t="n"/>
      <c r="Z435" s="469" t="n"/>
      <c r="AA435" s="469" t="n"/>
    </row>
    <row r="436">
      <c r="A436" s="468" t="n"/>
      <c r="B436" s="469" t="n"/>
      <c r="C436" s="469" t="n"/>
      <c r="D436" s="469" t="n"/>
      <c r="E436" s="469" t="n"/>
      <c r="F436" s="469" t="n"/>
      <c r="G436" s="469" t="n"/>
      <c r="H436" s="469" t="n"/>
      <c r="I436" s="469" t="n"/>
      <c r="J436" s="469" t="n"/>
      <c r="K436" s="469" t="n"/>
      <c r="L436" s="469" t="n"/>
      <c r="M436" s="469" t="n"/>
      <c r="N436" s="469" t="n"/>
      <c r="O436" s="469" t="n"/>
      <c r="P436" s="471" t="n"/>
      <c r="Q436" s="469" t="n"/>
      <c r="R436" s="469" t="n"/>
      <c r="S436" s="469" t="n"/>
      <c r="T436" s="469" t="n"/>
      <c r="U436" s="469" t="n"/>
      <c r="V436" s="469" t="n"/>
      <c r="W436" s="469" t="n"/>
      <c r="X436" s="469" t="n"/>
      <c r="Y436" s="469" t="n"/>
      <c r="Z436" s="469" t="n"/>
      <c r="AA436" s="469" t="n"/>
    </row>
    <row r="437">
      <c r="A437" s="468" t="n"/>
      <c r="B437" s="469" t="n"/>
      <c r="C437" s="469" t="n"/>
      <c r="D437" s="469" t="n"/>
      <c r="E437" s="469" t="n"/>
      <c r="F437" s="469" t="n"/>
      <c r="G437" s="469" t="n"/>
      <c r="H437" s="469" t="n"/>
      <c r="I437" s="469" t="n"/>
      <c r="J437" s="469" t="n"/>
      <c r="K437" s="469" t="n"/>
      <c r="L437" s="469" t="n"/>
      <c r="M437" s="469" t="n"/>
      <c r="N437" s="469" t="n"/>
      <c r="O437" s="469" t="n"/>
      <c r="P437" s="471" t="n"/>
      <c r="Q437" s="469" t="n"/>
      <c r="R437" s="469" t="n"/>
      <c r="S437" s="469" t="n"/>
      <c r="T437" s="469" t="n"/>
      <c r="U437" s="469" t="n"/>
      <c r="V437" s="469" t="n"/>
      <c r="W437" s="469" t="n"/>
      <c r="X437" s="469" t="n"/>
      <c r="Y437" s="469" t="n"/>
      <c r="Z437" s="469" t="n"/>
      <c r="AA437" s="469" t="n"/>
    </row>
    <row r="438">
      <c r="A438" s="468" t="n"/>
      <c r="B438" s="469" t="n"/>
      <c r="C438" s="469" t="n"/>
      <c r="D438" s="469" t="n"/>
      <c r="E438" s="469" t="n"/>
      <c r="F438" s="469" t="n"/>
      <c r="G438" s="469" t="n"/>
      <c r="H438" s="469" t="n"/>
      <c r="I438" s="469" t="n"/>
      <c r="J438" s="469" t="n"/>
      <c r="K438" s="469" t="n"/>
      <c r="L438" s="469" t="n"/>
      <c r="M438" s="469" t="n"/>
      <c r="N438" s="469" t="n"/>
      <c r="O438" s="469" t="n"/>
      <c r="P438" s="471" t="n"/>
      <c r="Q438" s="469" t="n"/>
      <c r="R438" s="469" t="n"/>
      <c r="S438" s="469" t="n"/>
      <c r="T438" s="469" t="n"/>
      <c r="U438" s="469" t="n"/>
      <c r="V438" s="469" t="n"/>
      <c r="W438" s="469" t="n"/>
      <c r="X438" s="469" t="n"/>
      <c r="Y438" s="469" t="n"/>
      <c r="Z438" s="469" t="n"/>
      <c r="AA438" s="469" t="n"/>
    </row>
    <row r="439">
      <c r="A439" s="468" t="n"/>
      <c r="B439" s="469" t="n"/>
      <c r="C439" s="469" t="n"/>
      <c r="D439" s="469" t="n"/>
      <c r="E439" s="469" t="n"/>
      <c r="F439" s="469" t="n"/>
      <c r="G439" s="469" t="n"/>
      <c r="H439" s="469" t="n"/>
      <c r="I439" s="469" t="n"/>
      <c r="J439" s="469" t="n"/>
      <c r="K439" s="469" t="n"/>
      <c r="L439" s="469" t="n"/>
      <c r="M439" s="469" t="n"/>
      <c r="N439" s="469" t="n"/>
      <c r="O439" s="469" t="n"/>
      <c r="P439" s="471" t="n"/>
      <c r="Q439" s="469" t="n"/>
      <c r="R439" s="469" t="n"/>
      <c r="S439" s="469" t="n"/>
      <c r="T439" s="469" t="n"/>
      <c r="U439" s="469" t="n"/>
      <c r="V439" s="469" t="n"/>
      <c r="W439" s="469" t="n"/>
      <c r="X439" s="469" t="n"/>
      <c r="Y439" s="469" t="n"/>
      <c r="Z439" s="469" t="n"/>
      <c r="AA439" s="469" t="n"/>
    </row>
    <row r="440">
      <c r="A440" s="468" t="n"/>
      <c r="B440" s="469" t="n"/>
      <c r="C440" s="469" t="n"/>
      <c r="D440" s="469" t="n"/>
      <c r="E440" s="469" t="n"/>
      <c r="F440" s="469" t="n"/>
      <c r="G440" s="469" t="n"/>
      <c r="H440" s="469" t="n"/>
      <c r="I440" s="469" t="n"/>
      <c r="J440" s="469" t="n"/>
      <c r="K440" s="469" t="n"/>
      <c r="L440" s="469" t="n"/>
      <c r="M440" s="469" t="n"/>
      <c r="N440" s="469" t="n"/>
      <c r="O440" s="469" t="n"/>
      <c r="P440" s="471" t="n"/>
      <c r="Q440" s="469" t="n"/>
      <c r="R440" s="469" t="n"/>
      <c r="S440" s="469" t="n"/>
      <c r="T440" s="469" t="n"/>
      <c r="U440" s="469" t="n"/>
      <c r="V440" s="469" t="n"/>
      <c r="W440" s="469" t="n"/>
      <c r="X440" s="469" t="n"/>
      <c r="Y440" s="469" t="n"/>
      <c r="Z440" s="469" t="n"/>
      <c r="AA440" s="469" t="n"/>
    </row>
    <row r="441">
      <c r="A441" s="468" t="n"/>
      <c r="B441" s="469" t="n"/>
      <c r="C441" s="469" t="n"/>
      <c r="D441" s="469" t="n"/>
      <c r="E441" s="469" t="n"/>
      <c r="F441" s="469" t="n"/>
      <c r="G441" s="469" t="n"/>
      <c r="H441" s="469" t="n"/>
      <c r="I441" s="469" t="n"/>
      <c r="J441" s="469" t="n"/>
      <c r="K441" s="469" t="n"/>
      <c r="L441" s="469" t="n"/>
      <c r="M441" s="469" t="n"/>
      <c r="N441" s="469" t="n"/>
      <c r="O441" s="469" t="n"/>
      <c r="P441" s="471" t="n"/>
      <c r="Q441" s="469" t="n"/>
      <c r="R441" s="469" t="n"/>
      <c r="S441" s="469" t="n"/>
      <c r="T441" s="469" t="n"/>
      <c r="U441" s="469" t="n"/>
      <c r="V441" s="469" t="n"/>
      <c r="W441" s="469" t="n"/>
      <c r="X441" s="469" t="n"/>
      <c r="Y441" s="469" t="n"/>
      <c r="Z441" s="469" t="n"/>
      <c r="AA441" s="469" t="n"/>
    </row>
    <row r="442">
      <c r="A442" s="468" t="n"/>
      <c r="B442" s="469" t="n"/>
      <c r="C442" s="469" t="n"/>
      <c r="D442" s="469" t="n"/>
      <c r="E442" s="469" t="n"/>
      <c r="F442" s="469" t="n"/>
      <c r="G442" s="469" t="n"/>
      <c r="H442" s="469" t="n"/>
      <c r="I442" s="469" t="n"/>
      <c r="J442" s="469" t="n"/>
      <c r="K442" s="469" t="n"/>
      <c r="L442" s="469" t="n"/>
      <c r="M442" s="469" t="n"/>
      <c r="N442" s="469" t="n"/>
      <c r="O442" s="469" t="n"/>
      <c r="P442" s="471" t="n"/>
      <c r="Q442" s="469" t="n"/>
      <c r="R442" s="469" t="n"/>
      <c r="S442" s="469" t="n"/>
      <c r="T442" s="469" t="n"/>
      <c r="U442" s="469" t="n"/>
      <c r="V442" s="469" t="n"/>
      <c r="W442" s="469" t="n"/>
      <c r="X442" s="469" t="n"/>
      <c r="Y442" s="469" t="n"/>
      <c r="Z442" s="469" t="n"/>
      <c r="AA442" s="469" t="n"/>
    </row>
    <row r="443">
      <c r="A443" s="468" t="n"/>
      <c r="B443" s="469" t="n"/>
      <c r="C443" s="469" t="n"/>
      <c r="D443" s="469" t="n"/>
      <c r="E443" s="469" t="n"/>
      <c r="F443" s="469" t="n"/>
      <c r="G443" s="469" t="n"/>
      <c r="H443" s="469" t="n"/>
      <c r="I443" s="469" t="n"/>
      <c r="J443" s="469" t="n"/>
      <c r="K443" s="469" t="n"/>
      <c r="L443" s="469" t="n"/>
      <c r="M443" s="469" t="n"/>
      <c r="N443" s="469" t="n"/>
      <c r="O443" s="469" t="n"/>
      <c r="P443" s="471" t="n"/>
      <c r="Q443" s="469" t="n"/>
      <c r="R443" s="469" t="n"/>
      <c r="S443" s="469" t="n"/>
      <c r="T443" s="469" t="n"/>
      <c r="U443" s="469" t="n"/>
      <c r="V443" s="469" t="n"/>
      <c r="W443" s="469" t="n"/>
      <c r="X443" s="469" t="n"/>
      <c r="Y443" s="469" t="n"/>
      <c r="Z443" s="469" t="n"/>
      <c r="AA443" s="469" t="n"/>
    </row>
    <row r="444">
      <c r="A444" s="468" t="n"/>
      <c r="B444" s="469" t="n"/>
      <c r="C444" s="469" t="n"/>
      <c r="D444" s="469" t="n"/>
      <c r="E444" s="469" t="n"/>
      <c r="F444" s="469" t="n"/>
      <c r="G444" s="469" t="n"/>
      <c r="H444" s="469" t="n"/>
      <c r="I444" s="469" t="n"/>
      <c r="J444" s="469" t="n"/>
      <c r="K444" s="469" t="n"/>
      <c r="L444" s="469" t="n"/>
      <c r="M444" s="469" t="n"/>
      <c r="N444" s="469" t="n"/>
      <c r="O444" s="469" t="n"/>
      <c r="P444" s="471" t="n"/>
      <c r="Q444" s="469" t="n"/>
      <c r="R444" s="469" t="n"/>
      <c r="S444" s="469" t="n"/>
      <c r="T444" s="469" t="n"/>
      <c r="U444" s="469" t="n"/>
      <c r="V444" s="469" t="n"/>
      <c r="W444" s="469" t="n"/>
      <c r="X444" s="469" t="n"/>
      <c r="Y444" s="469" t="n"/>
      <c r="Z444" s="469" t="n"/>
      <c r="AA444" s="469" t="n"/>
    </row>
    <row r="445">
      <c r="A445" s="468" t="n"/>
      <c r="B445" s="469" t="n"/>
      <c r="C445" s="469" t="n"/>
      <c r="D445" s="469" t="n"/>
      <c r="E445" s="469" t="n"/>
      <c r="F445" s="469" t="n"/>
      <c r="G445" s="469" t="n"/>
      <c r="H445" s="469" t="n"/>
      <c r="I445" s="469" t="n"/>
      <c r="J445" s="469" t="n"/>
      <c r="K445" s="469" t="n"/>
      <c r="L445" s="469" t="n"/>
      <c r="M445" s="469" t="n"/>
      <c r="N445" s="469" t="n"/>
      <c r="O445" s="469" t="n"/>
      <c r="P445" s="471" t="n"/>
      <c r="Q445" s="469" t="n"/>
      <c r="R445" s="469" t="n"/>
      <c r="S445" s="469" t="n"/>
      <c r="T445" s="469" t="n"/>
      <c r="U445" s="469" t="n"/>
      <c r="V445" s="469" t="n"/>
      <c r="W445" s="469" t="n"/>
      <c r="X445" s="469" t="n"/>
      <c r="Y445" s="469" t="n"/>
      <c r="Z445" s="469" t="n"/>
      <c r="AA445" s="469" t="n"/>
    </row>
    <row r="446">
      <c r="A446" s="468" t="n"/>
      <c r="B446" s="469" t="n"/>
      <c r="C446" s="469" t="n"/>
      <c r="D446" s="469" t="n"/>
      <c r="E446" s="469" t="n"/>
      <c r="F446" s="469" t="n"/>
      <c r="G446" s="469" t="n"/>
      <c r="H446" s="469" t="n"/>
      <c r="I446" s="469" t="n"/>
      <c r="J446" s="469" t="n"/>
      <c r="K446" s="469" t="n"/>
      <c r="L446" s="469" t="n"/>
      <c r="M446" s="469" t="n"/>
      <c r="N446" s="469" t="n"/>
      <c r="O446" s="469" t="n"/>
      <c r="P446" s="471" t="n"/>
      <c r="Q446" s="469" t="n"/>
      <c r="R446" s="469" t="n"/>
      <c r="S446" s="469" t="n"/>
      <c r="T446" s="469" t="n"/>
      <c r="U446" s="469" t="n"/>
      <c r="V446" s="469" t="n"/>
      <c r="W446" s="469" t="n"/>
      <c r="X446" s="469" t="n"/>
      <c r="Y446" s="469" t="n"/>
      <c r="Z446" s="469" t="n"/>
      <c r="AA446" s="469" t="n"/>
    </row>
    <row r="447">
      <c r="A447" s="468" t="n"/>
      <c r="B447" s="469" t="n"/>
      <c r="C447" s="469" t="n"/>
      <c r="D447" s="469" t="n"/>
      <c r="E447" s="469" t="n"/>
      <c r="F447" s="469" t="n"/>
      <c r="G447" s="469" t="n"/>
      <c r="H447" s="469" t="n"/>
      <c r="I447" s="469" t="n"/>
      <c r="J447" s="469" t="n"/>
      <c r="K447" s="469" t="n"/>
      <c r="L447" s="469" t="n"/>
      <c r="M447" s="469" t="n"/>
      <c r="N447" s="469" t="n"/>
      <c r="O447" s="469" t="n"/>
      <c r="P447" s="471" t="n"/>
      <c r="Q447" s="469" t="n"/>
      <c r="R447" s="469" t="n"/>
      <c r="S447" s="469" t="n"/>
      <c r="T447" s="469" t="n"/>
      <c r="U447" s="469" t="n"/>
      <c r="V447" s="469" t="n"/>
      <c r="W447" s="469" t="n"/>
      <c r="X447" s="469" t="n"/>
      <c r="Y447" s="469" t="n"/>
      <c r="Z447" s="469" t="n"/>
      <c r="AA447" s="469" t="n"/>
    </row>
    <row r="448">
      <c r="A448" s="468" t="n"/>
      <c r="B448" s="469" t="n"/>
      <c r="C448" s="469" t="n"/>
      <c r="D448" s="469" t="n"/>
      <c r="E448" s="469" t="n"/>
      <c r="F448" s="469" t="n"/>
      <c r="G448" s="469" t="n"/>
      <c r="H448" s="469" t="n"/>
      <c r="I448" s="469" t="n"/>
      <c r="J448" s="469" t="n"/>
      <c r="K448" s="469" t="n"/>
      <c r="L448" s="469" t="n"/>
      <c r="M448" s="469" t="n"/>
      <c r="N448" s="469" t="n"/>
      <c r="O448" s="469" t="n"/>
      <c r="P448" s="471" t="n"/>
      <c r="Q448" s="469" t="n"/>
      <c r="R448" s="469" t="n"/>
      <c r="S448" s="469" t="n"/>
      <c r="T448" s="469" t="n"/>
      <c r="U448" s="469" t="n"/>
      <c r="V448" s="469" t="n"/>
      <c r="W448" s="469" t="n"/>
      <c r="X448" s="469" t="n"/>
      <c r="Y448" s="469" t="n"/>
      <c r="Z448" s="469" t="n"/>
      <c r="AA448" s="469" t="n"/>
    </row>
    <row r="449">
      <c r="A449" s="468" t="n"/>
      <c r="B449" s="469" t="n"/>
      <c r="C449" s="469" t="n"/>
      <c r="D449" s="469" t="n"/>
      <c r="E449" s="469" t="n"/>
      <c r="F449" s="469" t="n"/>
      <c r="G449" s="469" t="n"/>
      <c r="H449" s="469" t="n"/>
      <c r="I449" s="469" t="n"/>
      <c r="J449" s="469" t="n"/>
      <c r="K449" s="469" t="n"/>
      <c r="L449" s="469" t="n"/>
      <c r="M449" s="469" t="n"/>
      <c r="N449" s="469" t="n"/>
      <c r="O449" s="469" t="n"/>
      <c r="P449" s="471" t="n"/>
      <c r="Q449" s="469" t="n"/>
      <c r="R449" s="469" t="n"/>
      <c r="S449" s="469" t="n"/>
      <c r="T449" s="469" t="n"/>
      <c r="U449" s="469" t="n"/>
      <c r="V449" s="469" t="n"/>
      <c r="W449" s="469" t="n"/>
      <c r="X449" s="469" t="n"/>
      <c r="Y449" s="469" t="n"/>
      <c r="Z449" s="469" t="n"/>
      <c r="AA449" s="469" t="n"/>
    </row>
    <row r="450">
      <c r="A450" s="468" t="n"/>
      <c r="B450" s="469" t="n"/>
      <c r="C450" s="469" t="n"/>
      <c r="D450" s="469" t="n"/>
      <c r="E450" s="469" t="n"/>
      <c r="F450" s="469" t="n"/>
      <c r="G450" s="469" t="n"/>
      <c r="H450" s="469" t="n"/>
      <c r="I450" s="469" t="n"/>
      <c r="J450" s="469" t="n"/>
      <c r="K450" s="469" t="n"/>
      <c r="L450" s="469" t="n"/>
      <c r="M450" s="469" t="n"/>
      <c r="N450" s="469" t="n"/>
      <c r="O450" s="469" t="n"/>
      <c r="P450" s="471" t="n"/>
      <c r="Q450" s="469" t="n"/>
      <c r="R450" s="469" t="n"/>
      <c r="S450" s="469" t="n"/>
      <c r="T450" s="469" t="n"/>
      <c r="U450" s="469" t="n"/>
      <c r="V450" s="469" t="n"/>
      <c r="W450" s="469" t="n"/>
      <c r="X450" s="469" t="n"/>
      <c r="Y450" s="469" t="n"/>
      <c r="Z450" s="469" t="n"/>
      <c r="AA450" s="469" t="n"/>
    </row>
    <row r="451">
      <c r="A451" s="468" t="n"/>
      <c r="B451" s="469" t="n"/>
      <c r="C451" s="469" t="n"/>
      <c r="D451" s="469" t="n"/>
      <c r="E451" s="469" t="n"/>
      <c r="F451" s="469" t="n"/>
      <c r="G451" s="469" t="n"/>
      <c r="H451" s="469" t="n"/>
      <c r="I451" s="469" t="n"/>
      <c r="J451" s="469" t="n"/>
      <c r="K451" s="469" t="n"/>
      <c r="L451" s="469" t="n"/>
      <c r="M451" s="469" t="n"/>
      <c r="N451" s="469" t="n"/>
      <c r="O451" s="469" t="n"/>
      <c r="P451" s="471" t="n"/>
      <c r="Q451" s="469" t="n"/>
      <c r="R451" s="469" t="n"/>
      <c r="S451" s="469" t="n"/>
      <c r="T451" s="469" t="n"/>
      <c r="U451" s="469" t="n"/>
      <c r="V451" s="469" t="n"/>
      <c r="W451" s="469" t="n"/>
      <c r="X451" s="469" t="n"/>
      <c r="Y451" s="469" t="n"/>
      <c r="Z451" s="469" t="n"/>
      <c r="AA451" s="469" t="n"/>
    </row>
    <row r="452">
      <c r="A452" s="468" t="n"/>
      <c r="B452" s="469" t="n"/>
      <c r="C452" s="469" t="n"/>
      <c r="D452" s="469" t="n"/>
      <c r="E452" s="469" t="n"/>
      <c r="F452" s="469" t="n"/>
      <c r="G452" s="469" t="n"/>
      <c r="H452" s="469" t="n"/>
      <c r="I452" s="469" t="n"/>
      <c r="J452" s="469" t="n"/>
      <c r="K452" s="469" t="n"/>
      <c r="L452" s="469" t="n"/>
      <c r="M452" s="469" t="n"/>
      <c r="N452" s="469" t="n"/>
      <c r="O452" s="469" t="n"/>
      <c r="P452" s="471" t="n"/>
      <c r="Q452" s="469" t="n"/>
      <c r="R452" s="469" t="n"/>
      <c r="S452" s="469" t="n"/>
      <c r="T452" s="469" t="n"/>
      <c r="U452" s="469" t="n"/>
      <c r="V452" s="469" t="n"/>
      <c r="W452" s="469" t="n"/>
      <c r="X452" s="469" t="n"/>
      <c r="Y452" s="469" t="n"/>
      <c r="Z452" s="469" t="n"/>
      <c r="AA452" s="469" t="n"/>
    </row>
    <row r="453">
      <c r="A453" s="468" t="n"/>
      <c r="B453" s="469" t="n"/>
      <c r="C453" s="469" t="n"/>
      <c r="D453" s="469" t="n"/>
      <c r="E453" s="469" t="n"/>
      <c r="F453" s="469" t="n"/>
      <c r="G453" s="469" t="n"/>
      <c r="H453" s="469" t="n"/>
      <c r="I453" s="469" t="n"/>
      <c r="J453" s="469" t="n"/>
      <c r="K453" s="469" t="n"/>
      <c r="L453" s="469" t="n"/>
      <c r="M453" s="469" t="n"/>
      <c r="N453" s="469" t="n"/>
      <c r="O453" s="469" t="n"/>
      <c r="P453" s="471" t="n"/>
      <c r="Q453" s="469" t="n"/>
      <c r="R453" s="469" t="n"/>
      <c r="S453" s="469" t="n"/>
      <c r="T453" s="469" t="n"/>
      <c r="U453" s="469" t="n"/>
      <c r="V453" s="469" t="n"/>
      <c r="W453" s="469" t="n"/>
      <c r="X453" s="469" t="n"/>
      <c r="Y453" s="469" t="n"/>
      <c r="Z453" s="469" t="n"/>
      <c r="AA453" s="469" t="n"/>
    </row>
    <row r="454">
      <c r="A454" s="468" t="n"/>
      <c r="B454" s="469" t="n"/>
      <c r="C454" s="469" t="n"/>
      <c r="D454" s="469" t="n"/>
      <c r="E454" s="469" t="n"/>
      <c r="F454" s="469" t="n"/>
      <c r="G454" s="469" t="n"/>
      <c r="H454" s="469" t="n"/>
      <c r="I454" s="469" t="n"/>
      <c r="J454" s="469" t="n"/>
      <c r="K454" s="469" t="n"/>
      <c r="L454" s="469" t="n"/>
      <c r="M454" s="469" t="n"/>
      <c r="N454" s="469" t="n"/>
      <c r="O454" s="469" t="n"/>
      <c r="P454" s="471" t="n"/>
      <c r="Q454" s="469" t="n"/>
      <c r="R454" s="469" t="n"/>
      <c r="S454" s="469" t="n"/>
      <c r="T454" s="469" t="n"/>
      <c r="U454" s="469" t="n"/>
      <c r="V454" s="469" t="n"/>
      <c r="W454" s="469" t="n"/>
      <c r="X454" s="469" t="n"/>
      <c r="Y454" s="469" t="n"/>
      <c r="Z454" s="469" t="n"/>
      <c r="AA454" s="469" t="n"/>
    </row>
    <row r="455">
      <c r="A455" s="468" t="n"/>
      <c r="B455" s="469" t="n"/>
      <c r="C455" s="469" t="n"/>
      <c r="D455" s="469" t="n"/>
      <c r="E455" s="469" t="n"/>
      <c r="F455" s="469" t="n"/>
      <c r="G455" s="469" t="n"/>
      <c r="H455" s="469" t="n"/>
      <c r="I455" s="469" t="n"/>
      <c r="J455" s="469" t="n"/>
      <c r="K455" s="469" t="n"/>
      <c r="L455" s="469" t="n"/>
      <c r="M455" s="469" t="n"/>
      <c r="N455" s="469" t="n"/>
      <c r="O455" s="469" t="n"/>
      <c r="P455" s="471" t="n"/>
      <c r="Q455" s="469" t="n"/>
      <c r="R455" s="469" t="n"/>
      <c r="S455" s="469" t="n"/>
      <c r="T455" s="469" t="n"/>
      <c r="U455" s="469" t="n"/>
      <c r="V455" s="469" t="n"/>
      <c r="W455" s="469" t="n"/>
      <c r="X455" s="469" t="n"/>
      <c r="Y455" s="469" t="n"/>
      <c r="Z455" s="469" t="n"/>
      <c r="AA455" s="469" t="n"/>
    </row>
    <row r="456">
      <c r="A456" s="468" t="n"/>
      <c r="B456" s="469" t="n"/>
      <c r="C456" s="469" t="n"/>
      <c r="D456" s="469" t="n"/>
      <c r="E456" s="469" t="n"/>
      <c r="F456" s="469" t="n"/>
      <c r="G456" s="469" t="n"/>
      <c r="H456" s="469" t="n"/>
      <c r="I456" s="469" t="n"/>
      <c r="J456" s="469" t="n"/>
      <c r="K456" s="469" t="n"/>
      <c r="L456" s="469" t="n"/>
      <c r="M456" s="469" t="n"/>
      <c r="N456" s="469" t="n"/>
      <c r="O456" s="469" t="n"/>
      <c r="P456" s="471" t="n"/>
      <c r="Q456" s="469" t="n"/>
      <c r="R456" s="469" t="n"/>
      <c r="S456" s="469" t="n"/>
      <c r="T456" s="469" t="n"/>
      <c r="U456" s="469" t="n"/>
      <c r="V456" s="469" t="n"/>
      <c r="W456" s="469" t="n"/>
      <c r="X456" s="469" t="n"/>
      <c r="Y456" s="469" t="n"/>
      <c r="Z456" s="469" t="n"/>
      <c r="AA456" s="469" t="n"/>
    </row>
    <row r="457">
      <c r="A457" s="468" t="n"/>
      <c r="B457" s="469" t="n"/>
      <c r="C457" s="469" t="n"/>
      <c r="D457" s="469" t="n"/>
      <c r="E457" s="469" t="n"/>
      <c r="F457" s="469" t="n"/>
      <c r="G457" s="469" t="n"/>
      <c r="H457" s="469" t="n"/>
      <c r="I457" s="469" t="n"/>
      <c r="J457" s="469" t="n"/>
      <c r="K457" s="469" t="n"/>
      <c r="L457" s="469" t="n"/>
      <c r="M457" s="469" t="n"/>
      <c r="N457" s="469" t="n"/>
      <c r="O457" s="469" t="n"/>
      <c r="P457" s="471" t="n"/>
      <c r="Q457" s="469" t="n"/>
      <c r="R457" s="469" t="n"/>
      <c r="S457" s="469" t="n"/>
      <c r="T457" s="469" t="n"/>
      <c r="U457" s="469" t="n"/>
      <c r="V457" s="469" t="n"/>
      <c r="W457" s="469" t="n"/>
      <c r="X457" s="469" t="n"/>
      <c r="Y457" s="469" t="n"/>
      <c r="Z457" s="469" t="n"/>
      <c r="AA457" s="469" t="n"/>
    </row>
    <row r="458">
      <c r="A458" s="468" t="n"/>
      <c r="B458" s="469" t="n"/>
      <c r="C458" s="469" t="n"/>
      <c r="D458" s="469" t="n"/>
      <c r="E458" s="469" t="n"/>
      <c r="F458" s="469" t="n"/>
      <c r="G458" s="469" t="n"/>
      <c r="H458" s="469" t="n"/>
      <c r="I458" s="469" t="n"/>
      <c r="J458" s="469" t="n"/>
      <c r="K458" s="469" t="n"/>
      <c r="L458" s="469" t="n"/>
      <c r="M458" s="469" t="n"/>
      <c r="N458" s="469" t="n"/>
      <c r="O458" s="469" t="n"/>
      <c r="P458" s="471" t="n"/>
      <c r="Q458" s="469" t="n"/>
      <c r="R458" s="469" t="n"/>
      <c r="S458" s="469" t="n"/>
      <c r="T458" s="469" t="n"/>
      <c r="U458" s="469" t="n"/>
      <c r="V458" s="469" t="n"/>
      <c r="W458" s="469" t="n"/>
      <c r="X458" s="469" t="n"/>
      <c r="Y458" s="469" t="n"/>
      <c r="Z458" s="469" t="n"/>
      <c r="AA458" s="469" t="n"/>
    </row>
    <row r="459">
      <c r="A459" s="468" t="n"/>
      <c r="B459" s="469" t="n"/>
      <c r="C459" s="469" t="n"/>
      <c r="D459" s="469" t="n"/>
      <c r="E459" s="469" t="n"/>
      <c r="F459" s="469" t="n"/>
      <c r="G459" s="469" t="n"/>
      <c r="H459" s="469" t="n"/>
      <c r="I459" s="469" t="n"/>
      <c r="J459" s="469" t="n"/>
      <c r="K459" s="469" t="n"/>
      <c r="L459" s="469" t="n"/>
      <c r="M459" s="469" t="n"/>
      <c r="N459" s="469" t="n"/>
      <c r="O459" s="469" t="n"/>
      <c r="P459" s="471" t="n"/>
      <c r="Q459" s="469" t="n"/>
      <c r="R459" s="469" t="n"/>
      <c r="S459" s="469" t="n"/>
      <c r="T459" s="469" t="n"/>
      <c r="U459" s="469" t="n"/>
      <c r="V459" s="469" t="n"/>
      <c r="W459" s="469" t="n"/>
      <c r="X459" s="469" t="n"/>
      <c r="Y459" s="469" t="n"/>
      <c r="Z459" s="469" t="n"/>
      <c r="AA459" s="469" t="n"/>
    </row>
    <row r="460">
      <c r="A460" s="468" t="n"/>
      <c r="B460" s="469" t="n"/>
      <c r="C460" s="469" t="n"/>
      <c r="D460" s="469" t="n"/>
      <c r="E460" s="469" t="n"/>
      <c r="F460" s="469" t="n"/>
      <c r="G460" s="469" t="n"/>
      <c r="H460" s="469" t="n"/>
      <c r="I460" s="469" t="n"/>
      <c r="J460" s="469" t="n"/>
      <c r="K460" s="469" t="n"/>
      <c r="L460" s="469" t="n"/>
      <c r="M460" s="469" t="n"/>
      <c r="N460" s="469" t="n"/>
      <c r="O460" s="469" t="n"/>
      <c r="P460" s="471" t="n"/>
      <c r="Q460" s="469" t="n"/>
      <c r="R460" s="469" t="n"/>
      <c r="S460" s="469" t="n"/>
      <c r="T460" s="469" t="n"/>
      <c r="U460" s="469" t="n"/>
      <c r="V460" s="469" t="n"/>
      <c r="W460" s="469" t="n"/>
      <c r="X460" s="469" t="n"/>
      <c r="Y460" s="469" t="n"/>
      <c r="Z460" s="469" t="n"/>
      <c r="AA460" s="469" t="n"/>
    </row>
    <row r="461">
      <c r="A461" s="468" t="n"/>
      <c r="B461" s="469" t="n"/>
      <c r="C461" s="469" t="n"/>
      <c r="D461" s="469" t="n"/>
      <c r="E461" s="469" t="n"/>
      <c r="F461" s="469" t="n"/>
      <c r="G461" s="469" t="n"/>
      <c r="H461" s="469" t="n"/>
      <c r="I461" s="469" t="n"/>
      <c r="J461" s="469" t="n"/>
      <c r="K461" s="469" t="n"/>
      <c r="L461" s="469" t="n"/>
      <c r="M461" s="469" t="n"/>
      <c r="N461" s="469" t="n"/>
      <c r="O461" s="469" t="n"/>
      <c r="P461" s="471" t="n"/>
      <c r="Q461" s="469" t="n"/>
      <c r="R461" s="469" t="n"/>
      <c r="S461" s="469" t="n"/>
      <c r="T461" s="469" t="n"/>
      <c r="U461" s="469" t="n"/>
      <c r="V461" s="469" t="n"/>
      <c r="W461" s="469" t="n"/>
      <c r="X461" s="469" t="n"/>
      <c r="Y461" s="469" t="n"/>
      <c r="Z461" s="469" t="n"/>
      <c r="AA461" s="469" t="n"/>
    </row>
    <row r="462">
      <c r="A462" s="468" t="n"/>
      <c r="B462" s="469" t="n"/>
      <c r="C462" s="469" t="n"/>
      <c r="D462" s="469" t="n"/>
      <c r="E462" s="469" t="n"/>
      <c r="F462" s="469" t="n"/>
      <c r="G462" s="469" t="n"/>
      <c r="H462" s="469" t="n"/>
      <c r="I462" s="469" t="n"/>
      <c r="J462" s="469" t="n"/>
      <c r="K462" s="469" t="n"/>
      <c r="L462" s="469" t="n"/>
      <c r="M462" s="469" t="n"/>
      <c r="N462" s="469" t="n"/>
      <c r="O462" s="469" t="n"/>
      <c r="P462" s="471" t="n"/>
      <c r="Q462" s="469" t="n"/>
      <c r="R462" s="469" t="n"/>
      <c r="S462" s="469" t="n"/>
      <c r="T462" s="469" t="n"/>
      <c r="U462" s="469" t="n"/>
      <c r="V462" s="469" t="n"/>
      <c r="W462" s="469" t="n"/>
      <c r="X462" s="469" t="n"/>
      <c r="Y462" s="469" t="n"/>
      <c r="Z462" s="469" t="n"/>
      <c r="AA462" s="469" t="n"/>
    </row>
    <row r="463">
      <c r="A463" s="468" t="n"/>
      <c r="B463" s="469" t="n"/>
      <c r="C463" s="469" t="n"/>
      <c r="D463" s="469" t="n"/>
      <c r="E463" s="469" t="n"/>
      <c r="F463" s="469" t="n"/>
      <c r="G463" s="469" t="n"/>
      <c r="H463" s="469" t="n"/>
      <c r="I463" s="469" t="n"/>
      <c r="J463" s="469" t="n"/>
      <c r="K463" s="469" t="n"/>
      <c r="L463" s="469" t="n"/>
      <c r="M463" s="469" t="n"/>
      <c r="N463" s="469" t="n"/>
      <c r="O463" s="469" t="n"/>
      <c r="P463" s="471" t="n"/>
      <c r="Q463" s="469" t="n"/>
      <c r="R463" s="469" t="n"/>
      <c r="S463" s="469" t="n"/>
      <c r="T463" s="469" t="n"/>
      <c r="U463" s="469" t="n"/>
      <c r="V463" s="469" t="n"/>
      <c r="W463" s="469" t="n"/>
      <c r="X463" s="469" t="n"/>
      <c r="Y463" s="469" t="n"/>
      <c r="Z463" s="469" t="n"/>
      <c r="AA463" s="469" t="n"/>
    </row>
    <row r="464">
      <c r="A464" s="468" t="n"/>
      <c r="B464" s="469" t="n"/>
      <c r="C464" s="469" t="n"/>
      <c r="D464" s="469" t="n"/>
      <c r="E464" s="469" t="n"/>
      <c r="F464" s="469" t="n"/>
      <c r="G464" s="469" t="n"/>
      <c r="H464" s="469" t="n"/>
      <c r="I464" s="469" t="n"/>
      <c r="J464" s="469" t="n"/>
      <c r="K464" s="469" t="n"/>
      <c r="L464" s="469" t="n"/>
      <c r="M464" s="469" t="n"/>
      <c r="N464" s="469" t="n"/>
      <c r="O464" s="469" t="n"/>
      <c r="P464" s="471" t="n"/>
      <c r="Q464" s="469" t="n"/>
      <c r="R464" s="469" t="n"/>
      <c r="S464" s="469" t="n"/>
      <c r="T464" s="469" t="n"/>
      <c r="U464" s="469" t="n"/>
      <c r="V464" s="469" t="n"/>
      <c r="W464" s="469" t="n"/>
      <c r="X464" s="469" t="n"/>
      <c r="Y464" s="469" t="n"/>
      <c r="Z464" s="469" t="n"/>
      <c r="AA464" s="469" t="n"/>
    </row>
    <row r="465">
      <c r="A465" s="468" t="n"/>
      <c r="B465" s="469" t="n"/>
      <c r="C465" s="469" t="n"/>
      <c r="D465" s="469" t="n"/>
      <c r="E465" s="469" t="n"/>
      <c r="F465" s="469" t="n"/>
      <c r="G465" s="469" t="n"/>
      <c r="H465" s="469" t="n"/>
      <c r="I465" s="469" t="n"/>
      <c r="J465" s="469" t="n"/>
      <c r="K465" s="469" t="n"/>
      <c r="L465" s="469" t="n"/>
      <c r="M465" s="469" t="n"/>
      <c r="N465" s="469" t="n"/>
      <c r="O465" s="469" t="n"/>
      <c r="P465" s="471" t="n"/>
      <c r="Q465" s="469" t="n"/>
      <c r="R465" s="469" t="n"/>
      <c r="S465" s="469" t="n"/>
      <c r="T465" s="469" t="n"/>
      <c r="U465" s="469" t="n"/>
      <c r="V465" s="469" t="n"/>
      <c r="W465" s="469" t="n"/>
      <c r="X465" s="469" t="n"/>
      <c r="Y465" s="469" t="n"/>
      <c r="Z465" s="469" t="n"/>
      <c r="AA465" s="469" t="n"/>
    </row>
    <row r="466">
      <c r="A466" s="468" t="n"/>
      <c r="B466" s="469" t="n"/>
      <c r="C466" s="469" t="n"/>
      <c r="D466" s="469" t="n"/>
      <c r="E466" s="469" t="n"/>
      <c r="F466" s="469" t="n"/>
      <c r="G466" s="469" t="n"/>
      <c r="H466" s="469" t="n"/>
      <c r="I466" s="469" t="n"/>
      <c r="J466" s="469" t="n"/>
      <c r="K466" s="469" t="n"/>
      <c r="L466" s="469" t="n"/>
      <c r="M466" s="469" t="n"/>
      <c r="N466" s="469" t="n"/>
      <c r="O466" s="469" t="n"/>
      <c r="P466" s="471" t="n"/>
      <c r="Q466" s="469" t="n"/>
      <c r="R466" s="469" t="n"/>
      <c r="S466" s="469" t="n"/>
      <c r="T466" s="469" t="n"/>
      <c r="U466" s="469" t="n"/>
      <c r="V466" s="469" t="n"/>
      <c r="W466" s="469" t="n"/>
      <c r="X466" s="469" t="n"/>
      <c r="Y466" s="469" t="n"/>
      <c r="Z466" s="469" t="n"/>
      <c r="AA466" s="469" t="n"/>
    </row>
    <row r="467">
      <c r="A467" s="468" t="n"/>
      <c r="B467" s="469" t="n"/>
      <c r="C467" s="469" t="n"/>
      <c r="D467" s="469" t="n"/>
      <c r="E467" s="469" t="n"/>
      <c r="F467" s="469" t="n"/>
      <c r="G467" s="469" t="n"/>
      <c r="H467" s="469" t="n"/>
      <c r="I467" s="469" t="n"/>
      <c r="J467" s="469" t="n"/>
      <c r="K467" s="469" t="n"/>
      <c r="L467" s="469" t="n"/>
      <c r="M467" s="469" t="n"/>
      <c r="N467" s="469" t="n"/>
      <c r="O467" s="469" t="n"/>
      <c r="P467" s="471" t="n"/>
      <c r="Q467" s="469" t="n"/>
      <c r="R467" s="469" t="n"/>
      <c r="S467" s="469" t="n"/>
      <c r="T467" s="469" t="n"/>
      <c r="U467" s="469" t="n"/>
      <c r="V467" s="469" t="n"/>
      <c r="W467" s="469" t="n"/>
      <c r="X467" s="469" t="n"/>
      <c r="Y467" s="469" t="n"/>
      <c r="Z467" s="469" t="n"/>
      <c r="AA467" s="469" t="n"/>
    </row>
    <row r="468">
      <c r="A468" s="468" t="n"/>
      <c r="B468" s="469" t="n"/>
      <c r="C468" s="469" t="n"/>
      <c r="D468" s="469" t="n"/>
      <c r="E468" s="469" t="n"/>
      <c r="F468" s="469" t="n"/>
      <c r="G468" s="469" t="n"/>
      <c r="H468" s="469" t="n"/>
      <c r="I468" s="469" t="n"/>
      <c r="J468" s="469" t="n"/>
      <c r="K468" s="469" t="n"/>
      <c r="L468" s="469" t="n"/>
      <c r="M468" s="469" t="n"/>
      <c r="N468" s="469" t="n"/>
      <c r="O468" s="469" t="n"/>
      <c r="P468" s="471" t="n"/>
      <c r="Q468" s="469" t="n"/>
      <c r="R468" s="469" t="n"/>
      <c r="S468" s="469" t="n"/>
      <c r="T468" s="469" t="n"/>
      <c r="U468" s="469" t="n"/>
      <c r="V468" s="469" t="n"/>
      <c r="W468" s="469" t="n"/>
      <c r="X468" s="469" t="n"/>
      <c r="Y468" s="469" t="n"/>
      <c r="Z468" s="469" t="n"/>
      <c r="AA468" s="469" t="n"/>
    </row>
    <row r="469">
      <c r="A469" s="468" t="n"/>
      <c r="B469" s="469" t="n"/>
      <c r="C469" s="469" t="n"/>
      <c r="D469" s="469" t="n"/>
      <c r="E469" s="469" t="n"/>
      <c r="F469" s="469" t="n"/>
      <c r="G469" s="469" t="n"/>
      <c r="H469" s="469" t="n"/>
      <c r="I469" s="469" t="n"/>
      <c r="J469" s="469" t="n"/>
      <c r="K469" s="469" t="n"/>
      <c r="L469" s="469" t="n"/>
      <c r="M469" s="469" t="n"/>
      <c r="N469" s="469" t="n"/>
      <c r="O469" s="469" t="n"/>
      <c r="P469" s="471" t="n"/>
      <c r="Q469" s="469" t="n"/>
      <c r="R469" s="469" t="n"/>
      <c r="S469" s="469" t="n"/>
      <c r="T469" s="469" t="n"/>
      <c r="U469" s="469" t="n"/>
      <c r="V469" s="469" t="n"/>
      <c r="W469" s="469" t="n"/>
      <c r="X469" s="469" t="n"/>
      <c r="Y469" s="469" t="n"/>
      <c r="Z469" s="469" t="n"/>
      <c r="AA469" s="469" t="n"/>
    </row>
    <row r="470">
      <c r="A470" s="468" t="n"/>
      <c r="B470" s="469" t="n"/>
      <c r="C470" s="469" t="n"/>
      <c r="D470" s="469" t="n"/>
      <c r="E470" s="469" t="n"/>
      <c r="F470" s="469" t="n"/>
      <c r="G470" s="469" t="n"/>
      <c r="H470" s="469" t="n"/>
      <c r="I470" s="469" t="n"/>
      <c r="J470" s="469" t="n"/>
      <c r="K470" s="469" t="n"/>
      <c r="L470" s="469" t="n"/>
      <c r="M470" s="469" t="n"/>
      <c r="N470" s="469" t="n"/>
      <c r="O470" s="469" t="n"/>
      <c r="P470" s="471" t="n"/>
      <c r="Q470" s="469" t="n"/>
      <c r="R470" s="469" t="n"/>
      <c r="S470" s="469" t="n"/>
      <c r="T470" s="469" t="n"/>
      <c r="U470" s="469" t="n"/>
      <c r="V470" s="469" t="n"/>
      <c r="W470" s="469" t="n"/>
      <c r="X470" s="469" t="n"/>
      <c r="Y470" s="469" t="n"/>
      <c r="Z470" s="469" t="n"/>
      <c r="AA470" s="469" t="n"/>
    </row>
    <row r="471">
      <c r="A471" s="468" t="n"/>
      <c r="B471" s="469" t="n"/>
      <c r="C471" s="469" t="n"/>
      <c r="D471" s="469" t="n"/>
      <c r="E471" s="469" t="n"/>
      <c r="F471" s="469" t="n"/>
      <c r="G471" s="469" t="n"/>
      <c r="H471" s="469" t="n"/>
      <c r="I471" s="469" t="n"/>
      <c r="J471" s="469" t="n"/>
      <c r="K471" s="469" t="n"/>
      <c r="L471" s="469" t="n"/>
      <c r="M471" s="469" t="n"/>
      <c r="N471" s="469" t="n"/>
      <c r="O471" s="469" t="n"/>
      <c r="P471" s="471" t="n"/>
      <c r="Q471" s="469" t="n"/>
      <c r="R471" s="469" t="n"/>
      <c r="S471" s="469" t="n"/>
      <c r="T471" s="469" t="n"/>
      <c r="U471" s="469" t="n"/>
      <c r="V471" s="469" t="n"/>
      <c r="W471" s="469" t="n"/>
      <c r="X471" s="469" t="n"/>
      <c r="Y471" s="469" t="n"/>
      <c r="Z471" s="469" t="n"/>
      <c r="AA471" s="469" t="n"/>
    </row>
    <row r="472">
      <c r="A472" s="468" t="n"/>
      <c r="B472" s="469" t="n"/>
      <c r="C472" s="469" t="n"/>
      <c r="D472" s="469" t="n"/>
      <c r="E472" s="469" t="n"/>
      <c r="F472" s="469" t="n"/>
      <c r="G472" s="469" t="n"/>
      <c r="H472" s="469" t="n"/>
      <c r="I472" s="469" t="n"/>
      <c r="J472" s="469" t="n"/>
      <c r="K472" s="469" t="n"/>
      <c r="L472" s="469" t="n"/>
      <c r="M472" s="469" t="n"/>
      <c r="N472" s="469" t="n"/>
      <c r="O472" s="469" t="n"/>
      <c r="P472" s="471" t="n"/>
      <c r="Q472" s="469" t="n"/>
      <c r="R472" s="469" t="n"/>
      <c r="S472" s="469" t="n"/>
      <c r="T472" s="469" t="n"/>
      <c r="U472" s="469" t="n"/>
      <c r="V472" s="469" t="n"/>
      <c r="W472" s="469" t="n"/>
      <c r="X472" s="469" t="n"/>
      <c r="Y472" s="469" t="n"/>
      <c r="Z472" s="469" t="n"/>
      <c r="AA472" s="469" t="n"/>
    </row>
    <row r="473">
      <c r="A473" s="468" t="n"/>
      <c r="B473" s="469" t="n"/>
      <c r="C473" s="469" t="n"/>
      <c r="D473" s="469" t="n"/>
      <c r="E473" s="469" t="n"/>
      <c r="F473" s="469" t="n"/>
      <c r="G473" s="469" t="n"/>
      <c r="H473" s="469" t="n"/>
      <c r="I473" s="469" t="n"/>
      <c r="J473" s="469" t="n"/>
      <c r="K473" s="469" t="n"/>
      <c r="L473" s="469" t="n"/>
      <c r="M473" s="469" t="n"/>
      <c r="N473" s="469" t="n"/>
      <c r="O473" s="469" t="n"/>
      <c r="P473" s="471" t="n"/>
      <c r="Q473" s="469" t="n"/>
      <c r="R473" s="469" t="n"/>
      <c r="S473" s="469" t="n"/>
      <c r="T473" s="469" t="n"/>
      <c r="U473" s="469" t="n"/>
      <c r="V473" s="469" t="n"/>
      <c r="W473" s="469" t="n"/>
      <c r="X473" s="469" t="n"/>
      <c r="Y473" s="469" t="n"/>
      <c r="Z473" s="469" t="n"/>
      <c r="AA473" s="469" t="n"/>
    </row>
    <row r="474">
      <c r="A474" s="468" t="n"/>
      <c r="B474" s="469" t="n"/>
      <c r="C474" s="469" t="n"/>
      <c r="D474" s="469" t="n"/>
      <c r="E474" s="469" t="n"/>
      <c r="F474" s="469" t="n"/>
      <c r="G474" s="469" t="n"/>
      <c r="H474" s="469" t="n"/>
      <c r="I474" s="469" t="n"/>
      <c r="J474" s="469" t="n"/>
      <c r="K474" s="469" t="n"/>
      <c r="L474" s="469" t="n"/>
      <c r="M474" s="469" t="n"/>
      <c r="N474" s="469" t="n"/>
      <c r="O474" s="469" t="n"/>
      <c r="P474" s="471" t="n"/>
      <c r="Q474" s="469" t="n"/>
      <c r="R474" s="469" t="n"/>
      <c r="S474" s="469" t="n"/>
      <c r="T474" s="469" t="n"/>
      <c r="U474" s="469" t="n"/>
      <c r="V474" s="469" t="n"/>
      <c r="W474" s="469" t="n"/>
      <c r="X474" s="469" t="n"/>
      <c r="Y474" s="469" t="n"/>
      <c r="Z474" s="469" t="n"/>
      <c r="AA474" s="469" t="n"/>
    </row>
    <row r="475">
      <c r="A475" s="468" t="n"/>
      <c r="B475" s="469" t="n"/>
      <c r="C475" s="469" t="n"/>
      <c r="D475" s="469" t="n"/>
      <c r="E475" s="469" t="n"/>
      <c r="F475" s="469" t="n"/>
      <c r="G475" s="469" t="n"/>
      <c r="H475" s="469" t="n"/>
      <c r="I475" s="469" t="n"/>
      <c r="J475" s="469" t="n"/>
      <c r="K475" s="469" t="n"/>
      <c r="L475" s="469" t="n"/>
      <c r="M475" s="469" t="n"/>
      <c r="N475" s="469" t="n"/>
      <c r="O475" s="469" t="n"/>
      <c r="P475" s="471" t="n"/>
      <c r="Q475" s="469" t="n"/>
      <c r="R475" s="469" t="n"/>
      <c r="S475" s="469" t="n"/>
      <c r="T475" s="469" t="n"/>
      <c r="U475" s="469" t="n"/>
      <c r="V475" s="469" t="n"/>
      <c r="W475" s="469" t="n"/>
      <c r="X475" s="469" t="n"/>
      <c r="Y475" s="469" t="n"/>
      <c r="Z475" s="469" t="n"/>
      <c r="AA475" s="469" t="n"/>
    </row>
    <row r="476">
      <c r="A476" s="468" t="n"/>
      <c r="B476" s="469" t="n"/>
      <c r="C476" s="469" t="n"/>
      <c r="D476" s="469" t="n"/>
      <c r="E476" s="469" t="n"/>
      <c r="F476" s="469" t="n"/>
      <c r="G476" s="469" t="n"/>
      <c r="H476" s="469" t="n"/>
      <c r="I476" s="469" t="n"/>
      <c r="J476" s="469" t="n"/>
      <c r="K476" s="469" t="n"/>
      <c r="L476" s="469" t="n"/>
      <c r="M476" s="469" t="n"/>
      <c r="N476" s="469" t="n"/>
      <c r="O476" s="469" t="n"/>
      <c r="P476" s="471" t="n"/>
      <c r="Q476" s="469" t="n"/>
      <c r="R476" s="469" t="n"/>
      <c r="S476" s="469" t="n"/>
      <c r="T476" s="469" t="n"/>
      <c r="U476" s="469" t="n"/>
      <c r="V476" s="469" t="n"/>
      <c r="W476" s="469" t="n"/>
      <c r="X476" s="469" t="n"/>
      <c r="Y476" s="469" t="n"/>
      <c r="Z476" s="469" t="n"/>
      <c r="AA476" s="469" t="n"/>
    </row>
    <row r="477">
      <c r="A477" s="468" t="n"/>
      <c r="B477" s="469" t="n"/>
      <c r="C477" s="469" t="n"/>
      <c r="D477" s="469" t="n"/>
      <c r="E477" s="469" t="n"/>
      <c r="F477" s="469" t="n"/>
      <c r="G477" s="469" t="n"/>
      <c r="H477" s="469" t="n"/>
      <c r="I477" s="469" t="n"/>
      <c r="J477" s="469" t="n"/>
      <c r="K477" s="469" t="n"/>
      <c r="L477" s="469" t="n"/>
      <c r="M477" s="469" t="n"/>
      <c r="N477" s="469" t="n"/>
      <c r="O477" s="469" t="n"/>
      <c r="P477" s="471" t="n"/>
      <c r="Q477" s="469" t="n"/>
      <c r="R477" s="469" t="n"/>
      <c r="S477" s="469" t="n"/>
      <c r="T477" s="469" t="n"/>
      <c r="U477" s="469" t="n"/>
      <c r="V477" s="469" t="n"/>
      <c r="W477" s="469" t="n"/>
      <c r="X477" s="469" t="n"/>
      <c r="Y477" s="469" t="n"/>
      <c r="Z477" s="469" t="n"/>
      <c r="AA477" s="469" t="n"/>
    </row>
    <row r="478">
      <c r="A478" s="468" t="n"/>
      <c r="B478" s="469" t="n"/>
      <c r="C478" s="469" t="n"/>
      <c r="D478" s="469" t="n"/>
      <c r="E478" s="469" t="n"/>
      <c r="F478" s="469" t="n"/>
      <c r="G478" s="469" t="n"/>
      <c r="H478" s="469" t="n"/>
      <c r="I478" s="469" t="n"/>
      <c r="J478" s="469" t="n"/>
      <c r="K478" s="469" t="n"/>
      <c r="L478" s="469" t="n"/>
      <c r="M478" s="469" t="n"/>
      <c r="N478" s="469" t="n"/>
      <c r="O478" s="469" t="n"/>
      <c r="P478" s="471" t="n"/>
      <c r="Q478" s="469" t="n"/>
      <c r="R478" s="469" t="n"/>
      <c r="S478" s="469" t="n"/>
      <c r="T478" s="469" t="n"/>
      <c r="U478" s="469" t="n"/>
      <c r="V478" s="469" t="n"/>
      <c r="W478" s="469" t="n"/>
      <c r="X478" s="469" t="n"/>
      <c r="Y478" s="469" t="n"/>
      <c r="Z478" s="469" t="n"/>
      <c r="AA478" s="469" t="n"/>
    </row>
    <row r="479">
      <c r="A479" s="468" t="n"/>
      <c r="B479" s="469" t="n"/>
      <c r="C479" s="469" t="n"/>
      <c r="D479" s="469" t="n"/>
      <c r="E479" s="469" t="n"/>
      <c r="F479" s="469" t="n"/>
      <c r="G479" s="469" t="n"/>
      <c r="H479" s="469" t="n"/>
      <c r="I479" s="469" t="n"/>
      <c r="J479" s="469" t="n"/>
      <c r="K479" s="469" t="n"/>
      <c r="L479" s="469" t="n"/>
      <c r="M479" s="469" t="n"/>
      <c r="N479" s="469" t="n"/>
      <c r="O479" s="469" t="n"/>
      <c r="P479" s="471" t="n"/>
      <c r="Q479" s="469" t="n"/>
      <c r="R479" s="469" t="n"/>
      <c r="S479" s="469" t="n"/>
      <c r="T479" s="469" t="n"/>
      <c r="U479" s="469" t="n"/>
      <c r="V479" s="469" t="n"/>
      <c r="W479" s="469" t="n"/>
      <c r="X479" s="469" t="n"/>
      <c r="Y479" s="469" t="n"/>
      <c r="Z479" s="469" t="n"/>
      <c r="AA479" s="469" t="n"/>
    </row>
    <row r="480">
      <c r="A480" s="468" t="n"/>
      <c r="B480" s="469" t="n"/>
      <c r="C480" s="469" t="n"/>
      <c r="D480" s="469" t="n"/>
      <c r="E480" s="469" t="n"/>
      <c r="F480" s="469" t="n"/>
      <c r="G480" s="469" t="n"/>
      <c r="H480" s="469" t="n"/>
      <c r="I480" s="469" t="n"/>
      <c r="J480" s="469" t="n"/>
      <c r="K480" s="469" t="n"/>
      <c r="L480" s="469" t="n"/>
      <c r="M480" s="469" t="n"/>
      <c r="N480" s="469" t="n"/>
      <c r="O480" s="469" t="n"/>
      <c r="P480" s="471" t="n"/>
      <c r="Q480" s="469" t="n"/>
      <c r="R480" s="469" t="n"/>
      <c r="S480" s="469" t="n"/>
      <c r="T480" s="469" t="n"/>
      <c r="U480" s="469" t="n"/>
      <c r="V480" s="469" t="n"/>
      <c r="W480" s="469" t="n"/>
      <c r="X480" s="469" t="n"/>
      <c r="Y480" s="469" t="n"/>
      <c r="Z480" s="469" t="n"/>
      <c r="AA480" s="469" t="n"/>
    </row>
    <row r="481">
      <c r="A481" s="468" t="n"/>
      <c r="B481" s="469" t="n"/>
      <c r="C481" s="469" t="n"/>
      <c r="D481" s="469" t="n"/>
      <c r="E481" s="469" t="n"/>
      <c r="F481" s="469" t="n"/>
      <c r="G481" s="469" t="n"/>
      <c r="H481" s="469" t="n"/>
      <c r="I481" s="469" t="n"/>
      <c r="J481" s="469" t="n"/>
      <c r="K481" s="469" t="n"/>
      <c r="L481" s="469" t="n"/>
      <c r="M481" s="469" t="n"/>
      <c r="N481" s="469" t="n"/>
      <c r="O481" s="469" t="n"/>
      <c r="P481" s="471" t="n"/>
      <c r="Q481" s="469" t="n"/>
      <c r="R481" s="469" t="n"/>
      <c r="S481" s="469" t="n"/>
      <c r="T481" s="469" t="n"/>
      <c r="U481" s="469" t="n"/>
      <c r="V481" s="469" t="n"/>
      <c r="W481" s="469" t="n"/>
      <c r="X481" s="469" t="n"/>
      <c r="Y481" s="469" t="n"/>
      <c r="Z481" s="469" t="n"/>
      <c r="AA481" s="469" t="n"/>
    </row>
    <row r="482">
      <c r="A482" s="468" t="n"/>
      <c r="B482" s="469" t="n"/>
      <c r="C482" s="469" t="n"/>
      <c r="D482" s="469" t="n"/>
      <c r="E482" s="469" t="n"/>
      <c r="F482" s="469" t="n"/>
      <c r="G482" s="469" t="n"/>
      <c r="H482" s="469" t="n"/>
      <c r="I482" s="469" t="n"/>
      <c r="J482" s="469" t="n"/>
      <c r="K482" s="469" t="n"/>
      <c r="L482" s="469" t="n"/>
      <c r="M482" s="469" t="n"/>
      <c r="N482" s="469" t="n"/>
      <c r="O482" s="469" t="n"/>
      <c r="P482" s="471" t="n"/>
      <c r="Q482" s="469" t="n"/>
      <c r="R482" s="469" t="n"/>
      <c r="S482" s="469" t="n"/>
      <c r="T482" s="469" t="n"/>
      <c r="U482" s="469" t="n"/>
      <c r="V482" s="469" t="n"/>
      <c r="W482" s="469" t="n"/>
      <c r="X482" s="469" t="n"/>
      <c r="Y482" s="469" t="n"/>
      <c r="Z482" s="469" t="n"/>
      <c r="AA482" s="469" t="n"/>
    </row>
    <row r="483">
      <c r="A483" s="468" t="n"/>
      <c r="B483" s="469" t="n"/>
      <c r="C483" s="469" t="n"/>
      <c r="D483" s="469" t="n"/>
      <c r="E483" s="469" t="n"/>
      <c r="F483" s="469" t="n"/>
      <c r="G483" s="469" t="n"/>
      <c r="H483" s="469" t="n"/>
      <c r="I483" s="469" t="n"/>
      <c r="J483" s="469" t="n"/>
      <c r="K483" s="469" t="n"/>
      <c r="L483" s="469" t="n"/>
      <c r="M483" s="469" t="n"/>
      <c r="N483" s="469" t="n"/>
      <c r="O483" s="469" t="n"/>
      <c r="P483" s="471" t="n"/>
      <c r="Q483" s="469" t="n"/>
      <c r="R483" s="469" t="n"/>
      <c r="S483" s="469" t="n"/>
      <c r="T483" s="469" t="n"/>
      <c r="U483" s="469" t="n"/>
      <c r="V483" s="469" t="n"/>
      <c r="W483" s="469" t="n"/>
      <c r="X483" s="469" t="n"/>
      <c r="Y483" s="469" t="n"/>
      <c r="Z483" s="469" t="n"/>
      <c r="AA483" s="469" t="n"/>
    </row>
    <row r="484">
      <c r="A484" s="468" t="n"/>
      <c r="B484" s="469" t="n"/>
      <c r="C484" s="469" t="n"/>
      <c r="D484" s="469" t="n"/>
      <c r="E484" s="469" t="n"/>
      <c r="F484" s="469" t="n"/>
      <c r="G484" s="469" t="n"/>
      <c r="H484" s="469" t="n"/>
      <c r="I484" s="469" t="n"/>
      <c r="J484" s="469" t="n"/>
      <c r="K484" s="469" t="n"/>
      <c r="L484" s="469" t="n"/>
      <c r="M484" s="469" t="n"/>
      <c r="N484" s="469" t="n"/>
      <c r="O484" s="469" t="n"/>
      <c r="P484" s="471" t="n"/>
      <c r="Q484" s="469" t="n"/>
      <c r="R484" s="469" t="n"/>
      <c r="S484" s="469" t="n"/>
      <c r="T484" s="469" t="n"/>
      <c r="U484" s="469" t="n"/>
      <c r="V484" s="469" t="n"/>
      <c r="W484" s="469" t="n"/>
      <c r="X484" s="469" t="n"/>
      <c r="Y484" s="469" t="n"/>
      <c r="Z484" s="469" t="n"/>
      <c r="AA484" s="469" t="n"/>
    </row>
    <row r="485">
      <c r="A485" s="468" t="n"/>
      <c r="B485" s="469" t="n"/>
      <c r="C485" s="469" t="n"/>
      <c r="D485" s="469" t="n"/>
      <c r="E485" s="469" t="n"/>
      <c r="F485" s="469" t="n"/>
      <c r="G485" s="469" t="n"/>
      <c r="H485" s="469" t="n"/>
      <c r="I485" s="469" t="n"/>
      <c r="J485" s="469" t="n"/>
      <c r="K485" s="469" t="n"/>
      <c r="L485" s="469" t="n"/>
      <c r="M485" s="469" t="n"/>
      <c r="N485" s="469" t="n"/>
      <c r="O485" s="469" t="n"/>
      <c r="P485" s="471" t="n"/>
      <c r="Q485" s="469" t="n"/>
      <c r="R485" s="469" t="n"/>
      <c r="S485" s="469" t="n"/>
      <c r="T485" s="469" t="n"/>
      <c r="U485" s="469" t="n"/>
      <c r="V485" s="469" t="n"/>
      <c r="W485" s="469" t="n"/>
      <c r="X485" s="469" t="n"/>
      <c r="Y485" s="469" t="n"/>
      <c r="Z485" s="469" t="n"/>
      <c r="AA485" s="469" t="n"/>
    </row>
    <row r="486">
      <c r="A486" s="468" t="n"/>
      <c r="B486" s="469" t="n"/>
      <c r="C486" s="469" t="n"/>
      <c r="D486" s="469" t="n"/>
      <c r="E486" s="469" t="n"/>
      <c r="F486" s="469" t="n"/>
      <c r="G486" s="469" t="n"/>
      <c r="H486" s="469" t="n"/>
      <c r="I486" s="469" t="n"/>
      <c r="J486" s="469" t="n"/>
      <c r="K486" s="469" t="n"/>
      <c r="L486" s="469" t="n"/>
      <c r="M486" s="469" t="n"/>
      <c r="N486" s="469" t="n"/>
      <c r="O486" s="469" t="n"/>
      <c r="P486" s="471" t="n"/>
      <c r="Q486" s="469" t="n"/>
      <c r="R486" s="469" t="n"/>
      <c r="S486" s="469" t="n"/>
      <c r="T486" s="469" t="n"/>
      <c r="U486" s="469" t="n"/>
      <c r="V486" s="469" t="n"/>
      <c r="W486" s="469" t="n"/>
      <c r="X486" s="469" t="n"/>
      <c r="Y486" s="469" t="n"/>
      <c r="Z486" s="469" t="n"/>
      <c r="AA486" s="469" t="n"/>
    </row>
    <row r="487">
      <c r="A487" s="468" t="n"/>
      <c r="B487" s="469" t="n"/>
      <c r="C487" s="469" t="n"/>
      <c r="D487" s="469" t="n"/>
      <c r="E487" s="469" t="n"/>
      <c r="F487" s="469" t="n"/>
      <c r="G487" s="469" t="n"/>
      <c r="H487" s="469" t="n"/>
      <c r="I487" s="469" t="n"/>
      <c r="J487" s="469" t="n"/>
      <c r="K487" s="469" t="n"/>
      <c r="L487" s="469" t="n"/>
      <c r="M487" s="469" t="n"/>
      <c r="N487" s="469" t="n"/>
      <c r="O487" s="469" t="n"/>
      <c r="P487" s="471" t="n"/>
      <c r="Q487" s="469" t="n"/>
      <c r="R487" s="469" t="n"/>
      <c r="S487" s="469" t="n"/>
      <c r="T487" s="469" t="n"/>
      <c r="U487" s="469" t="n"/>
      <c r="V487" s="469" t="n"/>
      <c r="W487" s="469" t="n"/>
      <c r="X487" s="469" t="n"/>
      <c r="Y487" s="469" t="n"/>
      <c r="Z487" s="469" t="n"/>
      <c r="AA487" s="469" t="n"/>
    </row>
    <row r="488">
      <c r="A488" s="468" t="n"/>
      <c r="B488" s="469" t="n"/>
      <c r="C488" s="469" t="n"/>
      <c r="D488" s="469" t="n"/>
      <c r="E488" s="469" t="n"/>
      <c r="F488" s="469" t="n"/>
      <c r="G488" s="469" t="n"/>
      <c r="H488" s="469" t="n"/>
      <c r="I488" s="469" t="n"/>
      <c r="J488" s="469" t="n"/>
      <c r="K488" s="469" t="n"/>
      <c r="L488" s="469" t="n"/>
      <c r="M488" s="469" t="n"/>
      <c r="N488" s="469" t="n"/>
      <c r="O488" s="469" t="n"/>
      <c r="P488" s="471" t="n"/>
      <c r="Q488" s="469" t="n"/>
      <c r="R488" s="469" t="n"/>
      <c r="S488" s="469" t="n"/>
      <c r="T488" s="469" t="n"/>
      <c r="U488" s="469" t="n"/>
      <c r="V488" s="469" t="n"/>
      <c r="W488" s="469" t="n"/>
      <c r="X488" s="469" t="n"/>
      <c r="Y488" s="469" t="n"/>
      <c r="Z488" s="469" t="n"/>
      <c r="AA488" s="469" t="n"/>
    </row>
    <row r="489">
      <c r="A489" s="468" t="n"/>
      <c r="B489" s="469" t="n"/>
      <c r="C489" s="469" t="n"/>
      <c r="D489" s="469" t="n"/>
      <c r="E489" s="469" t="n"/>
      <c r="F489" s="469" t="n"/>
      <c r="G489" s="469" t="n"/>
      <c r="H489" s="469" t="n"/>
      <c r="I489" s="469" t="n"/>
      <c r="J489" s="469" t="n"/>
      <c r="K489" s="469" t="n"/>
      <c r="L489" s="469" t="n"/>
      <c r="M489" s="469" t="n"/>
      <c r="N489" s="469" t="n"/>
      <c r="O489" s="469" t="n"/>
      <c r="P489" s="471" t="n"/>
      <c r="Q489" s="469" t="n"/>
      <c r="R489" s="469" t="n"/>
      <c r="S489" s="469" t="n"/>
      <c r="T489" s="469" t="n"/>
      <c r="U489" s="469" t="n"/>
      <c r="V489" s="469" t="n"/>
      <c r="W489" s="469" t="n"/>
      <c r="X489" s="469" t="n"/>
      <c r="Y489" s="469" t="n"/>
      <c r="Z489" s="469" t="n"/>
      <c r="AA489" s="469" t="n"/>
    </row>
    <row r="490">
      <c r="A490" s="468" t="n"/>
      <c r="B490" s="469" t="n"/>
      <c r="C490" s="469" t="n"/>
      <c r="D490" s="469" t="n"/>
      <c r="E490" s="469" t="n"/>
      <c r="F490" s="469" t="n"/>
      <c r="G490" s="469" t="n"/>
      <c r="H490" s="469" t="n"/>
      <c r="I490" s="469" t="n"/>
      <c r="J490" s="469" t="n"/>
      <c r="K490" s="469" t="n"/>
      <c r="L490" s="469" t="n"/>
      <c r="M490" s="469" t="n"/>
      <c r="N490" s="469" t="n"/>
      <c r="O490" s="469" t="n"/>
      <c r="P490" s="471" t="n"/>
      <c r="Q490" s="469" t="n"/>
      <c r="R490" s="469" t="n"/>
      <c r="S490" s="469" t="n"/>
      <c r="T490" s="469" t="n"/>
      <c r="U490" s="469" t="n"/>
      <c r="V490" s="469" t="n"/>
      <c r="W490" s="469" t="n"/>
      <c r="X490" s="469" t="n"/>
      <c r="Y490" s="469" t="n"/>
      <c r="Z490" s="469" t="n"/>
      <c r="AA490" s="469" t="n"/>
    </row>
    <row r="491">
      <c r="A491" s="468" t="n"/>
      <c r="B491" s="469" t="n"/>
      <c r="C491" s="469" t="n"/>
      <c r="D491" s="469" t="n"/>
      <c r="E491" s="469" t="n"/>
      <c r="F491" s="469" t="n"/>
      <c r="G491" s="469" t="n"/>
      <c r="H491" s="469" t="n"/>
      <c r="I491" s="469" t="n"/>
      <c r="J491" s="469" t="n"/>
      <c r="K491" s="469" t="n"/>
      <c r="L491" s="469" t="n"/>
      <c r="M491" s="469" t="n"/>
      <c r="N491" s="469" t="n"/>
      <c r="O491" s="469" t="n"/>
      <c r="P491" s="471" t="n"/>
      <c r="Q491" s="469" t="n"/>
      <c r="R491" s="469" t="n"/>
      <c r="S491" s="469" t="n"/>
      <c r="T491" s="469" t="n"/>
      <c r="U491" s="469" t="n"/>
      <c r="V491" s="469" t="n"/>
      <c r="W491" s="469" t="n"/>
      <c r="X491" s="469" t="n"/>
      <c r="Y491" s="469" t="n"/>
      <c r="Z491" s="469" t="n"/>
      <c r="AA491" s="469" t="n"/>
    </row>
    <row r="492">
      <c r="A492" s="468" t="n"/>
      <c r="B492" s="469" t="n"/>
      <c r="C492" s="469" t="n"/>
      <c r="D492" s="469" t="n"/>
      <c r="E492" s="469" t="n"/>
      <c r="F492" s="469" t="n"/>
      <c r="G492" s="469" t="n"/>
      <c r="H492" s="469" t="n"/>
      <c r="I492" s="469" t="n"/>
      <c r="J492" s="469" t="n"/>
      <c r="K492" s="469" t="n"/>
      <c r="L492" s="469" t="n"/>
      <c r="M492" s="469" t="n"/>
      <c r="N492" s="469" t="n"/>
      <c r="O492" s="469" t="n"/>
      <c r="P492" s="471" t="n"/>
      <c r="Q492" s="469" t="n"/>
      <c r="R492" s="469" t="n"/>
      <c r="S492" s="469" t="n"/>
      <c r="T492" s="469" t="n"/>
      <c r="U492" s="469" t="n"/>
      <c r="V492" s="469" t="n"/>
      <c r="W492" s="469" t="n"/>
      <c r="X492" s="469" t="n"/>
      <c r="Y492" s="469" t="n"/>
      <c r="Z492" s="469" t="n"/>
      <c r="AA492" s="469" t="n"/>
    </row>
    <row r="493">
      <c r="A493" s="468" t="n"/>
      <c r="B493" s="469" t="n"/>
      <c r="C493" s="469" t="n"/>
      <c r="D493" s="469" t="n"/>
      <c r="E493" s="469" t="n"/>
      <c r="F493" s="469" t="n"/>
      <c r="G493" s="469" t="n"/>
      <c r="H493" s="469" t="n"/>
      <c r="I493" s="469" t="n"/>
      <c r="J493" s="469" t="n"/>
      <c r="K493" s="469" t="n"/>
      <c r="L493" s="469" t="n"/>
      <c r="M493" s="469" t="n"/>
      <c r="N493" s="469" t="n"/>
      <c r="O493" s="469" t="n"/>
      <c r="P493" s="471" t="n"/>
      <c r="Q493" s="469" t="n"/>
      <c r="R493" s="469" t="n"/>
      <c r="S493" s="469" t="n"/>
      <c r="T493" s="469" t="n"/>
      <c r="U493" s="469" t="n"/>
      <c r="V493" s="469" t="n"/>
      <c r="W493" s="469" t="n"/>
      <c r="X493" s="469" t="n"/>
      <c r="Y493" s="469" t="n"/>
      <c r="Z493" s="469" t="n"/>
      <c r="AA493" s="469" t="n"/>
    </row>
    <row r="494">
      <c r="A494" s="468" t="n"/>
      <c r="B494" s="469" t="n"/>
      <c r="C494" s="469" t="n"/>
      <c r="D494" s="469" t="n"/>
      <c r="E494" s="469" t="n"/>
      <c r="F494" s="469" t="n"/>
      <c r="G494" s="469" t="n"/>
      <c r="H494" s="469" t="n"/>
      <c r="I494" s="469" t="n"/>
      <c r="J494" s="469" t="n"/>
      <c r="K494" s="469" t="n"/>
      <c r="L494" s="469" t="n"/>
      <c r="M494" s="469" t="n"/>
      <c r="N494" s="469" t="n"/>
      <c r="O494" s="469" t="n"/>
      <c r="P494" s="471" t="n"/>
      <c r="Q494" s="469" t="n"/>
      <c r="R494" s="469" t="n"/>
      <c r="S494" s="469" t="n"/>
      <c r="T494" s="469" t="n"/>
      <c r="U494" s="469" t="n"/>
      <c r="V494" s="469" t="n"/>
      <c r="W494" s="469" t="n"/>
      <c r="X494" s="469" t="n"/>
      <c r="Y494" s="469" t="n"/>
      <c r="Z494" s="469" t="n"/>
      <c r="AA494" s="469" t="n"/>
    </row>
    <row r="495">
      <c r="A495" s="468" t="n"/>
      <c r="B495" s="469" t="n"/>
      <c r="C495" s="469" t="n"/>
      <c r="D495" s="469" t="n"/>
      <c r="E495" s="469" t="n"/>
      <c r="F495" s="469" t="n"/>
      <c r="G495" s="469" t="n"/>
      <c r="H495" s="469" t="n"/>
      <c r="I495" s="469" t="n"/>
      <c r="J495" s="469" t="n"/>
      <c r="K495" s="469" t="n"/>
      <c r="L495" s="469" t="n"/>
      <c r="M495" s="469" t="n"/>
      <c r="N495" s="469" t="n"/>
      <c r="O495" s="469" t="n"/>
      <c r="P495" s="471" t="n"/>
      <c r="Q495" s="469" t="n"/>
      <c r="R495" s="469" t="n"/>
      <c r="S495" s="469" t="n"/>
      <c r="T495" s="469" t="n"/>
      <c r="U495" s="469" t="n"/>
      <c r="V495" s="469" t="n"/>
      <c r="W495" s="469" t="n"/>
      <c r="X495" s="469" t="n"/>
      <c r="Y495" s="469" t="n"/>
      <c r="Z495" s="469" t="n"/>
      <c r="AA495" s="469" t="n"/>
    </row>
    <row r="496">
      <c r="A496" s="468" t="n"/>
      <c r="B496" s="469" t="n"/>
      <c r="C496" s="469" t="n"/>
      <c r="D496" s="469" t="n"/>
      <c r="E496" s="469" t="n"/>
      <c r="F496" s="469" t="n"/>
      <c r="G496" s="469" t="n"/>
      <c r="H496" s="469" t="n"/>
      <c r="I496" s="469" t="n"/>
      <c r="J496" s="469" t="n"/>
      <c r="K496" s="469" t="n"/>
      <c r="L496" s="469" t="n"/>
      <c r="M496" s="469" t="n"/>
      <c r="N496" s="469" t="n"/>
      <c r="O496" s="469" t="n"/>
      <c r="P496" s="471" t="n"/>
      <c r="Q496" s="469" t="n"/>
      <c r="R496" s="469" t="n"/>
      <c r="S496" s="469" t="n"/>
      <c r="T496" s="469" t="n"/>
      <c r="U496" s="469" t="n"/>
      <c r="V496" s="469" t="n"/>
      <c r="W496" s="469" t="n"/>
      <c r="X496" s="469" t="n"/>
      <c r="Y496" s="469" t="n"/>
      <c r="Z496" s="469" t="n"/>
      <c r="AA496" s="469" t="n"/>
    </row>
    <row r="497">
      <c r="A497" s="468" t="n"/>
      <c r="B497" s="469" t="n"/>
      <c r="C497" s="469" t="n"/>
      <c r="D497" s="469" t="n"/>
      <c r="E497" s="469" t="n"/>
      <c r="F497" s="469" t="n"/>
      <c r="G497" s="469" t="n"/>
      <c r="H497" s="469" t="n"/>
      <c r="I497" s="469" t="n"/>
      <c r="J497" s="469" t="n"/>
      <c r="K497" s="469" t="n"/>
      <c r="L497" s="469" t="n"/>
      <c r="M497" s="469" t="n"/>
      <c r="N497" s="469" t="n"/>
      <c r="O497" s="469" t="n"/>
      <c r="P497" s="471" t="n"/>
      <c r="Q497" s="469" t="n"/>
      <c r="R497" s="469" t="n"/>
      <c r="S497" s="469" t="n"/>
      <c r="T497" s="469" t="n"/>
      <c r="U497" s="469" t="n"/>
      <c r="V497" s="469" t="n"/>
      <c r="W497" s="469" t="n"/>
      <c r="X497" s="469" t="n"/>
      <c r="Y497" s="469" t="n"/>
      <c r="Z497" s="469" t="n"/>
      <c r="AA497" s="469" t="n"/>
    </row>
    <row r="498">
      <c r="A498" s="468" t="n"/>
      <c r="B498" s="469" t="n"/>
      <c r="C498" s="469" t="n"/>
      <c r="D498" s="469" t="n"/>
      <c r="E498" s="469" t="n"/>
      <c r="F498" s="469" t="n"/>
      <c r="G498" s="469" t="n"/>
      <c r="H498" s="469" t="n"/>
      <c r="I498" s="469" t="n"/>
      <c r="J498" s="469" t="n"/>
      <c r="K498" s="469" t="n"/>
      <c r="L498" s="469" t="n"/>
      <c r="M498" s="469" t="n"/>
      <c r="N498" s="469" t="n"/>
      <c r="O498" s="469" t="n"/>
      <c r="P498" s="471" t="n"/>
      <c r="Q498" s="469" t="n"/>
      <c r="R498" s="469" t="n"/>
      <c r="S498" s="469" t="n"/>
      <c r="T498" s="469" t="n"/>
      <c r="U498" s="469" t="n"/>
      <c r="V498" s="469" t="n"/>
      <c r="W498" s="469" t="n"/>
      <c r="X498" s="469" t="n"/>
      <c r="Y498" s="469" t="n"/>
      <c r="Z498" s="469" t="n"/>
      <c r="AA498" s="469" t="n"/>
    </row>
    <row r="499">
      <c r="A499" s="468" t="n"/>
      <c r="B499" s="469" t="n"/>
      <c r="C499" s="469" t="n"/>
      <c r="D499" s="469" t="n"/>
      <c r="E499" s="469" t="n"/>
      <c r="F499" s="469" t="n"/>
      <c r="G499" s="469" t="n"/>
      <c r="H499" s="469" t="n"/>
      <c r="I499" s="469" t="n"/>
      <c r="J499" s="469" t="n"/>
      <c r="K499" s="469" t="n"/>
      <c r="L499" s="469" t="n"/>
      <c r="M499" s="469" t="n"/>
      <c r="N499" s="469" t="n"/>
      <c r="O499" s="469" t="n"/>
      <c r="P499" s="471" t="n"/>
      <c r="Q499" s="469" t="n"/>
      <c r="R499" s="469" t="n"/>
      <c r="S499" s="469" t="n"/>
      <c r="T499" s="469" t="n"/>
      <c r="U499" s="469" t="n"/>
      <c r="V499" s="469" t="n"/>
      <c r="W499" s="469" t="n"/>
      <c r="X499" s="469" t="n"/>
      <c r="Y499" s="469" t="n"/>
      <c r="Z499" s="469" t="n"/>
      <c r="AA499" s="469" t="n"/>
    </row>
    <row r="500">
      <c r="A500" s="468" t="n"/>
      <c r="B500" s="469" t="n"/>
      <c r="C500" s="469" t="n"/>
      <c r="D500" s="469" t="n"/>
      <c r="E500" s="469" t="n"/>
      <c r="F500" s="469" t="n"/>
      <c r="G500" s="469" t="n"/>
      <c r="H500" s="469" t="n"/>
      <c r="I500" s="469" t="n"/>
      <c r="J500" s="469" t="n"/>
      <c r="K500" s="469" t="n"/>
      <c r="L500" s="469" t="n"/>
      <c r="M500" s="469" t="n"/>
      <c r="N500" s="469" t="n"/>
      <c r="O500" s="469" t="n"/>
      <c r="P500" s="471" t="n"/>
      <c r="Q500" s="469" t="n"/>
      <c r="R500" s="469" t="n"/>
      <c r="S500" s="469" t="n"/>
      <c r="T500" s="469" t="n"/>
      <c r="U500" s="469" t="n"/>
      <c r="V500" s="469" t="n"/>
      <c r="W500" s="469" t="n"/>
      <c r="X500" s="469" t="n"/>
      <c r="Y500" s="469" t="n"/>
      <c r="Z500" s="469" t="n"/>
      <c r="AA500" s="469" t="n"/>
    </row>
    <row r="501">
      <c r="A501" s="468" t="n"/>
      <c r="B501" s="469" t="n"/>
      <c r="C501" s="469" t="n"/>
      <c r="D501" s="469" t="n"/>
      <c r="E501" s="469" t="n"/>
      <c r="F501" s="469" t="n"/>
      <c r="G501" s="469" t="n"/>
      <c r="H501" s="469" t="n"/>
      <c r="I501" s="469" t="n"/>
      <c r="J501" s="469" t="n"/>
      <c r="K501" s="469" t="n"/>
      <c r="L501" s="469" t="n"/>
      <c r="M501" s="469" t="n"/>
      <c r="N501" s="469" t="n"/>
      <c r="O501" s="469" t="n"/>
      <c r="P501" s="471" t="n"/>
      <c r="Q501" s="469" t="n"/>
      <c r="R501" s="469" t="n"/>
      <c r="S501" s="469" t="n"/>
      <c r="T501" s="469" t="n"/>
      <c r="U501" s="469" t="n"/>
      <c r="V501" s="469" t="n"/>
      <c r="W501" s="469" t="n"/>
      <c r="X501" s="469" t="n"/>
      <c r="Y501" s="469" t="n"/>
      <c r="Z501" s="469" t="n"/>
      <c r="AA501" s="469" t="n"/>
    </row>
    <row r="502">
      <c r="A502" s="468" t="n"/>
      <c r="B502" s="469" t="n"/>
      <c r="C502" s="469" t="n"/>
      <c r="D502" s="469" t="n"/>
      <c r="E502" s="469" t="n"/>
      <c r="F502" s="469" t="n"/>
      <c r="G502" s="469" t="n"/>
      <c r="H502" s="469" t="n"/>
      <c r="I502" s="469" t="n"/>
      <c r="J502" s="469" t="n"/>
      <c r="K502" s="469" t="n"/>
      <c r="L502" s="469" t="n"/>
      <c r="M502" s="469" t="n"/>
      <c r="N502" s="469" t="n"/>
      <c r="O502" s="469" t="n"/>
      <c r="P502" s="471" t="n"/>
      <c r="Q502" s="469" t="n"/>
      <c r="R502" s="469" t="n"/>
      <c r="S502" s="469" t="n"/>
      <c r="T502" s="469" t="n"/>
      <c r="U502" s="469" t="n"/>
      <c r="V502" s="469" t="n"/>
      <c r="W502" s="469" t="n"/>
      <c r="X502" s="469" t="n"/>
      <c r="Y502" s="469" t="n"/>
      <c r="Z502" s="469" t="n"/>
      <c r="AA502" s="469" t="n"/>
    </row>
    <row r="503">
      <c r="A503" s="468" t="n"/>
      <c r="B503" s="469" t="n"/>
      <c r="C503" s="469" t="n"/>
      <c r="D503" s="469" t="n"/>
      <c r="E503" s="469" t="n"/>
      <c r="F503" s="469" t="n"/>
      <c r="G503" s="469" t="n"/>
      <c r="H503" s="469" t="n"/>
      <c r="I503" s="469" t="n"/>
      <c r="J503" s="469" t="n"/>
      <c r="K503" s="469" t="n"/>
      <c r="L503" s="469" t="n"/>
      <c r="M503" s="469" t="n"/>
      <c r="N503" s="469" t="n"/>
      <c r="O503" s="469" t="n"/>
      <c r="P503" s="471" t="n"/>
      <c r="Q503" s="469" t="n"/>
      <c r="R503" s="469" t="n"/>
      <c r="S503" s="469" t="n"/>
      <c r="T503" s="469" t="n"/>
      <c r="U503" s="469" t="n"/>
      <c r="V503" s="469" t="n"/>
      <c r="W503" s="469" t="n"/>
      <c r="X503" s="469" t="n"/>
      <c r="Y503" s="469" t="n"/>
      <c r="Z503" s="469" t="n"/>
      <c r="AA503" s="469" t="n"/>
    </row>
    <row r="504">
      <c r="A504" s="468" t="n"/>
      <c r="B504" s="469" t="n"/>
      <c r="C504" s="469" t="n"/>
      <c r="D504" s="469" t="n"/>
      <c r="E504" s="469" t="n"/>
      <c r="F504" s="469" t="n"/>
      <c r="G504" s="469" t="n"/>
      <c r="H504" s="469" t="n"/>
      <c r="I504" s="469" t="n"/>
      <c r="J504" s="469" t="n"/>
      <c r="K504" s="469" t="n"/>
      <c r="L504" s="469" t="n"/>
      <c r="M504" s="469" t="n"/>
      <c r="N504" s="469" t="n"/>
      <c r="O504" s="469" t="n"/>
      <c r="P504" s="471" t="n"/>
      <c r="Q504" s="469" t="n"/>
      <c r="R504" s="469" t="n"/>
      <c r="S504" s="469" t="n"/>
      <c r="T504" s="469" t="n"/>
      <c r="U504" s="469" t="n"/>
      <c r="V504" s="469" t="n"/>
      <c r="W504" s="469" t="n"/>
      <c r="X504" s="469" t="n"/>
      <c r="Y504" s="469" t="n"/>
      <c r="Z504" s="469" t="n"/>
      <c r="AA504" s="469" t="n"/>
    </row>
    <row r="505">
      <c r="A505" s="468" t="n"/>
      <c r="B505" s="469" t="n"/>
      <c r="C505" s="469" t="n"/>
      <c r="D505" s="469" t="n"/>
      <c r="E505" s="469" t="n"/>
      <c r="F505" s="469" t="n"/>
      <c r="G505" s="469" t="n"/>
      <c r="H505" s="469" t="n"/>
      <c r="I505" s="469" t="n"/>
      <c r="J505" s="469" t="n"/>
      <c r="K505" s="469" t="n"/>
      <c r="L505" s="469" t="n"/>
      <c r="M505" s="469" t="n"/>
      <c r="N505" s="469" t="n"/>
      <c r="O505" s="469" t="n"/>
      <c r="P505" s="471" t="n"/>
      <c r="Q505" s="469" t="n"/>
      <c r="R505" s="469" t="n"/>
      <c r="S505" s="469" t="n"/>
      <c r="T505" s="469" t="n"/>
      <c r="U505" s="469" t="n"/>
      <c r="V505" s="469" t="n"/>
      <c r="W505" s="469" t="n"/>
      <c r="X505" s="469" t="n"/>
      <c r="Y505" s="469" t="n"/>
      <c r="Z505" s="469" t="n"/>
      <c r="AA505" s="469" t="n"/>
    </row>
    <row r="506">
      <c r="A506" s="468" t="n"/>
      <c r="B506" s="469" t="n"/>
      <c r="C506" s="469" t="n"/>
      <c r="D506" s="469" t="n"/>
      <c r="E506" s="469" t="n"/>
      <c r="F506" s="469" t="n"/>
      <c r="G506" s="469" t="n"/>
      <c r="H506" s="469" t="n"/>
      <c r="I506" s="469" t="n"/>
      <c r="J506" s="469" t="n"/>
      <c r="K506" s="469" t="n"/>
      <c r="L506" s="469" t="n"/>
      <c r="M506" s="469" t="n"/>
      <c r="N506" s="469" t="n"/>
      <c r="O506" s="469" t="n"/>
      <c r="P506" s="471" t="n"/>
      <c r="Q506" s="469" t="n"/>
      <c r="R506" s="469" t="n"/>
      <c r="S506" s="469" t="n"/>
      <c r="T506" s="469" t="n"/>
      <c r="U506" s="469" t="n"/>
      <c r="V506" s="469" t="n"/>
      <c r="W506" s="469" t="n"/>
      <c r="X506" s="469" t="n"/>
      <c r="Y506" s="469" t="n"/>
      <c r="Z506" s="469" t="n"/>
      <c r="AA506" s="469" t="n"/>
    </row>
    <row r="507">
      <c r="A507" s="468" t="n"/>
      <c r="B507" s="469" t="n"/>
      <c r="C507" s="469" t="n"/>
      <c r="D507" s="469" t="n"/>
      <c r="E507" s="469" t="n"/>
      <c r="F507" s="469" t="n"/>
      <c r="G507" s="469" t="n"/>
      <c r="H507" s="469" t="n"/>
      <c r="I507" s="469" t="n"/>
      <c r="J507" s="469" t="n"/>
      <c r="K507" s="469" t="n"/>
      <c r="L507" s="469" t="n"/>
      <c r="M507" s="469" t="n"/>
      <c r="N507" s="469" t="n"/>
      <c r="O507" s="469" t="n"/>
      <c r="P507" s="471" t="n"/>
      <c r="Q507" s="469" t="n"/>
      <c r="R507" s="469" t="n"/>
      <c r="S507" s="469" t="n"/>
      <c r="T507" s="469" t="n"/>
      <c r="U507" s="469" t="n"/>
      <c r="V507" s="469" t="n"/>
      <c r="W507" s="469" t="n"/>
      <c r="X507" s="469" t="n"/>
      <c r="Y507" s="469" t="n"/>
      <c r="Z507" s="469" t="n"/>
      <c r="AA507" s="469" t="n"/>
    </row>
    <row r="508">
      <c r="A508" s="468" t="n"/>
      <c r="B508" s="469" t="n"/>
      <c r="C508" s="469" t="n"/>
      <c r="D508" s="469" t="n"/>
      <c r="E508" s="469" t="n"/>
      <c r="F508" s="469" t="n"/>
      <c r="G508" s="469" t="n"/>
      <c r="H508" s="469" t="n"/>
      <c r="I508" s="469" t="n"/>
      <c r="J508" s="469" t="n"/>
      <c r="K508" s="469" t="n"/>
      <c r="L508" s="469" t="n"/>
      <c r="M508" s="469" t="n"/>
      <c r="N508" s="469" t="n"/>
      <c r="O508" s="469" t="n"/>
      <c r="P508" s="471" t="n"/>
      <c r="Q508" s="469" t="n"/>
      <c r="R508" s="469" t="n"/>
      <c r="S508" s="469" t="n"/>
      <c r="T508" s="469" t="n"/>
      <c r="U508" s="469" t="n"/>
      <c r="V508" s="469" t="n"/>
      <c r="W508" s="469" t="n"/>
      <c r="X508" s="469" t="n"/>
      <c r="Y508" s="469" t="n"/>
      <c r="Z508" s="469" t="n"/>
      <c r="AA508" s="469" t="n"/>
    </row>
    <row r="509">
      <c r="A509" s="468" t="n"/>
      <c r="B509" s="469" t="n"/>
      <c r="C509" s="469" t="n"/>
      <c r="D509" s="469" t="n"/>
      <c r="E509" s="469" t="n"/>
      <c r="F509" s="469" t="n"/>
      <c r="G509" s="469" t="n"/>
      <c r="H509" s="469" t="n"/>
      <c r="I509" s="469" t="n"/>
      <c r="J509" s="469" t="n"/>
      <c r="K509" s="469" t="n"/>
      <c r="L509" s="469" t="n"/>
      <c r="M509" s="469" t="n"/>
      <c r="N509" s="469" t="n"/>
      <c r="O509" s="469" t="n"/>
      <c r="P509" s="471" t="n"/>
      <c r="Q509" s="469" t="n"/>
      <c r="R509" s="469" t="n"/>
      <c r="S509" s="469" t="n"/>
      <c r="T509" s="469" t="n"/>
      <c r="U509" s="469" t="n"/>
      <c r="V509" s="469" t="n"/>
      <c r="W509" s="469" t="n"/>
      <c r="X509" s="469" t="n"/>
      <c r="Y509" s="469" t="n"/>
      <c r="Z509" s="469" t="n"/>
      <c r="AA509" s="469" t="n"/>
    </row>
    <row r="510">
      <c r="A510" s="468" t="n"/>
      <c r="B510" s="469" t="n"/>
      <c r="C510" s="469" t="n"/>
      <c r="D510" s="469" t="n"/>
      <c r="E510" s="469" t="n"/>
      <c r="F510" s="469" t="n"/>
      <c r="G510" s="469" t="n"/>
      <c r="H510" s="469" t="n"/>
      <c r="I510" s="469" t="n"/>
      <c r="J510" s="469" t="n"/>
      <c r="K510" s="469" t="n"/>
      <c r="L510" s="469" t="n"/>
      <c r="M510" s="469" t="n"/>
      <c r="N510" s="469" t="n"/>
      <c r="O510" s="469" t="n"/>
      <c r="P510" s="471" t="n"/>
      <c r="Q510" s="469" t="n"/>
      <c r="R510" s="469" t="n"/>
      <c r="S510" s="469" t="n"/>
      <c r="T510" s="469" t="n"/>
      <c r="U510" s="469" t="n"/>
      <c r="V510" s="469" t="n"/>
      <c r="W510" s="469" t="n"/>
      <c r="X510" s="469" t="n"/>
      <c r="Y510" s="469" t="n"/>
      <c r="Z510" s="469" t="n"/>
      <c r="AA510" s="469" t="n"/>
    </row>
    <row r="511">
      <c r="A511" s="468" t="n"/>
      <c r="B511" s="469" t="n"/>
      <c r="C511" s="469" t="n"/>
      <c r="D511" s="469" t="n"/>
      <c r="E511" s="469" t="n"/>
      <c r="F511" s="469" t="n"/>
      <c r="G511" s="469" t="n"/>
      <c r="H511" s="469" t="n"/>
      <c r="I511" s="469" t="n"/>
      <c r="J511" s="469" t="n"/>
      <c r="K511" s="469" t="n"/>
      <c r="L511" s="469" t="n"/>
      <c r="M511" s="469" t="n"/>
      <c r="N511" s="469" t="n"/>
      <c r="O511" s="469" t="n"/>
      <c r="P511" s="471" t="n"/>
      <c r="Q511" s="469" t="n"/>
      <c r="R511" s="469" t="n"/>
      <c r="S511" s="469" t="n"/>
      <c r="T511" s="469" t="n"/>
      <c r="U511" s="469" t="n"/>
      <c r="V511" s="469" t="n"/>
      <c r="W511" s="469" t="n"/>
      <c r="X511" s="469" t="n"/>
      <c r="Y511" s="469" t="n"/>
      <c r="Z511" s="469" t="n"/>
      <c r="AA511" s="469" t="n"/>
    </row>
    <row r="512">
      <c r="A512" s="468" t="n"/>
      <c r="B512" s="469" t="n"/>
      <c r="C512" s="469" t="n"/>
      <c r="D512" s="469" t="n"/>
      <c r="E512" s="469" t="n"/>
      <c r="F512" s="469" t="n"/>
      <c r="G512" s="469" t="n"/>
      <c r="H512" s="469" t="n"/>
      <c r="I512" s="469" t="n"/>
      <c r="J512" s="469" t="n"/>
      <c r="K512" s="469" t="n"/>
      <c r="L512" s="469" t="n"/>
      <c r="M512" s="469" t="n"/>
      <c r="N512" s="469" t="n"/>
      <c r="O512" s="469" t="n"/>
      <c r="P512" s="471" t="n"/>
      <c r="Q512" s="469" t="n"/>
      <c r="R512" s="469" t="n"/>
      <c r="S512" s="469" t="n"/>
      <c r="T512" s="469" t="n"/>
      <c r="U512" s="469" t="n"/>
      <c r="V512" s="469" t="n"/>
      <c r="W512" s="469" t="n"/>
      <c r="X512" s="469" t="n"/>
      <c r="Y512" s="469" t="n"/>
      <c r="Z512" s="469" t="n"/>
      <c r="AA512" s="469" t="n"/>
    </row>
    <row r="513">
      <c r="A513" s="468" t="n"/>
      <c r="B513" s="469" t="n"/>
      <c r="C513" s="469" t="n"/>
      <c r="D513" s="469" t="n"/>
      <c r="E513" s="469" t="n"/>
      <c r="F513" s="469" t="n"/>
      <c r="G513" s="469" t="n"/>
      <c r="H513" s="469" t="n"/>
      <c r="I513" s="469" t="n"/>
      <c r="J513" s="469" t="n"/>
      <c r="K513" s="469" t="n"/>
      <c r="L513" s="469" t="n"/>
      <c r="M513" s="469" t="n"/>
      <c r="N513" s="469" t="n"/>
      <c r="O513" s="469" t="n"/>
      <c r="P513" s="471" t="n"/>
      <c r="Q513" s="469" t="n"/>
      <c r="R513" s="469" t="n"/>
      <c r="S513" s="469" t="n"/>
      <c r="T513" s="469" t="n"/>
      <c r="U513" s="469" t="n"/>
      <c r="V513" s="469" t="n"/>
      <c r="W513" s="469" t="n"/>
      <c r="X513" s="469" t="n"/>
      <c r="Y513" s="469" t="n"/>
      <c r="Z513" s="469" t="n"/>
      <c r="AA513" s="469" t="n"/>
    </row>
    <row r="514">
      <c r="A514" s="468" t="n"/>
      <c r="B514" s="469" t="n"/>
      <c r="C514" s="469" t="n"/>
      <c r="D514" s="469" t="n"/>
      <c r="E514" s="469" t="n"/>
      <c r="F514" s="469" t="n"/>
      <c r="G514" s="469" t="n"/>
      <c r="H514" s="469" t="n"/>
      <c r="I514" s="469" t="n"/>
      <c r="J514" s="469" t="n"/>
      <c r="K514" s="469" t="n"/>
      <c r="L514" s="469" t="n"/>
      <c r="M514" s="469" t="n"/>
      <c r="N514" s="469" t="n"/>
      <c r="O514" s="469" t="n"/>
      <c r="P514" s="471" t="n"/>
      <c r="Q514" s="469" t="n"/>
      <c r="R514" s="469" t="n"/>
      <c r="S514" s="469" t="n"/>
      <c r="T514" s="469" t="n"/>
      <c r="U514" s="469" t="n"/>
      <c r="V514" s="469" t="n"/>
      <c r="W514" s="469" t="n"/>
      <c r="X514" s="469" t="n"/>
      <c r="Y514" s="469" t="n"/>
      <c r="Z514" s="469" t="n"/>
      <c r="AA514" s="469" t="n"/>
    </row>
    <row r="515">
      <c r="A515" s="468" t="n"/>
      <c r="B515" s="469" t="n"/>
      <c r="C515" s="469" t="n"/>
      <c r="D515" s="469" t="n"/>
      <c r="E515" s="469" t="n"/>
      <c r="F515" s="469" t="n"/>
      <c r="G515" s="469" t="n"/>
      <c r="H515" s="469" t="n"/>
      <c r="I515" s="469" t="n"/>
      <c r="J515" s="469" t="n"/>
      <c r="K515" s="469" t="n"/>
      <c r="L515" s="469" t="n"/>
      <c r="M515" s="469" t="n"/>
      <c r="N515" s="469" t="n"/>
      <c r="O515" s="469" t="n"/>
      <c r="P515" s="471" t="n"/>
      <c r="Q515" s="469" t="n"/>
      <c r="R515" s="469" t="n"/>
      <c r="S515" s="469" t="n"/>
      <c r="T515" s="469" t="n"/>
      <c r="U515" s="469" t="n"/>
      <c r="V515" s="469" t="n"/>
      <c r="W515" s="469" t="n"/>
      <c r="X515" s="469" t="n"/>
      <c r="Y515" s="469" t="n"/>
      <c r="Z515" s="469" t="n"/>
      <c r="AA515" s="469" t="n"/>
    </row>
    <row r="516">
      <c r="A516" s="468" t="n"/>
      <c r="B516" s="469" t="n"/>
      <c r="C516" s="469" t="n"/>
      <c r="D516" s="469" t="n"/>
      <c r="E516" s="469" t="n"/>
      <c r="F516" s="469" t="n"/>
      <c r="G516" s="469" t="n"/>
      <c r="H516" s="469" t="n"/>
      <c r="I516" s="469" t="n"/>
      <c r="J516" s="469" t="n"/>
      <c r="K516" s="469" t="n"/>
      <c r="L516" s="469" t="n"/>
      <c r="M516" s="469" t="n"/>
      <c r="N516" s="469" t="n"/>
      <c r="O516" s="469" t="n"/>
      <c r="P516" s="471" t="n"/>
      <c r="Q516" s="469" t="n"/>
      <c r="R516" s="469" t="n"/>
      <c r="S516" s="469" t="n"/>
      <c r="T516" s="469" t="n"/>
      <c r="U516" s="469" t="n"/>
      <c r="V516" s="469" t="n"/>
      <c r="W516" s="469" t="n"/>
      <c r="X516" s="469" t="n"/>
      <c r="Y516" s="469" t="n"/>
      <c r="Z516" s="469" t="n"/>
      <c r="AA516" s="469" t="n"/>
    </row>
    <row r="517">
      <c r="A517" s="468" t="n"/>
      <c r="B517" s="469" t="n"/>
      <c r="C517" s="469" t="n"/>
      <c r="D517" s="469" t="n"/>
      <c r="E517" s="469" t="n"/>
      <c r="F517" s="469" t="n"/>
      <c r="G517" s="469" t="n"/>
      <c r="H517" s="469" t="n"/>
      <c r="I517" s="469" t="n"/>
      <c r="J517" s="469" t="n"/>
      <c r="K517" s="469" t="n"/>
      <c r="L517" s="469" t="n"/>
      <c r="M517" s="469" t="n"/>
      <c r="N517" s="469" t="n"/>
      <c r="O517" s="469" t="n"/>
      <c r="P517" s="471" t="n"/>
      <c r="Q517" s="469" t="n"/>
      <c r="R517" s="469" t="n"/>
      <c r="S517" s="469" t="n"/>
      <c r="T517" s="469" t="n"/>
      <c r="U517" s="469" t="n"/>
      <c r="V517" s="469" t="n"/>
      <c r="W517" s="469" t="n"/>
      <c r="X517" s="469" t="n"/>
      <c r="Y517" s="469" t="n"/>
      <c r="Z517" s="469" t="n"/>
      <c r="AA517" s="469" t="n"/>
    </row>
    <row r="518">
      <c r="A518" s="468" t="n"/>
      <c r="B518" s="469" t="n"/>
      <c r="C518" s="469" t="n"/>
      <c r="D518" s="469" t="n"/>
      <c r="E518" s="469" t="n"/>
      <c r="F518" s="469" t="n"/>
      <c r="G518" s="469" t="n"/>
      <c r="H518" s="469" t="n"/>
      <c r="I518" s="469" t="n"/>
      <c r="J518" s="469" t="n"/>
      <c r="K518" s="469" t="n"/>
      <c r="L518" s="469" t="n"/>
      <c r="M518" s="469" t="n"/>
      <c r="N518" s="469" t="n"/>
      <c r="O518" s="469" t="n"/>
      <c r="P518" s="471" t="n"/>
      <c r="Q518" s="469" t="n"/>
      <c r="R518" s="469" t="n"/>
      <c r="S518" s="469" t="n"/>
      <c r="T518" s="469" t="n"/>
      <c r="U518" s="469" t="n"/>
      <c r="V518" s="469" t="n"/>
      <c r="W518" s="469" t="n"/>
      <c r="X518" s="469" t="n"/>
      <c r="Y518" s="469" t="n"/>
      <c r="Z518" s="469" t="n"/>
      <c r="AA518" s="469" t="n"/>
    </row>
    <row r="519">
      <c r="A519" s="468" t="n"/>
      <c r="B519" s="469" t="n"/>
      <c r="C519" s="469" t="n"/>
      <c r="D519" s="469" t="n"/>
      <c r="E519" s="469" t="n"/>
      <c r="F519" s="469" t="n"/>
      <c r="G519" s="469" t="n"/>
      <c r="H519" s="469" t="n"/>
      <c r="I519" s="469" t="n"/>
      <c r="J519" s="469" t="n"/>
      <c r="K519" s="469" t="n"/>
      <c r="L519" s="469" t="n"/>
      <c r="M519" s="469" t="n"/>
      <c r="N519" s="469" t="n"/>
      <c r="O519" s="469" t="n"/>
      <c r="P519" s="471" t="n"/>
      <c r="Q519" s="469" t="n"/>
      <c r="R519" s="469" t="n"/>
      <c r="S519" s="469" t="n"/>
      <c r="T519" s="469" t="n"/>
      <c r="U519" s="469" t="n"/>
      <c r="V519" s="469" t="n"/>
      <c r="W519" s="469" t="n"/>
      <c r="X519" s="469" t="n"/>
      <c r="Y519" s="469" t="n"/>
      <c r="Z519" s="469" t="n"/>
      <c r="AA519" s="469" t="n"/>
    </row>
    <row r="520">
      <c r="A520" s="468" t="n"/>
      <c r="B520" s="469" t="n"/>
      <c r="C520" s="469" t="n"/>
      <c r="D520" s="469" t="n"/>
      <c r="E520" s="469" t="n"/>
      <c r="F520" s="469" t="n"/>
      <c r="G520" s="469" t="n"/>
      <c r="H520" s="469" t="n"/>
      <c r="I520" s="469" t="n"/>
      <c r="J520" s="469" t="n"/>
      <c r="K520" s="469" t="n"/>
      <c r="L520" s="469" t="n"/>
      <c r="M520" s="469" t="n"/>
      <c r="N520" s="469" t="n"/>
      <c r="O520" s="469" t="n"/>
      <c r="P520" s="471" t="n"/>
      <c r="Q520" s="469" t="n"/>
      <c r="R520" s="469" t="n"/>
      <c r="S520" s="469" t="n"/>
      <c r="T520" s="469" t="n"/>
      <c r="U520" s="469" t="n"/>
      <c r="V520" s="469" t="n"/>
      <c r="W520" s="469" t="n"/>
      <c r="X520" s="469" t="n"/>
      <c r="Y520" s="469" t="n"/>
      <c r="Z520" s="469" t="n"/>
      <c r="AA520" s="469" t="n"/>
    </row>
    <row r="521">
      <c r="A521" s="468" t="n"/>
      <c r="B521" s="469" t="n"/>
      <c r="C521" s="469" t="n"/>
      <c r="D521" s="469" t="n"/>
      <c r="E521" s="469" t="n"/>
      <c r="F521" s="469" t="n"/>
      <c r="G521" s="469" t="n"/>
      <c r="H521" s="469" t="n"/>
      <c r="I521" s="469" t="n"/>
      <c r="J521" s="469" t="n"/>
      <c r="K521" s="469" t="n"/>
      <c r="L521" s="469" t="n"/>
      <c r="M521" s="469" t="n"/>
      <c r="N521" s="469" t="n"/>
      <c r="O521" s="469" t="n"/>
      <c r="P521" s="471" t="n"/>
      <c r="Q521" s="469" t="n"/>
      <c r="R521" s="469" t="n"/>
      <c r="S521" s="469" t="n"/>
      <c r="T521" s="469" t="n"/>
      <c r="U521" s="469" t="n"/>
      <c r="V521" s="469" t="n"/>
      <c r="W521" s="469" t="n"/>
      <c r="X521" s="469" t="n"/>
      <c r="Y521" s="469" t="n"/>
      <c r="Z521" s="469" t="n"/>
      <c r="AA521" s="469" t="n"/>
    </row>
    <row r="522">
      <c r="A522" s="468" t="n"/>
      <c r="B522" s="469" t="n"/>
      <c r="C522" s="469" t="n"/>
      <c r="D522" s="469" t="n"/>
      <c r="E522" s="469" t="n"/>
      <c r="F522" s="469" t="n"/>
      <c r="G522" s="469" t="n"/>
      <c r="H522" s="469" t="n"/>
      <c r="I522" s="469" t="n"/>
      <c r="J522" s="469" t="n"/>
      <c r="K522" s="469" t="n"/>
      <c r="L522" s="469" t="n"/>
      <c r="M522" s="469" t="n"/>
      <c r="N522" s="469" t="n"/>
      <c r="O522" s="469" t="n"/>
      <c r="P522" s="471" t="n"/>
      <c r="Q522" s="469" t="n"/>
      <c r="R522" s="469" t="n"/>
      <c r="S522" s="469" t="n"/>
      <c r="T522" s="469" t="n"/>
      <c r="U522" s="469" t="n"/>
      <c r="V522" s="469" t="n"/>
      <c r="W522" s="469" t="n"/>
      <c r="X522" s="469" t="n"/>
      <c r="Y522" s="469" t="n"/>
      <c r="Z522" s="469" t="n"/>
      <c r="AA522" s="469" t="n"/>
    </row>
    <row r="523">
      <c r="A523" s="468" t="n"/>
      <c r="B523" s="469" t="n"/>
      <c r="C523" s="469" t="n"/>
      <c r="D523" s="469" t="n"/>
      <c r="E523" s="469" t="n"/>
      <c r="F523" s="469" t="n"/>
      <c r="G523" s="469" t="n"/>
      <c r="H523" s="469" t="n"/>
      <c r="I523" s="469" t="n"/>
      <c r="J523" s="469" t="n"/>
      <c r="K523" s="469" t="n"/>
      <c r="L523" s="469" t="n"/>
      <c r="M523" s="469" t="n"/>
      <c r="N523" s="469" t="n"/>
      <c r="O523" s="469" t="n"/>
      <c r="P523" s="471" t="n"/>
      <c r="Q523" s="469" t="n"/>
      <c r="R523" s="469" t="n"/>
      <c r="S523" s="469" t="n"/>
      <c r="T523" s="469" t="n"/>
      <c r="U523" s="469" t="n"/>
      <c r="V523" s="469" t="n"/>
      <c r="W523" s="469" t="n"/>
      <c r="X523" s="469" t="n"/>
      <c r="Y523" s="469" t="n"/>
      <c r="Z523" s="469" t="n"/>
      <c r="AA523" s="469" t="n"/>
    </row>
    <row r="524">
      <c r="A524" s="468" t="n"/>
      <c r="B524" s="469" t="n"/>
      <c r="C524" s="469" t="n"/>
      <c r="D524" s="469" t="n"/>
      <c r="E524" s="469" t="n"/>
      <c r="F524" s="469" t="n"/>
      <c r="G524" s="469" t="n"/>
      <c r="H524" s="469" t="n"/>
      <c r="I524" s="469" t="n"/>
      <c r="J524" s="469" t="n"/>
      <c r="K524" s="469" t="n"/>
      <c r="L524" s="469" t="n"/>
      <c r="M524" s="469" t="n"/>
      <c r="N524" s="469" t="n"/>
      <c r="O524" s="469" t="n"/>
      <c r="P524" s="471" t="n"/>
      <c r="Q524" s="469" t="n"/>
      <c r="R524" s="469" t="n"/>
      <c r="S524" s="469" t="n"/>
      <c r="T524" s="469" t="n"/>
      <c r="U524" s="469" t="n"/>
      <c r="V524" s="469" t="n"/>
      <c r="W524" s="469" t="n"/>
      <c r="X524" s="469" t="n"/>
      <c r="Y524" s="469" t="n"/>
      <c r="Z524" s="469" t="n"/>
      <c r="AA524" s="469" t="n"/>
    </row>
    <row r="525">
      <c r="A525" s="468" t="n"/>
      <c r="B525" s="469" t="n"/>
      <c r="C525" s="469" t="n"/>
      <c r="D525" s="469" t="n"/>
      <c r="E525" s="469" t="n"/>
      <c r="F525" s="469" t="n"/>
      <c r="G525" s="469" t="n"/>
      <c r="H525" s="469" t="n"/>
      <c r="I525" s="469" t="n"/>
      <c r="J525" s="469" t="n"/>
      <c r="K525" s="469" t="n"/>
      <c r="L525" s="469" t="n"/>
      <c r="M525" s="469" t="n"/>
      <c r="N525" s="469" t="n"/>
      <c r="O525" s="469" t="n"/>
      <c r="P525" s="471" t="n"/>
      <c r="Q525" s="469" t="n"/>
      <c r="R525" s="469" t="n"/>
      <c r="S525" s="469" t="n"/>
      <c r="T525" s="469" t="n"/>
      <c r="U525" s="469" t="n"/>
      <c r="V525" s="469" t="n"/>
      <c r="W525" s="469" t="n"/>
      <c r="X525" s="469" t="n"/>
      <c r="Y525" s="469" t="n"/>
      <c r="Z525" s="469" t="n"/>
      <c r="AA525" s="469" t="n"/>
    </row>
    <row r="526">
      <c r="A526" s="468" t="n"/>
      <c r="B526" s="469" t="n"/>
      <c r="C526" s="469" t="n"/>
      <c r="D526" s="469" t="n"/>
      <c r="E526" s="469" t="n"/>
      <c r="F526" s="469" t="n"/>
      <c r="G526" s="469" t="n"/>
      <c r="H526" s="469" t="n"/>
      <c r="I526" s="469" t="n"/>
      <c r="J526" s="469" t="n"/>
      <c r="K526" s="469" t="n"/>
      <c r="L526" s="469" t="n"/>
      <c r="M526" s="469" t="n"/>
      <c r="N526" s="469" t="n"/>
      <c r="O526" s="469" t="n"/>
      <c r="P526" s="471" t="n"/>
      <c r="Q526" s="469" t="n"/>
      <c r="R526" s="469" t="n"/>
      <c r="S526" s="469" t="n"/>
      <c r="T526" s="469" t="n"/>
      <c r="U526" s="469" t="n"/>
      <c r="V526" s="469" t="n"/>
      <c r="W526" s="469" t="n"/>
      <c r="X526" s="469" t="n"/>
      <c r="Y526" s="469" t="n"/>
      <c r="Z526" s="469" t="n"/>
      <c r="AA526" s="469" t="n"/>
    </row>
    <row r="527">
      <c r="A527" s="468" t="n"/>
      <c r="B527" s="469" t="n"/>
      <c r="C527" s="469" t="n"/>
      <c r="D527" s="469" t="n"/>
      <c r="E527" s="469" t="n"/>
      <c r="F527" s="469" t="n"/>
      <c r="G527" s="469" t="n"/>
      <c r="H527" s="469" t="n"/>
      <c r="I527" s="469" t="n"/>
      <c r="J527" s="469" t="n"/>
      <c r="K527" s="469" t="n"/>
      <c r="L527" s="469" t="n"/>
      <c r="M527" s="469" t="n"/>
      <c r="N527" s="469" t="n"/>
      <c r="O527" s="469" t="n"/>
      <c r="P527" s="471" t="n"/>
      <c r="Q527" s="469" t="n"/>
      <c r="R527" s="469" t="n"/>
      <c r="S527" s="469" t="n"/>
      <c r="T527" s="469" t="n"/>
      <c r="U527" s="469" t="n"/>
      <c r="V527" s="469" t="n"/>
      <c r="W527" s="469" t="n"/>
      <c r="X527" s="469" t="n"/>
      <c r="Y527" s="469" t="n"/>
      <c r="Z527" s="469" t="n"/>
      <c r="AA527" s="469" t="n"/>
    </row>
    <row r="528">
      <c r="A528" s="468" t="n"/>
      <c r="B528" s="469" t="n"/>
      <c r="C528" s="469" t="n"/>
      <c r="D528" s="469" t="n"/>
      <c r="E528" s="469" t="n"/>
      <c r="F528" s="469" t="n"/>
      <c r="G528" s="469" t="n"/>
      <c r="H528" s="469" t="n"/>
      <c r="I528" s="469" t="n"/>
      <c r="J528" s="469" t="n"/>
      <c r="K528" s="469" t="n"/>
      <c r="L528" s="469" t="n"/>
      <c r="M528" s="469" t="n"/>
      <c r="N528" s="469" t="n"/>
      <c r="O528" s="469" t="n"/>
      <c r="P528" s="471" t="n"/>
      <c r="Q528" s="469" t="n"/>
      <c r="R528" s="469" t="n"/>
      <c r="S528" s="469" t="n"/>
      <c r="T528" s="469" t="n"/>
      <c r="U528" s="469" t="n"/>
      <c r="V528" s="469" t="n"/>
      <c r="W528" s="469" t="n"/>
      <c r="X528" s="469" t="n"/>
      <c r="Y528" s="469" t="n"/>
      <c r="Z528" s="469" t="n"/>
      <c r="AA528" s="469" t="n"/>
    </row>
    <row r="529">
      <c r="A529" s="468" t="n"/>
      <c r="B529" s="469" t="n"/>
      <c r="C529" s="469" t="n"/>
      <c r="D529" s="469" t="n"/>
      <c r="E529" s="469" t="n"/>
      <c r="F529" s="469" t="n"/>
      <c r="G529" s="469" t="n"/>
      <c r="H529" s="469" t="n"/>
      <c r="I529" s="469" t="n"/>
      <c r="J529" s="469" t="n"/>
      <c r="K529" s="469" t="n"/>
      <c r="L529" s="469" t="n"/>
      <c r="M529" s="469" t="n"/>
      <c r="N529" s="469" t="n"/>
      <c r="O529" s="469" t="n"/>
      <c r="P529" s="471" t="n"/>
      <c r="Q529" s="469" t="n"/>
      <c r="R529" s="469" t="n"/>
      <c r="S529" s="469" t="n"/>
      <c r="T529" s="469" t="n"/>
      <c r="U529" s="469" t="n"/>
      <c r="V529" s="469" t="n"/>
      <c r="W529" s="469" t="n"/>
      <c r="X529" s="469" t="n"/>
      <c r="Y529" s="469" t="n"/>
      <c r="Z529" s="469" t="n"/>
      <c r="AA529" s="469" t="n"/>
    </row>
    <row r="530">
      <c r="A530" s="468" t="n"/>
      <c r="B530" s="469" t="n"/>
      <c r="C530" s="469" t="n"/>
      <c r="D530" s="469" t="n"/>
      <c r="E530" s="469" t="n"/>
      <c r="F530" s="469" t="n"/>
      <c r="G530" s="469" t="n"/>
      <c r="H530" s="469" t="n"/>
      <c r="I530" s="469" t="n"/>
      <c r="J530" s="469" t="n"/>
      <c r="K530" s="469" t="n"/>
      <c r="L530" s="469" t="n"/>
      <c r="M530" s="469" t="n"/>
      <c r="N530" s="469" t="n"/>
      <c r="O530" s="469" t="n"/>
      <c r="P530" s="471" t="n"/>
      <c r="Q530" s="469" t="n"/>
      <c r="R530" s="469" t="n"/>
      <c r="S530" s="469" t="n"/>
      <c r="T530" s="469" t="n"/>
      <c r="U530" s="469" t="n"/>
      <c r="V530" s="469" t="n"/>
      <c r="W530" s="469" t="n"/>
      <c r="X530" s="469" t="n"/>
      <c r="Y530" s="469" t="n"/>
      <c r="Z530" s="469" t="n"/>
      <c r="AA530" s="469" t="n"/>
    </row>
    <row r="531">
      <c r="A531" s="468" t="n"/>
      <c r="B531" s="469" t="n"/>
      <c r="C531" s="469" t="n"/>
      <c r="D531" s="469" t="n"/>
      <c r="E531" s="469" t="n"/>
      <c r="F531" s="469" t="n"/>
      <c r="G531" s="469" t="n"/>
      <c r="H531" s="469" t="n"/>
      <c r="I531" s="469" t="n"/>
      <c r="J531" s="469" t="n"/>
      <c r="K531" s="469" t="n"/>
      <c r="L531" s="469" t="n"/>
      <c r="M531" s="469" t="n"/>
      <c r="N531" s="469" t="n"/>
      <c r="O531" s="469" t="n"/>
      <c r="P531" s="471" t="n"/>
      <c r="Q531" s="469" t="n"/>
      <c r="R531" s="469" t="n"/>
      <c r="S531" s="469" t="n"/>
      <c r="T531" s="469" t="n"/>
      <c r="U531" s="469" t="n"/>
      <c r="V531" s="469" t="n"/>
      <c r="W531" s="469" t="n"/>
      <c r="X531" s="469" t="n"/>
      <c r="Y531" s="469" t="n"/>
      <c r="Z531" s="469" t="n"/>
      <c r="AA531" s="469" t="n"/>
    </row>
    <row r="532">
      <c r="A532" s="468" t="n"/>
      <c r="B532" s="469" t="n"/>
      <c r="C532" s="469" t="n"/>
      <c r="D532" s="469" t="n"/>
      <c r="E532" s="469" t="n"/>
      <c r="F532" s="469" t="n"/>
      <c r="G532" s="469" t="n"/>
      <c r="H532" s="469" t="n"/>
      <c r="I532" s="469" t="n"/>
      <c r="J532" s="469" t="n"/>
      <c r="K532" s="469" t="n"/>
      <c r="L532" s="469" t="n"/>
      <c r="M532" s="469" t="n"/>
      <c r="N532" s="469" t="n"/>
      <c r="O532" s="469" t="n"/>
      <c r="P532" s="471" t="n"/>
      <c r="Q532" s="469" t="n"/>
      <c r="R532" s="469" t="n"/>
      <c r="S532" s="469" t="n"/>
      <c r="T532" s="469" t="n"/>
      <c r="U532" s="469" t="n"/>
      <c r="V532" s="469" t="n"/>
      <c r="W532" s="469" t="n"/>
      <c r="X532" s="469" t="n"/>
      <c r="Y532" s="469" t="n"/>
      <c r="Z532" s="469" t="n"/>
      <c r="AA532" s="469" t="n"/>
    </row>
    <row r="533">
      <c r="A533" s="468" t="n"/>
      <c r="B533" s="469" t="n"/>
      <c r="C533" s="469" t="n"/>
      <c r="D533" s="469" t="n"/>
      <c r="E533" s="469" t="n"/>
      <c r="F533" s="469" t="n"/>
      <c r="G533" s="469" t="n"/>
      <c r="H533" s="469" t="n"/>
      <c r="I533" s="469" t="n"/>
      <c r="J533" s="469" t="n"/>
      <c r="K533" s="469" t="n"/>
      <c r="L533" s="469" t="n"/>
      <c r="M533" s="469" t="n"/>
      <c r="N533" s="469" t="n"/>
      <c r="O533" s="469" t="n"/>
      <c r="P533" s="471" t="n"/>
      <c r="Q533" s="469" t="n"/>
      <c r="R533" s="469" t="n"/>
      <c r="S533" s="469" t="n"/>
      <c r="T533" s="469" t="n"/>
      <c r="U533" s="469" t="n"/>
      <c r="V533" s="469" t="n"/>
      <c r="W533" s="469" t="n"/>
      <c r="X533" s="469" t="n"/>
      <c r="Y533" s="469" t="n"/>
      <c r="Z533" s="469" t="n"/>
      <c r="AA533" s="469" t="n"/>
    </row>
    <row r="534">
      <c r="A534" s="468" t="n"/>
      <c r="B534" s="469" t="n"/>
      <c r="C534" s="469" t="n"/>
      <c r="D534" s="469" t="n"/>
      <c r="E534" s="469" t="n"/>
      <c r="F534" s="469" t="n"/>
      <c r="G534" s="469" t="n"/>
      <c r="H534" s="469" t="n"/>
      <c r="I534" s="469" t="n"/>
      <c r="J534" s="469" t="n"/>
      <c r="K534" s="469" t="n"/>
      <c r="L534" s="469" t="n"/>
      <c r="M534" s="469" t="n"/>
      <c r="N534" s="469" t="n"/>
      <c r="O534" s="469" t="n"/>
      <c r="P534" s="471" t="n"/>
      <c r="Q534" s="469" t="n"/>
      <c r="R534" s="469" t="n"/>
      <c r="S534" s="469" t="n"/>
      <c r="T534" s="469" t="n"/>
      <c r="U534" s="469" t="n"/>
      <c r="V534" s="469" t="n"/>
      <c r="W534" s="469" t="n"/>
      <c r="X534" s="469" t="n"/>
      <c r="Y534" s="469" t="n"/>
      <c r="Z534" s="469" t="n"/>
      <c r="AA534" s="469" t="n"/>
    </row>
    <row r="535">
      <c r="A535" s="468" t="n"/>
      <c r="B535" s="469" t="n"/>
      <c r="C535" s="469" t="n"/>
      <c r="D535" s="469" t="n"/>
      <c r="E535" s="469" t="n"/>
      <c r="F535" s="469" t="n"/>
      <c r="G535" s="469" t="n"/>
      <c r="H535" s="469" t="n"/>
      <c r="I535" s="469" t="n"/>
      <c r="J535" s="469" t="n"/>
      <c r="K535" s="469" t="n"/>
      <c r="L535" s="469" t="n"/>
      <c r="M535" s="469" t="n"/>
      <c r="N535" s="469" t="n"/>
      <c r="O535" s="469" t="n"/>
      <c r="P535" s="471" t="n"/>
      <c r="Q535" s="469" t="n"/>
      <c r="R535" s="469" t="n"/>
      <c r="S535" s="469" t="n"/>
      <c r="T535" s="469" t="n"/>
      <c r="U535" s="469" t="n"/>
      <c r="V535" s="469" t="n"/>
      <c r="W535" s="469" t="n"/>
      <c r="X535" s="469" t="n"/>
      <c r="Y535" s="469" t="n"/>
      <c r="Z535" s="469" t="n"/>
      <c r="AA535" s="469" t="n"/>
    </row>
    <row r="536">
      <c r="A536" s="468" t="n"/>
      <c r="B536" s="469" t="n"/>
      <c r="C536" s="469" t="n"/>
      <c r="D536" s="469" t="n"/>
      <c r="E536" s="469" t="n"/>
      <c r="F536" s="469" t="n"/>
      <c r="G536" s="469" t="n"/>
      <c r="H536" s="469" t="n"/>
      <c r="I536" s="469" t="n"/>
      <c r="J536" s="469" t="n"/>
      <c r="K536" s="469" t="n"/>
      <c r="L536" s="469" t="n"/>
      <c r="M536" s="469" t="n"/>
      <c r="N536" s="469" t="n"/>
      <c r="O536" s="469" t="n"/>
      <c r="P536" s="471" t="n"/>
      <c r="Q536" s="469" t="n"/>
      <c r="R536" s="469" t="n"/>
      <c r="S536" s="469" t="n"/>
      <c r="T536" s="469" t="n"/>
      <c r="U536" s="469" t="n"/>
      <c r="V536" s="469" t="n"/>
      <c r="W536" s="469" t="n"/>
      <c r="X536" s="469" t="n"/>
      <c r="Y536" s="469" t="n"/>
      <c r="Z536" s="469" t="n"/>
      <c r="AA536" s="469" t="n"/>
    </row>
    <row r="537">
      <c r="A537" s="468" t="n"/>
      <c r="B537" s="469" t="n"/>
      <c r="C537" s="469" t="n"/>
      <c r="D537" s="469" t="n"/>
      <c r="E537" s="469" t="n"/>
      <c r="F537" s="469" t="n"/>
      <c r="G537" s="469" t="n"/>
      <c r="H537" s="469" t="n"/>
      <c r="I537" s="469" t="n"/>
      <c r="J537" s="469" t="n"/>
      <c r="K537" s="469" t="n"/>
      <c r="L537" s="469" t="n"/>
      <c r="M537" s="469" t="n"/>
      <c r="N537" s="469" t="n"/>
      <c r="O537" s="469" t="n"/>
      <c r="P537" s="471" t="n"/>
      <c r="Q537" s="469" t="n"/>
      <c r="R537" s="469" t="n"/>
      <c r="S537" s="469" t="n"/>
      <c r="T537" s="469" t="n"/>
      <c r="U537" s="469" t="n"/>
      <c r="V537" s="469" t="n"/>
      <c r="W537" s="469" t="n"/>
      <c r="X537" s="469" t="n"/>
      <c r="Y537" s="469" t="n"/>
      <c r="Z537" s="469" t="n"/>
      <c r="AA537" s="469" t="n"/>
    </row>
    <row r="538">
      <c r="A538" s="468" t="n"/>
      <c r="B538" s="469" t="n"/>
      <c r="C538" s="469" t="n"/>
      <c r="D538" s="469" t="n"/>
      <c r="E538" s="469" t="n"/>
      <c r="F538" s="469" t="n"/>
      <c r="G538" s="469" t="n"/>
      <c r="H538" s="469" t="n"/>
      <c r="I538" s="469" t="n"/>
      <c r="J538" s="469" t="n"/>
      <c r="K538" s="469" t="n"/>
      <c r="L538" s="469" t="n"/>
      <c r="M538" s="469" t="n"/>
      <c r="N538" s="469" t="n"/>
      <c r="O538" s="469" t="n"/>
      <c r="P538" s="471" t="n"/>
      <c r="Q538" s="469" t="n"/>
      <c r="R538" s="469" t="n"/>
      <c r="S538" s="469" t="n"/>
      <c r="T538" s="469" t="n"/>
      <c r="U538" s="469" t="n"/>
      <c r="V538" s="469" t="n"/>
      <c r="W538" s="469" t="n"/>
      <c r="X538" s="469" t="n"/>
      <c r="Y538" s="469" t="n"/>
      <c r="Z538" s="469" t="n"/>
      <c r="AA538" s="469" t="n"/>
    </row>
    <row r="539">
      <c r="A539" s="468" t="n"/>
      <c r="B539" s="469" t="n"/>
      <c r="C539" s="469" t="n"/>
      <c r="D539" s="469" t="n"/>
      <c r="E539" s="469" t="n"/>
      <c r="F539" s="469" t="n"/>
      <c r="G539" s="469" t="n"/>
      <c r="H539" s="469" t="n"/>
      <c r="I539" s="469" t="n"/>
      <c r="J539" s="469" t="n"/>
      <c r="K539" s="469" t="n"/>
      <c r="L539" s="469" t="n"/>
      <c r="M539" s="469" t="n"/>
      <c r="N539" s="469" t="n"/>
      <c r="O539" s="469" t="n"/>
      <c r="P539" s="471" t="n"/>
      <c r="Q539" s="469" t="n"/>
      <c r="R539" s="469" t="n"/>
      <c r="S539" s="469" t="n"/>
      <c r="T539" s="469" t="n"/>
      <c r="U539" s="469" t="n"/>
      <c r="V539" s="469" t="n"/>
      <c r="W539" s="469" t="n"/>
      <c r="X539" s="469" t="n"/>
      <c r="Y539" s="469" t="n"/>
      <c r="Z539" s="469" t="n"/>
      <c r="AA539" s="469" t="n"/>
    </row>
    <row r="540">
      <c r="A540" s="468" t="n"/>
      <c r="B540" s="469" t="n"/>
      <c r="C540" s="469" t="n"/>
      <c r="D540" s="469" t="n"/>
      <c r="E540" s="469" t="n"/>
      <c r="F540" s="469" t="n"/>
      <c r="G540" s="469" t="n"/>
      <c r="H540" s="469" t="n"/>
      <c r="I540" s="469" t="n"/>
      <c r="J540" s="469" t="n"/>
      <c r="K540" s="469" t="n"/>
      <c r="L540" s="469" t="n"/>
      <c r="M540" s="469" t="n"/>
      <c r="N540" s="469" t="n"/>
      <c r="O540" s="469" t="n"/>
      <c r="P540" s="471" t="n"/>
      <c r="Q540" s="469" t="n"/>
      <c r="R540" s="469" t="n"/>
      <c r="S540" s="469" t="n"/>
      <c r="T540" s="469" t="n"/>
      <c r="U540" s="469" t="n"/>
      <c r="V540" s="469" t="n"/>
      <c r="W540" s="469" t="n"/>
      <c r="X540" s="469" t="n"/>
      <c r="Y540" s="469" t="n"/>
      <c r="Z540" s="469" t="n"/>
      <c r="AA540" s="469" t="n"/>
    </row>
    <row r="541">
      <c r="A541" s="468" t="n"/>
      <c r="B541" s="469" t="n"/>
      <c r="C541" s="469" t="n"/>
      <c r="D541" s="469" t="n"/>
      <c r="E541" s="469" t="n"/>
      <c r="F541" s="469" t="n"/>
      <c r="G541" s="469" t="n"/>
      <c r="H541" s="469" t="n"/>
      <c r="I541" s="469" t="n"/>
      <c r="J541" s="469" t="n"/>
      <c r="K541" s="469" t="n"/>
      <c r="L541" s="469" t="n"/>
      <c r="M541" s="469" t="n"/>
      <c r="N541" s="469" t="n"/>
      <c r="O541" s="469" t="n"/>
      <c r="P541" s="471" t="n"/>
      <c r="Q541" s="469" t="n"/>
      <c r="R541" s="469" t="n"/>
      <c r="S541" s="469" t="n"/>
      <c r="T541" s="469" t="n"/>
      <c r="U541" s="469" t="n"/>
      <c r="V541" s="469" t="n"/>
      <c r="W541" s="469" t="n"/>
      <c r="X541" s="469" t="n"/>
      <c r="Y541" s="469" t="n"/>
      <c r="Z541" s="469" t="n"/>
      <c r="AA541" s="469" t="n"/>
    </row>
    <row r="542">
      <c r="A542" s="468" t="n"/>
      <c r="B542" s="469" t="n"/>
      <c r="C542" s="469" t="n"/>
      <c r="D542" s="469" t="n"/>
      <c r="E542" s="469" t="n"/>
      <c r="F542" s="469" t="n"/>
      <c r="G542" s="469" t="n"/>
      <c r="H542" s="469" t="n"/>
      <c r="I542" s="469" t="n"/>
      <c r="J542" s="469" t="n"/>
      <c r="K542" s="469" t="n"/>
      <c r="L542" s="469" t="n"/>
      <c r="M542" s="469" t="n"/>
      <c r="N542" s="469" t="n"/>
      <c r="O542" s="469" t="n"/>
      <c r="P542" s="471" t="n"/>
      <c r="Q542" s="469" t="n"/>
      <c r="R542" s="469" t="n"/>
      <c r="S542" s="469" t="n"/>
      <c r="T542" s="469" t="n"/>
      <c r="U542" s="469" t="n"/>
      <c r="V542" s="469" t="n"/>
      <c r="W542" s="469" t="n"/>
      <c r="X542" s="469" t="n"/>
      <c r="Y542" s="469" t="n"/>
      <c r="Z542" s="469" t="n"/>
      <c r="AA542" s="469" t="n"/>
    </row>
    <row r="543">
      <c r="A543" s="468" t="n"/>
      <c r="B543" s="469" t="n"/>
      <c r="C543" s="469" t="n"/>
      <c r="D543" s="469" t="n"/>
      <c r="E543" s="469" t="n"/>
      <c r="F543" s="469" t="n"/>
      <c r="G543" s="469" t="n"/>
      <c r="H543" s="469" t="n"/>
      <c r="I543" s="469" t="n"/>
      <c r="J543" s="469" t="n"/>
      <c r="K543" s="469" t="n"/>
      <c r="L543" s="469" t="n"/>
      <c r="M543" s="469" t="n"/>
      <c r="N543" s="469" t="n"/>
      <c r="O543" s="469" t="n"/>
      <c r="P543" s="471" t="n"/>
      <c r="Q543" s="469" t="n"/>
      <c r="R543" s="469" t="n"/>
      <c r="S543" s="469" t="n"/>
      <c r="T543" s="469" t="n"/>
      <c r="U543" s="469" t="n"/>
      <c r="V543" s="469" t="n"/>
      <c r="W543" s="469" t="n"/>
      <c r="X543" s="469" t="n"/>
      <c r="Y543" s="469" t="n"/>
      <c r="Z543" s="469" t="n"/>
      <c r="AA543" s="469" t="n"/>
    </row>
    <row r="544">
      <c r="A544" s="468" t="n"/>
      <c r="B544" s="469" t="n"/>
      <c r="C544" s="469" t="n"/>
      <c r="D544" s="469" t="n"/>
      <c r="E544" s="469" t="n"/>
      <c r="F544" s="469" t="n"/>
      <c r="G544" s="469" t="n"/>
      <c r="H544" s="469" t="n"/>
      <c r="I544" s="469" t="n"/>
      <c r="J544" s="469" t="n"/>
      <c r="K544" s="469" t="n"/>
      <c r="L544" s="469" t="n"/>
      <c r="M544" s="469" t="n"/>
      <c r="N544" s="469" t="n"/>
      <c r="O544" s="469" t="n"/>
      <c r="P544" s="471" t="n"/>
      <c r="Q544" s="469" t="n"/>
      <c r="R544" s="469" t="n"/>
      <c r="S544" s="469" t="n"/>
      <c r="T544" s="469" t="n"/>
      <c r="U544" s="469" t="n"/>
      <c r="V544" s="469" t="n"/>
      <c r="W544" s="469" t="n"/>
      <c r="X544" s="469" t="n"/>
      <c r="Y544" s="469" t="n"/>
      <c r="Z544" s="469" t="n"/>
      <c r="AA544" s="469" t="n"/>
    </row>
    <row r="545">
      <c r="A545" s="468" t="n"/>
      <c r="B545" s="469" t="n"/>
      <c r="C545" s="469" t="n"/>
      <c r="D545" s="469" t="n"/>
      <c r="E545" s="469" t="n"/>
      <c r="F545" s="469" t="n"/>
      <c r="G545" s="469" t="n"/>
      <c r="H545" s="469" t="n"/>
      <c r="I545" s="469" t="n"/>
      <c r="J545" s="469" t="n"/>
      <c r="K545" s="469" t="n"/>
      <c r="L545" s="469" t="n"/>
      <c r="M545" s="469" t="n"/>
      <c r="N545" s="469" t="n"/>
      <c r="O545" s="469" t="n"/>
      <c r="P545" s="471" t="n"/>
      <c r="Q545" s="469" t="n"/>
      <c r="R545" s="469" t="n"/>
      <c r="S545" s="469" t="n"/>
      <c r="T545" s="469" t="n"/>
      <c r="U545" s="469" t="n"/>
      <c r="V545" s="469" t="n"/>
      <c r="W545" s="469" t="n"/>
      <c r="X545" s="469" t="n"/>
      <c r="Y545" s="469" t="n"/>
      <c r="Z545" s="469" t="n"/>
      <c r="AA545" s="469" t="n"/>
    </row>
    <row r="546">
      <c r="A546" s="468" t="n"/>
      <c r="B546" s="469" t="n"/>
      <c r="C546" s="469" t="n"/>
      <c r="D546" s="469" t="n"/>
      <c r="E546" s="469" t="n"/>
      <c r="F546" s="469" t="n"/>
      <c r="G546" s="469" t="n"/>
      <c r="H546" s="469" t="n"/>
      <c r="I546" s="469" t="n"/>
      <c r="J546" s="469" t="n"/>
      <c r="K546" s="469" t="n"/>
      <c r="L546" s="469" t="n"/>
      <c r="M546" s="469" t="n"/>
      <c r="N546" s="469" t="n"/>
      <c r="O546" s="469" t="n"/>
      <c r="P546" s="471" t="n"/>
      <c r="Q546" s="469" t="n"/>
      <c r="R546" s="469" t="n"/>
      <c r="S546" s="469" t="n"/>
      <c r="T546" s="469" t="n"/>
      <c r="U546" s="469" t="n"/>
      <c r="V546" s="469" t="n"/>
      <c r="W546" s="469" t="n"/>
      <c r="X546" s="469" t="n"/>
      <c r="Y546" s="469" t="n"/>
      <c r="Z546" s="469" t="n"/>
      <c r="AA546" s="469" t="n"/>
    </row>
    <row r="547">
      <c r="A547" s="468" t="n"/>
      <c r="B547" s="469" t="n"/>
      <c r="C547" s="469" t="n"/>
      <c r="D547" s="469" t="n"/>
      <c r="E547" s="469" t="n"/>
      <c r="F547" s="469" t="n"/>
      <c r="G547" s="469" t="n"/>
      <c r="H547" s="469" t="n"/>
      <c r="I547" s="469" t="n"/>
      <c r="J547" s="469" t="n"/>
      <c r="K547" s="469" t="n"/>
      <c r="L547" s="469" t="n"/>
      <c r="M547" s="469" t="n"/>
      <c r="N547" s="469" t="n"/>
      <c r="O547" s="469" t="n"/>
      <c r="P547" s="471" t="n"/>
      <c r="Q547" s="469" t="n"/>
      <c r="R547" s="469" t="n"/>
      <c r="S547" s="469" t="n"/>
      <c r="T547" s="469" t="n"/>
      <c r="U547" s="469" t="n"/>
      <c r="V547" s="469" t="n"/>
      <c r="W547" s="469" t="n"/>
      <c r="X547" s="469" t="n"/>
      <c r="Y547" s="469" t="n"/>
      <c r="Z547" s="469" t="n"/>
      <c r="AA547" s="469" t="n"/>
    </row>
    <row r="548">
      <c r="A548" s="468" t="n"/>
      <c r="B548" s="469" t="n"/>
      <c r="C548" s="469" t="n"/>
      <c r="D548" s="469" t="n"/>
      <c r="E548" s="469" t="n"/>
      <c r="F548" s="469" t="n"/>
      <c r="G548" s="469" t="n"/>
      <c r="H548" s="469" t="n"/>
      <c r="I548" s="469" t="n"/>
      <c r="J548" s="469" t="n"/>
      <c r="K548" s="469" t="n"/>
      <c r="L548" s="469" t="n"/>
      <c r="M548" s="469" t="n"/>
      <c r="N548" s="469" t="n"/>
      <c r="O548" s="469" t="n"/>
      <c r="P548" s="471" t="n"/>
      <c r="Q548" s="469" t="n"/>
      <c r="R548" s="469" t="n"/>
      <c r="S548" s="469" t="n"/>
      <c r="T548" s="469" t="n"/>
      <c r="U548" s="469" t="n"/>
      <c r="V548" s="469" t="n"/>
      <c r="W548" s="469" t="n"/>
      <c r="X548" s="469" t="n"/>
      <c r="Y548" s="469" t="n"/>
      <c r="Z548" s="469" t="n"/>
      <c r="AA548" s="469" t="n"/>
    </row>
    <row r="549">
      <c r="A549" s="468" t="n"/>
      <c r="B549" s="469" t="n"/>
      <c r="C549" s="469" t="n"/>
      <c r="D549" s="469" t="n"/>
      <c r="E549" s="469" t="n"/>
      <c r="F549" s="469" t="n"/>
      <c r="G549" s="469" t="n"/>
      <c r="H549" s="469" t="n"/>
      <c r="I549" s="469" t="n"/>
      <c r="J549" s="469" t="n"/>
      <c r="K549" s="469" t="n"/>
      <c r="L549" s="469" t="n"/>
      <c r="M549" s="469" t="n"/>
      <c r="N549" s="469" t="n"/>
      <c r="O549" s="469" t="n"/>
      <c r="P549" s="471" t="n"/>
      <c r="Q549" s="469" t="n"/>
      <c r="R549" s="469" t="n"/>
      <c r="S549" s="469" t="n"/>
      <c r="T549" s="469" t="n"/>
      <c r="U549" s="469" t="n"/>
      <c r="V549" s="469" t="n"/>
      <c r="W549" s="469" t="n"/>
      <c r="X549" s="469" t="n"/>
      <c r="Y549" s="469" t="n"/>
      <c r="Z549" s="469" t="n"/>
      <c r="AA549" s="469" t="n"/>
    </row>
    <row r="550">
      <c r="A550" s="468" t="n"/>
      <c r="B550" s="469" t="n"/>
      <c r="C550" s="469" t="n"/>
      <c r="D550" s="469" t="n"/>
      <c r="E550" s="469" t="n"/>
      <c r="F550" s="469" t="n"/>
      <c r="G550" s="469" t="n"/>
      <c r="H550" s="469" t="n"/>
      <c r="I550" s="469" t="n"/>
      <c r="J550" s="469" t="n"/>
      <c r="K550" s="469" t="n"/>
      <c r="L550" s="469" t="n"/>
      <c r="M550" s="469" t="n"/>
      <c r="N550" s="469" t="n"/>
      <c r="O550" s="469" t="n"/>
      <c r="P550" s="471" t="n"/>
      <c r="Q550" s="469" t="n"/>
      <c r="R550" s="469" t="n"/>
      <c r="S550" s="469" t="n"/>
      <c r="T550" s="469" t="n"/>
      <c r="U550" s="469" t="n"/>
      <c r="V550" s="469" t="n"/>
      <c r="W550" s="469" t="n"/>
      <c r="X550" s="469" t="n"/>
      <c r="Y550" s="469" t="n"/>
      <c r="Z550" s="469" t="n"/>
      <c r="AA550" s="469" t="n"/>
    </row>
    <row r="551">
      <c r="A551" s="468" t="n"/>
      <c r="B551" s="469" t="n"/>
      <c r="C551" s="469" t="n"/>
      <c r="D551" s="469" t="n"/>
      <c r="E551" s="469" t="n"/>
      <c r="F551" s="469" t="n"/>
      <c r="G551" s="469" t="n"/>
      <c r="H551" s="469" t="n"/>
      <c r="I551" s="469" t="n"/>
      <c r="J551" s="469" t="n"/>
      <c r="K551" s="469" t="n"/>
      <c r="L551" s="469" t="n"/>
      <c r="M551" s="469" t="n"/>
      <c r="N551" s="469" t="n"/>
      <c r="O551" s="469" t="n"/>
      <c r="P551" s="471" t="n"/>
      <c r="Q551" s="469" t="n"/>
      <c r="R551" s="469" t="n"/>
      <c r="S551" s="469" t="n"/>
      <c r="T551" s="469" t="n"/>
      <c r="U551" s="469" t="n"/>
      <c r="V551" s="469" t="n"/>
      <c r="W551" s="469" t="n"/>
      <c r="X551" s="469" t="n"/>
      <c r="Y551" s="469" t="n"/>
      <c r="Z551" s="469" t="n"/>
      <c r="AA551" s="469" t="n"/>
    </row>
    <row r="552">
      <c r="A552" s="468" t="n"/>
      <c r="B552" s="469" t="n"/>
      <c r="C552" s="469" t="n"/>
      <c r="D552" s="469" t="n"/>
      <c r="E552" s="469" t="n"/>
      <c r="F552" s="469" t="n"/>
      <c r="G552" s="469" t="n"/>
      <c r="H552" s="469" t="n"/>
      <c r="I552" s="469" t="n"/>
      <c r="J552" s="469" t="n"/>
      <c r="K552" s="469" t="n"/>
      <c r="L552" s="469" t="n"/>
      <c r="M552" s="469" t="n"/>
      <c r="N552" s="469" t="n"/>
      <c r="O552" s="469" t="n"/>
      <c r="P552" s="471" t="n"/>
      <c r="Q552" s="469" t="n"/>
      <c r="R552" s="469" t="n"/>
      <c r="S552" s="469" t="n"/>
      <c r="T552" s="469" t="n"/>
      <c r="U552" s="469" t="n"/>
      <c r="V552" s="469" t="n"/>
      <c r="W552" s="469" t="n"/>
      <c r="X552" s="469" t="n"/>
      <c r="Y552" s="469" t="n"/>
      <c r="Z552" s="469" t="n"/>
      <c r="AA552" s="469" t="n"/>
    </row>
    <row r="553">
      <c r="A553" s="468" t="n"/>
      <c r="B553" s="469" t="n"/>
      <c r="C553" s="469" t="n"/>
      <c r="D553" s="469" t="n"/>
      <c r="E553" s="469" t="n"/>
      <c r="F553" s="469" t="n"/>
      <c r="G553" s="469" t="n"/>
      <c r="H553" s="469" t="n"/>
      <c r="I553" s="469" t="n"/>
      <c r="J553" s="469" t="n"/>
      <c r="K553" s="469" t="n"/>
      <c r="L553" s="469" t="n"/>
      <c r="M553" s="469" t="n"/>
      <c r="N553" s="469" t="n"/>
      <c r="O553" s="469" t="n"/>
      <c r="P553" s="471" t="n"/>
      <c r="Q553" s="469" t="n"/>
      <c r="R553" s="469" t="n"/>
      <c r="S553" s="469" t="n"/>
      <c r="T553" s="469" t="n"/>
      <c r="U553" s="469" t="n"/>
      <c r="V553" s="469" t="n"/>
      <c r="W553" s="469" t="n"/>
      <c r="X553" s="469" t="n"/>
      <c r="Y553" s="469" t="n"/>
      <c r="Z553" s="469" t="n"/>
      <c r="AA553" s="469" t="n"/>
    </row>
    <row r="554">
      <c r="A554" s="468" t="n"/>
      <c r="B554" s="469" t="n"/>
      <c r="C554" s="469" t="n"/>
      <c r="D554" s="469" t="n"/>
      <c r="E554" s="469" t="n"/>
      <c r="F554" s="469" t="n"/>
      <c r="G554" s="469" t="n"/>
      <c r="H554" s="469" t="n"/>
      <c r="I554" s="469" t="n"/>
      <c r="J554" s="469" t="n"/>
      <c r="K554" s="469" t="n"/>
      <c r="L554" s="469" t="n"/>
      <c r="M554" s="469" t="n"/>
      <c r="N554" s="469" t="n"/>
      <c r="O554" s="469" t="n"/>
      <c r="P554" s="471" t="n"/>
      <c r="Q554" s="469" t="n"/>
      <c r="R554" s="469" t="n"/>
      <c r="S554" s="469" t="n"/>
      <c r="T554" s="469" t="n"/>
      <c r="U554" s="469" t="n"/>
      <c r="V554" s="469" t="n"/>
      <c r="W554" s="469" t="n"/>
      <c r="X554" s="469" t="n"/>
      <c r="Y554" s="469" t="n"/>
      <c r="Z554" s="469" t="n"/>
      <c r="AA554" s="469" t="n"/>
    </row>
    <row r="555">
      <c r="A555" s="468" t="n"/>
      <c r="B555" s="469" t="n"/>
      <c r="C555" s="469" t="n"/>
      <c r="D555" s="469" t="n"/>
      <c r="E555" s="469" t="n"/>
      <c r="F555" s="469" t="n"/>
      <c r="G555" s="469" t="n"/>
      <c r="H555" s="469" t="n"/>
      <c r="I555" s="469" t="n"/>
      <c r="J555" s="469" t="n"/>
      <c r="K555" s="469" t="n"/>
      <c r="L555" s="469" t="n"/>
      <c r="M555" s="469" t="n"/>
      <c r="N555" s="469" t="n"/>
      <c r="O555" s="469" t="n"/>
      <c r="P555" s="471" t="n"/>
      <c r="Q555" s="469" t="n"/>
      <c r="R555" s="469" t="n"/>
      <c r="S555" s="469" t="n"/>
      <c r="T555" s="469" t="n"/>
      <c r="U555" s="469" t="n"/>
      <c r="V555" s="469" t="n"/>
      <c r="W555" s="469" t="n"/>
      <c r="X555" s="469" t="n"/>
      <c r="Y555" s="469" t="n"/>
      <c r="Z555" s="469" t="n"/>
      <c r="AA555" s="469" t="n"/>
    </row>
    <row r="556">
      <c r="A556" s="468" t="n"/>
      <c r="B556" s="469" t="n"/>
      <c r="C556" s="469" t="n"/>
      <c r="D556" s="469" t="n"/>
      <c r="E556" s="469" t="n"/>
      <c r="F556" s="469" t="n"/>
      <c r="G556" s="469" t="n"/>
      <c r="H556" s="469" t="n"/>
      <c r="I556" s="469" t="n"/>
      <c r="J556" s="469" t="n"/>
      <c r="K556" s="469" t="n"/>
      <c r="L556" s="469" t="n"/>
      <c r="M556" s="469" t="n"/>
      <c r="N556" s="469" t="n"/>
      <c r="O556" s="469" t="n"/>
      <c r="P556" s="471" t="n"/>
      <c r="Q556" s="469" t="n"/>
      <c r="R556" s="469" t="n"/>
      <c r="S556" s="469" t="n"/>
      <c r="T556" s="469" t="n"/>
      <c r="U556" s="469" t="n"/>
      <c r="V556" s="469" t="n"/>
      <c r="W556" s="469" t="n"/>
      <c r="X556" s="469" t="n"/>
      <c r="Y556" s="469" t="n"/>
      <c r="Z556" s="469" t="n"/>
      <c r="AA556" s="469" t="n"/>
    </row>
    <row r="557">
      <c r="A557" s="468" t="n"/>
      <c r="B557" s="469" t="n"/>
      <c r="C557" s="469" t="n"/>
      <c r="D557" s="469" t="n"/>
      <c r="E557" s="469" t="n"/>
      <c r="F557" s="469" t="n"/>
      <c r="G557" s="469" t="n"/>
      <c r="H557" s="469" t="n"/>
      <c r="I557" s="469" t="n"/>
      <c r="J557" s="469" t="n"/>
      <c r="K557" s="469" t="n"/>
      <c r="L557" s="469" t="n"/>
      <c r="M557" s="469" t="n"/>
      <c r="N557" s="469" t="n"/>
      <c r="O557" s="469" t="n"/>
      <c r="P557" s="471" t="n"/>
      <c r="Q557" s="469" t="n"/>
      <c r="R557" s="469" t="n"/>
      <c r="S557" s="469" t="n"/>
      <c r="T557" s="469" t="n"/>
      <c r="U557" s="469" t="n"/>
      <c r="V557" s="469" t="n"/>
      <c r="W557" s="469" t="n"/>
      <c r="X557" s="469" t="n"/>
      <c r="Y557" s="469" t="n"/>
      <c r="Z557" s="469" t="n"/>
      <c r="AA557" s="469" t="n"/>
    </row>
    <row r="558">
      <c r="A558" s="468" t="n"/>
      <c r="B558" s="469" t="n"/>
      <c r="C558" s="469" t="n"/>
      <c r="D558" s="469" t="n"/>
      <c r="E558" s="469" t="n"/>
      <c r="F558" s="469" t="n"/>
      <c r="G558" s="469" t="n"/>
      <c r="H558" s="469" t="n"/>
      <c r="I558" s="469" t="n"/>
      <c r="J558" s="469" t="n"/>
      <c r="K558" s="469" t="n"/>
      <c r="L558" s="469" t="n"/>
      <c r="M558" s="469" t="n"/>
      <c r="N558" s="469" t="n"/>
      <c r="O558" s="469" t="n"/>
      <c r="P558" s="471" t="n"/>
      <c r="Q558" s="469" t="n"/>
      <c r="R558" s="469" t="n"/>
      <c r="S558" s="469" t="n"/>
      <c r="T558" s="469" t="n"/>
      <c r="U558" s="469" t="n"/>
      <c r="V558" s="469" t="n"/>
      <c r="W558" s="469" t="n"/>
      <c r="X558" s="469" t="n"/>
      <c r="Y558" s="469" t="n"/>
      <c r="Z558" s="469" t="n"/>
      <c r="AA558" s="469" t="n"/>
    </row>
    <row r="559">
      <c r="A559" s="468" t="n"/>
      <c r="B559" s="469" t="n"/>
      <c r="C559" s="469" t="n"/>
      <c r="D559" s="469" t="n"/>
      <c r="E559" s="469" t="n"/>
      <c r="F559" s="469" t="n"/>
      <c r="G559" s="469" t="n"/>
      <c r="H559" s="469" t="n"/>
      <c r="I559" s="469" t="n"/>
      <c r="J559" s="469" t="n"/>
      <c r="K559" s="469" t="n"/>
      <c r="L559" s="469" t="n"/>
      <c r="M559" s="469" t="n"/>
      <c r="N559" s="469" t="n"/>
      <c r="O559" s="469" t="n"/>
      <c r="P559" s="471" t="n"/>
      <c r="Q559" s="469" t="n"/>
      <c r="R559" s="469" t="n"/>
      <c r="S559" s="469" t="n"/>
      <c r="T559" s="469" t="n"/>
      <c r="U559" s="469" t="n"/>
      <c r="V559" s="469" t="n"/>
      <c r="W559" s="469" t="n"/>
      <c r="X559" s="469" t="n"/>
      <c r="Y559" s="469" t="n"/>
      <c r="Z559" s="469" t="n"/>
      <c r="AA559" s="469" t="n"/>
    </row>
    <row r="560">
      <c r="A560" s="468" t="n"/>
      <c r="B560" s="469" t="n"/>
      <c r="C560" s="469" t="n"/>
      <c r="D560" s="469" t="n"/>
      <c r="E560" s="469" t="n"/>
      <c r="F560" s="469" t="n"/>
      <c r="G560" s="469" t="n"/>
      <c r="H560" s="469" t="n"/>
      <c r="I560" s="469" t="n"/>
      <c r="J560" s="469" t="n"/>
      <c r="K560" s="469" t="n"/>
      <c r="L560" s="469" t="n"/>
      <c r="M560" s="469" t="n"/>
      <c r="N560" s="469" t="n"/>
      <c r="O560" s="469" t="n"/>
      <c r="P560" s="471" t="n"/>
      <c r="Q560" s="469" t="n"/>
      <c r="R560" s="469" t="n"/>
      <c r="S560" s="469" t="n"/>
      <c r="T560" s="469" t="n"/>
      <c r="U560" s="469" t="n"/>
      <c r="V560" s="469" t="n"/>
      <c r="W560" s="469" t="n"/>
      <c r="X560" s="469" t="n"/>
      <c r="Y560" s="469" t="n"/>
      <c r="Z560" s="469" t="n"/>
      <c r="AA560" s="469" t="n"/>
    </row>
    <row r="561">
      <c r="A561" s="468" t="n"/>
      <c r="B561" s="469" t="n"/>
      <c r="C561" s="469" t="n"/>
      <c r="D561" s="469" t="n"/>
      <c r="E561" s="469" t="n"/>
      <c r="F561" s="469" t="n"/>
      <c r="G561" s="469" t="n"/>
      <c r="H561" s="469" t="n"/>
      <c r="I561" s="469" t="n"/>
      <c r="J561" s="469" t="n"/>
      <c r="K561" s="469" t="n"/>
      <c r="L561" s="469" t="n"/>
      <c r="M561" s="469" t="n"/>
      <c r="N561" s="469" t="n"/>
      <c r="O561" s="469" t="n"/>
      <c r="P561" s="471" t="n"/>
      <c r="Q561" s="469" t="n"/>
      <c r="R561" s="469" t="n"/>
      <c r="S561" s="469" t="n"/>
      <c r="T561" s="469" t="n"/>
      <c r="U561" s="469" t="n"/>
      <c r="V561" s="469" t="n"/>
      <c r="W561" s="469" t="n"/>
      <c r="X561" s="469" t="n"/>
      <c r="Y561" s="469" t="n"/>
      <c r="Z561" s="469" t="n"/>
      <c r="AA561" s="469" t="n"/>
    </row>
    <row r="562">
      <c r="A562" s="468" t="n"/>
      <c r="B562" s="469" t="n"/>
      <c r="C562" s="469" t="n"/>
      <c r="D562" s="469" t="n"/>
      <c r="E562" s="469" t="n"/>
      <c r="F562" s="469" t="n"/>
      <c r="G562" s="469" t="n"/>
      <c r="H562" s="469" t="n"/>
      <c r="I562" s="469" t="n"/>
      <c r="J562" s="469" t="n"/>
      <c r="K562" s="469" t="n"/>
      <c r="L562" s="469" t="n"/>
      <c r="M562" s="469" t="n"/>
      <c r="N562" s="469" t="n"/>
      <c r="O562" s="469" t="n"/>
      <c r="P562" s="471" t="n"/>
      <c r="Q562" s="469" t="n"/>
      <c r="R562" s="469" t="n"/>
      <c r="S562" s="469" t="n"/>
      <c r="T562" s="469" t="n"/>
      <c r="U562" s="469" t="n"/>
      <c r="V562" s="469" t="n"/>
      <c r="W562" s="469" t="n"/>
      <c r="X562" s="469" t="n"/>
      <c r="Y562" s="469" t="n"/>
      <c r="Z562" s="469" t="n"/>
      <c r="AA562" s="469" t="n"/>
    </row>
    <row r="563">
      <c r="A563" s="468" t="n"/>
      <c r="B563" s="469" t="n"/>
      <c r="C563" s="469" t="n"/>
      <c r="D563" s="469" t="n"/>
      <c r="E563" s="469" t="n"/>
      <c r="F563" s="469" t="n"/>
      <c r="G563" s="469" t="n"/>
      <c r="H563" s="469" t="n"/>
      <c r="I563" s="469" t="n"/>
      <c r="J563" s="469" t="n"/>
      <c r="K563" s="469" t="n"/>
      <c r="L563" s="469" t="n"/>
      <c r="M563" s="469" t="n"/>
      <c r="N563" s="469" t="n"/>
      <c r="O563" s="469" t="n"/>
      <c r="P563" s="471" t="n"/>
      <c r="Q563" s="469" t="n"/>
      <c r="R563" s="469" t="n"/>
      <c r="S563" s="469" t="n"/>
      <c r="T563" s="469" t="n"/>
      <c r="U563" s="469" t="n"/>
      <c r="V563" s="469" t="n"/>
      <c r="W563" s="469" t="n"/>
      <c r="X563" s="469" t="n"/>
      <c r="Y563" s="469" t="n"/>
      <c r="Z563" s="469" t="n"/>
      <c r="AA563" s="469" t="n"/>
    </row>
    <row r="564">
      <c r="A564" s="468" t="n"/>
      <c r="B564" s="469" t="n"/>
      <c r="C564" s="469" t="n"/>
      <c r="D564" s="469" t="n"/>
      <c r="E564" s="469" t="n"/>
      <c r="F564" s="469" t="n"/>
      <c r="G564" s="469" t="n"/>
      <c r="H564" s="469" t="n"/>
      <c r="I564" s="469" t="n"/>
      <c r="J564" s="469" t="n"/>
      <c r="K564" s="469" t="n"/>
      <c r="L564" s="469" t="n"/>
      <c r="M564" s="469" t="n"/>
      <c r="N564" s="469" t="n"/>
      <c r="O564" s="469" t="n"/>
      <c r="P564" s="471" t="n"/>
      <c r="Q564" s="469" t="n"/>
      <c r="R564" s="469" t="n"/>
      <c r="S564" s="469" t="n"/>
      <c r="T564" s="469" t="n"/>
      <c r="U564" s="469" t="n"/>
      <c r="V564" s="469" t="n"/>
      <c r="W564" s="469" t="n"/>
      <c r="X564" s="469" t="n"/>
      <c r="Y564" s="469" t="n"/>
      <c r="Z564" s="469" t="n"/>
      <c r="AA564" s="469" t="n"/>
    </row>
    <row r="565">
      <c r="A565" s="468" t="n"/>
      <c r="B565" s="469" t="n"/>
      <c r="C565" s="469" t="n"/>
      <c r="D565" s="469" t="n"/>
      <c r="E565" s="469" t="n"/>
      <c r="F565" s="469" t="n"/>
      <c r="G565" s="469" t="n"/>
      <c r="H565" s="469" t="n"/>
      <c r="I565" s="469" t="n"/>
      <c r="J565" s="469" t="n"/>
      <c r="K565" s="469" t="n"/>
      <c r="L565" s="469" t="n"/>
      <c r="M565" s="469" t="n"/>
      <c r="N565" s="469" t="n"/>
      <c r="O565" s="469" t="n"/>
      <c r="P565" s="471" t="n"/>
      <c r="Q565" s="469" t="n"/>
      <c r="R565" s="469" t="n"/>
      <c r="S565" s="469" t="n"/>
      <c r="T565" s="469" t="n"/>
      <c r="U565" s="469" t="n"/>
      <c r="V565" s="469" t="n"/>
      <c r="W565" s="469" t="n"/>
      <c r="X565" s="469" t="n"/>
      <c r="Y565" s="469" t="n"/>
      <c r="Z565" s="469" t="n"/>
      <c r="AA565" s="469" t="n"/>
    </row>
    <row r="566">
      <c r="A566" s="468" t="n"/>
      <c r="B566" s="469" t="n"/>
      <c r="C566" s="469" t="n"/>
      <c r="D566" s="469" t="n"/>
      <c r="E566" s="469" t="n"/>
      <c r="F566" s="469" t="n"/>
      <c r="G566" s="469" t="n"/>
      <c r="H566" s="469" t="n"/>
      <c r="I566" s="469" t="n"/>
      <c r="J566" s="469" t="n"/>
      <c r="K566" s="469" t="n"/>
      <c r="L566" s="469" t="n"/>
      <c r="M566" s="469" t="n"/>
      <c r="N566" s="469" t="n"/>
      <c r="O566" s="469" t="n"/>
      <c r="P566" s="471" t="n"/>
      <c r="Q566" s="469" t="n"/>
      <c r="R566" s="469" t="n"/>
      <c r="S566" s="469" t="n"/>
      <c r="T566" s="469" t="n"/>
      <c r="U566" s="469" t="n"/>
      <c r="V566" s="469" t="n"/>
      <c r="W566" s="469" t="n"/>
      <c r="X566" s="469" t="n"/>
      <c r="Y566" s="469" t="n"/>
      <c r="Z566" s="469" t="n"/>
      <c r="AA566" s="469" t="n"/>
    </row>
    <row r="567">
      <c r="A567" s="468" t="n"/>
      <c r="B567" s="469" t="n"/>
      <c r="C567" s="469" t="n"/>
      <c r="D567" s="469" t="n"/>
      <c r="E567" s="469" t="n"/>
      <c r="F567" s="469" t="n"/>
      <c r="G567" s="469" t="n"/>
      <c r="H567" s="469" t="n"/>
      <c r="I567" s="469" t="n"/>
      <c r="J567" s="469" t="n"/>
      <c r="K567" s="469" t="n"/>
      <c r="L567" s="469" t="n"/>
      <c r="M567" s="469" t="n"/>
      <c r="N567" s="469" t="n"/>
      <c r="O567" s="469" t="n"/>
      <c r="P567" s="471" t="n"/>
      <c r="Q567" s="469" t="n"/>
      <c r="R567" s="469" t="n"/>
      <c r="S567" s="469" t="n"/>
      <c r="T567" s="469" t="n"/>
      <c r="U567" s="469" t="n"/>
      <c r="V567" s="469" t="n"/>
      <c r="W567" s="469" t="n"/>
      <c r="X567" s="469" t="n"/>
      <c r="Y567" s="469" t="n"/>
      <c r="Z567" s="469" t="n"/>
      <c r="AA567" s="469" t="n"/>
    </row>
    <row r="568">
      <c r="A568" s="468" t="n"/>
      <c r="B568" s="469" t="n"/>
      <c r="C568" s="469" t="n"/>
      <c r="D568" s="469" t="n"/>
      <c r="E568" s="469" t="n"/>
      <c r="F568" s="469" t="n"/>
      <c r="G568" s="469" t="n"/>
      <c r="H568" s="469" t="n"/>
      <c r="I568" s="469" t="n"/>
      <c r="J568" s="469" t="n"/>
      <c r="K568" s="469" t="n"/>
      <c r="L568" s="469" t="n"/>
      <c r="M568" s="469" t="n"/>
      <c r="N568" s="469" t="n"/>
      <c r="O568" s="469" t="n"/>
      <c r="P568" s="471" t="n"/>
      <c r="Q568" s="469" t="n"/>
      <c r="R568" s="469" t="n"/>
      <c r="S568" s="469" t="n"/>
      <c r="T568" s="469" t="n"/>
      <c r="U568" s="469" t="n"/>
      <c r="V568" s="469" t="n"/>
      <c r="W568" s="469" t="n"/>
      <c r="X568" s="469" t="n"/>
      <c r="Y568" s="469" t="n"/>
      <c r="Z568" s="469" t="n"/>
      <c r="AA568" s="469" t="n"/>
    </row>
    <row r="569">
      <c r="A569" s="468" t="n"/>
      <c r="B569" s="469" t="n"/>
      <c r="C569" s="469" t="n"/>
      <c r="D569" s="469" t="n"/>
      <c r="E569" s="469" t="n"/>
      <c r="F569" s="469" t="n"/>
      <c r="G569" s="469" t="n"/>
      <c r="H569" s="469" t="n"/>
      <c r="I569" s="469" t="n"/>
      <c r="J569" s="469" t="n"/>
      <c r="K569" s="469" t="n"/>
      <c r="L569" s="469" t="n"/>
      <c r="M569" s="469" t="n"/>
      <c r="N569" s="469" t="n"/>
      <c r="O569" s="469" t="n"/>
      <c r="P569" s="471" t="n"/>
      <c r="Q569" s="469" t="n"/>
      <c r="R569" s="469" t="n"/>
      <c r="S569" s="469" t="n"/>
      <c r="T569" s="469" t="n"/>
      <c r="U569" s="469" t="n"/>
      <c r="V569" s="469" t="n"/>
      <c r="W569" s="469" t="n"/>
      <c r="X569" s="469" t="n"/>
      <c r="Y569" s="469" t="n"/>
      <c r="Z569" s="469" t="n"/>
      <c r="AA569" s="469" t="n"/>
    </row>
    <row r="570">
      <c r="A570" s="468" t="n"/>
      <c r="B570" s="469" t="n"/>
      <c r="C570" s="469" t="n"/>
      <c r="D570" s="469" t="n"/>
      <c r="E570" s="469" t="n"/>
      <c r="F570" s="469" t="n"/>
      <c r="G570" s="469" t="n"/>
      <c r="H570" s="469" t="n"/>
      <c r="I570" s="469" t="n"/>
      <c r="J570" s="469" t="n"/>
      <c r="K570" s="469" t="n"/>
      <c r="L570" s="469" t="n"/>
      <c r="M570" s="469" t="n"/>
      <c r="N570" s="469" t="n"/>
      <c r="O570" s="469" t="n"/>
      <c r="P570" s="471" t="n"/>
      <c r="Q570" s="469" t="n"/>
      <c r="R570" s="469" t="n"/>
      <c r="S570" s="469" t="n"/>
      <c r="T570" s="469" t="n"/>
      <c r="U570" s="469" t="n"/>
      <c r="V570" s="469" t="n"/>
      <c r="W570" s="469" t="n"/>
      <c r="X570" s="469" t="n"/>
      <c r="Y570" s="469" t="n"/>
      <c r="Z570" s="469" t="n"/>
      <c r="AA570" s="469" t="n"/>
    </row>
    <row r="571">
      <c r="A571" s="468" t="n"/>
      <c r="B571" s="469" t="n"/>
      <c r="C571" s="469" t="n"/>
      <c r="D571" s="469" t="n"/>
      <c r="E571" s="469" t="n"/>
      <c r="F571" s="469" t="n"/>
      <c r="G571" s="469" t="n"/>
      <c r="H571" s="469" t="n"/>
      <c r="I571" s="469" t="n"/>
      <c r="J571" s="469" t="n"/>
      <c r="K571" s="469" t="n"/>
      <c r="L571" s="469" t="n"/>
      <c r="M571" s="469" t="n"/>
      <c r="N571" s="469" t="n"/>
      <c r="O571" s="469" t="n"/>
      <c r="P571" s="471" t="n"/>
      <c r="Q571" s="469" t="n"/>
      <c r="R571" s="469" t="n"/>
      <c r="S571" s="469" t="n"/>
      <c r="T571" s="469" t="n"/>
      <c r="U571" s="469" t="n"/>
      <c r="V571" s="469" t="n"/>
      <c r="W571" s="469" t="n"/>
      <c r="X571" s="469" t="n"/>
      <c r="Y571" s="469" t="n"/>
      <c r="Z571" s="469" t="n"/>
      <c r="AA571" s="469" t="n"/>
    </row>
    <row r="572">
      <c r="A572" s="468" t="n"/>
      <c r="B572" s="469" t="n"/>
      <c r="C572" s="469" t="n"/>
      <c r="D572" s="469" t="n"/>
      <c r="E572" s="469" t="n"/>
      <c r="F572" s="469" t="n"/>
      <c r="G572" s="469" t="n"/>
      <c r="H572" s="469" t="n"/>
      <c r="I572" s="469" t="n"/>
      <c r="J572" s="469" t="n"/>
      <c r="K572" s="469" t="n"/>
      <c r="L572" s="469" t="n"/>
      <c r="M572" s="469" t="n"/>
      <c r="N572" s="469" t="n"/>
      <c r="O572" s="469" t="n"/>
      <c r="P572" s="471" t="n"/>
      <c r="Q572" s="469" t="n"/>
      <c r="R572" s="469" t="n"/>
      <c r="S572" s="469" t="n"/>
      <c r="T572" s="469" t="n"/>
      <c r="U572" s="469" t="n"/>
      <c r="V572" s="469" t="n"/>
      <c r="W572" s="469" t="n"/>
      <c r="X572" s="469" t="n"/>
      <c r="Y572" s="469" t="n"/>
      <c r="Z572" s="469" t="n"/>
      <c r="AA572" s="469" t="n"/>
    </row>
    <row r="573">
      <c r="A573" s="468" t="n"/>
      <c r="B573" s="469" t="n"/>
      <c r="C573" s="469" t="n"/>
      <c r="D573" s="469" t="n"/>
      <c r="E573" s="469" t="n"/>
      <c r="F573" s="469" t="n"/>
      <c r="G573" s="469" t="n"/>
      <c r="H573" s="469" t="n"/>
      <c r="I573" s="469" t="n"/>
      <c r="J573" s="469" t="n"/>
      <c r="K573" s="469" t="n"/>
      <c r="L573" s="469" t="n"/>
      <c r="M573" s="469" t="n"/>
      <c r="N573" s="469" t="n"/>
      <c r="O573" s="469" t="n"/>
      <c r="P573" s="471" t="n"/>
      <c r="Q573" s="469" t="n"/>
      <c r="R573" s="469" t="n"/>
      <c r="S573" s="469" t="n"/>
      <c r="T573" s="469" t="n"/>
      <c r="U573" s="469" t="n"/>
      <c r="V573" s="469" t="n"/>
      <c r="W573" s="469" t="n"/>
      <c r="X573" s="469" t="n"/>
      <c r="Y573" s="469" t="n"/>
      <c r="Z573" s="469" t="n"/>
      <c r="AA573" s="469" t="n"/>
    </row>
    <row r="574">
      <c r="A574" s="468" t="n"/>
      <c r="B574" s="469" t="n"/>
      <c r="C574" s="469" t="n"/>
      <c r="D574" s="469" t="n"/>
      <c r="E574" s="469" t="n"/>
      <c r="F574" s="469" t="n"/>
      <c r="G574" s="469" t="n"/>
      <c r="H574" s="469" t="n"/>
      <c r="I574" s="469" t="n"/>
      <c r="J574" s="469" t="n"/>
      <c r="K574" s="469" t="n"/>
      <c r="L574" s="469" t="n"/>
      <c r="M574" s="469" t="n"/>
      <c r="N574" s="469" t="n"/>
      <c r="O574" s="469" t="n"/>
      <c r="P574" s="471" t="n"/>
      <c r="Q574" s="469" t="n"/>
      <c r="R574" s="469" t="n"/>
      <c r="S574" s="469" t="n"/>
      <c r="T574" s="469" t="n"/>
      <c r="U574" s="469" t="n"/>
      <c r="V574" s="469" t="n"/>
      <c r="W574" s="469" t="n"/>
      <c r="X574" s="469" t="n"/>
      <c r="Y574" s="469" t="n"/>
      <c r="Z574" s="469" t="n"/>
      <c r="AA574" s="469" t="n"/>
    </row>
    <row r="575">
      <c r="A575" s="468" t="n"/>
      <c r="B575" s="469" t="n"/>
      <c r="C575" s="469" t="n"/>
      <c r="D575" s="469" t="n"/>
      <c r="E575" s="469" t="n"/>
      <c r="F575" s="469" t="n"/>
      <c r="G575" s="469" t="n"/>
      <c r="H575" s="469" t="n"/>
      <c r="I575" s="469" t="n"/>
      <c r="J575" s="469" t="n"/>
      <c r="K575" s="469" t="n"/>
      <c r="L575" s="469" t="n"/>
      <c r="M575" s="469" t="n"/>
      <c r="N575" s="469" t="n"/>
      <c r="O575" s="469" t="n"/>
      <c r="P575" s="471" t="n"/>
      <c r="Q575" s="469" t="n"/>
      <c r="R575" s="469" t="n"/>
      <c r="S575" s="469" t="n"/>
      <c r="T575" s="469" t="n"/>
      <c r="U575" s="469" t="n"/>
      <c r="V575" s="469" t="n"/>
      <c r="W575" s="469" t="n"/>
      <c r="X575" s="469" t="n"/>
      <c r="Y575" s="469" t="n"/>
      <c r="Z575" s="469" t="n"/>
      <c r="AA575" s="469" t="n"/>
    </row>
    <row r="576">
      <c r="A576" s="468" t="n"/>
      <c r="B576" s="469" t="n"/>
      <c r="C576" s="469" t="n"/>
      <c r="D576" s="469" t="n"/>
      <c r="E576" s="469" t="n"/>
      <c r="F576" s="469" t="n"/>
      <c r="G576" s="469" t="n"/>
      <c r="H576" s="469" t="n"/>
      <c r="I576" s="469" t="n"/>
      <c r="J576" s="469" t="n"/>
      <c r="K576" s="469" t="n"/>
      <c r="L576" s="469" t="n"/>
      <c r="M576" s="469" t="n"/>
      <c r="N576" s="469" t="n"/>
      <c r="O576" s="469" t="n"/>
      <c r="P576" s="471" t="n"/>
      <c r="Q576" s="469" t="n"/>
      <c r="R576" s="469" t="n"/>
      <c r="S576" s="469" t="n"/>
      <c r="T576" s="469" t="n"/>
      <c r="U576" s="469" t="n"/>
      <c r="V576" s="469" t="n"/>
      <c r="W576" s="469" t="n"/>
      <c r="X576" s="469" t="n"/>
      <c r="Y576" s="469" t="n"/>
      <c r="Z576" s="469" t="n"/>
      <c r="AA576" s="469" t="n"/>
    </row>
    <row r="577">
      <c r="A577" s="468" t="n"/>
      <c r="B577" s="469" t="n"/>
      <c r="C577" s="469" t="n"/>
      <c r="D577" s="469" t="n"/>
      <c r="E577" s="469" t="n"/>
      <c r="F577" s="469" t="n"/>
      <c r="G577" s="469" t="n"/>
      <c r="H577" s="469" t="n"/>
      <c r="I577" s="469" t="n"/>
      <c r="J577" s="469" t="n"/>
      <c r="K577" s="469" t="n"/>
      <c r="L577" s="469" t="n"/>
      <c r="M577" s="469" t="n"/>
      <c r="N577" s="469" t="n"/>
      <c r="O577" s="469" t="n"/>
      <c r="P577" s="471" t="n"/>
      <c r="Q577" s="469" t="n"/>
      <c r="R577" s="469" t="n"/>
      <c r="S577" s="469" t="n"/>
      <c r="T577" s="469" t="n"/>
      <c r="U577" s="469" t="n"/>
      <c r="V577" s="469" t="n"/>
      <c r="W577" s="469" t="n"/>
      <c r="X577" s="469" t="n"/>
      <c r="Y577" s="469" t="n"/>
      <c r="Z577" s="469" t="n"/>
      <c r="AA577" s="469" t="n"/>
    </row>
    <row r="578">
      <c r="A578" s="468" t="n"/>
      <c r="B578" s="469" t="n"/>
      <c r="C578" s="469" t="n"/>
      <c r="D578" s="469" t="n"/>
      <c r="E578" s="469" t="n"/>
      <c r="F578" s="469" t="n"/>
      <c r="G578" s="469" t="n"/>
      <c r="H578" s="469" t="n"/>
      <c r="I578" s="469" t="n"/>
      <c r="J578" s="469" t="n"/>
      <c r="K578" s="469" t="n"/>
      <c r="L578" s="469" t="n"/>
      <c r="M578" s="469" t="n"/>
      <c r="N578" s="469" t="n"/>
      <c r="O578" s="469" t="n"/>
      <c r="P578" s="471" t="n"/>
      <c r="Q578" s="469" t="n"/>
      <c r="R578" s="469" t="n"/>
      <c r="S578" s="469" t="n"/>
      <c r="T578" s="469" t="n"/>
      <c r="U578" s="469" t="n"/>
      <c r="V578" s="469" t="n"/>
      <c r="W578" s="469" t="n"/>
      <c r="X578" s="469" t="n"/>
      <c r="Y578" s="469" t="n"/>
      <c r="Z578" s="469" t="n"/>
      <c r="AA578" s="469" t="n"/>
    </row>
    <row r="579">
      <c r="A579" s="468" t="n"/>
      <c r="B579" s="469" t="n"/>
      <c r="C579" s="469" t="n"/>
      <c r="D579" s="469" t="n"/>
      <c r="E579" s="469" t="n"/>
      <c r="F579" s="469" t="n"/>
      <c r="G579" s="469" t="n"/>
      <c r="H579" s="469" t="n"/>
      <c r="I579" s="469" t="n"/>
      <c r="J579" s="469" t="n"/>
      <c r="K579" s="469" t="n"/>
      <c r="L579" s="469" t="n"/>
      <c r="M579" s="469" t="n"/>
      <c r="N579" s="469" t="n"/>
      <c r="O579" s="469" t="n"/>
      <c r="P579" s="471" t="n"/>
      <c r="Q579" s="469" t="n"/>
      <c r="R579" s="469" t="n"/>
      <c r="S579" s="469" t="n"/>
      <c r="T579" s="469" t="n"/>
      <c r="U579" s="469" t="n"/>
      <c r="V579" s="469" t="n"/>
      <c r="W579" s="469" t="n"/>
      <c r="X579" s="469" t="n"/>
      <c r="Y579" s="469" t="n"/>
      <c r="Z579" s="469" t="n"/>
      <c r="AA579" s="469" t="n"/>
    </row>
    <row r="580">
      <c r="A580" s="468" t="n"/>
      <c r="B580" s="469" t="n"/>
      <c r="C580" s="469" t="n"/>
      <c r="D580" s="469" t="n"/>
      <c r="E580" s="469" t="n"/>
      <c r="F580" s="469" t="n"/>
      <c r="G580" s="469" t="n"/>
      <c r="H580" s="469" t="n"/>
      <c r="I580" s="469" t="n"/>
      <c r="J580" s="469" t="n"/>
      <c r="K580" s="469" t="n"/>
      <c r="L580" s="469" t="n"/>
      <c r="M580" s="469" t="n"/>
      <c r="N580" s="469" t="n"/>
      <c r="O580" s="469" t="n"/>
      <c r="P580" s="471" t="n"/>
      <c r="Q580" s="469" t="n"/>
      <c r="R580" s="469" t="n"/>
      <c r="S580" s="469" t="n"/>
      <c r="T580" s="469" t="n"/>
      <c r="U580" s="469" t="n"/>
      <c r="V580" s="469" t="n"/>
      <c r="W580" s="469" t="n"/>
      <c r="X580" s="469" t="n"/>
      <c r="Y580" s="469" t="n"/>
      <c r="Z580" s="469" t="n"/>
      <c r="AA580" s="469" t="n"/>
    </row>
    <row r="581">
      <c r="A581" s="468" t="n"/>
      <c r="B581" s="469" t="n"/>
      <c r="C581" s="469" t="n"/>
      <c r="D581" s="469" t="n"/>
      <c r="E581" s="469" t="n"/>
      <c r="F581" s="469" t="n"/>
      <c r="G581" s="469" t="n"/>
      <c r="H581" s="469" t="n"/>
      <c r="I581" s="469" t="n"/>
      <c r="J581" s="469" t="n"/>
      <c r="K581" s="469" t="n"/>
      <c r="L581" s="469" t="n"/>
      <c r="M581" s="469" t="n"/>
      <c r="N581" s="469" t="n"/>
      <c r="O581" s="469" t="n"/>
      <c r="P581" s="471" t="n"/>
      <c r="Q581" s="469" t="n"/>
      <c r="R581" s="469" t="n"/>
      <c r="S581" s="469" t="n"/>
      <c r="T581" s="469" t="n"/>
      <c r="U581" s="469" t="n"/>
      <c r="V581" s="469" t="n"/>
      <c r="W581" s="469" t="n"/>
      <c r="X581" s="469" t="n"/>
      <c r="Y581" s="469" t="n"/>
      <c r="Z581" s="469" t="n"/>
      <c r="AA581" s="469" t="n"/>
    </row>
    <row r="582">
      <c r="A582" s="468" t="n"/>
      <c r="B582" s="469" t="n"/>
      <c r="C582" s="469" t="n"/>
      <c r="D582" s="469" t="n"/>
      <c r="E582" s="469" t="n"/>
      <c r="F582" s="469" t="n"/>
      <c r="G582" s="469" t="n"/>
      <c r="H582" s="469" t="n"/>
      <c r="I582" s="469" t="n"/>
      <c r="J582" s="469" t="n"/>
      <c r="K582" s="469" t="n"/>
      <c r="L582" s="469" t="n"/>
      <c r="M582" s="469" t="n"/>
      <c r="N582" s="469" t="n"/>
      <c r="O582" s="469" t="n"/>
      <c r="P582" s="471" t="n"/>
      <c r="Q582" s="469" t="n"/>
      <c r="R582" s="469" t="n"/>
      <c r="S582" s="469" t="n"/>
      <c r="T582" s="469" t="n"/>
      <c r="U582" s="469" t="n"/>
      <c r="V582" s="469" t="n"/>
      <c r="W582" s="469" t="n"/>
      <c r="X582" s="469" t="n"/>
      <c r="Y582" s="469" t="n"/>
      <c r="Z582" s="469" t="n"/>
      <c r="AA582" s="469" t="n"/>
    </row>
    <row r="583">
      <c r="A583" s="468" t="n"/>
      <c r="B583" s="469" t="n"/>
      <c r="C583" s="469" t="n"/>
      <c r="D583" s="469" t="n"/>
      <c r="E583" s="469" t="n"/>
      <c r="F583" s="469" t="n"/>
      <c r="G583" s="469" t="n"/>
      <c r="H583" s="469" t="n"/>
      <c r="I583" s="469" t="n"/>
      <c r="J583" s="469" t="n"/>
      <c r="K583" s="469" t="n"/>
      <c r="L583" s="469" t="n"/>
      <c r="M583" s="469" t="n"/>
      <c r="N583" s="469" t="n"/>
      <c r="O583" s="469" t="n"/>
      <c r="P583" s="471" t="n"/>
      <c r="Q583" s="469" t="n"/>
      <c r="R583" s="469" t="n"/>
      <c r="S583" s="469" t="n"/>
      <c r="T583" s="469" t="n"/>
      <c r="U583" s="469" t="n"/>
      <c r="V583" s="469" t="n"/>
      <c r="W583" s="469" t="n"/>
      <c r="X583" s="469" t="n"/>
      <c r="Y583" s="469" t="n"/>
      <c r="Z583" s="469" t="n"/>
      <c r="AA583" s="469" t="n"/>
    </row>
    <row r="584">
      <c r="A584" s="468" t="n"/>
      <c r="B584" s="469" t="n"/>
      <c r="C584" s="469" t="n"/>
      <c r="D584" s="469" t="n"/>
      <c r="E584" s="469" t="n"/>
      <c r="F584" s="469" t="n"/>
      <c r="G584" s="469" t="n"/>
      <c r="H584" s="469" t="n"/>
      <c r="I584" s="469" t="n"/>
      <c r="J584" s="469" t="n"/>
      <c r="K584" s="469" t="n"/>
      <c r="L584" s="469" t="n"/>
      <c r="M584" s="469" t="n"/>
      <c r="N584" s="469" t="n"/>
      <c r="O584" s="469" t="n"/>
      <c r="P584" s="471" t="n"/>
      <c r="Q584" s="469" t="n"/>
      <c r="R584" s="469" t="n"/>
      <c r="S584" s="469" t="n"/>
      <c r="T584" s="469" t="n"/>
      <c r="U584" s="469" t="n"/>
      <c r="V584" s="469" t="n"/>
      <c r="W584" s="469" t="n"/>
      <c r="X584" s="469" t="n"/>
      <c r="Y584" s="469" t="n"/>
      <c r="Z584" s="469" t="n"/>
      <c r="AA584" s="469" t="n"/>
    </row>
    <row r="585">
      <c r="A585" s="468" t="n"/>
      <c r="B585" s="469" t="n"/>
      <c r="C585" s="469" t="n"/>
      <c r="D585" s="469" t="n"/>
      <c r="E585" s="469" t="n"/>
      <c r="F585" s="469" t="n"/>
      <c r="G585" s="469" t="n"/>
      <c r="H585" s="469" t="n"/>
      <c r="I585" s="469" t="n"/>
      <c r="J585" s="469" t="n"/>
      <c r="K585" s="469" t="n"/>
      <c r="L585" s="469" t="n"/>
      <c r="M585" s="469" t="n"/>
      <c r="N585" s="469" t="n"/>
      <c r="O585" s="469" t="n"/>
      <c r="P585" s="471" t="n"/>
      <c r="Q585" s="469" t="n"/>
      <c r="R585" s="469" t="n"/>
      <c r="S585" s="469" t="n"/>
      <c r="T585" s="469" t="n"/>
      <c r="U585" s="469" t="n"/>
      <c r="V585" s="469" t="n"/>
      <c r="W585" s="469" t="n"/>
      <c r="X585" s="469" t="n"/>
      <c r="Y585" s="469" t="n"/>
      <c r="Z585" s="469" t="n"/>
      <c r="AA585" s="469" t="n"/>
    </row>
    <row r="586">
      <c r="A586" s="468" t="n"/>
      <c r="B586" s="469" t="n"/>
      <c r="C586" s="469" t="n"/>
      <c r="D586" s="469" t="n"/>
      <c r="E586" s="469" t="n"/>
      <c r="F586" s="469" t="n"/>
      <c r="G586" s="469" t="n"/>
      <c r="H586" s="469" t="n"/>
      <c r="I586" s="469" t="n"/>
      <c r="J586" s="469" t="n"/>
      <c r="K586" s="469" t="n"/>
      <c r="L586" s="469" t="n"/>
      <c r="M586" s="469" t="n"/>
      <c r="N586" s="469" t="n"/>
      <c r="O586" s="469" t="n"/>
      <c r="P586" s="471" t="n"/>
      <c r="Q586" s="469" t="n"/>
      <c r="R586" s="469" t="n"/>
      <c r="S586" s="469" t="n"/>
      <c r="T586" s="469" t="n"/>
      <c r="U586" s="469" t="n"/>
      <c r="V586" s="469" t="n"/>
      <c r="W586" s="469" t="n"/>
      <c r="X586" s="469" t="n"/>
      <c r="Y586" s="469" t="n"/>
      <c r="Z586" s="469" t="n"/>
      <c r="AA586" s="469" t="n"/>
    </row>
    <row r="587">
      <c r="A587" s="468" t="n"/>
      <c r="B587" s="469" t="n"/>
      <c r="C587" s="469" t="n"/>
      <c r="D587" s="469" t="n"/>
      <c r="E587" s="469" t="n"/>
      <c r="F587" s="469" t="n"/>
      <c r="G587" s="469" t="n"/>
      <c r="H587" s="469" t="n"/>
      <c r="I587" s="469" t="n"/>
      <c r="J587" s="469" t="n"/>
      <c r="K587" s="469" t="n"/>
      <c r="L587" s="469" t="n"/>
      <c r="M587" s="469" t="n"/>
      <c r="N587" s="469" t="n"/>
      <c r="O587" s="469" t="n"/>
      <c r="P587" s="471" t="n"/>
      <c r="Q587" s="469" t="n"/>
      <c r="R587" s="469" t="n"/>
      <c r="S587" s="469" t="n"/>
      <c r="T587" s="469" t="n"/>
      <c r="U587" s="469" t="n"/>
      <c r="V587" s="469" t="n"/>
      <c r="W587" s="469" t="n"/>
      <c r="X587" s="469" t="n"/>
      <c r="Y587" s="469" t="n"/>
      <c r="Z587" s="469" t="n"/>
      <c r="AA587" s="469" t="n"/>
    </row>
    <row r="588">
      <c r="A588" s="468" t="n"/>
      <c r="B588" s="469" t="n"/>
      <c r="C588" s="469" t="n"/>
      <c r="D588" s="469" t="n"/>
      <c r="E588" s="469" t="n"/>
      <c r="F588" s="469" t="n"/>
      <c r="G588" s="469" t="n"/>
      <c r="H588" s="469" t="n"/>
      <c r="I588" s="469" t="n"/>
      <c r="J588" s="469" t="n"/>
      <c r="K588" s="469" t="n"/>
      <c r="L588" s="469" t="n"/>
      <c r="M588" s="469" t="n"/>
      <c r="N588" s="469" t="n"/>
      <c r="O588" s="469" t="n"/>
      <c r="P588" s="471" t="n"/>
      <c r="Q588" s="469" t="n"/>
      <c r="R588" s="469" t="n"/>
      <c r="S588" s="469" t="n"/>
      <c r="T588" s="469" t="n"/>
      <c r="U588" s="469" t="n"/>
      <c r="V588" s="469" t="n"/>
      <c r="W588" s="469" t="n"/>
      <c r="X588" s="469" t="n"/>
      <c r="Y588" s="469" t="n"/>
      <c r="Z588" s="469" t="n"/>
      <c r="AA588" s="469" t="n"/>
    </row>
    <row r="589">
      <c r="A589" s="468" t="n"/>
      <c r="B589" s="469" t="n"/>
      <c r="C589" s="469" t="n"/>
      <c r="D589" s="469" t="n"/>
      <c r="E589" s="469" t="n"/>
      <c r="F589" s="469" t="n"/>
      <c r="G589" s="469" t="n"/>
      <c r="H589" s="469" t="n"/>
      <c r="I589" s="469" t="n"/>
      <c r="J589" s="469" t="n"/>
      <c r="K589" s="469" t="n"/>
      <c r="L589" s="469" t="n"/>
      <c r="M589" s="469" t="n"/>
      <c r="N589" s="469" t="n"/>
      <c r="O589" s="469" t="n"/>
      <c r="P589" s="471" t="n"/>
      <c r="Q589" s="469" t="n"/>
      <c r="R589" s="469" t="n"/>
      <c r="S589" s="469" t="n"/>
      <c r="T589" s="469" t="n"/>
      <c r="U589" s="469" t="n"/>
      <c r="V589" s="469" t="n"/>
      <c r="W589" s="469" t="n"/>
      <c r="X589" s="469" t="n"/>
      <c r="Y589" s="469" t="n"/>
      <c r="Z589" s="469" t="n"/>
      <c r="AA589" s="469" t="n"/>
    </row>
    <row r="590">
      <c r="A590" s="468" t="n"/>
      <c r="B590" s="469" t="n"/>
      <c r="C590" s="469" t="n"/>
      <c r="D590" s="469" t="n"/>
      <c r="E590" s="469" t="n"/>
      <c r="F590" s="469" t="n"/>
      <c r="G590" s="469" t="n"/>
      <c r="H590" s="469" t="n"/>
      <c r="I590" s="469" t="n"/>
      <c r="J590" s="469" t="n"/>
      <c r="K590" s="469" t="n"/>
      <c r="L590" s="469" t="n"/>
      <c r="M590" s="469" t="n"/>
      <c r="N590" s="469" t="n"/>
      <c r="O590" s="469" t="n"/>
      <c r="P590" s="471" t="n"/>
      <c r="Q590" s="469" t="n"/>
      <c r="R590" s="469" t="n"/>
      <c r="S590" s="469" t="n"/>
      <c r="T590" s="469" t="n"/>
      <c r="U590" s="469" t="n"/>
      <c r="V590" s="469" t="n"/>
      <c r="W590" s="469" t="n"/>
      <c r="X590" s="469" t="n"/>
      <c r="Y590" s="469" t="n"/>
      <c r="Z590" s="469" t="n"/>
      <c r="AA590" s="469" t="n"/>
    </row>
    <row r="591">
      <c r="A591" s="468" t="n"/>
      <c r="B591" s="469" t="n"/>
      <c r="C591" s="469" t="n"/>
      <c r="D591" s="469" t="n"/>
      <c r="E591" s="469" t="n"/>
      <c r="F591" s="469" t="n"/>
      <c r="G591" s="469" t="n"/>
      <c r="H591" s="469" t="n"/>
      <c r="I591" s="469" t="n"/>
      <c r="J591" s="469" t="n"/>
      <c r="K591" s="469" t="n"/>
      <c r="L591" s="469" t="n"/>
      <c r="M591" s="469" t="n"/>
      <c r="N591" s="469" t="n"/>
      <c r="O591" s="469" t="n"/>
      <c r="P591" s="471" t="n"/>
      <c r="Q591" s="469" t="n"/>
      <c r="R591" s="469" t="n"/>
      <c r="S591" s="469" t="n"/>
      <c r="T591" s="469" t="n"/>
      <c r="U591" s="469" t="n"/>
      <c r="V591" s="469" t="n"/>
      <c r="W591" s="469" t="n"/>
      <c r="X591" s="469" t="n"/>
      <c r="Y591" s="469" t="n"/>
      <c r="Z591" s="469" t="n"/>
      <c r="AA591" s="469" t="n"/>
    </row>
    <row r="592">
      <c r="A592" s="468" t="n"/>
      <c r="B592" s="469" t="n"/>
      <c r="C592" s="469" t="n"/>
      <c r="D592" s="469" t="n"/>
      <c r="E592" s="469" t="n"/>
      <c r="F592" s="469" t="n"/>
      <c r="G592" s="469" t="n"/>
      <c r="H592" s="469" t="n"/>
      <c r="I592" s="469" t="n"/>
      <c r="J592" s="469" t="n"/>
      <c r="K592" s="469" t="n"/>
      <c r="L592" s="469" t="n"/>
      <c r="M592" s="469" t="n"/>
      <c r="N592" s="469" t="n"/>
      <c r="O592" s="469" t="n"/>
      <c r="P592" s="471" t="n"/>
      <c r="Q592" s="469" t="n"/>
      <c r="R592" s="469" t="n"/>
      <c r="S592" s="469" t="n"/>
      <c r="T592" s="469" t="n"/>
      <c r="U592" s="469" t="n"/>
      <c r="V592" s="469" t="n"/>
      <c r="W592" s="469" t="n"/>
      <c r="X592" s="469" t="n"/>
      <c r="Y592" s="469" t="n"/>
      <c r="Z592" s="469" t="n"/>
      <c r="AA592" s="469" t="n"/>
    </row>
    <row r="593">
      <c r="A593" s="468" t="n"/>
      <c r="B593" s="469" t="n"/>
      <c r="C593" s="469" t="n"/>
      <c r="D593" s="469" t="n"/>
      <c r="E593" s="469" t="n"/>
      <c r="F593" s="469" t="n"/>
      <c r="G593" s="469" t="n"/>
      <c r="H593" s="469" t="n"/>
      <c r="I593" s="469" t="n"/>
      <c r="J593" s="469" t="n"/>
      <c r="K593" s="469" t="n"/>
      <c r="L593" s="469" t="n"/>
      <c r="M593" s="469" t="n"/>
      <c r="N593" s="469" t="n"/>
      <c r="O593" s="469" t="n"/>
      <c r="P593" s="471" t="n"/>
      <c r="Q593" s="469" t="n"/>
      <c r="R593" s="469" t="n"/>
      <c r="S593" s="469" t="n"/>
      <c r="T593" s="469" t="n"/>
      <c r="U593" s="469" t="n"/>
      <c r="V593" s="469" t="n"/>
      <c r="W593" s="469" t="n"/>
      <c r="X593" s="469" t="n"/>
      <c r="Y593" s="469" t="n"/>
      <c r="Z593" s="469" t="n"/>
      <c r="AA593" s="469" t="n"/>
    </row>
    <row r="594">
      <c r="A594" s="468" t="n"/>
      <c r="B594" s="469" t="n"/>
      <c r="C594" s="469" t="n"/>
      <c r="D594" s="469" t="n"/>
      <c r="E594" s="469" t="n"/>
      <c r="F594" s="469" t="n"/>
      <c r="G594" s="469" t="n"/>
      <c r="H594" s="469" t="n"/>
      <c r="I594" s="469" t="n"/>
      <c r="J594" s="469" t="n"/>
      <c r="K594" s="469" t="n"/>
      <c r="L594" s="469" t="n"/>
      <c r="M594" s="469" t="n"/>
      <c r="N594" s="469" t="n"/>
      <c r="O594" s="469" t="n"/>
      <c r="P594" s="471" t="n"/>
      <c r="Q594" s="469" t="n"/>
      <c r="R594" s="469" t="n"/>
      <c r="S594" s="469" t="n"/>
      <c r="T594" s="469" t="n"/>
      <c r="U594" s="469" t="n"/>
      <c r="V594" s="469" t="n"/>
      <c r="W594" s="469" t="n"/>
      <c r="X594" s="469" t="n"/>
      <c r="Y594" s="469" t="n"/>
      <c r="Z594" s="469" t="n"/>
      <c r="AA594" s="469" t="n"/>
    </row>
    <row r="595">
      <c r="A595" s="468" t="n"/>
      <c r="B595" s="469" t="n"/>
      <c r="C595" s="469" t="n"/>
      <c r="D595" s="469" t="n"/>
      <c r="E595" s="469" t="n"/>
      <c r="F595" s="469" t="n"/>
      <c r="G595" s="469" t="n"/>
      <c r="H595" s="469" t="n"/>
      <c r="I595" s="469" t="n"/>
      <c r="J595" s="469" t="n"/>
      <c r="K595" s="469" t="n"/>
      <c r="L595" s="469" t="n"/>
      <c r="M595" s="469" t="n"/>
      <c r="N595" s="469" t="n"/>
      <c r="O595" s="469" t="n"/>
      <c r="P595" s="471" t="n"/>
      <c r="Q595" s="469" t="n"/>
      <c r="R595" s="469" t="n"/>
      <c r="S595" s="469" t="n"/>
      <c r="T595" s="469" t="n"/>
      <c r="U595" s="469" t="n"/>
      <c r="V595" s="469" t="n"/>
      <c r="W595" s="469" t="n"/>
      <c r="X595" s="469" t="n"/>
      <c r="Y595" s="469" t="n"/>
      <c r="Z595" s="469" t="n"/>
      <c r="AA595" s="469" t="n"/>
    </row>
    <row r="596">
      <c r="A596" s="468" t="n"/>
      <c r="B596" s="469" t="n"/>
      <c r="C596" s="469" t="n"/>
      <c r="D596" s="469" t="n"/>
      <c r="E596" s="469" t="n"/>
      <c r="F596" s="469" t="n"/>
      <c r="G596" s="469" t="n"/>
      <c r="H596" s="469" t="n"/>
      <c r="I596" s="469" t="n"/>
      <c r="J596" s="469" t="n"/>
      <c r="K596" s="469" t="n"/>
      <c r="L596" s="469" t="n"/>
      <c r="M596" s="469" t="n"/>
      <c r="N596" s="469" t="n"/>
      <c r="O596" s="469" t="n"/>
      <c r="P596" s="471" t="n"/>
      <c r="Q596" s="469" t="n"/>
      <c r="R596" s="469" t="n"/>
      <c r="S596" s="469" t="n"/>
      <c r="T596" s="469" t="n"/>
      <c r="U596" s="469" t="n"/>
      <c r="V596" s="469" t="n"/>
      <c r="W596" s="469" t="n"/>
      <c r="X596" s="469" t="n"/>
      <c r="Y596" s="469" t="n"/>
      <c r="Z596" s="469" t="n"/>
      <c r="AA596" s="469" t="n"/>
    </row>
    <row r="597">
      <c r="A597" s="468" t="n"/>
      <c r="B597" s="469" t="n"/>
      <c r="C597" s="469" t="n"/>
      <c r="D597" s="469" t="n"/>
      <c r="E597" s="469" t="n"/>
      <c r="F597" s="469" t="n"/>
      <c r="G597" s="469" t="n"/>
      <c r="H597" s="469" t="n"/>
      <c r="I597" s="469" t="n"/>
      <c r="J597" s="469" t="n"/>
      <c r="K597" s="469" t="n"/>
      <c r="L597" s="469" t="n"/>
      <c r="M597" s="469" t="n"/>
      <c r="N597" s="469" t="n"/>
      <c r="O597" s="469" t="n"/>
      <c r="P597" s="471" t="n"/>
      <c r="Q597" s="469" t="n"/>
      <c r="R597" s="469" t="n"/>
      <c r="S597" s="469" t="n"/>
      <c r="T597" s="469" t="n"/>
      <c r="U597" s="469" t="n"/>
      <c r="V597" s="469" t="n"/>
      <c r="W597" s="469" t="n"/>
      <c r="X597" s="469" t="n"/>
      <c r="Y597" s="469" t="n"/>
      <c r="Z597" s="469" t="n"/>
      <c r="AA597" s="469" t="n"/>
    </row>
    <row r="598">
      <c r="A598" s="468" t="n"/>
      <c r="B598" s="469" t="n"/>
      <c r="C598" s="469" t="n"/>
      <c r="D598" s="469" t="n"/>
      <c r="E598" s="469" t="n"/>
      <c r="F598" s="469" t="n"/>
      <c r="G598" s="469" t="n"/>
      <c r="H598" s="469" t="n"/>
      <c r="I598" s="469" t="n"/>
      <c r="J598" s="469" t="n"/>
      <c r="K598" s="469" t="n"/>
      <c r="L598" s="469" t="n"/>
      <c r="M598" s="469" t="n"/>
      <c r="N598" s="469" t="n"/>
      <c r="O598" s="469" t="n"/>
      <c r="P598" s="471" t="n"/>
      <c r="Q598" s="469" t="n"/>
      <c r="R598" s="469" t="n"/>
      <c r="S598" s="469" t="n"/>
      <c r="T598" s="469" t="n"/>
      <c r="U598" s="469" t="n"/>
      <c r="V598" s="469" t="n"/>
      <c r="W598" s="469" t="n"/>
      <c r="X598" s="469" t="n"/>
      <c r="Y598" s="469" t="n"/>
      <c r="Z598" s="469" t="n"/>
      <c r="AA598" s="469" t="n"/>
    </row>
    <row r="599">
      <c r="A599" s="468" t="n"/>
      <c r="B599" s="469" t="n"/>
      <c r="C599" s="469" t="n"/>
      <c r="D599" s="469" t="n"/>
      <c r="E599" s="469" t="n"/>
      <c r="F599" s="469" t="n"/>
      <c r="G599" s="469" t="n"/>
      <c r="H599" s="469" t="n"/>
      <c r="I599" s="469" t="n"/>
      <c r="J599" s="469" t="n"/>
      <c r="K599" s="469" t="n"/>
      <c r="L599" s="469" t="n"/>
      <c r="M599" s="469" t="n"/>
      <c r="N599" s="469" t="n"/>
      <c r="O599" s="469" t="n"/>
      <c r="P599" s="471" t="n"/>
      <c r="Q599" s="469" t="n"/>
      <c r="R599" s="469" t="n"/>
      <c r="S599" s="469" t="n"/>
      <c r="T599" s="469" t="n"/>
      <c r="U599" s="469" t="n"/>
      <c r="V599" s="469" t="n"/>
      <c r="W599" s="469" t="n"/>
      <c r="X599" s="469" t="n"/>
      <c r="Y599" s="469" t="n"/>
      <c r="Z599" s="469" t="n"/>
      <c r="AA599" s="469" t="n"/>
    </row>
    <row r="600">
      <c r="A600" s="468" t="n"/>
      <c r="B600" s="469" t="n"/>
      <c r="C600" s="469" t="n"/>
      <c r="D600" s="469" t="n"/>
      <c r="E600" s="469" t="n"/>
      <c r="F600" s="469" t="n"/>
      <c r="G600" s="469" t="n"/>
      <c r="H600" s="469" t="n"/>
      <c r="I600" s="469" t="n"/>
      <c r="J600" s="469" t="n"/>
      <c r="K600" s="469" t="n"/>
      <c r="L600" s="469" t="n"/>
      <c r="M600" s="469" t="n"/>
      <c r="N600" s="469" t="n"/>
      <c r="O600" s="469" t="n"/>
      <c r="P600" s="471" t="n"/>
      <c r="Q600" s="469" t="n"/>
      <c r="R600" s="469" t="n"/>
      <c r="S600" s="469" t="n"/>
      <c r="T600" s="469" t="n"/>
      <c r="U600" s="469" t="n"/>
      <c r="V600" s="469" t="n"/>
      <c r="W600" s="469" t="n"/>
      <c r="X600" s="469" t="n"/>
      <c r="Y600" s="469" t="n"/>
      <c r="Z600" s="469" t="n"/>
      <c r="AA600" s="469" t="n"/>
    </row>
    <row r="601">
      <c r="A601" s="468" t="n"/>
      <c r="B601" s="469" t="n"/>
      <c r="C601" s="469" t="n"/>
      <c r="D601" s="469" t="n"/>
      <c r="E601" s="469" t="n"/>
      <c r="F601" s="469" t="n"/>
      <c r="G601" s="469" t="n"/>
      <c r="H601" s="469" t="n"/>
      <c r="I601" s="469" t="n"/>
      <c r="J601" s="469" t="n"/>
      <c r="K601" s="469" t="n"/>
      <c r="L601" s="469" t="n"/>
      <c r="M601" s="469" t="n"/>
      <c r="N601" s="469" t="n"/>
      <c r="O601" s="469" t="n"/>
      <c r="P601" s="471" t="n"/>
      <c r="Q601" s="469" t="n"/>
      <c r="R601" s="469" t="n"/>
      <c r="S601" s="469" t="n"/>
      <c r="T601" s="469" t="n"/>
      <c r="U601" s="469" t="n"/>
      <c r="V601" s="469" t="n"/>
      <c r="W601" s="469" t="n"/>
      <c r="X601" s="469" t="n"/>
      <c r="Y601" s="469" t="n"/>
      <c r="Z601" s="469" t="n"/>
      <c r="AA601" s="469" t="n"/>
    </row>
    <row r="602">
      <c r="A602" s="468" t="n"/>
      <c r="B602" s="469" t="n"/>
      <c r="C602" s="469" t="n"/>
      <c r="D602" s="469" t="n"/>
      <c r="E602" s="469" t="n"/>
      <c r="F602" s="469" t="n"/>
      <c r="G602" s="469" t="n"/>
      <c r="H602" s="469" t="n"/>
      <c r="I602" s="469" t="n"/>
      <c r="J602" s="469" t="n"/>
      <c r="K602" s="469" t="n"/>
      <c r="L602" s="469" t="n"/>
      <c r="M602" s="469" t="n"/>
      <c r="N602" s="469" t="n"/>
      <c r="O602" s="469" t="n"/>
      <c r="P602" s="471" t="n"/>
      <c r="Q602" s="469" t="n"/>
      <c r="R602" s="469" t="n"/>
      <c r="S602" s="469" t="n"/>
      <c r="T602" s="469" t="n"/>
      <c r="U602" s="469" t="n"/>
      <c r="V602" s="469" t="n"/>
      <c r="W602" s="469" t="n"/>
      <c r="X602" s="469" t="n"/>
      <c r="Y602" s="469" t="n"/>
      <c r="Z602" s="469" t="n"/>
      <c r="AA602" s="469" t="n"/>
    </row>
    <row r="603">
      <c r="A603" s="468" t="n"/>
      <c r="B603" s="469" t="n"/>
      <c r="C603" s="469" t="n"/>
      <c r="D603" s="469" t="n"/>
      <c r="E603" s="469" t="n"/>
      <c r="F603" s="469" t="n"/>
      <c r="G603" s="469" t="n"/>
      <c r="H603" s="469" t="n"/>
      <c r="I603" s="469" t="n"/>
      <c r="J603" s="469" t="n"/>
      <c r="K603" s="469" t="n"/>
      <c r="L603" s="469" t="n"/>
      <c r="M603" s="469" t="n"/>
      <c r="N603" s="469" t="n"/>
      <c r="O603" s="469" t="n"/>
      <c r="P603" s="471" t="n"/>
      <c r="Q603" s="469" t="n"/>
      <c r="R603" s="469" t="n"/>
      <c r="S603" s="469" t="n"/>
      <c r="T603" s="469" t="n"/>
      <c r="U603" s="469" t="n"/>
      <c r="V603" s="469" t="n"/>
      <c r="W603" s="469" t="n"/>
      <c r="X603" s="469" t="n"/>
      <c r="Y603" s="469" t="n"/>
      <c r="Z603" s="469" t="n"/>
      <c r="AA603" s="469" t="n"/>
    </row>
    <row r="604">
      <c r="A604" s="468" t="n"/>
      <c r="B604" s="469" t="n"/>
      <c r="C604" s="469" t="n"/>
      <c r="D604" s="469" t="n"/>
      <c r="E604" s="469" t="n"/>
      <c r="F604" s="469" t="n"/>
      <c r="G604" s="469" t="n"/>
      <c r="H604" s="469" t="n"/>
      <c r="I604" s="469" t="n"/>
      <c r="J604" s="469" t="n"/>
      <c r="K604" s="469" t="n"/>
      <c r="L604" s="469" t="n"/>
      <c r="M604" s="469" t="n"/>
      <c r="N604" s="469" t="n"/>
      <c r="O604" s="469" t="n"/>
      <c r="P604" s="471" t="n"/>
      <c r="Q604" s="469" t="n"/>
      <c r="R604" s="469" t="n"/>
      <c r="S604" s="469" t="n"/>
      <c r="T604" s="469" t="n"/>
      <c r="U604" s="469" t="n"/>
      <c r="V604" s="469" t="n"/>
      <c r="W604" s="469" t="n"/>
      <c r="X604" s="469" t="n"/>
      <c r="Y604" s="469" t="n"/>
      <c r="Z604" s="469" t="n"/>
      <c r="AA604" s="469" t="n"/>
    </row>
    <row r="605">
      <c r="A605" s="468" t="n"/>
      <c r="B605" s="469" t="n"/>
      <c r="C605" s="469" t="n"/>
      <c r="D605" s="469" t="n"/>
      <c r="E605" s="469" t="n"/>
      <c r="F605" s="469" t="n"/>
      <c r="G605" s="469" t="n"/>
      <c r="H605" s="469" t="n"/>
      <c r="I605" s="469" t="n"/>
      <c r="J605" s="469" t="n"/>
      <c r="K605" s="469" t="n"/>
      <c r="L605" s="469" t="n"/>
      <c r="M605" s="469" t="n"/>
      <c r="N605" s="469" t="n"/>
      <c r="O605" s="469" t="n"/>
      <c r="P605" s="471" t="n"/>
      <c r="Q605" s="469" t="n"/>
      <c r="R605" s="469" t="n"/>
      <c r="S605" s="469" t="n"/>
      <c r="T605" s="469" t="n"/>
      <c r="U605" s="469" t="n"/>
      <c r="V605" s="469" t="n"/>
      <c r="W605" s="469" t="n"/>
      <c r="X605" s="469" t="n"/>
      <c r="Y605" s="469" t="n"/>
      <c r="Z605" s="469" t="n"/>
      <c r="AA605" s="469" t="n"/>
    </row>
    <row r="606">
      <c r="A606" s="468" t="n"/>
      <c r="B606" s="469" t="n"/>
      <c r="C606" s="469" t="n"/>
      <c r="D606" s="469" t="n"/>
      <c r="E606" s="469" t="n"/>
      <c r="F606" s="469" t="n"/>
      <c r="G606" s="469" t="n"/>
      <c r="H606" s="469" t="n"/>
      <c r="I606" s="469" t="n"/>
      <c r="J606" s="469" t="n"/>
      <c r="K606" s="469" t="n"/>
      <c r="L606" s="469" t="n"/>
      <c r="M606" s="469" t="n"/>
      <c r="N606" s="469" t="n"/>
      <c r="O606" s="469" t="n"/>
      <c r="P606" s="471" t="n"/>
      <c r="Q606" s="469" t="n"/>
      <c r="R606" s="469" t="n"/>
      <c r="S606" s="469" t="n"/>
      <c r="T606" s="469" t="n"/>
      <c r="U606" s="469" t="n"/>
      <c r="V606" s="469" t="n"/>
      <c r="W606" s="469" t="n"/>
      <c r="X606" s="469" t="n"/>
      <c r="Y606" s="469" t="n"/>
      <c r="Z606" s="469" t="n"/>
      <c r="AA606" s="469" t="n"/>
    </row>
    <row r="607">
      <c r="A607" s="468" t="n"/>
      <c r="B607" s="469" t="n"/>
      <c r="C607" s="469" t="n"/>
      <c r="D607" s="469" t="n"/>
      <c r="E607" s="469" t="n"/>
      <c r="F607" s="469" t="n"/>
      <c r="G607" s="469" t="n"/>
      <c r="H607" s="469" t="n"/>
      <c r="I607" s="469" t="n"/>
      <c r="J607" s="469" t="n"/>
      <c r="K607" s="469" t="n"/>
      <c r="L607" s="469" t="n"/>
      <c r="M607" s="469" t="n"/>
      <c r="N607" s="469" t="n"/>
      <c r="O607" s="469" t="n"/>
      <c r="P607" s="471" t="n"/>
      <c r="Q607" s="469" t="n"/>
      <c r="R607" s="469" t="n"/>
      <c r="S607" s="469" t="n"/>
      <c r="T607" s="469" t="n"/>
      <c r="U607" s="469" t="n"/>
      <c r="V607" s="469" t="n"/>
      <c r="W607" s="469" t="n"/>
      <c r="X607" s="469" t="n"/>
      <c r="Y607" s="469" t="n"/>
      <c r="Z607" s="469" t="n"/>
      <c r="AA607" s="469" t="n"/>
    </row>
    <row r="608">
      <c r="A608" s="468" t="n"/>
      <c r="B608" s="469" t="n"/>
      <c r="C608" s="469" t="n"/>
      <c r="D608" s="469" t="n"/>
      <c r="E608" s="469" t="n"/>
      <c r="F608" s="469" t="n"/>
      <c r="G608" s="469" t="n"/>
      <c r="H608" s="469" t="n"/>
      <c r="I608" s="469" t="n"/>
      <c r="J608" s="469" t="n"/>
      <c r="K608" s="469" t="n"/>
      <c r="L608" s="469" t="n"/>
      <c r="M608" s="469" t="n"/>
      <c r="N608" s="469" t="n"/>
      <c r="O608" s="469" t="n"/>
      <c r="P608" s="471" t="n"/>
      <c r="Q608" s="469" t="n"/>
      <c r="R608" s="469" t="n"/>
      <c r="S608" s="469" t="n"/>
      <c r="T608" s="469" t="n"/>
      <c r="U608" s="469" t="n"/>
      <c r="V608" s="469" t="n"/>
      <c r="W608" s="469" t="n"/>
      <c r="X608" s="469" t="n"/>
      <c r="Y608" s="469" t="n"/>
      <c r="Z608" s="469" t="n"/>
      <c r="AA608" s="469" t="n"/>
    </row>
    <row r="609">
      <c r="A609" s="468" t="n"/>
      <c r="B609" s="469" t="n"/>
      <c r="C609" s="469" t="n"/>
      <c r="D609" s="469" t="n"/>
      <c r="E609" s="469" t="n"/>
      <c r="F609" s="469" t="n"/>
      <c r="G609" s="469" t="n"/>
      <c r="H609" s="469" t="n"/>
      <c r="I609" s="469" t="n"/>
      <c r="J609" s="469" t="n"/>
      <c r="K609" s="469" t="n"/>
      <c r="L609" s="469" t="n"/>
      <c r="M609" s="469" t="n"/>
      <c r="N609" s="469" t="n"/>
      <c r="O609" s="469" t="n"/>
      <c r="P609" s="471" t="n"/>
      <c r="Q609" s="469" t="n"/>
      <c r="R609" s="469" t="n"/>
      <c r="S609" s="469" t="n"/>
      <c r="T609" s="469" t="n"/>
      <c r="U609" s="469" t="n"/>
      <c r="V609" s="469" t="n"/>
      <c r="W609" s="469" t="n"/>
      <c r="X609" s="469" t="n"/>
      <c r="Y609" s="469" t="n"/>
      <c r="Z609" s="469" t="n"/>
      <c r="AA609" s="469" t="n"/>
    </row>
    <row r="610">
      <c r="A610" s="468" t="n"/>
      <c r="B610" s="469" t="n"/>
      <c r="C610" s="469" t="n"/>
      <c r="D610" s="469" t="n"/>
      <c r="E610" s="469" t="n"/>
      <c r="F610" s="469" t="n"/>
      <c r="G610" s="469" t="n"/>
      <c r="H610" s="469" t="n"/>
      <c r="I610" s="469" t="n"/>
      <c r="J610" s="469" t="n"/>
      <c r="K610" s="469" t="n"/>
      <c r="L610" s="469" t="n"/>
      <c r="M610" s="469" t="n"/>
      <c r="N610" s="469" t="n"/>
      <c r="O610" s="469" t="n"/>
      <c r="P610" s="471" t="n"/>
      <c r="Q610" s="469" t="n"/>
      <c r="R610" s="469" t="n"/>
      <c r="S610" s="469" t="n"/>
      <c r="T610" s="469" t="n"/>
      <c r="U610" s="469" t="n"/>
      <c r="V610" s="469" t="n"/>
      <c r="W610" s="469" t="n"/>
      <c r="X610" s="469" t="n"/>
      <c r="Y610" s="469" t="n"/>
      <c r="Z610" s="469" t="n"/>
      <c r="AA610" s="469" t="n"/>
    </row>
    <row r="611">
      <c r="A611" s="468" t="n"/>
      <c r="B611" s="469" t="n"/>
      <c r="C611" s="469" t="n"/>
      <c r="D611" s="469" t="n"/>
      <c r="E611" s="469" t="n"/>
      <c r="F611" s="469" t="n"/>
      <c r="G611" s="469" t="n"/>
      <c r="H611" s="469" t="n"/>
      <c r="I611" s="469" t="n"/>
      <c r="J611" s="469" t="n"/>
      <c r="K611" s="469" t="n"/>
      <c r="L611" s="469" t="n"/>
      <c r="M611" s="469" t="n"/>
      <c r="N611" s="469" t="n"/>
      <c r="O611" s="469" t="n"/>
      <c r="P611" s="471" t="n"/>
      <c r="Q611" s="469" t="n"/>
      <c r="R611" s="469" t="n"/>
      <c r="S611" s="469" t="n"/>
      <c r="T611" s="469" t="n"/>
      <c r="U611" s="469" t="n"/>
      <c r="V611" s="469" t="n"/>
      <c r="W611" s="469" t="n"/>
      <c r="X611" s="469" t="n"/>
      <c r="Y611" s="469" t="n"/>
      <c r="Z611" s="469" t="n"/>
      <c r="AA611" s="469" t="n"/>
    </row>
    <row r="612">
      <c r="A612" s="468" t="n"/>
      <c r="B612" s="469" t="n"/>
      <c r="C612" s="469" t="n"/>
      <c r="D612" s="469" t="n"/>
      <c r="E612" s="469" t="n"/>
      <c r="F612" s="469" t="n"/>
      <c r="G612" s="469" t="n"/>
      <c r="H612" s="469" t="n"/>
      <c r="I612" s="469" t="n"/>
      <c r="J612" s="469" t="n"/>
      <c r="K612" s="469" t="n"/>
      <c r="L612" s="469" t="n"/>
      <c r="M612" s="469" t="n"/>
      <c r="N612" s="469" t="n"/>
      <c r="O612" s="469" t="n"/>
      <c r="P612" s="471" t="n"/>
      <c r="Q612" s="469" t="n"/>
      <c r="R612" s="469" t="n"/>
      <c r="S612" s="469" t="n"/>
      <c r="T612" s="469" t="n"/>
      <c r="U612" s="469" t="n"/>
      <c r="V612" s="469" t="n"/>
      <c r="W612" s="469" t="n"/>
      <c r="X612" s="469" t="n"/>
      <c r="Y612" s="469" t="n"/>
      <c r="Z612" s="469" t="n"/>
      <c r="AA612" s="469" t="n"/>
    </row>
    <row r="613">
      <c r="A613" s="468" t="n"/>
      <c r="B613" s="469" t="n"/>
      <c r="C613" s="469" t="n"/>
      <c r="D613" s="469" t="n"/>
      <c r="E613" s="469" t="n"/>
      <c r="F613" s="469" t="n"/>
      <c r="G613" s="469" t="n"/>
      <c r="H613" s="469" t="n"/>
      <c r="I613" s="469" t="n"/>
      <c r="J613" s="469" t="n"/>
      <c r="K613" s="469" t="n"/>
      <c r="L613" s="469" t="n"/>
      <c r="M613" s="469" t="n"/>
      <c r="N613" s="469" t="n"/>
      <c r="O613" s="469" t="n"/>
      <c r="P613" s="471" t="n"/>
      <c r="Q613" s="469" t="n"/>
      <c r="R613" s="469" t="n"/>
      <c r="S613" s="469" t="n"/>
      <c r="T613" s="469" t="n"/>
      <c r="U613" s="469" t="n"/>
      <c r="V613" s="469" t="n"/>
      <c r="W613" s="469" t="n"/>
      <c r="X613" s="469" t="n"/>
      <c r="Y613" s="469" t="n"/>
      <c r="Z613" s="469" t="n"/>
      <c r="AA613" s="469" t="n"/>
    </row>
    <row r="614">
      <c r="A614" s="468" t="n"/>
      <c r="B614" s="469" t="n"/>
      <c r="C614" s="469" t="n"/>
      <c r="D614" s="469" t="n"/>
      <c r="E614" s="469" t="n"/>
      <c r="F614" s="469" t="n"/>
      <c r="G614" s="469" t="n"/>
      <c r="H614" s="469" t="n"/>
      <c r="I614" s="469" t="n"/>
      <c r="J614" s="469" t="n"/>
      <c r="K614" s="469" t="n"/>
      <c r="L614" s="469" t="n"/>
      <c r="M614" s="469" t="n"/>
      <c r="N614" s="469" t="n"/>
      <c r="O614" s="469" t="n"/>
      <c r="P614" s="471" t="n"/>
      <c r="Q614" s="469" t="n"/>
      <c r="R614" s="469" t="n"/>
      <c r="S614" s="469" t="n"/>
      <c r="T614" s="469" t="n"/>
      <c r="U614" s="469" t="n"/>
      <c r="V614" s="469" t="n"/>
      <c r="W614" s="469" t="n"/>
      <c r="X614" s="469" t="n"/>
      <c r="Y614" s="469" t="n"/>
      <c r="Z614" s="469" t="n"/>
      <c r="AA614" s="469" t="n"/>
    </row>
    <row r="615">
      <c r="A615" s="468" t="n"/>
      <c r="B615" s="469" t="n"/>
      <c r="C615" s="469" t="n"/>
      <c r="D615" s="469" t="n"/>
      <c r="E615" s="469" t="n"/>
      <c r="F615" s="469" t="n"/>
      <c r="G615" s="469" t="n"/>
      <c r="H615" s="469" t="n"/>
      <c r="I615" s="469" t="n"/>
      <c r="J615" s="469" t="n"/>
      <c r="K615" s="469" t="n"/>
      <c r="L615" s="469" t="n"/>
      <c r="M615" s="469" t="n"/>
      <c r="N615" s="469" t="n"/>
      <c r="O615" s="469" t="n"/>
      <c r="P615" s="471" t="n"/>
      <c r="Q615" s="469" t="n"/>
      <c r="R615" s="469" t="n"/>
      <c r="S615" s="469" t="n"/>
      <c r="T615" s="469" t="n"/>
      <c r="U615" s="469" t="n"/>
      <c r="V615" s="469" t="n"/>
      <c r="W615" s="469" t="n"/>
      <c r="X615" s="469" t="n"/>
      <c r="Y615" s="469" t="n"/>
      <c r="Z615" s="469" t="n"/>
      <c r="AA615" s="469" t="n"/>
    </row>
    <row r="616">
      <c r="A616" s="468" t="n"/>
      <c r="B616" s="469" t="n"/>
      <c r="C616" s="469" t="n"/>
      <c r="D616" s="469" t="n"/>
      <c r="E616" s="469" t="n"/>
      <c r="F616" s="469" t="n"/>
      <c r="G616" s="469" t="n"/>
      <c r="H616" s="469" t="n"/>
      <c r="I616" s="469" t="n"/>
      <c r="J616" s="469" t="n"/>
      <c r="K616" s="469" t="n"/>
      <c r="L616" s="469" t="n"/>
      <c r="M616" s="469" t="n"/>
      <c r="N616" s="469" t="n"/>
      <c r="O616" s="469" t="n"/>
      <c r="P616" s="471" t="n"/>
      <c r="Q616" s="469" t="n"/>
      <c r="R616" s="469" t="n"/>
      <c r="S616" s="469" t="n"/>
      <c r="T616" s="469" t="n"/>
      <c r="U616" s="469" t="n"/>
      <c r="V616" s="469" t="n"/>
      <c r="W616" s="469" t="n"/>
      <c r="X616" s="469" t="n"/>
      <c r="Y616" s="469" t="n"/>
      <c r="Z616" s="469" t="n"/>
      <c r="AA616" s="469" t="n"/>
    </row>
    <row r="617">
      <c r="A617" s="468" t="n"/>
      <c r="B617" s="469" t="n"/>
      <c r="C617" s="469" t="n"/>
      <c r="D617" s="469" t="n"/>
      <c r="E617" s="469" t="n"/>
      <c r="F617" s="469" t="n"/>
      <c r="G617" s="469" t="n"/>
      <c r="H617" s="469" t="n"/>
      <c r="I617" s="469" t="n"/>
      <c r="J617" s="469" t="n"/>
      <c r="K617" s="469" t="n"/>
      <c r="L617" s="469" t="n"/>
      <c r="M617" s="469" t="n"/>
      <c r="N617" s="469" t="n"/>
      <c r="O617" s="469" t="n"/>
      <c r="P617" s="471" t="n"/>
      <c r="Q617" s="469" t="n"/>
      <c r="R617" s="469" t="n"/>
      <c r="S617" s="469" t="n"/>
      <c r="T617" s="469" t="n"/>
      <c r="U617" s="469" t="n"/>
      <c r="V617" s="469" t="n"/>
      <c r="W617" s="469" t="n"/>
      <c r="X617" s="469" t="n"/>
      <c r="Y617" s="469" t="n"/>
      <c r="Z617" s="469" t="n"/>
      <c r="AA617" s="469" t="n"/>
    </row>
    <row r="618">
      <c r="A618" s="468" t="n"/>
      <c r="B618" s="469" t="n"/>
      <c r="C618" s="469" t="n"/>
      <c r="D618" s="469" t="n"/>
      <c r="E618" s="469" t="n"/>
      <c r="F618" s="469" t="n"/>
      <c r="G618" s="469" t="n"/>
      <c r="H618" s="469" t="n"/>
      <c r="I618" s="469" t="n"/>
      <c r="J618" s="469" t="n"/>
      <c r="K618" s="469" t="n"/>
      <c r="L618" s="469" t="n"/>
      <c r="M618" s="469" t="n"/>
      <c r="N618" s="469" t="n"/>
      <c r="O618" s="469" t="n"/>
      <c r="P618" s="471" t="n"/>
      <c r="Q618" s="469" t="n"/>
      <c r="R618" s="469" t="n"/>
      <c r="S618" s="469" t="n"/>
      <c r="T618" s="469" t="n"/>
      <c r="U618" s="469" t="n"/>
      <c r="V618" s="469" t="n"/>
      <c r="W618" s="469" t="n"/>
      <c r="X618" s="469" t="n"/>
      <c r="Y618" s="469" t="n"/>
      <c r="Z618" s="469" t="n"/>
      <c r="AA618" s="469" t="n"/>
    </row>
    <row r="619">
      <c r="A619" s="468" t="n"/>
      <c r="B619" s="469" t="n"/>
      <c r="C619" s="469" t="n"/>
      <c r="D619" s="469" t="n"/>
      <c r="E619" s="469" t="n"/>
      <c r="F619" s="469" t="n"/>
      <c r="G619" s="469" t="n"/>
      <c r="H619" s="469" t="n"/>
      <c r="I619" s="469" t="n"/>
      <c r="J619" s="469" t="n"/>
      <c r="K619" s="469" t="n"/>
      <c r="L619" s="469" t="n"/>
      <c r="M619" s="469" t="n"/>
      <c r="N619" s="469" t="n"/>
      <c r="O619" s="469" t="n"/>
      <c r="P619" s="471" t="n"/>
      <c r="Q619" s="469" t="n"/>
      <c r="R619" s="469" t="n"/>
      <c r="S619" s="469" t="n"/>
      <c r="T619" s="469" t="n"/>
      <c r="U619" s="469" t="n"/>
      <c r="V619" s="469" t="n"/>
      <c r="W619" s="469" t="n"/>
      <c r="X619" s="469" t="n"/>
      <c r="Y619" s="469" t="n"/>
      <c r="Z619" s="469" t="n"/>
      <c r="AA619" s="469" t="n"/>
    </row>
    <row r="620">
      <c r="A620" s="468" t="n"/>
      <c r="B620" s="469" t="n"/>
      <c r="C620" s="469" t="n"/>
      <c r="D620" s="469" t="n"/>
      <c r="E620" s="469" t="n"/>
      <c r="F620" s="469" t="n"/>
      <c r="G620" s="469" t="n"/>
      <c r="H620" s="469" t="n"/>
      <c r="I620" s="469" t="n"/>
      <c r="J620" s="469" t="n"/>
      <c r="K620" s="469" t="n"/>
      <c r="L620" s="469" t="n"/>
      <c r="M620" s="469" t="n"/>
      <c r="N620" s="469" t="n"/>
      <c r="O620" s="469" t="n"/>
      <c r="P620" s="471" t="n"/>
      <c r="Q620" s="469" t="n"/>
      <c r="R620" s="469" t="n"/>
      <c r="S620" s="469" t="n"/>
      <c r="T620" s="469" t="n"/>
      <c r="U620" s="469" t="n"/>
      <c r="V620" s="469" t="n"/>
      <c r="W620" s="469" t="n"/>
      <c r="X620" s="469" t="n"/>
      <c r="Y620" s="469" t="n"/>
      <c r="Z620" s="469" t="n"/>
      <c r="AA620" s="469" t="n"/>
    </row>
    <row r="621">
      <c r="A621" s="468" t="n"/>
      <c r="B621" s="469" t="n"/>
      <c r="C621" s="469" t="n"/>
      <c r="D621" s="469" t="n"/>
      <c r="E621" s="469" t="n"/>
      <c r="F621" s="469" t="n"/>
      <c r="G621" s="469" t="n"/>
      <c r="H621" s="469" t="n"/>
      <c r="I621" s="469" t="n"/>
      <c r="J621" s="469" t="n"/>
      <c r="K621" s="469" t="n"/>
      <c r="L621" s="469" t="n"/>
      <c r="M621" s="469" t="n"/>
      <c r="N621" s="469" t="n"/>
      <c r="O621" s="469" t="n"/>
      <c r="P621" s="471" t="n"/>
      <c r="Q621" s="469" t="n"/>
      <c r="R621" s="469" t="n"/>
      <c r="S621" s="469" t="n"/>
      <c r="T621" s="469" t="n"/>
      <c r="U621" s="469" t="n"/>
      <c r="V621" s="469" t="n"/>
      <c r="W621" s="469" t="n"/>
      <c r="X621" s="469" t="n"/>
      <c r="Y621" s="469" t="n"/>
      <c r="Z621" s="469" t="n"/>
      <c r="AA621" s="469" t="n"/>
    </row>
    <row r="622">
      <c r="A622" s="468" t="n"/>
      <c r="B622" s="469" t="n"/>
      <c r="C622" s="469" t="n"/>
      <c r="D622" s="469" t="n"/>
      <c r="E622" s="469" t="n"/>
      <c r="F622" s="469" t="n"/>
      <c r="G622" s="469" t="n"/>
      <c r="H622" s="469" t="n"/>
      <c r="I622" s="469" t="n"/>
      <c r="J622" s="469" t="n"/>
      <c r="K622" s="469" t="n"/>
      <c r="L622" s="469" t="n"/>
      <c r="M622" s="469" t="n"/>
      <c r="N622" s="469" t="n"/>
      <c r="O622" s="469" t="n"/>
      <c r="P622" s="471" t="n"/>
      <c r="Q622" s="469" t="n"/>
      <c r="R622" s="469" t="n"/>
      <c r="S622" s="469" t="n"/>
      <c r="T622" s="469" t="n"/>
      <c r="U622" s="469" t="n"/>
      <c r="V622" s="469" t="n"/>
      <c r="W622" s="469" t="n"/>
      <c r="X622" s="469" t="n"/>
      <c r="Y622" s="469" t="n"/>
      <c r="Z622" s="469" t="n"/>
      <c r="AA622" s="469" t="n"/>
    </row>
    <row r="623">
      <c r="A623" s="468" t="n"/>
      <c r="B623" s="469" t="n"/>
      <c r="C623" s="469" t="n"/>
      <c r="D623" s="469" t="n"/>
      <c r="E623" s="469" t="n"/>
      <c r="F623" s="469" t="n"/>
      <c r="G623" s="469" t="n"/>
      <c r="H623" s="469" t="n"/>
      <c r="I623" s="469" t="n"/>
      <c r="J623" s="469" t="n"/>
      <c r="K623" s="469" t="n"/>
      <c r="L623" s="469" t="n"/>
      <c r="M623" s="469" t="n"/>
      <c r="N623" s="469" t="n"/>
      <c r="O623" s="469" t="n"/>
      <c r="P623" s="471" t="n"/>
      <c r="Q623" s="469" t="n"/>
      <c r="R623" s="469" t="n"/>
      <c r="S623" s="469" t="n"/>
      <c r="T623" s="469" t="n"/>
      <c r="U623" s="469" t="n"/>
      <c r="V623" s="469" t="n"/>
      <c r="W623" s="469" t="n"/>
      <c r="X623" s="469" t="n"/>
      <c r="Y623" s="469" t="n"/>
      <c r="Z623" s="469" t="n"/>
      <c r="AA623" s="469" t="n"/>
    </row>
    <row r="624">
      <c r="A624" s="468" t="n"/>
      <c r="B624" s="469" t="n"/>
      <c r="C624" s="469" t="n"/>
      <c r="D624" s="469" t="n"/>
      <c r="E624" s="469" t="n"/>
      <c r="F624" s="469" t="n"/>
      <c r="G624" s="469" t="n"/>
      <c r="H624" s="469" t="n"/>
      <c r="I624" s="469" t="n"/>
      <c r="J624" s="469" t="n"/>
      <c r="K624" s="469" t="n"/>
      <c r="L624" s="469" t="n"/>
      <c r="M624" s="469" t="n"/>
      <c r="N624" s="469" t="n"/>
      <c r="O624" s="469" t="n"/>
      <c r="P624" s="471" t="n"/>
      <c r="Q624" s="469" t="n"/>
      <c r="R624" s="469" t="n"/>
      <c r="S624" s="469" t="n"/>
      <c r="T624" s="469" t="n"/>
      <c r="U624" s="469" t="n"/>
      <c r="V624" s="469" t="n"/>
      <c r="W624" s="469" t="n"/>
      <c r="X624" s="469" t="n"/>
      <c r="Y624" s="469" t="n"/>
      <c r="Z624" s="469" t="n"/>
      <c r="AA624" s="469" t="n"/>
    </row>
    <row r="625">
      <c r="A625" s="468" t="n"/>
      <c r="B625" s="469" t="n"/>
      <c r="C625" s="469" t="n"/>
      <c r="D625" s="469" t="n"/>
      <c r="E625" s="469" t="n"/>
      <c r="F625" s="469" t="n"/>
      <c r="G625" s="469" t="n"/>
      <c r="H625" s="469" t="n"/>
      <c r="I625" s="469" t="n"/>
      <c r="J625" s="469" t="n"/>
      <c r="K625" s="469" t="n"/>
      <c r="L625" s="469" t="n"/>
      <c r="M625" s="469" t="n"/>
      <c r="N625" s="469" t="n"/>
      <c r="O625" s="469" t="n"/>
      <c r="P625" s="471" t="n"/>
      <c r="Q625" s="469" t="n"/>
      <c r="R625" s="469" t="n"/>
      <c r="S625" s="469" t="n"/>
      <c r="T625" s="469" t="n"/>
      <c r="U625" s="469" t="n"/>
      <c r="V625" s="469" t="n"/>
      <c r="W625" s="469" t="n"/>
      <c r="X625" s="469" t="n"/>
      <c r="Y625" s="469" t="n"/>
      <c r="Z625" s="469" t="n"/>
      <c r="AA625" s="469" t="n"/>
    </row>
    <row r="626">
      <c r="A626" s="468" t="n"/>
      <c r="B626" s="469" t="n"/>
      <c r="C626" s="469" t="n"/>
      <c r="D626" s="469" t="n"/>
      <c r="E626" s="469" t="n"/>
      <c r="F626" s="469" t="n"/>
      <c r="G626" s="469" t="n"/>
      <c r="H626" s="469" t="n"/>
      <c r="I626" s="469" t="n"/>
      <c r="J626" s="469" t="n"/>
      <c r="K626" s="469" t="n"/>
      <c r="L626" s="469" t="n"/>
      <c r="M626" s="469" t="n"/>
      <c r="N626" s="469" t="n"/>
      <c r="O626" s="469" t="n"/>
      <c r="P626" s="471" t="n"/>
      <c r="Q626" s="469" t="n"/>
      <c r="R626" s="469" t="n"/>
      <c r="S626" s="469" t="n"/>
      <c r="T626" s="469" t="n"/>
      <c r="U626" s="469" t="n"/>
      <c r="V626" s="469" t="n"/>
      <c r="W626" s="469" t="n"/>
      <c r="X626" s="469" t="n"/>
      <c r="Y626" s="469" t="n"/>
      <c r="Z626" s="469" t="n"/>
      <c r="AA626" s="469" t="n"/>
    </row>
    <row r="627">
      <c r="A627" s="468" t="n"/>
      <c r="B627" s="469" t="n"/>
      <c r="C627" s="469" t="n"/>
      <c r="D627" s="469" t="n"/>
      <c r="E627" s="469" t="n"/>
      <c r="F627" s="469" t="n"/>
      <c r="G627" s="469" t="n"/>
      <c r="H627" s="469" t="n"/>
      <c r="I627" s="469" t="n"/>
      <c r="J627" s="469" t="n"/>
      <c r="K627" s="469" t="n"/>
      <c r="L627" s="469" t="n"/>
      <c r="M627" s="469" t="n"/>
      <c r="N627" s="469" t="n"/>
      <c r="O627" s="469" t="n"/>
      <c r="P627" s="471" t="n"/>
      <c r="Q627" s="469" t="n"/>
      <c r="R627" s="469" t="n"/>
      <c r="S627" s="469" t="n"/>
      <c r="T627" s="469" t="n"/>
      <c r="U627" s="469" t="n"/>
      <c r="V627" s="469" t="n"/>
      <c r="W627" s="469" t="n"/>
      <c r="X627" s="469" t="n"/>
      <c r="Y627" s="469" t="n"/>
      <c r="Z627" s="469" t="n"/>
      <c r="AA627" s="469" t="n"/>
    </row>
    <row r="628">
      <c r="A628" s="468" t="n"/>
      <c r="B628" s="469" t="n"/>
      <c r="C628" s="469" t="n"/>
      <c r="D628" s="469" t="n"/>
      <c r="E628" s="469" t="n"/>
      <c r="F628" s="469" t="n"/>
      <c r="G628" s="469" t="n"/>
      <c r="H628" s="469" t="n"/>
      <c r="I628" s="469" t="n"/>
      <c r="J628" s="469" t="n"/>
      <c r="K628" s="469" t="n"/>
      <c r="L628" s="469" t="n"/>
      <c r="M628" s="469" t="n"/>
      <c r="N628" s="469" t="n"/>
      <c r="O628" s="469" t="n"/>
      <c r="P628" s="471" t="n"/>
      <c r="Q628" s="469" t="n"/>
      <c r="R628" s="469" t="n"/>
      <c r="S628" s="469" t="n"/>
      <c r="T628" s="469" t="n"/>
      <c r="U628" s="469" t="n"/>
      <c r="V628" s="469" t="n"/>
      <c r="W628" s="469" t="n"/>
      <c r="X628" s="469" t="n"/>
      <c r="Y628" s="469" t="n"/>
      <c r="Z628" s="469" t="n"/>
      <c r="AA628" s="469" t="n"/>
    </row>
    <row r="629">
      <c r="A629" s="468" t="n"/>
      <c r="B629" s="469" t="n"/>
      <c r="C629" s="469" t="n"/>
      <c r="D629" s="469" t="n"/>
      <c r="E629" s="469" t="n"/>
      <c r="F629" s="469" t="n"/>
      <c r="G629" s="469" t="n"/>
      <c r="H629" s="469" t="n"/>
      <c r="I629" s="469" t="n"/>
      <c r="J629" s="469" t="n"/>
      <c r="K629" s="469" t="n"/>
      <c r="L629" s="469" t="n"/>
      <c r="M629" s="469" t="n"/>
      <c r="N629" s="469" t="n"/>
      <c r="O629" s="469" t="n"/>
      <c r="P629" s="471" t="n"/>
      <c r="Q629" s="469" t="n"/>
      <c r="R629" s="469" t="n"/>
      <c r="S629" s="469" t="n"/>
      <c r="T629" s="469" t="n"/>
      <c r="U629" s="469" t="n"/>
      <c r="V629" s="469" t="n"/>
      <c r="W629" s="469" t="n"/>
      <c r="X629" s="469" t="n"/>
      <c r="Y629" s="469" t="n"/>
      <c r="Z629" s="469" t="n"/>
      <c r="AA629" s="469" t="n"/>
    </row>
    <row r="630">
      <c r="A630" s="468" t="n"/>
      <c r="B630" s="469" t="n"/>
      <c r="C630" s="469" t="n"/>
      <c r="D630" s="469" t="n"/>
      <c r="E630" s="469" t="n"/>
      <c r="F630" s="469" t="n"/>
      <c r="G630" s="469" t="n"/>
      <c r="H630" s="469" t="n"/>
      <c r="I630" s="469" t="n"/>
      <c r="J630" s="469" t="n"/>
      <c r="K630" s="469" t="n"/>
      <c r="L630" s="469" t="n"/>
      <c r="M630" s="469" t="n"/>
      <c r="N630" s="469" t="n"/>
      <c r="O630" s="469" t="n"/>
      <c r="P630" s="471" t="n"/>
      <c r="Q630" s="469" t="n"/>
      <c r="R630" s="469" t="n"/>
      <c r="S630" s="469" t="n"/>
      <c r="T630" s="469" t="n"/>
      <c r="U630" s="469" t="n"/>
      <c r="V630" s="469" t="n"/>
      <c r="W630" s="469" t="n"/>
      <c r="X630" s="469" t="n"/>
      <c r="Y630" s="469" t="n"/>
      <c r="Z630" s="469" t="n"/>
      <c r="AA630" s="469" t="n"/>
    </row>
    <row r="631">
      <c r="A631" s="468" t="n"/>
      <c r="B631" s="469" t="n"/>
      <c r="C631" s="469" t="n"/>
      <c r="D631" s="469" t="n"/>
      <c r="E631" s="469" t="n"/>
      <c r="F631" s="469" t="n"/>
      <c r="G631" s="469" t="n"/>
      <c r="H631" s="469" t="n"/>
      <c r="I631" s="469" t="n"/>
      <c r="J631" s="469" t="n"/>
      <c r="K631" s="469" t="n"/>
      <c r="L631" s="469" t="n"/>
      <c r="M631" s="469" t="n"/>
      <c r="N631" s="469" t="n"/>
      <c r="O631" s="469" t="n"/>
      <c r="P631" s="471" t="n"/>
      <c r="Q631" s="469" t="n"/>
      <c r="R631" s="469" t="n"/>
      <c r="S631" s="469" t="n"/>
      <c r="T631" s="469" t="n"/>
      <c r="U631" s="469" t="n"/>
      <c r="V631" s="469" t="n"/>
      <c r="W631" s="469" t="n"/>
      <c r="X631" s="469" t="n"/>
      <c r="Y631" s="469" t="n"/>
      <c r="Z631" s="469" t="n"/>
      <c r="AA631" s="469" t="n"/>
    </row>
    <row r="632">
      <c r="A632" s="468" t="n"/>
      <c r="B632" s="469" t="n"/>
      <c r="C632" s="469" t="n"/>
      <c r="D632" s="469" t="n"/>
      <c r="E632" s="469" t="n"/>
      <c r="F632" s="469" t="n"/>
      <c r="G632" s="469" t="n"/>
      <c r="H632" s="469" t="n"/>
      <c r="I632" s="469" t="n"/>
      <c r="J632" s="469" t="n"/>
      <c r="K632" s="469" t="n"/>
      <c r="L632" s="469" t="n"/>
      <c r="M632" s="469" t="n"/>
      <c r="N632" s="469" t="n"/>
      <c r="O632" s="469" t="n"/>
      <c r="P632" s="471" t="n"/>
      <c r="Q632" s="469" t="n"/>
      <c r="R632" s="469" t="n"/>
      <c r="S632" s="469" t="n"/>
      <c r="T632" s="469" t="n"/>
      <c r="U632" s="469" t="n"/>
      <c r="V632" s="469" t="n"/>
      <c r="W632" s="469" t="n"/>
      <c r="X632" s="469" t="n"/>
      <c r="Y632" s="469" t="n"/>
      <c r="Z632" s="469" t="n"/>
      <c r="AA632" s="469" t="n"/>
    </row>
    <row r="633">
      <c r="A633" s="468" t="n"/>
      <c r="B633" s="469" t="n"/>
      <c r="C633" s="469" t="n"/>
      <c r="D633" s="469" t="n"/>
      <c r="E633" s="469" t="n"/>
      <c r="F633" s="469" t="n"/>
      <c r="G633" s="469" t="n"/>
      <c r="H633" s="469" t="n"/>
      <c r="I633" s="469" t="n"/>
      <c r="J633" s="469" t="n"/>
      <c r="K633" s="469" t="n"/>
      <c r="L633" s="469" t="n"/>
      <c r="M633" s="469" t="n"/>
      <c r="N633" s="469" t="n"/>
      <c r="O633" s="469" t="n"/>
      <c r="P633" s="471" t="n"/>
      <c r="Q633" s="469" t="n"/>
      <c r="R633" s="469" t="n"/>
      <c r="S633" s="469" t="n"/>
      <c r="T633" s="469" t="n"/>
      <c r="U633" s="469" t="n"/>
      <c r="V633" s="469" t="n"/>
      <c r="W633" s="469" t="n"/>
      <c r="X633" s="469" t="n"/>
      <c r="Y633" s="469" t="n"/>
      <c r="Z633" s="469" t="n"/>
      <c r="AA633" s="469" t="n"/>
    </row>
    <row r="634">
      <c r="A634" s="468" t="n"/>
      <c r="B634" s="469" t="n"/>
      <c r="C634" s="469" t="n"/>
      <c r="D634" s="469" t="n"/>
      <c r="E634" s="469" t="n"/>
      <c r="F634" s="469" t="n"/>
      <c r="G634" s="469" t="n"/>
      <c r="H634" s="469" t="n"/>
      <c r="I634" s="469" t="n"/>
      <c r="J634" s="469" t="n"/>
      <c r="K634" s="469" t="n"/>
      <c r="L634" s="469" t="n"/>
      <c r="M634" s="469" t="n"/>
      <c r="N634" s="469" t="n"/>
      <c r="O634" s="469" t="n"/>
      <c r="P634" s="471" t="n"/>
      <c r="Q634" s="469" t="n"/>
      <c r="R634" s="469" t="n"/>
      <c r="S634" s="469" t="n"/>
      <c r="T634" s="469" t="n"/>
      <c r="U634" s="469" t="n"/>
      <c r="V634" s="469" t="n"/>
      <c r="W634" s="469" t="n"/>
      <c r="X634" s="469" t="n"/>
      <c r="Y634" s="469" t="n"/>
      <c r="Z634" s="469" t="n"/>
      <c r="AA634" s="469" t="n"/>
    </row>
    <row r="635">
      <c r="A635" s="468" t="n"/>
      <c r="B635" s="469" t="n"/>
      <c r="C635" s="469" t="n"/>
      <c r="D635" s="469" t="n"/>
      <c r="E635" s="469" t="n"/>
      <c r="F635" s="469" t="n"/>
      <c r="G635" s="469" t="n"/>
      <c r="H635" s="469" t="n"/>
      <c r="I635" s="469" t="n"/>
      <c r="J635" s="469" t="n"/>
      <c r="K635" s="469" t="n"/>
      <c r="L635" s="469" t="n"/>
      <c r="M635" s="469" t="n"/>
      <c r="N635" s="469" t="n"/>
      <c r="O635" s="469" t="n"/>
      <c r="P635" s="471" t="n"/>
      <c r="Q635" s="469" t="n"/>
      <c r="R635" s="469" t="n"/>
      <c r="S635" s="469" t="n"/>
      <c r="T635" s="469" t="n"/>
      <c r="U635" s="469" t="n"/>
      <c r="V635" s="469" t="n"/>
      <c r="W635" s="469" t="n"/>
      <c r="X635" s="469" t="n"/>
      <c r="Y635" s="469" t="n"/>
      <c r="Z635" s="469" t="n"/>
      <c r="AA635" s="469" t="n"/>
    </row>
    <row r="636">
      <c r="A636" s="468" t="n"/>
      <c r="B636" s="469" t="n"/>
      <c r="C636" s="469" t="n"/>
      <c r="D636" s="469" t="n"/>
      <c r="E636" s="469" t="n"/>
      <c r="F636" s="469" t="n"/>
      <c r="G636" s="469" t="n"/>
      <c r="H636" s="469" t="n"/>
      <c r="I636" s="469" t="n"/>
      <c r="J636" s="469" t="n"/>
      <c r="K636" s="469" t="n"/>
      <c r="L636" s="469" t="n"/>
      <c r="M636" s="469" t="n"/>
      <c r="N636" s="469" t="n"/>
      <c r="O636" s="469" t="n"/>
      <c r="P636" s="471" t="n"/>
      <c r="Q636" s="469" t="n"/>
      <c r="R636" s="469" t="n"/>
      <c r="S636" s="469" t="n"/>
      <c r="T636" s="469" t="n"/>
      <c r="U636" s="469" t="n"/>
      <c r="V636" s="469" t="n"/>
      <c r="W636" s="469" t="n"/>
      <c r="X636" s="469" t="n"/>
      <c r="Y636" s="469" t="n"/>
      <c r="Z636" s="469" t="n"/>
      <c r="AA636" s="469" t="n"/>
    </row>
    <row r="637">
      <c r="A637" s="468" t="n"/>
      <c r="B637" s="469" t="n"/>
      <c r="C637" s="469" t="n"/>
      <c r="D637" s="469" t="n"/>
      <c r="E637" s="469" t="n"/>
      <c r="F637" s="469" t="n"/>
      <c r="G637" s="469" t="n"/>
      <c r="H637" s="469" t="n"/>
      <c r="I637" s="469" t="n"/>
      <c r="J637" s="469" t="n"/>
      <c r="K637" s="469" t="n"/>
      <c r="L637" s="469" t="n"/>
      <c r="M637" s="469" t="n"/>
      <c r="N637" s="469" t="n"/>
      <c r="O637" s="469" t="n"/>
      <c r="P637" s="471" t="n"/>
      <c r="Q637" s="469" t="n"/>
      <c r="R637" s="469" t="n"/>
      <c r="S637" s="469" t="n"/>
      <c r="T637" s="469" t="n"/>
      <c r="U637" s="469" t="n"/>
      <c r="V637" s="469" t="n"/>
      <c r="W637" s="469" t="n"/>
      <c r="X637" s="469" t="n"/>
      <c r="Y637" s="469" t="n"/>
      <c r="Z637" s="469" t="n"/>
      <c r="AA637" s="469" t="n"/>
    </row>
    <row r="638">
      <c r="A638" s="468" t="n"/>
      <c r="B638" s="469" t="n"/>
      <c r="C638" s="469" t="n"/>
      <c r="D638" s="469" t="n"/>
      <c r="E638" s="469" t="n"/>
      <c r="F638" s="469" t="n"/>
      <c r="G638" s="469" t="n"/>
      <c r="H638" s="469" t="n"/>
      <c r="I638" s="469" t="n"/>
      <c r="J638" s="469" t="n"/>
      <c r="K638" s="469" t="n"/>
      <c r="L638" s="469" t="n"/>
      <c r="M638" s="469" t="n"/>
      <c r="N638" s="469" t="n"/>
      <c r="O638" s="469" t="n"/>
      <c r="P638" s="471" t="n"/>
      <c r="Q638" s="469" t="n"/>
      <c r="R638" s="469" t="n"/>
      <c r="S638" s="469" t="n"/>
      <c r="T638" s="469" t="n"/>
      <c r="U638" s="469" t="n"/>
      <c r="V638" s="469" t="n"/>
      <c r="W638" s="469" t="n"/>
      <c r="X638" s="469" t="n"/>
      <c r="Y638" s="469" t="n"/>
      <c r="Z638" s="469" t="n"/>
      <c r="AA638" s="469" t="n"/>
    </row>
    <row r="639">
      <c r="A639" s="468" t="n"/>
      <c r="B639" s="469" t="n"/>
      <c r="C639" s="469" t="n"/>
      <c r="D639" s="469" t="n"/>
      <c r="E639" s="469" t="n"/>
      <c r="F639" s="469" t="n"/>
      <c r="G639" s="469" t="n"/>
      <c r="H639" s="469" t="n"/>
      <c r="I639" s="469" t="n"/>
      <c r="J639" s="469" t="n"/>
      <c r="K639" s="469" t="n"/>
      <c r="L639" s="469" t="n"/>
      <c r="M639" s="469" t="n"/>
      <c r="N639" s="469" t="n"/>
      <c r="O639" s="469" t="n"/>
      <c r="P639" s="471" t="n"/>
      <c r="Q639" s="469" t="n"/>
      <c r="R639" s="469" t="n"/>
      <c r="S639" s="469" t="n"/>
      <c r="T639" s="469" t="n"/>
      <c r="U639" s="469" t="n"/>
      <c r="V639" s="469" t="n"/>
      <c r="W639" s="469" t="n"/>
      <c r="X639" s="469" t="n"/>
      <c r="Y639" s="469" t="n"/>
      <c r="Z639" s="469" t="n"/>
      <c r="AA639" s="469" t="n"/>
    </row>
    <row r="640">
      <c r="A640" s="468" t="n"/>
      <c r="B640" s="469" t="n"/>
      <c r="C640" s="469" t="n"/>
      <c r="D640" s="469" t="n"/>
      <c r="E640" s="469" t="n"/>
      <c r="F640" s="469" t="n"/>
      <c r="G640" s="469" t="n"/>
      <c r="H640" s="469" t="n"/>
      <c r="I640" s="469" t="n"/>
      <c r="J640" s="469" t="n"/>
      <c r="K640" s="469" t="n"/>
      <c r="L640" s="469" t="n"/>
      <c r="M640" s="469" t="n"/>
      <c r="N640" s="469" t="n"/>
      <c r="O640" s="469" t="n"/>
      <c r="P640" s="471" t="n"/>
      <c r="Q640" s="469" t="n"/>
      <c r="R640" s="469" t="n"/>
      <c r="S640" s="469" t="n"/>
      <c r="T640" s="469" t="n"/>
      <c r="U640" s="469" t="n"/>
      <c r="V640" s="469" t="n"/>
      <c r="W640" s="469" t="n"/>
      <c r="X640" s="469" t="n"/>
      <c r="Y640" s="469" t="n"/>
      <c r="Z640" s="469" t="n"/>
      <c r="AA640" s="469" t="n"/>
    </row>
    <row r="641">
      <c r="A641" s="468" t="n"/>
      <c r="B641" s="469" t="n"/>
      <c r="C641" s="469" t="n"/>
      <c r="D641" s="469" t="n"/>
      <c r="E641" s="469" t="n"/>
      <c r="F641" s="469" t="n"/>
      <c r="G641" s="469" t="n"/>
      <c r="H641" s="469" t="n"/>
      <c r="I641" s="469" t="n"/>
      <c r="J641" s="469" t="n"/>
      <c r="K641" s="469" t="n"/>
      <c r="L641" s="469" t="n"/>
      <c r="M641" s="469" t="n"/>
      <c r="N641" s="469" t="n"/>
      <c r="O641" s="469" t="n"/>
      <c r="P641" s="471" t="n"/>
      <c r="Q641" s="469" t="n"/>
      <c r="R641" s="469" t="n"/>
      <c r="S641" s="469" t="n"/>
      <c r="T641" s="469" t="n"/>
      <c r="U641" s="469" t="n"/>
      <c r="V641" s="469" t="n"/>
      <c r="W641" s="469" t="n"/>
      <c r="X641" s="469" t="n"/>
      <c r="Y641" s="469" t="n"/>
      <c r="Z641" s="469" t="n"/>
      <c r="AA641" s="469" t="n"/>
    </row>
    <row r="642">
      <c r="A642" s="468" t="n"/>
      <c r="B642" s="469" t="n"/>
      <c r="C642" s="469" t="n"/>
      <c r="D642" s="469" t="n"/>
      <c r="E642" s="469" t="n"/>
      <c r="F642" s="469" t="n"/>
      <c r="G642" s="469" t="n"/>
      <c r="H642" s="469" t="n"/>
      <c r="I642" s="469" t="n"/>
      <c r="J642" s="469" t="n"/>
      <c r="K642" s="469" t="n"/>
      <c r="L642" s="469" t="n"/>
      <c r="M642" s="469" t="n"/>
      <c r="N642" s="469" t="n"/>
      <c r="O642" s="469" t="n"/>
      <c r="P642" s="471" t="n"/>
      <c r="Q642" s="469" t="n"/>
      <c r="R642" s="469" t="n"/>
      <c r="S642" s="469" t="n"/>
      <c r="T642" s="469" t="n"/>
      <c r="U642" s="469" t="n"/>
      <c r="V642" s="469" t="n"/>
      <c r="W642" s="469" t="n"/>
      <c r="X642" s="469" t="n"/>
      <c r="Y642" s="469" t="n"/>
      <c r="Z642" s="469" t="n"/>
      <c r="AA642" s="469" t="n"/>
    </row>
    <row r="643">
      <c r="A643" s="468" t="n"/>
      <c r="B643" s="469" t="n"/>
      <c r="C643" s="469" t="n"/>
      <c r="D643" s="469" t="n"/>
      <c r="E643" s="469" t="n"/>
      <c r="F643" s="469" t="n"/>
      <c r="G643" s="469" t="n"/>
      <c r="H643" s="469" t="n"/>
      <c r="I643" s="469" t="n"/>
      <c r="J643" s="469" t="n"/>
      <c r="K643" s="469" t="n"/>
      <c r="L643" s="469" t="n"/>
      <c r="M643" s="469" t="n"/>
      <c r="N643" s="469" t="n"/>
      <c r="O643" s="469" t="n"/>
      <c r="P643" s="471" t="n"/>
      <c r="Q643" s="469" t="n"/>
      <c r="R643" s="469" t="n"/>
      <c r="S643" s="469" t="n"/>
      <c r="T643" s="469" t="n"/>
      <c r="U643" s="469" t="n"/>
      <c r="V643" s="469" t="n"/>
      <c r="W643" s="469" t="n"/>
      <c r="X643" s="469" t="n"/>
      <c r="Y643" s="469" t="n"/>
      <c r="Z643" s="469" t="n"/>
      <c r="AA643" s="469" t="n"/>
    </row>
    <row r="644">
      <c r="A644" s="468" t="n"/>
      <c r="B644" s="469" t="n"/>
      <c r="C644" s="469" t="n"/>
      <c r="D644" s="469" t="n"/>
      <c r="E644" s="469" t="n"/>
      <c r="F644" s="469" t="n"/>
      <c r="G644" s="469" t="n"/>
      <c r="H644" s="469" t="n"/>
      <c r="I644" s="469" t="n"/>
      <c r="J644" s="469" t="n"/>
      <c r="K644" s="469" t="n"/>
      <c r="L644" s="469" t="n"/>
      <c r="M644" s="469" t="n"/>
      <c r="N644" s="469" t="n"/>
      <c r="O644" s="469" t="n"/>
      <c r="P644" s="471" t="n"/>
      <c r="Q644" s="469" t="n"/>
      <c r="R644" s="469" t="n"/>
      <c r="S644" s="469" t="n"/>
      <c r="T644" s="469" t="n"/>
      <c r="U644" s="469" t="n"/>
      <c r="V644" s="469" t="n"/>
      <c r="W644" s="469" t="n"/>
      <c r="X644" s="469" t="n"/>
      <c r="Y644" s="469" t="n"/>
      <c r="Z644" s="469" t="n"/>
      <c r="AA644" s="469" t="n"/>
    </row>
    <row r="645">
      <c r="A645" s="468" t="n"/>
      <c r="B645" s="469" t="n"/>
      <c r="C645" s="469" t="n"/>
      <c r="D645" s="469" t="n"/>
      <c r="E645" s="469" t="n"/>
      <c r="F645" s="469" t="n"/>
      <c r="G645" s="469" t="n"/>
      <c r="H645" s="469" t="n"/>
      <c r="I645" s="469" t="n"/>
      <c r="J645" s="469" t="n"/>
      <c r="K645" s="469" t="n"/>
      <c r="L645" s="469" t="n"/>
      <c r="M645" s="469" t="n"/>
      <c r="N645" s="469" t="n"/>
      <c r="O645" s="469" t="n"/>
      <c r="P645" s="471" t="n"/>
      <c r="Q645" s="469" t="n"/>
      <c r="R645" s="469" t="n"/>
      <c r="S645" s="469" t="n"/>
      <c r="T645" s="469" t="n"/>
      <c r="U645" s="469" t="n"/>
      <c r="V645" s="469" t="n"/>
      <c r="W645" s="469" t="n"/>
      <c r="X645" s="469" t="n"/>
      <c r="Y645" s="469" t="n"/>
      <c r="Z645" s="469" t="n"/>
      <c r="AA645" s="469" t="n"/>
    </row>
    <row r="646">
      <c r="A646" s="468" t="n"/>
      <c r="B646" s="469" t="n"/>
      <c r="C646" s="469" t="n"/>
      <c r="D646" s="469" t="n"/>
      <c r="E646" s="469" t="n"/>
      <c r="F646" s="469" t="n"/>
      <c r="G646" s="469" t="n"/>
      <c r="H646" s="469" t="n"/>
      <c r="I646" s="469" t="n"/>
      <c r="J646" s="469" t="n"/>
      <c r="K646" s="469" t="n"/>
      <c r="L646" s="469" t="n"/>
      <c r="M646" s="469" t="n"/>
      <c r="N646" s="469" t="n"/>
      <c r="O646" s="469" t="n"/>
      <c r="P646" s="471" t="n"/>
      <c r="Q646" s="469" t="n"/>
      <c r="R646" s="469" t="n"/>
      <c r="S646" s="469" t="n"/>
      <c r="T646" s="469" t="n"/>
      <c r="U646" s="469" t="n"/>
      <c r="V646" s="469" t="n"/>
      <c r="W646" s="469" t="n"/>
      <c r="X646" s="469" t="n"/>
      <c r="Y646" s="469" t="n"/>
      <c r="Z646" s="469" t="n"/>
      <c r="AA646" s="469" t="n"/>
    </row>
    <row r="647">
      <c r="A647" s="468" t="n"/>
      <c r="B647" s="469" t="n"/>
      <c r="C647" s="469" t="n"/>
      <c r="D647" s="469" t="n"/>
      <c r="E647" s="469" t="n"/>
      <c r="F647" s="469" t="n"/>
      <c r="G647" s="469" t="n"/>
      <c r="H647" s="469" t="n"/>
      <c r="I647" s="469" t="n"/>
      <c r="J647" s="469" t="n"/>
      <c r="K647" s="469" t="n"/>
      <c r="L647" s="469" t="n"/>
      <c r="M647" s="469" t="n"/>
      <c r="N647" s="469" t="n"/>
      <c r="O647" s="469" t="n"/>
      <c r="P647" s="471" t="n"/>
      <c r="Q647" s="469" t="n"/>
      <c r="R647" s="469" t="n"/>
      <c r="S647" s="469" t="n"/>
      <c r="T647" s="469" t="n"/>
      <c r="U647" s="469" t="n"/>
      <c r="V647" s="469" t="n"/>
      <c r="W647" s="469" t="n"/>
      <c r="X647" s="469" t="n"/>
      <c r="Y647" s="469" t="n"/>
      <c r="Z647" s="469" t="n"/>
      <c r="AA647" s="469" t="n"/>
    </row>
    <row r="648">
      <c r="A648" s="468" t="n"/>
      <c r="B648" s="469" t="n"/>
      <c r="C648" s="469" t="n"/>
      <c r="D648" s="469" t="n"/>
      <c r="E648" s="469" t="n"/>
      <c r="F648" s="469" t="n"/>
      <c r="G648" s="469" t="n"/>
      <c r="H648" s="469" t="n"/>
      <c r="I648" s="469" t="n"/>
      <c r="J648" s="469" t="n"/>
      <c r="K648" s="469" t="n"/>
      <c r="L648" s="469" t="n"/>
      <c r="M648" s="469" t="n"/>
      <c r="N648" s="469" t="n"/>
      <c r="O648" s="469" t="n"/>
      <c r="P648" s="471" t="n"/>
      <c r="Q648" s="469" t="n"/>
      <c r="R648" s="469" t="n"/>
      <c r="S648" s="469" t="n"/>
      <c r="T648" s="469" t="n"/>
      <c r="U648" s="469" t="n"/>
      <c r="V648" s="469" t="n"/>
      <c r="W648" s="469" t="n"/>
      <c r="X648" s="469" t="n"/>
      <c r="Y648" s="469" t="n"/>
      <c r="Z648" s="469" t="n"/>
      <c r="AA648" s="469" t="n"/>
    </row>
    <row r="649">
      <c r="A649" s="468" t="n"/>
      <c r="B649" s="469" t="n"/>
      <c r="C649" s="469" t="n"/>
      <c r="D649" s="469" t="n"/>
      <c r="E649" s="469" t="n"/>
      <c r="F649" s="469" t="n"/>
      <c r="G649" s="469" t="n"/>
      <c r="H649" s="469" t="n"/>
      <c r="I649" s="469" t="n"/>
      <c r="J649" s="469" t="n"/>
      <c r="K649" s="469" t="n"/>
      <c r="L649" s="469" t="n"/>
      <c r="M649" s="469" t="n"/>
      <c r="N649" s="469" t="n"/>
      <c r="O649" s="469" t="n"/>
      <c r="P649" s="471" t="n"/>
      <c r="Q649" s="469" t="n"/>
      <c r="R649" s="469" t="n"/>
      <c r="S649" s="469" t="n"/>
      <c r="T649" s="469" t="n"/>
      <c r="U649" s="469" t="n"/>
      <c r="V649" s="469" t="n"/>
      <c r="W649" s="469" t="n"/>
      <c r="X649" s="469" t="n"/>
      <c r="Y649" s="469" t="n"/>
      <c r="Z649" s="469" t="n"/>
      <c r="AA649" s="469" t="n"/>
    </row>
    <row r="650">
      <c r="A650" s="468" t="n"/>
      <c r="B650" s="469" t="n"/>
      <c r="C650" s="469" t="n"/>
      <c r="D650" s="469" t="n"/>
      <c r="E650" s="469" t="n"/>
      <c r="F650" s="469" t="n"/>
      <c r="G650" s="469" t="n"/>
      <c r="H650" s="469" t="n"/>
      <c r="I650" s="469" t="n"/>
      <c r="J650" s="469" t="n"/>
      <c r="K650" s="469" t="n"/>
      <c r="L650" s="469" t="n"/>
      <c r="M650" s="469" t="n"/>
      <c r="N650" s="469" t="n"/>
      <c r="O650" s="469" t="n"/>
      <c r="P650" s="471" t="n"/>
      <c r="Q650" s="469" t="n"/>
      <c r="R650" s="469" t="n"/>
      <c r="S650" s="469" t="n"/>
      <c r="T650" s="469" t="n"/>
      <c r="U650" s="469" t="n"/>
      <c r="V650" s="469" t="n"/>
      <c r="W650" s="469" t="n"/>
      <c r="X650" s="469" t="n"/>
      <c r="Y650" s="469" t="n"/>
      <c r="Z650" s="469" t="n"/>
      <c r="AA650" s="469" t="n"/>
    </row>
    <row r="651">
      <c r="A651" s="468" t="n"/>
      <c r="B651" s="469" t="n"/>
      <c r="C651" s="469" t="n"/>
      <c r="D651" s="469" t="n"/>
      <c r="E651" s="469" t="n"/>
      <c r="F651" s="469" t="n"/>
      <c r="G651" s="469" t="n"/>
      <c r="H651" s="469" t="n"/>
      <c r="I651" s="469" t="n"/>
      <c r="J651" s="469" t="n"/>
      <c r="K651" s="469" t="n"/>
      <c r="L651" s="469" t="n"/>
      <c r="M651" s="469" t="n"/>
      <c r="N651" s="469" t="n"/>
      <c r="O651" s="469" t="n"/>
      <c r="P651" s="471" t="n"/>
      <c r="Q651" s="469" t="n"/>
      <c r="R651" s="469" t="n"/>
      <c r="S651" s="469" t="n"/>
      <c r="T651" s="469" t="n"/>
      <c r="U651" s="469" t="n"/>
      <c r="V651" s="469" t="n"/>
      <c r="W651" s="469" t="n"/>
      <c r="X651" s="469" t="n"/>
      <c r="Y651" s="469" t="n"/>
      <c r="Z651" s="469" t="n"/>
      <c r="AA651" s="469" t="n"/>
    </row>
    <row r="652">
      <c r="A652" s="468" t="n"/>
      <c r="B652" s="469" t="n"/>
      <c r="C652" s="469" t="n"/>
      <c r="D652" s="469" t="n"/>
      <c r="E652" s="469" t="n"/>
      <c r="F652" s="469" t="n"/>
      <c r="G652" s="469" t="n"/>
      <c r="H652" s="469" t="n"/>
      <c r="I652" s="469" t="n"/>
      <c r="J652" s="469" t="n"/>
      <c r="K652" s="469" t="n"/>
      <c r="L652" s="469" t="n"/>
      <c r="M652" s="469" t="n"/>
      <c r="N652" s="469" t="n"/>
      <c r="O652" s="469" t="n"/>
      <c r="P652" s="471" t="n"/>
      <c r="Q652" s="469" t="n"/>
      <c r="R652" s="469" t="n"/>
      <c r="S652" s="469" t="n"/>
      <c r="T652" s="469" t="n"/>
      <c r="U652" s="469" t="n"/>
      <c r="V652" s="469" t="n"/>
      <c r="W652" s="469" t="n"/>
      <c r="X652" s="469" t="n"/>
      <c r="Y652" s="469" t="n"/>
      <c r="Z652" s="469" t="n"/>
      <c r="AA652" s="469" t="n"/>
    </row>
    <row r="653">
      <c r="A653" s="468" t="n"/>
      <c r="B653" s="469" t="n"/>
      <c r="C653" s="469" t="n"/>
      <c r="D653" s="469" t="n"/>
      <c r="E653" s="469" t="n"/>
      <c r="F653" s="469" t="n"/>
      <c r="G653" s="469" t="n"/>
      <c r="H653" s="469" t="n"/>
      <c r="I653" s="469" t="n"/>
      <c r="J653" s="469" t="n"/>
      <c r="K653" s="469" t="n"/>
      <c r="L653" s="469" t="n"/>
      <c r="M653" s="469" t="n"/>
      <c r="N653" s="469" t="n"/>
      <c r="O653" s="469" t="n"/>
      <c r="P653" s="471" t="n"/>
      <c r="Q653" s="469" t="n"/>
      <c r="R653" s="469" t="n"/>
      <c r="S653" s="469" t="n"/>
      <c r="T653" s="469" t="n"/>
      <c r="U653" s="469" t="n"/>
      <c r="V653" s="469" t="n"/>
      <c r="W653" s="469" t="n"/>
      <c r="X653" s="469" t="n"/>
      <c r="Y653" s="469" t="n"/>
      <c r="Z653" s="469" t="n"/>
      <c r="AA653" s="469" t="n"/>
    </row>
    <row r="654">
      <c r="A654" s="468" t="n"/>
      <c r="B654" s="469" t="n"/>
      <c r="C654" s="469" t="n"/>
      <c r="D654" s="469" t="n"/>
      <c r="E654" s="469" t="n"/>
      <c r="F654" s="469" t="n"/>
      <c r="G654" s="469" t="n"/>
      <c r="H654" s="469" t="n"/>
      <c r="I654" s="469" t="n"/>
      <c r="J654" s="469" t="n"/>
      <c r="K654" s="469" t="n"/>
      <c r="L654" s="469" t="n"/>
      <c r="M654" s="469" t="n"/>
      <c r="N654" s="469" t="n"/>
      <c r="O654" s="469" t="n"/>
      <c r="P654" s="471" t="n"/>
      <c r="Q654" s="469" t="n"/>
      <c r="R654" s="469" t="n"/>
      <c r="S654" s="469" t="n"/>
      <c r="T654" s="469" t="n"/>
      <c r="U654" s="469" t="n"/>
      <c r="V654" s="469" t="n"/>
      <c r="W654" s="469" t="n"/>
      <c r="X654" s="469" t="n"/>
      <c r="Y654" s="469" t="n"/>
      <c r="Z654" s="469" t="n"/>
      <c r="AA654" s="469" t="n"/>
    </row>
    <row r="655">
      <c r="A655" s="468" t="n"/>
      <c r="B655" s="469" t="n"/>
      <c r="C655" s="469" t="n"/>
      <c r="D655" s="469" t="n"/>
      <c r="E655" s="469" t="n"/>
      <c r="F655" s="469" t="n"/>
      <c r="G655" s="469" t="n"/>
      <c r="H655" s="469" t="n"/>
      <c r="I655" s="469" t="n"/>
      <c r="J655" s="469" t="n"/>
      <c r="K655" s="469" t="n"/>
      <c r="L655" s="469" t="n"/>
      <c r="M655" s="469" t="n"/>
      <c r="N655" s="469" t="n"/>
      <c r="O655" s="469" t="n"/>
      <c r="P655" s="471" t="n"/>
      <c r="Q655" s="469" t="n"/>
      <c r="R655" s="469" t="n"/>
      <c r="S655" s="469" t="n"/>
      <c r="T655" s="469" t="n"/>
      <c r="U655" s="469" t="n"/>
      <c r="V655" s="469" t="n"/>
      <c r="W655" s="469" t="n"/>
      <c r="X655" s="469" t="n"/>
      <c r="Y655" s="469" t="n"/>
      <c r="Z655" s="469" t="n"/>
      <c r="AA655" s="469" t="n"/>
    </row>
    <row r="656">
      <c r="A656" s="468" t="n"/>
      <c r="B656" s="469" t="n"/>
      <c r="C656" s="469" t="n"/>
      <c r="D656" s="469" t="n"/>
      <c r="E656" s="469" t="n"/>
      <c r="F656" s="469" t="n"/>
      <c r="G656" s="469" t="n"/>
      <c r="H656" s="469" t="n"/>
      <c r="I656" s="469" t="n"/>
      <c r="J656" s="469" t="n"/>
      <c r="K656" s="469" t="n"/>
      <c r="L656" s="469" t="n"/>
      <c r="M656" s="469" t="n"/>
      <c r="N656" s="469" t="n"/>
      <c r="O656" s="469" t="n"/>
      <c r="P656" s="471" t="n"/>
      <c r="Q656" s="469" t="n"/>
      <c r="R656" s="469" t="n"/>
      <c r="S656" s="469" t="n"/>
      <c r="T656" s="469" t="n"/>
      <c r="U656" s="469" t="n"/>
      <c r="V656" s="469" t="n"/>
      <c r="W656" s="469" t="n"/>
      <c r="X656" s="469" t="n"/>
      <c r="Y656" s="469" t="n"/>
      <c r="Z656" s="469" t="n"/>
      <c r="AA656" s="469" t="n"/>
    </row>
    <row r="657">
      <c r="A657" s="468" t="n"/>
      <c r="B657" s="469" t="n"/>
      <c r="C657" s="469" t="n"/>
      <c r="D657" s="469" t="n"/>
      <c r="E657" s="469" t="n"/>
      <c r="F657" s="469" t="n"/>
      <c r="G657" s="469" t="n"/>
      <c r="H657" s="469" t="n"/>
      <c r="I657" s="469" t="n"/>
      <c r="J657" s="469" t="n"/>
      <c r="K657" s="469" t="n"/>
      <c r="L657" s="469" t="n"/>
      <c r="M657" s="469" t="n"/>
      <c r="N657" s="469" t="n"/>
      <c r="O657" s="469" t="n"/>
      <c r="P657" s="471" t="n"/>
      <c r="Q657" s="469" t="n"/>
      <c r="R657" s="469" t="n"/>
      <c r="S657" s="469" t="n"/>
      <c r="T657" s="469" t="n"/>
      <c r="U657" s="469" t="n"/>
      <c r="V657" s="469" t="n"/>
      <c r="W657" s="469" t="n"/>
      <c r="X657" s="469" t="n"/>
      <c r="Y657" s="469" t="n"/>
      <c r="Z657" s="469" t="n"/>
      <c r="AA657" s="469" t="n"/>
    </row>
    <row r="658">
      <c r="A658" s="468" t="n"/>
      <c r="B658" s="469" t="n"/>
      <c r="C658" s="469" t="n"/>
      <c r="D658" s="469" t="n"/>
      <c r="E658" s="469" t="n"/>
      <c r="F658" s="469" t="n"/>
      <c r="G658" s="469" t="n"/>
      <c r="H658" s="469" t="n"/>
      <c r="I658" s="469" t="n"/>
      <c r="J658" s="469" t="n"/>
      <c r="K658" s="469" t="n"/>
      <c r="L658" s="469" t="n"/>
      <c r="M658" s="469" t="n"/>
      <c r="N658" s="469" t="n"/>
      <c r="O658" s="469" t="n"/>
      <c r="P658" s="471" t="n"/>
      <c r="Q658" s="469" t="n"/>
      <c r="R658" s="469" t="n"/>
      <c r="S658" s="469" t="n"/>
      <c r="T658" s="469" t="n"/>
      <c r="U658" s="469" t="n"/>
      <c r="V658" s="469" t="n"/>
      <c r="W658" s="469" t="n"/>
      <c r="X658" s="469" t="n"/>
      <c r="Y658" s="469" t="n"/>
      <c r="Z658" s="469" t="n"/>
      <c r="AA658" s="469" t="n"/>
    </row>
    <row r="659">
      <c r="A659" s="468" t="n"/>
      <c r="B659" s="469" t="n"/>
      <c r="C659" s="469" t="n"/>
      <c r="D659" s="469" t="n"/>
      <c r="E659" s="469" t="n"/>
      <c r="F659" s="469" t="n"/>
      <c r="G659" s="469" t="n"/>
      <c r="H659" s="469" t="n"/>
      <c r="I659" s="469" t="n"/>
      <c r="J659" s="469" t="n"/>
      <c r="K659" s="469" t="n"/>
      <c r="L659" s="469" t="n"/>
      <c r="M659" s="469" t="n"/>
      <c r="N659" s="469" t="n"/>
      <c r="O659" s="469" t="n"/>
      <c r="P659" s="471" t="n"/>
      <c r="Q659" s="469" t="n"/>
      <c r="R659" s="469" t="n"/>
      <c r="S659" s="469" t="n"/>
      <c r="T659" s="469" t="n"/>
      <c r="U659" s="469" t="n"/>
      <c r="V659" s="469" t="n"/>
      <c r="W659" s="469" t="n"/>
      <c r="X659" s="469" t="n"/>
      <c r="Y659" s="469" t="n"/>
      <c r="Z659" s="469" t="n"/>
      <c r="AA659" s="469" t="n"/>
    </row>
    <row r="660">
      <c r="A660" s="468" t="n"/>
      <c r="B660" s="469" t="n"/>
      <c r="C660" s="469" t="n"/>
      <c r="D660" s="469" t="n"/>
      <c r="E660" s="469" t="n"/>
      <c r="F660" s="469" t="n"/>
      <c r="G660" s="469" t="n"/>
      <c r="H660" s="469" t="n"/>
      <c r="I660" s="469" t="n"/>
      <c r="J660" s="469" t="n"/>
      <c r="K660" s="469" t="n"/>
      <c r="L660" s="469" t="n"/>
      <c r="M660" s="469" t="n"/>
      <c r="N660" s="469" t="n"/>
      <c r="O660" s="469" t="n"/>
      <c r="P660" s="471" t="n"/>
      <c r="Q660" s="469" t="n"/>
      <c r="R660" s="469" t="n"/>
      <c r="S660" s="469" t="n"/>
      <c r="T660" s="469" t="n"/>
      <c r="U660" s="469" t="n"/>
      <c r="V660" s="469" t="n"/>
      <c r="W660" s="469" t="n"/>
      <c r="X660" s="469" t="n"/>
      <c r="Y660" s="469" t="n"/>
      <c r="Z660" s="469" t="n"/>
      <c r="AA660" s="469" t="n"/>
    </row>
    <row r="661">
      <c r="A661" s="468" t="n"/>
      <c r="B661" s="469" t="n"/>
      <c r="C661" s="469" t="n"/>
      <c r="D661" s="469" t="n"/>
      <c r="E661" s="469" t="n"/>
      <c r="F661" s="469" t="n"/>
      <c r="G661" s="469" t="n"/>
      <c r="H661" s="469" t="n"/>
      <c r="I661" s="469" t="n"/>
      <c r="J661" s="469" t="n"/>
      <c r="K661" s="469" t="n"/>
      <c r="L661" s="469" t="n"/>
      <c r="M661" s="469" t="n"/>
      <c r="N661" s="469" t="n"/>
      <c r="O661" s="469" t="n"/>
      <c r="P661" s="471" t="n"/>
      <c r="Q661" s="469" t="n"/>
      <c r="R661" s="469" t="n"/>
      <c r="S661" s="469" t="n"/>
      <c r="T661" s="469" t="n"/>
      <c r="U661" s="469" t="n"/>
      <c r="V661" s="469" t="n"/>
      <c r="W661" s="469" t="n"/>
      <c r="X661" s="469" t="n"/>
      <c r="Y661" s="469" t="n"/>
      <c r="Z661" s="469" t="n"/>
      <c r="AA661" s="469" t="n"/>
    </row>
    <row r="662">
      <c r="A662" s="468" t="n"/>
      <c r="B662" s="469" t="n"/>
      <c r="C662" s="469" t="n"/>
      <c r="D662" s="469" t="n"/>
      <c r="E662" s="469" t="n"/>
      <c r="F662" s="469" t="n"/>
      <c r="G662" s="469" t="n"/>
      <c r="H662" s="469" t="n"/>
      <c r="I662" s="469" t="n"/>
      <c r="J662" s="469" t="n"/>
      <c r="K662" s="469" t="n"/>
      <c r="L662" s="469" t="n"/>
      <c r="M662" s="469" t="n"/>
      <c r="N662" s="469" t="n"/>
      <c r="O662" s="469" t="n"/>
      <c r="P662" s="471" t="n"/>
      <c r="Q662" s="469" t="n"/>
      <c r="R662" s="469" t="n"/>
      <c r="S662" s="469" t="n"/>
      <c r="T662" s="469" t="n"/>
      <c r="U662" s="469" t="n"/>
      <c r="V662" s="469" t="n"/>
      <c r="W662" s="469" t="n"/>
      <c r="X662" s="469" t="n"/>
      <c r="Y662" s="469" t="n"/>
      <c r="Z662" s="469" t="n"/>
      <c r="AA662" s="469" t="n"/>
    </row>
    <row r="663">
      <c r="A663" s="468" t="n"/>
      <c r="B663" s="469" t="n"/>
      <c r="C663" s="469" t="n"/>
      <c r="D663" s="469" t="n"/>
      <c r="E663" s="469" t="n"/>
      <c r="F663" s="469" t="n"/>
      <c r="G663" s="469" t="n"/>
      <c r="H663" s="469" t="n"/>
      <c r="I663" s="469" t="n"/>
      <c r="J663" s="469" t="n"/>
      <c r="K663" s="469" t="n"/>
      <c r="L663" s="469" t="n"/>
      <c r="M663" s="469" t="n"/>
      <c r="N663" s="469" t="n"/>
      <c r="O663" s="469" t="n"/>
      <c r="P663" s="471" t="n"/>
      <c r="Q663" s="469" t="n"/>
      <c r="R663" s="469" t="n"/>
      <c r="S663" s="469" t="n"/>
      <c r="T663" s="469" t="n"/>
      <c r="U663" s="469" t="n"/>
      <c r="V663" s="469" t="n"/>
      <c r="W663" s="469" t="n"/>
      <c r="X663" s="469" t="n"/>
      <c r="Y663" s="469" t="n"/>
      <c r="Z663" s="469" t="n"/>
      <c r="AA663" s="469" t="n"/>
    </row>
    <row r="664">
      <c r="A664" s="468" t="n"/>
      <c r="B664" s="469" t="n"/>
      <c r="C664" s="469" t="n"/>
      <c r="D664" s="469" t="n"/>
      <c r="E664" s="469" t="n"/>
      <c r="F664" s="469" t="n"/>
      <c r="G664" s="469" t="n"/>
      <c r="H664" s="469" t="n"/>
      <c r="I664" s="469" t="n"/>
      <c r="J664" s="469" t="n"/>
      <c r="K664" s="469" t="n"/>
      <c r="L664" s="469" t="n"/>
      <c r="M664" s="469" t="n"/>
      <c r="N664" s="469" t="n"/>
      <c r="O664" s="469" t="n"/>
      <c r="P664" s="471" t="n"/>
      <c r="Q664" s="469" t="n"/>
      <c r="R664" s="469" t="n"/>
      <c r="S664" s="469" t="n"/>
      <c r="T664" s="469" t="n"/>
      <c r="U664" s="469" t="n"/>
      <c r="V664" s="469" t="n"/>
      <c r="W664" s="469" t="n"/>
      <c r="X664" s="469" t="n"/>
      <c r="Y664" s="469" t="n"/>
      <c r="Z664" s="469" t="n"/>
      <c r="AA664" s="469" t="n"/>
    </row>
    <row r="665">
      <c r="A665" s="468" t="n"/>
      <c r="B665" s="469" t="n"/>
      <c r="C665" s="469" t="n"/>
      <c r="D665" s="469" t="n"/>
      <c r="E665" s="469" t="n"/>
      <c r="F665" s="469" t="n"/>
      <c r="G665" s="469" t="n"/>
      <c r="H665" s="469" t="n"/>
      <c r="I665" s="469" t="n"/>
      <c r="J665" s="469" t="n"/>
      <c r="K665" s="469" t="n"/>
      <c r="L665" s="469" t="n"/>
      <c r="M665" s="469" t="n"/>
      <c r="N665" s="469" t="n"/>
      <c r="O665" s="469" t="n"/>
      <c r="P665" s="471" t="n"/>
      <c r="Q665" s="469" t="n"/>
      <c r="R665" s="469" t="n"/>
      <c r="S665" s="469" t="n"/>
      <c r="T665" s="469" t="n"/>
      <c r="U665" s="469" t="n"/>
      <c r="V665" s="469" t="n"/>
      <c r="W665" s="469" t="n"/>
      <c r="X665" s="469" t="n"/>
      <c r="Y665" s="469" t="n"/>
      <c r="Z665" s="469" t="n"/>
      <c r="AA665" s="469" t="n"/>
    </row>
    <row r="666">
      <c r="A666" s="468" t="n"/>
      <c r="B666" s="469" t="n"/>
      <c r="C666" s="469" t="n"/>
      <c r="D666" s="469" t="n"/>
      <c r="E666" s="469" t="n"/>
      <c r="F666" s="469" t="n"/>
      <c r="G666" s="469" t="n"/>
      <c r="H666" s="469" t="n"/>
      <c r="I666" s="469" t="n"/>
      <c r="J666" s="469" t="n"/>
      <c r="K666" s="469" t="n"/>
      <c r="L666" s="469" t="n"/>
      <c r="M666" s="469" t="n"/>
      <c r="N666" s="469" t="n"/>
      <c r="O666" s="469" t="n"/>
      <c r="P666" s="471" t="n"/>
      <c r="Q666" s="469" t="n"/>
      <c r="R666" s="469" t="n"/>
      <c r="S666" s="469" t="n"/>
      <c r="T666" s="469" t="n"/>
      <c r="U666" s="469" t="n"/>
      <c r="V666" s="469" t="n"/>
      <c r="W666" s="469" t="n"/>
      <c r="X666" s="469" t="n"/>
      <c r="Y666" s="469" t="n"/>
      <c r="Z666" s="469" t="n"/>
      <c r="AA666" s="469" t="n"/>
    </row>
    <row r="667">
      <c r="A667" s="468" t="n"/>
      <c r="B667" s="469" t="n"/>
      <c r="C667" s="469" t="n"/>
      <c r="D667" s="469" t="n"/>
      <c r="E667" s="469" t="n"/>
      <c r="F667" s="469" t="n"/>
      <c r="G667" s="469" t="n"/>
      <c r="H667" s="469" t="n"/>
      <c r="I667" s="469" t="n"/>
      <c r="J667" s="469" t="n"/>
      <c r="K667" s="469" t="n"/>
      <c r="L667" s="469" t="n"/>
      <c r="M667" s="469" t="n"/>
      <c r="N667" s="469" t="n"/>
      <c r="O667" s="469" t="n"/>
      <c r="P667" s="471" t="n"/>
      <c r="Q667" s="469" t="n"/>
      <c r="R667" s="469" t="n"/>
      <c r="S667" s="469" t="n"/>
      <c r="T667" s="469" t="n"/>
      <c r="U667" s="469" t="n"/>
      <c r="V667" s="469" t="n"/>
      <c r="W667" s="469" t="n"/>
      <c r="X667" s="469" t="n"/>
      <c r="Y667" s="469" t="n"/>
      <c r="Z667" s="469" t="n"/>
      <c r="AA667" s="469" t="n"/>
    </row>
    <row r="668">
      <c r="A668" s="468" t="n"/>
      <c r="B668" s="469" t="n"/>
      <c r="C668" s="469" t="n"/>
      <c r="D668" s="469" t="n"/>
      <c r="E668" s="469" t="n"/>
      <c r="F668" s="469" t="n"/>
      <c r="G668" s="469" t="n"/>
      <c r="H668" s="469" t="n"/>
      <c r="I668" s="469" t="n"/>
      <c r="J668" s="469" t="n"/>
      <c r="K668" s="469" t="n"/>
      <c r="L668" s="469" t="n"/>
      <c r="M668" s="469" t="n"/>
      <c r="N668" s="469" t="n"/>
      <c r="O668" s="469" t="n"/>
      <c r="P668" s="471" t="n"/>
      <c r="Q668" s="469" t="n"/>
      <c r="R668" s="469" t="n"/>
      <c r="S668" s="469" t="n"/>
      <c r="T668" s="469" t="n"/>
      <c r="U668" s="469" t="n"/>
      <c r="V668" s="469" t="n"/>
      <c r="W668" s="469" t="n"/>
      <c r="X668" s="469" t="n"/>
      <c r="Y668" s="469" t="n"/>
      <c r="Z668" s="469" t="n"/>
      <c r="AA668" s="469" t="n"/>
    </row>
    <row r="669">
      <c r="A669" s="468" t="n"/>
      <c r="B669" s="469" t="n"/>
      <c r="C669" s="469" t="n"/>
      <c r="D669" s="469" t="n"/>
      <c r="E669" s="469" t="n"/>
      <c r="F669" s="469" t="n"/>
      <c r="G669" s="469" t="n"/>
      <c r="H669" s="469" t="n"/>
      <c r="I669" s="469" t="n"/>
      <c r="J669" s="469" t="n"/>
      <c r="K669" s="469" t="n"/>
      <c r="L669" s="469" t="n"/>
      <c r="M669" s="469" t="n"/>
      <c r="N669" s="469" t="n"/>
      <c r="O669" s="469" t="n"/>
      <c r="P669" s="471" t="n"/>
      <c r="Q669" s="469" t="n"/>
      <c r="R669" s="469" t="n"/>
      <c r="S669" s="469" t="n"/>
      <c r="T669" s="469" t="n"/>
      <c r="U669" s="469" t="n"/>
      <c r="V669" s="469" t="n"/>
      <c r="W669" s="469" t="n"/>
      <c r="X669" s="469" t="n"/>
      <c r="Y669" s="469" t="n"/>
      <c r="Z669" s="469" t="n"/>
      <c r="AA669" s="469" t="n"/>
    </row>
    <row r="670">
      <c r="A670" s="468" t="n"/>
      <c r="B670" s="469" t="n"/>
      <c r="C670" s="469" t="n"/>
      <c r="D670" s="469" t="n"/>
      <c r="E670" s="469" t="n"/>
      <c r="F670" s="469" t="n"/>
      <c r="G670" s="469" t="n"/>
      <c r="H670" s="469" t="n"/>
      <c r="I670" s="469" t="n"/>
      <c r="J670" s="469" t="n"/>
      <c r="K670" s="469" t="n"/>
      <c r="L670" s="469" t="n"/>
      <c r="M670" s="469" t="n"/>
      <c r="N670" s="469" t="n"/>
      <c r="O670" s="469" t="n"/>
      <c r="P670" s="471" t="n"/>
      <c r="Q670" s="469" t="n"/>
      <c r="R670" s="469" t="n"/>
      <c r="S670" s="469" t="n"/>
      <c r="T670" s="469" t="n"/>
      <c r="U670" s="469" t="n"/>
      <c r="V670" s="469" t="n"/>
      <c r="W670" s="469" t="n"/>
      <c r="X670" s="469" t="n"/>
      <c r="Y670" s="469" t="n"/>
      <c r="Z670" s="469" t="n"/>
      <c r="AA670" s="469" t="n"/>
    </row>
    <row r="671">
      <c r="A671" s="468" t="n"/>
      <c r="B671" s="469" t="n"/>
      <c r="C671" s="469" t="n"/>
      <c r="D671" s="469" t="n"/>
      <c r="E671" s="469" t="n"/>
      <c r="F671" s="469" t="n"/>
      <c r="G671" s="469" t="n"/>
      <c r="H671" s="469" t="n"/>
      <c r="I671" s="469" t="n"/>
      <c r="J671" s="469" t="n"/>
      <c r="K671" s="469" t="n"/>
      <c r="L671" s="469" t="n"/>
      <c r="M671" s="469" t="n"/>
      <c r="N671" s="469" t="n"/>
      <c r="O671" s="469" t="n"/>
      <c r="P671" s="471" t="n"/>
      <c r="Q671" s="469" t="n"/>
      <c r="R671" s="469" t="n"/>
      <c r="S671" s="469" t="n"/>
      <c r="T671" s="469" t="n"/>
      <c r="U671" s="469" t="n"/>
      <c r="V671" s="469" t="n"/>
      <c r="W671" s="469" t="n"/>
      <c r="X671" s="469" t="n"/>
      <c r="Y671" s="469" t="n"/>
      <c r="Z671" s="469" t="n"/>
      <c r="AA671" s="469" t="n"/>
    </row>
    <row r="672">
      <c r="A672" s="468" t="n"/>
      <c r="B672" s="469" t="n"/>
      <c r="C672" s="469" t="n"/>
      <c r="D672" s="469" t="n"/>
      <c r="E672" s="469" t="n"/>
      <c r="F672" s="469" t="n"/>
      <c r="G672" s="469" t="n"/>
      <c r="H672" s="469" t="n"/>
      <c r="I672" s="469" t="n"/>
      <c r="J672" s="469" t="n"/>
      <c r="K672" s="469" t="n"/>
      <c r="L672" s="469" t="n"/>
      <c r="M672" s="469" t="n"/>
      <c r="N672" s="469" t="n"/>
      <c r="O672" s="469" t="n"/>
      <c r="P672" s="471" t="n"/>
      <c r="Q672" s="469" t="n"/>
      <c r="R672" s="469" t="n"/>
      <c r="S672" s="469" t="n"/>
      <c r="T672" s="469" t="n"/>
      <c r="U672" s="469" t="n"/>
      <c r="V672" s="469" t="n"/>
      <c r="W672" s="469" t="n"/>
      <c r="X672" s="469" t="n"/>
      <c r="Y672" s="469" t="n"/>
      <c r="Z672" s="469" t="n"/>
      <c r="AA672" s="469" t="n"/>
    </row>
    <row r="673">
      <c r="A673" s="468" t="n"/>
      <c r="B673" s="469" t="n"/>
      <c r="C673" s="469" t="n"/>
      <c r="D673" s="469" t="n"/>
      <c r="E673" s="469" t="n"/>
      <c r="F673" s="469" t="n"/>
      <c r="G673" s="469" t="n"/>
      <c r="H673" s="469" t="n"/>
      <c r="I673" s="469" t="n"/>
      <c r="J673" s="469" t="n"/>
      <c r="K673" s="469" t="n"/>
      <c r="L673" s="469" t="n"/>
      <c r="M673" s="469" t="n"/>
      <c r="N673" s="469" t="n"/>
      <c r="O673" s="469" t="n"/>
      <c r="P673" s="471" t="n"/>
      <c r="Q673" s="469" t="n"/>
      <c r="R673" s="469" t="n"/>
      <c r="S673" s="469" t="n"/>
      <c r="T673" s="469" t="n"/>
      <c r="U673" s="469" t="n"/>
      <c r="V673" s="469" t="n"/>
      <c r="W673" s="469" t="n"/>
      <c r="X673" s="469" t="n"/>
      <c r="Y673" s="469" t="n"/>
      <c r="Z673" s="469" t="n"/>
      <c r="AA673" s="469" t="n"/>
    </row>
    <row r="674">
      <c r="A674" s="468" t="n"/>
      <c r="B674" s="469" t="n"/>
      <c r="C674" s="469" t="n"/>
      <c r="D674" s="469" t="n"/>
      <c r="E674" s="469" t="n"/>
      <c r="F674" s="469" t="n"/>
      <c r="G674" s="469" t="n"/>
      <c r="H674" s="469" t="n"/>
      <c r="I674" s="469" t="n"/>
      <c r="J674" s="469" t="n"/>
      <c r="K674" s="469" t="n"/>
      <c r="L674" s="469" t="n"/>
      <c r="M674" s="469" t="n"/>
      <c r="N674" s="469" t="n"/>
      <c r="O674" s="469" t="n"/>
      <c r="P674" s="471" t="n"/>
      <c r="Q674" s="469" t="n"/>
      <c r="R674" s="469" t="n"/>
      <c r="S674" s="469" t="n"/>
      <c r="T674" s="469" t="n"/>
      <c r="U674" s="469" t="n"/>
      <c r="V674" s="469" t="n"/>
      <c r="W674" s="469" t="n"/>
      <c r="X674" s="469" t="n"/>
      <c r="Y674" s="469" t="n"/>
      <c r="Z674" s="469" t="n"/>
      <c r="AA674" s="469" t="n"/>
    </row>
    <row r="675">
      <c r="A675" s="468" t="n"/>
      <c r="B675" s="469" t="n"/>
      <c r="C675" s="469" t="n"/>
      <c r="D675" s="469" t="n"/>
      <c r="E675" s="469" t="n"/>
      <c r="F675" s="469" t="n"/>
      <c r="G675" s="469" t="n"/>
      <c r="H675" s="469" t="n"/>
      <c r="I675" s="469" t="n"/>
      <c r="J675" s="469" t="n"/>
      <c r="K675" s="469" t="n"/>
      <c r="L675" s="469" t="n"/>
      <c r="M675" s="469" t="n"/>
      <c r="N675" s="469" t="n"/>
      <c r="O675" s="469" t="n"/>
      <c r="P675" s="471" t="n"/>
      <c r="Q675" s="469" t="n"/>
      <c r="R675" s="469" t="n"/>
      <c r="S675" s="469" t="n"/>
      <c r="T675" s="469" t="n"/>
      <c r="U675" s="469" t="n"/>
      <c r="V675" s="469" t="n"/>
      <c r="W675" s="469" t="n"/>
      <c r="X675" s="469" t="n"/>
      <c r="Y675" s="469" t="n"/>
      <c r="Z675" s="469" t="n"/>
      <c r="AA675" s="469" t="n"/>
    </row>
    <row r="676">
      <c r="A676" s="468" t="n"/>
      <c r="B676" s="469" t="n"/>
      <c r="C676" s="469" t="n"/>
      <c r="D676" s="469" t="n"/>
      <c r="E676" s="469" t="n"/>
      <c r="F676" s="469" t="n"/>
      <c r="G676" s="469" t="n"/>
      <c r="H676" s="469" t="n"/>
      <c r="I676" s="469" t="n"/>
      <c r="J676" s="469" t="n"/>
      <c r="K676" s="469" t="n"/>
      <c r="L676" s="469" t="n"/>
      <c r="M676" s="469" t="n"/>
      <c r="N676" s="469" t="n"/>
      <c r="O676" s="469" t="n"/>
      <c r="P676" s="471" t="n"/>
      <c r="Q676" s="469" t="n"/>
      <c r="R676" s="469" t="n"/>
      <c r="S676" s="469" t="n"/>
      <c r="T676" s="469" t="n"/>
      <c r="U676" s="469" t="n"/>
      <c r="V676" s="469" t="n"/>
      <c r="W676" s="469" t="n"/>
      <c r="X676" s="469" t="n"/>
      <c r="Y676" s="469" t="n"/>
      <c r="Z676" s="469" t="n"/>
      <c r="AA676" s="469" t="n"/>
    </row>
    <row r="677">
      <c r="A677" s="468" t="n"/>
      <c r="B677" s="469" t="n"/>
      <c r="C677" s="469" t="n"/>
      <c r="D677" s="469" t="n"/>
      <c r="E677" s="469" t="n"/>
      <c r="F677" s="469" t="n"/>
      <c r="G677" s="469" t="n"/>
      <c r="H677" s="469" t="n"/>
      <c r="I677" s="469" t="n"/>
      <c r="J677" s="469" t="n"/>
      <c r="K677" s="469" t="n"/>
      <c r="L677" s="469" t="n"/>
      <c r="M677" s="469" t="n"/>
      <c r="N677" s="469" t="n"/>
      <c r="O677" s="469" t="n"/>
      <c r="P677" s="471" t="n"/>
      <c r="Q677" s="469" t="n"/>
      <c r="R677" s="469" t="n"/>
      <c r="S677" s="469" t="n"/>
      <c r="T677" s="469" t="n"/>
      <c r="U677" s="469" t="n"/>
      <c r="V677" s="469" t="n"/>
      <c r="W677" s="469" t="n"/>
      <c r="X677" s="469" t="n"/>
      <c r="Y677" s="469" t="n"/>
      <c r="Z677" s="469" t="n"/>
      <c r="AA677" s="469" t="n"/>
    </row>
    <row r="678">
      <c r="A678" s="468" t="n"/>
      <c r="B678" s="469" t="n"/>
      <c r="C678" s="469" t="n"/>
      <c r="D678" s="469" t="n"/>
      <c r="E678" s="469" t="n"/>
      <c r="F678" s="469" t="n"/>
      <c r="G678" s="469" t="n"/>
      <c r="H678" s="469" t="n"/>
      <c r="I678" s="469" t="n"/>
      <c r="J678" s="469" t="n"/>
      <c r="K678" s="469" t="n"/>
      <c r="L678" s="469" t="n"/>
      <c r="M678" s="469" t="n"/>
      <c r="N678" s="469" t="n"/>
      <c r="O678" s="469" t="n"/>
      <c r="P678" s="471" t="n"/>
      <c r="Q678" s="469" t="n"/>
      <c r="R678" s="469" t="n"/>
      <c r="S678" s="469" t="n"/>
      <c r="T678" s="469" t="n"/>
      <c r="U678" s="469" t="n"/>
      <c r="V678" s="469" t="n"/>
      <c r="W678" s="469" t="n"/>
      <c r="X678" s="469" t="n"/>
      <c r="Y678" s="469" t="n"/>
      <c r="Z678" s="469" t="n"/>
      <c r="AA678" s="469" t="n"/>
    </row>
    <row r="679">
      <c r="A679" s="468" t="n"/>
      <c r="B679" s="469" t="n"/>
      <c r="C679" s="469" t="n"/>
      <c r="D679" s="469" t="n"/>
      <c r="E679" s="469" t="n"/>
      <c r="F679" s="469" t="n"/>
      <c r="G679" s="469" t="n"/>
      <c r="H679" s="469" t="n"/>
      <c r="I679" s="469" t="n"/>
      <c r="J679" s="469" t="n"/>
      <c r="K679" s="469" t="n"/>
      <c r="L679" s="469" t="n"/>
      <c r="M679" s="469" t="n"/>
      <c r="N679" s="469" t="n"/>
      <c r="O679" s="469" t="n"/>
      <c r="P679" s="471" t="n"/>
      <c r="Q679" s="469" t="n"/>
      <c r="R679" s="469" t="n"/>
      <c r="S679" s="469" t="n"/>
      <c r="T679" s="469" t="n"/>
      <c r="U679" s="469" t="n"/>
      <c r="V679" s="469" t="n"/>
      <c r="W679" s="469" t="n"/>
      <c r="X679" s="469" t="n"/>
      <c r="Y679" s="469" t="n"/>
      <c r="Z679" s="469" t="n"/>
      <c r="AA679" s="469" t="n"/>
    </row>
    <row r="680">
      <c r="A680" s="468" t="n"/>
      <c r="B680" s="469" t="n"/>
      <c r="C680" s="469" t="n"/>
      <c r="D680" s="469" t="n"/>
      <c r="E680" s="469" t="n"/>
      <c r="F680" s="469" t="n"/>
      <c r="G680" s="469" t="n"/>
      <c r="H680" s="469" t="n"/>
      <c r="I680" s="469" t="n"/>
      <c r="J680" s="469" t="n"/>
      <c r="K680" s="469" t="n"/>
      <c r="L680" s="469" t="n"/>
      <c r="M680" s="469" t="n"/>
      <c r="N680" s="469" t="n"/>
      <c r="O680" s="469" t="n"/>
      <c r="P680" s="471" t="n"/>
      <c r="Q680" s="469" t="n"/>
      <c r="R680" s="469" t="n"/>
      <c r="S680" s="469" t="n"/>
      <c r="T680" s="469" t="n"/>
      <c r="U680" s="469" t="n"/>
      <c r="V680" s="469" t="n"/>
      <c r="W680" s="469" t="n"/>
      <c r="X680" s="469" t="n"/>
      <c r="Y680" s="469" t="n"/>
      <c r="Z680" s="469" t="n"/>
      <c r="AA680" s="469" t="n"/>
    </row>
    <row r="681">
      <c r="A681" s="468" t="n"/>
      <c r="B681" s="469" t="n"/>
      <c r="C681" s="469" t="n"/>
      <c r="D681" s="469" t="n"/>
      <c r="E681" s="469" t="n"/>
      <c r="F681" s="469" t="n"/>
      <c r="G681" s="469" t="n"/>
      <c r="H681" s="469" t="n"/>
      <c r="I681" s="469" t="n"/>
      <c r="J681" s="469" t="n"/>
      <c r="K681" s="469" t="n"/>
      <c r="L681" s="469" t="n"/>
      <c r="M681" s="469" t="n"/>
      <c r="N681" s="469" t="n"/>
      <c r="O681" s="469" t="n"/>
      <c r="P681" s="471" t="n"/>
      <c r="Q681" s="469" t="n"/>
      <c r="R681" s="469" t="n"/>
      <c r="S681" s="469" t="n"/>
      <c r="T681" s="469" t="n"/>
      <c r="U681" s="469" t="n"/>
      <c r="V681" s="469" t="n"/>
      <c r="W681" s="469" t="n"/>
      <c r="X681" s="469" t="n"/>
      <c r="Y681" s="469" t="n"/>
      <c r="Z681" s="469" t="n"/>
      <c r="AA681" s="469" t="n"/>
    </row>
    <row r="682">
      <c r="A682" s="468" t="n"/>
      <c r="B682" s="469" t="n"/>
      <c r="C682" s="469" t="n"/>
      <c r="D682" s="469" t="n"/>
      <c r="E682" s="469" t="n"/>
      <c r="F682" s="469" t="n"/>
      <c r="G682" s="469" t="n"/>
      <c r="H682" s="469" t="n"/>
      <c r="I682" s="469" t="n"/>
      <c r="J682" s="469" t="n"/>
      <c r="K682" s="469" t="n"/>
      <c r="L682" s="469" t="n"/>
      <c r="M682" s="469" t="n"/>
      <c r="N682" s="469" t="n"/>
      <c r="O682" s="469" t="n"/>
      <c r="P682" s="471" t="n"/>
      <c r="Q682" s="469" t="n"/>
      <c r="R682" s="469" t="n"/>
      <c r="S682" s="469" t="n"/>
      <c r="T682" s="469" t="n"/>
      <c r="U682" s="469" t="n"/>
      <c r="V682" s="469" t="n"/>
      <c r="W682" s="469" t="n"/>
      <c r="X682" s="469" t="n"/>
      <c r="Y682" s="469" t="n"/>
      <c r="Z682" s="469" t="n"/>
      <c r="AA682" s="469" t="n"/>
    </row>
    <row r="683">
      <c r="A683" s="468" t="n"/>
      <c r="B683" s="469" t="n"/>
      <c r="C683" s="469" t="n"/>
      <c r="D683" s="469" t="n"/>
      <c r="E683" s="469" t="n"/>
      <c r="F683" s="469" t="n"/>
      <c r="G683" s="469" t="n"/>
      <c r="H683" s="469" t="n"/>
      <c r="I683" s="469" t="n"/>
      <c r="J683" s="469" t="n"/>
      <c r="K683" s="469" t="n"/>
      <c r="L683" s="469" t="n"/>
      <c r="M683" s="469" t="n"/>
      <c r="N683" s="469" t="n"/>
      <c r="O683" s="469" t="n"/>
      <c r="P683" s="471" t="n"/>
      <c r="Q683" s="469" t="n"/>
      <c r="R683" s="469" t="n"/>
      <c r="S683" s="469" t="n"/>
      <c r="T683" s="469" t="n"/>
      <c r="U683" s="469" t="n"/>
      <c r="V683" s="469" t="n"/>
      <c r="W683" s="469" t="n"/>
      <c r="X683" s="469" t="n"/>
      <c r="Y683" s="469" t="n"/>
      <c r="Z683" s="469" t="n"/>
      <c r="AA683" s="469" t="n"/>
    </row>
    <row r="684">
      <c r="A684" s="468" t="n"/>
      <c r="B684" s="469" t="n"/>
      <c r="C684" s="469" t="n"/>
      <c r="D684" s="469" t="n"/>
      <c r="E684" s="469" t="n"/>
      <c r="F684" s="469" t="n"/>
      <c r="G684" s="469" t="n"/>
      <c r="H684" s="469" t="n"/>
      <c r="I684" s="469" t="n"/>
      <c r="J684" s="469" t="n"/>
      <c r="K684" s="469" t="n"/>
      <c r="L684" s="469" t="n"/>
      <c r="M684" s="469" t="n"/>
      <c r="N684" s="469" t="n"/>
      <c r="O684" s="469" t="n"/>
      <c r="P684" s="471" t="n"/>
      <c r="Q684" s="469" t="n"/>
      <c r="R684" s="469" t="n"/>
      <c r="S684" s="469" t="n"/>
      <c r="T684" s="469" t="n"/>
      <c r="U684" s="469" t="n"/>
      <c r="V684" s="469" t="n"/>
      <c r="W684" s="469" t="n"/>
      <c r="X684" s="469" t="n"/>
      <c r="Y684" s="469" t="n"/>
      <c r="Z684" s="469" t="n"/>
      <c r="AA684" s="469" t="n"/>
    </row>
    <row r="685">
      <c r="A685" s="468" t="n"/>
      <c r="B685" s="469" t="n"/>
      <c r="C685" s="469" t="n"/>
      <c r="D685" s="469" t="n"/>
      <c r="E685" s="469" t="n"/>
      <c r="F685" s="469" t="n"/>
      <c r="G685" s="469" t="n"/>
      <c r="H685" s="469" t="n"/>
      <c r="I685" s="469" t="n"/>
      <c r="J685" s="469" t="n"/>
      <c r="K685" s="469" t="n"/>
      <c r="L685" s="469" t="n"/>
      <c r="M685" s="469" t="n"/>
      <c r="N685" s="469" t="n"/>
      <c r="O685" s="469" t="n"/>
      <c r="P685" s="471" t="n"/>
      <c r="Q685" s="469" t="n"/>
      <c r="R685" s="469" t="n"/>
      <c r="S685" s="469" t="n"/>
      <c r="T685" s="469" t="n"/>
      <c r="U685" s="469" t="n"/>
      <c r="V685" s="469" t="n"/>
      <c r="W685" s="469" t="n"/>
      <c r="X685" s="469" t="n"/>
      <c r="Y685" s="469" t="n"/>
      <c r="Z685" s="469" t="n"/>
      <c r="AA685" s="469" t="n"/>
    </row>
    <row r="686">
      <c r="A686" s="468" t="n"/>
      <c r="B686" s="469" t="n"/>
      <c r="C686" s="469" t="n"/>
      <c r="D686" s="469" t="n"/>
      <c r="E686" s="469" t="n"/>
      <c r="F686" s="469" t="n"/>
      <c r="G686" s="469" t="n"/>
      <c r="H686" s="469" t="n"/>
      <c r="I686" s="469" t="n"/>
      <c r="J686" s="469" t="n"/>
      <c r="K686" s="469" t="n"/>
      <c r="L686" s="469" t="n"/>
      <c r="M686" s="469" t="n"/>
      <c r="N686" s="469" t="n"/>
      <c r="O686" s="469" t="n"/>
      <c r="P686" s="471" t="n"/>
      <c r="Q686" s="469" t="n"/>
      <c r="R686" s="469" t="n"/>
      <c r="S686" s="469" t="n"/>
      <c r="T686" s="469" t="n"/>
      <c r="U686" s="469" t="n"/>
      <c r="V686" s="469" t="n"/>
      <c r="W686" s="469" t="n"/>
      <c r="X686" s="469" t="n"/>
      <c r="Y686" s="469" t="n"/>
      <c r="Z686" s="469" t="n"/>
      <c r="AA686" s="469" t="n"/>
    </row>
    <row r="687">
      <c r="A687" s="468" t="n"/>
      <c r="B687" s="469" t="n"/>
      <c r="C687" s="469" t="n"/>
      <c r="D687" s="469" t="n"/>
      <c r="E687" s="469" t="n"/>
      <c r="F687" s="469" t="n"/>
      <c r="G687" s="469" t="n"/>
      <c r="H687" s="469" t="n"/>
      <c r="I687" s="469" t="n"/>
      <c r="J687" s="469" t="n"/>
      <c r="K687" s="469" t="n"/>
      <c r="L687" s="469" t="n"/>
      <c r="M687" s="469" t="n"/>
      <c r="N687" s="469" t="n"/>
      <c r="O687" s="469" t="n"/>
      <c r="P687" s="471" t="n"/>
      <c r="Q687" s="469" t="n"/>
      <c r="R687" s="469" t="n"/>
      <c r="S687" s="469" t="n"/>
      <c r="T687" s="469" t="n"/>
      <c r="U687" s="469" t="n"/>
      <c r="V687" s="469" t="n"/>
      <c r="W687" s="469" t="n"/>
      <c r="X687" s="469" t="n"/>
      <c r="Y687" s="469" t="n"/>
      <c r="Z687" s="469" t="n"/>
      <c r="AA687" s="469" t="n"/>
    </row>
    <row r="688">
      <c r="A688" s="468" t="n"/>
      <c r="B688" s="469" t="n"/>
      <c r="C688" s="469" t="n"/>
      <c r="D688" s="469" t="n"/>
      <c r="E688" s="469" t="n"/>
      <c r="F688" s="469" t="n"/>
      <c r="G688" s="469" t="n"/>
      <c r="H688" s="469" t="n"/>
      <c r="I688" s="469" t="n"/>
      <c r="J688" s="469" t="n"/>
      <c r="K688" s="469" t="n"/>
      <c r="L688" s="469" t="n"/>
      <c r="M688" s="469" t="n"/>
      <c r="N688" s="469" t="n"/>
      <c r="O688" s="469" t="n"/>
      <c r="P688" s="471" t="n"/>
      <c r="Q688" s="469" t="n"/>
      <c r="R688" s="469" t="n"/>
      <c r="S688" s="469" t="n"/>
      <c r="T688" s="469" t="n"/>
      <c r="U688" s="469" t="n"/>
      <c r="V688" s="469" t="n"/>
      <c r="W688" s="469" t="n"/>
      <c r="X688" s="469" t="n"/>
      <c r="Y688" s="469" t="n"/>
      <c r="Z688" s="469" t="n"/>
      <c r="AA688" s="469" t="n"/>
    </row>
    <row r="689">
      <c r="A689" s="468" t="n"/>
      <c r="B689" s="469" t="n"/>
      <c r="C689" s="469" t="n"/>
      <c r="D689" s="469" t="n"/>
      <c r="E689" s="469" t="n"/>
      <c r="F689" s="469" t="n"/>
      <c r="G689" s="469" t="n"/>
      <c r="H689" s="469" t="n"/>
      <c r="I689" s="469" t="n"/>
      <c r="J689" s="469" t="n"/>
      <c r="K689" s="469" t="n"/>
      <c r="L689" s="469" t="n"/>
      <c r="M689" s="469" t="n"/>
      <c r="N689" s="469" t="n"/>
      <c r="O689" s="469" t="n"/>
      <c r="P689" s="471" t="n"/>
      <c r="Q689" s="469" t="n"/>
      <c r="R689" s="469" t="n"/>
      <c r="S689" s="469" t="n"/>
      <c r="T689" s="469" t="n"/>
      <c r="U689" s="469" t="n"/>
      <c r="V689" s="469" t="n"/>
      <c r="W689" s="469" t="n"/>
      <c r="X689" s="469" t="n"/>
      <c r="Y689" s="469" t="n"/>
      <c r="Z689" s="469" t="n"/>
      <c r="AA689" s="469" t="n"/>
    </row>
    <row r="690">
      <c r="A690" s="468" t="n"/>
      <c r="B690" s="469" t="n"/>
      <c r="C690" s="469" t="n"/>
      <c r="D690" s="469" t="n"/>
      <c r="E690" s="469" t="n"/>
      <c r="F690" s="469" t="n"/>
      <c r="G690" s="469" t="n"/>
      <c r="H690" s="469" t="n"/>
      <c r="I690" s="469" t="n"/>
      <c r="J690" s="469" t="n"/>
      <c r="K690" s="469" t="n"/>
      <c r="L690" s="469" t="n"/>
      <c r="M690" s="469" t="n"/>
      <c r="N690" s="469" t="n"/>
      <c r="O690" s="469" t="n"/>
      <c r="P690" s="471" t="n"/>
      <c r="Q690" s="469" t="n"/>
      <c r="R690" s="469" t="n"/>
      <c r="S690" s="469" t="n"/>
      <c r="T690" s="469" t="n"/>
      <c r="U690" s="469" t="n"/>
      <c r="V690" s="469" t="n"/>
      <c r="W690" s="469" t="n"/>
      <c r="X690" s="469" t="n"/>
      <c r="Y690" s="469" t="n"/>
      <c r="Z690" s="469" t="n"/>
      <c r="AA690" s="469" t="n"/>
    </row>
    <row r="691">
      <c r="A691" s="468" t="n"/>
      <c r="B691" s="469" t="n"/>
      <c r="C691" s="469" t="n"/>
      <c r="D691" s="469" t="n"/>
      <c r="E691" s="469" t="n"/>
      <c r="F691" s="469" t="n"/>
      <c r="G691" s="469" t="n"/>
      <c r="H691" s="469" t="n"/>
      <c r="I691" s="469" t="n"/>
      <c r="J691" s="469" t="n"/>
      <c r="K691" s="469" t="n"/>
      <c r="L691" s="469" t="n"/>
      <c r="M691" s="469" t="n"/>
      <c r="N691" s="469" t="n"/>
      <c r="O691" s="469" t="n"/>
      <c r="P691" s="471" t="n"/>
      <c r="Q691" s="469" t="n"/>
      <c r="R691" s="469" t="n"/>
      <c r="S691" s="469" t="n"/>
      <c r="T691" s="469" t="n"/>
      <c r="U691" s="469" t="n"/>
      <c r="V691" s="469" t="n"/>
      <c r="W691" s="469" t="n"/>
      <c r="X691" s="469" t="n"/>
      <c r="Y691" s="469" t="n"/>
      <c r="Z691" s="469" t="n"/>
      <c r="AA691" s="469" t="n"/>
    </row>
    <row r="692">
      <c r="A692" s="468" t="n"/>
      <c r="B692" s="469" t="n"/>
      <c r="C692" s="469" t="n"/>
      <c r="D692" s="469" t="n"/>
      <c r="E692" s="469" t="n"/>
      <c r="F692" s="469" t="n"/>
      <c r="G692" s="469" t="n"/>
      <c r="H692" s="469" t="n"/>
      <c r="I692" s="469" t="n"/>
      <c r="J692" s="469" t="n"/>
      <c r="K692" s="469" t="n"/>
      <c r="L692" s="469" t="n"/>
      <c r="M692" s="469" t="n"/>
      <c r="N692" s="469" t="n"/>
      <c r="O692" s="469" t="n"/>
      <c r="P692" s="471" t="n"/>
      <c r="Q692" s="469" t="n"/>
      <c r="R692" s="469" t="n"/>
      <c r="S692" s="469" t="n"/>
      <c r="T692" s="469" t="n"/>
      <c r="U692" s="469" t="n"/>
      <c r="V692" s="469" t="n"/>
      <c r="W692" s="469" t="n"/>
      <c r="X692" s="469" t="n"/>
      <c r="Y692" s="469" t="n"/>
      <c r="Z692" s="469" t="n"/>
      <c r="AA692" s="469" t="n"/>
    </row>
    <row r="693">
      <c r="A693" s="468" t="n"/>
      <c r="B693" s="469" t="n"/>
      <c r="C693" s="469" t="n"/>
      <c r="D693" s="469" t="n"/>
      <c r="E693" s="469" t="n"/>
      <c r="F693" s="469" t="n"/>
      <c r="G693" s="469" t="n"/>
      <c r="H693" s="469" t="n"/>
      <c r="I693" s="469" t="n"/>
      <c r="J693" s="469" t="n"/>
      <c r="K693" s="469" t="n"/>
      <c r="L693" s="469" t="n"/>
      <c r="M693" s="469" t="n"/>
      <c r="N693" s="469" t="n"/>
      <c r="O693" s="469" t="n"/>
      <c r="P693" s="471" t="n"/>
      <c r="Q693" s="469" t="n"/>
      <c r="R693" s="469" t="n"/>
      <c r="S693" s="469" t="n"/>
      <c r="T693" s="469" t="n"/>
      <c r="U693" s="469" t="n"/>
      <c r="V693" s="469" t="n"/>
      <c r="W693" s="469" t="n"/>
      <c r="X693" s="469" t="n"/>
      <c r="Y693" s="469" t="n"/>
      <c r="Z693" s="469" t="n"/>
      <c r="AA693" s="469" t="n"/>
    </row>
    <row r="694">
      <c r="A694" s="468" t="n"/>
      <c r="B694" s="469" t="n"/>
      <c r="C694" s="469" t="n"/>
      <c r="D694" s="469" t="n"/>
      <c r="E694" s="469" t="n"/>
      <c r="F694" s="469" t="n"/>
      <c r="G694" s="469" t="n"/>
      <c r="H694" s="469" t="n"/>
      <c r="I694" s="469" t="n"/>
      <c r="J694" s="469" t="n"/>
      <c r="K694" s="469" t="n"/>
      <c r="L694" s="469" t="n"/>
      <c r="M694" s="469" t="n"/>
      <c r="N694" s="469" t="n"/>
      <c r="O694" s="469" t="n"/>
      <c r="P694" s="471" t="n"/>
      <c r="Q694" s="469" t="n"/>
      <c r="R694" s="469" t="n"/>
      <c r="S694" s="469" t="n"/>
      <c r="T694" s="469" t="n"/>
      <c r="U694" s="469" t="n"/>
      <c r="V694" s="469" t="n"/>
      <c r="W694" s="469" t="n"/>
      <c r="X694" s="469" t="n"/>
      <c r="Y694" s="469" t="n"/>
      <c r="Z694" s="469" t="n"/>
      <c r="AA694" s="469" t="n"/>
    </row>
    <row r="695">
      <c r="A695" s="468" t="n"/>
      <c r="B695" s="469" t="n"/>
      <c r="C695" s="469" t="n"/>
      <c r="D695" s="469" t="n"/>
      <c r="E695" s="469" t="n"/>
      <c r="F695" s="469" t="n"/>
      <c r="G695" s="469" t="n"/>
      <c r="H695" s="469" t="n"/>
      <c r="I695" s="469" t="n"/>
      <c r="J695" s="469" t="n"/>
      <c r="K695" s="469" t="n"/>
      <c r="L695" s="469" t="n"/>
      <c r="M695" s="469" t="n"/>
      <c r="N695" s="469" t="n"/>
      <c r="O695" s="469" t="n"/>
      <c r="P695" s="471" t="n"/>
      <c r="Q695" s="469" t="n"/>
      <c r="R695" s="469" t="n"/>
      <c r="S695" s="469" t="n"/>
      <c r="T695" s="469" t="n"/>
      <c r="U695" s="469" t="n"/>
      <c r="V695" s="469" t="n"/>
      <c r="W695" s="469" t="n"/>
      <c r="X695" s="469" t="n"/>
      <c r="Y695" s="469" t="n"/>
      <c r="Z695" s="469" t="n"/>
      <c r="AA695" s="469" t="n"/>
    </row>
    <row r="696">
      <c r="A696" s="468" t="n"/>
      <c r="B696" s="469" t="n"/>
      <c r="C696" s="469" t="n"/>
      <c r="D696" s="469" t="n"/>
      <c r="E696" s="469" t="n"/>
      <c r="F696" s="469" t="n"/>
      <c r="G696" s="469" t="n"/>
      <c r="H696" s="469" t="n"/>
      <c r="I696" s="469" t="n"/>
      <c r="J696" s="469" t="n"/>
      <c r="K696" s="469" t="n"/>
      <c r="L696" s="469" t="n"/>
      <c r="M696" s="469" t="n"/>
      <c r="N696" s="469" t="n"/>
      <c r="O696" s="469" t="n"/>
      <c r="P696" s="471" t="n"/>
      <c r="Q696" s="469" t="n"/>
      <c r="R696" s="469" t="n"/>
      <c r="S696" s="469" t="n"/>
      <c r="T696" s="469" t="n"/>
      <c r="U696" s="469" t="n"/>
      <c r="V696" s="469" t="n"/>
      <c r="W696" s="469" t="n"/>
      <c r="X696" s="469" t="n"/>
      <c r="Y696" s="469" t="n"/>
      <c r="Z696" s="469" t="n"/>
      <c r="AA696" s="469" t="n"/>
    </row>
    <row r="697">
      <c r="A697" s="468" t="n"/>
      <c r="B697" s="469" t="n"/>
      <c r="C697" s="469" t="n"/>
      <c r="D697" s="469" t="n"/>
      <c r="E697" s="469" t="n"/>
      <c r="F697" s="469" t="n"/>
      <c r="G697" s="469" t="n"/>
      <c r="H697" s="469" t="n"/>
      <c r="I697" s="469" t="n"/>
      <c r="J697" s="469" t="n"/>
      <c r="K697" s="469" t="n"/>
      <c r="L697" s="469" t="n"/>
      <c r="M697" s="469" t="n"/>
      <c r="N697" s="469" t="n"/>
      <c r="O697" s="469" t="n"/>
      <c r="P697" s="471" t="n"/>
      <c r="Q697" s="469" t="n"/>
      <c r="R697" s="469" t="n"/>
      <c r="S697" s="469" t="n"/>
      <c r="T697" s="469" t="n"/>
      <c r="U697" s="469" t="n"/>
      <c r="V697" s="469" t="n"/>
      <c r="W697" s="469" t="n"/>
      <c r="X697" s="469" t="n"/>
      <c r="Y697" s="469" t="n"/>
      <c r="Z697" s="469" t="n"/>
      <c r="AA697" s="469" t="n"/>
    </row>
    <row r="698">
      <c r="A698" s="468" t="n"/>
      <c r="B698" s="469" t="n"/>
      <c r="C698" s="469" t="n"/>
      <c r="D698" s="469" t="n"/>
      <c r="E698" s="469" t="n"/>
      <c r="F698" s="469" t="n"/>
      <c r="G698" s="469" t="n"/>
      <c r="H698" s="469" t="n"/>
      <c r="I698" s="469" t="n"/>
      <c r="J698" s="469" t="n"/>
      <c r="K698" s="469" t="n"/>
      <c r="L698" s="469" t="n"/>
      <c r="M698" s="469" t="n"/>
      <c r="N698" s="469" t="n"/>
      <c r="O698" s="469" t="n"/>
      <c r="P698" s="471" t="n"/>
      <c r="Q698" s="469" t="n"/>
      <c r="R698" s="469" t="n"/>
      <c r="S698" s="469" t="n"/>
      <c r="T698" s="469" t="n"/>
      <c r="U698" s="469" t="n"/>
      <c r="V698" s="469" t="n"/>
      <c r="W698" s="469" t="n"/>
      <c r="X698" s="469" t="n"/>
      <c r="Y698" s="469" t="n"/>
      <c r="Z698" s="469" t="n"/>
      <c r="AA698" s="469" t="n"/>
    </row>
    <row r="699">
      <c r="A699" s="468" t="n"/>
      <c r="B699" s="469" t="n"/>
      <c r="C699" s="469" t="n"/>
      <c r="D699" s="469" t="n"/>
      <c r="E699" s="469" t="n"/>
      <c r="F699" s="469" t="n"/>
      <c r="G699" s="469" t="n"/>
      <c r="H699" s="469" t="n"/>
      <c r="I699" s="469" t="n"/>
      <c r="J699" s="469" t="n"/>
      <c r="K699" s="469" t="n"/>
      <c r="L699" s="469" t="n"/>
      <c r="M699" s="469" t="n"/>
      <c r="N699" s="469" t="n"/>
      <c r="O699" s="469" t="n"/>
      <c r="P699" s="471" t="n"/>
      <c r="Q699" s="469" t="n"/>
      <c r="R699" s="469" t="n"/>
      <c r="S699" s="469" t="n"/>
      <c r="T699" s="469" t="n"/>
      <c r="U699" s="469" t="n"/>
      <c r="V699" s="469" t="n"/>
      <c r="W699" s="469" t="n"/>
      <c r="X699" s="469" t="n"/>
      <c r="Y699" s="469" t="n"/>
      <c r="Z699" s="469" t="n"/>
      <c r="AA699" s="469" t="n"/>
    </row>
    <row r="700">
      <c r="A700" s="468" t="n"/>
      <c r="B700" s="469" t="n"/>
      <c r="C700" s="469" t="n"/>
      <c r="D700" s="469" t="n"/>
      <c r="E700" s="469" t="n"/>
      <c r="F700" s="469" t="n"/>
      <c r="G700" s="469" t="n"/>
      <c r="H700" s="469" t="n"/>
      <c r="I700" s="469" t="n"/>
      <c r="J700" s="469" t="n"/>
      <c r="K700" s="469" t="n"/>
      <c r="L700" s="469" t="n"/>
      <c r="M700" s="469" t="n"/>
      <c r="N700" s="469" t="n"/>
      <c r="O700" s="469" t="n"/>
      <c r="P700" s="471" t="n"/>
      <c r="Q700" s="469" t="n"/>
      <c r="R700" s="469" t="n"/>
      <c r="S700" s="469" t="n"/>
      <c r="T700" s="469" t="n"/>
      <c r="U700" s="469" t="n"/>
      <c r="V700" s="469" t="n"/>
      <c r="W700" s="469" t="n"/>
      <c r="X700" s="469" t="n"/>
      <c r="Y700" s="469" t="n"/>
      <c r="Z700" s="469" t="n"/>
      <c r="AA700" s="469" t="n"/>
    </row>
    <row r="701">
      <c r="A701" s="468" t="n"/>
      <c r="B701" s="469" t="n"/>
      <c r="C701" s="469" t="n"/>
      <c r="D701" s="469" t="n"/>
      <c r="E701" s="469" t="n"/>
      <c r="F701" s="469" t="n"/>
      <c r="G701" s="469" t="n"/>
      <c r="H701" s="469" t="n"/>
      <c r="I701" s="469" t="n"/>
      <c r="J701" s="469" t="n"/>
      <c r="K701" s="469" t="n"/>
      <c r="L701" s="469" t="n"/>
      <c r="M701" s="469" t="n"/>
      <c r="N701" s="469" t="n"/>
      <c r="O701" s="469" t="n"/>
      <c r="P701" s="471" t="n"/>
      <c r="Q701" s="469" t="n"/>
      <c r="R701" s="469" t="n"/>
      <c r="S701" s="469" t="n"/>
      <c r="T701" s="469" t="n"/>
      <c r="U701" s="469" t="n"/>
      <c r="V701" s="469" t="n"/>
      <c r="W701" s="469" t="n"/>
      <c r="X701" s="469" t="n"/>
      <c r="Y701" s="469" t="n"/>
      <c r="Z701" s="469" t="n"/>
      <c r="AA701" s="469" t="n"/>
    </row>
    <row r="702">
      <c r="A702" s="468" t="n"/>
      <c r="B702" s="469" t="n"/>
      <c r="C702" s="469" t="n"/>
      <c r="D702" s="469" t="n"/>
      <c r="E702" s="469" t="n"/>
      <c r="F702" s="469" t="n"/>
      <c r="G702" s="469" t="n"/>
      <c r="H702" s="469" t="n"/>
      <c r="I702" s="469" t="n"/>
      <c r="J702" s="469" t="n"/>
      <c r="K702" s="469" t="n"/>
      <c r="L702" s="469" t="n"/>
      <c r="M702" s="469" t="n"/>
      <c r="N702" s="469" t="n"/>
      <c r="O702" s="469" t="n"/>
      <c r="P702" s="471" t="n"/>
      <c r="Q702" s="469" t="n"/>
      <c r="R702" s="469" t="n"/>
      <c r="S702" s="469" t="n"/>
      <c r="T702" s="469" t="n"/>
      <c r="U702" s="469" t="n"/>
      <c r="V702" s="469" t="n"/>
      <c r="W702" s="469" t="n"/>
      <c r="X702" s="469" t="n"/>
      <c r="Y702" s="469" t="n"/>
      <c r="Z702" s="469" t="n"/>
      <c r="AA702" s="469" t="n"/>
    </row>
    <row r="703">
      <c r="A703" s="468" t="n"/>
      <c r="B703" s="469" t="n"/>
      <c r="C703" s="469" t="n"/>
      <c r="D703" s="469" t="n"/>
      <c r="E703" s="469" t="n"/>
      <c r="F703" s="469" t="n"/>
      <c r="G703" s="469" t="n"/>
      <c r="H703" s="469" t="n"/>
      <c r="I703" s="469" t="n"/>
      <c r="J703" s="469" t="n"/>
      <c r="K703" s="469" t="n"/>
      <c r="L703" s="469" t="n"/>
      <c r="M703" s="469" t="n"/>
      <c r="N703" s="469" t="n"/>
      <c r="O703" s="469" t="n"/>
      <c r="P703" s="471" t="n"/>
      <c r="Q703" s="469" t="n"/>
      <c r="R703" s="469" t="n"/>
      <c r="S703" s="469" t="n"/>
      <c r="T703" s="469" t="n"/>
      <c r="U703" s="469" t="n"/>
      <c r="V703" s="469" t="n"/>
      <c r="W703" s="469" t="n"/>
      <c r="X703" s="469" t="n"/>
      <c r="Y703" s="469" t="n"/>
      <c r="Z703" s="469" t="n"/>
      <c r="AA703" s="469" t="n"/>
    </row>
    <row r="704">
      <c r="A704" s="468" t="n"/>
      <c r="B704" s="469" t="n"/>
      <c r="C704" s="469" t="n"/>
      <c r="D704" s="469" t="n"/>
      <c r="E704" s="469" t="n"/>
      <c r="F704" s="469" t="n"/>
      <c r="G704" s="469" t="n"/>
      <c r="H704" s="469" t="n"/>
      <c r="I704" s="469" t="n"/>
      <c r="J704" s="469" t="n"/>
      <c r="K704" s="469" t="n"/>
      <c r="L704" s="469" t="n"/>
      <c r="M704" s="469" t="n"/>
      <c r="N704" s="469" t="n"/>
      <c r="O704" s="469" t="n"/>
      <c r="P704" s="471" t="n"/>
      <c r="Q704" s="469" t="n"/>
      <c r="R704" s="469" t="n"/>
      <c r="S704" s="469" t="n"/>
      <c r="T704" s="469" t="n"/>
      <c r="U704" s="469" t="n"/>
      <c r="V704" s="469" t="n"/>
      <c r="W704" s="469" t="n"/>
      <c r="X704" s="469" t="n"/>
      <c r="Y704" s="469" t="n"/>
      <c r="Z704" s="469" t="n"/>
      <c r="AA704" s="469" t="n"/>
    </row>
    <row r="705">
      <c r="A705" s="468" t="n"/>
      <c r="B705" s="469" t="n"/>
      <c r="C705" s="469" t="n"/>
      <c r="D705" s="469" t="n"/>
      <c r="E705" s="469" t="n"/>
      <c r="F705" s="469" t="n"/>
      <c r="G705" s="469" t="n"/>
      <c r="H705" s="469" t="n"/>
      <c r="I705" s="469" t="n"/>
      <c r="J705" s="469" t="n"/>
      <c r="K705" s="469" t="n"/>
      <c r="L705" s="469" t="n"/>
      <c r="M705" s="469" t="n"/>
      <c r="N705" s="469" t="n"/>
      <c r="O705" s="469" t="n"/>
      <c r="P705" s="471" t="n"/>
      <c r="Q705" s="469" t="n"/>
      <c r="R705" s="469" t="n"/>
      <c r="S705" s="469" t="n"/>
      <c r="T705" s="469" t="n"/>
      <c r="U705" s="469" t="n"/>
      <c r="V705" s="469" t="n"/>
      <c r="W705" s="469" t="n"/>
      <c r="X705" s="469" t="n"/>
      <c r="Y705" s="469" t="n"/>
      <c r="Z705" s="469" t="n"/>
      <c r="AA705" s="469" t="n"/>
    </row>
    <row r="706">
      <c r="A706" s="468" t="n"/>
      <c r="B706" s="469" t="n"/>
      <c r="C706" s="469" t="n"/>
      <c r="D706" s="469" t="n"/>
      <c r="E706" s="469" t="n"/>
      <c r="F706" s="469" t="n"/>
      <c r="G706" s="469" t="n"/>
      <c r="H706" s="469" t="n"/>
      <c r="I706" s="469" t="n"/>
      <c r="J706" s="469" t="n"/>
      <c r="K706" s="469" t="n"/>
      <c r="L706" s="469" t="n"/>
      <c r="M706" s="469" t="n"/>
      <c r="N706" s="469" t="n"/>
      <c r="O706" s="469" t="n"/>
      <c r="P706" s="471" t="n"/>
      <c r="Q706" s="469" t="n"/>
      <c r="R706" s="469" t="n"/>
      <c r="S706" s="469" t="n"/>
      <c r="T706" s="469" t="n"/>
      <c r="U706" s="469" t="n"/>
      <c r="V706" s="469" t="n"/>
      <c r="W706" s="469" t="n"/>
      <c r="X706" s="469" t="n"/>
      <c r="Y706" s="469" t="n"/>
      <c r="Z706" s="469" t="n"/>
      <c r="AA706" s="469" t="n"/>
    </row>
    <row r="707">
      <c r="A707" s="468" t="n"/>
      <c r="B707" s="469" t="n"/>
      <c r="C707" s="469" t="n"/>
      <c r="D707" s="469" t="n"/>
      <c r="E707" s="469" t="n"/>
      <c r="F707" s="469" t="n"/>
      <c r="G707" s="469" t="n"/>
      <c r="H707" s="469" t="n"/>
      <c r="I707" s="469" t="n"/>
      <c r="J707" s="469" t="n"/>
      <c r="K707" s="469" t="n"/>
      <c r="L707" s="469" t="n"/>
      <c r="M707" s="469" t="n"/>
      <c r="N707" s="469" t="n"/>
      <c r="O707" s="469" t="n"/>
      <c r="P707" s="471" t="n"/>
      <c r="Q707" s="469" t="n"/>
      <c r="R707" s="469" t="n"/>
      <c r="S707" s="469" t="n"/>
      <c r="T707" s="469" t="n"/>
      <c r="U707" s="469" t="n"/>
      <c r="V707" s="469" t="n"/>
      <c r="W707" s="469" t="n"/>
      <c r="X707" s="469" t="n"/>
      <c r="Y707" s="469" t="n"/>
      <c r="Z707" s="469" t="n"/>
      <c r="AA707" s="469" t="n"/>
    </row>
    <row r="708">
      <c r="A708" s="468" t="n"/>
      <c r="B708" s="469" t="n"/>
      <c r="C708" s="469" t="n"/>
      <c r="D708" s="469" t="n"/>
      <c r="E708" s="469" t="n"/>
      <c r="F708" s="469" t="n"/>
      <c r="G708" s="469" t="n"/>
      <c r="H708" s="469" t="n"/>
      <c r="I708" s="469" t="n"/>
      <c r="J708" s="469" t="n"/>
      <c r="K708" s="469" t="n"/>
      <c r="L708" s="469" t="n"/>
      <c r="M708" s="469" t="n"/>
      <c r="N708" s="469" t="n"/>
      <c r="O708" s="469" t="n"/>
      <c r="P708" s="471" t="n"/>
      <c r="Q708" s="469" t="n"/>
      <c r="R708" s="469" t="n"/>
      <c r="S708" s="469" t="n"/>
      <c r="T708" s="469" t="n"/>
      <c r="U708" s="469" t="n"/>
      <c r="V708" s="469" t="n"/>
      <c r="W708" s="469" t="n"/>
      <c r="X708" s="469" t="n"/>
      <c r="Y708" s="469" t="n"/>
      <c r="Z708" s="469" t="n"/>
      <c r="AA708" s="469" t="n"/>
    </row>
    <row r="709">
      <c r="A709" s="468" t="n"/>
      <c r="B709" s="469" t="n"/>
      <c r="C709" s="469" t="n"/>
      <c r="D709" s="469" t="n"/>
      <c r="E709" s="469" t="n"/>
      <c r="F709" s="469" t="n"/>
      <c r="G709" s="469" t="n"/>
      <c r="H709" s="469" t="n"/>
      <c r="I709" s="469" t="n"/>
      <c r="J709" s="469" t="n"/>
      <c r="K709" s="469" t="n"/>
      <c r="L709" s="469" t="n"/>
      <c r="M709" s="469" t="n"/>
      <c r="N709" s="469" t="n"/>
      <c r="O709" s="469" t="n"/>
      <c r="P709" s="471" t="n"/>
      <c r="Q709" s="469" t="n"/>
      <c r="R709" s="469" t="n"/>
      <c r="S709" s="469" t="n"/>
      <c r="T709" s="469" t="n"/>
      <c r="U709" s="469" t="n"/>
      <c r="V709" s="469" t="n"/>
      <c r="W709" s="469" t="n"/>
      <c r="X709" s="469" t="n"/>
      <c r="Y709" s="469" t="n"/>
      <c r="Z709" s="469" t="n"/>
      <c r="AA709" s="469" t="n"/>
    </row>
    <row r="710">
      <c r="A710" s="468" t="n"/>
      <c r="B710" s="469" t="n"/>
      <c r="C710" s="469" t="n"/>
      <c r="D710" s="469" t="n"/>
      <c r="E710" s="469" t="n"/>
      <c r="F710" s="469" t="n"/>
      <c r="G710" s="469" t="n"/>
      <c r="H710" s="469" t="n"/>
      <c r="I710" s="469" t="n"/>
      <c r="J710" s="469" t="n"/>
      <c r="K710" s="469" t="n"/>
      <c r="L710" s="469" t="n"/>
      <c r="M710" s="469" t="n"/>
      <c r="N710" s="469" t="n"/>
      <c r="O710" s="469" t="n"/>
      <c r="P710" s="471" t="n"/>
      <c r="Q710" s="469" t="n"/>
      <c r="R710" s="469" t="n"/>
      <c r="S710" s="469" t="n"/>
      <c r="T710" s="469" t="n"/>
      <c r="U710" s="469" t="n"/>
      <c r="V710" s="469" t="n"/>
      <c r="W710" s="469" t="n"/>
      <c r="X710" s="469" t="n"/>
      <c r="Y710" s="469" t="n"/>
      <c r="Z710" s="469" t="n"/>
      <c r="AA710" s="469" t="n"/>
    </row>
    <row r="711">
      <c r="A711" s="468" t="n"/>
      <c r="B711" s="469" t="n"/>
      <c r="C711" s="469" t="n"/>
      <c r="D711" s="469" t="n"/>
      <c r="E711" s="469" t="n"/>
      <c r="F711" s="469" t="n"/>
      <c r="G711" s="469" t="n"/>
      <c r="H711" s="469" t="n"/>
      <c r="I711" s="469" t="n"/>
      <c r="J711" s="469" t="n"/>
      <c r="K711" s="469" t="n"/>
      <c r="L711" s="469" t="n"/>
      <c r="M711" s="469" t="n"/>
      <c r="N711" s="469" t="n"/>
      <c r="O711" s="469" t="n"/>
      <c r="P711" s="471" t="n"/>
      <c r="Q711" s="469" t="n"/>
      <c r="R711" s="469" t="n"/>
      <c r="S711" s="469" t="n"/>
      <c r="T711" s="469" t="n"/>
      <c r="U711" s="469" t="n"/>
      <c r="V711" s="469" t="n"/>
      <c r="W711" s="469" t="n"/>
      <c r="X711" s="469" t="n"/>
      <c r="Y711" s="469" t="n"/>
      <c r="Z711" s="469" t="n"/>
      <c r="AA711" s="469" t="n"/>
    </row>
    <row r="712">
      <c r="A712" s="468" t="n"/>
      <c r="B712" s="469" t="n"/>
      <c r="C712" s="469" t="n"/>
      <c r="D712" s="469" t="n"/>
      <c r="E712" s="469" t="n"/>
      <c r="F712" s="469" t="n"/>
      <c r="G712" s="469" t="n"/>
      <c r="H712" s="469" t="n"/>
      <c r="I712" s="469" t="n"/>
      <c r="J712" s="469" t="n"/>
      <c r="K712" s="469" t="n"/>
      <c r="L712" s="469" t="n"/>
      <c r="M712" s="469" t="n"/>
      <c r="N712" s="469" t="n"/>
      <c r="O712" s="469" t="n"/>
      <c r="P712" s="471" t="n"/>
      <c r="Q712" s="469" t="n"/>
      <c r="R712" s="469" t="n"/>
      <c r="S712" s="469" t="n"/>
      <c r="T712" s="469" t="n"/>
      <c r="U712" s="469" t="n"/>
      <c r="V712" s="469" t="n"/>
      <c r="W712" s="469" t="n"/>
      <c r="X712" s="469" t="n"/>
      <c r="Y712" s="469" t="n"/>
      <c r="Z712" s="469" t="n"/>
      <c r="AA712" s="469" t="n"/>
    </row>
    <row r="713">
      <c r="A713" s="468" t="n"/>
      <c r="B713" s="469" t="n"/>
      <c r="C713" s="469" t="n"/>
      <c r="D713" s="469" t="n"/>
      <c r="E713" s="469" t="n"/>
      <c r="F713" s="469" t="n"/>
      <c r="G713" s="469" t="n"/>
      <c r="H713" s="469" t="n"/>
      <c r="I713" s="469" t="n"/>
      <c r="J713" s="469" t="n"/>
      <c r="K713" s="469" t="n"/>
      <c r="L713" s="469" t="n"/>
      <c r="M713" s="469" t="n"/>
      <c r="N713" s="469" t="n"/>
      <c r="O713" s="469" t="n"/>
      <c r="P713" s="471" t="n"/>
      <c r="Q713" s="469" t="n"/>
      <c r="R713" s="469" t="n"/>
      <c r="S713" s="469" t="n"/>
      <c r="T713" s="469" t="n"/>
      <c r="U713" s="469" t="n"/>
      <c r="V713" s="469" t="n"/>
      <c r="W713" s="469" t="n"/>
      <c r="X713" s="469" t="n"/>
      <c r="Y713" s="469" t="n"/>
      <c r="Z713" s="469" t="n"/>
      <c r="AA713" s="469" t="n"/>
    </row>
    <row r="714">
      <c r="A714" s="468" t="n"/>
      <c r="B714" s="469" t="n"/>
      <c r="C714" s="469" t="n"/>
      <c r="D714" s="469" t="n"/>
      <c r="E714" s="469" t="n"/>
      <c r="F714" s="469" t="n"/>
      <c r="G714" s="469" t="n"/>
      <c r="H714" s="469" t="n"/>
      <c r="I714" s="469" t="n"/>
      <c r="J714" s="469" t="n"/>
      <c r="K714" s="469" t="n"/>
      <c r="L714" s="469" t="n"/>
      <c r="M714" s="469" t="n"/>
      <c r="N714" s="469" t="n"/>
      <c r="O714" s="469" t="n"/>
      <c r="P714" s="471" t="n"/>
      <c r="Q714" s="469" t="n"/>
      <c r="R714" s="469" t="n"/>
      <c r="S714" s="469" t="n"/>
      <c r="T714" s="469" t="n"/>
      <c r="U714" s="469" t="n"/>
      <c r="V714" s="469" t="n"/>
      <c r="W714" s="469" t="n"/>
      <c r="X714" s="469" t="n"/>
      <c r="Y714" s="469" t="n"/>
      <c r="Z714" s="469" t="n"/>
      <c r="AA714" s="469" t="n"/>
    </row>
    <row r="715">
      <c r="A715" s="468" t="n"/>
      <c r="B715" s="469" t="n"/>
      <c r="C715" s="469" t="n"/>
      <c r="D715" s="469" t="n"/>
      <c r="E715" s="469" t="n"/>
      <c r="F715" s="469" t="n"/>
      <c r="G715" s="469" t="n"/>
      <c r="H715" s="469" t="n"/>
      <c r="I715" s="469" t="n"/>
      <c r="J715" s="469" t="n"/>
      <c r="K715" s="469" t="n"/>
      <c r="L715" s="469" t="n"/>
      <c r="M715" s="469" t="n"/>
      <c r="N715" s="469" t="n"/>
      <c r="O715" s="469" t="n"/>
      <c r="P715" s="471" t="n"/>
      <c r="Q715" s="469" t="n"/>
      <c r="R715" s="469" t="n"/>
      <c r="S715" s="469" t="n"/>
      <c r="T715" s="469" t="n"/>
      <c r="U715" s="469" t="n"/>
      <c r="V715" s="469" t="n"/>
      <c r="W715" s="469" t="n"/>
      <c r="X715" s="469" t="n"/>
      <c r="Y715" s="469" t="n"/>
      <c r="Z715" s="469" t="n"/>
      <c r="AA715" s="469" t="n"/>
    </row>
    <row r="716">
      <c r="A716" s="468" t="n"/>
      <c r="B716" s="469" t="n"/>
      <c r="C716" s="469" t="n"/>
      <c r="D716" s="469" t="n"/>
      <c r="E716" s="469" t="n"/>
      <c r="F716" s="469" t="n"/>
      <c r="G716" s="469" t="n"/>
      <c r="H716" s="469" t="n"/>
      <c r="I716" s="469" t="n"/>
      <c r="J716" s="469" t="n"/>
      <c r="K716" s="469" t="n"/>
      <c r="L716" s="469" t="n"/>
      <c r="M716" s="469" t="n"/>
      <c r="N716" s="469" t="n"/>
      <c r="O716" s="469" t="n"/>
      <c r="P716" s="471" t="n"/>
      <c r="Q716" s="469" t="n"/>
      <c r="R716" s="469" t="n"/>
      <c r="S716" s="469" t="n"/>
      <c r="T716" s="469" t="n"/>
      <c r="U716" s="469" t="n"/>
      <c r="V716" s="469" t="n"/>
      <c r="W716" s="469" t="n"/>
      <c r="X716" s="469" t="n"/>
      <c r="Y716" s="469" t="n"/>
      <c r="Z716" s="469" t="n"/>
      <c r="AA716" s="469" t="n"/>
    </row>
    <row r="717">
      <c r="A717" s="468" t="n"/>
      <c r="B717" s="469" t="n"/>
      <c r="C717" s="469" t="n"/>
      <c r="D717" s="469" t="n"/>
      <c r="E717" s="469" t="n"/>
      <c r="F717" s="469" t="n"/>
      <c r="G717" s="469" t="n"/>
      <c r="H717" s="469" t="n"/>
      <c r="I717" s="469" t="n"/>
      <c r="J717" s="469" t="n"/>
      <c r="K717" s="469" t="n"/>
      <c r="L717" s="469" t="n"/>
      <c r="M717" s="469" t="n"/>
      <c r="N717" s="469" t="n"/>
      <c r="O717" s="469" t="n"/>
      <c r="P717" s="471" t="n"/>
      <c r="Q717" s="469" t="n"/>
      <c r="R717" s="469" t="n"/>
      <c r="S717" s="469" t="n"/>
      <c r="T717" s="469" t="n"/>
      <c r="U717" s="469" t="n"/>
      <c r="V717" s="469" t="n"/>
      <c r="W717" s="469" t="n"/>
      <c r="X717" s="469" t="n"/>
      <c r="Y717" s="469" t="n"/>
      <c r="Z717" s="469" t="n"/>
      <c r="AA717" s="469" t="n"/>
    </row>
    <row r="718">
      <c r="A718" s="468" t="n"/>
      <c r="B718" s="469" t="n"/>
      <c r="C718" s="469" t="n"/>
      <c r="D718" s="469" t="n"/>
      <c r="E718" s="469" t="n"/>
      <c r="F718" s="469" t="n"/>
      <c r="G718" s="469" t="n"/>
      <c r="H718" s="469" t="n"/>
      <c r="I718" s="469" t="n"/>
      <c r="J718" s="469" t="n"/>
      <c r="K718" s="469" t="n"/>
      <c r="L718" s="469" t="n"/>
      <c r="M718" s="469" t="n"/>
      <c r="N718" s="469" t="n"/>
      <c r="O718" s="469" t="n"/>
      <c r="P718" s="471" t="n"/>
      <c r="Q718" s="469" t="n"/>
      <c r="R718" s="469" t="n"/>
      <c r="S718" s="469" t="n"/>
      <c r="T718" s="469" t="n"/>
      <c r="U718" s="469" t="n"/>
      <c r="V718" s="469" t="n"/>
      <c r="W718" s="469" t="n"/>
      <c r="X718" s="469" t="n"/>
      <c r="Y718" s="469" t="n"/>
      <c r="Z718" s="469" t="n"/>
      <c r="AA718" s="469" t="n"/>
    </row>
    <row r="719">
      <c r="A719" s="468" t="n"/>
      <c r="B719" s="469" t="n"/>
      <c r="C719" s="469" t="n"/>
      <c r="D719" s="469" t="n"/>
      <c r="E719" s="469" t="n"/>
      <c r="F719" s="469" t="n"/>
      <c r="G719" s="469" t="n"/>
      <c r="H719" s="469" t="n"/>
      <c r="I719" s="469" t="n"/>
      <c r="J719" s="469" t="n"/>
      <c r="K719" s="469" t="n"/>
      <c r="L719" s="469" t="n"/>
      <c r="M719" s="469" t="n"/>
      <c r="N719" s="469" t="n"/>
      <c r="O719" s="469" t="n"/>
      <c r="P719" s="471" t="n"/>
      <c r="Q719" s="469" t="n"/>
      <c r="R719" s="469" t="n"/>
      <c r="S719" s="469" t="n"/>
      <c r="T719" s="469" t="n"/>
      <c r="U719" s="469" t="n"/>
      <c r="V719" s="469" t="n"/>
      <c r="W719" s="469" t="n"/>
      <c r="X719" s="469" t="n"/>
      <c r="Y719" s="469" t="n"/>
      <c r="Z719" s="469" t="n"/>
      <c r="AA719" s="469" t="n"/>
    </row>
    <row r="720">
      <c r="A720" s="468" t="n"/>
      <c r="B720" s="469" t="n"/>
      <c r="C720" s="469" t="n"/>
      <c r="D720" s="469" t="n"/>
      <c r="E720" s="469" t="n"/>
      <c r="F720" s="469" t="n"/>
      <c r="G720" s="469" t="n"/>
      <c r="H720" s="469" t="n"/>
      <c r="I720" s="469" t="n"/>
      <c r="J720" s="469" t="n"/>
      <c r="K720" s="469" t="n"/>
      <c r="L720" s="469" t="n"/>
      <c r="M720" s="469" t="n"/>
      <c r="N720" s="469" t="n"/>
      <c r="O720" s="469" t="n"/>
      <c r="P720" s="471" t="n"/>
      <c r="Q720" s="469" t="n"/>
      <c r="R720" s="469" t="n"/>
      <c r="S720" s="469" t="n"/>
      <c r="T720" s="469" t="n"/>
      <c r="U720" s="469" t="n"/>
      <c r="V720" s="469" t="n"/>
      <c r="W720" s="469" t="n"/>
      <c r="X720" s="469" t="n"/>
      <c r="Y720" s="469" t="n"/>
      <c r="Z720" s="469" t="n"/>
      <c r="AA720" s="469" t="n"/>
    </row>
    <row r="721">
      <c r="A721" s="468" t="n"/>
      <c r="B721" s="469" t="n"/>
      <c r="C721" s="469" t="n"/>
      <c r="D721" s="469" t="n"/>
      <c r="E721" s="469" t="n"/>
      <c r="F721" s="469" t="n"/>
      <c r="G721" s="469" t="n"/>
      <c r="H721" s="469" t="n"/>
      <c r="I721" s="469" t="n"/>
      <c r="J721" s="469" t="n"/>
      <c r="K721" s="469" t="n"/>
      <c r="L721" s="469" t="n"/>
      <c r="M721" s="469" t="n"/>
      <c r="N721" s="469" t="n"/>
      <c r="O721" s="469" t="n"/>
      <c r="P721" s="471" t="n"/>
      <c r="Q721" s="469" t="n"/>
      <c r="R721" s="469" t="n"/>
      <c r="S721" s="469" t="n"/>
      <c r="T721" s="469" t="n"/>
      <c r="U721" s="469" t="n"/>
      <c r="V721" s="469" t="n"/>
      <c r="W721" s="469" t="n"/>
      <c r="X721" s="469" t="n"/>
      <c r="Y721" s="469" t="n"/>
      <c r="Z721" s="469" t="n"/>
      <c r="AA721" s="469" t="n"/>
    </row>
    <row r="722">
      <c r="A722" s="468" t="n"/>
      <c r="B722" s="469" t="n"/>
      <c r="C722" s="469" t="n"/>
      <c r="D722" s="469" t="n"/>
      <c r="E722" s="469" t="n"/>
      <c r="F722" s="469" t="n"/>
      <c r="G722" s="469" t="n"/>
      <c r="H722" s="469" t="n"/>
      <c r="I722" s="469" t="n"/>
      <c r="J722" s="469" t="n"/>
      <c r="K722" s="469" t="n"/>
      <c r="L722" s="469" t="n"/>
      <c r="M722" s="469" t="n"/>
      <c r="N722" s="469" t="n"/>
      <c r="O722" s="469" t="n"/>
      <c r="P722" s="471" t="n"/>
      <c r="Q722" s="469" t="n"/>
      <c r="R722" s="469" t="n"/>
      <c r="S722" s="469" t="n"/>
      <c r="T722" s="469" t="n"/>
      <c r="U722" s="469" t="n"/>
      <c r="V722" s="469" t="n"/>
      <c r="W722" s="469" t="n"/>
      <c r="X722" s="469" t="n"/>
      <c r="Y722" s="469" t="n"/>
      <c r="Z722" s="469" t="n"/>
      <c r="AA722" s="469" t="n"/>
    </row>
    <row r="723">
      <c r="A723" s="468" t="n"/>
      <c r="B723" s="469" t="n"/>
      <c r="C723" s="469" t="n"/>
      <c r="D723" s="469" t="n"/>
      <c r="E723" s="469" t="n"/>
      <c r="F723" s="469" t="n"/>
      <c r="G723" s="469" t="n"/>
      <c r="H723" s="469" t="n"/>
      <c r="I723" s="469" t="n"/>
      <c r="J723" s="469" t="n"/>
      <c r="K723" s="469" t="n"/>
      <c r="L723" s="469" t="n"/>
      <c r="M723" s="469" t="n"/>
      <c r="N723" s="469" t="n"/>
      <c r="O723" s="469" t="n"/>
      <c r="P723" s="471" t="n"/>
      <c r="Q723" s="469" t="n"/>
      <c r="R723" s="469" t="n"/>
      <c r="S723" s="469" t="n"/>
      <c r="T723" s="469" t="n"/>
      <c r="U723" s="469" t="n"/>
      <c r="V723" s="469" t="n"/>
      <c r="W723" s="469" t="n"/>
      <c r="X723" s="469" t="n"/>
      <c r="Y723" s="469" t="n"/>
      <c r="Z723" s="469" t="n"/>
      <c r="AA723" s="469" t="n"/>
    </row>
    <row r="724">
      <c r="A724" s="468" t="n"/>
      <c r="B724" s="469" t="n"/>
      <c r="C724" s="469" t="n"/>
      <c r="D724" s="469" t="n"/>
      <c r="E724" s="469" t="n"/>
      <c r="F724" s="469" t="n"/>
      <c r="G724" s="469" t="n"/>
      <c r="H724" s="469" t="n"/>
      <c r="I724" s="469" t="n"/>
      <c r="J724" s="469" t="n"/>
      <c r="K724" s="469" t="n"/>
      <c r="L724" s="469" t="n"/>
      <c r="M724" s="469" t="n"/>
      <c r="N724" s="469" t="n"/>
      <c r="O724" s="469" t="n"/>
      <c r="P724" s="471" t="n"/>
      <c r="Q724" s="469" t="n"/>
      <c r="R724" s="469" t="n"/>
      <c r="S724" s="469" t="n"/>
      <c r="T724" s="469" t="n"/>
      <c r="U724" s="469" t="n"/>
      <c r="V724" s="469" t="n"/>
      <c r="W724" s="469" t="n"/>
      <c r="X724" s="469" t="n"/>
      <c r="Y724" s="469" t="n"/>
      <c r="Z724" s="469" t="n"/>
      <c r="AA724" s="469" t="n"/>
    </row>
    <row r="725">
      <c r="A725" s="468" t="n"/>
      <c r="B725" s="469" t="n"/>
      <c r="C725" s="469" t="n"/>
      <c r="D725" s="469" t="n"/>
      <c r="E725" s="469" t="n"/>
      <c r="F725" s="469" t="n"/>
      <c r="G725" s="469" t="n"/>
      <c r="H725" s="469" t="n"/>
      <c r="I725" s="469" t="n"/>
      <c r="J725" s="469" t="n"/>
      <c r="K725" s="469" t="n"/>
      <c r="L725" s="469" t="n"/>
      <c r="M725" s="469" t="n"/>
      <c r="N725" s="469" t="n"/>
      <c r="O725" s="469" t="n"/>
      <c r="P725" s="471" t="n"/>
      <c r="Q725" s="469" t="n"/>
      <c r="R725" s="469" t="n"/>
      <c r="S725" s="469" t="n"/>
      <c r="T725" s="469" t="n"/>
      <c r="U725" s="469" t="n"/>
      <c r="V725" s="469" t="n"/>
      <c r="W725" s="469" t="n"/>
      <c r="X725" s="469" t="n"/>
      <c r="Y725" s="469" t="n"/>
      <c r="Z725" s="469" t="n"/>
      <c r="AA725" s="469" t="n"/>
    </row>
    <row r="726">
      <c r="A726" s="468" t="n"/>
      <c r="B726" s="469" t="n"/>
      <c r="C726" s="469" t="n"/>
      <c r="D726" s="469" t="n"/>
      <c r="E726" s="469" t="n"/>
      <c r="F726" s="469" t="n"/>
      <c r="G726" s="469" t="n"/>
      <c r="H726" s="469" t="n"/>
      <c r="I726" s="469" t="n"/>
      <c r="J726" s="469" t="n"/>
      <c r="K726" s="469" t="n"/>
      <c r="L726" s="469" t="n"/>
      <c r="M726" s="469" t="n"/>
      <c r="N726" s="469" t="n"/>
      <c r="O726" s="469" t="n"/>
      <c r="P726" s="471" t="n"/>
      <c r="Q726" s="469" t="n"/>
      <c r="R726" s="469" t="n"/>
      <c r="S726" s="469" t="n"/>
      <c r="T726" s="469" t="n"/>
      <c r="U726" s="469" t="n"/>
      <c r="V726" s="469" t="n"/>
      <c r="W726" s="469" t="n"/>
      <c r="X726" s="469" t="n"/>
      <c r="Y726" s="469" t="n"/>
      <c r="Z726" s="469" t="n"/>
      <c r="AA726" s="469" t="n"/>
    </row>
    <row r="727">
      <c r="A727" s="468" t="n"/>
      <c r="B727" s="469" t="n"/>
      <c r="C727" s="469" t="n"/>
      <c r="D727" s="469" t="n"/>
      <c r="E727" s="469" t="n"/>
      <c r="F727" s="469" t="n"/>
      <c r="G727" s="469" t="n"/>
      <c r="H727" s="469" t="n"/>
      <c r="I727" s="469" t="n"/>
      <c r="J727" s="469" t="n"/>
      <c r="K727" s="469" t="n"/>
      <c r="L727" s="469" t="n"/>
      <c r="M727" s="469" t="n"/>
      <c r="N727" s="469" t="n"/>
      <c r="O727" s="469" t="n"/>
      <c r="P727" s="471" t="n"/>
      <c r="Q727" s="469" t="n"/>
      <c r="R727" s="469" t="n"/>
      <c r="S727" s="469" t="n"/>
      <c r="T727" s="469" t="n"/>
      <c r="U727" s="469" t="n"/>
      <c r="V727" s="469" t="n"/>
      <c r="W727" s="469" t="n"/>
      <c r="X727" s="469" t="n"/>
      <c r="Y727" s="469" t="n"/>
      <c r="Z727" s="469" t="n"/>
      <c r="AA727" s="469" t="n"/>
    </row>
    <row r="728">
      <c r="A728" s="468" t="n"/>
      <c r="B728" s="469" t="n"/>
      <c r="C728" s="469" t="n"/>
      <c r="D728" s="469" t="n"/>
      <c r="E728" s="469" t="n"/>
      <c r="F728" s="469" t="n"/>
      <c r="G728" s="469" t="n"/>
      <c r="H728" s="469" t="n"/>
      <c r="I728" s="469" t="n"/>
      <c r="J728" s="469" t="n"/>
      <c r="K728" s="469" t="n"/>
      <c r="L728" s="469" t="n"/>
      <c r="M728" s="469" t="n"/>
      <c r="N728" s="469" t="n"/>
      <c r="O728" s="469" t="n"/>
      <c r="P728" s="471" t="n"/>
      <c r="Q728" s="469" t="n"/>
      <c r="R728" s="469" t="n"/>
      <c r="S728" s="469" t="n"/>
      <c r="T728" s="469" t="n"/>
      <c r="U728" s="469" t="n"/>
      <c r="V728" s="469" t="n"/>
      <c r="W728" s="469" t="n"/>
      <c r="X728" s="469" t="n"/>
      <c r="Y728" s="469" t="n"/>
      <c r="Z728" s="469" t="n"/>
      <c r="AA728" s="469" t="n"/>
    </row>
    <row r="729">
      <c r="A729" s="468" t="n"/>
      <c r="B729" s="469" t="n"/>
      <c r="C729" s="469" t="n"/>
      <c r="D729" s="469" t="n"/>
      <c r="E729" s="469" t="n"/>
      <c r="F729" s="469" t="n"/>
      <c r="G729" s="469" t="n"/>
      <c r="H729" s="469" t="n"/>
      <c r="I729" s="469" t="n"/>
      <c r="J729" s="469" t="n"/>
      <c r="K729" s="469" t="n"/>
      <c r="L729" s="469" t="n"/>
      <c r="M729" s="469" t="n"/>
      <c r="N729" s="469" t="n"/>
      <c r="O729" s="469" t="n"/>
      <c r="P729" s="471" t="n"/>
      <c r="Q729" s="469" t="n"/>
      <c r="R729" s="469" t="n"/>
      <c r="S729" s="469" t="n"/>
      <c r="T729" s="469" t="n"/>
      <c r="U729" s="469" t="n"/>
      <c r="V729" s="469" t="n"/>
      <c r="W729" s="469" t="n"/>
      <c r="X729" s="469" t="n"/>
      <c r="Y729" s="469" t="n"/>
      <c r="Z729" s="469" t="n"/>
      <c r="AA729" s="469" t="n"/>
    </row>
    <row r="730">
      <c r="A730" s="468" t="n"/>
      <c r="B730" s="469" t="n"/>
      <c r="C730" s="469" t="n"/>
      <c r="D730" s="469" t="n"/>
      <c r="E730" s="469" t="n"/>
      <c r="F730" s="469" t="n"/>
      <c r="G730" s="469" t="n"/>
      <c r="H730" s="469" t="n"/>
      <c r="I730" s="469" t="n"/>
      <c r="J730" s="469" t="n"/>
      <c r="K730" s="469" t="n"/>
      <c r="L730" s="469" t="n"/>
      <c r="M730" s="469" t="n"/>
      <c r="N730" s="469" t="n"/>
      <c r="O730" s="469" t="n"/>
      <c r="P730" s="471" t="n"/>
      <c r="Q730" s="469" t="n"/>
      <c r="R730" s="469" t="n"/>
      <c r="S730" s="469" t="n"/>
      <c r="T730" s="469" t="n"/>
      <c r="U730" s="469" t="n"/>
      <c r="V730" s="469" t="n"/>
      <c r="W730" s="469" t="n"/>
      <c r="X730" s="469" t="n"/>
      <c r="Y730" s="469" t="n"/>
      <c r="Z730" s="469" t="n"/>
      <c r="AA730" s="469" t="n"/>
    </row>
    <row r="731">
      <c r="A731" s="468" t="n"/>
      <c r="B731" s="469" t="n"/>
      <c r="C731" s="469" t="n"/>
      <c r="D731" s="469" t="n"/>
      <c r="E731" s="469" t="n"/>
      <c r="F731" s="469" t="n"/>
      <c r="G731" s="469" t="n"/>
      <c r="H731" s="469" t="n"/>
      <c r="I731" s="469" t="n"/>
      <c r="J731" s="469" t="n"/>
      <c r="K731" s="469" t="n"/>
      <c r="L731" s="469" t="n"/>
      <c r="M731" s="469" t="n"/>
      <c r="N731" s="469" t="n"/>
      <c r="O731" s="469" t="n"/>
      <c r="P731" s="471" t="n"/>
      <c r="Q731" s="469" t="n"/>
      <c r="R731" s="469" t="n"/>
      <c r="S731" s="469" t="n"/>
      <c r="T731" s="469" t="n"/>
      <c r="U731" s="469" t="n"/>
      <c r="V731" s="469" t="n"/>
      <c r="W731" s="469" t="n"/>
      <c r="X731" s="469" t="n"/>
      <c r="Y731" s="469" t="n"/>
      <c r="Z731" s="469" t="n"/>
      <c r="AA731" s="469" t="n"/>
    </row>
    <row r="732">
      <c r="A732" s="468" t="n"/>
      <c r="B732" s="469" t="n"/>
      <c r="C732" s="469" t="n"/>
      <c r="D732" s="469" t="n"/>
      <c r="E732" s="469" t="n"/>
      <c r="F732" s="469" t="n"/>
      <c r="G732" s="469" t="n"/>
      <c r="H732" s="469" t="n"/>
      <c r="I732" s="469" t="n"/>
      <c r="J732" s="469" t="n"/>
      <c r="K732" s="469" t="n"/>
      <c r="L732" s="469" t="n"/>
      <c r="M732" s="469" t="n"/>
      <c r="N732" s="469" t="n"/>
      <c r="O732" s="469" t="n"/>
      <c r="P732" s="471" t="n"/>
      <c r="Q732" s="469" t="n"/>
      <c r="R732" s="469" t="n"/>
      <c r="S732" s="469" t="n"/>
      <c r="T732" s="469" t="n"/>
      <c r="U732" s="469" t="n"/>
      <c r="V732" s="469" t="n"/>
      <c r="W732" s="469" t="n"/>
      <c r="X732" s="469" t="n"/>
      <c r="Y732" s="469" t="n"/>
      <c r="Z732" s="469" t="n"/>
      <c r="AA732" s="469" t="n"/>
    </row>
    <row r="733">
      <c r="A733" s="468" t="n"/>
      <c r="B733" s="469" t="n"/>
      <c r="C733" s="469" t="n"/>
      <c r="D733" s="469" t="n"/>
      <c r="E733" s="469" t="n"/>
      <c r="F733" s="469" t="n"/>
      <c r="G733" s="469" t="n"/>
      <c r="H733" s="469" t="n"/>
      <c r="I733" s="469" t="n"/>
      <c r="J733" s="469" t="n"/>
      <c r="K733" s="469" t="n"/>
      <c r="L733" s="469" t="n"/>
      <c r="M733" s="469" t="n"/>
      <c r="N733" s="469" t="n"/>
      <c r="O733" s="469" t="n"/>
      <c r="P733" s="471" t="n"/>
      <c r="Q733" s="469" t="n"/>
      <c r="R733" s="469" t="n"/>
      <c r="S733" s="469" t="n"/>
      <c r="T733" s="469" t="n"/>
      <c r="U733" s="469" t="n"/>
      <c r="V733" s="469" t="n"/>
      <c r="W733" s="469" t="n"/>
      <c r="X733" s="469" t="n"/>
      <c r="Y733" s="469" t="n"/>
      <c r="Z733" s="469" t="n"/>
      <c r="AA733" s="469" t="n"/>
    </row>
    <row r="734">
      <c r="A734" s="468" t="n"/>
      <c r="B734" s="469" t="n"/>
      <c r="C734" s="469" t="n"/>
      <c r="D734" s="469" t="n"/>
      <c r="E734" s="469" t="n"/>
      <c r="F734" s="469" t="n"/>
      <c r="G734" s="469" t="n"/>
      <c r="H734" s="469" t="n"/>
      <c r="I734" s="469" t="n"/>
      <c r="J734" s="469" t="n"/>
      <c r="K734" s="469" t="n"/>
      <c r="L734" s="469" t="n"/>
      <c r="M734" s="469" t="n"/>
      <c r="N734" s="469" t="n"/>
      <c r="O734" s="469" t="n"/>
      <c r="P734" s="471" t="n"/>
      <c r="Q734" s="469" t="n"/>
      <c r="R734" s="469" t="n"/>
      <c r="S734" s="469" t="n"/>
      <c r="T734" s="469" t="n"/>
      <c r="U734" s="469" t="n"/>
      <c r="V734" s="469" t="n"/>
      <c r="W734" s="469" t="n"/>
      <c r="X734" s="469" t="n"/>
      <c r="Y734" s="469" t="n"/>
      <c r="Z734" s="469" t="n"/>
      <c r="AA734" s="469" t="n"/>
    </row>
    <row r="735">
      <c r="A735" s="468" t="n"/>
      <c r="B735" s="469" t="n"/>
      <c r="C735" s="469" t="n"/>
      <c r="D735" s="469" t="n"/>
      <c r="E735" s="469" t="n"/>
      <c r="F735" s="469" t="n"/>
      <c r="G735" s="469" t="n"/>
      <c r="H735" s="469" t="n"/>
      <c r="I735" s="469" t="n"/>
      <c r="J735" s="469" t="n"/>
      <c r="K735" s="469" t="n"/>
      <c r="L735" s="469" t="n"/>
      <c r="M735" s="469" t="n"/>
      <c r="N735" s="469" t="n"/>
      <c r="O735" s="469" t="n"/>
      <c r="P735" s="471" t="n"/>
      <c r="Q735" s="469" t="n"/>
      <c r="R735" s="469" t="n"/>
      <c r="S735" s="469" t="n"/>
      <c r="T735" s="469" t="n"/>
      <c r="U735" s="469" t="n"/>
      <c r="V735" s="469" t="n"/>
      <c r="W735" s="469" t="n"/>
      <c r="X735" s="469" t="n"/>
      <c r="Y735" s="469" t="n"/>
      <c r="Z735" s="469" t="n"/>
      <c r="AA735" s="469" t="n"/>
    </row>
    <row r="736">
      <c r="A736" s="468" t="n"/>
      <c r="B736" s="469" t="n"/>
      <c r="C736" s="469" t="n"/>
      <c r="D736" s="469" t="n"/>
      <c r="E736" s="469" t="n"/>
      <c r="F736" s="469" t="n"/>
      <c r="G736" s="469" t="n"/>
      <c r="H736" s="469" t="n"/>
      <c r="I736" s="469" t="n"/>
      <c r="J736" s="469" t="n"/>
      <c r="K736" s="469" t="n"/>
      <c r="L736" s="469" t="n"/>
      <c r="M736" s="469" t="n"/>
      <c r="N736" s="469" t="n"/>
      <c r="O736" s="469" t="n"/>
      <c r="P736" s="471" t="n"/>
      <c r="Q736" s="469" t="n"/>
      <c r="R736" s="469" t="n"/>
      <c r="S736" s="469" t="n"/>
      <c r="T736" s="469" t="n"/>
      <c r="U736" s="469" t="n"/>
      <c r="V736" s="469" t="n"/>
      <c r="W736" s="469" t="n"/>
      <c r="X736" s="469" t="n"/>
      <c r="Y736" s="469" t="n"/>
      <c r="Z736" s="469" t="n"/>
      <c r="AA736" s="469" t="n"/>
    </row>
    <row r="737">
      <c r="A737" s="468" t="n"/>
      <c r="B737" s="469" t="n"/>
      <c r="C737" s="469" t="n"/>
      <c r="D737" s="469" t="n"/>
      <c r="E737" s="469" t="n"/>
      <c r="F737" s="469" t="n"/>
      <c r="G737" s="469" t="n"/>
      <c r="H737" s="469" t="n"/>
      <c r="I737" s="469" t="n"/>
      <c r="J737" s="469" t="n"/>
      <c r="K737" s="469" t="n"/>
      <c r="L737" s="469" t="n"/>
      <c r="M737" s="469" t="n"/>
      <c r="N737" s="469" t="n"/>
      <c r="O737" s="469" t="n"/>
      <c r="P737" s="471" t="n"/>
      <c r="Q737" s="469" t="n"/>
      <c r="R737" s="469" t="n"/>
      <c r="S737" s="469" t="n"/>
      <c r="T737" s="469" t="n"/>
      <c r="U737" s="469" t="n"/>
      <c r="V737" s="469" t="n"/>
      <c r="W737" s="469" t="n"/>
      <c r="X737" s="469" t="n"/>
      <c r="Y737" s="469" t="n"/>
      <c r="Z737" s="469" t="n"/>
      <c r="AA737" s="469" t="n"/>
    </row>
    <row r="738">
      <c r="A738" s="468" t="n"/>
      <c r="B738" s="469" t="n"/>
      <c r="C738" s="469" t="n"/>
      <c r="D738" s="469" t="n"/>
      <c r="E738" s="469" t="n"/>
      <c r="F738" s="469" t="n"/>
      <c r="G738" s="469" t="n"/>
      <c r="H738" s="469" t="n"/>
      <c r="I738" s="469" t="n"/>
      <c r="J738" s="469" t="n"/>
      <c r="K738" s="469" t="n"/>
      <c r="L738" s="469" t="n"/>
      <c r="M738" s="469" t="n"/>
      <c r="N738" s="469" t="n"/>
      <c r="O738" s="469" t="n"/>
      <c r="P738" s="471" t="n"/>
      <c r="Q738" s="469" t="n"/>
      <c r="R738" s="469" t="n"/>
      <c r="S738" s="469" t="n"/>
      <c r="T738" s="469" t="n"/>
      <c r="U738" s="469" t="n"/>
      <c r="V738" s="469" t="n"/>
      <c r="W738" s="469" t="n"/>
      <c r="X738" s="469" t="n"/>
      <c r="Y738" s="469" t="n"/>
      <c r="Z738" s="469" t="n"/>
      <c r="AA738" s="469" t="n"/>
    </row>
    <row r="739">
      <c r="A739" s="468" t="n"/>
      <c r="B739" s="469" t="n"/>
      <c r="C739" s="469" t="n"/>
      <c r="D739" s="469" t="n"/>
      <c r="E739" s="469" t="n"/>
      <c r="F739" s="469" t="n"/>
      <c r="G739" s="469" t="n"/>
      <c r="H739" s="469" t="n"/>
      <c r="I739" s="469" t="n"/>
      <c r="J739" s="469" t="n"/>
      <c r="K739" s="469" t="n"/>
      <c r="L739" s="469" t="n"/>
      <c r="M739" s="469" t="n"/>
      <c r="N739" s="469" t="n"/>
      <c r="O739" s="469" t="n"/>
      <c r="P739" s="471" t="n"/>
      <c r="Q739" s="469" t="n"/>
      <c r="R739" s="469" t="n"/>
      <c r="S739" s="469" t="n"/>
      <c r="T739" s="469" t="n"/>
      <c r="U739" s="469" t="n"/>
      <c r="V739" s="469" t="n"/>
      <c r="W739" s="469" t="n"/>
      <c r="X739" s="469" t="n"/>
      <c r="Y739" s="469" t="n"/>
      <c r="Z739" s="469" t="n"/>
      <c r="AA739" s="469" t="n"/>
    </row>
    <row r="740">
      <c r="A740" s="468" t="n"/>
      <c r="B740" s="469" t="n"/>
      <c r="C740" s="469" t="n"/>
      <c r="D740" s="469" t="n"/>
      <c r="E740" s="469" t="n"/>
      <c r="F740" s="469" t="n"/>
      <c r="G740" s="469" t="n"/>
      <c r="H740" s="469" t="n"/>
      <c r="I740" s="469" t="n"/>
      <c r="J740" s="469" t="n"/>
      <c r="K740" s="469" t="n"/>
      <c r="L740" s="469" t="n"/>
      <c r="M740" s="469" t="n"/>
      <c r="N740" s="469" t="n"/>
      <c r="O740" s="469" t="n"/>
      <c r="P740" s="471" t="n"/>
      <c r="Q740" s="469" t="n"/>
      <c r="R740" s="469" t="n"/>
      <c r="S740" s="469" t="n"/>
      <c r="T740" s="469" t="n"/>
      <c r="U740" s="469" t="n"/>
      <c r="V740" s="469" t="n"/>
      <c r="W740" s="469" t="n"/>
      <c r="X740" s="469" t="n"/>
      <c r="Y740" s="469" t="n"/>
      <c r="Z740" s="469" t="n"/>
      <c r="AA740" s="469" t="n"/>
    </row>
    <row r="741">
      <c r="A741" s="468" t="n"/>
      <c r="B741" s="469" t="n"/>
      <c r="C741" s="469" t="n"/>
      <c r="D741" s="469" t="n"/>
      <c r="E741" s="469" t="n"/>
      <c r="F741" s="469" t="n"/>
      <c r="G741" s="469" t="n"/>
      <c r="H741" s="469" t="n"/>
      <c r="I741" s="469" t="n"/>
      <c r="J741" s="469" t="n"/>
      <c r="K741" s="469" t="n"/>
      <c r="L741" s="469" t="n"/>
      <c r="M741" s="469" t="n"/>
      <c r="N741" s="469" t="n"/>
      <c r="O741" s="469" t="n"/>
      <c r="P741" s="471" t="n"/>
      <c r="Q741" s="469" t="n"/>
      <c r="R741" s="469" t="n"/>
      <c r="S741" s="469" t="n"/>
      <c r="T741" s="469" t="n"/>
      <c r="U741" s="469" t="n"/>
      <c r="V741" s="469" t="n"/>
      <c r="W741" s="469" t="n"/>
      <c r="X741" s="469" t="n"/>
      <c r="Y741" s="469" t="n"/>
      <c r="Z741" s="469" t="n"/>
      <c r="AA741" s="469" t="n"/>
    </row>
    <row r="742">
      <c r="A742" s="468" t="n"/>
      <c r="B742" s="469" t="n"/>
      <c r="C742" s="469" t="n"/>
      <c r="D742" s="469" t="n"/>
      <c r="E742" s="469" t="n"/>
      <c r="F742" s="469" t="n"/>
      <c r="G742" s="469" t="n"/>
      <c r="H742" s="469" t="n"/>
      <c r="I742" s="469" t="n"/>
      <c r="J742" s="469" t="n"/>
      <c r="K742" s="469" t="n"/>
      <c r="L742" s="469" t="n"/>
      <c r="M742" s="469" t="n"/>
      <c r="N742" s="469" t="n"/>
      <c r="O742" s="469" t="n"/>
      <c r="P742" s="471" t="n"/>
      <c r="Q742" s="469" t="n"/>
      <c r="R742" s="469" t="n"/>
      <c r="S742" s="469" t="n"/>
      <c r="T742" s="469" t="n"/>
      <c r="U742" s="469" t="n"/>
      <c r="V742" s="469" t="n"/>
      <c r="W742" s="469" t="n"/>
      <c r="X742" s="469" t="n"/>
      <c r="Y742" s="469" t="n"/>
      <c r="Z742" s="469" t="n"/>
      <c r="AA742" s="469" t="n"/>
    </row>
    <row r="743">
      <c r="A743" s="468" t="n"/>
      <c r="B743" s="469" t="n"/>
      <c r="C743" s="469" t="n"/>
      <c r="D743" s="469" t="n"/>
      <c r="E743" s="469" t="n"/>
      <c r="F743" s="469" t="n"/>
      <c r="G743" s="469" t="n"/>
      <c r="H743" s="469" t="n"/>
      <c r="I743" s="469" t="n"/>
      <c r="J743" s="469" t="n"/>
      <c r="K743" s="469" t="n"/>
      <c r="L743" s="469" t="n"/>
      <c r="M743" s="469" t="n"/>
      <c r="N743" s="469" t="n"/>
      <c r="O743" s="469" t="n"/>
      <c r="P743" s="471" t="n"/>
      <c r="Q743" s="469" t="n"/>
      <c r="R743" s="469" t="n"/>
      <c r="S743" s="469" t="n"/>
      <c r="T743" s="469" t="n"/>
      <c r="U743" s="469" t="n"/>
      <c r="V743" s="469" t="n"/>
      <c r="W743" s="469" t="n"/>
      <c r="X743" s="469" t="n"/>
      <c r="Y743" s="469" t="n"/>
      <c r="Z743" s="469" t="n"/>
      <c r="AA743" s="469" t="n"/>
    </row>
    <row r="744">
      <c r="A744" s="468" t="n"/>
      <c r="B744" s="469" t="n"/>
      <c r="C744" s="469" t="n"/>
      <c r="D744" s="469" t="n"/>
      <c r="E744" s="469" t="n"/>
      <c r="F744" s="469" t="n"/>
      <c r="G744" s="469" t="n"/>
      <c r="H744" s="469" t="n"/>
      <c r="I744" s="469" t="n"/>
      <c r="J744" s="469" t="n"/>
      <c r="K744" s="469" t="n"/>
      <c r="L744" s="469" t="n"/>
      <c r="M744" s="469" t="n"/>
      <c r="N744" s="469" t="n"/>
      <c r="O744" s="469" t="n"/>
      <c r="P744" s="471" t="n"/>
      <c r="Q744" s="469" t="n"/>
      <c r="R744" s="469" t="n"/>
      <c r="S744" s="469" t="n"/>
      <c r="T744" s="469" t="n"/>
      <c r="U744" s="469" t="n"/>
      <c r="V744" s="469" t="n"/>
      <c r="W744" s="469" t="n"/>
      <c r="X744" s="469" t="n"/>
      <c r="Y744" s="469" t="n"/>
      <c r="Z744" s="469" t="n"/>
      <c r="AA744" s="469" t="n"/>
    </row>
    <row r="745">
      <c r="A745" s="468" t="n"/>
      <c r="B745" s="469" t="n"/>
      <c r="C745" s="469" t="n"/>
      <c r="D745" s="469" t="n"/>
      <c r="E745" s="469" t="n"/>
      <c r="F745" s="469" t="n"/>
      <c r="G745" s="469" t="n"/>
      <c r="H745" s="469" t="n"/>
      <c r="I745" s="469" t="n"/>
      <c r="J745" s="469" t="n"/>
      <c r="K745" s="469" t="n"/>
      <c r="L745" s="469" t="n"/>
      <c r="M745" s="469" t="n"/>
      <c r="N745" s="469" t="n"/>
      <c r="O745" s="469" t="n"/>
      <c r="P745" s="471" t="n"/>
      <c r="Q745" s="469" t="n"/>
      <c r="R745" s="469" t="n"/>
      <c r="S745" s="469" t="n"/>
      <c r="T745" s="469" t="n"/>
      <c r="U745" s="469" t="n"/>
      <c r="V745" s="469" t="n"/>
      <c r="W745" s="469" t="n"/>
      <c r="X745" s="469" t="n"/>
      <c r="Y745" s="469" t="n"/>
      <c r="Z745" s="469" t="n"/>
      <c r="AA745" s="469" t="n"/>
    </row>
    <row r="746">
      <c r="A746" s="468" t="n"/>
      <c r="B746" s="469" t="n"/>
      <c r="C746" s="469" t="n"/>
      <c r="D746" s="469" t="n"/>
      <c r="E746" s="469" t="n"/>
      <c r="F746" s="469" t="n"/>
      <c r="G746" s="469" t="n"/>
      <c r="H746" s="469" t="n"/>
      <c r="I746" s="469" t="n"/>
      <c r="J746" s="469" t="n"/>
      <c r="K746" s="469" t="n"/>
      <c r="L746" s="469" t="n"/>
      <c r="M746" s="469" t="n"/>
      <c r="N746" s="469" t="n"/>
      <c r="O746" s="469" t="n"/>
      <c r="P746" s="471" t="n"/>
      <c r="Q746" s="469" t="n"/>
      <c r="R746" s="469" t="n"/>
      <c r="S746" s="469" t="n"/>
      <c r="T746" s="469" t="n"/>
      <c r="U746" s="469" t="n"/>
      <c r="V746" s="469" t="n"/>
      <c r="W746" s="469" t="n"/>
      <c r="X746" s="469" t="n"/>
      <c r="Y746" s="469" t="n"/>
      <c r="Z746" s="469" t="n"/>
      <c r="AA746" s="469" t="n"/>
    </row>
    <row r="747">
      <c r="A747" s="468" t="n"/>
      <c r="B747" s="469" t="n"/>
      <c r="C747" s="469" t="n"/>
      <c r="D747" s="469" t="n"/>
      <c r="E747" s="469" t="n"/>
      <c r="F747" s="469" t="n"/>
      <c r="G747" s="469" t="n"/>
      <c r="H747" s="469" t="n"/>
      <c r="I747" s="469" t="n"/>
      <c r="J747" s="469" t="n"/>
      <c r="K747" s="469" t="n"/>
      <c r="L747" s="469" t="n"/>
      <c r="M747" s="469" t="n"/>
      <c r="N747" s="469" t="n"/>
      <c r="O747" s="469" t="n"/>
      <c r="P747" s="471" t="n"/>
      <c r="Q747" s="469" t="n"/>
      <c r="R747" s="469" t="n"/>
      <c r="S747" s="469" t="n"/>
      <c r="T747" s="469" t="n"/>
      <c r="U747" s="469" t="n"/>
      <c r="V747" s="469" t="n"/>
      <c r="W747" s="469" t="n"/>
      <c r="X747" s="469" t="n"/>
      <c r="Y747" s="469" t="n"/>
      <c r="Z747" s="469" t="n"/>
      <c r="AA747" s="469" t="n"/>
    </row>
    <row r="748">
      <c r="A748" s="468" t="n"/>
      <c r="B748" s="469" t="n"/>
      <c r="C748" s="469" t="n"/>
      <c r="D748" s="469" t="n"/>
      <c r="E748" s="469" t="n"/>
      <c r="F748" s="469" t="n"/>
      <c r="G748" s="469" t="n"/>
      <c r="H748" s="469" t="n"/>
      <c r="I748" s="469" t="n"/>
      <c r="J748" s="469" t="n"/>
      <c r="K748" s="469" t="n"/>
      <c r="L748" s="469" t="n"/>
      <c r="M748" s="469" t="n"/>
      <c r="N748" s="469" t="n"/>
      <c r="O748" s="469" t="n"/>
      <c r="P748" s="471" t="n"/>
      <c r="Q748" s="469" t="n"/>
      <c r="R748" s="469" t="n"/>
      <c r="S748" s="469" t="n"/>
      <c r="T748" s="469" t="n"/>
      <c r="U748" s="469" t="n"/>
      <c r="V748" s="469" t="n"/>
      <c r="W748" s="469" t="n"/>
      <c r="X748" s="469" t="n"/>
      <c r="Y748" s="469" t="n"/>
      <c r="Z748" s="469" t="n"/>
      <c r="AA748" s="469" t="n"/>
    </row>
    <row r="749">
      <c r="A749" s="468" t="n"/>
      <c r="B749" s="469" t="n"/>
      <c r="C749" s="469" t="n"/>
      <c r="D749" s="469" t="n"/>
      <c r="E749" s="469" t="n"/>
      <c r="F749" s="469" t="n"/>
      <c r="G749" s="469" t="n"/>
      <c r="H749" s="469" t="n"/>
      <c r="I749" s="469" t="n"/>
      <c r="J749" s="469" t="n"/>
      <c r="K749" s="469" t="n"/>
      <c r="L749" s="469" t="n"/>
      <c r="M749" s="469" t="n"/>
      <c r="N749" s="469" t="n"/>
      <c r="O749" s="469" t="n"/>
      <c r="P749" s="471" t="n"/>
      <c r="Q749" s="469" t="n"/>
      <c r="R749" s="469" t="n"/>
      <c r="S749" s="469" t="n"/>
      <c r="T749" s="469" t="n"/>
      <c r="U749" s="469" t="n"/>
      <c r="V749" s="469" t="n"/>
      <c r="W749" s="469" t="n"/>
      <c r="X749" s="469" t="n"/>
      <c r="Y749" s="469" t="n"/>
      <c r="Z749" s="469" t="n"/>
      <c r="AA749" s="469" t="n"/>
    </row>
    <row r="750">
      <c r="A750" s="468" t="n"/>
      <c r="B750" s="469" t="n"/>
      <c r="C750" s="469" t="n"/>
      <c r="D750" s="469" t="n"/>
      <c r="E750" s="469" t="n"/>
      <c r="F750" s="469" t="n"/>
      <c r="G750" s="469" t="n"/>
      <c r="H750" s="469" t="n"/>
      <c r="I750" s="469" t="n"/>
      <c r="J750" s="469" t="n"/>
      <c r="K750" s="469" t="n"/>
      <c r="L750" s="469" t="n"/>
      <c r="M750" s="469" t="n"/>
      <c r="N750" s="469" t="n"/>
      <c r="O750" s="469" t="n"/>
      <c r="P750" s="471" t="n"/>
      <c r="Q750" s="469" t="n"/>
      <c r="R750" s="469" t="n"/>
      <c r="S750" s="469" t="n"/>
      <c r="T750" s="469" t="n"/>
      <c r="U750" s="469" t="n"/>
      <c r="V750" s="469" t="n"/>
      <c r="W750" s="469" t="n"/>
      <c r="X750" s="469" t="n"/>
      <c r="Y750" s="469" t="n"/>
      <c r="Z750" s="469" t="n"/>
      <c r="AA750" s="469" t="n"/>
    </row>
    <row r="751">
      <c r="A751" s="468" t="n"/>
      <c r="B751" s="469" t="n"/>
      <c r="C751" s="469" t="n"/>
      <c r="D751" s="469" t="n"/>
      <c r="E751" s="469" t="n"/>
      <c r="F751" s="469" t="n"/>
      <c r="G751" s="469" t="n"/>
      <c r="H751" s="469" t="n"/>
      <c r="I751" s="469" t="n"/>
      <c r="J751" s="469" t="n"/>
      <c r="K751" s="469" t="n"/>
      <c r="L751" s="469" t="n"/>
      <c r="M751" s="469" t="n"/>
      <c r="N751" s="469" t="n"/>
      <c r="O751" s="469" t="n"/>
      <c r="P751" s="471" t="n"/>
      <c r="Q751" s="469" t="n"/>
      <c r="R751" s="469" t="n"/>
      <c r="S751" s="469" t="n"/>
      <c r="T751" s="469" t="n"/>
      <c r="U751" s="469" t="n"/>
      <c r="V751" s="469" t="n"/>
      <c r="W751" s="469" t="n"/>
      <c r="X751" s="469" t="n"/>
      <c r="Y751" s="469" t="n"/>
      <c r="Z751" s="469" t="n"/>
      <c r="AA751" s="469" t="n"/>
    </row>
    <row r="752">
      <c r="A752" s="468" t="n"/>
      <c r="B752" s="469" t="n"/>
      <c r="C752" s="469" t="n"/>
      <c r="D752" s="469" t="n"/>
      <c r="E752" s="469" t="n"/>
      <c r="F752" s="469" t="n"/>
      <c r="G752" s="469" t="n"/>
      <c r="H752" s="469" t="n"/>
      <c r="I752" s="469" t="n"/>
      <c r="J752" s="469" t="n"/>
      <c r="K752" s="469" t="n"/>
      <c r="L752" s="469" t="n"/>
      <c r="M752" s="469" t="n"/>
      <c r="N752" s="469" t="n"/>
      <c r="O752" s="469" t="n"/>
      <c r="P752" s="471" t="n"/>
      <c r="Q752" s="469" t="n"/>
      <c r="R752" s="469" t="n"/>
      <c r="S752" s="469" t="n"/>
      <c r="T752" s="469" t="n"/>
      <c r="U752" s="469" t="n"/>
      <c r="V752" s="469" t="n"/>
      <c r="W752" s="469" t="n"/>
      <c r="X752" s="469" t="n"/>
      <c r="Y752" s="469" t="n"/>
      <c r="Z752" s="469" t="n"/>
      <c r="AA752" s="469" t="n"/>
    </row>
    <row r="753">
      <c r="A753" s="468" t="n"/>
      <c r="B753" s="469" t="n"/>
      <c r="C753" s="469" t="n"/>
      <c r="D753" s="469" t="n"/>
      <c r="E753" s="469" t="n"/>
      <c r="F753" s="469" t="n"/>
      <c r="G753" s="469" t="n"/>
      <c r="H753" s="469" t="n"/>
      <c r="I753" s="469" t="n"/>
      <c r="J753" s="469" t="n"/>
      <c r="K753" s="469" t="n"/>
      <c r="L753" s="469" t="n"/>
      <c r="M753" s="469" t="n"/>
      <c r="N753" s="469" t="n"/>
      <c r="O753" s="469" t="n"/>
      <c r="P753" s="471" t="n"/>
      <c r="Q753" s="469" t="n"/>
      <c r="R753" s="469" t="n"/>
      <c r="S753" s="469" t="n"/>
      <c r="T753" s="469" t="n"/>
      <c r="U753" s="469" t="n"/>
      <c r="V753" s="469" t="n"/>
      <c r="W753" s="469" t="n"/>
      <c r="X753" s="469" t="n"/>
      <c r="Y753" s="469" t="n"/>
      <c r="Z753" s="469" t="n"/>
      <c r="AA753" s="469" t="n"/>
    </row>
    <row r="754">
      <c r="A754" s="468" t="n"/>
      <c r="B754" s="469" t="n"/>
      <c r="C754" s="469" t="n"/>
      <c r="D754" s="469" t="n"/>
      <c r="E754" s="469" t="n"/>
      <c r="F754" s="469" t="n"/>
      <c r="G754" s="469" t="n"/>
      <c r="H754" s="469" t="n"/>
      <c r="I754" s="469" t="n"/>
      <c r="J754" s="469" t="n"/>
      <c r="K754" s="469" t="n"/>
      <c r="L754" s="469" t="n"/>
      <c r="M754" s="469" t="n"/>
      <c r="N754" s="469" t="n"/>
      <c r="O754" s="469" t="n"/>
      <c r="P754" s="471" t="n"/>
      <c r="Q754" s="469" t="n"/>
      <c r="R754" s="469" t="n"/>
      <c r="S754" s="469" t="n"/>
      <c r="T754" s="469" t="n"/>
      <c r="U754" s="469" t="n"/>
      <c r="V754" s="469" t="n"/>
      <c r="W754" s="469" t="n"/>
      <c r="X754" s="469" t="n"/>
      <c r="Y754" s="469" t="n"/>
      <c r="Z754" s="469" t="n"/>
      <c r="AA754" s="469" t="n"/>
    </row>
    <row r="755">
      <c r="A755" s="468" t="n"/>
      <c r="B755" s="469" t="n"/>
      <c r="C755" s="469" t="n"/>
      <c r="D755" s="469" t="n"/>
      <c r="E755" s="469" t="n"/>
      <c r="F755" s="469" t="n"/>
      <c r="G755" s="469" t="n"/>
      <c r="H755" s="469" t="n"/>
      <c r="I755" s="469" t="n"/>
      <c r="J755" s="469" t="n"/>
      <c r="K755" s="469" t="n"/>
      <c r="L755" s="469" t="n"/>
      <c r="M755" s="469" t="n"/>
      <c r="N755" s="469" t="n"/>
      <c r="O755" s="469" t="n"/>
      <c r="P755" s="471" t="n"/>
      <c r="Q755" s="469" t="n"/>
      <c r="R755" s="469" t="n"/>
      <c r="S755" s="469" t="n"/>
      <c r="T755" s="469" t="n"/>
      <c r="U755" s="469" t="n"/>
      <c r="V755" s="469" t="n"/>
      <c r="W755" s="469" t="n"/>
      <c r="X755" s="469" t="n"/>
      <c r="Y755" s="469" t="n"/>
      <c r="Z755" s="469" t="n"/>
      <c r="AA755" s="469" t="n"/>
    </row>
    <row r="756">
      <c r="A756" s="468" t="n"/>
      <c r="B756" s="469" t="n"/>
      <c r="C756" s="469" t="n"/>
      <c r="D756" s="469" t="n"/>
      <c r="E756" s="469" t="n"/>
      <c r="F756" s="469" t="n"/>
      <c r="G756" s="469" t="n"/>
      <c r="H756" s="469" t="n"/>
      <c r="I756" s="469" t="n"/>
      <c r="J756" s="469" t="n"/>
      <c r="K756" s="469" t="n"/>
      <c r="L756" s="469" t="n"/>
      <c r="M756" s="469" t="n"/>
      <c r="N756" s="469" t="n"/>
      <c r="O756" s="469" t="n"/>
      <c r="P756" s="471" t="n"/>
      <c r="Q756" s="469" t="n"/>
      <c r="R756" s="469" t="n"/>
      <c r="S756" s="469" t="n"/>
      <c r="T756" s="469" t="n"/>
      <c r="U756" s="469" t="n"/>
      <c r="V756" s="469" t="n"/>
      <c r="W756" s="469" t="n"/>
      <c r="X756" s="469" t="n"/>
      <c r="Y756" s="469" t="n"/>
      <c r="Z756" s="469" t="n"/>
      <c r="AA756" s="469" t="n"/>
    </row>
    <row r="757">
      <c r="A757" s="468" t="n"/>
      <c r="B757" s="469" t="n"/>
      <c r="C757" s="469" t="n"/>
      <c r="D757" s="469" t="n"/>
      <c r="E757" s="469" t="n"/>
      <c r="F757" s="469" t="n"/>
      <c r="G757" s="469" t="n"/>
      <c r="H757" s="469" t="n"/>
      <c r="I757" s="469" t="n"/>
      <c r="J757" s="469" t="n"/>
      <c r="K757" s="469" t="n"/>
      <c r="L757" s="469" t="n"/>
      <c r="M757" s="469" t="n"/>
      <c r="N757" s="469" t="n"/>
      <c r="O757" s="469" t="n"/>
      <c r="P757" s="471" t="n"/>
      <c r="Q757" s="469" t="n"/>
      <c r="R757" s="469" t="n"/>
      <c r="S757" s="469" t="n"/>
      <c r="T757" s="469" t="n"/>
      <c r="U757" s="469" t="n"/>
      <c r="V757" s="469" t="n"/>
      <c r="W757" s="469" t="n"/>
      <c r="X757" s="469" t="n"/>
      <c r="Y757" s="469" t="n"/>
      <c r="Z757" s="469" t="n"/>
      <c r="AA757" s="469" t="n"/>
    </row>
    <row r="758">
      <c r="A758" s="468" t="n"/>
      <c r="B758" s="469" t="n"/>
      <c r="C758" s="469" t="n"/>
      <c r="D758" s="469" t="n"/>
      <c r="E758" s="469" t="n"/>
      <c r="F758" s="469" t="n"/>
      <c r="G758" s="469" t="n"/>
      <c r="H758" s="469" t="n"/>
      <c r="I758" s="469" t="n"/>
      <c r="J758" s="469" t="n"/>
      <c r="K758" s="469" t="n"/>
      <c r="L758" s="469" t="n"/>
      <c r="M758" s="469" t="n"/>
      <c r="N758" s="469" t="n"/>
      <c r="O758" s="469" t="n"/>
      <c r="P758" s="471" t="n"/>
      <c r="Q758" s="469" t="n"/>
      <c r="R758" s="469" t="n"/>
      <c r="S758" s="469" t="n"/>
      <c r="T758" s="469" t="n"/>
      <c r="U758" s="469" t="n"/>
      <c r="V758" s="469" t="n"/>
      <c r="W758" s="469" t="n"/>
      <c r="X758" s="469" t="n"/>
      <c r="Y758" s="469" t="n"/>
      <c r="Z758" s="469" t="n"/>
      <c r="AA758" s="469" t="n"/>
    </row>
    <row r="759">
      <c r="A759" s="468" t="n"/>
      <c r="B759" s="469" t="n"/>
      <c r="C759" s="469" t="n"/>
      <c r="D759" s="469" t="n"/>
      <c r="E759" s="469" t="n"/>
      <c r="F759" s="469" t="n"/>
      <c r="G759" s="469" t="n"/>
      <c r="H759" s="469" t="n"/>
      <c r="I759" s="469" t="n"/>
      <c r="J759" s="469" t="n"/>
      <c r="K759" s="469" t="n"/>
      <c r="L759" s="469" t="n"/>
      <c r="M759" s="469" t="n"/>
      <c r="N759" s="469" t="n"/>
      <c r="O759" s="469" t="n"/>
      <c r="P759" s="471" t="n"/>
      <c r="Q759" s="469" t="n"/>
      <c r="R759" s="469" t="n"/>
      <c r="S759" s="469" t="n"/>
      <c r="T759" s="469" t="n"/>
      <c r="U759" s="469" t="n"/>
      <c r="V759" s="469" t="n"/>
      <c r="W759" s="469" t="n"/>
      <c r="X759" s="469" t="n"/>
      <c r="Y759" s="469" t="n"/>
      <c r="Z759" s="469" t="n"/>
      <c r="AA759" s="469" t="n"/>
    </row>
    <row r="760">
      <c r="A760" s="468" t="n"/>
      <c r="B760" s="469" t="n"/>
      <c r="C760" s="469" t="n"/>
      <c r="D760" s="469" t="n"/>
      <c r="E760" s="469" t="n"/>
      <c r="F760" s="469" t="n"/>
      <c r="G760" s="469" t="n"/>
      <c r="H760" s="469" t="n"/>
      <c r="I760" s="469" t="n"/>
      <c r="J760" s="469" t="n"/>
      <c r="K760" s="469" t="n"/>
      <c r="L760" s="469" t="n"/>
      <c r="M760" s="469" t="n"/>
      <c r="N760" s="469" t="n"/>
      <c r="O760" s="469" t="n"/>
      <c r="P760" s="471" t="n"/>
      <c r="Q760" s="469" t="n"/>
      <c r="R760" s="469" t="n"/>
      <c r="S760" s="469" t="n"/>
      <c r="T760" s="469" t="n"/>
      <c r="U760" s="469" t="n"/>
      <c r="V760" s="469" t="n"/>
      <c r="W760" s="469" t="n"/>
      <c r="X760" s="469" t="n"/>
      <c r="Y760" s="469" t="n"/>
      <c r="Z760" s="469" t="n"/>
      <c r="AA760" s="469" t="n"/>
    </row>
    <row r="761">
      <c r="A761" s="468" t="n"/>
      <c r="B761" s="469" t="n"/>
      <c r="C761" s="469" t="n"/>
      <c r="D761" s="469" t="n"/>
      <c r="E761" s="469" t="n"/>
      <c r="F761" s="469" t="n"/>
      <c r="G761" s="469" t="n"/>
      <c r="H761" s="469" t="n"/>
      <c r="I761" s="469" t="n"/>
      <c r="J761" s="469" t="n"/>
      <c r="K761" s="469" t="n"/>
      <c r="L761" s="469" t="n"/>
      <c r="M761" s="469" t="n"/>
      <c r="N761" s="469" t="n"/>
      <c r="O761" s="469" t="n"/>
      <c r="P761" s="471" t="n"/>
      <c r="Q761" s="469" t="n"/>
      <c r="R761" s="469" t="n"/>
      <c r="S761" s="469" t="n"/>
      <c r="T761" s="469" t="n"/>
      <c r="U761" s="469" t="n"/>
      <c r="V761" s="469" t="n"/>
      <c r="W761" s="469" t="n"/>
      <c r="X761" s="469" t="n"/>
      <c r="Y761" s="469" t="n"/>
      <c r="Z761" s="469" t="n"/>
      <c r="AA761" s="469" t="n"/>
    </row>
    <row r="762">
      <c r="A762" s="468" t="n"/>
      <c r="B762" s="469" t="n"/>
      <c r="C762" s="469" t="n"/>
      <c r="D762" s="469" t="n"/>
      <c r="E762" s="469" t="n"/>
      <c r="F762" s="469" t="n"/>
      <c r="G762" s="469" t="n"/>
      <c r="H762" s="469" t="n"/>
      <c r="I762" s="469" t="n"/>
      <c r="J762" s="469" t="n"/>
      <c r="K762" s="469" t="n"/>
      <c r="L762" s="469" t="n"/>
      <c r="M762" s="469" t="n"/>
      <c r="N762" s="469" t="n"/>
      <c r="O762" s="469" t="n"/>
      <c r="P762" s="471" t="n"/>
      <c r="Q762" s="469" t="n"/>
      <c r="R762" s="469" t="n"/>
      <c r="S762" s="469" t="n"/>
      <c r="T762" s="469" t="n"/>
      <c r="U762" s="469" t="n"/>
      <c r="V762" s="469" t="n"/>
      <c r="W762" s="469" t="n"/>
      <c r="X762" s="469" t="n"/>
      <c r="Y762" s="469" t="n"/>
      <c r="Z762" s="469" t="n"/>
      <c r="AA762" s="469" t="n"/>
    </row>
    <row r="763">
      <c r="A763" s="468" t="n"/>
      <c r="B763" s="469" t="n"/>
      <c r="C763" s="469" t="n"/>
      <c r="D763" s="469" t="n"/>
      <c r="E763" s="469" t="n"/>
      <c r="F763" s="469" t="n"/>
      <c r="G763" s="469" t="n"/>
      <c r="H763" s="469" t="n"/>
      <c r="I763" s="469" t="n"/>
      <c r="J763" s="469" t="n"/>
      <c r="K763" s="469" t="n"/>
      <c r="L763" s="469" t="n"/>
      <c r="M763" s="469" t="n"/>
      <c r="N763" s="469" t="n"/>
      <c r="O763" s="469" t="n"/>
      <c r="P763" s="471" t="n"/>
      <c r="Q763" s="469" t="n"/>
      <c r="R763" s="469" t="n"/>
      <c r="S763" s="469" t="n"/>
      <c r="T763" s="469" t="n"/>
      <c r="U763" s="469" t="n"/>
      <c r="V763" s="469" t="n"/>
      <c r="W763" s="469" t="n"/>
      <c r="X763" s="469" t="n"/>
      <c r="Y763" s="469" t="n"/>
      <c r="Z763" s="469" t="n"/>
      <c r="AA763" s="469" t="n"/>
    </row>
    <row r="764">
      <c r="A764" s="468" t="n"/>
      <c r="B764" s="469" t="n"/>
      <c r="C764" s="469" t="n"/>
      <c r="D764" s="469" t="n"/>
      <c r="E764" s="469" t="n"/>
      <c r="F764" s="469" t="n"/>
      <c r="G764" s="469" t="n"/>
      <c r="H764" s="469" t="n"/>
      <c r="I764" s="469" t="n"/>
      <c r="J764" s="469" t="n"/>
      <c r="K764" s="469" t="n"/>
      <c r="L764" s="469" t="n"/>
      <c r="M764" s="469" t="n"/>
      <c r="N764" s="469" t="n"/>
      <c r="O764" s="469" t="n"/>
      <c r="P764" s="471" t="n"/>
      <c r="Q764" s="469" t="n"/>
      <c r="R764" s="469" t="n"/>
      <c r="S764" s="469" t="n"/>
      <c r="T764" s="469" t="n"/>
      <c r="U764" s="469" t="n"/>
      <c r="V764" s="469" t="n"/>
      <c r="W764" s="469" t="n"/>
      <c r="X764" s="469" t="n"/>
      <c r="Y764" s="469" t="n"/>
      <c r="Z764" s="469" t="n"/>
      <c r="AA764" s="469" t="n"/>
    </row>
    <row r="765">
      <c r="A765" s="468" t="n"/>
      <c r="B765" s="469" t="n"/>
      <c r="C765" s="469" t="n"/>
      <c r="D765" s="469" t="n"/>
      <c r="E765" s="469" t="n"/>
      <c r="F765" s="469" t="n"/>
      <c r="G765" s="469" t="n"/>
      <c r="H765" s="469" t="n"/>
      <c r="I765" s="469" t="n"/>
      <c r="J765" s="469" t="n"/>
      <c r="K765" s="469" t="n"/>
      <c r="L765" s="469" t="n"/>
      <c r="M765" s="469" t="n"/>
      <c r="N765" s="469" t="n"/>
      <c r="O765" s="469" t="n"/>
      <c r="P765" s="471" t="n"/>
      <c r="Q765" s="469" t="n"/>
      <c r="R765" s="469" t="n"/>
      <c r="S765" s="469" t="n"/>
      <c r="T765" s="469" t="n"/>
      <c r="U765" s="469" t="n"/>
      <c r="V765" s="469" t="n"/>
      <c r="W765" s="469" t="n"/>
      <c r="X765" s="469" t="n"/>
      <c r="Y765" s="469" t="n"/>
      <c r="Z765" s="469" t="n"/>
      <c r="AA765" s="469" t="n"/>
    </row>
    <row r="766">
      <c r="A766" s="468" t="n"/>
      <c r="B766" s="469" t="n"/>
      <c r="C766" s="469" t="n"/>
      <c r="D766" s="469" t="n"/>
      <c r="E766" s="469" t="n"/>
      <c r="F766" s="469" t="n"/>
      <c r="G766" s="469" t="n"/>
      <c r="H766" s="469" t="n"/>
      <c r="I766" s="469" t="n"/>
      <c r="J766" s="469" t="n"/>
      <c r="K766" s="469" t="n"/>
      <c r="L766" s="469" t="n"/>
      <c r="M766" s="469" t="n"/>
      <c r="N766" s="469" t="n"/>
      <c r="O766" s="469" t="n"/>
      <c r="P766" s="471" t="n"/>
      <c r="Q766" s="469" t="n"/>
      <c r="R766" s="469" t="n"/>
      <c r="S766" s="469" t="n"/>
      <c r="T766" s="469" t="n"/>
      <c r="U766" s="469" t="n"/>
      <c r="V766" s="469" t="n"/>
      <c r="W766" s="469" t="n"/>
      <c r="X766" s="469" t="n"/>
      <c r="Y766" s="469" t="n"/>
      <c r="Z766" s="469" t="n"/>
      <c r="AA766" s="469" t="n"/>
    </row>
    <row r="767">
      <c r="A767" s="468" t="n"/>
      <c r="B767" s="469" t="n"/>
      <c r="C767" s="469" t="n"/>
      <c r="D767" s="469" t="n"/>
      <c r="E767" s="469" t="n"/>
      <c r="F767" s="469" t="n"/>
      <c r="G767" s="469" t="n"/>
      <c r="H767" s="469" t="n"/>
      <c r="I767" s="469" t="n"/>
      <c r="J767" s="469" t="n"/>
      <c r="K767" s="469" t="n"/>
      <c r="L767" s="469" t="n"/>
      <c r="M767" s="469" t="n"/>
      <c r="N767" s="469" t="n"/>
      <c r="O767" s="469" t="n"/>
      <c r="P767" s="471" t="n"/>
      <c r="Q767" s="469" t="n"/>
      <c r="R767" s="469" t="n"/>
      <c r="S767" s="469" t="n"/>
      <c r="T767" s="469" t="n"/>
      <c r="U767" s="469" t="n"/>
      <c r="V767" s="469" t="n"/>
      <c r="W767" s="469" t="n"/>
      <c r="X767" s="469" t="n"/>
      <c r="Y767" s="469" t="n"/>
      <c r="Z767" s="469" t="n"/>
      <c r="AA767" s="469" t="n"/>
    </row>
    <row r="768">
      <c r="A768" s="468" t="n"/>
      <c r="B768" s="469" t="n"/>
      <c r="C768" s="469" t="n"/>
      <c r="D768" s="469" t="n"/>
      <c r="E768" s="469" t="n"/>
      <c r="F768" s="469" t="n"/>
      <c r="G768" s="469" t="n"/>
      <c r="H768" s="469" t="n"/>
      <c r="I768" s="469" t="n"/>
      <c r="J768" s="469" t="n"/>
      <c r="K768" s="469" t="n"/>
      <c r="L768" s="469" t="n"/>
      <c r="M768" s="469" t="n"/>
      <c r="N768" s="469" t="n"/>
      <c r="O768" s="469" t="n"/>
      <c r="P768" s="471" t="n"/>
      <c r="Q768" s="469" t="n"/>
      <c r="R768" s="469" t="n"/>
      <c r="S768" s="469" t="n"/>
      <c r="T768" s="469" t="n"/>
      <c r="U768" s="469" t="n"/>
      <c r="V768" s="469" t="n"/>
      <c r="W768" s="469" t="n"/>
      <c r="X768" s="469" t="n"/>
      <c r="Y768" s="469" t="n"/>
      <c r="Z768" s="469" t="n"/>
      <c r="AA768" s="469" t="n"/>
    </row>
    <row r="769">
      <c r="A769" s="468" t="n"/>
      <c r="B769" s="469" t="n"/>
      <c r="C769" s="469" t="n"/>
      <c r="D769" s="469" t="n"/>
      <c r="E769" s="469" t="n"/>
      <c r="F769" s="469" t="n"/>
      <c r="G769" s="469" t="n"/>
      <c r="H769" s="469" t="n"/>
      <c r="I769" s="469" t="n"/>
      <c r="J769" s="469" t="n"/>
      <c r="K769" s="469" t="n"/>
      <c r="L769" s="469" t="n"/>
      <c r="M769" s="469" t="n"/>
      <c r="N769" s="469" t="n"/>
      <c r="O769" s="469" t="n"/>
      <c r="P769" s="471" t="n"/>
      <c r="Q769" s="469" t="n"/>
      <c r="R769" s="469" t="n"/>
      <c r="S769" s="469" t="n"/>
      <c r="T769" s="469" t="n"/>
      <c r="U769" s="469" t="n"/>
      <c r="V769" s="469" t="n"/>
      <c r="W769" s="469" t="n"/>
      <c r="X769" s="469" t="n"/>
      <c r="Y769" s="469" t="n"/>
      <c r="Z769" s="469" t="n"/>
      <c r="AA769" s="469" t="n"/>
    </row>
    <row r="770">
      <c r="A770" s="468" t="n"/>
      <c r="B770" s="469" t="n"/>
      <c r="C770" s="469" t="n"/>
      <c r="D770" s="469" t="n"/>
      <c r="E770" s="469" t="n"/>
      <c r="F770" s="469" t="n"/>
      <c r="G770" s="469" t="n"/>
      <c r="H770" s="469" t="n"/>
      <c r="I770" s="469" t="n"/>
      <c r="J770" s="469" t="n"/>
      <c r="K770" s="469" t="n"/>
      <c r="L770" s="469" t="n"/>
      <c r="M770" s="469" t="n"/>
      <c r="N770" s="469" t="n"/>
      <c r="O770" s="469" t="n"/>
      <c r="P770" s="471" t="n"/>
      <c r="Q770" s="469" t="n"/>
      <c r="R770" s="469" t="n"/>
      <c r="S770" s="469" t="n"/>
      <c r="T770" s="469" t="n"/>
      <c r="U770" s="469" t="n"/>
      <c r="V770" s="469" t="n"/>
      <c r="W770" s="469" t="n"/>
      <c r="X770" s="469" t="n"/>
      <c r="Y770" s="469" t="n"/>
      <c r="Z770" s="469" t="n"/>
      <c r="AA770" s="469" t="n"/>
    </row>
    <row r="771">
      <c r="A771" s="468" t="n"/>
      <c r="B771" s="469" t="n"/>
      <c r="C771" s="469" t="n"/>
      <c r="D771" s="469" t="n"/>
      <c r="E771" s="469" t="n"/>
      <c r="F771" s="469" t="n"/>
      <c r="G771" s="469" t="n"/>
      <c r="H771" s="469" t="n"/>
      <c r="I771" s="469" t="n"/>
      <c r="J771" s="469" t="n"/>
      <c r="K771" s="469" t="n"/>
      <c r="L771" s="469" t="n"/>
      <c r="M771" s="469" t="n"/>
      <c r="N771" s="469" t="n"/>
      <c r="O771" s="469" t="n"/>
      <c r="P771" s="471" t="n"/>
      <c r="Q771" s="469" t="n"/>
      <c r="R771" s="469" t="n"/>
      <c r="S771" s="469" t="n"/>
      <c r="T771" s="469" t="n"/>
      <c r="U771" s="469" t="n"/>
      <c r="V771" s="469" t="n"/>
      <c r="W771" s="469" t="n"/>
      <c r="X771" s="469" t="n"/>
      <c r="Y771" s="469" t="n"/>
      <c r="Z771" s="469" t="n"/>
      <c r="AA771" s="469" t="n"/>
    </row>
    <row r="772">
      <c r="A772" s="468" t="n"/>
      <c r="B772" s="469" t="n"/>
      <c r="C772" s="469" t="n"/>
      <c r="D772" s="469" t="n"/>
      <c r="E772" s="469" t="n"/>
      <c r="F772" s="469" t="n"/>
      <c r="G772" s="469" t="n"/>
      <c r="H772" s="469" t="n"/>
      <c r="I772" s="469" t="n"/>
      <c r="J772" s="469" t="n"/>
      <c r="K772" s="469" t="n"/>
      <c r="L772" s="469" t="n"/>
      <c r="M772" s="469" t="n"/>
      <c r="N772" s="469" t="n"/>
      <c r="O772" s="469" t="n"/>
      <c r="P772" s="471" t="n"/>
      <c r="Q772" s="469" t="n"/>
      <c r="R772" s="469" t="n"/>
      <c r="S772" s="469" t="n"/>
      <c r="T772" s="469" t="n"/>
      <c r="U772" s="469" t="n"/>
      <c r="V772" s="469" t="n"/>
      <c r="W772" s="469" t="n"/>
      <c r="X772" s="469" t="n"/>
      <c r="Y772" s="469" t="n"/>
      <c r="Z772" s="469" t="n"/>
      <c r="AA772" s="469" t="n"/>
    </row>
    <row r="773">
      <c r="A773" s="468" t="n"/>
      <c r="B773" s="469" t="n"/>
      <c r="C773" s="469" t="n"/>
      <c r="D773" s="469" t="n"/>
      <c r="E773" s="469" t="n"/>
      <c r="F773" s="469" t="n"/>
      <c r="G773" s="469" t="n"/>
      <c r="H773" s="469" t="n"/>
      <c r="I773" s="469" t="n"/>
      <c r="J773" s="469" t="n"/>
      <c r="K773" s="469" t="n"/>
      <c r="L773" s="469" t="n"/>
      <c r="M773" s="469" t="n"/>
      <c r="N773" s="469" t="n"/>
      <c r="O773" s="469" t="n"/>
      <c r="P773" s="471" t="n"/>
      <c r="Q773" s="469" t="n"/>
      <c r="R773" s="469" t="n"/>
      <c r="S773" s="469" t="n"/>
      <c r="T773" s="469" t="n"/>
      <c r="U773" s="469" t="n"/>
      <c r="V773" s="469" t="n"/>
      <c r="W773" s="469" t="n"/>
      <c r="X773" s="469" t="n"/>
      <c r="Y773" s="469" t="n"/>
      <c r="Z773" s="469" t="n"/>
      <c r="AA773" s="469" t="n"/>
    </row>
    <row r="774">
      <c r="A774" s="468" t="n"/>
      <c r="B774" s="469" t="n"/>
      <c r="C774" s="469" t="n"/>
      <c r="D774" s="469" t="n"/>
      <c r="E774" s="469" t="n"/>
      <c r="F774" s="469" t="n"/>
      <c r="G774" s="469" t="n"/>
      <c r="H774" s="469" t="n"/>
      <c r="I774" s="469" t="n"/>
      <c r="J774" s="469" t="n"/>
      <c r="K774" s="469" t="n"/>
      <c r="L774" s="469" t="n"/>
      <c r="M774" s="469" t="n"/>
      <c r="N774" s="469" t="n"/>
      <c r="O774" s="469" t="n"/>
      <c r="P774" s="471" t="n"/>
      <c r="Q774" s="469" t="n"/>
      <c r="R774" s="469" t="n"/>
      <c r="S774" s="469" t="n"/>
      <c r="T774" s="469" t="n"/>
      <c r="U774" s="469" t="n"/>
      <c r="V774" s="469" t="n"/>
      <c r="W774" s="469" t="n"/>
      <c r="X774" s="469" t="n"/>
      <c r="Y774" s="469" t="n"/>
      <c r="Z774" s="469" t="n"/>
      <c r="AA774" s="469" t="n"/>
    </row>
    <row r="775">
      <c r="A775" s="468" t="n"/>
      <c r="B775" s="469" t="n"/>
      <c r="C775" s="469" t="n"/>
      <c r="D775" s="469" t="n"/>
      <c r="E775" s="469" t="n"/>
      <c r="F775" s="469" t="n"/>
      <c r="G775" s="469" t="n"/>
      <c r="H775" s="469" t="n"/>
      <c r="I775" s="469" t="n"/>
      <c r="J775" s="469" t="n"/>
      <c r="K775" s="469" t="n"/>
      <c r="L775" s="469" t="n"/>
      <c r="M775" s="469" t="n"/>
      <c r="N775" s="469" t="n"/>
      <c r="O775" s="469" t="n"/>
      <c r="P775" s="471" t="n"/>
      <c r="Q775" s="469" t="n"/>
      <c r="R775" s="469" t="n"/>
      <c r="S775" s="469" t="n"/>
      <c r="T775" s="469" t="n"/>
      <c r="U775" s="469" t="n"/>
      <c r="V775" s="469" t="n"/>
      <c r="W775" s="469" t="n"/>
      <c r="X775" s="469" t="n"/>
      <c r="Y775" s="469" t="n"/>
      <c r="Z775" s="469" t="n"/>
      <c r="AA775" s="469" t="n"/>
    </row>
    <row r="776">
      <c r="A776" s="468" t="n"/>
      <c r="B776" s="469" t="n"/>
      <c r="C776" s="469" t="n"/>
      <c r="D776" s="469" t="n"/>
      <c r="E776" s="469" t="n"/>
      <c r="F776" s="469" t="n"/>
      <c r="G776" s="469" t="n"/>
      <c r="H776" s="469" t="n"/>
      <c r="I776" s="469" t="n"/>
      <c r="J776" s="469" t="n"/>
      <c r="K776" s="469" t="n"/>
      <c r="L776" s="469" t="n"/>
      <c r="M776" s="469" t="n"/>
      <c r="N776" s="469" t="n"/>
      <c r="O776" s="469" t="n"/>
      <c r="P776" s="471" t="n"/>
      <c r="Q776" s="469" t="n"/>
      <c r="R776" s="469" t="n"/>
      <c r="S776" s="469" t="n"/>
      <c r="T776" s="469" t="n"/>
      <c r="U776" s="469" t="n"/>
      <c r="V776" s="469" t="n"/>
      <c r="W776" s="469" t="n"/>
      <c r="X776" s="469" t="n"/>
      <c r="Y776" s="469" t="n"/>
      <c r="Z776" s="469" t="n"/>
      <c r="AA776" s="469" t="n"/>
    </row>
    <row r="777">
      <c r="A777" s="468" t="n"/>
      <c r="B777" s="469" t="n"/>
      <c r="C777" s="469" t="n"/>
      <c r="D777" s="469" t="n"/>
      <c r="E777" s="469" t="n"/>
      <c r="F777" s="469" t="n"/>
      <c r="G777" s="469" t="n"/>
      <c r="H777" s="469" t="n"/>
      <c r="I777" s="469" t="n"/>
      <c r="J777" s="469" t="n"/>
      <c r="K777" s="469" t="n"/>
      <c r="L777" s="469" t="n"/>
      <c r="M777" s="469" t="n"/>
      <c r="N777" s="469" t="n"/>
      <c r="O777" s="469" t="n"/>
      <c r="P777" s="471" t="n"/>
      <c r="Q777" s="469" t="n"/>
      <c r="R777" s="469" t="n"/>
      <c r="S777" s="469" t="n"/>
      <c r="T777" s="469" t="n"/>
      <c r="U777" s="469" t="n"/>
      <c r="V777" s="469" t="n"/>
      <c r="W777" s="469" t="n"/>
      <c r="X777" s="469" t="n"/>
      <c r="Y777" s="469" t="n"/>
      <c r="Z777" s="469" t="n"/>
      <c r="AA777" s="469" t="n"/>
    </row>
    <row r="778">
      <c r="A778" s="468" t="n"/>
      <c r="B778" s="469" t="n"/>
      <c r="C778" s="469" t="n"/>
      <c r="D778" s="469" t="n"/>
      <c r="E778" s="469" t="n"/>
      <c r="F778" s="469" t="n"/>
      <c r="G778" s="469" t="n"/>
      <c r="H778" s="469" t="n"/>
      <c r="I778" s="469" t="n"/>
      <c r="J778" s="469" t="n"/>
      <c r="K778" s="469" t="n"/>
      <c r="L778" s="469" t="n"/>
      <c r="M778" s="469" t="n"/>
      <c r="N778" s="469" t="n"/>
      <c r="O778" s="469" t="n"/>
      <c r="P778" s="471" t="n"/>
      <c r="Q778" s="469" t="n"/>
      <c r="R778" s="469" t="n"/>
      <c r="S778" s="469" t="n"/>
      <c r="T778" s="469" t="n"/>
      <c r="U778" s="469" t="n"/>
      <c r="V778" s="469" t="n"/>
      <c r="W778" s="469" t="n"/>
      <c r="X778" s="469" t="n"/>
      <c r="Y778" s="469" t="n"/>
      <c r="Z778" s="469" t="n"/>
      <c r="AA778" s="469" t="n"/>
    </row>
    <row r="779">
      <c r="A779" s="468" t="n"/>
      <c r="B779" s="469" t="n"/>
      <c r="C779" s="469" t="n"/>
      <c r="D779" s="469" t="n"/>
      <c r="E779" s="469" t="n"/>
      <c r="F779" s="469" t="n"/>
      <c r="G779" s="469" t="n"/>
      <c r="H779" s="469" t="n"/>
      <c r="I779" s="469" t="n"/>
      <c r="J779" s="469" t="n"/>
      <c r="K779" s="469" t="n"/>
      <c r="L779" s="469" t="n"/>
      <c r="M779" s="469" t="n"/>
      <c r="N779" s="469" t="n"/>
      <c r="O779" s="469" t="n"/>
      <c r="P779" s="471" t="n"/>
      <c r="Q779" s="469" t="n"/>
      <c r="R779" s="469" t="n"/>
      <c r="S779" s="469" t="n"/>
      <c r="T779" s="469" t="n"/>
      <c r="U779" s="469" t="n"/>
      <c r="V779" s="469" t="n"/>
      <c r="W779" s="469" t="n"/>
      <c r="X779" s="469" t="n"/>
      <c r="Y779" s="469" t="n"/>
      <c r="Z779" s="469" t="n"/>
      <c r="AA779" s="469" t="n"/>
    </row>
    <row r="780">
      <c r="A780" s="468" t="n"/>
      <c r="B780" s="469" t="n"/>
      <c r="C780" s="469" t="n"/>
      <c r="D780" s="469" t="n"/>
      <c r="E780" s="469" t="n"/>
      <c r="F780" s="469" t="n"/>
      <c r="G780" s="469" t="n"/>
      <c r="H780" s="469" t="n"/>
      <c r="I780" s="469" t="n"/>
      <c r="J780" s="469" t="n"/>
      <c r="K780" s="469" t="n"/>
      <c r="L780" s="469" t="n"/>
      <c r="M780" s="469" t="n"/>
      <c r="N780" s="469" t="n"/>
      <c r="O780" s="469" t="n"/>
      <c r="P780" s="471" t="n"/>
      <c r="Q780" s="469" t="n"/>
      <c r="R780" s="469" t="n"/>
      <c r="S780" s="469" t="n"/>
      <c r="T780" s="469" t="n"/>
      <c r="U780" s="469" t="n"/>
      <c r="V780" s="469" t="n"/>
      <c r="W780" s="469" t="n"/>
      <c r="X780" s="469" t="n"/>
      <c r="Y780" s="469" t="n"/>
      <c r="Z780" s="469" t="n"/>
      <c r="AA780" s="469" t="n"/>
    </row>
    <row r="781">
      <c r="A781" s="468" t="n"/>
      <c r="B781" s="469" t="n"/>
      <c r="C781" s="469" t="n"/>
      <c r="D781" s="469" t="n"/>
      <c r="E781" s="469" t="n"/>
      <c r="F781" s="469" t="n"/>
      <c r="G781" s="469" t="n"/>
      <c r="H781" s="469" t="n"/>
      <c r="I781" s="469" t="n"/>
      <c r="J781" s="469" t="n"/>
      <c r="K781" s="469" t="n"/>
      <c r="L781" s="469" t="n"/>
      <c r="M781" s="469" t="n"/>
      <c r="N781" s="469" t="n"/>
      <c r="O781" s="469" t="n"/>
      <c r="P781" s="471" t="n"/>
      <c r="Q781" s="469" t="n"/>
      <c r="R781" s="469" t="n"/>
      <c r="S781" s="469" t="n"/>
      <c r="T781" s="469" t="n"/>
      <c r="U781" s="469" t="n"/>
      <c r="V781" s="469" t="n"/>
      <c r="W781" s="469" t="n"/>
      <c r="X781" s="469" t="n"/>
      <c r="Y781" s="469" t="n"/>
      <c r="Z781" s="469" t="n"/>
      <c r="AA781" s="469" t="n"/>
    </row>
    <row r="782">
      <c r="A782" s="468" t="n"/>
      <c r="B782" s="469" t="n"/>
      <c r="C782" s="469" t="n"/>
      <c r="D782" s="469" t="n"/>
      <c r="E782" s="469" t="n"/>
      <c r="F782" s="469" t="n"/>
      <c r="G782" s="469" t="n"/>
      <c r="H782" s="469" t="n"/>
      <c r="I782" s="469" t="n"/>
      <c r="J782" s="469" t="n"/>
      <c r="K782" s="469" t="n"/>
      <c r="L782" s="469" t="n"/>
      <c r="M782" s="469" t="n"/>
      <c r="N782" s="469" t="n"/>
      <c r="O782" s="469" t="n"/>
      <c r="P782" s="471" t="n"/>
      <c r="Q782" s="469" t="n"/>
      <c r="R782" s="469" t="n"/>
      <c r="S782" s="469" t="n"/>
      <c r="T782" s="469" t="n"/>
      <c r="U782" s="469" t="n"/>
      <c r="V782" s="469" t="n"/>
      <c r="W782" s="469" t="n"/>
      <c r="X782" s="469" t="n"/>
      <c r="Y782" s="469" t="n"/>
      <c r="Z782" s="469" t="n"/>
      <c r="AA782" s="469" t="n"/>
    </row>
    <row r="783">
      <c r="A783" s="468" t="n"/>
      <c r="B783" s="469" t="n"/>
      <c r="C783" s="469" t="n"/>
      <c r="D783" s="469" t="n"/>
      <c r="E783" s="469" t="n"/>
      <c r="F783" s="469" t="n"/>
      <c r="G783" s="469" t="n"/>
      <c r="H783" s="469" t="n"/>
      <c r="I783" s="469" t="n"/>
      <c r="J783" s="469" t="n"/>
      <c r="K783" s="469" t="n"/>
      <c r="L783" s="469" t="n"/>
      <c r="M783" s="469" t="n"/>
      <c r="N783" s="469" t="n"/>
      <c r="O783" s="469" t="n"/>
      <c r="P783" s="471" t="n"/>
      <c r="Q783" s="469" t="n"/>
      <c r="R783" s="469" t="n"/>
      <c r="S783" s="469" t="n"/>
      <c r="T783" s="469" t="n"/>
      <c r="U783" s="469" t="n"/>
      <c r="V783" s="469" t="n"/>
      <c r="W783" s="469" t="n"/>
      <c r="X783" s="469" t="n"/>
      <c r="Y783" s="469" t="n"/>
      <c r="Z783" s="469" t="n"/>
      <c r="AA783" s="469" t="n"/>
    </row>
    <row r="784">
      <c r="A784" s="468" t="n"/>
      <c r="B784" s="469" t="n"/>
      <c r="C784" s="469" t="n"/>
      <c r="D784" s="469" t="n"/>
      <c r="E784" s="469" t="n"/>
      <c r="F784" s="469" t="n"/>
      <c r="G784" s="469" t="n"/>
      <c r="H784" s="469" t="n"/>
      <c r="I784" s="469" t="n"/>
      <c r="J784" s="469" t="n"/>
      <c r="K784" s="469" t="n"/>
      <c r="L784" s="469" t="n"/>
      <c r="M784" s="469" t="n"/>
      <c r="N784" s="469" t="n"/>
      <c r="O784" s="469" t="n"/>
      <c r="P784" s="471" t="n"/>
      <c r="Q784" s="469" t="n"/>
      <c r="R784" s="469" t="n"/>
      <c r="S784" s="469" t="n"/>
      <c r="T784" s="469" t="n"/>
      <c r="U784" s="469" t="n"/>
      <c r="V784" s="469" t="n"/>
      <c r="W784" s="469" t="n"/>
      <c r="X784" s="469" t="n"/>
      <c r="Y784" s="469" t="n"/>
      <c r="Z784" s="469" t="n"/>
      <c r="AA784" s="469" t="n"/>
    </row>
    <row r="785">
      <c r="A785" s="468" t="n"/>
      <c r="B785" s="469" t="n"/>
      <c r="C785" s="469" t="n"/>
      <c r="D785" s="469" t="n"/>
      <c r="E785" s="469" t="n"/>
      <c r="F785" s="469" t="n"/>
      <c r="G785" s="469" t="n"/>
      <c r="H785" s="469" t="n"/>
      <c r="I785" s="469" t="n"/>
      <c r="J785" s="469" t="n"/>
      <c r="K785" s="469" t="n"/>
      <c r="L785" s="469" t="n"/>
      <c r="M785" s="469" t="n"/>
      <c r="N785" s="469" t="n"/>
      <c r="O785" s="469" t="n"/>
      <c r="P785" s="471" t="n"/>
      <c r="Q785" s="469" t="n"/>
      <c r="R785" s="469" t="n"/>
      <c r="S785" s="469" t="n"/>
      <c r="T785" s="469" t="n"/>
      <c r="U785" s="469" t="n"/>
      <c r="V785" s="469" t="n"/>
      <c r="W785" s="469" t="n"/>
      <c r="X785" s="469" t="n"/>
      <c r="Y785" s="469" t="n"/>
      <c r="Z785" s="469" t="n"/>
      <c r="AA785" s="469" t="n"/>
    </row>
    <row r="786">
      <c r="A786" s="468" t="n"/>
      <c r="B786" s="469" t="n"/>
      <c r="C786" s="469" t="n"/>
      <c r="D786" s="469" t="n"/>
      <c r="E786" s="469" t="n"/>
      <c r="F786" s="469" t="n"/>
      <c r="G786" s="469" t="n"/>
      <c r="H786" s="469" t="n"/>
      <c r="I786" s="469" t="n"/>
      <c r="J786" s="469" t="n"/>
      <c r="K786" s="469" t="n"/>
      <c r="L786" s="469" t="n"/>
      <c r="M786" s="469" t="n"/>
      <c r="N786" s="469" t="n"/>
      <c r="O786" s="469" t="n"/>
      <c r="P786" s="471" t="n"/>
      <c r="Q786" s="469" t="n"/>
      <c r="R786" s="469" t="n"/>
      <c r="S786" s="469" t="n"/>
      <c r="T786" s="469" t="n"/>
      <c r="U786" s="469" t="n"/>
      <c r="V786" s="469" t="n"/>
      <c r="W786" s="469" t="n"/>
      <c r="X786" s="469" t="n"/>
      <c r="Y786" s="469" t="n"/>
      <c r="Z786" s="469" t="n"/>
      <c r="AA786" s="469" t="n"/>
    </row>
    <row r="787">
      <c r="A787" s="468" t="n"/>
      <c r="B787" s="469" t="n"/>
      <c r="C787" s="469" t="n"/>
      <c r="D787" s="469" t="n"/>
      <c r="E787" s="469" t="n"/>
      <c r="F787" s="469" t="n"/>
      <c r="G787" s="469" t="n"/>
      <c r="H787" s="469" t="n"/>
      <c r="I787" s="469" t="n"/>
      <c r="J787" s="469" t="n"/>
      <c r="K787" s="469" t="n"/>
      <c r="L787" s="469" t="n"/>
      <c r="M787" s="469" t="n"/>
      <c r="N787" s="469" t="n"/>
      <c r="O787" s="469" t="n"/>
      <c r="P787" s="471" t="n"/>
      <c r="Q787" s="469" t="n"/>
      <c r="R787" s="469" t="n"/>
      <c r="S787" s="469" t="n"/>
      <c r="T787" s="469" t="n"/>
      <c r="U787" s="469" t="n"/>
      <c r="V787" s="469" t="n"/>
      <c r="W787" s="469" t="n"/>
      <c r="X787" s="469" t="n"/>
      <c r="Y787" s="469" t="n"/>
      <c r="Z787" s="469" t="n"/>
      <c r="AA787" s="469" t="n"/>
    </row>
    <row r="788">
      <c r="A788" s="468" t="n"/>
      <c r="B788" s="469" t="n"/>
      <c r="C788" s="469" t="n"/>
      <c r="D788" s="469" t="n"/>
      <c r="E788" s="469" t="n"/>
      <c r="F788" s="469" t="n"/>
      <c r="G788" s="469" t="n"/>
      <c r="H788" s="469" t="n"/>
      <c r="I788" s="469" t="n"/>
      <c r="J788" s="469" t="n"/>
      <c r="K788" s="469" t="n"/>
      <c r="L788" s="469" t="n"/>
      <c r="M788" s="469" t="n"/>
      <c r="N788" s="469" t="n"/>
      <c r="O788" s="469" t="n"/>
      <c r="P788" s="471" t="n"/>
      <c r="Q788" s="469" t="n"/>
      <c r="R788" s="469" t="n"/>
      <c r="S788" s="469" t="n"/>
      <c r="T788" s="469" t="n"/>
      <c r="U788" s="469" t="n"/>
      <c r="V788" s="469" t="n"/>
      <c r="W788" s="469" t="n"/>
      <c r="X788" s="469" t="n"/>
      <c r="Y788" s="469" t="n"/>
      <c r="Z788" s="469" t="n"/>
      <c r="AA788" s="469" t="n"/>
    </row>
    <row r="789">
      <c r="A789" s="468" t="n"/>
      <c r="B789" s="469" t="n"/>
      <c r="C789" s="469" t="n"/>
      <c r="D789" s="469" t="n"/>
      <c r="E789" s="469" t="n"/>
      <c r="F789" s="469" t="n"/>
      <c r="G789" s="469" t="n"/>
      <c r="H789" s="469" t="n"/>
      <c r="I789" s="469" t="n"/>
      <c r="J789" s="469" t="n"/>
      <c r="K789" s="469" t="n"/>
      <c r="L789" s="469" t="n"/>
      <c r="M789" s="469" t="n"/>
      <c r="N789" s="469" t="n"/>
      <c r="O789" s="469" t="n"/>
      <c r="P789" s="471" t="n"/>
      <c r="Q789" s="469" t="n"/>
      <c r="R789" s="469" t="n"/>
      <c r="S789" s="469" t="n"/>
      <c r="T789" s="469" t="n"/>
      <c r="U789" s="469" t="n"/>
      <c r="V789" s="469" t="n"/>
      <c r="W789" s="469" t="n"/>
      <c r="X789" s="469" t="n"/>
      <c r="Y789" s="469" t="n"/>
      <c r="Z789" s="469" t="n"/>
      <c r="AA789" s="469" t="n"/>
    </row>
    <row r="790">
      <c r="A790" s="468" t="n"/>
      <c r="B790" s="469" t="n"/>
      <c r="C790" s="469" t="n"/>
      <c r="D790" s="469" t="n"/>
      <c r="E790" s="469" t="n"/>
      <c r="F790" s="469" t="n"/>
      <c r="G790" s="469" t="n"/>
      <c r="H790" s="469" t="n"/>
      <c r="I790" s="469" t="n"/>
      <c r="J790" s="469" t="n"/>
      <c r="K790" s="469" t="n"/>
      <c r="L790" s="469" t="n"/>
      <c r="M790" s="469" t="n"/>
      <c r="N790" s="469" t="n"/>
      <c r="O790" s="469" t="n"/>
      <c r="P790" s="471" t="n"/>
      <c r="Q790" s="469" t="n"/>
      <c r="R790" s="469" t="n"/>
      <c r="S790" s="469" t="n"/>
      <c r="T790" s="469" t="n"/>
      <c r="U790" s="469" t="n"/>
      <c r="V790" s="469" t="n"/>
      <c r="W790" s="469" t="n"/>
      <c r="X790" s="469" t="n"/>
      <c r="Y790" s="469" t="n"/>
      <c r="Z790" s="469" t="n"/>
      <c r="AA790" s="469" t="n"/>
    </row>
    <row r="791">
      <c r="A791" s="468" t="n"/>
      <c r="B791" s="469" t="n"/>
      <c r="C791" s="469" t="n"/>
      <c r="D791" s="469" t="n"/>
      <c r="E791" s="469" t="n"/>
      <c r="F791" s="469" t="n"/>
      <c r="G791" s="469" t="n"/>
      <c r="H791" s="469" t="n"/>
      <c r="I791" s="469" t="n"/>
      <c r="J791" s="469" t="n"/>
      <c r="K791" s="469" t="n"/>
      <c r="L791" s="469" t="n"/>
      <c r="M791" s="469" t="n"/>
      <c r="N791" s="469" t="n"/>
      <c r="O791" s="469" t="n"/>
      <c r="P791" s="471" t="n"/>
      <c r="Q791" s="469" t="n"/>
      <c r="R791" s="469" t="n"/>
      <c r="S791" s="469" t="n"/>
      <c r="T791" s="469" t="n"/>
      <c r="U791" s="469" t="n"/>
      <c r="V791" s="469" t="n"/>
      <c r="W791" s="469" t="n"/>
      <c r="X791" s="469" t="n"/>
      <c r="Y791" s="469" t="n"/>
      <c r="Z791" s="469" t="n"/>
      <c r="AA791" s="469" t="n"/>
    </row>
    <row r="792">
      <c r="A792" s="468" t="n"/>
      <c r="B792" s="469" t="n"/>
      <c r="C792" s="469" t="n"/>
      <c r="D792" s="469" t="n"/>
      <c r="E792" s="469" t="n"/>
      <c r="F792" s="469" t="n"/>
      <c r="G792" s="469" t="n"/>
      <c r="H792" s="469" t="n"/>
      <c r="I792" s="469" t="n"/>
      <c r="J792" s="469" t="n"/>
      <c r="K792" s="469" t="n"/>
      <c r="L792" s="469" t="n"/>
      <c r="M792" s="469" t="n"/>
      <c r="N792" s="469" t="n"/>
      <c r="O792" s="469" t="n"/>
      <c r="P792" s="471" t="n"/>
      <c r="Q792" s="469" t="n"/>
      <c r="R792" s="469" t="n"/>
      <c r="S792" s="469" t="n"/>
      <c r="T792" s="469" t="n"/>
      <c r="U792" s="469" t="n"/>
      <c r="V792" s="469" t="n"/>
      <c r="W792" s="469" t="n"/>
      <c r="X792" s="469" t="n"/>
      <c r="Y792" s="469" t="n"/>
      <c r="Z792" s="469" t="n"/>
      <c r="AA792" s="469" t="n"/>
    </row>
    <row r="793">
      <c r="A793" s="468" t="n"/>
      <c r="B793" s="469" t="n"/>
      <c r="C793" s="469" t="n"/>
      <c r="D793" s="469" t="n"/>
      <c r="E793" s="469" t="n"/>
      <c r="F793" s="469" t="n"/>
      <c r="G793" s="469" t="n"/>
      <c r="H793" s="469" t="n"/>
      <c r="I793" s="469" t="n"/>
      <c r="J793" s="469" t="n"/>
      <c r="K793" s="469" t="n"/>
      <c r="L793" s="469" t="n"/>
      <c r="M793" s="469" t="n"/>
      <c r="N793" s="469" t="n"/>
      <c r="O793" s="469" t="n"/>
      <c r="P793" s="471" t="n"/>
      <c r="Q793" s="469" t="n"/>
      <c r="R793" s="469" t="n"/>
      <c r="S793" s="469" t="n"/>
      <c r="T793" s="469" t="n"/>
      <c r="U793" s="469" t="n"/>
      <c r="V793" s="469" t="n"/>
      <c r="W793" s="469" t="n"/>
      <c r="X793" s="469" t="n"/>
      <c r="Y793" s="469" t="n"/>
      <c r="Z793" s="469" t="n"/>
      <c r="AA793" s="469" t="n"/>
    </row>
    <row r="794">
      <c r="A794" s="468" t="n"/>
      <c r="B794" s="469" t="n"/>
      <c r="C794" s="469" t="n"/>
      <c r="D794" s="469" t="n"/>
      <c r="E794" s="469" t="n"/>
      <c r="F794" s="469" t="n"/>
      <c r="G794" s="469" t="n"/>
      <c r="H794" s="469" t="n"/>
      <c r="I794" s="469" t="n"/>
      <c r="J794" s="469" t="n"/>
      <c r="K794" s="469" t="n"/>
      <c r="L794" s="469" t="n"/>
      <c r="M794" s="469" t="n"/>
      <c r="N794" s="469" t="n"/>
      <c r="O794" s="469" t="n"/>
      <c r="P794" s="471" t="n"/>
      <c r="Q794" s="469" t="n"/>
      <c r="R794" s="469" t="n"/>
      <c r="S794" s="469" t="n"/>
      <c r="T794" s="469" t="n"/>
      <c r="U794" s="469" t="n"/>
      <c r="V794" s="469" t="n"/>
      <c r="W794" s="469" t="n"/>
      <c r="X794" s="469" t="n"/>
      <c r="Y794" s="469" t="n"/>
      <c r="Z794" s="469" t="n"/>
      <c r="AA794" s="469" t="n"/>
    </row>
    <row r="795">
      <c r="A795" s="468" t="n"/>
      <c r="B795" s="469" t="n"/>
      <c r="C795" s="469" t="n"/>
      <c r="D795" s="469" t="n"/>
      <c r="E795" s="469" t="n"/>
      <c r="F795" s="469" t="n"/>
      <c r="G795" s="469" t="n"/>
      <c r="H795" s="469" t="n"/>
      <c r="I795" s="469" t="n"/>
      <c r="J795" s="469" t="n"/>
      <c r="K795" s="469" t="n"/>
      <c r="L795" s="469" t="n"/>
      <c r="M795" s="469" t="n"/>
      <c r="N795" s="469" t="n"/>
      <c r="O795" s="469" t="n"/>
      <c r="P795" s="471" t="n"/>
      <c r="Q795" s="469" t="n"/>
      <c r="R795" s="469" t="n"/>
      <c r="S795" s="469" t="n"/>
      <c r="T795" s="469" t="n"/>
      <c r="U795" s="469" t="n"/>
      <c r="V795" s="469" t="n"/>
      <c r="W795" s="469" t="n"/>
      <c r="X795" s="469" t="n"/>
      <c r="Y795" s="469" t="n"/>
      <c r="Z795" s="469" t="n"/>
      <c r="AA795" s="469" t="n"/>
    </row>
    <row r="796">
      <c r="A796" s="468" t="n"/>
      <c r="B796" s="469" t="n"/>
      <c r="C796" s="469" t="n"/>
      <c r="D796" s="469" t="n"/>
      <c r="E796" s="469" t="n"/>
      <c r="F796" s="469" t="n"/>
      <c r="G796" s="469" t="n"/>
      <c r="H796" s="469" t="n"/>
      <c r="I796" s="469" t="n"/>
      <c r="J796" s="469" t="n"/>
      <c r="K796" s="469" t="n"/>
      <c r="L796" s="469" t="n"/>
      <c r="M796" s="469" t="n"/>
      <c r="N796" s="469" t="n"/>
      <c r="O796" s="469" t="n"/>
      <c r="P796" s="471" t="n"/>
      <c r="Q796" s="469" t="n"/>
      <c r="R796" s="469" t="n"/>
      <c r="S796" s="469" t="n"/>
      <c r="T796" s="469" t="n"/>
      <c r="U796" s="469" t="n"/>
      <c r="V796" s="469" t="n"/>
      <c r="W796" s="469" t="n"/>
      <c r="X796" s="469" t="n"/>
      <c r="Y796" s="469" t="n"/>
      <c r="Z796" s="469" t="n"/>
      <c r="AA796" s="469" t="n"/>
    </row>
    <row r="797">
      <c r="A797" s="468" t="n"/>
      <c r="B797" s="469" t="n"/>
      <c r="C797" s="469" t="n"/>
      <c r="D797" s="469" t="n"/>
      <c r="E797" s="469" t="n"/>
      <c r="F797" s="469" t="n"/>
      <c r="G797" s="469" t="n"/>
      <c r="H797" s="469" t="n"/>
      <c r="I797" s="469" t="n"/>
      <c r="J797" s="469" t="n"/>
      <c r="K797" s="469" t="n"/>
      <c r="L797" s="469" t="n"/>
      <c r="M797" s="469" t="n"/>
      <c r="N797" s="469" t="n"/>
      <c r="O797" s="469" t="n"/>
      <c r="P797" s="471" t="n"/>
      <c r="Q797" s="469" t="n"/>
      <c r="R797" s="469" t="n"/>
      <c r="S797" s="469" t="n"/>
      <c r="T797" s="469" t="n"/>
      <c r="U797" s="469" t="n"/>
      <c r="V797" s="469" t="n"/>
      <c r="W797" s="469" t="n"/>
      <c r="X797" s="469" t="n"/>
      <c r="Y797" s="469" t="n"/>
      <c r="Z797" s="469" t="n"/>
      <c r="AA797" s="469" t="n"/>
    </row>
    <row r="798">
      <c r="A798" s="468" t="n"/>
      <c r="B798" s="469" t="n"/>
      <c r="C798" s="469" t="n"/>
      <c r="D798" s="469" t="n"/>
      <c r="E798" s="469" t="n"/>
      <c r="F798" s="469" t="n"/>
      <c r="G798" s="469" t="n"/>
      <c r="H798" s="469" t="n"/>
      <c r="I798" s="469" t="n"/>
      <c r="J798" s="469" t="n"/>
      <c r="K798" s="469" t="n"/>
      <c r="L798" s="469" t="n"/>
      <c r="M798" s="469" t="n"/>
      <c r="N798" s="469" t="n"/>
      <c r="O798" s="469" t="n"/>
      <c r="P798" s="471" t="n"/>
      <c r="Q798" s="469" t="n"/>
      <c r="R798" s="469" t="n"/>
      <c r="S798" s="469" t="n"/>
      <c r="T798" s="469" t="n"/>
      <c r="U798" s="469" t="n"/>
      <c r="V798" s="469" t="n"/>
      <c r="W798" s="469" t="n"/>
      <c r="X798" s="469" t="n"/>
      <c r="Y798" s="469" t="n"/>
      <c r="Z798" s="469" t="n"/>
      <c r="AA798" s="469" t="n"/>
    </row>
    <row r="799">
      <c r="A799" s="468" t="n"/>
      <c r="B799" s="469" t="n"/>
      <c r="C799" s="469" t="n"/>
      <c r="D799" s="469" t="n"/>
      <c r="E799" s="469" t="n"/>
      <c r="F799" s="469" t="n"/>
      <c r="G799" s="469" t="n"/>
      <c r="H799" s="469" t="n"/>
      <c r="I799" s="469" t="n"/>
      <c r="J799" s="469" t="n"/>
      <c r="K799" s="469" t="n"/>
      <c r="L799" s="469" t="n"/>
      <c r="M799" s="469" t="n"/>
      <c r="N799" s="469" t="n"/>
      <c r="O799" s="469" t="n"/>
      <c r="P799" s="471" t="n"/>
      <c r="Q799" s="469" t="n"/>
      <c r="R799" s="469" t="n"/>
      <c r="S799" s="469" t="n"/>
      <c r="T799" s="469" t="n"/>
      <c r="U799" s="469" t="n"/>
      <c r="V799" s="469" t="n"/>
      <c r="W799" s="469" t="n"/>
      <c r="X799" s="469" t="n"/>
      <c r="Y799" s="469" t="n"/>
      <c r="Z799" s="469" t="n"/>
      <c r="AA799" s="469" t="n"/>
    </row>
    <row r="800">
      <c r="A800" s="468" t="n"/>
      <c r="B800" s="469" t="n"/>
      <c r="C800" s="469" t="n"/>
      <c r="D800" s="469" t="n"/>
      <c r="E800" s="469" t="n"/>
      <c r="F800" s="469" t="n"/>
      <c r="G800" s="469" t="n"/>
      <c r="H800" s="469" t="n"/>
      <c r="I800" s="469" t="n"/>
      <c r="J800" s="469" t="n"/>
      <c r="K800" s="469" t="n"/>
      <c r="L800" s="469" t="n"/>
      <c r="M800" s="469" t="n"/>
      <c r="N800" s="469" t="n"/>
      <c r="O800" s="469" t="n"/>
      <c r="P800" s="471" t="n"/>
      <c r="Q800" s="469" t="n"/>
      <c r="R800" s="469" t="n"/>
      <c r="S800" s="469" t="n"/>
      <c r="T800" s="469" t="n"/>
      <c r="U800" s="469" t="n"/>
      <c r="V800" s="469" t="n"/>
      <c r="W800" s="469" t="n"/>
      <c r="X800" s="469" t="n"/>
      <c r="Y800" s="469" t="n"/>
      <c r="Z800" s="469" t="n"/>
      <c r="AA800" s="469" t="n"/>
    </row>
    <row r="801">
      <c r="A801" s="468" t="n"/>
      <c r="B801" s="469" t="n"/>
      <c r="C801" s="469" t="n"/>
      <c r="D801" s="469" t="n"/>
      <c r="E801" s="469" t="n"/>
      <c r="F801" s="469" t="n"/>
      <c r="G801" s="469" t="n"/>
      <c r="H801" s="469" t="n"/>
      <c r="I801" s="469" t="n"/>
      <c r="J801" s="469" t="n"/>
      <c r="K801" s="469" t="n"/>
      <c r="L801" s="469" t="n"/>
      <c r="M801" s="469" t="n"/>
      <c r="N801" s="469" t="n"/>
      <c r="O801" s="469" t="n"/>
      <c r="P801" s="471" t="n"/>
      <c r="Q801" s="469" t="n"/>
      <c r="R801" s="469" t="n"/>
      <c r="S801" s="469" t="n"/>
      <c r="T801" s="469" t="n"/>
      <c r="U801" s="469" t="n"/>
      <c r="V801" s="469" t="n"/>
      <c r="W801" s="469" t="n"/>
      <c r="X801" s="469" t="n"/>
      <c r="Y801" s="469" t="n"/>
      <c r="Z801" s="469" t="n"/>
      <c r="AA801" s="469" t="n"/>
    </row>
    <row r="802">
      <c r="A802" s="468" t="n"/>
      <c r="B802" s="469" t="n"/>
      <c r="C802" s="469" t="n"/>
      <c r="D802" s="469" t="n"/>
      <c r="E802" s="469" t="n"/>
      <c r="F802" s="469" t="n"/>
      <c r="G802" s="469" t="n"/>
      <c r="H802" s="469" t="n"/>
      <c r="I802" s="469" t="n"/>
      <c r="J802" s="469" t="n"/>
      <c r="K802" s="469" t="n"/>
      <c r="L802" s="469" t="n"/>
      <c r="M802" s="469" t="n"/>
      <c r="N802" s="469" t="n"/>
      <c r="O802" s="469" t="n"/>
      <c r="P802" s="471" t="n"/>
      <c r="Q802" s="469" t="n"/>
      <c r="R802" s="469" t="n"/>
      <c r="S802" s="469" t="n"/>
      <c r="T802" s="469" t="n"/>
      <c r="U802" s="469" t="n"/>
      <c r="V802" s="469" t="n"/>
      <c r="W802" s="469" t="n"/>
      <c r="X802" s="469" t="n"/>
      <c r="Y802" s="469" t="n"/>
      <c r="Z802" s="469" t="n"/>
      <c r="AA802" s="469" t="n"/>
    </row>
    <row r="803">
      <c r="A803" s="468" t="n"/>
      <c r="B803" s="469" t="n"/>
      <c r="C803" s="469" t="n"/>
      <c r="D803" s="469" t="n"/>
      <c r="E803" s="469" t="n"/>
      <c r="F803" s="469" t="n"/>
      <c r="G803" s="469" t="n"/>
      <c r="H803" s="469" t="n"/>
      <c r="I803" s="469" t="n"/>
      <c r="J803" s="469" t="n"/>
      <c r="K803" s="469" t="n"/>
      <c r="L803" s="469" t="n"/>
      <c r="M803" s="469" t="n"/>
      <c r="N803" s="469" t="n"/>
      <c r="O803" s="469" t="n"/>
      <c r="P803" s="471" t="n"/>
      <c r="Q803" s="469" t="n"/>
      <c r="R803" s="469" t="n"/>
      <c r="S803" s="469" t="n"/>
      <c r="T803" s="469" t="n"/>
      <c r="U803" s="469" t="n"/>
      <c r="V803" s="469" t="n"/>
      <c r="W803" s="469" t="n"/>
      <c r="X803" s="469" t="n"/>
      <c r="Y803" s="469" t="n"/>
      <c r="Z803" s="469" t="n"/>
      <c r="AA803" s="469" t="n"/>
    </row>
    <row r="804">
      <c r="A804" s="468" t="n"/>
      <c r="B804" s="469" t="n"/>
      <c r="C804" s="469" t="n"/>
      <c r="D804" s="469" t="n"/>
      <c r="E804" s="469" t="n"/>
      <c r="F804" s="469" t="n"/>
      <c r="G804" s="469" t="n"/>
      <c r="H804" s="469" t="n"/>
      <c r="I804" s="469" t="n"/>
      <c r="J804" s="469" t="n"/>
      <c r="K804" s="469" t="n"/>
      <c r="L804" s="469" t="n"/>
      <c r="M804" s="469" t="n"/>
      <c r="N804" s="469" t="n"/>
      <c r="O804" s="469" t="n"/>
      <c r="P804" s="471" t="n"/>
      <c r="Q804" s="469" t="n"/>
      <c r="R804" s="469" t="n"/>
      <c r="S804" s="469" t="n"/>
      <c r="T804" s="469" t="n"/>
      <c r="U804" s="469" t="n"/>
      <c r="V804" s="469" t="n"/>
      <c r="W804" s="469" t="n"/>
      <c r="X804" s="469" t="n"/>
      <c r="Y804" s="469" t="n"/>
      <c r="Z804" s="469" t="n"/>
      <c r="AA804" s="469" t="n"/>
    </row>
    <row r="805">
      <c r="A805" s="468" t="n"/>
      <c r="B805" s="469" t="n"/>
      <c r="C805" s="469" t="n"/>
      <c r="D805" s="469" t="n"/>
      <c r="E805" s="469" t="n"/>
      <c r="F805" s="469" t="n"/>
      <c r="G805" s="469" t="n"/>
      <c r="H805" s="469" t="n"/>
      <c r="I805" s="469" t="n"/>
      <c r="J805" s="469" t="n"/>
      <c r="K805" s="469" t="n"/>
      <c r="L805" s="469" t="n"/>
      <c r="M805" s="469" t="n"/>
      <c r="N805" s="469" t="n"/>
      <c r="O805" s="469" t="n"/>
      <c r="P805" s="471" t="n"/>
      <c r="Q805" s="469" t="n"/>
      <c r="R805" s="469" t="n"/>
      <c r="S805" s="469" t="n"/>
      <c r="T805" s="469" t="n"/>
      <c r="U805" s="469" t="n"/>
      <c r="V805" s="469" t="n"/>
      <c r="W805" s="469" t="n"/>
      <c r="X805" s="469" t="n"/>
      <c r="Y805" s="469" t="n"/>
      <c r="Z805" s="469" t="n"/>
      <c r="AA805" s="469" t="n"/>
    </row>
    <row r="806">
      <c r="A806" s="468" t="n"/>
      <c r="B806" s="469" t="n"/>
      <c r="C806" s="469" t="n"/>
      <c r="D806" s="469" t="n"/>
      <c r="E806" s="469" t="n"/>
      <c r="F806" s="469" t="n"/>
      <c r="G806" s="469" t="n"/>
      <c r="H806" s="469" t="n"/>
      <c r="I806" s="469" t="n"/>
      <c r="J806" s="469" t="n"/>
      <c r="K806" s="469" t="n"/>
      <c r="L806" s="469" t="n"/>
      <c r="M806" s="469" t="n"/>
      <c r="N806" s="469" t="n"/>
      <c r="O806" s="469" t="n"/>
      <c r="P806" s="471" t="n"/>
      <c r="Q806" s="469" t="n"/>
      <c r="R806" s="469" t="n"/>
      <c r="S806" s="469" t="n"/>
      <c r="T806" s="469" t="n"/>
      <c r="U806" s="469" t="n"/>
      <c r="V806" s="469" t="n"/>
      <c r="W806" s="469" t="n"/>
      <c r="X806" s="469" t="n"/>
      <c r="Y806" s="469" t="n"/>
      <c r="Z806" s="469" t="n"/>
      <c r="AA806" s="469" t="n"/>
    </row>
    <row r="807">
      <c r="A807" s="468" t="n"/>
      <c r="B807" s="469" t="n"/>
      <c r="C807" s="469" t="n"/>
      <c r="D807" s="469" t="n"/>
      <c r="E807" s="469" t="n"/>
      <c r="F807" s="469" t="n"/>
      <c r="G807" s="469" t="n"/>
      <c r="H807" s="469" t="n"/>
      <c r="I807" s="469" t="n"/>
      <c r="J807" s="469" t="n"/>
      <c r="K807" s="469" t="n"/>
      <c r="L807" s="469" t="n"/>
      <c r="M807" s="469" t="n"/>
      <c r="N807" s="469" t="n"/>
      <c r="O807" s="469" t="n"/>
      <c r="P807" s="471" t="n"/>
      <c r="Q807" s="469" t="n"/>
      <c r="R807" s="469" t="n"/>
      <c r="S807" s="469" t="n"/>
      <c r="T807" s="469" t="n"/>
      <c r="U807" s="469" t="n"/>
      <c r="V807" s="469" t="n"/>
      <c r="W807" s="469" t="n"/>
      <c r="X807" s="469" t="n"/>
      <c r="Y807" s="469" t="n"/>
      <c r="Z807" s="469" t="n"/>
      <c r="AA807" s="469" t="n"/>
    </row>
    <row r="808">
      <c r="A808" s="468" t="n"/>
      <c r="B808" s="469" t="n"/>
      <c r="C808" s="469" t="n"/>
      <c r="D808" s="469" t="n"/>
      <c r="E808" s="469" t="n"/>
      <c r="F808" s="469" t="n"/>
      <c r="G808" s="469" t="n"/>
      <c r="H808" s="469" t="n"/>
      <c r="I808" s="469" t="n"/>
      <c r="J808" s="469" t="n"/>
      <c r="K808" s="469" t="n"/>
      <c r="L808" s="469" t="n"/>
      <c r="M808" s="469" t="n"/>
      <c r="N808" s="469" t="n"/>
      <c r="O808" s="469" t="n"/>
      <c r="P808" s="471" t="n"/>
      <c r="Q808" s="469" t="n"/>
      <c r="R808" s="469" t="n"/>
      <c r="S808" s="469" t="n"/>
      <c r="T808" s="469" t="n"/>
      <c r="U808" s="469" t="n"/>
      <c r="V808" s="469" t="n"/>
      <c r="W808" s="469" t="n"/>
      <c r="X808" s="469" t="n"/>
      <c r="Y808" s="469" t="n"/>
      <c r="Z808" s="469" t="n"/>
      <c r="AA808" s="469" t="n"/>
    </row>
    <row r="809">
      <c r="A809" s="468" t="n"/>
      <c r="B809" s="469" t="n"/>
      <c r="C809" s="469" t="n"/>
      <c r="D809" s="469" t="n"/>
      <c r="E809" s="469" t="n"/>
      <c r="F809" s="469" t="n"/>
      <c r="G809" s="469" t="n"/>
      <c r="H809" s="469" t="n"/>
      <c r="I809" s="469" t="n"/>
      <c r="J809" s="469" t="n"/>
      <c r="K809" s="469" t="n"/>
      <c r="L809" s="469" t="n"/>
      <c r="M809" s="469" t="n"/>
      <c r="N809" s="469" t="n"/>
      <c r="O809" s="469" t="n"/>
      <c r="P809" s="471" t="n"/>
      <c r="Q809" s="469" t="n"/>
      <c r="R809" s="469" t="n"/>
      <c r="S809" s="469" t="n"/>
      <c r="T809" s="469" t="n"/>
      <c r="U809" s="469" t="n"/>
      <c r="V809" s="469" t="n"/>
      <c r="W809" s="469" t="n"/>
      <c r="X809" s="469" t="n"/>
      <c r="Y809" s="469" t="n"/>
      <c r="Z809" s="469" t="n"/>
      <c r="AA809" s="469" t="n"/>
    </row>
    <row r="810">
      <c r="A810" s="468" t="n"/>
      <c r="B810" s="469" t="n"/>
      <c r="C810" s="469" t="n"/>
      <c r="D810" s="469" t="n"/>
      <c r="E810" s="469" t="n"/>
      <c r="F810" s="469" t="n"/>
      <c r="G810" s="469" t="n"/>
      <c r="H810" s="469" t="n"/>
      <c r="I810" s="469" t="n"/>
      <c r="J810" s="469" t="n"/>
      <c r="K810" s="469" t="n"/>
      <c r="L810" s="469" t="n"/>
      <c r="M810" s="469" t="n"/>
      <c r="N810" s="469" t="n"/>
      <c r="O810" s="469" t="n"/>
      <c r="P810" s="471" t="n"/>
      <c r="Q810" s="469" t="n"/>
      <c r="R810" s="469" t="n"/>
      <c r="S810" s="469" t="n"/>
      <c r="T810" s="469" t="n"/>
      <c r="U810" s="469" t="n"/>
      <c r="V810" s="469" t="n"/>
      <c r="W810" s="469" t="n"/>
      <c r="X810" s="469" t="n"/>
      <c r="Y810" s="469" t="n"/>
      <c r="Z810" s="469" t="n"/>
      <c r="AA810" s="469" t="n"/>
    </row>
    <row r="811">
      <c r="A811" s="468" t="n"/>
      <c r="B811" s="469" t="n"/>
      <c r="C811" s="469" t="n"/>
      <c r="D811" s="469" t="n"/>
      <c r="E811" s="469" t="n"/>
      <c r="F811" s="469" t="n"/>
      <c r="G811" s="469" t="n"/>
      <c r="H811" s="469" t="n"/>
      <c r="I811" s="469" t="n"/>
      <c r="J811" s="469" t="n"/>
      <c r="K811" s="469" t="n"/>
      <c r="L811" s="469" t="n"/>
      <c r="M811" s="469" t="n"/>
      <c r="N811" s="469" t="n"/>
      <c r="O811" s="469" t="n"/>
      <c r="P811" s="471" t="n"/>
      <c r="Q811" s="469" t="n"/>
      <c r="R811" s="469" t="n"/>
      <c r="S811" s="469" t="n"/>
      <c r="T811" s="469" t="n"/>
      <c r="U811" s="469" t="n"/>
      <c r="V811" s="469" t="n"/>
      <c r="W811" s="469" t="n"/>
      <c r="X811" s="469" t="n"/>
      <c r="Y811" s="469" t="n"/>
      <c r="Z811" s="469" t="n"/>
      <c r="AA811" s="469" t="n"/>
    </row>
    <row r="812">
      <c r="A812" s="468" t="n"/>
      <c r="B812" s="469" t="n"/>
      <c r="C812" s="469" t="n"/>
      <c r="D812" s="469" t="n"/>
      <c r="E812" s="469" t="n"/>
      <c r="F812" s="469" t="n"/>
      <c r="G812" s="469" t="n"/>
      <c r="H812" s="469" t="n"/>
      <c r="I812" s="469" t="n"/>
      <c r="J812" s="469" t="n"/>
      <c r="K812" s="469" t="n"/>
      <c r="L812" s="469" t="n"/>
      <c r="M812" s="469" t="n"/>
      <c r="N812" s="469" t="n"/>
      <c r="O812" s="469" t="n"/>
      <c r="P812" s="471" t="n"/>
      <c r="Q812" s="469" t="n"/>
      <c r="R812" s="469" t="n"/>
      <c r="S812" s="469" t="n"/>
      <c r="T812" s="469" t="n"/>
      <c r="U812" s="469" t="n"/>
      <c r="V812" s="469" t="n"/>
      <c r="W812" s="469" t="n"/>
      <c r="X812" s="469" t="n"/>
      <c r="Y812" s="469" t="n"/>
      <c r="Z812" s="469" t="n"/>
      <c r="AA812" s="469" t="n"/>
    </row>
    <row r="813">
      <c r="A813" s="468" t="n"/>
      <c r="B813" s="469" t="n"/>
      <c r="C813" s="469" t="n"/>
      <c r="D813" s="469" t="n"/>
      <c r="E813" s="469" t="n"/>
      <c r="F813" s="469" t="n"/>
      <c r="G813" s="469" t="n"/>
      <c r="H813" s="469" t="n"/>
      <c r="I813" s="469" t="n"/>
      <c r="J813" s="469" t="n"/>
      <c r="K813" s="469" t="n"/>
      <c r="L813" s="469" t="n"/>
      <c r="M813" s="469" t="n"/>
      <c r="N813" s="469" t="n"/>
      <c r="O813" s="469" t="n"/>
      <c r="P813" s="471" t="n"/>
      <c r="Q813" s="469" t="n"/>
      <c r="R813" s="469" t="n"/>
      <c r="S813" s="469" t="n"/>
      <c r="T813" s="469" t="n"/>
      <c r="U813" s="469" t="n"/>
      <c r="V813" s="469" t="n"/>
      <c r="W813" s="469" t="n"/>
      <c r="X813" s="469" t="n"/>
      <c r="Y813" s="469" t="n"/>
      <c r="Z813" s="469" t="n"/>
      <c r="AA813" s="469" t="n"/>
    </row>
    <row r="814">
      <c r="A814" s="468" t="n"/>
      <c r="B814" s="469" t="n"/>
      <c r="C814" s="469" t="n"/>
      <c r="D814" s="469" t="n"/>
      <c r="E814" s="469" t="n"/>
      <c r="F814" s="469" t="n"/>
      <c r="G814" s="469" t="n"/>
      <c r="H814" s="469" t="n"/>
      <c r="I814" s="469" t="n"/>
      <c r="J814" s="469" t="n"/>
      <c r="K814" s="469" t="n"/>
      <c r="L814" s="469" t="n"/>
      <c r="M814" s="469" t="n"/>
      <c r="N814" s="469" t="n"/>
      <c r="O814" s="469" t="n"/>
      <c r="P814" s="471" t="n"/>
      <c r="Q814" s="469" t="n"/>
      <c r="R814" s="469" t="n"/>
      <c r="S814" s="469" t="n"/>
      <c r="T814" s="469" t="n"/>
      <c r="U814" s="469" t="n"/>
      <c r="V814" s="469" t="n"/>
      <c r="W814" s="469" t="n"/>
      <c r="X814" s="469" t="n"/>
      <c r="Y814" s="469" t="n"/>
      <c r="Z814" s="469" t="n"/>
      <c r="AA814" s="469" t="n"/>
    </row>
    <row r="815">
      <c r="A815" s="468" t="n"/>
      <c r="B815" s="469" t="n"/>
      <c r="C815" s="469" t="n"/>
      <c r="D815" s="469" t="n"/>
      <c r="E815" s="469" t="n"/>
      <c r="F815" s="469" t="n"/>
      <c r="G815" s="469" t="n"/>
      <c r="H815" s="469" t="n"/>
      <c r="I815" s="469" t="n"/>
      <c r="J815" s="469" t="n"/>
      <c r="K815" s="469" t="n"/>
      <c r="L815" s="469" t="n"/>
      <c r="M815" s="469" t="n"/>
      <c r="N815" s="469" t="n"/>
      <c r="O815" s="469" t="n"/>
      <c r="P815" s="471" t="n"/>
      <c r="Q815" s="469" t="n"/>
      <c r="R815" s="469" t="n"/>
      <c r="S815" s="469" t="n"/>
      <c r="T815" s="469" t="n"/>
      <c r="U815" s="469" t="n"/>
      <c r="V815" s="469" t="n"/>
      <c r="W815" s="469" t="n"/>
      <c r="X815" s="469" t="n"/>
      <c r="Y815" s="469" t="n"/>
      <c r="Z815" s="469" t="n"/>
      <c r="AA815" s="469" t="n"/>
    </row>
    <row r="816">
      <c r="A816" s="468" t="n"/>
      <c r="B816" s="469" t="n"/>
      <c r="C816" s="469" t="n"/>
      <c r="D816" s="469" t="n"/>
      <c r="E816" s="469" t="n"/>
      <c r="F816" s="469" t="n"/>
      <c r="G816" s="469" t="n"/>
      <c r="H816" s="469" t="n"/>
      <c r="I816" s="469" t="n"/>
      <c r="J816" s="469" t="n"/>
      <c r="K816" s="469" t="n"/>
      <c r="L816" s="469" t="n"/>
      <c r="M816" s="469" t="n"/>
      <c r="N816" s="469" t="n"/>
      <c r="O816" s="469" t="n"/>
      <c r="P816" s="471" t="n"/>
      <c r="Q816" s="469" t="n"/>
      <c r="R816" s="469" t="n"/>
      <c r="S816" s="469" t="n"/>
      <c r="T816" s="469" t="n"/>
      <c r="U816" s="469" t="n"/>
      <c r="V816" s="469" t="n"/>
      <c r="W816" s="469" t="n"/>
      <c r="X816" s="469" t="n"/>
      <c r="Y816" s="469" t="n"/>
      <c r="Z816" s="469" t="n"/>
      <c r="AA816" s="469" t="n"/>
    </row>
    <row r="817">
      <c r="A817" s="468" t="n"/>
      <c r="B817" s="469" t="n"/>
      <c r="C817" s="469" t="n"/>
      <c r="D817" s="469" t="n"/>
      <c r="E817" s="469" t="n"/>
      <c r="F817" s="469" t="n"/>
      <c r="G817" s="469" t="n"/>
      <c r="H817" s="469" t="n"/>
      <c r="I817" s="469" t="n"/>
      <c r="J817" s="469" t="n"/>
      <c r="K817" s="469" t="n"/>
      <c r="L817" s="469" t="n"/>
      <c r="M817" s="469" t="n"/>
      <c r="N817" s="469" t="n"/>
      <c r="O817" s="469" t="n"/>
      <c r="P817" s="471" t="n"/>
      <c r="Q817" s="469" t="n"/>
      <c r="R817" s="469" t="n"/>
      <c r="S817" s="469" t="n"/>
      <c r="T817" s="469" t="n"/>
      <c r="U817" s="469" t="n"/>
      <c r="V817" s="469" t="n"/>
      <c r="W817" s="469" t="n"/>
      <c r="X817" s="469" t="n"/>
      <c r="Y817" s="469" t="n"/>
      <c r="Z817" s="469" t="n"/>
      <c r="AA817" s="469" t="n"/>
    </row>
    <row r="818">
      <c r="A818" s="468" t="n"/>
      <c r="B818" s="469" t="n"/>
      <c r="C818" s="469" t="n"/>
      <c r="D818" s="469" t="n"/>
      <c r="E818" s="469" t="n"/>
      <c r="F818" s="469" t="n"/>
      <c r="G818" s="469" t="n"/>
      <c r="H818" s="469" t="n"/>
      <c r="I818" s="469" t="n"/>
      <c r="J818" s="469" t="n"/>
      <c r="K818" s="469" t="n"/>
      <c r="L818" s="469" t="n"/>
      <c r="M818" s="469" t="n"/>
      <c r="N818" s="469" t="n"/>
      <c r="O818" s="469" t="n"/>
      <c r="P818" s="471" t="n"/>
      <c r="Q818" s="469" t="n"/>
      <c r="R818" s="469" t="n"/>
      <c r="S818" s="469" t="n"/>
      <c r="T818" s="469" t="n"/>
      <c r="U818" s="469" t="n"/>
      <c r="V818" s="469" t="n"/>
      <c r="W818" s="469" t="n"/>
      <c r="X818" s="469" t="n"/>
      <c r="Y818" s="469" t="n"/>
      <c r="Z818" s="469" t="n"/>
      <c r="AA818" s="469" t="n"/>
    </row>
    <row r="819">
      <c r="A819" s="468" t="n"/>
      <c r="B819" s="469" t="n"/>
      <c r="C819" s="469" t="n"/>
      <c r="D819" s="469" t="n"/>
      <c r="E819" s="469" t="n"/>
      <c r="F819" s="469" t="n"/>
      <c r="G819" s="469" t="n"/>
      <c r="H819" s="469" t="n"/>
      <c r="I819" s="469" t="n"/>
      <c r="J819" s="469" t="n"/>
      <c r="K819" s="469" t="n"/>
      <c r="L819" s="469" t="n"/>
      <c r="M819" s="469" t="n"/>
      <c r="N819" s="469" t="n"/>
      <c r="O819" s="469" t="n"/>
      <c r="P819" s="471" t="n"/>
      <c r="Q819" s="469" t="n"/>
      <c r="R819" s="469" t="n"/>
      <c r="S819" s="469" t="n"/>
      <c r="T819" s="469" t="n"/>
      <c r="U819" s="469" t="n"/>
      <c r="V819" s="469" t="n"/>
      <c r="W819" s="469" t="n"/>
      <c r="X819" s="469" t="n"/>
      <c r="Y819" s="469" t="n"/>
      <c r="Z819" s="469" t="n"/>
      <c r="AA819" s="469" t="n"/>
    </row>
    <row r="820">
      <c r="A820" s="468" t="n"/>
      <c r="B820" s="469" t="n"/>
      <c r="C820" s="469" t="n"/>
      <c r="D820" s="469" t="n"/>
      <c r="E820" s="469" t="n"/>
      <c r="F820" s="469" t="n"/>
      <c r="G820" s="469" t="n"/>
      <c r="H820" s="469" t="n"/>
      <c r="I820" s="469" t="n"/>
      <c r="J820" s="469" t="n"/>
      <c r="K820" s="469" t="n"/>
      <c r="L820" s="469" t="n"/>
      <c r="M820" s="469" t="n"/>
      <c r="N820" s="469" t="n"/>
      <c r="O820" s="469" t="n"/>
      <c r="P820" s="471" t="n"/>
      <c r="Q820" s="469" t="n"/>
      <c r="R820" s="469" t="n"/>
      <c r="S820" s="469" t="n"/>
      <c r="T820" s="469" t="n"/>
      <c r="U820" s="469" t="n"/>
      <c r="V820" s="469" t="n"/>
      <c r="W820" s="469" t="n"/>
      <c r="X820" s="469" t="n"/>
      <c r="Y820" s="469" t="n"/>
      <c r="Z820" s="469" t="n"/>
      <c r="AA820" s="469" t="n"/>
    </row>
    <row r="821">
      <c r="A821" s="468" t="n"/>
      <c r="B821" s="469" t="n"/>
      <c r="C821" s="469" t="n"/>
      <c r="D821" s="469" t="n"/>
      <c r="E821" s="469" t="n"/>
      <c r="F821" s="469" t="n"/>
      <c r="G821" s="469" t="n"/>
      <c r="H821" s="469" t="n"/>
      <c r="I821" s="469" t="n"/>
      <c r="J821" s="469" t="n"/>
      <c r="K821" s="469" t="n"/>
      <c r="L821" s="469" t="n"/>
      <c r="M821" s="469" t="n"/>
      <c r="N821" s="469" t="n"/>
      <c r="O821" s="469" t="n"/>
      <c r="P821" s="471" t="n"/>
      <c r="Q821" s="469" t="n"/>
      <c r="R821" s="469" t="n"/>
      <c r="S821" s="469" t="n"/>
      <c r="T821" s="469" t="n"/>
      <c r="U821" s="469" t="n"/>
      <c r="V821" s="469" t="n"/>
      <c r="W821" s="469" t="n"/>
      <c r="X821" s="469" t="n"/>
      <c r="Y821" s="469" t="n"/>
      <c r="Z821" s="469" t="n"/>
      <c r="AA821" s="469" t="n"/>
    </row>
    <row r="822">
      <c r="A822" s="468" t="n"/>
      <c r="B822" s="469" t="n"/>
      <c r="C822" s="469" t="n"/>
      <c r="D822" s="469" t="n"/>
      <c r="E822" s="469" t="n"/>
      <c r="F822" s="469" t="n"/>
      <c r="G822" s="469" t="n"/>
      <c r="H822" s="469" t="n"/>
      <c r="I822" s="469" t="n"/>
      <c r="J822" s="469" t="n"/>
      <c r="K822" s="469" t="n"/>
      <c r="L822" s="469" t="n"/>
      <c r="M822" s="469" t="n"/>
      <c r="N822" s="469" t="n"/>
      <c r="O822" s="469" t="n"/>
      <c r="P822" s="471" t="n"/>
      <c r="Q822" s="469" t="n"/>
      <c r="R822" s="469" t="n"/>
      <c r="S822" s="469" t="n"/>
      <c r="T822" s="469" t="n"/>
      <c r="U822" s="469" t="n"/>
      <c r="V822" s="469" t="n"/>
      <c r="W822" s="469" t="n"/>
      <c r="X822" s="469" t="n"/>
      <c r="Y822" s="469" t="n"/>
      <c r="Z822" s="469" t="n"/>
      <c r="AA822" s="469" t="n"/>
    </row>
    <row r="823">
      <c r="A823" s="468" t="n"/>
      <c r="B823" s="469" t="n"/>
      <c r="C823" s="469" t="n"/>
      <c r="D823" s="469" t="n"/>
      <c r="E823" s="469" t="n"/>
      <c r="F823" s="469" t="n"/>
      <c r="G823" s="469" t="n"/>
      <c r="H823" s="469" t="n"/>
      <c r="I823" s="469" t="n"/>
      <c r="J823" s="469" t="n"/>
      <c r="K823" s="469" t="n"/>
      <c r="L823" s="469" t="n"/>
      <c r="M823" s="469" t="n"/>
      <c r="N823" s="469" t="n"/>
      <c r="O823" s="469" t="n"/>
      <c r="P823" s="471" t="n"/>
      <c r="Q823" s="469" t="n"/>
      <c r="R823" s="469" t="n"/>
      <c r="S823" s="469" t="n"/>
      <c r="T823" s="469" t="n"/>
      <c r="U823" s="469" t="n"/>
      <c r="V823" s="469" t="n"/>
      <c r="W823" s="469" t="n"/>
      <c r="X823" s="469" t="n"/>
      <c r="Y823" s="469" t="n"/>
      <c r="Z823" s="469" t="n"/>
      <c r="AA823" s="469" t="n"/>
    </row>
    <row r="824">
      <c r="A824" s="468" t="n"/>
      <c r="B824" s="469" t="n"/>
      <c r="C824" s="469" t="n"/>
      <c r="D824" s="469" t="n"/>
      <c r="E824" s="469" t="n"/>
      <c r="F824" s="469" t="n"/>
      <c r="G824" s="469" t="n"/>
      <c r="H824" s="469" t="n"/>
      <c r="I824" s="469" t="n"/>
      <c r="J824" s="469" t="n"/>
      <c r="K824" s="469" t="n"/>
      <c r="L824" s="469" t="n"/>
      <c r="M824" s="469" t="n"/>
      <c r="N824" s="469" t="n"/>
      <c r="O824" s="469" t="n"/>
      <c r="P824" s="471" t="n"/>
      <c r="Q824" s="469" t="n"/>
      <c r="R824" s="469" t="n"/>
      <c r="S824" s="469" t="n"/>
      <c r="T824" s="469" t="n"/>
      <c r="U824" s="469" t="n"/>
      <c r="V824" s="469" t="n"/>
      <c r="W824" s="469" t="n"/>
      <c r="X824" s="469" t="n"/>
      <c r="Y824" s="469" t="n"/>
      <c r="Z824" s="469" t="n"/>
      <c r="AA824" s="469" t="n"/>
    </row>
    <row r="825">
      <c r="A825" s="468" t="n"/>
      <c r="B825" s="469" t="n"/>
      <c r="C825" s="469" t="n"/>
      <c r="D825" s="469" t="n"/>
      <c r="E825" s="469" t="n"/>
      <c r="F825" s="469" t="n"/>
      <c r="G825" s="469" t="n"/>
      <c r="H825" s="469" t="n"/>
      <c r="I825" s="469" t="n"/>
      <c r="J825" s="469" t="n"/>
      <c r="K825" s="469" t="n"/>
      <c r="L825" s="469" t="n"/>
      <c r="M825" s="469" t="n"/>
      <c r="N825" s="469" t="n"/>
      <c r="O825" s="469" t="n"/>
      <c r="P825" s="471" t="n"/>
      <c r="Q825" s="469" t="n"/>
      <c r="R825" s="469" t="n"/>
      <c r="S825" s="469" t="n"/>
      <c r="T825" s="469" t="n"/>
      <c r="U825" s="469" t="n"/>
      <c r="V825" s="469" t="n"/>
      <c r="W825" s="469" t="n"/>
      <c r="X825" s="469" t="n"/>
      <c r="Y825" s="469" t="n"/>
      <c r="Z825" s="469" t="n"/>
      <c r="AA825" s="469" t="n"/>
    </row>
    <row r="826">
      <c r="A826" s="468" t="n"/>
      <c r="B826" s="469" t="n"/>
      <c r="C826" s="469" t="n"/>
      <c r="D826" s="469" t="n"/>
      <c r="E826" s="469" t="n"/>
      <c r="F826" s="469" t="n"/>
      <c r="G826" s="469" t="n"/>
      <c r="H826" s="469" t="n"/>
      <c r="I826" s="469" t="n"/>
      <c r="J826" s="469" t="n"/>
      <c r="K826" s="469" t="n"/>
      <c r="L826" s="469" t="n"/>
      <c r="M826" s="469" t="n"/>
      <c r="N826" s="469" t="n"/>
      <c r="O826" s="469" t="n"/>
      <c r="P826" s="471" t="n"/>
      <c r="Q826" s="469" t="n"/>
      <c r="R826" s="469" t="n"/>
      <c r="S826" s="469" t="n"/>
      <c r="T826" s="469" t="n"/>
      <c r="U826" s="469" t="n"/>
      <c r="V826" s="469" t="n"/>
      <c r="W826" s="469" t="n"/>
      <c r="X826" s="469" t="n"/>
      <c r="Y826" s="469" t="n"/>
      <c r="Z826" s="469" t="n"/>
      <c r="AA826" s="469" t="n"/>
    </row>
    <row r="827">
      <c r="A827" s="468" t="n"/>
      <c r="B827" s="469" t="n"/>
      <c r="C827" s="469" t="n"/>
      <c r="D827" s="469" t="n"/>
      <c r="E827" s="469" t="n"/>
      <c r="F827" s="469" t="n"/>
      <c r="G827" s="469" t="n"/>
      <c r="H827" s="469" t="n"/>
      <c r="I827" s="469" t="n"/>
      <c r="J827" s="469" t="n"/>
      <c r="K827" s="469" t="n"/>
      <c r="L827" s="469" t="n"/>
      <c r="M827" s="469" t="n"/>
      <c r="N827" s="469" t="n"/>
      <c r="O827" s="469" t="n"/>
      <c r="P827" s="471" t="n"/>
      <c r="Q827" s="469" t="n"/>
      <c r="R827" s="469" t="n"/>
      <c r="S827" s="469" t="n"/>
      <c r="T827" s="469" t="n"/>
      <c r="U827" s="469" t="n"/>
      <c r="V827" s="469" t="n"/>
      <c r="W827" s="469" t="n"/>
      <c r="X827" s="469" t="n"/>
      <c r="Y827" s="469" t="n"/>
      <c r="Z827" s="469" t="n"/>
      <c r="AA827" s="469" t="n"/>
    </row>
    <row r="828">
      <c r="A828" s="468" t="n"/>
      <c r="B828" s="469" t="n"/>
      <c r="C828" s="469" t="n"/>
      <c r="D828" s="469" t="n"/>
      <c r="E828" s="469" t="n"/>
      <c r="F828" s="469" t="n"/>
      <c r="G828" s="469" t="n"/>
      <c r="H828" s="469" t="n"/>
      <c r="I828" s="469" t="n"/>
      <c r="J828" s="469" t="n"/>
      <c r="K828" s="469" t="n"/>
      <c r="L828" s="469" t="n"/>
      <c r="M828" s="469" t="n"/>
      <c r="N828" s="469" t="n"/>
      <c r="O828" s="469" t="n"/>
      <c r="P828" s="471" t="n"/>
      <c r="Q828" s="469" t="n"/>
      <c r="R828" s="469" t="n"/>
      <c r="S828" s="469" t="n"/>
      <c r="T828" s="469" t="n"/>
      <c r="U828" s="469" t="n"/>
      <c r="V828" s="469" t="n"/>
      <c r="W828" s="469" t="n"/>
      <c r="X828" s="469" t="n"/>
      <c r="Y828" s="469" t="n"/>
      <c r="Z828" s="469" t="n"/>
      <c r="AA828" s="469" t="n"/>
    </row>
    <row r="829">
      <c r="A829" s="468" t="n"/>
      <c r="B829" s="469" t="n"/>
      <c r="C829" s="469" t="n"/>
      <c r="D829" s="469" t="n"/>
      <c r="E829" s="469" t="n"/>
      <c r="F829" s="469" t="n"/>
      <c r="G829" s="469" t="n"/>
      <c r="H829" s="469" t="n"/>
      <c r="I829" s="469" t="n"/>
      <c r="J829" s="469" t="n"/>
      <c r="K829" s="469" t="n"/>
      <c r="L829" s="469" t="n"/>
      <c r="M829" s="469" t="n"/>
      <c r="N829" s="469" t="n"/>
      <c r="O829" s="469" t="n"/>
      <c r="P829" s="471" t="n"/>
      <c r="Q829" s="469" t="n"/>
      <c r="R829" s="469" t="n"/>
      <c r="S829" s="469" t="n"/>
      <c r="T829" s="469" t="n"/>
      <c r="U829" s="469" t="n"/>
      <c r="V829" s="469" t="n"/>
      <c r="W829" s="469" t="n"/>
      <c r="X829" s="469" t="n"/>
      <c r="Y829" s="469" t="n"/>
      <c r="Z829" s="469" t="n"/>
      <c r="AA829" s="469" t="n"/>
    </row>
    <row r="830">
      <c r="A830" s="468" t="n"/>
      <c r="B830" s="469" t="n"/>
      <c r="C830" s="469" t="n"/>
      <c r="D830" s="469" t="n"/>
      <c r="E830" s="469" t="n"/>
      <c r="F830" s="469" t="n"/>
      <c r="G830" s="469" t="n"/>
      <c r="H830" s="469" t="n"/>
      <c r="I830" s="469" t="n"/>
      <c r="J830" s="469" t="n"/>
      <c r="K830" s="469" t="n"/>
      <c r="L830" s="469" t="n"/>
      <c r="M830" s="469" t="n"/>
      <c r="N830" s="469" t="n"/>
      <c r="O830" s="469" t="n"/>
      <c r="P830" s="471" t="n"/>
      <c r="Q830" s="469" t="n"/>
      <c r="R830" s="469" t="n"/>
      <c r="S830" s="469" t="n"/>
      <c r="T830" s="469" t="n"/>
      <c r="U830" s="469" t="n"/>
      <c r="V830" s="469" t="n"/>
      <c r="W830" s="469" t="n"/>
      <c r="X830" s="469" t="n"/>
      <c r="Y830" s="469" t="n"/>
      <c r="Z830" s="469" t="n"/>
      <c r="AA830" s="469" t="n"/>
    </row>
    <row r="831">
      <c r="A831" s="468" t="n"/>
      <c r="B831" s="469" t="n"/>
      <c r="C831" s="469" t="n"/>
      <c r="D831" s="469" t="n"/>
      <c r="E831" s="469" t="n"/>
      <c r="F831" s="469" t="n"/>
      <c r="G831" s="469" t="n"/>
      <c r="H831" s="469" t="n"/>
      <c r="I831" s="469" t="n"/>
      <c r="J831" s="469" t="n"/>
      <c r="K831" s="469" t="n"/>
      <c r="L831" s="469" t="n"/>
      <c r="M831" s="469" t="n"/>
      <c r="N831" s="469" t="n"/>
      <c r="O831" s="469" t="n"/>
      <c r="P831" s="471" t="n"/>
      <c r="Q831" s="469" t="n"/>
      <c r="R831" s="469" t="n"/>
      <c r="S831" s="469" t="n"/>
      <c r="T831" s="469" t="n"/>
      <c r="U831" s="469" t="n"/>
      <c r="V831" s="469" t="n"/>
      <c r="W831" s="469" t="n"/>
      <c r="X831" s="469" t="n"/>
      <c r="Y831" s="469" t="n"/>
      <c r="Z831" s="469" t="n"/>
      <c r="AA831" s="469" t="n"/>
    </row>
    <row r="832">
      <c r="A832" s="468" t="n"/>
      <c r="B832" s="469" t="n"/>
      <c r="C832" s="469" t="n"/>
      <c r="D832" s="469" t="n"/>
      <c r="E832" s="469" t="n"/>
      <c r="F832" s="469" t="n"/>
      <c r="G832" s="469" t="n"/>
      <c r="H832" s="469" t="n"/>
      <c r="I832" s="469" t="n"/>
      <c r="J832" s="469" t="n"/>
      <c r="K832" s="469" t="n"/>
      <c r="L832" s="469" t="n"/>
      <c r="M832" s="469" t="n"/>
      <c r="N832" s="469" t="n"/>
      <c r="O832" s="469" t="n"/>
      <c r="P832" s="471" t="n"/>
      <c r="Q832" s="469" t="n"/>
      <c r="R832" s="469" t="n"/>
      <c r="S832" s="469" t="n"/>
      <c r="T832" s="469" t="n"/>
      <c r="U832" s="469" t="n"/>
      <c r="V832" s="469" t="n"/>
      <c r="W832" s="469" t="n"/>
      <c r="X832" s="469" t="n"/>
      <c r="Y832" s="469" t="n"/>
      <c r="Z832" s="469" t="n"/>
      <c r="AA832" s="469" t="n"/>
    </row>
    <row r="833">
      <c r="A833" s="468" t="n"/>
      <c r="B833" s="469" t="n"/>
      <c r="C833" s="469" t="n"/>
      <c r="D833" s="469" t="n"/>
      <c r="E833" s="469" t="n"/>
      <c r="F833" s="469" t="n"/>
      <c r="G833" s="469" t="n"/>
      <c r="H833" s="469" t="n"/>
      <c r="I833" s="469" t="n"/>
      <c r="J833" s="469" t="n"/>
      <c r="K833" s="469" t="n"/>
      <c r="L833" s="469" t="n"/>
      <c r="M833" s="469" t="n"/>
      <c r="N833" s="469" t="n"/>
      <c r="O833" s="469" t="n"/>
      <c r="P833" s="471" t="n"/>
      <c r="Q833" s="469" t="n"/>
      <c r="R833" s="469" t="n"/>
      <c r="S833" s="469" t="n"/>
      <c r="T833" s="469" t="n"/>
      <c r="U833" s="469" t="n"/>
      <c r="V833" s="469" t="n"/>
      <c r="W833" s="469" t="n"/>
      <c r="X833" s="469" t="n"/>
      <c r="Y833" s="469" t="n"/>
      <c r="Z833" s="469" t="n"/>
      <c r="AA833" s="469" t="n"/>
    </row>
    <row r="834">
      <c r="A834" s="468" t="n"/>
      <c r="B834" s="469" t="n"/>
      <c r="C834" s="469" t="n"/>
      <c r="D834" s="469" t="n"/>
      <c r="E834" s="469" t="n"/>
      <c r="F834" s="469" t="n"/>
      <c r="G834" s="469" t="n"/>
      <c r="H834" s="469" t="n"/>
      <c r="I834" s="469" t="n"/>
      <c r="J834" s="469" t="n"/>
      <c r="K834" s="469" t="n"/>
      <c r="L834" s="469" t="n"/>
      <c r="M834" s="469" t="n"/>
      <c r="N834" s="469" t="n"/>
      <c r="O834" s="469" t="n"/>
      <c r="P834" s="471" t="n"/>
      <c r="Q834" s="469" t="n"/>
      <c r="R834" s="469" t="n"/>
      <c r="S834" s="469" t="n"/>
      <c r="T834" s="469" t="n"/>
      <c r="U834" s="469" t="n"/>
      <c r="V834" s="469" t="n"/>
      <c r="W834" s="469" t="n"/>
      <c r="X834" s="469" t="n"/>
      <c r="Y834" s="469" t="n"/>
      <c r="Z834" s="469" t="n"/>
      <c r="AA834" s="469" t="n"/>
    </row>
    <row r="835">
      <c r="A835" s="468" t="n"/>
      <c r="B835" s="469" t="n"/>
      <c r="C835" s="469" t="n"/>
      <c r="D835" s="469" t="n"/>
      <c r="E835" s="469" t="n"/>
      <c r="F835" s="469" t="n"/>
      <c r="G835" s="469" t="n"/>
      <c r="H835" s="469" t="n"/>
      <c r="I835" s="469" t="n"/>
      <c r="J835" s="469" t="n"/>
      <c r="K835" s="469" t="n"/>
      <c r="L835" s="469" t="n"/>
      <c r="M835" s="469" t="n"/>
      <c r="N835" s="469" t="n"/>
      <c r="O835" s="469" t="n"/>
      <c r="P835" s="471" t="n"/>
      <c r="Q835" s="469" t="n"/>
      <c r="R835" s="469" t="n"/>
      <c r="S835" s="469" t="n"/>
      <c r="T835" s="469" t="n"/>
      <c r="U835" s="469" t="n"/>
      <c r="V835" s="469" t="n"/>
      <c r="W835" s="469" t="n"/>
      <c r="X835" s="469" t="n"/>
      <c r="Y835" s="469" t="n"/>
      <c r="Z835" s="469" t="n"/>
      <c r="AA835" s="469" t="n"/>
    </row>
    <row r="836">
      <c r="A836" s="468" t="n"/>
      <c r="B836" s="469" t="n"/>
      <c r="C836" s="469" t="n"/>
      <c r="D836" s="469" t="n"/>
      <c r="E836" s="469" t="n"/>
      <c r="F836" s="469" t="n"/>
      <c r="G836" s="469" t="n"/>
      <c r="H836" s="469" t="n"/>
      <c r="I836" s="469" t="n"/>
      <c r="J836" s="469" t="n"/>
      <c r="K836" s="469" t="n"/>
      <c r="L836" s="469" t="n"/>
      <c r="M836" s="469" t="n"/>
      <c r="N836" s="469" t="n"/>
      <c r="O836" s="469" t="n"/>
      <c r="P836" s="471" t="n"/>
      <c r="Q836" s="469" t="n"/>
      <c r="R836" s="469" t="n"/>
      <c r="S836" s="469" t="n"/>
      <c r="T836" s="469" t="n"/>
      <c r="U836" s="469" t="n"/>
      <c r="V836" s="469" t="n"/>
      <c r="W836" s="469" t="n"/>
      <c r="X836" s="469" t="n"/>
      <c r="Y836" s="469" t="n"/>
      <c r="Z836" s="469" t="n"/>
      <c r="AA836" s="469" t="n"/>
    </row>
    <row r="837">
      <c r="A837" s="468" t="n"/>
      <c r="B837" s="469" t="n"/>
      <c r="C837" s="469" t="n"/>
      <c r="D837" s="469" t="n"/>
      <c r="E837" s="469" t="n"/>
      <c r="F837" s="469" t="n"/>
      <c r="G837" s="469" t="n"/>
      <c r="H837" s="469" t="n"/>
      <c r="I837" s="469" t="n"/>
      <c r="J837" s="469" t="n"/>
      <c r="K837" s="469" t="n"/>
      <c r="L837" s="469" t="n"/>
      <c r="M837" s="469" t="n"/>
      <c r="N837" s="469" t="n"/>
      <c r="O837" s="469" t="n"/>
      <c r="P837" s="471" t="n"/>
      <c r="Q837" s="469" t="n"/>
      <c r="R837" s="469" t="n"/>
      <c r="S837" s="469" t="n"/>
      <c r="T837" s="469" t="n"/>
      <c r="U837" s="469" t="n"/>
      <c r="V837" s="469" t="n"/>
      <c r="W837" s="469" t="n"/>
      <c r="X837" s="469" t="n"/>
      <c r="Y837" s="469" t="n"/>
      <c r="Z837" s="469" t="n"/>
      <c r="AA837" s="469" t="n"/>
    </row>
    <row r="838">
      <c r="A838" s="468" t="n"/>
      <c r="B838" s="469" t="n"/>
      <c r="C838" s="469" t="n"/>
      <c r="D838" s="469" t="n"/>
      <c r="E838" s="469" t="n"/>
      <c r="F838" s="469" t="n"/>
      <c r="G838" s="469" t="n"/>
      <c r="H838" s="469" t="n"/>
      <c r="I838" s="469" t="n"/>
      <c r="J838" s="469" t="n"/>
      <c r="K838" s="469" t="n"/>
      <c r="L838" s="469" t="n"/>
      <c r="M838" s="469" t="n"/>
      <c r="N838" s="469" t="n"/>
      <c r="O838" s="469" t="n"/>
      <c r="P838" s="471" t="n"/>
      <c r="Q838" s="469" t="n"/>
      <c r="R838" s="469" t="n"/>
      <c r="S838" s="469" t="n"/>
      <c r="T838" s="469" t="n"/>
      <c r="U838" s="469" t="n"/>
      <c r="V838" s="469" t="n"/>
      <c r="W838" s="469" t="n"/>
      <c r="X838" s="469" t="n"/>
      <c r="Y838" s="469" t="n"/>
      <c r="Z838" s="469" t="n"/>
      <c r="AA838" s="469" t="n"/>
    </row>
    <row r="839">
      <c r="A839" s="468" t="n"/>
      <c r="B839" s="469" t="n"/>
      <c r="C839" s="469" t="n"/>
      <c r="D839" s="469" t="n"/>
      <c r="E839" s="469" t="n"/>
      <c r="F839" s="469" t="n"/>
      <c r="G839" s="469" t="n"/>
      <c r="H839" s="469" t="n"/>
      <c r="I839" s="469" t="n"/>
      <c r="J839" s="469" t="n"/>
      <c r="K839" s="469" t="n"/>
      <c r="L839" s="469" t="n"/>
      <c r="M839" s="469" t="n"/>
      <c r="N839" s="469" t="n"/>
      <c r="O839" s="469" t="n"/>
      <c r="P839" s="471" t="n"/>
      <c r="Q839" s="469" t="n"/>
      <c r="R839" s="469" t="n"/>
      <c r="S839" s="469" t="n"/>
      <c r="T839" s="469" t="n"/>
      <c r="U839" s="469" t="n"/>
      <c r="V839" s="469" t="n"/>
      <c r="W839" s="469" t="n"/>
      <c r="X839" s="469" t="n"/>
      <c r="Y839" s="469" t="n"/>
      <c r="Z839" s="469" t="n"/>
      <c r="AA839" s="469" t="n"/>
    </row>
    <row r="840">
      <c r="A840" s="468" t="n"/>
      <c r="B840" s="469" t="n"/>
      <c r="C840" s="469" t="n"/>
      <c r="D840" s="469" t="n"/>
      <c r="E840" s="469" t="n"/>
      <c r="F840" s="469" t="n"/>
      <c r="G840" s="469" t="n"/>
      <c r="H840" s="469" t="n"/>
      <c r="I840" s="469" t="n"/>
      <c r="J840" s="469" t="n"/>
      <c r="K840" s="469" t="n"/>
      <c r="L840" s="469" t="n"/>
      <c r="M840" s="469" t="n"/>
      <c r="N840" s="469" t="n"/>
      <c r="O840" s="469" t="n"/>
      <c r="P840" s="471" t="n"/>
      <c r="Q840" s="469" t="n"/>
      <c r="R840" s="469" t="n"/>
      <c r="S840" s="469" t="n"/>
      <c r="T840" s="469" t="n"/>
      <c r="U840" s="469" t="n"/>
      <c r="V840" s="469" t="n"/>
      <c r="W840" s="469" t="n"/>
      <c r="X840" s="469" t="n"/>
      <c r="Y840" s="469" t="n"/>
      <c r="Z840" s="469" t="n"/>
      <c r="AA840" s="469" t="n"/>
    </row>
    <row r="841">
      <c r="A841" s="468" t="n"/>
      <c r="B841" s="469" t="n"/>
      <c r="C841" s="469" t="n"/>
      <c r="D841" s="469" t="n"/>
      <c r="E841" s="469" t="n"/>
      <c r="F841" s="469" t="n"/>
      <c r="G841" s="469" t="n"/>
      <c r="H841" s="469" t="n"/>
      <c r="I841" s="469" t="n"/>
      <c r="J841" s="469" t="n"/>
      <c r="K841" s="469" t="n"/>
      <c r="L841" s="469" t="n"/>
      <c r="M841" s="469" t="n"/>
      <c r="N841" s="469" t="n"/>
      <c r="O841" s="469" t="n"/>
      <c r="P841" s="471" t="n"/>
      <c r="Q841" s="469" t="n"/>
      <c r="R841" s="469" t="n"/>
      <c r="S841" s="469" t="n"/>
      <c r="T841" s="469" t="n"/>
      <c r="U841" s="469" t="n"/>
      <c r="V841" s="469" t="n"/>
      <c r="W841" s="469" t="n"/>
      <c r="X841" s="469" t="n"/>
      <c r="Y841" s="469" t="n"/>
      <c r="Z841" s="469" t="n"/>
      <c r="AA841" s="469" t="n"/>
    </row>
    <row r="842">
      <c r="A842" s="468" t="n"/>
      <c r="B842" s="469" t="n"/>
      <c r="C842" s="469" t="n"/>
      <c r="D842" s="469" t="n"/>
      <c r="E842" s="469" t="n"/>
      <c r="F842" s="469" t="n"/>
      <c r="G842" s="469" t="n"/>
      <c r="H842" s="469" t="n"/>
      <c r="I842" s="469" t="n"/>
      <c r="J842" s="469" t="n"/>
      <c r="K842" s="469" t="n"/>
      <c r="L842" s="469" t="n"/>
      <c r="M842" s="469" t="n"/>
      <c r="N842" s="469" t="n"/>
      <c r="O842" s="469" t="n"/>
      <c r="P842" s="471" t="n"/>
      <c r="Q842" s="469" t="n"/>
      <c r="R842" s="469" t="n"/>
      <c r="S842" s="469" t="n"/>
      <c r="T842" s="469" t="n"/>
      <c r="U842" s="469" t="n"/>
      <c r="V842" s="469" t="n"/>
      <c r="W842" s="469" t="n"/>
      <c r="X842" s="469" t="n"/>
      <c r="Y842" s="469" t="n"/>
      <c r="Z842" s="469" t="n"/>
      <c r="AA842" s="469" t="n"/>
    </row>
    <row r="843">
      <c r="A843" s="468" t="n"/>
      <c r="B843" s="469" t="n"/>
      <c r="C843" s="469" t="n"/>
      <c r="D843" s="469" t="n"/>
      <c r="E843" s="469" t="n"/>
      <c r="F843" s="469" t="n"/>
      <c r="G843" s="469" t="n"/>
      <c r="H843" s="469" t="n"/>
      <c r="I843" s="469" t="n"/>
      <c r="J843" s="469" t="n"/>
      <c r="K843" s="469" t="n"/>
      <c r="L843" s="469" t="n"/>
      <c r="M843" s="469" t="n"/>
      <c r="N843" s="469" t="n"/>
      <c r="O843" s="469" t="n"/>
      <c r="P843" s="471" t="n"/>
      <c r="Q843" s="469" t="n"/>
      <c r="R843" s="469" t="n"/>
      <c r="S843" s="469" t="n"/>
      <c r="T843" s="469" t="n"/>
      <c r="U843" s="469" t="n"/>
      <c r="V843" s="469" t="n"/>
      <c r="W843" s="469" t="n"/>
      <c r="X843" s="469" t="n"/>
      <c r="Y843" s="469" t="n"/>
      <c r="Z843" s="469" t="n"/>
      <c r="AA843" s="469" t="n"/>
    </row>
    <row r="844">
      <c r="A844" s="468" t="n"/>
      <c r="B844" s="469" t="n"/>
      <c r="C844" s="469" t="n"/>
      <c r="D844" s="469" t="n"/>
      <c r="E844" s="469" t="n"/>
      <c r="F844" s="469" t="n"/>
      <c r="G844" s="469" t="n"/>
      <c r="H844" s="469" t="n"/>
      <c r="I844" s="469" t="n"/>
      <c r="J844" s="469" t="n"/>
      <c r="K844" s="469" t="n"/>
      <c r="L844" s="469" t="n"/>
      <c r="M844" s="469" t="n"/>
      <c r="N844" s="469" t="n"/>
      <c r="O844" s="469" t="n"/>
      <c r="P844" s="471" t="n"/>
      <c r="Q844" s="469" t="n"/>
      <c r="R844" s="469" t="n"/>
      <c r="S844" s="469" t="n"/>
      <c r="T844" s="469" t="n"/>
      <c r="U844" s="469" t="n"/>
      <c r="V844" s="469" t="n"/>
      <c r="W844" s="469" t="n"/>
      <c r="X844" s="469" t="n"/>
      <c r="Y844" s="469" t="n"/>
      <c r="Z844" s="469" t="n"/>
      <c r="AA844" s="469" t="n"/>
    </row>
    <row r="845">
      <c r="A845" s="468" t="n"/>
      <c r="B845" s="469" t="n"/>
      <c r="C845" s="469" t="n"/>
      <c r="D845" s="469" t="n"/>
      <c r="E845" s="469" t="n"/>
      <c r="F845" s="469" t="n"/>
      <c r="G845" s="469" t="n"/>
      <c r="H845" s="469" t="n"/>
      <c r="I845" s="469" t="n"/>
      <c r="J845" s="469" t="n"/>
      <c r="K845" s="469" t="n"/>
      <c r="L845" s="469" t="n"/>
      <c r="M845" s="469" t="n"/>
      <c r="N845" s="469" t="n"/>
      <c r="O845" s="469" t="n"/>
      <c r="P845" s="471" t="n"/>
      <c r="Q845" s="469" t="n"/>
      <c r="R845" s="469" t="n"/>
      <c r="S845" s="469" t="n"/>
      <c r="T845" s="469" t="n"/>
      <c r="U845" s="469" t="n"/>
      <c r="V845" s="469" t="n"/>
      <c r="W845" s="469" t="n"/>
      <c r="X845" s="469" t="n"/>
      <c r="Y845" s="469" t="n"/>
      <c r="Z845" s="469" t="n"/>
      <c r="AA845" s="469" t="n"/>
    </row>
    <row r="846">
      <c r="A846" s="468" t="n"/>
      <c r="B846" s="469" t="n"/>
      <c r="C846" s="469" t="n"/>
      <c r="D846" s="469" t="n"/>
      <c r="E846" s="469" t="n"/>
      <c r="F846" s="469" t="n"/>
      <c r="G846" s="469" t="n"/>
      <c r="H846" s="469" t="n"/>
      <c r="I846" s="469" t="n"/>
      <c r="J846" s="469" t="n"/>
      <c r="K846" s="469" t="n"/>
      <c r="L846" s="469" t="n"/>
      <c r="M846" s="469" t="n"/>
      <c r="N846" s="469" t="n"/>
      <c r="O846" s="469" t="n"/>
      <c r="P846" s="471" t="n"/>
      <c r="Q846" s="469" t="n"/>
      <c r="R846" s="469" t="n"/>
      <c r="S846" s="469" t="n"/>
      <c r="T846" s="469" t="n"/>
      <c r="U846" s="469" t="n"/>
      <c r="V846" s="469" t="n"/>
      <c r="W846" s="469" t="n"/>
      <c r="X846" s="469" t="n"/>
      <c r="Y846" s="469" t="n"/>
      <c r="Z846" s="469" t="n"/>
      <c r="AA846" s="469" t="n"/>
    </row>
    <row r="847">
      <c r="A847" s="468" t="n"/>
      <c r="B847" s="469" t="n"/>
      <c r="C847" s="469" t="n"/>
      <c r="D847" s="469" t="n"/>
      <c r="E847" s="469" t="n"/>
      <c r="F847" s="469" t="n"/>
      <c r="G847" s="469" t="n"/>
      <c r="H847" s="469" t="n"/>
      <c r="I847" s="469" t="n"/>
      <c r="J847" s="469" t="n"/>
      <c r="K847" s="469" t="n"/>
      <c r="L847" s="469" t="n"/>
      <c r="M847" s="469" t="n"/>
      <c r="N847" s="469" t="n"/>
      <c r="O847" s="469" t="n"/>
      <c r="P847" s="471" t="n"/>
      <c r="Q847" s="469" t="n"/>
      <c r="R847" s="469" t="n"/>
      <c r="S847" s="469" t="n"/>
      <c r="T847" s="469" t="n"/>
      <c r="U847" s="469" t="n"/>
      <c r="V847" s="469" t="n"/>
      <c r="W847" s="469" t="n"/>
      <c r="X847" s="469" t="n"/>
      <c r="Y847" s="469" t="n"/>
      <c r="Z847" s="469" t="n"/>
      <c r="AA847" s="469" t="n"/>
    </row>
    <row r="848">
      <c r="A848" s="468" t="n"/>
      <c r="B848" s="469" t="n"/>
      <c r="C848" s="469" t="n"/>
      <c r="D848" s="469" t="n"/>
      <c r="E848" s="469" t="n"/>
      <c r="F848" s="469" t="n"/>
      <c r="G848" s="469" t="n"/>
      <c r="H848" s="469" t="n"/>
      <c r="I848" s="469" t="n"/>
      <c r="J848" s="469" t="n"/>
      <c r="K848" s="469" t="n"/>
      <c r="L848" s="469" t="n"/>
      <c r="M848" s="469" t="n"/>
      <c r="N848" s="469" t="n"/>
      <c r="O848" s="469" t="n"/>
      <c r="P848" s="471" t="n"/>
      <c r="Q848" s="469" t="n"/>
      <c r="R848" s="469" t="n"/>
      <c r="S848" s="469" t="n"/>
      <c r="T848" s="469" t="n"/>
      <c r="U848" s="469" t="n"/>
      <c r="V848" s="469" t="n"/>
      <c r="W848" s="469" t="n"/>
      <c r="X848" s="469" t="n"/>
      <c r="Y848" s="469" t="n"/>
      <c r="Z848" s="469" t="n"/>
      <c r="AA848" s="469" t="n"/>
    </row>
    <row r="849">
      <c r="A849" s="468" t="n"/>
      <c r="B849" s="469" t="n"/>
      <c r="C849" s="469" t="n"/>
      <c r="D849" s="469" t="n"/>
      <c r="E849" s="469" t="n"/>
      <c r="F849" s="469" t="n"/>
      <c r="G849" s="469" t="n"/>
      <c r="H849" s="469" t="n"/>
      <c r="I849" s="469" t="n"/>
      <c r="J849" s="469" t="n"/>
      <c r="K849" s="469" t="n"/>
      <c r="L849" s="469" t="n"/>
      <c r="M849" s="469" t="n"/>
      <c r="N849" s="469" t="n"/>
      <c r="O849" s="469" t="n"/>
      <c r="P849" s="471" t="n"/>
      <c r="Q849" s="469" t="n"/>
      <c r="R849" s="469" t="n"/>
      <c r="S849" s="469" t="n"/>
      <c r="T849" s="469" t="n"/>
      <c r="U849" s="469" t="n"/>
      <c r="V849" s="469" t="n"/>
      <c r="W849" s="469" t="n"/>
      <c r="X849" s="469" t="n"/>
      <c r="Y849" s="469" t="n"/>
      <c r="Z849" s="469" t="n"/>
      <c r="AA849" s="469" t="n"/>
    </row>
    <row r="850">
      <c r="A850" s="468" t="n"/>
      <c r="B850" s="469" t="n"/>
      <c r="C850" s="469" t="n"/>
      <c r="D850" s="469" t="n"/>
      <c r="E850" s="469" t="n"/>
      <c r="F850" s="469" t="n"/>
      <c r="G850" s="469" t="n"/>
      <c r="H850" s="469" t="n"/>
      <c r="I850" s="469" t="n"/>
      <c r="J850" s="469" t="n"/>
      <c r="K850" s="469" t="n"/>
      <c r="L850" s="469" t="n"/>
      <c r="M850" s="469" t="n"/>
      <c r="N850" s="469" t="n"/>
      <c r="O850" s="469" t="n"/>
      <c r="P850" s="471" t="n"/>
      <c r="Q850" s="469" t="n"/>
      <c r="R850" s="469" t="n"/>
      <c r="S850" s="469" t="n"/>
      <c r="T850" s="469" t="n"/>
      <c r="U850" s="469" t="n"/>
      <c r="V850" s="469" t="n"/>
      <c r="W850" s="469" t="n"/>
      <c r="X850" s="469" t="n"/>
      <c r="Y850" s="469" t="n"/>
      <c r="Z850" s="469" t="n"/>
      <c r="AA850" s="469" t="n"/>
    </row>
    <row r="851">
      <c r="A851" s="468" t="n"/>
      <c r="B851" s="469" t="n"/>
      <c r="C851" s="469" t="n"/>
      <c r="D851" s="469" t="n"/>
      <c r="E851" s="469" t="n"/>
      <c r="F851" s="469" t="n"/>
      <c r="G851" s="469" t="n"/>
      <c r="H851" s="469" t="n"/>
      <c r="I851" s="469" t="n"/>
      <c r="J851" s="469" t="n"/>
      <c r="K851" s="469" t="n"/>
      <c r="L851" s="469" t="n"/>
      <c r="M851" s="469" t="n"/>
      <c r="N851" s="469" t="n"/>
      <c r="O851" s="469" t="n"/>
      <c r="P851" s="471" t="n"/>
      <c r="Q851" s="469" t="n"/>
      <c r="R851" s="469" t="n"/>
      <c r="S851" s="469" t="n"/>
      <c r="T851" s="469" t="n"/>
      <c r="U851" s="469" t="n"/>
      <c r="V851" s="469" t="n"/>
      <c r="W851" s="469" t="n"/>
      <c r="X851" s="469" t="n"/>
      <c r="Y851" s="469" t="n"/>
      <c r="Z851" s="469" t="n"/>
      <c r="AA851" s="469" t="n"/>
    </row>
    <row r="852">
      <c r="A852" s="468" t="n"/>
      <c r="B852" s="469" t="n"/>
      <c r="C852" s="469" t="n"/>
      <c r="D852" s="469" t="n"/>
      <c r="E852" s="469" t="n"/>
      <c r="F852" s="469" t="n"/>
      <c r="G852" s="469" t="n"/>
      <c r="H852" s="469" t="n"/>
      <c r="I852" s="469" t="n"/>
      <c r="J852" s="469" t="n"/>
      <c r="K852" s="469" t="n"/>
      <c r="L852" s="469" t="n"/>
      <c r="M852" s="469" t="n"/>
      <c r="N852" s="469" t="n"/>
      <c r="O852" s="469" t="n"/>
      <c r="P852" s="471" t="n"/>
      <c r="Q852" s="469" t="n"/>
      <c r="R852" s="469" t="n"/>
      <c r="S852" s="469" t="n"/>
      <c r="T852" s="469" t="n"/>
      <c r="U852" s="469" t="n"/>
      <c r="V852" s="469" t="n"/>
      <c r="W852" s="469" t="n"/>
      <c r="X852" s="469" t="n"/>
      <c r="Y852" s="469" t="n"/>
      <c r="Z852" s="469" t="n"/>
      <c r="AA852" s="469" t="n"/>
    </row>
    <row r="853">
      <c r="A853" s="468" t="n"/>
      <c r="B853" s="469" t="n"/>
      <c r="C853" s="469" t="n"/>
      <c r="D853" s="469" t="n"/>
      <c r="E853" s="469" t="n"/>
      <c r="F853" s="469" t="n"/>
      <c r="G853" s="469" t="n"/>
      <c r="H853" s="469" t="n"/>
      <c r="I853" s="469" t="n"/>
      <c r="J853" s="469" t="n"/>
      <c r="K853" s="469" t="n"/>
      <c r="L853" s="469" t="n"/>
      <c r="M853" s="469" t="n"/>
      <c r="N853" s="469" t="n"/>
      <c r="O853" s="469" t="n"/>
      <c r="P853" s="471" t="n"/>
      <c r="Q853" s="469" t="n"/>
      <c r="R853" s="469" t="n"/>
      <c r="S853" s="469" t="n"/>
      <c r="T853" s="469" t="n"/>
      <c r="U853" s="469" t="n"/>
      <c r="V853" s="469" t="n"/>
      <c r="W853" s="469" t="n"/>
      <c r="X853" s="469" t="n"/>
      <c r="Y853" s="469" t="n"/>
      <c r="Z853" s="469" t="n"/>
      <c r="AA853" s="469" t="n"/>
    </row>
    <row r="854">
      <c r="A854" s="468" t="n"/>
      <c r="B854" s="469" t="n"/>
      <c r="C854" s="469" t="n"/>
      <c r="D854" s="469" t="n"/>
      <c r="E854" s="469" t="n"/>
      <c r="F854" s="469" t="n"/>
      <c r="G854" s="469" t="n"/>
      <c r="H854" s="469" t="n"/>
      <c r="I854" s="469" t="n"/>
      <c r="J854" s="469" t="n"/>
      <c r="K854" s="469" t="n"/>
      <c r="L854" s="469" t="n"/>
      <c r="M854" s="469" t="n"/>
      <c r="N854" s="469" t="n"/>
      <c r="O854" s="469" t="n"/>
      <c r="P854" s="471" t="n"/>
      <c r="Q854" s="469" t="n"/>
      <c r="R854" s="469" t="n"/>
      <c r="S854" s="469" t="n"/>
      <c r="T854" s="469" t="n"/>
      <c r="U854" s="469" t="n"/>
      <c r="V854" s="469" t="n"/>
      <c r="W854" s="469" t="n"/>
      <c r="X854" s="469" t="n"/>
      <c r="Y854" s="469" t="n"/>
      <c r="Z854" s="469" t="n"/>
      <c r="AA854" s="469" t="n"/>
    </row>
    <row r="855">
      <c r="A855" s="468" t="n"/>
      <c r="B855" s="469" t="n"/>
      <c r="C855" s="469" t="n"/>
      <c r="D855" s="469" t="n"/>
      <c r="E855" s="469" t="n"/>
      <c r="F855" s="469" t="n"/>
      <c r="G855" s="469" t="n"/>
      <c r="H855" s="469" t="n"/>
      <c r="I855" s="469" t="n"/>
      <c r="J855" s="469" t="n"/>
      <c r="K855" s="469" t="n"/>
      <c r="L855" s="469" t="n"/>
      <c r="M855" s="469" t="n"/>
      <c r="N855" s="469" t="n"/>
      <c r="O855" s="469" t="n"/>
      <c r="P855" s="471" t="n"/>
      <c r="Q855" s="469" t="n"/>
      <c r="R855" s="469" t="n"/>
      <c r="S855" s="469" t="n"/>
      <c r="T855" s="469" t="n"/>
      <c r="U855" s="469" t="n"/>
      <c r="V855" s="469" t="n"/>
      <c r="W855" s="469" t="n"/>
      <c r="X855" s="469" t="n"/>
      <c r="Y855" s="469" t="n"/>
      <c r="Z855" s="469" t="n"/>
      <c r="AA855" s="469" t="n"/>
    </row>
    <row r="856">
      <c r="A856" s="468" t="n"/>
      <c r="B856" s="469" t="n"/>
      <c r="C856" s="469" t="n"/>
      <c r="D856" s="469" t="n"/>
      <c r="E856" s="469" t="n"/>
      <c r="F856" s="469" t="n"/>
      <c r="G856" s="469" t="n"/>
      <c r="H856" s="469" t="n"/>
      <c r="I856" s="469" t="n"/>
      <c r="J856" s="469" t="n"/>
      <c r="K856" s="469" t="n"/>
      <c r="L856" s="469" t="n"/>
      <c r="M856" s="469" t="n"/>
      <c r="N856" s="469" t="n"/>
      <c r="O856" s="469" t="n"/>
      <c r="P856" s="471" t="n"/>
      <c r="Q856" s="469" t="n"/>
      <c r="R856" s="469" t="n"/>
      <c r="S856" s="469" t="n"/>
      <c r="T856" s="469" t="n"/>
      <c r="U856" s="469" t="n"/>
      <c r="V856" s="469" t="n"/>
      <c r="W856" s="469" t="n"/>
      <c r="X856" s="469" t="n"/>
      <c r="Y856" s="469" t="n"/>
      <c r="Z856" s="469" t="n"/>
      <c r="AA856" s="469" t="n"/>
    </row>
    <row r="857">
      <c r="A857" s="468" t="n"/>
      <c r="B857" s="469" t="n"/>
      <c r="C857" s="469" t="n"/>
      <c r="D857" s="469" t="n"/>
      <c r="E857" s="469" t="n"/>
      <c r="F857" s="469" t="n"/>
      <c r="G857" s="469" t="n"/>
      <c r="H857" s="469" t="n"/>
      <c r="I857" s="469" t="n"/>
      <c r="J857" s="469" t="n"/>
      <c r="K857" s="469" t="n"/>
      <c r="L857" s="469" t="n"/>
      <c r="M857" s="469" t="n"/>
      <c r="N857" s="469" t="n"/>
      <c r="O857" s="469" t="n"/>
      <c r="P857" s="471" t="n"/>
      <c r="Q857" s="469" t="n"/>
      <c r="R857" s="469" t="n"/>
      <c r="S857" s="469" t="n"/>
      <c r="T857" s="469" t="n"/>
      <c r="U857" s="469" t="n"/>
      <c r="V857" s="469" t="n"/>
      <c r="W857" s="469" t="n"/>
      <c r="X857" s="469" t="n"/>
      <c r="Y857" s="469" t="n"/>
      <c r="Z857" s="469" t="n"/>
      <c r="AA857" s="469" t="n"/>
    </row>
    <row r="858">
      <c r="A858" s="468" t="n"/>
      <c r="B858" s="469" t="n"/>
      <c r="C858" s="469" t="n"/>
      <c r="D858" s="469" t="n"/>
      <c r="E858" s="469" t="n"/>
      <c r="F858" s="469" t="n"/>
      <c r="G858" s="469" t="n"/>
      <c r="H858" s="469" t="n"/>
      <c r="I858" s="469" t="n"/>
      <c r="J858" s="469" t="n"/>
      <c r="K858" s="469" t="n"/>
      <c r="L858" s="469" t="n"/>
      <c r="M858" s="469" t="n"/>
      <c r="N858" s="469" t="n"/>
      <c r="O858" s="469" t="n"/>
      <c r="P858" s="471" t="n"/>
      <c r="Q858" s="469" t="n"/>
      <c r="R858" s="469" t="n"/>
      <c r="S858" s="469" t="n"/>
      <c r="T858" s="469" t="n"/>
      <c r="U858" s="469" t="n"/>
      <c r="V858" s="469" t="n"/>
      <c r="W858" s="469" t="n"/>
      <c r="X858" s="469" t="n"/>
      <c r="Y858" s="469" t="n"/>
      <c r="Z858" s="469" t="n"/>
      <c r="AA858" s="469" t="n"/>
    </row>
    <row r="859">
      <c r="A859" s="468" t="n"/>
      <c r="B859" s="469" t="n"/>
      <c r="C859" s="469" t="n"/>
      <c r="D859" s="469" t="n"/>
      <c r="E859" s="469" t="n"/>
      <c r="F859" s="469" t="n"/>
      <c r="G859" s="469" t="n"/>
      <c r="H859" s="469" t="n"/>
      <c r="I859" s="469" t="n"/>
      <c r="J859" s="469" t="n"/>
      <c r="K859" s="469" t="n"/>
      <c r="L859" s="469" t="n"/>
      <c r="M859" s="469" t="n"/>
      <c r="N859" s="469" t="n"/>
      <c r="O859" s="469" t="n"/>
      <c r="P859" s="471" t="n"/>
      <c r="Q859" s="469" t="n"/>
      <c r="R859" s="469" t="n"/>
      <c r="S859" s="469" t="n"/>
      <c r="T859" s="469" t="n"/>
      <c r="U859" s="469" t="n"/>
      <c r="V859" s="469" t="n"/>
      <c r="W859" s="469" t="n"/>
      <c r="X859" s="469" t="n"/>
      <c r="Y859" s="469" t="n"/>
      <c r="Z859" s="469" t="n"/>
      <c r="AA859" s="469" t="n"/>
    </row>
    <row r="860">
      <c r="A860" s="468" t="n"/>
      <c r="B860" s="469" t="n"/>
      <c r="C860" s="469" t="n"/>
      <c r="D860" s="469" t="n"/>
      <c r="E860" s="469" t="n"/>
      <c r="F860" s="469" t="n"/>
      <c r="G860" s="469" t="n"/>
      <c r="H860" s="469" t="n"/>
      <c r="I860" s="469" t="n"/>
      <c r="J860" s="469" t="n"/>
      <c r="K860" s="469" t="n"/>
      <c r="L860" s="469" t="n"/>
      <c r="M860" s="469" t="n"/>
      <c r="N860" s="469" t="n"/>
      <c r="O860" s="469" t="n"/>
      <c r="P860" s="471" t="n"/>
      <c r="Q860" s="469" t="n"/>
      <c r="R860" s="469" t="n"/>
      <c r="S860" s="469" t="n"/>
      <c r="T860" s="469" t="n"/>
      <c r="U860" s="469" t="n"/>
      <c r="V860" s="469" t="n"/>
      <c r="W860" s="469" t="n"/>
      <c r="X860" s="469" t="n"/>
      <c r="Y860" s="469" t="n"/>
      <c r="Z860" s="469" t="n"/>
      <c r="AA860" s="469" t="n"/>
    </row>
    <row r="861">
      <c r="A861" s="468" t="n"/>
      <c r="B861" s="469" t="n"/>
      <c r="C861" s="469" t="n"/>
      <c r="D861" s="469" t="n"/>
      <c r="E861" s="469" t="n"/>
      <c r="F861" s="469" t="n"/>
      <c r="G861" s="469" t="n"/>
      <c r="H861" s="469" t="n"/>
      <c r="I861" s="469" t="n"/>
      <c r="J861" s="469" t="n"/>
      <c r="K861" s="469" t="n"/>
      <c r="L861" s="469" t="n"/>
      <c r="M861" s="469" t="n"/>
      <c r="N861" s="469" t="n"/>
      <c r="O861" s="469" t="n"/>
      <c r="P861" s="471" t="n"/>
      <c r="Q861" s="469" t="n"/>
      <c r="R861" s="469" t="n"/>
      <c r="S861" s="469" t="n"/>
      <c r="T861" s="469" t="n"/>
      <c r="U861" s="469" t="n"/>
      <c r="V861" s="469" t="n"/>
      <c r="W861" s="469" t="n"/>
      <c r="X861" s="469" t="n"/>
      <c r="Y861" s="469" t="n"/>
      <c r="Z861" s="469" t="n"/>
      <c r="AA861" s="469" t="n"/>
    </row>
    <row r="862">
      <c r="A862" s="468" t="n"/>
      <c r="B862" s="469" t="n"/>
      <c r="C862" s="469" t="n"/>
      <c r="D862" s="469" t="n"/>
      <c r="E862" s="469" t="n"/>
      <c r="F862" s="469" t="n"/>
      <c r="G862" s="469" t="n"/>
      <c r="H862" s="469" t="n"/>
      <c r="I862" s="469" t="n"/>
      <c r="J862" s="469" t="n"/>
      <c r="K862" s="469" t="n"/>
      <c r="L862" s="469" t="n"/>
      <c r="M862" s="469" t="n"/>
      <c r="N862" s="469" t="n"/>
      <c r="O862" s="469" t="n"/>
      <c r="P862" s="471" t="n"/>
      <c r="Q862" s="469" t="n"/>
      <c r="R862" s="469" t="n"/>
      <c r="S862" s="469" t="n"/>
      <c r="T862" s="469" t="n"/>
      <c r="U862" s="469" t="n"/>
      <c r="V862" s="469" t="n"/>
      <c r="W862" s="469" t="n"/>
      <c r="X862" s="469" t="n"/>
      <c r="Y862" s="469" t="n"/>
      <c r="Z862" s="469" t="n"/>
      <c r="AA862" s="469" t="n"/>
    </row>
    <row r="863">
      <c r="A863" s="468" t="n"/>
      <c r="B863" s="469" t="n"/>
      <c r="C863" s="469" t="n"/>
      <c r="D863" s="469" t="n"/>
      <c r="E863" s="469" t="n"/>
      <c r="F863" s="469" t="n"/>
      <c r="G863" s="469" t="n"/>
      <c r="H863" s="469" t="n"/>
      <c r="I863" s="469" t="n"/>
      <c r="J863" s="469" t="n"/>
      <c r="K863" s="469" t="n"/>
      <c r="L863" s="469" t="n"/>
      <c r="M863" s="469" t="n"/>
      <c r="N863" s="469" t="n"/>
      <c r="O863" s="469" t="n"/>
      <c r="P863" s="471" t="n"/>
      <c r="Q863" s="469" t="n"/>
      <c r="R863" s="469" t="n"/>
      <c r="S863" s="469" t="n"/>
      <c r="T863" s="469" t="n"/>
      <c r="U863" s="469" t="n"/>
      <c r="V863" s="469" t="n"/>
      <c r="W863" s="469" t="n"/>
      <c r="X863" s="469" t="n"/>
      <c r="Y863" s="469" t="n"/>
      <c r="Z863" s="469" t="n"/>
      <c r="AA863" s="469" t="n"/>
    </row>
    <row r="864">
      <c r="A864" s="468" t="n"/>
      <c r="B864" s="469" t="n"/>
      <c r="C864" s="469" t="n"/>
      <c r="D864" s="469" t="n"/>
      <c r="E864" s="469" t="n"/>
      <c r="F864" s="469" t="n"/>
      <c r="G864" s="469" t="n"/>
      <c r="H864" s="469" t="n"/>
      <c r="I864" s="469" t="n"/>
      <c r="J864" s="469" t="n"/>
      <c r="K864" s="469" t="n"/>
      <c r="L864" s="469" t="n"/>
      <c r="M864" s="469" t="n"/>
      <c r="N864" s="469" t="n"/>
      <c r="O864" s="469" t="n"/>
      <c r="P864" s="471" t="n"/>
      <c r="Q864" s="469" t="n"/>
      <c r="R864" s="469" t="n"/>
      <c r="S864" s="469" t="n"/>
      <c r="T864" s="469" t="n"/>
      <c r="U864" s="469" t="n"/>
      <c r="V864" s="469" t="n"/>
      <c r="W864" s="469" t="n"/>
      <c r="X864" s="469" t="n"/>
      <c r="Y864" s="469" t="n"/>
      <c r="Z864" s="469" t="n"/>
      <c r="AA864" s="469" t="n"/>
    </row>
    <row r="865">
      <c r="A865" s="468" t="n"/>
      <c r="B865" s="469" t="n"/>
      <c r="C865" s="469" t="n"/>
      <c r="D865" s="469" t="n"/>
      <c r="E865" s="469" t="n"/>
      <c r="F865" s="469" t="n"/>
      <c r="G865" s="469" t="n"/>
      <c r="H865" s="469" t="n"/>
      <c r="I865" s="469" t="n"/>
      <c r="J865" s="469" t="n"/>
      <c r="K865" s="469" t="n"/>
      <c r="L865" s="469" t="n"/>
      <c r="M865" s="469" t="n"/>
      <c r="N865" s="469" t="n"/>
      <c r="O865" s="469" t="n"/>
      <c r="P865" s="471" t="n"/>
      <c r="Q865" s="469" t="n"/>
      <c r="R865" s="469" t="n"/>
      <c r="S865" s="469" t="n"/>
      <c r="T865" s="469" t="n"/>
      <c r="U865" s="469" t="n"/>
      <c r="V865" s="469" t="n"/>
      <c r="W865" s="469" t="n"/>
      <c r="X865" s="469" t="n"/>
      <c r="Y865" s="469" t="n"/>
      <c r="Z865" s="469" t="n"/>
      <c r="AA865" s="469" t="n"/>
    </row>
    <row r="866">
      <c r="A866" s="468" t="n"/>
      <c r="B866" s="469" t="n"/>
      <c r="C866" s="469" t="n"/>
      <c r="D866" s="469" t="n"/>
      <c r="E866" s="469" t="n"/>
      <c r="F866" s="469" t="n"/>
      <c r="G866" s="469" t="n"/>
      <c r="H866" s="469" t="n"/>
      <c r="I866" s="469" t="n"/>
      <c r="J866" s="469" t="n"/>
      <c r="K866" s="469" t="n"/>
      <c r="L866" s="469" t="n"/>
      <c r="M866" s="469" t="n"/>
      <c r="N866" s="469" t="n"/>
      <c r="O866" s="469" t="n"/>
      <c r="P866" s="471" t="n"/>
      <c r="Q866" s="469" t="n"/>
      <c r="R866" s="469" t="n"/>
      <c r="S866" s="469" t="n"/>
      <c r="T866" s="469" t="n"/>
      <c r="U866" s="469" t="n"/>
      <c r="V866" s="469" t="n"/>
      <c r="W866" s="469" t="n"/>
      <c r="X866" s="469" t="n"/>
      <c r="Y866" s="469" t="n"/>
      <c r="Z866" s="469" t="n"/>
      <c r="AA866" s="469" t="n"/>
    </row>
    <row r="867">
      <c r="A867" s="468" t="n"/>
      <c r="B867" s="469" t="n"/>
      <c r="C867" s="469" t="n"/>
      <c r="D867" s="469" t="n"/>
      <c r="E867" s="469" t="n"/>
      <c r="F867" s="469" t="n"/>
      <c r="G867" s="469" t="n"/>
      <c r="H867" s="469" t="n"/>
      <c r="I867" s="469" t="n"/>
      <c r="J867" s="469" t="n"/>
      <c r="K867" s="469" t="n"/>
      <c r="L867" s="469" t="n"/>
      <c r="M867" s="469" t="n"/>
      <c r="N867" s="469" t="n"/>
      <c r="O867" s="469" t="n"/>
      <c r="P867" s="471" t="n"/>
      <c r="Q867" s="469" t="n"/>
      <c r="R867" s="469" t="n"/>
      <c r="S867" s="469" t="n"/>
      <c r="T867" s="469" t="n"/>
      <c r="U867" s="469" t="n"/>
      <c r="V867" s="469" t="n"/>
      <c r="W867" s="469" t="n"/>
      <c r="X867" s="469" t="n"/>
      <c r="Y867" s="469" t="n"/>
      <c r="Z867" s="469" t="n"/>
      <c r="AA867" s="469" t="n"/>
    </row>
    <row r="868">
      <c r="A868" s="468" t="n"/>
      <c r="B868" s="469" t="n"/>
      <c r="C868" s="469" t="n"/>
      <c r="D868" s="469" t="n"/>
      <c r="E868" s="469" t="n"/>
      <c r="F868" s="469" t="n"/>
      <c r="G868" s="469" t="n"/>
      <c r="H868" s="469" t="n"/>
      <c r="I868" s="469" t="n"/>
      <c r="J868" s="469" t="n"/>
      <c r="K868" s="469" t="n"/>
      <c r="L868" s="469" t="n"/>
      <c r="M868" s="469" t="n"/>
      <c r="N868" s="469" t="n"/>
      <c r="O868" s="469" t="n"/>
      <c r="P868" s="471" t="n"/>
      <c r="Q868" s="469" t="n"/>
      <c r="R868" s="469" t="n"/>
      <c r="S868" s="469" t="n"/>
      <c r="T868" s="469" t="n"/>
      <c r="U868" s="469" t="n"/>
      <c r="V868" s="469" t="n"/>
      <c r="W868" s="469" t="n"/>
      <c r="X868" s="469" t="n"/>
      <c r="Y868" s="469" t="n"/>
      <c r="Z868" s="469" t="n"/>
      <c r="AA868" s="469" t="n"/>
    </row>
    <row r="869">
      <c r="A869" s="468" t="n"/>
      <c r="B869" s="469" t="n"/>
      <c r="C869" s="469" t="n"/>
      <c r="D869" s="469" t="n"/>
      <c r="E869" s="469" t="n"/>
      <c r="F869" s="469" t="n"/>
      <c r="G869" s="469" t="n"/>
      <c r="H869" s="469" t="n"/>
      <c r="I869" s="469" t="n"/>
      <c r="J869" s="469" t="n"/>
      <c r="K869" s="469" t="n"/>
      <c r="L869" s="469" t="n"/>
      <c r="M869" s="469" t="n"/>
      <c r="N869" s="469" t="n"/>
      <c r="O869" s="469" t="n"/>
      <c r="P869" s="471" t="n"/>
      <c r="Q869" s="469" t="n"/>
      <c r="R869" s="469" t="n"/>
      <c r="S869" s="469" t="n"/>
      <c r="T869" s="469" t="n"/>
      <c r="U869" s="469" t="n"/>
      <c r="V869" s="469" t="n"/>
      <c r="W869" s="469" t="n"/>
      <c r="X869" s="469" t="n"/>
      <c r="Y869" s="469" t="n"/>
      <c r="Z869" s="469" t="n"/>
      <c r="AA869" s="469" t="n"/>
    </row>
    <row r="870">
      <c r="A870" s="468" t="n"/>
      <c r="B870" s="469" t="n"/>
      <c r="C870" s="469" t="n"/>
      <c r="D870" s="469" t="n"/>
      <c r="E870" s="469" t="n"/>
      <c r="F870" s="469" t="n"/>
      <c r="G870" s="469" t="n"/>
      <c r="H870" s="469" t="n"/>
      <c r="I870" s="469" t="n"/>
      <c r="J870" s="469" t="n"/>
      <c r="K870" s="469" t="n"/>
      <c r="L870" s="469" t="n"/>
      <c r="M870" s="469" t="n"/>
      <c r="N870" s="469" t="n"/>
      <c r="O870" s="469" t="n"/>
      <c r="P870" s="471" t="n"/>
      <c r="Q870" s="469" t="n"/>
      <c r="R870" s="469" t="n"/>
      <c r="S870" s="469" t="n"/>
      <c r="T870" s="469" t="n"/>
      <c r="U870" s="469" t="n"/>
      <c r="V870" s="469" t="n"/>
      <c r="W870" s="469" t="n"/>
      <c r="X870" s="469" t="n"/>
      <c r="Y870" s="469" t="n"/>
      <c r="Z870" s="469" t="n"/>
      <c r="AA870" s="469" t="n"/>
    </row>
    <row r="871">
      <c r="A871" s="468" t="n"/>
      <c r="B871" s="469" t="n"/>
      <c r="C871" s="469" t="n"/>
      <c r="D871" s="469" t="n"/>
      <c r="E871" s="469" t="n"/>
      <c r="F871" s="469" t="n"/>
      <c r="G871" s="469" t="n"/>
      <c r="H871" s="469" t="n"/>
      <c r="I871" s="469" t="n"/>
      <c r="J871" s="469" t="n"/>
      <c r="K871" s="469" t="n"/>
      <c r="L871" s="469" t="n"/>
      <c r="M871" s="469" t="n"/>
      <c r="N871" s="469" t="n"/>
      <c r="O871" s="469" t="n"/>
      <c r="P871" s="471" t="n"/>
      <c r="Q871" s="469" t="n"/>
      <c r="R871" s="469" t="n"/>
      <c r="S871" s="469" t="n"/>
      <c r="T871" s="469" t="n"/>
      <c r="U871" s="469" t="n"/>
      <c r="V871" s="469" t="n"/>
      <c r="W871" s="469" t="n"/>
      <c r="X871" s="469" t="n"/>
      <c r="Y871" s="469" t="n"/>
      <c r="Z871" s="469" t="n"/>
      <c r="AA871" s="469" t="n"/>
    </row>
    <row r="872">
      <c r="A872" s="468" t="n"/>
      <c r="B872" s="469" t="n"/>
      <c r="C872" s="469" t="n"/>
      <c r="D872" s="469" t="n"/>
      <c r="E872" s="469" t="n"/>
      <c r="F872" s="469" t="n"/>
      <c r="G872" s="469" t="n"/>
      <c r="H872" s="469" t="n"/>
      <c r="I872" s="469" t="n"/>
      <c r="J872" s="469" t="n"/>
      <c r="K872" s="469" t="n"/>
      <c r="L872" s="469" t="n"/>
      <c r="M872" s="469" t="n"/>
      <c r="N872" s="469" t="n"/>
      <c r="O872" s="469" t="n"/>
      <c r="P872" s="471" t="n"/>
      <c r="Q872" s="469" t="n"/>
      <c r="R872" s="469" t="n"/>
      <c r="S872" s="469" t="n"/>
      <c r="T872" s="469" t="n"/>
      <c r="U872" s="469" t="n"/>
      <c r="V872" s="469" t="n"/>
      <c r="W872" s="469" t="n"/>
      <c r="X872" s="469" t="n"/>
      <c r="Y872" s="469" t="n"/>
      <c r="Z872" s="469" t="n"/>
      <c r="AA872" s="469" t="n"/>
    </row>
    <row r="873">
      <c r="A873" s="468" t="n"/>
      <c r="B873" s="469" t="n"/>
      <c r="C873" s="469" t="n"/>
      <c r="D873" s="469" t="n"/>
      <c r="E873" s="469" t="n"/>
      <c r="F873" s="469" t="n"/>
      <c r="G873" s="469" t="n"/>
      <c r="H873" s="469" t="n"/>
      <c r="I873" s="469" t="n"/>
      <c r="J873" s="469" t="n"/>
      <c r="K873" s="469" t="n"/>
      <c r="L873" s="469" t="n"/>
      <c r="M873" s="469" t="n"/>
      <c r="N873" s="469" t="n"/>
      <c r="O873" s="469" t="n"/>
      <c r="P873" s="471" t="n"/>
      <c r="Q873" s="469" t="n"/>
      <c r="R873" s="469" t="n"/>
      <c r="S873" s="469" t="n"/>
      <c r="T873" s="469" t="n"/>
      <c r="U873" s="469" t="n"/>
      <c r="V873" s="469" t="n"/>
      <c r="W873" s="469" t="n"/>
      <c r="X873" s="469" t="n"/>
      <c r="Y873" s="469" t="n"/>
      <c r="Z873" s="469" t="n"/>
      <c r="AA873" s="469" t="n"/>
    </row>
    <row r="874">
      <c r="A874" s="468" t="n"/>
      <c r="B874" s="469" t="n"/>
      <c r="C874" s="469" t="n"/>
      <c r="D874" s="469" t="n"/>
      <c r="E874" s="469" t="n"/>
      <c r="F874" s="469" t="n"/>
      <c r="G874" s="469" t="n"/>
      <c r="H874" s="469" t="n"/>
      <c r="I874" s="469" t="n"/>
      <c r="J874" s="469" t="n"/>
      <c r="K874" s="469" t="n"/>
      <c r="L874" s="469" t="n"/>
      <c r="M874" s="469" t="n"/>
      <c r="N874" s="469" t="n"/>
      <c r="O874" s="469" t="n"/>
      <c r="P874" s="471" t="n"/>
      <c r="Q874" s="469" t="n"/>
      <c r="R874" s="469" t="n"/>
      <c r="S874" s="469" t="n"/>
      <c r="T874" s="469" t="n"/>
      <c r="U874" s="469" t="n"/>
      <c r="V874" s="469" t="n"/>
      <c r="W874" s="469" t="n"/>
      <c r="X874" s="469" t="n"/>
      <c r="Y874" s="469" t="n"/>
      <c r="Z874" s="469" t="n"/>
      <c r="AA874" s="469" t="n"/>
    </row>
    <row r="875">
      <c r="A875" s="468" t="n"/>
      <c r="B875" s="469" t="n"/>
      <c r="C875" s="469" t="n"/>
      <c r="D875" s="469" t="n"/>
      <c r="E875" s="469" t="n"/>
      <c r="F875" s="469" t="n"/>
      <c r="G875" s="469" t="n"/>
      <c r="H875" s="469" t="n"/>
      <c r="I875" s="469" t="n"/>
      <c r="J875" s="469" t="n"/>
      <c r="K875" s="469" t="n"/>
      <c r="L875" s="469" t="n"/>
      <c r="M875" s="469" t="n"/>
      <c r="N875" s="469" t="n"/>
      <c r="O875" s="469" t="n"/>
      <c r="P875" s="471" t="n"/>
      <c r="Q875" s="469" t="n"/>
      <c r="R875" s="469" t="n"/>
      <c r="S875" s="469" t="n"/>
      <c r="T875" s="469" t="n"/>
      <c r="U875" s="469" t="n"/>
      <c r="V875" s="469" t="n"/>
      <c r="W875" s="469" t="n"/>
      <c r="X875" s="469" t="n"/>
      <c r="Y875" s="469" t="n"/>
      <c r="Z875" s="469" t="n"/>
      <c r="AA875" s="469" t="n"/>
    </row>
    <row r="876">
      <c r="A876" s="468" t="n"/>
      <c r="B876" s="469" t="n"/>
      <c r="C876" s="469" t="n"/>
      <c r="D876" s="469" t="n"/>
      <c r="E876" s="469" t="n"/>
      <c r="F876" s="469" t="n"/>
      <c r="G876" s="469" t="n"/>
      <c r="H876" s="469" t="n"/>
      <c r="I876" s="469" t="n"/>
      <c r="J876" s="469" t="n"/>
      <c r="K876" s="469" t="n"/>
      <c r="L876" s="469" t="n"/>
      <c r="M876" s="469" t="n"/>
      <c r="N876" s="469" t="n"/>
      <c r="O876" s="469" t="n"/>
      <c r="P876" s="471" t="n"/>
      <c r="Q876" s="469" t="n"/>
      <c r="R876" s="469" t="n"/>
      <c r="S876" s="469" t="n"/>
      <c r="T876" s="469" t="n"/>
      <c r="U876" s="469" t="n"/>
      <c r="V876" s="469" t="n"/>
      <c r="W876" s="469" t="n"/>
      <c r="X876" s="469" t="n"/>
      <c r="Y876" s="469" t="n"/>
      <c r="Z876" s="469" t="n"/>
      <c r="AA876" s="469" t="n"/>
    </row>
    <row r="877">
      <c r="A877" s="468" t="n"/>
      <c r="B877" s="469" t="n"/>
      <c r="C877" s="469" t="n"/>
      <c r="D877" s="469" t="n"/>
      <c r="E877" s="469" t="n"/>
      <c r="F877" s="469" t="n"/>
      <c r="G877" s="469" t="n"/>
      <c r="H877" s="469" t="n"/>
      <c r="I877" s="469" t="n"/>
      <c r="J877" s="469" t="n"/>
      <c r="K877" s="469" t="n"/>
      <c r="L877" s="469" t="n"/>
      <c r="M877" s="469" t="n"/>
      <c r="N877" s="469" t="n"/>
      <c r="O877" s="469" t="n"/>
      <c r="P877" s="471" t="n"/>
      <c r="Q877" s="469" t="n"/>
      <c r="R877" s="469" t="n"/>
      <c r="S877" s="469" t="n"/>
      <c r="T877" s="469" t="n"/>
      <c r="U877" s="469" t="n"/>
      <c r="V877" s="469" t="n"/>
      <c r="W877" s="469" t="n"/>
      <c r="X877" s="469" t="n"/>
      <c r="Y877" s="469" t="n"/>
      <c r="Z877" s="469" t="n"/>
      <c r="AA877" s="469" t="n"/>
    </row>
    <row r="878">
      <c r="A878" s="468" t="n"/>
      <c r="B878" s="469" t="n"/>
      <c r="C878" s="469" t="n"/>
      <c r="D878" s="469" t="n"/>
      <c r="E878" s="469" t="n"/>
      <c r="F878" s="469" t="n"/>
      <c r="G878" s="469" t="n"/>
      <c r="H878" s="469" t="n"/>
      <c r="I878" s="469" t="n"/>
      <c r="J878" s="469" t="n"/>
      <c r="K878" s="469" t="n"/>
      <c r="L878" s="469" t="n"/>
      <c r="M878" s="469" t="n"/>
      <c r="N878" s="469" t="n"/>
      <c r="O878" s="469" t="n"/>
      <c r="P878" s="471" t="n"/>
      <c r="Q878" s="469" t="n"/>
      <c r="R878" s="469" t="n"/>
      <c r="S878" s="469" t="n"/>
      <c r="T878" s="469" t="n"/>
      <c r="U878" s="469" t="n"/>
      <c r="V878" s="469" t="n"/>
      <c r="W878" s="469" t="n"/>
      <c r="X878" s="469" t="n"/>
      <c r="Y878" s="469" t="n"/>
      <c r="Z878" s="469" t="n"/>
      <c r="AA878" s="469" t="n"/>
    </row>
    <row r="879">
      <c r="A879" s="468" t="n"/>
      <c r="B879" s="469" t="n"/>
      <c r="C879" s="469" t="n"/>
      <c r="D879" s="469" t="n"/>
      <c r="E879" s="469" t="n"/>
      <c r="F879" s="469" t="n"/>
      <c r="G879" s="469" t="n"/>
      <c r="H879" s="469" t="n"/>
      <c r="I879" s="469" t="n"/>
      <c r="J879" s="469" t="n"/>
      <c r="K879" s="469" t="n"/>
      <c r="L879" s="469" t="n"/>
      <c r="M879" s="469" t="n"/>
      <c r="N879" s="469" t="n"/>
      <c r="O879" s="469" t="n"/>
      <c r="P879" s="471" t="n"/>
      <c r="Q879" s="469" t="n"/>
      <c r="R879" s="469" t="n"/>
      <c r="S879" s="469" t="n"/>
      <c r="T879" s="469" t="n"/>
      <c r="U879" s="469" t="n"/>
      <c r="V879" s="469" t="n"/>
      <c r="W879" s="469" t="n"/>
      <c r="X879" s="469" t="n"/>
      <c r="Y879" s="469" t="n"/>
      <c r="Z879" s="469" t="n"/>
      <c r="AA879" s="469" t="n"/>
    </row>
    <row r="880">
      <c r="A880" s="468" t="n"/>
      <c r="B880" s="469" t="n"/>
      <c r="C880" s="469" t="n"/>
      <c r="D880" s="469" t="n"/>
      <c r="E880" s="469" t="n"/>
      <c r="F880" s="469" t="n"/>
      <c r="G880" s="469" t="n"/>
      <c r="H880" s="469" t="n"/>
      <c r="I880" s="469" t="n"/>
      <c r="J880" s="469" t="n"/>
      <c r="K880" s="469" t="n"/>
      <c r="L880" s="469" t="n"/>
      <c r="M880" s="469" t="n"/>
      <c r="N880" s="469" t="n"/>
      <c r="O880" s="469" t="n"/>
      <c r="P880" s="471" t="n"/>
      <c r="Q880" s="469" t="n"/>
      <c r="R880" s="469" t="n"/>
      <c r="S880" s="469" t="n"/>
      <c r="T880" s="469" t="n"/>
      <c r="U880" s="469" t="n"/>
      <c r="V880" s="469" t="n"/>
      <c r="W880" s="469" t="n"/>
      <c r="X880" s="469" t="n"/>
      <c r="Y880" s="469" t="n"/>
      <c r="Z880" s="469" t="n"/>
      <c r="AA880" s="469" t="n"/>
    </row>
    <row r="881">
      <c r="A881" s="468" t="n"/>
      <c r="B881" s="469" t="n"/>
      <c r="C881" s="469" t="n"/>
      <c r="D881" s="469" t="n"/>
      <c r="E881" s="469" t="n"/>
      <c r="F881" s="469" t="n"/>
      <c r="G881" s="469" t="n"/>
      <c r="H881" s="469" t="n"/>
      <c r="I881" s="469" t="n"/>
      <c r="J881" s="469" t="n"/>
      <c r="K881" s="469" t="n"/>
      <c r="L881" s="469" t="n"/>
      <c r="M881" s="469" t="n"/>
      <c r="N881" s="469" t="n"/>
      <c r="O881" s="469" t="n"/>
      <c r="P881" s="471" t="n"/>
      <c r="Q881" s="469" t="n"/>
      <c r="R881" s="469" t="n"/>
      <c r="S881" s="469" t="n"/>
      <c r="T881" s="469" t="n"/>
      <c r="U881" s="469" t="n"/>
      <c r="V881" s="469" t="n"/>
      <c r="W881" s="469" t="n"/>
      <c r="X881" s="469" t="n"/>
      <c r="Y881" s="469" t="n"/>
      <c r="Z881" s="469" t="n"/>
      <c r="AA881" s="469" t="n"/>
    </row>
    <row r="882">
      <c r="A882" s="468" t="n"/>
      <c r="B882" s="469" t="n"/>
      <c r="C882" s="469" t="n"/>
      <c r="D882" s="469" t="n"/>
      <c r="E882" s="469" t="n"/>
      <c r="F882" s="469" t="n"/>
      <c r="G882" s="469" t="n"/>
      <c r="H882" s="469" t="n"/>
      <c r="I882" s="469" t="n"/>
      <c r="J882" s="469" t="n"/>
      <c r="K882" s="469" t="n"/>
      <c r="L882" s="469" t="n"/>
      <c r="M882" s="469" t="n"/>
      <c r="N882" s="469" t="n"/>
      <c r="O882" s="469" t="n"/>
      <c r="P882" s="471" t="n"/>
      <c r="Q882" s="469" t="n"/>
      <c r="R882" s="469" t="n"/>
      <c r="S882" s="469" t="n"/>
      <c r="T882" s="469" t="n"/>
      <c r="U882" s="469" t="n"/>
      <c r="V882" s="469" t="n"/>
      <c r="W882" s="469" t="n"/>
      <c r="X882" s="469" t="n"/>
      <c r="Y882" s="469" t="n"/>
      <c r="Z882" s="469" t="n"/>
      <c r="AA882" s="469" t="n"/>
    </row>
    <row r="883">
      <c r="A883" s="468" t="n"/>
      <c r="B883" s="469" t="n"/>
      <c r="C883" s="469" t="n"/>
      <c r="D883" s="469" t="n"/>
      <c r="E883" s="469" t="n"/>
      <c r="F883" s="469" t="n"/>
      <c r="G883" s="469" t="n"/>
      <c r="H883" s="469" t="n"/>
      <c r="I883" s="469" t="n"/>
      <c r="J883" s="469" t="n"/>
      <c r="K883" s="469" t="n"/>
      <c r="L883" s="469" t="n"/>
      <c r="M883" s="469" t="n"/>
      <c r="N883" s="469" t="n"/>
      <c r="O883" s="469" t="n"/>
      <c r="P883" s="471" t="n"/>
      <c r="Q883" s="469" t="n"/>
      <c r="R883" s="469" t="n"/>
      <c r="S883" s="469" t="n"/>
      <c r="T883" s="469" t="n"/>
      <c r="U883" s="469" t="n"/>
      <c r="V883" s="469" t="n"/>
      <c r="W883" s="469" t="n"/>
      <c r="X883" s="469" t="n"/>
      <c r="Y883" s="469" t="n"/>
      <c r="Z883" s="469" t="n"/>
      <c r="AA883" s="469" t="n"/>
    </row>
    <row r="884">
      <c r="A884" s="468" t="n"/>
      <c r="B884" s="469" t="n"/>
      <c r="C884" s="469" t="n"/>
      <c r="D884" s="469" t="n"/>
      <c r="E884" s="469" t="n"/>
      <c r="F884" s="469" t="n"/>
      <c r="G884" s="469" t="n"/>
      <c r="H884" s="469" t="n"/>
      <c r="I884" s="469" t="n"/>
      <c r="J884" s="469" t="n"/>
      <c r="K884" s="469" t="n"/>
      <c r="L884" s="469" t="n"/>
      <c r="M884" s="469" t="n"/>
      <c r="N884" s="469" t="n"/>
      <c r="O884" s="469" t="n"/>
      <c r="P884" s="471" t="n"/>
      <c r="Q884" s="469" t="n"/>
      <c r="R884" s="469" t="n"/>
      <c r="S884" s="469" t="n"/>
      <c r="T884" s="469" t="n"/>
      <c r="U884" s="469" t="n"/>
      <c r="V884" s="469" t="n"/>
      <c r="W884" s="469" t="n"/>
      <c r="X884" s="469" t="n"/>
      <c r="Y884" s="469" t="n"/>
      <c r="Z884" s="469" t="n"/>
      <c r="AA884" s="469" t="n"/>
    </row>
    <row r="885">
      <c r="A885" s="468" t="n"/>
      <c r="B885" s="469" t="n"/>
      <c r="C885" s="469" t="n"/>
      <c r="D885" s="469" t="n"/>
      <c r="E885" s="469" t="n"/>
      <c r="F885" s="469" t="n"/>
      <c r="G885" s="469" t="n"/>
      <c r="H885" s="469" t="n"/>
      <c r="I885" s="469" t="n"/>
      <c r="J885" s="469" t="n"/>
      <c r="K885" s="469" t="n"/>
      <c r="L885" s="469" t="n"/>
      <c r="M885" s="469" t="n"/>
      <c r="N885" s="469" t="n"/>
      <c r="O885" s="469" t="n"/>
      <c r="P885" s="471" t="n"/>
      <c r="Q885" s="469" t="n"/>
      <c r="R885" s="469" t="n"/>
      <c r="S885" s="469" t="n"/>
      <c r="T885" s="469" t="n"/>
      <c r="U885" s="469" t="n"/>
      <c r="V885" s="469" t="n"/>
      <c r="W885" s="469" t="n"/>
      <c r="X885" s="469" t="n"/>
      <c r="Y885" s="469" t="n"/>
      <c r="Z885" s="469" t="n"/>
      <c r="AA885" s="469" t="n"/>
    </row>
    <row r="886">
      <c r="A886" s="468" t="n"/>
      <c r="B886" s="469" t="n"/>
      <c r="C886" s="469" t="n"/>
      <c r="D886" s="469" t="n"/>
      <c r="E886" s="469" t="n"/>
      <c r="F886" s="469" t="n"/>
      <c r="G886" s="469" t="n"/>
      <c r="H886" s="469" t="n"/>
      <c r="I886" s="469" t="n"/>
      <c r="J886" s="469" t="n"/>
      <c r="K886" s="469" t="n"/>
      <c r="L886" s="469" t="n"/>
      <c r="M886" s="469" t="n"/>
      <c r="N886" s="469" t="n"/>
      <c r="O886" s="469" t="n"/>
      <c r="P886" s="471" t="n"/>
      <c r="Q886" s="469" t="n"/>
      <c r="R886" s="469" t="n"/>
      <c r="S886" s="469" t="n"/>
      <c r="T886" s="469" t="n"/>
      <c r="U886" s="469" t="n"/>
      <c r="V886" s="469" t="n"/>
      <c r="W886" s="469" t="n"/>
      <c r="X886" s="469" t="n"/>
      <c r="Y886" s="469" t="n"/>
      <c r="Z886" s="469" t="n"/>
      <c r="AA886" s="469" t="n"/>
    </row>
    <row r="887">
      <c r="A887" s="468" t="n"/>
      <c r="B887" s="469" t="n"/>
      <c r="C887" s="469" t="n"/>
      <c r="D887" s="469" t="n"/>
      <c r="E887" s="469" t="n"/>
      <c r="F887" s="469" t="n"/>
      <c r="G887" s="469" t="n"/>
      <c r="H887" s="469" t="n"/>
      <c r="I887" s="469" t="n"/>
      <c r="J887" s="469" t="n"/>
      <c r="K887" s="469" t="n"/>
      <c r="L887" s="469" t="n"/>
      <c r="M887" s="469" t="n"/>
      <c r="N887" s="469" t="n"/>
      <c r="O887" s="469" t="n"/>
      <c r="P887" s="471" t="n"/>
      <c r="Q887" s="469" t="n"/>
      <c r="R887" s="469" t="n"/>
      <c r="S887" s="469" t="n"/>
      <c r="T887" s="469" t="n"/>
      <c r="U887" s="469" t="n"/>
      <c r="V887" s="469" t="n"/>
      <c r="W887" s="469" t="n"/>
      <c r="X887" s="469" t="n"/>
      <c r="Y887" s="469" t="n"/>
      <c r="Z887" s="469" t="n"/>
      <c r="AA887" s="469" t="n"/>
    </row>
    <row r="888">
      <c r="A888" s="468" t="n"/>
      <c r="B888" s="469" t="n"/>
      <c r="C888" s="469" t="n"/>
      <c r="D888" s="469" t="n"/>
      <c r="E888" s="469" t="n"/>
      <c r="F888" s="469" t="n"/>
      <c r="G888" s="469" t="n"/>
      <c r="H888" s="469" t="n"/>
      <c r="I888" s="469" t="n"/>
      <c r="J888" s="469" t="n"/>
      <c r="K888" s="469" t="n"/>
      <c r="L888" s="469" t="n"/>
      <c r="M888" s="469" t="n"/>
      <c r="N888" s="469" t="n"/>
      <c r="O888" s="469" t="n"/>
      <c r="P888" s="471" t="n"/>
      <c r="Q888" s="469" t="n"/>
      <c r="R888" s="469" t="n"/>
      <c r="S888" s="469" t="n"/>
      <c r="T888" s="469" t="n"/>
      <c r="U888" s="469" t="n"/>
      <c r="V888" s="469" t="n"/>
      <c r="W888" s="469" t="n"/>
      <c r="X888" s="469" t="n"/>
      <c r="Y888" s="469" t="n"/>
      <c r="Z888" s="469" t="n"/>
      <c r="AA888" s="469" t="n"/>
    </row>
    <row r="889">
      <c r="A889" s="468" t="n"/>
      <c r="B889" s="469" t="n"/>
      <c r="C889" s="469" t="n"/>
      <c r="D889" s="469" t="n"/>
      <c r="E889" s="469" t="n"/>
      <c r="F889" s="469" t="n"/>
      <c r="G889" s="469" t="n"/>
      <c r="H889" s="469" t="n"/>
      <c r="I889" s="469" t="n"/>
      <c r="J889" s="469" t="n"/>
      <c r="K889" s="469" t="n"/>
      <c r="L889" s="469" t="n"/>
      <c r="M889" s="469" t="n"/>
      <c r="N889" s="469" t="n"/>
      <c r="O889" s="469" t="n"/>
      <c r="P889" s="471" t="n"/>
      <c r="Q889" s="469" t="n"/>
      <c r="R889" s="469" t="n"/>
      <c r="S889" s="469" t="n"/>
      <c r="T889" s="469" t="n"/>
      <c r="U889" s="469" t="n"/>
      <c r="V889" s="469" t="n"/>
      <c r="W889" s="469" t="n"/>
      <c r="X889" s="469" t="n"/>
      <c r="Y889" s="469" t="n"/>
      <c r="Z889" s="469" t="n"/>
      <c r="AA889" s="469" t="n"/>
    </row>
    <row r="890">
      <c r="A890" s="468" t="n"/>
      <c r="B890" s="469" t="n"/>
      <c r="C890" s="469" t="n"/>
      <c r="D890" s="469" t="n"/>
      <c r="E890" s="469" t="n"/>
      <c r="F890" s="469" t="n"/>
      <c r="G890" s="469" t="n"/>
      <c r="H890" s="469" t="n"/>
      <c r="I890" s="469" t="n"/>
      <c r="J890" s="469" t="n"/>
      <c r="K890" s="469" t="n"/>
      <c r="L890" s="469" t="n"/>
      <c r="M890" s="469" t="n"/>
      <c r="N890" s="469" t="n"/>
      <c r="O890" s="469" t="n"/>
      <c r="P890" s="471" t="n"/>
      <c r="Q890" s="469" t="n"/>
      <c r="R890" s="469" t="n"/>
      <c r="S890" s="469" t="n"/>
      <c r="T890" s="469" t="n"/>
      <c r="U890" s="469" t="n"/>
      <c r="V890" s="469" t="n"/>
      <c r="W890" s="469" t="n"/>
      <c r="X890" s="469" t="n"/>
      <c r="Y890" s="469" t="n"/>
      <c r="Z890" s="469" t="n"/>
      <c r="AA890" s="469" t="n"/>
    </row>
    <row r="891">
      <c r="A891" s="468" t="n"/>
      <c r="B891" s="469" t="n"/>
      <c r="C891" s="469" t="n"/>
      <c r="D891" s="469" t="n"/>
      <c r="E891" s="469" t="n"/>
      <c r="F891" s="469" t="n"/>
      <c r="G891" s="469" t="n"/>
      <c r="H891" s="469" t="n"/>
      <c r="I891" s="469" t="n"/>
      <c r="J891" s="469" t="n"/>
      <c r="K891" s="469" t="n"/>
      <c r="L891" s="469" t="n"/>
      <c r="M891" s="469" t="n"/>
      <c r="N891" s="469" t="n"/>
      <c r="O891" s="469" t="n"/>
      <c r="P891" s="471" t="n"/>
      <c r="Q891" s="469" t="n"/>
      <c r="R891" s="469" t="n"/>
      <c r="S891" s="469" t="n"/>
      <c r="T891" s="469" t="n"/>
      <c r="U891" s="469" t="n"/>
      <c r="V891" s="469" t="n"/>
      <c r="W891" s="469" t="n"/>
      <c r="X891" s="469" t="n"/>
      <c r="Y891" s="469" t="n"/>
      <c r="Z891" s="469" t="n"/>
      <c r="AA891" s="469" t="n"/>
    </row>
    <row r="892">
      <c r="A892" s="468" t="n"/>
      <c r="B892" s="469" t="n"/>
      <c r="C892" s="469" t="n"/>
      <c r="D892" s="469" t="n"/>
      <c r="E892" s="469" t="n"/>
      <c r="F892" s="469" t="n"/>
      <c r="G892" s="469" t="n"/>
      <c r="H892" s="469" t="n"/>
      <c r="I892" s="469" t="n"/>
      <c r="J892" s="469" t="n"/>
      <c r="K892" s="469" t="n"/>
      <c r="L892" s="469" t="n"/>
      <c r="M892" s="469" t="n"/>
      <c r="N892" s="469" t="n"/>
      <c r="O892" s="469" t="n"/>
      <c r="P892" s="471" t="n"/>
      <c r="Q892" s="469" t="n"/>
      <c r="R892" s="469" t="n"/>
      <c r="S892" s="469" t="n"/>
      <c r="T892" s="469" t="n"/>
      <c r="U892" s="469" t="n"/>
      <c r="V892" s="469" t="n"/>
      <c r="W892" s="469" t="n"/>
      <c r="X892" s="469" t="n"/>
      <c r="Y892" s="469" t="n"/>
      <c r="Z892" s="469" t="n"/>
      <c r="AA892" s="469" t="n"/>
    </row>
    <row r="893">
      <c r="A893" s="468" t="n"/>
      <c r="B893" s="469" t="n"/>
      <c r="C893" s="469" t="n"/>
      <c r="D893" s="469" t="n"/>
      <c r="E893" s="469" t="n"/>
      <c r="F893" s="469" t="n"/>
      <c r="G893" s="469" t="n"/>
      <c r="H893" s="469" t="n"/>
      <c r="I893" s="469" t="n"/>
      <c r="J893" s="469" t="n"/>
      <c r="K893" s="469" t="n"/>
      <c r="L893" s="469" t="n"/>
      <c r="M893" s="469" t="n"/>
      <c r="N893" s="469" t="n"/>
      <c r="O893" s="469" t="n"/>
      <c r="P893" s="471" t="n"/>
      <c r="Q893" s="469" t="n"/>
      <c r="R893" s="469" t="n"/>
      <c r="S893" s="469" t="n"/>
      <c r="T893" s="469" t="n"/>
      <c r="U893" s="469" t="n"/>
      <c r="V893" s="469" t="n"/>
      <c r="W893" s="469" t="n"/>
      <c r="X893" s="469" t="n"/>
      <c r="Y893" s="469" t="n"/>
      <c r="Z893" s="469" t="n"/>
      <c r="AA893" s="469" t="n"/>
    </row>
    <row r="894">
      <c r="A894" s="468" t="n"/>
      <c r="B894" s="469" t="n"/>
      <c r="C894" s="469" t="n"/>
      <c r="D894" s="469" t="n"/>
      <c r="E894" s="469" t="n"/>
      <c r="F894" s="469" t="n"/>
      <c r="G894" s="469" t="n"/>
      <c r="H894" s="469" t="n"/>
      <c r="I894" s="469" t="n"/>
      <c r="J894" s="469" t="n"/>
      <c r="K894" s="469" t="n"/>
      <c r="L894" s="469" t="n"/>
      <c r="M894" s="469" t="n"/>
      <c r="N894" s="469" t="n"/>
      <c r="O894" s="469" t="n"/>
      <c r="P894" s="471" t="n"/>
      <c r="Q894" s="469" t="n"/>
      <c r="R894" s="469" t="n"/>
      <c r="S894" s="469" t="n"/>
      <c r="T894" s="469" t="n"/>
      <c r="U894" s="469" t="n"/>
      <c r="V894" s="469" t="n"/>
      <c r="W894" s="469" t="n"/>
      <c r="X894" s="469" t="n"/>
      <c r="Y894" s="469" t="n"/>
      <c r="Z894" s="469" t="n"/>
      <c r="AA894" s="469" t="n"/>
    </row>
    <row r="895">
      <c r="A895" s="468" t="n"/>
      <c r="B895" s="469" t="n"/>
      <c r="C895" s="469" t="n"/>
      <c r="D895" s="469" t="n"/>
      <c r="E895" s="469" t="n"/>
      <c r="F895" s="469" t="n"/>
      <c r="G895" s="469" t="n"/>
      <c r="H895" s="469" t="n"/>
      <c r="I895" s="469" t="n"/>
      <c r="J895" s="469" t="n"/>
      <c r="K895" s="469" t="n"/>
      <c r="L895" s="469" t="n"/>
      <c r="M895" s="469" t="n"/>
      <c r="N895" s="469" t="n"/>
      <c r="O895" s="469" t="n"/>
      <c r="P895" s="471" t="n"/>
      <c r="Q895" s="469" t="n"/>
      <c r="R895" s="469" t="n"/>
      <c r="S895" s="469" t="n"/>
      <c r="T895" s="469" t="n"/>
      <c r="U895" s="469" t="n"/>
      <c r="V895" s="469" t="n"/>
      <c r="W895" s="469" t="n"/>
      <c r="X895" s="469" t="n"/>
      <c r="Y895" s="469" t="n"/>
      <c r="Z895" s="469" t="n"/>
      <c r="AA895" s="469" t="n"/>
    </row>
    <row r="896">
      <c r="A896" s="468" t="n"/>
      <c r="B896" s="469" t="n"/>
      <c r="C896" s="469" t="n"/>
      <c r="D896" s="469" t="n"/>
      <c r="E896" s="469" t="n"/>
      <c r="F896" s="469" t="n"/>
      <c r="G896" s="469" t="n"/>
      <c r="H896" s="469" t="n"/>
      <c r="I896" s="469" t="n"/>
      <c r="J896" s="469" t="n"/>
      <c r="K896" s="469" t="n"/>
      <c r="L896" s="469" t="n"/>
      <c r="M896" s="469" t="n"/>
      <c r="N896" s="469" t="n"/>
      <c r="O896" s="469" t="n"/>
      <c r="P896" s="471" t="n"/>
      <c r="Q896" s="469" t="n"/>
      <c r="R896" s="469" t="n"/>
      <c r="S896" s="469" t="n"/>
      <c r="T896" s="469" t="n"/>
      <c r="U896" s="469" t="n"/>
      <c r="V896" s="469" t="n"/>
      <c r="W896" s="469" t="n"/>
      <c r="X896" s="469" t="n"/>
      <c r="Y896" s="469" t="n"/>
      <c r="Z896" s="469" t="n"/>
      <c r="AA896" s="469" t="n"/>
    </row>
    <row r="897">
      <c r="A897" s="468" t="n"/>
      <c r="B897" s="469" t="n"/>
      <c r="C897" s="469" t="n"/>
      <c r="D897" s="469" t="n"/>
      <c r="E897" s="469" t="n"/>
      <c r="F897" s="469" t="n"/>
      <c r="G897" s="469" t="n"/>
      <c r="H897" s="469" t="n"/>
      <c r="I897" s="469" t="n"/>
      <c r="J897" s="469" t="n"/>
      <c r="K897" s="469" t="n"/>
      <c r="L897" s="469" t="n"/>
      <c r="M897" s="469" t="n"/>
      <c r="N897" s="469" t="n"/>
      <c r="O897" s="469" t="n"/>
      <c r="P897" s="471" t="n"/>
      <c r="Q897" s="469" t="n"/>
      <c r="R897" s="469" t="n"/>
      <c r="S897" s="469" t="n"/>
      <c r="T897" s="469" t="n"/>
      <c r="U897" s="469" t="n"/>
      <c r="V897" s="469" t="n"/>
      <c r="W897" s="469" t="n"/>
      <c r="X897" s="469" t="n"/>
      <c r="Y897" s="469" t="n"/>
      <c r="Z897" s="469" t="n"/>
      <c r="AA897" s="469" t="n"/>
    </row>
    <row r="898">
      <c r="A898" s="468" t="n"/>
      <c r="B898" s="469" t="n"/>
      <c r="C898" s="469" t="n"/>
      <c r="D898" s="469" t="n"/>
      <c r="E898" s="469" t="n"/>
      <c r="F898" s="469" t="n"/>
      <c r="G898" s="469" t="n"/>
      <c r="H898" s="469" t="n"/>
      <c r="I898" s="469" t="n"/>
      <c r="J898" s="469" t="n"/>
      <c r="K898" s="469" t="n"/>
      <c r="L898" s="469" t="n"/>
      <c r="M898" s="469" t="n"/>
      <c r="N898" s="469" t="n"/>
      <c r="O898" s="469" t="n"/>
      <c r="P898" s="471" t="n"/>
      <c r="Q898" s="469" t="n"/>
      <c r="R898" s="469" t="n"/>
      <c r="S898" s="469" t="n"/>
      <c r="T898" s="469" t="n"/>
      <c r="U898" s="469" t="n"/>
      <c r="V898" s="469" t="n"/>
      <c r="W898" s="469" t="n"/>
      <c r="X898" s="469" t="n"/>
      <c r="Y898" s="469" t="n"/>
      <c r="Z898" s="469" t="n"/>
      <c r="AA898" s="469" t="n"/>
    </row>
    <row r="899">
      <c r="A899" s="468" t="n"/>
      <c r="B899" s="469" t="n"/>
      <c r="C899" s="469" t="n"/>
      <c r="D899" s="469" t="n"/>
      <c r="E899" s="469" t="n"/>
      <c r="F899" s="469" t="n"/>
      <c r="G899" s="469" t="n"/>
      <c r="H899" s="469" t="n"/>
      <c r="I899" s="469" t="n"/>
      <c r="J899" s="469" t="n"/>
      <c r="K899" s="469" t="n"/>
      <c r="L899" s="469" t="n"/>
      <c r="M899" s="469" t="n"/>
      <c r="N899" s="469" t="n"/>
      <c r="O899" s="469" t="n"/>
      <c r="P899" s="471" t="n"/>
      <c r="Q899" s="469" t="n"/>
      <c r="R899" s="469" t="n"/>
      <c r="S899" s="469" t="n"/>
      <c r="T899" s="469" t="n"/>
      <c r="U899" s="469" t="n"/>
      <c r="V899" s="469" t="n"/>
      <c r="W899" s="469" t="n"/>
      <c r="X899" s="469" t="n"/>
      <c r="Y899" s="469" t="n"/>
      <c r="Z899" s="469" t="n"/>
      <c r="AA899" s="469" t="n"/>
    </row>
    <row r="900">
      <c r="A900" s="468" t="n"/>
      <c r="B900" s="469" t="n"/>
      <c r="C900" s="469" t="n"/>
      <c r="D900" s="469" t="n"/>
      <c r="E900" s="469" t="n"/>
      <c r="F900" s="469" t="n"/>
      <c r="G900" s="469" t="n"/>
      <c r="H900" s="469" t="n"/>
      <c r="I900" s="469" t="n"/>
      <c r="J900" s="469" t="n"/>
      <c r="K900" s="469" t="n"/>
      <c r="L900" s="469" t="n"/>
      <c r="M900" s="469" t="n"/>
      <c r="N900" s="469" t="n"/>
      <c r="O900" s="469" t="n"/>
      <c r="P900" s="471" t="n"/>
      <c r="Q900" s="469" t="n"/>
      <c r="R900" s="469" t="n"/>
      <c r="S900" s="469" t="n"/>
      <c r="T900" s="469" t="n"/>
      <c r="U900" s="469" t="n"/>
      <c r="V900" s="469" t="n"/>
      <c r="W900" s="469" t="n"/>
      <c r="X900" s="469" t="n"/>
      <c r="Y900" s="469" t="n"/>
      <c r="Z900" s="469" t="n"/>
      <c r="AA900" s="469" t="n"/>
    </row>
    <row r="901">
      <c r="A901" s="468" t="n"/>
      <c r="B901" s="469" t="n"/>
      <c r="C901" s="469" t="n"/>
      <c r="D901" s="469" t="n"/>
      <c r="E901" s="469" t="n"/>
      <c r="F901" s="469" t="n"/>
      <c r="G901" s="469" t="n"/>
      <c r="H901" s="469" t="n"/>
      <c r="I901" s="469" t="n"/>
      <c r="J901" s="469" t="n"/>
      <c r="K901" s="469" t="n"/>
      <c r="L901" s="469" t="n"/>
      <c r="M901" s="469" t="n"/>
      <c r="N901" s="469" t="n"/>
      <c r="O901" s="469" t="n"/>
      <c r="P901" s="471" t="n"/>
      <c r="Q901" s="469" t="n"/>
      <c r="R901" s="469" t="n"/>
      <c r="S901" s="469" t="n"/>
      <c r="T901" s="469" t="n"/>
      <c r="U901" s="469" t="n"/>
      <c r="V901" s="469" t="n"/>
      <c r="W901" s="469" t="n"/>
      <c r="X901" s="469" t="n"/>
      <c r="Y901" s="469" t="n"/>
      <c r="Z901" s="469" t="n"/>
      <c r="AA901" s="469" t="n"/>
    </row>
    <row r="902">
      <c r="A902" s="468" t="n"/>
      <c r="B902" s="469" t="n"/>
      <c r="C902" s="469" t="n"/>
      <c r="D902" s="469" t="n"/>
      <c r="E902" s="469" t="n"/>
      <c r="F902" s="469" t="n"/>
      <c r="G902" s="469" t="n"/>
      <c r="H902" s="469" t="n"/>
      <c r="I902" s="469" t="n"/>
      <c r="J902" s="469" t="n"/>
      <c r="K902" s="469" t="n"/>
      <c r="L902" s="469" t="n"/>
      <c r="M902" s="469" t="n"/>
      <c r="N902" s="469" t="n"/>
      <c r="O902" s="469" t="n"/>
      <c r="P902" s="471" t="n"/>
      <c r="Q902" s="469" t="n"/>
      <c r="R902" s="469" t="n"/>
      <c r="S902" s="469" t="n"/>
      <c r="T902" s="469" t="n"/>
      <c r="U902" s="469" t="n"/>
      <c r="V902" s="469" t="n"/>
      <c r="W902" s="469" t="n"/>
      <c r="X902" s="469" t="n"/>
      <c r="Y902" s="469" t="n"/>
      <c r="Z902" s="469" t="n"/>
      <c r="AA902" s="469" t="n"/>
    </row>
    <row r="903">
      <c r="A903" s="468" t="n"/>
      <c r="B903" s="469" t="n"/>
      <c r="C903" s="469" t="n"/>
      <c r="D903" s="469" t="n"/>
      <c r="E903" s="469" t="n"/>
      <c r="F903" s="469" t="n"/>
      <c r="G903" s="469" t="n"/>
      <c r="H903" s="469" t="n"/>
      <c r="I903" s="469" t="n"/>
      <c r="J903" s="469" t="n"/>
      <c r="K903" s="469" t="n"/>
      <c r="L903" s="469" t="n"/>
      <c r="M903" s="469" t="n"/>
      <c r="N903" s="469" t="n"/>
      <c r="O903" s="469" t="n"/>
      <c r="P903" s="471" t="n"/>
      <c r="Q903" s="469" t="n"/>
      <c r="R903" s="469" t="n"/>
      <c r="S903" s="469" t="n"/>
      <c r="T903" s="469" t="n"/>
      <c r="U903" s="469" t="n"/>
      <c r="V903" s="469" t="n"/>
      <c r="W903" s="469" t="n"/>
      <c r="X903" s="469" t="n"/>
      <c r="Y903" s="469" t="n"/>
      <c r="Z903" s="469" t="n"/>
      <c r="AA903" s="469" t="n"/>
    </row>
    <row r="904">
      <c r="A904" s="468" t="n"/>
      <c r="B904" s="469" t="n"/>
      <c r="C904" s="469" t="n"/>
      <c r="D904" s="469" t="n"/>
      <c r="E904" s="469" t="n"/>
      <c r="F904" s="469" t="n"/>
      <c r="G904" s="469" t="n"/>
      <c r="H904" s="469" t="n"/>
      <c r="I904" s="469" t="n"/>
      <c r="J904" s="469" t="n"/>
      <c r="K904" s="469" t="n"/>
      <c r="L904" s="469" t="n"/>
      <c r="M904" s="469" t="n"/>
      <c r="N904" s="469" t="n"/>
      <c r="O904" s="469" t="n"/>
      <c r="P904" s="471" t="n"/>
      <c r="Q904" s="469" t="n"/>
      <c r="R904" s="469" t="n"/>
      <c r="S904" s="469" t="n"/>
      <c r="T904" s="469" t="n"/>
      <c r="U904" s="469" t="n"/>
      <c r="V904" s="469" t="n"/>
      <c r="W904" s="469" t="n"/>
      <c r="X904" s="469" t="n"/>
      <c r="Y904" s="469" t="n"/>
      <c r="Z904" s="469" t="n"/>
      <c r="AA904" s="469" t="n"/>
    </row>
    <row r="905">
      <c r="A905" s="468" t="n"/>
      <c r="B905" s="469" t="n"/>
      <c r="C905" s="469" t="n"/>
      <c r="D905" s="469" t="n"/>
      <c r="E905" s="469" t="n"/>
      <c r="F905" s="469" t="n"/>
      <c r="G905" s="469" t="n"/>
      <c r="H905" s="469" t="n"/>
      <c r="I905" s="469" t="n"/>
      <c r="J905" s="469" t="n"/>
      <c r="K905" s="469" t="n"/>
      <c r="L905" s="469" t="n"/>
      <c r="M905" s="469" t="n"/>
      <c r="N905" s="469" t="n"/>
      <c r="O905" s="469" t="n"/>
      <c r="P905" s="471" t="n"/>
      <c r="Q905" s="469" t="n"/>
      <c r="R905" s="469" t="n"/>
      <c r="S905" s="469" t="n"/>
      <c r="T905" s="469" t="n"/>
      <c r="U905" s="469" t="n"/>
      <c r="V905" s="469" t="n"/>
      <c r="W905" s="469" t="n"/>
      <c r="X905" s="469" t="n"/>
      <c r="Y905" s="469" t="n"/>
      <c r="Z905" s="469" t="n"/>
      <c r="AA905" s="469" t="n"/>
    </row>
    <row r="906">
      <c r="A906" s="468" t="n"/>
      <c r="B906" s="469" t="n"/>
      <c r="C906" s="469" t="n"/>
      <c r="D906" s="469" t="n"/>
      <c r="E906" s="469" t="n"/>
      <c r="F906" s="469" t="n"/>
      <c r="G906" s="469" t="n"/>
      <c r="H906" s="469" t="n"/>
      <c r="I906" s="469" t="n"/>
      <c r="J906" s="469" t="n"/>
      <c r="K906" s="469" t="n"/>
      <c r="L906" s="469" t="n"/>
      <c r="M906" s="469" t="n"/>
      <c r="N906" s="469" t="n"/>
      <c r="O906" s="469" t="n"/>
      <c r="P906" s="471" t="n"/>
      <c r="Q906" s="469" t="n"/>
      <c r="R906" s="469" t="n"/>
      <c r="S906" s="469" t="n"/>
      <c r="T906" s="469" t="n"/>
      <c r="U906" s="469" t="n"/>
      <c r="V906" s="469" t="n"/>
      <c r="W906" s="469" t="n"/>
      <c r="X906" s="469" t="n"/>
      <c r="Y906" s="469" t="n"/>
      <c r="Z906" s="469" t="n"/>
      <c r="AA906" s="469" t="n"/>
    </row>
    <row r="907">
      <c r="A907" s="468" t="n"/>
      <c r="B907" s="469" t="n"/>
      <c r="C907" s="469" t="n"/>
      <c r="D907" s="469" t="n"/>
      <c r="E907" s="469" t="n"/>
      <c r="F907" s="469" t="n"/>
      <c r="G907" s="469" t="n"/>
      <c r="H907" s="469" t="n"/>
      <c r="I907" s="469" t="n"/>
      <c r="J907" s="469" t="n"/>
      <c r="K907" s="469" t="n"/>
      <c r="L907" s="469" t="n"/>
      <c r="M907" s="469" t="n"/>
      <c r="N907" s="469" t="n"/>
      <c r="O907" s="469" t="n"/>
      <c r="P907" s="471" t="n"/>
      <c r="Q907" s="469" t="n"/>
      <c r="R907" s="469" t="n"/>
      <c r="S907" s="469" t="n"/>
      <c r="T907" s="469" t="n"/>
      <c r="U907" s="469" t="n"/>
      <c r="V907" s="469" t="n"/>
      <c r="W907" s="469" t="n"/>
      <c r="X907" s="469" t="n"/>
      <c r="Y907" s="469" t="n"/>
      <c r="Z907" s="469" t="n"/>
      <c r="AA907" s="469" t="n"/>
    </row>
    <row r="908">
      <c r="A908" s="468" t="n"/>
      <c r="B908" s="469" t="n"/>
      <c r="C908" s="469" t="n"/>
      <c r="D908" s="469" t="n"/>
      <c r="E908" s="469" t="n"/>
      <c r="F908" s="469" t="n"/>
      <c r="G908" s="469" t="n"/>
      <c r="H908" s="469" t="n"/>
      <c r="I908" s="469" t="n"/>
      <c r="J908" s="469" t="n"/>
      <c r="K908" s="469" t="n"/>
      <c r="L908" s="469" t="n"/>
      <c r="M908" s="469" t="n"/>
      <c r="N908" s="469" t="n"/>
      <c r="O908" s="469" t="n"/>
      <c r="P908" s="471" t="n"/>
      <c r="Q908" s="469" t="n"/>
      <c r="R908" s="469" t="n"/>
      <c r="S908" s="469" t="n"/>
      <c r="T908" s="469" t="n"/>
      <c r="U908" s="469" t="n"/>
      <c r="V908" s="469" t="n"/>
      <c r="W908" s="469" t="n"/>
      <c r="X908" s="469" t="n"/>
      <c r="Y908" s="469" t="n"/>
      <c r="Z908" s="469" t="n"/>
      <c r="AA908" s="469" t="n"/>
    </row>
    <row r="909">
      <c r="A909" s="468" t="n"/>
      <c r="B909" s="469" t="n"/>
      <c r="C909" s="469" t="n"/>
      <c r="D909" s="469" t="n"/>
      <c r="E909" s="469" t="n"/>
      <c r="F909" s="469" t="n"/>
      <c r="G909" s="469" t="n"/>
      <c r="H909" s="469" t="n"/>
      <c r="I909" s="469" t="n"/>
      <c r="J909" s="469" t="n"/>
      <c r="K909" s="469" t="n"/>
      <c r="L909" s="469" t="n"/>
      <c r="M909" s="469" t="n"/>
      <c r="N909" s="469" t="n"/>
      <c r="O909" s="469" t="n"/>
      <c r="P909" s="471" t="n"/>
      <c r="Q909" s="469" t="n"/>
      <c r="R909" s="469" t="n"/>
      <c r="S909" s="469" t="n"/>
      <c r="T909" s="469" t="n"/>
      <c r="U909" s="469" t="n"/>
      <c r="V909" s="469" t="n"/>
      <c r="W909" s="469" t="n"/>
      <c r="X909" s="469" t="n"/>
      <c r="Y909" s="469" t="n"/>
      <c r="Z909" s="469" t="n"/>
      <c r="AA909" s="469" t="n"/>
    </row>
    <row r="910">
      <c r="A910" s="468" t="n"/>
      <c r="B910" s="469" t="n"/>
      <c r="C910" s="469" t="n"/>
      <c r="D910" s="469" t="n"/>
      <c r="E910" s="469" t="n"/>
      <c r="F910" s="469" t="n"/>
      <c r="G910" s="469" t="n"/>
      <c r="H910" s="469" t="n"/>
      <c r="I910" s="469" t="n"/>
      <c r="J910" s="469" t="n"/>
      <c r="K910" s="469" t="n"/>
      <c r="L910" s="469" t="n"/>
      <c r="M910" s="469" t="n"/>
      <c r="N910" s="469" t="n"/>
      <c r="O910" s="469" t="n"/>
      <c r="P910" s="471" t="n"/>
      <c r="Q910" s="469" t="n"/>
      <c r="R910" s="469" t="n"/>
      <c r="S910" s="469" t="n"/>
      <c r="T910" s="469" t="n"/>
      <c r="U910" s="469" t="n"/>
      <c r="V910" s="469" t="n"/>
      <c r="W910" s="469" t="n"/>
      <c r="X910" s="469" t="n"/>
      <c r="Y910" s="469" t="n"/>
      <c r="Z910" s="469" t="n"/>
      <c r="AA910" s="469" t="n"/>
    </row>
    <row r="911">
      <c r="A911" s="468" t="n"/>
      <c r="B911" s="469" t="n"/>
      <c r="C911" s="469" t="n"/>
      <c r="D911" s="469" t="n"/>
      <c r="E911" s="469" t="n"/>
      <c r="F911" s="469" t="n"/>
      <c r="G911" s="469" t="n"/>
      <c r="H911" s="469" t="n"/>
      <c r="I911" s="469" t="n"/>
      <c r="J911" s="469" t="n"/>
      <c r="K911" s="469" t="n"/>
      <c r="L911" s="469" t="n"/>
      <c r="M911" s="469" t="n"/>
      <c r="N911" s="469" t="n"/>
      <c r="O911" s="469" t="n"/>
      <c r="P911" s="471" t="n"/>
      <c r="Q911" s="469" t="n"/>
      <c r="R911" s="469" t="n"/>
      <c r="S911" s="469" t="n"/>
      <c r="T911" s="469" t="n"/>
      <c r="U911" s="469" t="n"/>
      <c r="V911" s="469" t="n"/>
      <c r="W911" s="469" t="n"/>
      <c r="X911" s="469" t="n"/>
      <c r="Y911" s="469" t="n"/>
      <c r="Z911" s="469" t="n"/>
      <c r="AA911" s="469" t="n"/>
    </row>
    <row r="912">
      <c r="A912" s="468" t="n"/>
      <c r="B912" s="469" t="n"/>
      <c r="C912" s="469" t="n"/>
      <c r="D912" s="469" t="n"/>
      <c r="E912" s="469" t="n"/>
      <c r="F912" s="469" t="n"/>
      <c r="G912" s="469" t="n"/>
      <c r="H912" s="469" t="n"/>
      <c r="I912" s="469" t="n"/>
      <c r="J912" s="469" t="n"/>
      <c r="K912" s="469" t="n"/>
      <c r="L912" s="469" t="n"/>
      <c r="M912" s="469" t="n"/>
      <c r="N912" s="469" t="n"/>
      <c r="O912" s="469" t="n"/>
      <c r="P912" s="471" t="n"/>
      <c r="Q912" s="469" t="n"/>
      <c r="R912" s="469" t="n"/>
      <c r="S912" s="469" t="n"/>
      <c r="T912" s="469" t="n"/>
      <c r="U912" s="469" t="n"/>
      <c r="V912" s="469" t="n"/>
      <c r="W912" s="469" t="n"/>
      <c r="X912" s="469" t="n"/>
      <c r="Y912" s="469" t="n"/>
      <c r="Z912" s="469" t="n"/>
      <c r="AA912" s="469" t="n"/>
    </row>
    <row r="913">
      <c r="A913" s="468" t="n"/>
      <c r="B913" s="469" t="n"/>
      <c r="C913" s="469" t="n"/>
      <c r="D913" s="469" t="n"/>
      <c r="E913" s="469" t="n"/>
      <c r="F913" s="469" t="n"/>
      <c r="G913" s="469" t="n"/>
      <c r="H913" s="469" t="n"/>
      <c r="I913" s="469" t="n"/>
      <c r="J913" s="469" t="n"/>
      <c r="K913" s="469" t="n"/>
      <c r="L913" s="469" t="n"/>
      <c r="M913" s="469" t="n"/>
      <c r="N913" s="469" t="n"/>
      <c r="O913" s="469" t="n"/>
      <c r="P913" s="471" t="n"/>
      <c r="Q913" s="469" t="n"/>
      <c r="R913" s="469" t="n"/>
      <c r="S913" s="469" t="n"/>
      <c r="T913" s="469" t="n"/>
      <c r="U913" s="469" t="n"/>
      <c r="V913" s="469" t="n"/>
      <c r="W913" s="469" t="n"/>
      <c r="X913" s="469" t="n"/>
      <c r="Y913" s="469" t="n"/>
      <c r="Z913" s="469" t="n"/>
      <c r="AA913" s="469" t="n"/>
    </row>
    <row r="914">
      <c r="A914" s="468" t="n"/>
      <c r="B914" s="469" t="n"/>
      <c r="C914" s="469" t="n"/>
      <c r="D914" s="469" t="n"/>
      <c r="E914" s="469" t="n"/>
      <c r="F914" s="469" t="n"/>
      <c r="G914" s="469" t="n"/>
      <c r="H914" s="469" t="n"/>
      <c r="I914" s="469" t="n"/>
      <c r="J914" s="469" t="n"/>
      <c r="K914" s="469" t="n"/>
      <c r="L914" s="469" t="n"/>
      <c r="M914" s="469" t="n"/>
      <c r="N914" s="469" t="n"/>
      <c r="O914" s="469" t="n"/>
      <c r="P914" s="471" t="n"/>
      <c r="Q914" s="469" t="n"/>
      <c r="R914" s="469" t="n"/>
      <c r="S914" s="469" t="n"/>
      <c r="T914" s="469" t="n"/>
      <c r="U914" s="469" t="n"/>
      <c r="V914" s="469" t="n"/>
      <c r="W914" s="469" t="n"/>
      <c r="X914" s="469" t="n"/>
      <c r="Y914" s="469" t="n"/>
      <c r="Z914" s="469" t="n"/>
      <c r="AA914" s="469" t="n"/>
    </row>
    <row r="915">
      <c r="A915" s="468" t="n"/>
      <c r="B915" s="469" t="n"/>
      <c r="C915" s="469" t="n"/>
      <c r="D915" s="469" t="n"/>
      <c r="E915" s="469" t="n"/>
      <c r="F915" s="469" t="n"/>
      <c r="G915" s="469" t="n"/>
      <c r="H915" s="469" t="n"/>
      <c r="I915" s="469" t="n"/>
      <c r="J915" s="469" t="n"/>
      <c r="K915" s="469" t="n"/>
      <c r="L915" s="469" t="n"/>
      <c r="M915" s="469" t="n"/>
      <c r="N915" s="469" t="n"/>
      <c r="O915" s="469" t="n"/>
      <c r="P915" s="471" t="n"/>
      <c r="Q915" s="469" t="n"/>
      <c r="R915" s="469" t="n"/>
      <c r="S915" s="469" t="n"/>
      <c r="T915" s="469" t="n"/>
      <c r="U915" s="469" t="n"/>
      <c r="V915" s="469" t="n"/>
      <c r="W915" s="469" t="n"/>
      <c r="X915" s="469" t="n"/>
      <c r="Y915" s="469" t="n"/>
      <c r="Z915" s="469" t="n"/>
      <c r="AA915" s="469" t="n"/>
    </row>
    <row r="916">
      <c r="A916" s="468" t="n"/>
      <c r="B916" s="469" t="n"/>
      <c r="C916" s="469" t="n"/>
      <c r="D916" s="469" t="n"/>
      <c r="E916" s="469" t="n"/>
      <c r="F916" s="469" t="n"/>
      <c r="G916" s="469" t="n"/>
      <c r="H916" s="469" t="n"/>
      <c r="I916" s="469" t="n"/>
      <c r="J916" s="469" t="n"/>
      <c r="K916" s="469" t="n"/>
      <c r="L916" s="469" t="n"/>
      <c r="M916" s="469" t="n"/>
      <c r="N916" s="469" t="n"/>
      <c r="O916" s="469" t="n"/>
      <c r="P916" s="471" t="n"/>
      <c r="Q916" s="469" t="n"/>
      <c r="R916" s="469" t="n"/>
      <c r="S916" s="469" t="n"/>
      <c r="T916" s="469" t="n"/>
      <c r="U916" s="469" t="n"/>
      <c r="V916" s="469" t="n"/>
      <c r="W916" s="469" t="n"/>
      <c r="X916" s="469" t="n"/>
      <c r="Y916" s="469" t="n"/>
      <c r="Z916" s="469" t="n"/>
      <c r="AA916" s="469" t="n"/>
    </row>
    <row r="917">
      <c r="A917" s="468" t="n"/>
      <c r="B917" s="469" t="n"/>
      <c r="C917" s="469" t="n"/>
      <c r="D917" s="469" t="n"/>
      <c r="E917" s="469" t="n"/>
      <c r="F917" s="469" t="n"/>
      <c r="G917" s="469" t="n"/>
      <c r="H917" s="469" t="n"/>
      <c r="I917" s="469" t="n"/>
      <c r="J917" s="469" t="n"/>
      <c r="K917" s="469" t="n"/>
      <c r="L917" s="469" t="n"/>
      <c r="M917" s="469" t="n"/>
      <c r="N917" s="469" t="n"/>
      <c r="O917" s="469" t="n"/>
      <c r="P917" s="471" t="n"/>
      <c r="Q917" s="469" t="n"/>
      <c r="R917" s="469" t="n"/>
      <c r="S917" s="469" t="n"/>
      <c r="T917" s="469" t="n"/>
      <c r="U917" s="469" t="n"/>
      <c r="V917" s="469" t="n"/>
      <c r="W917" s="469" t="n"/>
      <c r="X917" s="469" t="n"/>
      <c r="Y917" s="469" t="n"/>
      <c r="Z917" s="469" t="n"/>
      <c r="AA917" s="469" t="n"/>
    </row>
    <row r="918">
      <c r="A918" s="468" t="n"/>
      <c r="B918" s="469" t="n"/>
      <c r="C918" s="469" t="n"/>
      <c r="D918" s="469" t="n"/>
      <c r="E918" s="469" t="n"/>
      <c r="F918" s="469" t="n"/>
      <c r="G918" s="469" t="n"/>
      <c r="H918" s="469" t="n"/>
      <c r="I918" s="469" t="n"/>
      <c r="J918" s="469" t="n"/>
      <c r="K918" s="469" t="n"/>
      <c r="L918" s="469" t="n"/>
      <c r="M918" s="469" t="n"/>
      <c r="N918" s="469" t="n"/>
      <c r="O918" s="469" t="n"/>
      <c r="P918" s="471" t="n"/>
      <c r="Q918" s="469" t="n"/>
      <c r="R918" s="469" t="n"/>
      <c r="S918" s="469" t="n"/>
      <c r="T918" s="469" t="n"/>
      <c r="U918" s="469" t="n"/>
      <c r="V918" s="469" t="n"/>
      <c r="W918" s="469" t="n"/>
      <c r="X918" s="469" t="n"/>
      <c r="Y918" s="469" t="n"/>
      <c r="Z918" s="469" t="n"/>
      <c r="AA918" s="469" t="n"/>
    </row>
    <row r="919">
      <c r="A919" s="468" t="n"/>
      <c r="B919" s="469" t="n"/>
      <c r="C919" s="469" t="n"/>
      <c r="D919" s="469" t="n"/>
      <c r="E919" s="469" t="n"/>
      <c r="F919" s="469" t="n"/>
      <c r="G919" s="469" t="n"/>
      <c r="H919" s="469" t="n"/>
      <c r="I919" s="469" t="n"/>
      <c r="J919" s="469" t="n"/>
      <c r="K919" s="469" t="n"/>
      <c r="L919" s="469" t="n"/>
      <c r="M919" s="469" t="n"/>
      <c r="N919" s="469" t="n"/>
      <c r="O919" s="469" t="n"/>
      <c r="P919" s="471" t="n"/>
      <c r="Q919" s="469" t="n"/>
      <c r="R919" s="469" t="n"/>
      <c r="S919" s="469" t="n"/>
      <c r="T919" s="469" t="n"/>
      <c r="U919" s="469" t="n"/>
      <c r="V919" s="469" t="n"/>
      <c r="W919" s="469" t="n"/>
      <c r="X919" s="469" t="n"/>
      <c r="Y919" s="469" t="n"/>
      <c r="Z919" s="469" t="n"/>
      <c r="AA919" s="469" t="n"/>
    </row>
    <row r="920">
      <c r="A920" s="468" t="n"/>
      <c r="B920" s="469" t="n"/>
      <c r="C920" s="469" t="n"/>
      <c r="D920" s="469" t="n"/>
      <c r="E920" s="469" t="n"/>
      <c r="F920" s="469" t="n"/>
      <c r="G920" s="469" t="n"/>
      <c r="H920" s="469" t="n"/>
      <c r="I920" s="469" t="n"/>
      <c r="J920" s="469" t="n"/>
      <c r="K920" s="469" t="n"/>
      <c r="L920" s="469" t="n"/>
      <c r="M920" s="469" t="n"/>
      <c r="N920" s="469" t="n"/>
      <c r="O920" s="469" t="n"/>
      <c r="P920" s="471" t="n"/>
      <c r="Q920" s="469" t="n"/>
      <c r="R920" s="469" t="n"/>
      <c r="S920" s="469" t="n"/>
      <c r="T920" s="469" t="n"/>
      <c r="U920" s="469" t="n"/>
      <c r="V920" s="469" t="n"/>
      <c r="W920" s="469" t="n"/>
      <c r="X920" s="469" t="n"/>
      <c r="Y920" s="469" t="n"/>
      <c r="Z920" s="469" t="n"/>
      <c r="AA920" s="469" t="n"/>
    </row>
    <row r="921">
      <c r="A921" s="468" t="n"/>
      <c r="B921" s="469" t="n"/>
      <c r="C921" s="469" t="n"/>
      <c r="D921" s="469" t="n"/>
      <c r="E921" s="469" t="n"/>
      <c r="F921" s="469" t="n"/>
      <c r="G921" s="469" t="n"/>
      <c r="H921" s="469" t="n"/>
      <c r="I921" s="469" t="n"/>
      <c r="J921" s="469" t="n"/>
      <c r="K921" s="469" t="n"/>
      <c r="L921" s="469" t="n"/>
      <c r="M921" s="469" t="n"/>
      <c r="N921" s="469" t="n"/>
      <c r="O921" s="469" t="n"/>
      <c r="P921" s="471" t="n"/>
      <c r="Q921" s="469" t="n"/>
      <c r="R921" s="469" t="n"/>
      <c r="S921" s="469" t="n"/>
      <c r="T921" s="469" t="n"/>
      <c r="U921" s="469" t="n"/>
      <c r="V921" s="469" t="n"/>
      <c r="W921" s="469" t="n"/>
      <c r="X921" s="469" t="n"/>
      <c r="Y921" s="469" t="n"/>
      <c r="Z921" s="469" t="n"/>
      <c r="AA921" s="469" t="n"/>
    </row>
    <row r="922">
      <c r="A922" s="468" t="n"/>
      <c r="B922" s="469" t="n"/>
      <c r="C922" s="469" t="n"/>
      <c r="D922" s="469" t="n"/>
      <c r="E922" s="469" t="n"/>
      <c r="F922" s="469" t="n"/>
      <c r="G922" s="469" t="n"/>
      <c r="H922" s="469" t="n"/>
      <c r="I922" s="469" t="n"/>
      <c r="J922" s="469" t="n"/>
      <c r="K922" s="469" t="n"/>
      <c r="L922" s="469" t="n"/>
      <c r="M922" s="469" t="n"/>
      <c r="N922" s="469" t="n"/>
      <c r="O922" s="469" t="n"/>
      <c r="P922" s="471" t="n"/>
      <c r="Q922" s="469" t="n"/>
      <c r="R922" s="469" t="n"/>
      <c r="S922" s="469" t="n"/>
      <c r="T922" s="469" t="n"/>
      <c r="U922" s="469" t="n"/>
      <c r="V922" s="469" t="n"/>
      <c r="W922" s="469" t="n"/>
      <c r="X922" s="469" t="n"/>
      <c r="Y922" s="469" t="n"/>
      <c r="Z922" s="469" t="n"/>
      <c r="AA922" s="469" t="n"/>
    </row>
    <row r="923">
      <c r="A923" s="468" t="n"/>
      <c r="B923" s="469" t="n"/>
      <c r="C923" s="469" t="n"/>
      <c r="D923" s="469" t="n"/>
      <c r="E923" s="469" t="n"/>
      <c r="F923" s="469" t="n"/>
      <c r="G923" s="469" t="n"/>
      <c r="H923" s="469" t="n"/>
      <c r="I923" s="469" t="n"/>
      <c r="J923" s="469" t="n"/>
      <c r="K923" s="469" t="n"/>
      <c r="L923" s="469" t="n"/>
      <c r="M923" s="469" t="n"/>
      <c r="N923" s="469" t="n"/>
      <c r="O923" s="469" t="n"/>
      <c r="P923" s="471" t="n"/>
      <c r="Q923" s="469" t="n"/>
      <c r="R923" s="469" t="n"/>
      <c r="S923" s="469" t="n"/>
      <c r="T923" s="469" t="n"/>
      <c r="U923" s="469" t="n"/>
      <c r="V923" s="469" t="n"/>
      <c r="W923" s="469" t="n"/>
      <c r="X923" s="469" t="n"/>
      <c r="Y923" s="469" t="n"/>
      <c r="Z923" s="469" t="n"/>
      <c r="AA923" s="469" t="n"/>
    </row>
    <row r="924">
      <c r="A924" s="468" t="n"/>
      <c r="B924" s="469" t="n"/>
      <c r="C924" s="469" t="n"/>
      <c r="D924" s="469" t="n"/>
      <c r="E924" s="469" t="n"/>
      <c r="F924" s="469" t="n"/>
      <c r="G924" s="469" t="n"/>
      <c r="H924" s="469" t="n"/>
      <c r="I924" s="469" t="n"/>
      <c r="J924" s="469" t="n"/>
      <c r="K924" s="469" t="n"/>
      <c r="L924" s="469" t="n"/>
      <c r="M924" s="469" t="n"/>
      <c r="N924" s="469" t="n"/>
      <c r="O924" s="469" t="n"/>
      <c r="P924" s="471" t="n"/>
      <c r="Q924" s="469" t="n"/>
      <c r="R924" s="469" t="n"/>
      <c r="S924" s="469" t="n"/>
      <c r="T924" s="469" t="n"/>
      <c r="U924" s="469" t="n"/>
      <c r="V924" s="469" t="n"/>
      <c r="W924" s="469" t="n"/>
      <c r="X924" s="469" t="n"/>
      <c r="Y924" s="469" t="n"/>
      <c r="Z924" s="469" t="n"/>
      <c r="AA924" s="469" t="n"/>
    </row>
    <row r="925">
      <c r="A925" s="468" t="n"/>
      <c r="B925" s="469" t="n"/>
      <c r="C925" s="469" t="n"/>
      <c r="D925" s="469" t="n"/>
      <c r="E925" s="469" t="n"/>
      <c r="F925" s="469" t="n"/>
      <c r="G925" s="469" t="n"/>
      <c r="H925" s="469" t="n"/>
      <c r="I925" s="469" t="n"/>
      <c r="J925" s="469" t="n"/>
      <c r="K925" s="469" t="n"/>
      <c r="L925" s="469" t="n"/>
      <c r="M925" s="469" t="n"/>
      <c r="N925" s="469" t="n"/>
      <c r="O925" s="469" t="n"/>
      <c r="P925" s="471" t="n"/>
      <c r="Q925" s="469" t="n"/>
      <c r="R925" s="469" t="n"/>
      <c r="S925" s="469" t="n"/>
      <c r="T925" s="469" t="n"/>
      <c r="U925" s="469" t="n"/>
      <c r="V925" s="469" t="n"/>
      <c r="W925" s="469" t="n"/>
      <c r="X925" s="469" t="n"/>
      <c r="Y925" s="469" t="n"/>
      <c r="Z925" s="469" t="n"/>
      <c r="AA925" s="469" t="n"/>
    </row>
    <row r="926">
      <c r="A926" s="468" t="n"/>
      <c r="B926" s="469" t="n"/>
      <c r="C926" s="469" t="n"/>
      <c r="D926" s="469" t="n"/>
      <c r="E926" s="469" t="n"/>
      <c r="F926" s="469" t="n"/>
      <c r="G926" s="469" t="n"/>
      <c r="H926" s="469" t="n"/>
      <c r="I926" s="469" t="n"/>
      <c r="J926" s="469" t="n"/>
      <c r="K926" s="469" t="n"/>
      <c r="L926" s="469" t="n"/>
      <c r="M926" s="469" t="n"/>
      <c r="N926" s="469" t="n"/>
      <c r="O926" s="469" t="n"/>
      <c r="P926" s="471" t="n"/>
      <c r="Q926" s="469" t="n"/>
      <c r="R926" s="469" t="n"/>
      <c r="S926" s="469" t="n"/>
      <c r="T926" s="469" t="n"/>
      <c r="U926" s="469" t="n"/>
      <c r="V926" s="469" t="n"/>
      <c r="W926" s="469" t="n"/>
      <c r="X926" s="469" t="n"/>
      <c r="Y926" s="469" t="n"/>
      <c r="Z926" s="469" t="n"/>
      <c r="AA926" s="469" t="n"/>
    </row>
    <row r="927">
      <c r="A927" s="468" t="n"/>
      <c r="B927" s="469" t="n"/>
      <c r="C927" s="469" t="n"/>
      <c r="D927" s="469" t="n"/>
      <c r="E927" s="469" t="n"/>
      <c r="F927" s="469" t="n"/>
      <c r="G927" s="469" t="n"/>
      <c r="H927" s="469" t="n"/>
      <c r="I927" s="469" t="n"/>
      <c r="J927" s="469" t="n"/>
      <c r="K927" s="469" t="n"/>
      <c r="L927" s="469" t="n"/>
      <c r="M927" s="469" t="n"/>
      <c r="N927" s="469" t="n"/>
      <c r="O927" s="469" t="n"/>
      <c r="P927" s="471" t="n"/>
      <c r="Q927" s="469" t="n"/>
      <c r="R927" s="469" t="n"/>
      <c r="S927" s="469" t="n"/>
      <c r="T927" s="469" t="n"/>
      <c r="U927" s="469" t="n"/>
      <c r="V927" s="469" t="n"/>
      <c r="W927" s="469" t="n"/>
      <c r="X927" s="469" t="n"/>
      <c r="Y927" s="469" t="n"/>
      <c r="Z927" s="469" t="n"/>
      <c r="AA927" s="469" t="n"/>
    </row>
    <row r="928">
      <c r="A928" s="468" t="n"/>
      <c r="B928" s="469" t="n"/>
      <c r="C928" s="469" t="n"/>
      <c r="D928" s="469" t="n"/>
      <c r="E928" s="469" t="n"/>
      <c r="F928" s="469" t="n"/>
      <c r="G928" s="469" t="n"/>
      <c r="H928" s="469" t="n"/>
      <c r="I928" s="469" t="n"/>
      <c r="J928" s="469" t="n"/>
      <c r="K928" s="469" t="n"/>
      <c r="L928" s="469" t="n"/>
      <c r="M928" s="469" t="n"/>
      <c r="N928" s="469" t="n"/>
      <c r="O928" s="469" t="n"/>
      <c r="P928" s="471" t="n"/>
      <c r="Q928" s="469" t="n"/>
      <c r="R928" s="469" t="n"/>
      <c r="S928" s="469" t="n"/>
      <c r="T928" s="469" t="n"/>
      <c r="U928" s="469" t="n"/>
      <c r="V928" s="469" t="n"/>
      <c r="W928" s="469" t="n"/>
      <c r="X928" s="469" t="n"/>
      <c r="Y928" s="469" t="n"/>
      <c r="Z928" s="469" t="n"/>
      <c r="AA928" s="469" t="n"/>
    </row>
    <row r="929">
      <c r="A929" s="468" t="n"/>
      <c r="B929" s="469" t="n"/>
      <c r="C929" s="469" t="n"/>
      <c r="D929" s="469" t="n"/>
      <c r="E929" s="469" t="n"/>
      <c r="F929" s="469" t="n"/>
      <c r="G929" s="469" t="n"/>
      <c r="H929" s="469" t="n"/>
      <c r="I929" s="469" t="n"/>
      <c r="J929" s="469" t="n"/>
      <c r="K929" s="469" t="n"/>
      <c r="L929" s="469" t="n"/>
      <c r="M929" s="469" t="n"/>
      <c r="N929" s="469" t="n"/>
      <c r="O929" s="469" t="n"/>
      <c r="P929" s="471" t="n"/>
      <c r="Q929" s="469" t="n"/>
      <c r="R929" s="469" t="n"/>
      <c r="S929" s="469" t="n"/>
      <c r="T929" s="469" t="n"/>
      <c r="U929" s="469" t="n"/>
      <c r="V929" s="469" t="n"/>
      <c r="W929" s="469" t="n"/>
      <c r="X929" s="469" t="n"/>
      <c r="Y929" s="469" t="n"/>
      <c r="Z929" s="469" t="n"/>
      <c r="AA929" s="469" t="n"/>
    </row>
    <row r="930">
      <c r="A930" s="468" t="n"/>
      <c r="B930" s="469" t="n"/>
      <c r="C930" s="469" t="n"/>
      <c r="D930" s="469" t="n"/>
      <c r="E930" s="469" t="n"/>
      <c r="F930" s="469" t="n"/>
      <c r="G930" s="469" t="n"/>
      <c r="H930" s="469" t="n"/>
      <c r="I930" s="469" t="n"/>
      <c r="J930" s="469" t="n"/>
      <c r="K930" s="469" t="n"/>
      <c r="L930" s="469" t="n"/>
      <c r="M930" s="469" t="n"/>
      <c r="N930" s="469" t="n"/>
      <c r="O930" s="469" t="n"/>
      <c r="P930" s="471" t="n"/>
      <c r="Q930" s="469" t="n"/>
      <c r="R930" s="469" t="n"/>
      <c r="S930" s="469" t="n"/>
      <c r="T930" s="469" t="n"/>
      <c r="U930" s="469" t="n"/>
      <c r="V930" s="469" t="n"/>
      <c r="W930" s="469" t="n"/>
      <c r="X930" s="469" t="n"/>
      <c r="Y930" s="469" t="n"/>
      <c r="Z930" s="469" t="n"/>
      <c r="AA930" s="469" t="n"/>
    </row>
    <row r="931">
      <c r="A931" s="468" t="n"/>
      <c r="B931" s="469" t="n"/>
      <c r="C931" s="469" t="n"/>
      <c r="D931" s="469" t="n"/>
      <c r="E931" s="469" t="n"/>
      <c r="F931" s="469" t="n"/>
      <c r="G931" s="469" t="n"/>
      <c r="H931" s="469" t="n"/>
      <c r="I931" s="469" t="n"/>
      <c r="J931" s="469" t="n"/>
      <c r="K931" s="469" t="n"/>
      <c r="L931" s="469" t="n"/>
      <c r="M931" s="469" t="n"/>
      <c r="N931" s="469" t="n"/>
      <c r="O931" s="469" t="n"/>
      <c r="P931" s="471" t="n"/>
      <c r="Q931" s="469" t="n"/>
      <c r="R931" s="469" t="n"/>
      <c r="S931" s="469" t="n"/>
      <c r="T931" s="469" t="n"/>
      <c r="U931" s="469" t="n"/>
      <c r="V931" s="469" t="n"/>
      <c r="W931" s="469" t="n"/>
      <c r="X931" s="469" t="n"/>
      <c r="Y931" s="469" t="n"/>
      <c r="Z931" s="469" t="n"/>
      <c r="AA931" s="469" t="n"/>
    </row>
    <row r="932">
      <c r="A932" s="468" t="n"/>
      <c r="B932" s="469" t="n"/>
      <c r="C932" s="469" t="n"/>
      <c r="D932" s="469" t="n"/>
      <c r="E932" s="469" t="n"/>
      <c r="F932" s="469" t="n"/>
      <c r="G932" s="469" t="n"/>
      <c r="H932" s="469" t="n"/>
      <c r="I932" s="469" t="n"/>
      <c r="J932" s="469" t="n"/>
      <c r="K932" s="469" t="n"/>
      <c r="L932" s="469" t="n"/>
      <c r="M932" s="469" t="n"/>
      <c r="N932" s="469" t="n"/>
      <c r="O932" s="469" t="n"/>
      <c r="P932" s="471" t="n"/>
      <c r="Q932" s="469" t="n"/>
      <c r="R932" s="469" t="n"/>
      <c r="S932" s="469" t="n"/>
      <c r="T932" s="469" t="n"/>
      <c r="U932" s="469" t="n"/>
      <c r="V932" s="469" t="n"/>
      <c r="W932" s="469" t="n"/>
      <c r="X932" s="469" t="n"/>
      <c r="Y932" s="469" t="n"/>
      <c r="Z932" s="469" t="n"/>
      <c r="AA932" s="469" t="n"/>
    </row>
    <row r="933">
      <c r="A933" s="468" t="n"/>
      <c r="B933" s="469" t="n"/>
      <c r="C933" s="469" t="n"/>
      <c r="D933" s="469" t="n"/>
      <c r="E933" s="469" t="n"/>
      <c r="F933" s="469" t="n"/>
      <c r="G933" s="469" t="n"/>
      <c r="H933" s="469" t="n"/>
      <c r="I933" s="469" t="n"/>
      <c r="J933" s="469" t="n"/>
      <c r="K933" s="469" t="n"/>
      <c r="L933" s="469" t="n"/>
      <c r="M933" s="469" t="n"/>
      <c r="N933" s="469" t="n"/>
      <c r="O933" s="469" t="n"/>
      <c r="P933" s="471" t="n"/>
      <c r="Q933" s="469" t="n"/>
      <c r="R933" s="469" t="n"/>
      <c r="S933" s="469" t="n"/>
      <c r="T933" s="469" t="n"/>
      <c r="U933" s="469" t="n"/>
      <c r="V933" s="469" t="n"/>
      <c r="W933" s="469" t="n"/>
      <c r="X933" s="469" t="n"/>
      <c r="Y933" s="469" t="n"/>
      <c r="Z933" s="469" t="n"/>
      <c r="AA933" s="469" t="n"/>
    </row>
    <row r="934">
      <c r="A934" s="468" t="n"/>
      <c r="B934" s="469" t="n"/>
      <c r="C934" s="469" t="n"/>
      <c r="D934" s="469" t="n"/>
      <c r="E934" s="469" t="n"/>
      <c r="F934" s="469" t="n"/>
      <c r="G934" s="469" t="n"/>
      <c r="H934" s="469" t="n"/>
      <c r="I934" s="469" t="n"/>
      <c r="J934" s="469" t="n"/>
      <c r="K934" s="469" t="n"/>
      <c r="L934" s="469" t="n"/>
      <c r="M934" s="469" t="n"/>
      <c r="N934" s="469" t="n"/>
      <c r="O934" s="469" t="n"/>
      <c r="P934" s="471" t="n"/>
      <c r="Q934" s="469" t="n"/>
      <c r="R934" s="469" t="n"/>
      <c r="S934" s="469" t="n"/>
      <c r="T934" s="469" t="n"/>
      <c r="U934" s="469" t="n"/>
      <c r="V934" s="469" t="n"/>
      <c r="W934" s="469" t="n"/>
      <c r="X934" s="469" t="n"/>
      <c r="Y934" s="469" t="n"/>
      <c r="Z934" s="469" t="n"/>
      <c r="AA934" s="469" t="n"/>
    </row>
    <row r="935">
      <c r="A935" s="468" t="n"/>
      <c r="B935" s="469" t="n"/>
      <c r="C935" s="469" t="n"/>
      <c r="D935" s="469" t="n"/>
      <c r="E935" s="469" t="n"/>
      <c r="F935" s="469" t="n"/>
      <c r="G935" s="469" t="n"/>
      <c r="H935" s="469" t="n"/>
      <c r="I935" s="469" t="n"/>
      <c r="J935" s="469" t="n"/>
      <c r="K935" s="469" t="n"/>
      <c r="L935" s="469" t="n"/>
      <c r="M935" s="469" t="n"/>
      <c r="N935" s="469" t="n"/>
      <c r="O935" s="469" t="n"/>
      <c r="P935" s="471" t="n"/>
      <c r="Q935" s="469" t="n"/>
      <c r="R935" s="469" t="n"/>
      <c r="S935" s="469" t="n"/>
      <c r="T935" s="469" t="n"/>
      <c r="U935" s="469" t="n"/>
      <c r="V935" s="469" t="n"/>
      <c r="W935" s="469" t="n"/>
      <c r="X935" s="469" t="n"/>
      <c r="Y935" s="469" t="n"/>
      <c r="Z935" s="469" t="n"/>
      <c r="AA935" s="469" t="n"/>
    </row>
    <row r="936">
      <c r="A936" s="468" t="n"/>
      <c r="B936" s="469" t="n"/>
      <c r="C936" s="469" t="n"/>
      <c r="D936" s="469" t="n"/>
      <c r="E936" s="469" t="n"/>
      <c r="F936" s="469" t="n"/>
      <c r="G936" s="469" t="n"/>
      <c r="H936" s="469" t="n"/>
      <c r="I936" s="469" t="n"/>
      <c r="J936" s="469" t="n"/>
      <c r="K936" s="469" t="n"/>
      <c r="L936" s="469" t="n"/>
      <c r="M936" s="469" t="n"/>
      <c r="N936" s="469" t="n"/>
      <c r="O936" s="469" t="n"/>
      <c r="P936" s="471" t="n"/>
      <c r="Q936" s="469" t="n"/>
      <c r="R936" s="469" t="n"/>
      <c r="S936" s="469" t="n"/>
      <c r="T936" s="469" t="n"/>
      <c r="U936" s="469" t="n"/>
      <c r="V936" s="469" t="n"/>
      <c r="W936" s="469" t="n"/>
      <c r="X936" s="469" t="n"/>
      <c r="Y936" s="469" t="n"/>
      <c r="Z936" s="469" t="n"/>
      <c r="AA936" s="469" t="n"/>
    </row>
    <row r="937">
      <c r="A937" s="468" t="n"/>
      <c r="B937" s="469" t="n"/>
      <c r="C937" s="469" t="n"/>
      <c r="D937" s="469" t="n"/>
      <c r="E937" s="469" t="n"/>
      <c r="F937" s="469" t="n"/>
      <c r="G937" s="469" t="n"/>
      <c r="H937" s="469" t="n"/>
      <c r="I937" s="469" t="n"/>
      <c r="J937" s="469" t="n"/>
      <c r="K937" s="469" t="n"/>
      <c r="L937" s="469" t="n"/>
      <c r="M937" s="469" t="n"/>
      <c r="N937" s="469" t="n"/>
      <c r="O937" s="469" t="n"/>
      <c r="P937" s="471" t="n"/>
      <c r="Q937" s="469" t="n"/>
      <c r="R937" s="469" t="n"/>
      <c r="S937" s="469" t="n"/>
      <c r="T937" s="469" t="n"/>
      <c r="U937" s="469" t="n"/>
      <c r="V937" s="469" t="n"/>
      <c r="W937" s="469" t="n"/>
      <c r="X937" s="469" t="n"/>
      <c r="Y937" s="469" t="n"/>
      <c r="Z937" s="469" t="n"/>
      <c r="AA937" s="469" t="n"/>
    </row>
    <row r="938">
      <c r="A938" s="468" t="n"/>
      <c r="B938" s="469" t="n"/>
      <c r="C938" s="469" t="n"/>
      <c r="D938" s="469" t="n"/>
      <c r="E938" s="469" t="n"/>
      <c r="F938" s="469" t="n"/>
      <c r="G938" s="469" t="n"/>
      <c r="H938" s="469" t="n"/>
      <c r="I938" s="469" t="n"/>
      <c r="J938" s="469" t="n"/>
      <c r="K938" s="469" t="n"/>
      <c r="L938" s="469" t="n"/>
      <c r="M938" s="469" t="n"/>
      <c r="N938" s="469" t="n"/>
      <c r="O938" s="469" t="n"/>
      <c r="P938" s="471" t="n"/>
      <c r="Q938" s="469" t="n"/>
      <c r="R938" s="469" t="n"/>
      <c r="S938" s="469" t="n"/>
      <c r="T938" s="469" t="n"/>
      <c r="U938" s="469" t="n"/>
      <c r="V938" s="469" t="n"/>
      <c r="W938" s="469" t="n"/>
      <c r="X938" s="469" t="n"/>
      <c r="Y938" s="469" t="n"/>
      <c r="Z938" s="469" t="n"/>
      <c r="AA938" s="469" t="n"/>
    </row>
    <row r="939">
      <c r="A939" s="468" t="n"/>
      <c r="B939" s="469" t="n"/>
      <c r="C939" s="469" t="n"/>
      <c r="D939" s="469" t="n"/>
      <c r="E939" s="469" t="n"/>
      <c r="F939" s="469" t="n"/>
      <c r="G939" s="469" t="n"/>
      <c r="H939" s="469" t="n"/>
      <c r="I939" s="469" t="n"/>
      <c r="J939" s="469" t="n"/>
      <c r="K939" s="469" t="n"/>
      <c r="L939" s="469" t="n"/>
      <c r="M939" s="469" t="n"/>
      <c r="N939" s="469" t="n"/>
      <c r="O939" s="469" t="n"/>
      <c r="P939" s="471" t="n"/>
      <c r="Q939" s="469" t="n"/>
      <c r="R939" s="469" t="n"/>
      <c r="S939" s="469" t="n"/>
      <c r="T939" s="469" t="n"/>
      <c r="U939" s="469" t="n"/>
      <c r="V939" s="469" t="n"/>
      <c r="W939" s="469" t="n"/>
      <c r="X939" s="469" t="n"/>
      <c r="Y939" s="469" t="n"/>
      <c r="Z939" s="469" t="n"/>
      <c r="AA939" s="469" t="n"/>
    </row>
    <row r="940">
      <c r="A940" s="468" t="n"/>
      <c r="B940" s="469" t="n"/>
      <c r="C940" s="469" t="n"/>
      <c r="D940" s="469" t="n"/>
      <c r="E940" s="469" t="n"/>
      <c r="F940" s="469" t="n"/>
      <c r="G940" s="469" t="n"/>
      <c r="H940" s="469" t="n"/>
      <c r="I940" s="469" t="n"/>
      <c r="J940" s="469" t="n"/>
      <c r="K940" s="469" t="n"/>
      <c r="L940" s="469" t="n"/>
      <c r="M940" s="469" t="n"/>
      <c r="N940" s="469" t="n"/>
      <c r="O940" s="469" t="n"/>
      <c r="P940" s="471" t="n"/>
      <c r="Q940" s="469" t="n"/>
      <c r="R940" s="469" t="n"/>
      <c r="S940" s="469" t="n"/>
      <c r="T940" s="469" t="n"/>
      <c r="U940" s="469" t="n"/>
      <c r="V940" s="469" t="n"/>
      <c r="W940" s="469" t="n"/>
      <c r="X940" s="469" t="n"/>
      <c r="Y940" s="469" t="n"/>
      <c r="Z940" s="469" t="n"/>
      <c r="AA940" s="469" t="n"/>
    </row>
    <row r="941">
      <c r="A941" s="468" t="n"/>
      <c r="B941" s="469" t="n"/>
      <c r="C941" s="469" t="n"/>
      <c r="D941" s="469" t="n"/>
      <c r="E941" s="469" t="n"/>
      <c r="F941" s="469" t="n"/>
      <c r="G941" s="469" t="n"/>
      <c r="H941" s="469" t="n"/>
      <c r="I941" s="469" t="n"/>
      <c r="J941" s="469" t="n"/>
      <c r="K941" s="469" t="n"/>
      <c r="L941" s="469" t="n"/>
      <c r="M941" s="469" t="n"/>
      <c r="N941" s="469" t="n"/>
      <c r="O941" s="469" t="n"/>
      <c r="P941" s="471" t="n"/>
      <c r="Q941" s="469" t="n"/>
      <c r="R941" s="469" t="n"/>
      <c r="S941" s="469" t="n"/>
      <c r="T941" s="469" t="n"/>
      <c r="U941" s="469" t="n"/>
      <c r="V941" s="469" t="n"/>
      <c r="W941" s="469" t="n"/>
      <c r="X941" s="469" t="n"/>
      <c r="Y941" s="469" t="n"/>
      <c r="Z941" s="469" t="n"/>
      <c r="AA941" s="469" t="n"/>
    </row>
    <row r="942">
      <c r="A942" s="468" t="n"/>
      <c r="B942" s="469" t="n"/>
      <c r="C942" s="469" t="n"/>
      <c r="D942" s="469" t="n"/>
      <c r="E942" s="469" t="n"/>
      <c r="F942" s="469" t="n"/>
      <c r="G942" s="469" t="n"/>
      <c r="H942" s="469" t="n"/>
      <c r="I942" s="469" t="n"/>
      <c r="J942" s="469" t="n"/>
      <c r="K942" s="469" t="n"/>
      <c r="L942" s="469" t="n"/>
      <c r="M942" s="469" t="n"/>
      <c r="N942" s="469" t="n"/>
      <c r="O942" s="469" t="n"/>
      <c r="P942" s="471" t="n"/>
      <c r="Q942" s="469" t="n"/>
      <c r="R942" s="469" t="n"/>
      <c r="S942" s="469" t="n"/>
      <c r="T942" s="469" t="n"/>
      <c r="U942" s="469" t="n"/>
      <c r="V942" s="469" t="n"/>
      <c r="W942" s="469" t="n"/>
      <c r="X942" s="469" t="n"/>
      <c r="Y942" s="469" t="n"/>
      <c r="Z942" s="469" t="n"/>
      <c r="AA942" s="469" t="n"/>
    </row>
    <row r="943">
      <c r="A943" s="468" t="n"/>
      <c r="B943" s="469" t="n"/>
      <c r="C943" s="469" t="n"/>
      <c r="D943" s="469" t="n"/>
      <c r="E943" s="469" t="n"/>
      <c r="F943" s="469" t="n"/>
      <c r="G943" s="469" t="n"/>
      <c r="H943" s="469" t="n"/>
      <c r="I943" s="469" t="n"/>
      <c r="J943" s="469" t="n"/>
      <c r="K943" s="469" t="n"/>
      <c r="L943" s="469" t="n"/>
      <c r="M943" s="469" t="n"/>
      <c r="N943" s="469" t="n"/>
      <c r="O943" s="469" t="n"/>
      <c r="P943" s="471" t="n"/>
      <c r="Q943" s="469" t="n"/>
      <c r="R943" s="469" t="n"/>
      <c r="S943" s="469" t="n"/>
      <c r="T943" s="469" t="n"/>
      <c r="U943" s="469" t="n"/>
      <c r="V943" s="469" t="n"/>
      <c r="W943" s="469" t="n"/>
      <c r="X943" s="469" t="n"/>
      <c r="Y943" s="469" t="n"/>
      <c r="Z943" s="469" t="n"/>
      <c r="AA943" s="469" t="n"/>
    </row>
    <row r="944">
      <c r="A944" s="468" t="n"/>
      <c r="B944" s="469" t="n"/>
      <c r="C944" s="469" t="n"/>
      <c r="D944" s="469" t="n"/>
      <c r="E944" s="469" t="n"/>
      <c r="F944" s="469" t="n"/>
      <c r="G944" s="469" t="n"/>
      <c r="H944" s="469" t="n"/>
      <c r="I944" s="469" t="n"/>
      <c r="J944" s="469" t="n"/>
      <c r="K944" s="469" t="n"/>
      <c r="L944" s="469" t="n"/>
      <c r="M944" s="469" t="n"/>
      <c r="N944" s="469" t="n"/>
      <c r="O944" s="469" t="n"/>
      <c r="P944" s="471" t="n"/>
      <c r="Q944" s="469" t="n"/>
      <c r="R944" s="469" t="n"/>
      <c r="S944" s="469" t="n"/>
      <c r="T944" s="469" t="n"/>
      <c r="U944" s="469" t="n"/>
      <c r="V944" s="469" t="n"/>
      <c r="W944" s="469" t="n"/>
      <c r="X944" s="469" t="n"/>
      <c r="Y944" s="469" t="n"/>
      <c r="Z944" s="469" t="n"/>
      <c r="AA944" s="469" t="n"/>
    </row>
    <row r="945">
      <c r="A945" s="468" t="n"/>
      <c r="B945" s="469" t="n"/>
      <c r="C945" s="469" t="n"/>
      <c r="D945" s="469" t="n"/>
      <c r="E945" s="469" t="n"/>
      <c r="F945" s="469" t="n"/>
      <c r="G945" s="469" t="n"/>
      <c r="H945" s="469" t="n"/>
      <c r="I945" s="469" t="n"/>
      <c r="J945" s="469" t="n"/>
      <c r="K945" s="469" t="n"/>
      <c r="L945" s="469" t="n"/>
      <c r="M945" s="469" t="n"/>
      <c r="N945" s="469" t="n"/>
      <c r="O945" s="469" t="n"/>
      <c r="P945" s="471" t="n"/>
      <c r="Q945" s="469" t="n"/>
      <c r="R945" s="469" t="n"/>
      <c r="S945" s="469" t="n"/>
      <c r="T945" s="469" t="n"/>
      <c r="U945" s="469" t="n"/>
      <c r="V945" s="469" t="n"/>
      <c r="W945" s="469" t="n"/>
      <c r="X945" s="469" t="n"/>
      <c r="Y945" s="469" t="n"/>
      <c r="Z945" s="469" t="n"/>
      <c r="AA945" s="469" t="n"/>
    </row>
    <row r="946">
      <c r="A946" s="468" t="n"/>
      <c r="B946" s="469" t="n"/>
      <c r="C946" s="469" t="n"/>
      <c r="D946" s="469" t="n"/>
      <c r="E946" s="469" t="n"/>
      <c r="F946" s="469" t="n"/>
      <c r="G946" s="469" t="n"/>
      <c r="H946" s="469" t="n"/>
      <c r="I946" s="469" t="n"/>
      <c r="J946" s="469" t="n"/>
      <c r="K946" s="469" t="n"/>
      <c r="L946" s="469" t="n"/>
      <c r="M946" s="469" t="n"/>
      <c r="N946" s="469" t="n"/>
      <c r="O946" s="469" t="n"/>
      <c r="P946" s="471" t="n"/>
      <c r="Q946" s="469" t="n"/>
      <c r="R946" s="469" t="n"/>
      <c r="S946" s="469" t="n"/>
      <c r="T946" s="469" t="n"/>
      <c r="U946" s="469" t="n"/>
      <c r="V946" s="469" t="n"/>
      <c r="W946" s="469" t="n"/>
      <c r="X946" s="469" t="n"/>
      <c r="Y946" s="469" t="n"/>
      <c r="Z946" s="469" t="n"/>
      <c r="AA946" s="469" t="n"/>
    </row>
    <row r="947">
      <c r="A947" s="468" t="n"/>
      <c r="B947" s="469" t="n"/>
      <c r="C947" s="469" t="n"/>
      <c r="D947" s="469" t="n"/>
      <c r="E947" s="469" t="n"/>
      <c r="F947" s="469" t="n"/>
      <c r="G947" s="469" t="n"/>
      <c r="H947" s="469" t="n"/>
      <c r="I947" s="469" t="n"/>
      <c r="J947" s="469" t="n"/>
      <c r="K947" s="469" t="n"/>
      <c r="L947" s="469" t="n"/>
      <c r="M947" s="469" t="n"/>
      <c r="N947" s="469" t="n"/>
      <c r="O947" s="469" t="n"/>
      <c r="P947" s="471" t="n"/>
      <c r="Q947" s="469" t="n"/>
      <c r="R947" s="469" t="n"/>
      <c r="S947" s="469" t="n"/>
      <c r="T947" s="469" t="n"/>
      <c r="U947" s="469" t="n"/>
      <c r="V947" s="469" t="n"/>
      <c r="W947" s="469" t="n"/>
      <c r="X947" s="469" t="n"/>
      <c r="Y947" s="469" t="n"/>
      <c r="Z947" s="469" t="n"/>
      <c r="AA947" s="469" t="n"/>
    </row>
    <row r="948">
      <c r="A948" s="468" t="n"/>
      <c r="B948" s="469" t="n"/>
      <c r="C948" s="469" t="n"/>
      <c r="D948" s="469" t="n"/>
      <c r="E948" s="469" t="n"/>
      <c r="F948" s="469" t="n"/>
      <c r="G948" s="469" t="n"/>
      <c r="H948" s="469" t="n"/>
      <c r="I948" s="469" t="n"/>
      <c r="J948" s="469" t="n"/>
      <c r="K948" s="469" t="n"/>
      <c r="L948" s="469" t="n"/>
      <c r="M948" s="469" t="n"/>
      <c r="N948" s="469" t="n"/>
      <c r="O948" s="469" t="n"/>
      <c r="P948" s="471" t="n"/>
      <c r="Q948" s="469" t="n"/>
      <c r="R948" s="469" t="n"/>
      <c r="S948" s="469" t="n"/>
      <c r="T948" s="469" t="n"/>
      <c r="U948" s="469" t="n"/>
      <c r="V948" s="469" t="n"/>
      <c r="W948" s="469" t="n"/>
      <c r="X948" s="469" t="n"/>
      <c r="Y948" s="469" t="n"/>
      <c r="Z948" s="469" t="n"/>
      <c r="AA948" s="469" t="n"/>
    </row>
    <row r="949">
      <c r="A949" s="468" t="n"/>
      <c r="B949" s="469" t="n"/>
      <c r="C949" s="469" t="n"/>
      <c r="D949" s="469" t="n"/>
      <c r="E949" s="469" t="n"/>
      <c r="F949" s="469" t="n"/>
      <c r="G949" s="469" t="n"/>
      <c r="H949" s="469" t="n"/>
      <c r="I949" s="469" t="n"/>
      <c r="J949" s="469" t="n"/>
      <c r="K949" s="469" t="n"/>
      <c r="L949" s="469" t="n"/>
      <c r="M949" s="469" t="n"/>
      <c r="N949" s="469" t="n"/>
      <c r="O949" s="469" t="n"/>
      <c r="P949" s="471" t="n"/>
      <c r="Q949" s="469" t="n"/>
      <c r="R949" s="469" t="n"/>
      <c r="S949" s="469" t="n"/>
      <c r="T949" s="469" t="n"/>
      <c r="U949" s="469" t="n"/>
      <c r="V949" s="469" t="n"/>
      <c r="W949" s="469" t="n"/>
      <c r="X949" s="469" t="n"/>
      <c r="Y949" s="469" t="n"/>
      <c r="Z949" s="469" t="n"/>
      <c r="AA949" s="469" t="n"/>
    </row>
    <row r="950">
      <c r="A950" s="468" t="n"/>
      <c r="B950" s="469" t="n"/>
      <c r="C950" s="469" t="n"/>
      <c r="D950" s="469" t="n"/>
      <c r="E950" s="469" t="n"/>
      <c r="F950" s="469" t="n"/>
      <c r="G950" s="469" t="n"/>
      <c r="H950" s="469" t="n"/>
      <c r="I950" s="469" t="n"/>
      <c r="J950" s="469" t="n"/>
      <c r="K950" s="469" t="n"/>
      <c r="L950" s="469" t="n"/>
      <c r="M950" s="469" t="n"/>
      <c r="N950" s="469" t="n"/>
      <c r="O950" s="469" t="n"/>
      <c r="P950" s="471" t="n"/>
      <c r="Q950" s="469" t="n"/>
      <c r="R950" s="469" t="n"/>
      <c r="S950" s="469" t="n"/>
      <c r="T950" s="469" t="n"/>
      <c r="U950" s="469" t="n"/>
      <c r="V950" s="469" t="n"/>
      <c r="W950" s="469" t="n"/>
      <c r="X950" s="469" t="n"/>
      <c r="Y950" s="469" t="n"/>
      <c r="Z950" s="469" t="n"/>
      <c r="AA950" s="469" t="n"/>
    </row>
    <row r="951">
      <c r="A951" s="468" t="n"/>
      <c r="B951" s="469" t="n"/>
      <c r="C951" s="469" t="n"/>
      <c r="D951" s="469" t="n"/>
      <c r="E951" s="469" t="n"/>
      <c r="F951" s="469" t="n"/>
      <c r="G951" s="469" t="n"/>
      <c r="H951" s="469" t="n"/>
      <c r="I951" s="469" t="n"/>
      <c r="J951" s="469" t="n"/>
      <c r="K951" s="469" t="n"/>
      <c r="L951" s="469" t="n"/>
      <c r="M951" s="469" t="n"/>
      <c r="N951" s="469" t="n"/>
      <c r="O951" s="469" t="n"/>
      <c r="P951" s="471" t="n"/>
      <c r="Q951" s="469" t="n"/>
      <c r="R951" s="469" t="n"/>
      <c r="S951" s="469" t="n"/>
      <c r="T951" s="469" t="n"/>
      <c r="U951" s="469" t="n"/>
      <c r="V951" s="469" t="n"/>
      <c r="W951" s="469" t="n"/>
      <c r="X951" s="469" t="n"/>
      <c r="Y951" s="469" t="n"/>
      <c r="Z951" s="469" t="n"/>
      <c r="AA951" s="469" t="n"/>
    </row>
    <row r="952">
      <c r="A952" s="468" t="n"/>
      <c r="B952" s="469" t="n"/>
      <c r="C952" s="469" t="n"/>
      <c r="D952" s="469" t="n"/>
      <c r="E952" s="469" t="n"/>
      <c r="F952" s="469" t="n"/>
      <c r="G952" s="469" t="n"/>
      <c r="H952" s="469" t="n"/>
      <c r="I952" s="469" t="n"/>
      <c r="J952" s="469" t="n"/>
      <c r="K952" s="469" t="n"/>
      <c r="L952" s="469" t="n"/>
      <c r="M952" s="469" t="n"/>
      <c r="N952" s="469" t="n"/>
      <c r="O952" s="469" t="n"/>
      <c r="P952" s="471" t="n"/>
      <c r="Q952" s="469" t="n"/>
      <c r="R952" s="469" t="n"/>
      <c r="S952" s="469" t="n"/>
      <c r="T952" s="469" t="n"/>
      <c r="U952" s="469" t="n"/>
      <c r="V952" s="469" t="n"/>
      <c r="W952" s="469" t="n"/>
      <c r="X952" s="469" t="n"/>
      <c r="Y952" s="469" t="n"/>
      <c r="Z952" s="469" t="n"/>
      <c r="AA952" s="469" t="n"/>
    </row>
    <row r="953">
      <c r="A953" s="468" t="n"/>
      <c r="B953" s="469" t="n"/>
      <c r="C953" s="469" t="n"/>
      <c r="D953" s="469" t="n"/>
      <c r="E953" s="469" t="n"/>
      <c r="F953" s="469" t="n"/>
      <c r="G953" s="469" t="n"/>
      <c r="H953" s="469" t="n"/>
      <c r="I953" s="469" t="n"/>
      <c r="J953" s="469" t="n"/>
      <c r="K953" s="469" t="n"/>
      <c r="L953" s="469" t="n"/>
      <c r="M953" s="469" t="n"/>
      <c r="N953" s="469" t="n"/>
      <c r="O953" s="469" t="n"/>
      <c r="P953" s="471" t="n"/>
      <c r="Q953" s="469" t="n"/>
      <c r="R953" s="469" t="n"/>
      <c r="S953" s="469" t="n"/>
      <c r="T953" s="469" t="n"/>
      <c r="U953" s="469" t="n"/>
      <c r="V953" s="469" t="n"/>
      <c r="W953" s="469" t="n"/>
      <c r="X953" s="469" t="n"/>
      <c r="Y953" s="469" t="n"/>
      <c r="Z953" s="469" t="n"/>
      <c r="AA953" s="469" t="n"/>
    </row>
    <row r="954">
      <c r="A954" s="468" t="n"/>
      <c r="B954" s="469" t="n"/>
      <c r="C954" s="469" t="n"/>
      <c r="D954" s="469" t="n"/>
      <c r="E954" s="469" t="n"/>
      <c r="F954" s="469" t="n"/>
      <c r="G954" s="469" t="n"/>
      <c r="H954" s="469" t="n"/>
      <c r="I954" s="469" t="n"/>
      <c r="J954" s="469" t="n"/>
      <c r="K954" s="469" t="n"/>
      <c r="L954" s="469" t="n"/>
      <c r="M954" s="469" t="n"/>
      <c r="N954" s="469" t="n"/>
      <c r="O954" s="469" t="n"/>
      <c r="P954" s="471" t="n"/>
      <c r="Q954" s="469" t="n"/>
      <c r="R954" s="469" t="n"/>
      <c r="S954" s="469" t="n"/>
      <c r="T954" s="469" t="n"/>
      <c r="U954" s="469" t="n"/>
      <c r="V954" s="469" t="n"/>
      <c r="W954" s="469" t="n"/>
      <c r="X954" s="469" t="n"/>
      <c r="Y954" s="469" t="n"/>
      <c r="Z954" s="469" t="n"/>
      <c r="AA954" s="469" t="n"/>
    </row>
    <row r="955">
      <c r="A955" s="468" t="n"/>
      <c r="B955" s="469" t="n"/>
      <c r="C955" s="469" t="n"/>
      <c r="D955" s="469" t="n"/>
      <c r="E955" s="469" t="n"/>
      <c r="F955" s="469" t="n"/>
      <c r="G955" s="469" t="n"/>
      <c r="H955" s="469" t="n"/>
      <c r="I955" s="469" t="n"/>
      <c r="J955" s="469" t="n"/>
      <c r="K955" s="469" t="n"/>
      <c r="L955" s="469" t="n"/>
      <c r="M955" s="469" t="n"/>
      <c r="N955" s="469" t="n"/>
      <c r="O955" s="469" t="n"/>
      <c r="P955" s="471" t="n"/>
      <c r="Q955" s="469" t="n"/>
      <c r="R955" s="469" t="n"/>
      <c r="S955" s="469" t="n"/>
      <c r="T955" s="469" t="n"/>
      <c r="U955" s="469" t="n"/>
      <c r="V955" s="469" t="n"/>
      <c r="W955" s="469" t="n"/>
      <c r="X955" s="469" t="n"/>
      <c r="Y955" s="469" t="n"/>
      <c r="Z955" s="469" t="n"/>
      <c r="AA955" s="469" t="n"/>
    </row>
    <row r="956">
      <c r="A956" s="468" t="n"/>
      <c r="B956" s="469" t="n"/>
      <c r="C956" s="469" t="n"/>
      <c r="D956" s="469" t="n"/>
      <c r="E956" s="469" t="n"/>
      <c r="F956" s="469" t="n"/>
      <c r="G956" s="469" t="n"/>
      <c r="H956" s="469" t="n"/>
      <c r="I956" s="469" t="n"/>
      <c r="J956" s="469" t="n"/>
      <c r="K956" s="469" t="n"/>
      <c r="L956" s="469" t="n"/>
      <c r="M956" s="469" t="n"/>
      <c r="N956" s="469" t="n"/>
      <c r="O956" s="469" t="n"/>
      <c r="P956" s="471" t="n"/>
      <c r="Q956" s="469" t="n"/>
      <c r="R956" s="469" t="n"/>
      <c r="S956" s="469" t="n"/>
      <c r="T956" s="469" t="n"/>
      <c r="U956" s="469" t="n"/>
      <c r="V956" s="469" t="n"/>
      <c r="W956" s="469" t="n"/>
      <c r="X956" s="469" t="n"/>
      <c r="Y956" s="469" t="n"/>
      <c r="Z956" s="469" t="n"/>
      <c r="AA956" s="469" t="n"/>
    </row>
    <row r="957">
      <c r="A957" s="468" t="n"/>
      <c r="B957" s="469" t="n"/>
      <c r="C957" s="469" t="n"/>
      <c r="D957" s="469" t="n"/>
      <c r="E957" s="469" t="n"/>
      <c r="F957" s="469" t="n"/>
      <c r="G957" s="469" t="n"/>
      <c r="H957" s="469" t="n"/>
      <c r="I957" s="469" t="n"/>
      <c r="J957" s="469" t="n"/>
      <c r="K957" s="469" t="n"/>
      <c r="L957" s="469" t="n"/>
      <c r="M957" s="469" t="n"/>
      <c r="N957" s="469" t="n"/>
      <c r="O957" s="469" t="n"/>
      <c r="P957" s="471" t="n"/>
      <c r="Q957" s="469" t="n"/>
      <c r="R957" s="469" t="n"/>
      <c r="S957" s="469" t="n"/>
      <c r="T957" s="469" t="n"/>
      <c r="U957" s="469" t="n"/>
      <c r="V957" s="469" t="n"/>
      <c r="W957" s="469" t="n"/>
      <c r="X957" s="469" t="n"/>
      <c r="Y957" s="469" t="n"/>
      <c r="Z957" s="469" t="n"/>
      <c r="AA957" s="469" t="n"/>
    </row>
    <row r="958">
      <c r="A958" s="468" t="n"/>
      <c r="B958" s="469" t="n"/>
      <c r="C958" s="469" t="n"/>
      <c r="D958" s="469" t="n"/>
      <c r="E958" s="469" t="n"/>
      <c r="F958" s="469" t="n"/>
      <c r="G958" s="469" t="n"/>
      <c r="H958" s="469" t="n"/>
      <c r="I958" s="469" t="n"/>
      <c r="J958" s="469" t="n"/>
      <c r="K958" s="469" t="n"/>
      <c r="L958" s="469" t="n"/>
      <c r="M958" s="469" t="n"/>
      <c r="N958" s="469" t="n"/>
      <c r="O958" s="469" t="n"/>
      <c r="P958" s="471" t="n"/>
      <c r="Q958" s="469" t="n"/>
      <c r="R958" s="469" t="n"/>
      <c r="S958" s="469" t="n"/>
      <c r="T958" s="469" t="n"/>
      <c r="U958" s="469" t="n"/>
      <c r="V958" s="469" t="n"/>
      <c r="W958" s="469" t="n"/>
      <c r="X958" s="469" t="n"/>
      <c r="Y958" s="469" t="n"/>
      <c r="Z958" s="469" t="n"/>
      <c r="AA958" s="469" t="n"/>
    </row>
    <row r="959">
      <c r="A959" s="468" t="n"/>
      <c r="B959" s="469" t="n"/>
      <c r="C959" s="469" t="n"/>
      <c r="D959" s="469" t="n"/>
      <c r="E959" s="469" t="n"/>
      <c r="F959" s="469" t="n"/>
      <c r="G959" s="469" t="n"/>
      <c r="H959" s="469" t="n"/>
      <c r="I959" s="469" t="n"/>
      <c r="J959" s="469" t="n"/>
      <c r="K959" s="469" t="n"/>
      <c r="L959" s="469" t="n"/>
      <c r="M959" s="469" t="n"/>
      <c r="N959" s="469" t="n"/>
      <c r="O959" s="469" t="n"/>
      <c r="P959" s="471" t="n"/>
      <c r="Q959" s="469" t="n"/>
      <c r="R959" s="469" t="n"/>
      <c r="S959" s="469" t="n"/>
      <c r="T959" s="469" t="n"/>
      <c r="U959" s="469" t="n"/>
      <c r="V959" s="469" t="n"/>
      <c r="W959" s="469" t="n"/>
      <c r="X959" s="469" t="n"/>
      <c r="Y959" s="469" t="n"/>
      <c r="Z959" s="469" t="n"/>
      <c r="AA959" s="469" t="n"/>
    </row>
    <row r="960">
      <c r="A960" s="468" t="n"/>
      <c r="B960" s="469" t="n"/>
      <c r="C960" s="469" t="n"/>
      <c r="D960" s="469" t="n"/>
      <c r="E960" s="469" t="n"/>
      <c r="F960" s="469" t="n"/>
      <c r="G960" s="469" t="n"/>
      <c r="H960" s="469" t="n"/>
      <c r="I960" s="469" t="n"/>
      <c r="J960" s="469" t="n"/>
      <c r="K960" s="469" t="n"/>
      <c r="L960" s="469" t="n"/>
      <c r="M960" s="469" t="n"/>
      <c r="N960" s="469" t="n"/>
      <c r="O960" s="469" t="n"/>
      <c r="P960" s="471" t="n"/>
      <c r="Q960" s="469" t="n"/>
      <c r="R960" s="469" t="n"/>
      <c r="S960" s="469" t="n"/>
      <c r="T960" s="469" t="n"/>
      <c r="U960" s="469" t="n"/>
      <c r="V960" s="469" t="n"/>
      <c r="W960" s="469" t="n"/>
      <c r="X960" s="469" t="n"/>
      <c r="Y960" s="469" t="n"/>
      <c r="Z960" s="469" t="n"/>
      <c r="AA960" s="469" t="n"/>
    </row>
    <row r="961">
      <c r="A961" s="468" t="n"/>
      <c r="B961" s="469" t="n"/>
      <c r="C961" s="469" t="n"/>
      <c r="D961" s="469" t="n"/>
      <c r="E961" s="469" t="n"/>
      <c r="F961" s="469" t="n"/>
      <c r="G961" s="469" t="n"/>
      <c r="H961" s="469" t="n"/>
      <c r="I961" s="469" t="n"/>
      <c r="J961" s="469" t="n"/>
      <c r="K961" s="469" t="n"/>
      <c r="L961" s="469" t="n"/>
      <c r="M961" s="469" t="n"/>
      <c r="N961" s="469" t="n"/>
      <c r="O961" s="469" t="n"/>
      <c r="P961" s="471" t="n"/>
      <c r="Q961" s="469" t="n"/>
      <c r="R961" s="469" t="n"/>
      <c r="S961" s="469" t="n"/>
      <c r="T961" s="469" t="n"/>
      <c r="U961" s="469" t="n"/>
      <c r="V961" s="469" t="n"/>
      <c r="W961" s="469" t="n"/>
      <c r="X961" s="469" t="n"/>
      <c r="Y961" s="469" t="n"/>
      <c r="Z961" s="469" t="n"/>
      <c r="AA961" s="469" t="n"/>
    </row>
    <row r="962">
      <c r="A962" s="468" t="n"/>
      <c r="B962" s="469" t="n"/>
      <c r="C962" s="469" t="n"/>
      <c r="D962" s="469" t="n"/>
      <c r="E962" s="469" t="n"/>
      <c r="F962" s="469" t="n"/>
      <c r="G962" s="469" t="n"/>
      <c r="H962" s="469" t="n"/>
      <c r="I962" s="469" t="n"/>
      <c r="J962" s="469" t="n"/>
      <c r="K962" s="469" t="n"/>
      <c r="L962" s="469" t="n"/>
      <c r="M962" s="469" t="n"/>
      <c r="N962" s="469" t="n"/>
      <c r="O962" s="469" t="n"/>
      <c r="P962" s="471" t="n"/>
      <c r="Q962" s="469" t="n"/>
      <c r="R962" s="469" t="n"/>
      <c r="S962" s="469" t="n"/>
      <c r="T962" s="469" t="n"/>
      <c r="U962" s="469" t="n"/>
      <c r="V962" s="469" t="n"/>
      <c r="W962" s="469" t="n"/>
      <c r="X962" s="469" t="n"/>
      <c r="Y962" s="469" t="n"/>
      <c r="Z962" s="469" t="n"/>
      <c r="AA962" s="469" t="n"/>
    </row>
    <row r="963">
      <c r="A963" s="468" t="n"/>
      <c r="B963" s="469" t="n"/>
      <c r="C963" s="469" t="n"/>
      <c r="D963" s="469" t="n"/>
      <c r="E963" s="469" t="n"/>
      <c r="F963" s="469" t="n"/>
      <c r="G963" s="469" t="n"/>
      <c r="H963" s="469" t="n"/>
      <c r="I963" s="469" t="n"/>
      <c r="J963" s="469" t="n"/>
      <c r="K963" s="469" t="n"/>
      <c r="L963" s="469" t="n"/>
      <c r="M963" s="469" t="n"/>
      <c r="N963" s="469" t="n"/>
      <c r="O963" s="469" t="n"/>
      <c r="P963" s="471" t="n"/>
      <c r="Q963" s="469" t="n"/>
      <c r="R963" s="469" t="n"/>
      <c r="S963" s="469" t="n"/>
      <c r="T963" s="469" t="n"/>
      <c r="U963" s="469" t="n"/>
      <c r="V963" s="469" t="n"/>
      <c r="W963" s="469" t="n"/>
      <c r="X963" s="469" t="n"/>
      <c r="Y963" s="469" t="n"/>
      <c r="Z963" s="469" t="n"/>
      <c r="AA963" s="469" t="n"/>
    </row>
    <row r="964">
      <c r="A964" s="468" t="n"/>
      <c r="B964" s="469" t="n"/>
      <c r="C964" s="469" t="n"/>
      <c r="D964" s="469" t="n"/>
      <c r="E964" s="469" t="n"/>
      <c r="F964" s="469" t="n"/>
      <c r="G964" s="469" t="n"/>
      <c r="H964" s="469" t="n"/>
      <c r="I964" s="469" t="n"/>
      <c r="J964" s="469" t="n"/>
      <c r="K964" s="469" t="n"/>
      <c r="L964" s="469" t="n"/>
      <c r="M964" s="469" t="n"/>
      <c r="N964" s="469" t="n"/>
      <c r="O964" s="469" t="n"/>
      <c r="P964" s="471" t="n"/>
      <c r="Q964" s="469" t="n"/>
      <c r="R964" s="469" t="n"/>
      <c r="S964" s="469" t="n"/>
      <c r="T964" s="469" t="n"/>
      <c r="U964" s="469" t="n"/>
      <c r="V964" s="469" t="n"/>
      <c r="W964" s="469" t="n"/>
      <c r="X964" s="469" t="n"/>
      <c r="Y964" s="469" t="n"/>
      <c r="Z964" s="469" t="n"/>
      <c r="AA964" s="469" t="n"/>
    </row>
    <row r="965">
      <c r="A965" s="468" t="n"/>
      <c r="B965" s="469" t="n"/>
      <c r="C965" s="469" t="n"/>
      <c r="D965" s="469" t="n"/>
      <c r="E965" s="469" t="n"/>
      <c r="F965" s="469" t="n"/>
      <c r="G965" s="469" t="n"/>
      <c r="H965" s="469" t="n"/>
      <c r="I965" s="469" t="n"/>
      <c r="J965" s="469" t="n"/>
      <c r="K965" s="469" t="n"/>
      <c r="L965" s="469" t="n"/>
      <c r="M965" s="469" t="n"/>
      <c r="N965" s="469" t="n"/>
      <c r="O965" s="469" t="n"/>
      <c r="P965" s="471" t="n"/>
      <c r="Q965" s="469" t="n"/>
      <c r="R965" s="469" t="n"/>
      <c r="S965" s="469" t="n"/>
      <c r="T965" s="469" t="n"/>
      <c r="U965" s="469" t="n"/>
      <c r="V965" s="469" t="n"/>
      <c r="W965" s="469" t="n"/>
      <c r="X965" s="469" t="n"/>
      <c r="Y965" s="469" t="n"/>
      <c r="Z965" s="469" t="n"/>
      <c r="AA965" s="469" t="n"/>
    </row>
    <row r="966">
      <c r="A966" s="468" t="n"/>
      <c r="B966" s="469" t="n"/>
      <c r="C966" s="469" t="n"/>
      <c r="D966" s="469" t="n"/>
      <c r="E966" s="469" t="n"/>
      <c r="F966" s="469" t="n"/>
      <c r="G966" s="469" t="n"/>
      <c r="H966" s="469" t="n"/>
      <c r="I966" s="469" t="n"/>
      <c r="J966" s="469" t="n"/>
      <c r="K966" s="469" t="n"/>
      <c r="L966" s="469" t="n"/>
      <c r="M966" s="469" t="n"/>
      <c r="N966" s="469" t="n"/>
      <c r="O966" s="469" t="n"/>
      <c r="P966" s="471" t="n"/>
      <c r="Q966" s="469" t="n"/>
      <c r="R966" s="469" t="n"/>
      <c r="S966" s="469" t="n"/>
      <c r="T966" s="469" t="n"/>
      <c r="U966" s="469" t="n"/>
      <c r="V966" s="469" t="n"/>
      <c r="W966" s="469" t="n"/>
      <c r="X966" s="469" t="n"/>
      <c r="Y966" s="469" t="n"/>
      <c r="Z966" s="469" t="n"/>
      <c r="AA966" s="469" t="n"/>
    </row>
    <row r="967">
      <c r="A967" s="468" t="n"/>
      <c r="B967" s="469" t="n"/>
      <c r="C967" s="469" t="n"/>
      <c r="D967" s="469" t="n"/>
      <c r="E967" s="469" t="n"/>
      <c r="F967" s="469" t="n"/>
      <c r="G967" s="469" t="n"/>
      <c r="H967" s="469" t="n"/>
      <c r="I967" s="469" t="n"/>
      <c r="J967" s="469" t="n"/>
      <c r="K967" s="469" t="n"/>
      <c r="L967" s="469" t="n"/>
      <c r="M967" s="469" t="n"/>
      <c r="N967" s="469" t="n"/>
      <c r="O967" s="469" t="n"/>
      <c r="P967" s="471" t="n"/>
      <c r="Q967" s="469" t="n"/>
      <c r="R967" s="469" t="n"/>
      <c r="S967" s="469" t="n"/>
      <c r="T967" s="469" t="n"/>
      <c r="U967" s="469" t="n"/>
      <c r="V967" s="469" t="n"/>
      <c r="W967" s="469" t="n"/>
      <c r="X967" s="469" t="n"/>
      <c r="Y967" s="469" t="n"/>
      <c r="Z967" s="469" t="n"/>
      <c r="AA967" s="469" t="n"/>
    </row>
    <row r="968">
      <c r="A968" s="468" t="n"/>
      <c r="B968" s="469" t="n"/>
      <c r="C968" s="469" t="n"/>
      <c r="D968" s="469" t="n"/>
      <c r="E968" s="469" t="n"/>
      <c r="F968" s="469" t="n"/>
      <c r="G968" s="469" t="n"/>
      <c r="H968" s="469" t="n"/>
      <c r="I968" s="469" t="n"/>
      <c r="J968" s="469" t="n"/>
      <c r="K968" s="469" t="n"/>
      <c r="L968" s="469" t="n"/>
      <c r="M968" s="469" t="n"/>
      <c r="N968" s="469" t="n"/>
      <c r="O968" s="469" t="n"/>
      <c r="P968" s="471" t="n"/>
      <c r="Q968" s="469" t="n"/>
      <c r="R968" s="469" t="n"/>
      <c r="S968" s="469" t="n"/>
      <c r="T968" s="469" t="n"/>
      <c r="U968" s="469" t="n"/>
      <c r="V968" s="469" t="n"/>
      <c r="W968" s="469" t="n"/>
      <c r="X968" s="469" t="n"/>
      <c r="Y968" s="469" t="n"/>
      <c r="Z968" s="469" t="n"/>
      <c r="AA968" s="469" t="n"/>
    </row>
    <row r="969">
      <c r="A969" s="468" t="n"/>
      <c r="B969" s="469" t="n"/>
      <c r="C969" s="469" t="n"/>
      <c r="D969" s="469" t="n"/>
      <c r="E969" s="469" t="n"/>
      <c r="F969" s="469" t="n"/>
      <c r="G969" s="469" t="n"/>
      <c r="H969" s="469" t="n"/>
      <c r="I969" s="469" t="n"/>
      <c r="J969" s="469" t="n"/>
      <c r="K969" s="469" t="n"/>
      <c r="L969" s="469" t="n"/>
      <c r="M969" s="469" t="n"/>
      <c r="N969" s="469" t="n"/>
      <c r="O969" s="469" t="n"/>
      <c r="P969" s="471" t="n"/>
      <c r="Q969" s="469" t="n"/>
      <c r="R969" s="469" t="n"/>
      <c r="S969" s="469" t="n"/>
      <c r="T969" s="469" t="n"/>
      <c r="U969" s="469" t="n"/>
      <c r="V969" s="469" t="n"/>
      <c r="W969" s="469" t="n"/>
      <c r="X969" s="469" t="n"/>
      <c r="Y969" s="469" t="n"/>
      <c r="Z969" s="469" t="n"/>
      <c r="AA969" s="469" t="n"/>
    </row>
    <row r="970">
      <c r="A970" s="468" t="n"/>
      <c r="B970" s="469" t="n"/>
      <c r="C970" s="469" t="n"/>
      <c r="D970" s="469" t="n"/>
      <c r="E970" s="469" t="n"/>
      <c r="F970" s="469" t="n"/>
      <c r="G970" s="469" t="n"/>
      <c r="H970" s="469" t="n"/>
      <c r="I970" s="469" t="n"/>
      <c r="J970" s="469" t="n"/>
      <c r="K970" s="469" t="n"/>
      <c r="L970" s="469" t="n"/>
      <c r="M970" s="469" t="n"/>
      <c r="N970" s="469" t="n"/>
      <c r="O970" s="469" t="n"/>
      <c r="P970" s="471" t="n"/>
      <c r="Q970" s="469" t="n"/>
      <c r="R970" s="469" t="n"/>
      <c r="S970" s="469" t="n"/>
      <c r="T970" s="469" t="n"/>
      <c r="U970" s="469" t="n"/>
      <c r="V970" s="469" t="n"/>
      <c r="W970" s="469" t="n"/>
      <c r="X970" s="469" t="n"/>
      <c r="Y970" s="469" t="n"/>
      <c r="Z970" s="469" t="n"/>
      <c r="AA970" s="469" t="n"/>
    </row>
    <row r="971">
      <c r="A971" s="468" t="n"/>
      <c r="B971" s="469" t="n"/>
      <c r="C971" s="469" t="n"/>
      <c r="D971" s="469" t="n"/>
      <c r="E971" s="469" t="n"/>
      <c r="F971" s="469" t="n"/>
      <c r="G971" s="469" t="n"/>
      <c r="H971" s="469" t="n"/>
      <c r="I971" s="469" t="n"/>
      <c r="J971" s="469" t="n"/>
      <c r="K971" s="469" t="n"/>
      <c r="L971" s="469" t="n"/>
      <c r="M971" s="469" t="n"/>
      <c r="N971" s="469" t="n"/>
      <c r="O971" s="469" t="n"/>
      <c r="P971" s="471" t="n"/>
      <c r="Q971" s="469" t="n"/>
      <c r="R971" s="469" t="n"/>
      <c r="S971" s="469" t="n"/>
      <c r="T971" s="469" t="n"/>
      <c r="U971" s="469" t="n"/>
      <c r="V971" s="469" t="n"/>
      <c r="W971" s="469" t="n"/>
      <c r="X971" s="469" t="n"/>
      <c r="Y971" s="469" t="n"/>
      <c r="Z971" s="469" t="n"/>
      <c r="AA971" s="469" t="n"/>
    </row>
    <row r="972">
      <c r="A972" s="468" t="n"/>
      <c r="B972" s="469" t="n"/>
      <c r="C972" s="469" t="n"/>
      <c r="D972" s="469" t="n"/>
      <c r="E972" s="469" t="n"/>
      <c r="F972" s="469" t="n"/>
      <c r="G972" s="469" t="n"/>
      <c r="H972" s="469" t="n"/>
      <c r="I972" s="469" t="n"/>
      <c r="J972" s="469" t="n"/>
      <c r="K972" s="469" t="n"/>
      <c r="L972" s="469" t="n"/>
      <c r="M972" s="469" t="n"/>
      <c r="N972" s="469" t="n"/>
      <c r="O972" s="469" t="n"/>
      <c r="P972" s="471" t="n"/>
      <c r="Q972" s="469" t="n"/>
      <c r="R972" s="469" t="n"/>
      <c r="S972" s="469" t="n"/>
      <c r="T972" s="469" t="n"/>
      <c r="U972" s="469" t="n"/>
      <c r="V972" s="469" t="n"/>
      <c r="W972" s="469" t="n"/>
      <c r="X972" s="469" t="n"/>
      <c r="Y972" s="469" t="n"/>
      <c r="Z972" s="469" t="n"/>
      <c r="AA972" s="469" t="n"/>
    </row>
    <row r="973">
      <c r="A973" s="468" t="n"/>
      <c r="B973" s="469" t="n"/>
      <c r="C973" s="469" t="n"/>
      <c r="D973" s="469" t="n"/>
      <c r="E973" s="469" t="n"/>
      <c r="F973" s="469" t="n"/>
      <c r="G973" s="469" t="n"/>
      <c r="H973" s="469" t="n"/>
      <c r="I973" s="469" t="n"/>
      <c r="J973" s="469" t="n"/>
      <c r="K973" s="469" t="n"/>
      <c r="L973" s="469" t="n"/>
      <c r="M973" s="469" t="n"/>
      <c r="N973" s="469" t="n"/>
      <c r="O973" s="469" t="n"/>
      <c r="P973" s="471" t="n"/>
      <c r="Q973" s="469" t="n"/>
      <c r="R973" s="469" t="n"/>
      <c r="S973" s="469" t="n"/>
      <c r="T973" s="469" t="n"/>
      <c r="U973" s="469" t="n"/>
      <c r="V973" s="469" t="n"/>
      <c r="W973" s="469" t="n"/>
      <c r="X973" s="469" t="n"/>
      <c r="Y973" s="469" t="n"/>
      <c r="Z973" s="469" t="n"/>
      <c r="AA973" s="469" t="n"/>
    </row>
    <row r="974">
      <c r="A974" s="468" t="n"/>
      <c r="B974" s="469" t="n"/>
      <c r="C974" s="469" t="n"/>
      <c r="D974" s="469" t="n"/>
      <c r="E974" s="469" t="n"/>
      <c r="F974" s="469" t="n"/>
      <c r="G974" s="469" t="n"/>
      <c r="H974" s="469" t="n"/>
      <c r="I974" s="469" t="n"/>
      <c r="J974" s="469" t="n"/>
      <c r="K974" s="469" t="n"/>
      <c r="L974" s="469" t="n"/>
      <c r="M974" s="469" t="n"/>
      <c r="N974" s="469" t="n"/>
      <c r="O974" s="469" t="n"/>
      <c r="P974" s="471" t="n"/>
      <c r="Q974" s="469" t="n"/>
      <c r="R974" s="469" t="n"/>
      <c r="S974" s="469" t="n"/>
      <c r="T974" s="469" t="n"/>
      <c r="U974" s="469" t="n"/>
      <c r="V974" s="469" t="n"/>
      <c r="W974" s="469" t="n"/>
      <c r="X974" s="469" t="n"/>
      <c r="Y974" s="469" t="n"/>
      <c r="Z974" s="469" t="n"/>
      <c r="AA974" s="469" t="n"/>
    </row>
    <row r="975">
      <c r="A975" s="468" t="n"/>
      <c r="B975" s="469" t="n"/>
      <c r="C975" s="469" t="n"/>
      <c r="D975" s="469" t="n"/>
      <c r="E975" s="469" t="n"/>
      <c r="F975" s="469" t="n"/>
      <c r="G975" s="469" t="n"/>
      <c r="H975" s="469" t="n"/>
      <c r="I975" s="469" t="n"/>
      <c r="J975" s="469" t="n"/>
      <c r="K975" s="469" t="n"/>
      <c r="L975" s="469" t="n"/>
      <c r="M975" s="469" t="n"/>
      <c r="N975" s="469" t="n"/>
      <c r="O975" s="469" t="n"/>
      <c r="P975" s="471" t="n"/>
      <c r="Q975" s="469" t="n"/>
      <c r="R975" s="469" t="n"/>
      <c r="S975" s="469" t="n"/>
      <c r="T975" s="469" t="n"/>
      <c r="U975" s="469" t="n"/>
      <c r="V975" s="469" t="n"/>
      <c r="W975" s="469" t="n"/>
      <c r="X975" s="469" t="n"/>
      <c r="Y975" s="469" t="n"/>
      <c r="Z975" s="469" t="n"/>
      <c r="AA975" s="469" t="n"/>
    </row>
    <row r="976">
      <c r="A976" s="468" t="n"/>
      <c r="B976" s="469" t="n"/>
      <c r="C976" s="469" t="n"/>
      <c r="D976" s="469" t="n"/>
      <c r="E976" s="469" t="n"/>
      <c r="F976" s="469" t="n"/>
      <c r="G976" s="469" t="n"/>
      <c r="H976" s="469" t="n"/>
      <c r="I976" s="469" t="n"/>
      <c r="J976" s="469" t="n"/>
      <c r="K976" s="469" t="n"/>
      <c r="L976" s="469" t="n"/>
      <c r="M976" s="469" t="n"/>
      <c r="N976" s="469" t="n"/>
      <c r="O976" s="469" t="n"/>
      <c r="P976" s="471" t="n"/>
      <c r="Q976" s="469" t="n"/>
      <c r="R976" s="469" t="n"/>
      <c r="S976" s="469" t="n"/>
      <c r="T976" s="469" t="n"/>
      <c r="U976" s="469" t="n"/>
      <c r="V976" s="469" t="n"/>
      <c r="W976" s="469" t="n"/>
      <c r="X976" s="469" t="n"/>
      <c r="Y976" s="469" t="n"/>
      <c r="Z976" s="469" t="n"/>
      <c r="AA976" s="469" t="n"/>
    </row>
    <row r="977">
      <c r="A977" s="468" t="n"/>
      <c r="B977" s="469" t="n"/>
      <c r="C977" s="469" t="n"/>
      <c r="D977" s="469" t="n"/>
      <c r="E977" s="469" t="n"/>
      <c r="F977" s="469" t="n"/>
      <c r="G977" s="469" t="n"/>
      <c r="H977" s="469" t="n"/>
      <c r="I977" s="469" t="n"/>
      <c r="J977" s="469" t="n"/>
      <c r="K977" s="469" t="n"/>
      <c r="L977" s="469" t="n"/>
      <c r="M977" s="469" t="n"/>
      <c r="N977" s="469" t="n"/>
      <c r="O977" s="469" t="n"/>
      <c r="P977" s="471" t="n"/>
      <c r="Q977" s="469" t="n"/>
      <c r="R977" s="469" t="n"/>
      <c r="S977" s="469" t="n"/>
      <c r="T977" s="469" t="n"/>
      <c r="U977" s="469" t="n"/>
      <c r="V977" s="469" t="n"/>
      <c r="W977" s="469" t="n"/>
      <c r="X977" s="469" t="n"/>
      <c r="Y977" s="469" t="n"/>
      <c r="Z977" s="469" t="n"/>
      <c r="AA977" s="469" t="n"/>
    </row>
    <row r="978">
      <c r="A978" s="468" t="n"/>
      <c r="B978" s="469" t="n"/>
      <c r="C978" s="469" t="n"/>
      <c r="D978" s="469" t="n"/>
      <c r="E978" s="469" t="n"/>
      <c r="F978" s="469" t="n"/>
      <c r="G978" s="469" t="n"/>
      <c r="H978" s="469" t="n"/>
      <c r="I978" s="469" t="n"/>
      <c r="J978" s="469" t="n"/>
      <c r="K978" s="469" t="n"/>
      <c r="L978" s="469" t="n"/>
      <c r="M978" s="469" t="n"/>
      <c r="N978" s="469" t="n"/>
      <c r="O978" s="469" t="n"/>
      <c r="P978" s="471" t="n"/>
      <c r="Q978" s="469" t="n"/>
      <c r="R978" s="469" t="n"/>
      <c r="S978" s="469" t="n"/>
      <c r="T978" s="469" t="n"/>
      <c r="U978" s="469" t="n"/>
      <c r="V978" s="469" t="n"/>
      <c r="W978" s="469" t="n"/>
      <c r="X978" s="469" t="n"/>
      <c r="Y978" s="469" t="n"/>
      <c r="Z978" s="469" t="n"/>
      <c r="AA978" s="469" t="n"/>
    </row>
    <row r="979">
      <c r="A979" s="468" t="n"/>
      <c r="B979" s="469" t="n"/>
      <c r="C979" s="469" t="n"/>
      <c r="D979" s="469" t="n"/>
      <c r="E979" s="469" t="n"/>
      <c r="F979" s="469" t="n"/>
      <c r="G979" s="469" t="n"/>
      <c r="H979" s="469" t="n"/>
      <c r="I979" s="469" t="n"/>
      <c r="J979" s="469" t="n"/>
      <c r="K979" s="469" t="n"/>
      <c r="L979" s="469" t="n"/>
      <c r="M979" s="469" t="n"/>
      <c r="N979" s="469" t="n"/>
      <c r="O979" s="469" t="n"/>
      <c r="P979" s="471" t="n"/>
      <c r="Q979" s="469" t="n"/>
      <c r="R979" s="469" t="n"/>
      <c r="S979" s="469" t="n"/>
      <c r="T979" s="469" t="n"/>
      <c r="U979" s="469" t="n"/>
      <c r="V979" s="469" t="n"/>
      <c r="W979" s="469" t="n"/>
      <c r="X979" s="469" t="n"/>
      <c r="Y979" s="469" t="n"/>
      <c r="Z979" s="469" t="n"/>
      <c r="AA979" s="469" t="n"/>
    </row>
    <row r="980">
      <c r="A980" s="468" t="n"/>
      <c r="B980" s="469" t="n"/>
      <c r="C980" s="469" t="n"/>
      <c r="D980" s="469" t="n"/>
      <c r="E980" s="469" t="n"/>
      <c r="F980" s="469" t="n"/>
      <c r="G980" s="469" t="n"/>
      <c r="H980" s="469" t="n"/>
      <c r="I980" s="469" t="n"/>
      <c r="J980" s="469" t="n"/>
      <c r="K980" s="469" t="n"/>
      <c r="L980" s="469" t="n"/>
      <c r="M980" s="469" t="n"/>
      <c r="N980" s="469" t="n"/>
      <c r="O980" s="469" t="n"/>
      <c r="P980" s="471" t="n"/>
      <c r="Q980" s="469" t="n"/>
      <c r="R980" s="469" t="n"/>
      <c r="S980" s="469" t="n"/>
      <c r="T980" s="469" t="n"/>
      <c r="U980" s="469" t="n"/>
      <c r="V980" s="469" t="n"/>
      <c r="W980" s="469" t="n"/>
      <c r="X980" s="469" t="n"/>
      <c r="Y980" s="469" t="n"/>
      <c r="Z980" s="469" t="n"/>
      <c r="AA980" s="469" t="n"/>
    </row>
    <row r="981">
      <c r="A981" s="468" t="n"/>
      <c r="B981" s="469" t="n"/>
      <c r="C981" s="469" t="n"/>
      <c r="D981" s="469" t="n"/>
      <c r="E981" s="469" t="n"/>
      <c r="F981" s="469" t="n"/>
      <c r="G981" s="469" t="n"/>
      <c r="H981" s="469" t="n"/>
      <c r="I981" s="469" t="n"/>
      <c r="J981" s="469" t="n"/>
      <c r="K981" s="469" t="n"/>
      <c r="L981" s="469" t="n"/>
      <c r="M981" s="469" t="n"/>
      <c r="N981" s="469" t="n"/>
      <c r="O981" s="469" t="n"/>
      <c r="P981" s="471" t="n"/>
      <c r="Q981" s="469" t="n"/>
      <c r="R981" s="469" t="n"/>
      <c r="S981" s="469" t="n"/>
      <c r="T981" s="469" t="n"/>
      <c r="U981" s="469" t="n"/>
      <c r="V981" s="469" t="n"/>
      <c r="W981" s="469" t="n"/>
      <c r="X981" s="469" t="n"/>
      <c r="Y981" s="469" t="n"/>
      <c r="Z981" s="469" t="n"/>
      <c r="AA981" s="469" t="n"/>
    </row>
    <row r="982">
      <c r="A982" s="468" t="n"/>
      <c r="B982" s="469" t="n"/>
      <c r="C982" s="469" t="n"/>
      <c r="D982" s="469" t="n"/>
      <c r="E982" s="469" t="n"/>
      <c r="F982" s="469" t="n"/>
      <c r="G982" s="469" t="n"/>
      <c r="H982" s="469" t="n"/>
      <c r="I982" s="469" t="n"/>
      <c r="J982" s="469" t="n"/>
      <c r="K982" s="469" t="n"/>
      <c r="L982" s="469" t="n"/>
      <c r="M982" s="469" t="n"/>
      <c r="N982" s="469" t="n"/>
      <c r="O982" s="469" t="n"/>
      <c r="P982" s="471" t="n"/>
      <c r="Q982" s="469" t="n"/>
      <c r="R982" s="469" t="n"/>
      <c r="S982" s="469" t="n"/>
      <c r="T982" s="469" t="n"/>
      <c r="U982" s="469" t="n"/>
      <c r="V982" s="469" t="n"/>
      <c r="W982" s="469" t="n"/>
      <c r="X982" s="469" t="n"/>
      <c r="Y982" s="469" t="n"/>
      <c r="Z982" s="469" t="n"/>
      <c r="AA982" s="469" t="n"/>
    </row>
    <row r="983">
      <c r="A983" s="468" t="n"/>
      <c r="B983" s="469" t="n"/>
      <c r="C983" s="469" t="n"/>
      <c r="D983" s="469" t="n"/>
      <c r="E983" s="469" t="n"/>
      <c r="F983" s="469" t="n"/>
      <c r="G983" s="469" t="n"/>
      <c r="H983" s="469" t="n"/>
      <c r="I983" s="469" t="n"/>
      <c r="J983" s="469" t="n"/>
      <c r="K983" s="469" t="n"/>
      <c r="L983" s="469" t="n"/>
      <c r="M983" s="469" t="n"/>
      <c r="N983" s="469" t="n"/>
      <c r="O983" s="469" t="n"/>
      <c r="P983" s="471" t="n"/>
      <c r="Q983" s="469" t="n"/>
      <c r="R983" s="469" t="n"/>
      <c r="S983" s="469" t="n"/>
      <c r="T983" s="469" t="n"/>
      <c r="U983" s="469" t="n"/>
      <c r="V983" s="469" t="n"/>
      <c r="W983" s="469" t="n"/>
      <c r="X983" s="469" t="n"/>
      <c r="Y983" s="469" t="n"/>
      <c r="Z983" s="469" t="n"/>
      <c r="AA983" s="469" t="n"/>
    </row>
    <row r="984">
      <c r="A984" s="468" t="n"/>
      <c r="B984" s="469" t="n"/>
      <c r="C984" s="469" t="n"/>
      <c r="D984" s="469" t="n"/>
      <c r="E984" s="469" t="n"/>
      <c r="F984" s="469" t="n"/>
      <c r="G984" s="469" t="n"/>
      <c r="H984" s="469" t="n"/>
      <c r="I984" s="469" t="n"/>
      <c r="J984" s="469" t="n"/>
      <c r="K984" s="469" t="n"/>
      <c r="L984" s="469" t="n"/>
      <c r="M984" s="469" t="n"/>
      <c r="N984" s="469" t="n"/>
      <c r="O984" s="469" t="n"/>
      <c r="P984" s="471" t="n"/>
      <c r="Q984" s="469" t="n"/>
      <c r="R984" s="469" t="n"/>
      <c r="S984" s="469" t="n"/>
      <c r="T984" s="469" t="n"/>
      <c r="U984" s="469" t="n"/>
      <c r="V984" s="469" t="n"/>
      <c r="W984" s="469" t="n"/>
      <c r="X984" s="469" t="n"/>
      <c r="Y984" s="469" t="n"/>
      <c r="Z984" s="469" t="n"/>
      <c r="AA984" s="469" t="n"/>
    </row>
    <row r="985">
      <c r="A985" s="468" t="n"/>
      <c r="B985" s="469" t="n"/>
      <c r="C985" s="469" t="n"/>
      <c r="D985" s="469" t="n"/>
      <c r="E985" s="469" t="n"/>
      <c r="F985" s="469" t="n"/>
      <c r="G985" s="469" t="n"/>
      <c r="H985" s="469" t="n"/>
      <c r="I985" s="469" t="n"/>
      <c r="J985" s="469" t="n"/>
      <c r="K985" s="469" t="n"/>
      <c r="L985" s="469" t="n"/>
      <c r="M985" s="469" t="n"/>
      <c r="N985" s="469" t="n"/>
      <c r="O985" s="469" t="n"/>
      <c r="P985" s="471" t="n"/>
      <c r="Q985" s="469" t="n"/>
      <c r="R985" s="469" t="n"/>
      <c r="S985" s="469" t="n"/>
      <c r="T985" s="469" t="n"/>
      <c r="U985" s="469" t="n"/>
      <c r="V985" s="469" t="n"/>
      <c r="W985" s="469" t="n"/>
      <c r="X985" s="469" t="n"/>
      <c r="Y985" s="469" t="n"/>
      <c r="Z985" s="469" t="n"/>
      <c r="AA985" s="469" t="n"/>
    </row>
    <row r="986">
      <c r="A986" s="468" t="n"/>
      <c r="B986" s="469" t="n"/>
      <c r="C986" s="469" t="n"/>
      <c r="D986" s="469" t="n"/>
      <c r="E986" s="469" t="n"/>
      <c r="F986" s="469" t="n"/>
      <c r="G986" s="469" t="n"/>
      <c r="H986" s="469" t="n"/>
      <c r="I986" s="469" t="n"/>
      <c r="J986" s="469" t="n"/>
      <c r="K986" s="469" t="n"/>
      <c r="L986" s="469" t="n"/>
      <c r="M986" s="469" t="n"/>
      <c r="N986" s="469" t="n"/>
      <c r="O986" s="469" t="n"/>
      <c r="P986" s="471" t="n"/>
      <c r="Q986" s="469" t="n"/>
      <c r="R986" s="469" t="n"/>
      <c r="S986" s="469" t="n"/>
      <c r="T986" s="469" t="n"/>
      <c r="U986" s="469" t="n"/>
      <c r="V986" s="469" t="n"/>
      <c r="W986" s="469" t="n"/>
      <c r="X986" s="469" t="n"/>
      <c r="Y986" s="469" t="n"/>
      <c r="Z986" s="469" t="n"/>
      <c r="AA986" s="469" t="n"/>
    </row>
    <row r="987">
      <c r="A987" s="468" t="n"/>
      <c r="B987" s="469" t="n"/>
      <c r="C987" s="469" t="n"/>
      <c r="D987" s="469" t="n"/>
      <c r="E987" s="469" t="n"/>
      <c r="F987" s="469" t="n"/>
      <c r="G987" s="469" t="n"/>
      <c r="H987" s="469" t="n"/>
      <c r="I987" s="469" t="n"/>
      <c r="J987" s="469" t="n"/>
      <c r="K987" s="469" t="n"/>
      <c r="L987" s="469" t="n"/>
      <c r="M987" s="469" t="n"/>
      <c r="N987" s="469" t="n"/>
      <c r="O987" s="469" t="n"/>
      <c r="P987" s="471" t="n"/>
      <c r="Q987" s="469" t="n"/>
      <c r="R987" s="469" t="n"/>
      <c r="S987" s="469" t="n"/>
      <c r="T987" s="469" t="n"/>
      <c r="U987" s="469" t="n"/>
      <c r="V987" s="469" t="n"/>
      <c r="W987" s="469" t="n"/>
      <c r="X987" s="469" t="n"/>
      <c r="Y987" s="469" t="n"/>
      <c r="Z987" s="469" t="n"/>
      <c r="AA987" s="469" t="n"/>
    </row>
    <row r="988">
      <c r="A988" s="468" t="n"/>
      <c r="B988" s="469" t="n"/>
      <c r="C988" s="469" t="n"/>
      <c r="D988" s="469" t="n"/>
      <c r="E988" s="469" t="n"/>
      <c r="F988" s="469" t="n"/>
      <c r="G988" s="469" t="n"/>
      <c r="H988" s="469" t="n"/>
      <c r="I988" s="469" t="n"/>
      <c r="J988" s="469" t="n"/>
      <c r="K988" s="469" t="n"/>
      <c r="L988" s="469" t="n"/>
      <c r="M988" s="469" t="n"/>
      <c r="N988" s="469" t="n"/>
      <c r="O988" s="469" t="n"/>
      <c r="P988" s="471" t="n"/>
      <c r="Q988" s="469" t="n"/>
      <c r="R988" s="469" t="n"/>
      <c r="S988" s="469" t="n"/>
      <c r="T988" s="469" t="n"/>
      <c r="U988" s="469" t="n"/>
      <c r="V988" s="469" t="n"/>
      <c r="W988" s="469" t="n"/>
      <c r="X988" s="469" t="n"/>
      <c r="Y988" s="469" t="n"/>
      <c r="Z988" s="469" t="n"/>
      <c r="AA988" s="469" t="n"/>
    </row>
    <row r="989">
      <c r="A989" s="468" t="n"/>
      <c r="B989" s="469" t="n"/>
      <c r="C989" s="469" t="n"/>
      <c r="D989" s="469" t="n"/>
      <c r="E989" s="469" t="n"/>
      <c r="F989" s="469" t="n"/>
      <c r="G989" s="469" t="n"/>
      <c r="H989" s="469" t="n"/>
      <c r="I989" s="469" t="n"/>
      <c r="J989" s="469" t="n"/>
      <c r="K989" s="469" t="n"/>
      <c r="L989" s="469" t="n"/>
      <c r="M989" s="469" t="n"/>
      <c r="N989" s="469" t="n"/>
      <c r="O989" s="469" t="n"/>
      <c r="P989" s="471" t="n"/>
      <c r="Q989" s="469" t="n"/>
      <c r="R989" s="469" t="n"/>
      <c r="S989" s="469" t="n"/>
      <c r="T989" s="469" t="n"/>
      <c r="U989" s="469" t="n"/>
      <c r="V989" s="469" t="n"/>
      <c r="W989" s="469" t="n"/>
      <c r="X989" s="469" t="n"/>
      <c r="Y989" s="469" t="n"/>
      <c r="Z989" s="469" t="n"/>
      <c r="AA989" s="469" t="n"/>
    </row>
    <row r="990">
      <c r="A990" s="468" t="n"/>
      <c r="B990" s="469" t="n"/>
      <c r="C990" s="469" t="n"/>
      <c r="D990" s="469" t="n"/>
      <c r="E990" s="469" t="n"/>
      <c r="F990" s="469" t="n"/>
      <c r="G990" s="469" t="n"/>
      <c r="H990" s="469" t="n"/>
      <c r="I990" s="469" t="n"/>
      <c r="J990" s="469" t="n"/>
      <c r="K990" s="469" t="n"/>
      <c r="L990" s="469" t="n"/>
      <c r="M990" s="469" t="n"/>
      <c r="N990" s="469" t="n"/>
      <c r="O990" s="469" t="n"/>
      <c r="P990" s="471" t="n"/>
      <c r="Q990" s="469" t="n"/>
      <c r="R990" s="469" t="n"/>
      <c r="S990" s="469" t="n"/>
      <c r="T990" s="469" t="n"/>
      <c r="U990" s="469" t="n"/>
      <c r="V990" s="469" t="n"/>
      <c r="W990" s="469" t="n"/>
      <c r="X990" s="469" t="n"/>
      <c r="Y990" s="469" t="n"/>
      <c r="Z990" s="469" t="n"/>
      <c r="AA990" s="469" t="n"/>
    </row>
    <row r="991">
      <c r="A991" s="468" t="n"/>
      <c r="B991" s="469" t="n"/>
      <c r="C991" s="469" t="n"/>
      <c r="D991" s="469" t="n"/>
      <c r="E991" s="469" t="n"/>
      <c r="F991" s="469" t="n"/>
      <c r="G991" s="469" t="n"/>
      <c r="H991" s="469" t="n"/>
      <c r="I991" s="469" t="n"/>
      <c r="J991" s="469" t="n"/>
      <c r="K991" s="469" t="n"/>
      <c r="L991" s="469" t="n"/>
      <c r="M991" s="469" t="n"/>
      <c r="N991" s="469" t="n"/>
      <c r="O991" s="469" t="n"/>
      <c r="P991" s="471" t="n"/>
      <c r="Q991" s="469" t="n"/>
      <c r="R991" s="469" t="n"/>
      <c r="S991" s="469" t="n"/>
      <c r="T991" s="469" t="n"/>
      <c r="U991" s="469" t="n"/>
      <c r="V991" s="469" t="n"/>
      <c r="W991" s="469" t="n"/>
      <c r="X991" s="469" t="n"/>
      <c r="Y991" s="469" t="n"/>
      <c r="Z991" s="469" t="n"/>
      <c r="AA991" s="469" t="n"/>
    </row>
    <row r="992">
      <c r="A992" s="468" t="n"/>
      <c r="B992" s="469" t="n"/>
      <c r="C992" s="469" t="n"/>
      <c r="D992" s="469" t="n"/>
      <c r="E992" s="469" t="n"/>
      <c r="F992" s="469" t="n"/>
      <c r="G992" s="469" t="n"/>
      <c r="H992" s="469" t="n"/>
      <c r="I992" s="469" t="n"/>
      <c r="J992" s="469" t="n"/>
      <c r="K992" s="469" t="n"/>
      <c r="L992" s="469" t="n"/>
      <c r="M992" s="469" t="n"/>
      <c r="N992" s="469" t="n"/>
      <c r="O992" s="469" t="n"/>
      <c r="P992" s="471" t="n"/>
      <c r="Q992" s="469" t="n"/>
      <c r="R992" s="469" t="n"/>
      <c r="S992" s="469" t="n"/>
      <c r="T992" s="469" t="n"/>
      <c r="U992" s="469" t="n"/>
      <c r="V992" s="469" t="n"/>
      <c r="W992" s="469" t="n"/>
      <c r="X992" s="469" t="n"/>
      <c r="Y992" s="469" t="n"/>
      <c r="Z992" s="469" t="n"/>
      <c r="AA992" s="469" t="n"/>
    </row>
    <row r="993">
      <c r="A993" s="468" t="n"/>
      <c r="B993" s="469" t="n"/>
      <c r="C993" s="469" t="n"/>
      <c r="D993" s="469" t="n"/>
      <c r="E993" s="469" t="n"/>
      <c r="F993" s="469" t="n"/>
      <c r="G993" s="469" t="n"/>
      <c r="H993" s="469" t="n"/>
      <c r="I993" s="469" t="n"/>
      <c r="J993" s="469" t="n"/>
      <c r="K993" s="469" t="n"/>
      <c r="L993" s="469" t="n"/>
      <c r="M993" s="469" t="n"/>
      <c r="N993" s="469" t="n"/>
      <c r="O993" s="469" t="n"/>
      <c r="P993" s="471" t="n"/>
      <c r="Q993" s="469" t="n"/>
      <c r="R993" s="469" t="n"/>
      <c r="S993" s="469" t="n"/>
      <c r="T993" s="469" t="n"/>
      <c r="U993" s="469" t="n"/>
      <c r="V993" s="469" t="n"/>
      <c r="W993" s="469" t="n"/>
      <c r="X993" s="469" t="n"/>
      <c r="Y993" s="469" t="n"/>
      <c r="Z993" s="469" t="n"/>
      <c r="AA993" s="469" t="n"/>
    </row>
    <row r="994">
      <c r="A994" s="468" t="n"/>
      <c r="B994" s="469" t="n"/>
      <c r="C994" s="469" t="n"/>
      <c r="D994" s="469" t="n"/>
      <c r="E994" s="469" t="n"/>
      <c r="F994" s="469" t="n"/>
      <c r="G994" s="469" t="n"/>
      <c r="H994" s="469" t="n"/>
      <c r="I994" s="469" t="n"/>
      <c r="J994" s="469" t="n"/>
      <c r="K994" s="469" t="n"/>
      <c r="L994" s="469" t="n"/>
      <c r="M994" s="469" t="n"/>
      <c r="N994" s="469" t="n"/>
      <c r="O994" s="469" t="n"/>
      <c r="P994" s="471" t="n"/>
      <c r="Q994" s="469" t="n"/>
      <c r="R994" s="469" t="n"/>
      <c r="S994" s="469" t="n"/>
      <c r="T994" s="469" t="n"/>
      <c r="U994" s="469" t="n"/>
      <c r="V994" s="469" t="n"/>
      <c r="W994" s="469" t="n"/>
      <c r="X994" s="469" t="n"/>
      <c r="Y994" s="469" t="n"/>
      <c r="Z994" s="469" t="n"/>
      <c r="AA994" s="469" t="n"/>
    </row>
    <row r="995">
      <c r="A995" s="468" t="n"/>
      <c r="B995" s="469" t="n"/>
      <c r="C995" s="469" t="n"/>
      <c r="D995" s="469" t="n"/>
      <c r="E995" s="469" t="n"/>
      <c r="F995" s="469" t="n"/>
      <c r="G995" s="469" t="n"/>
      <c r="H995" s="469" t="n"/>
      <c r="I995" s="469" t="n"/>
      <c r="J995" s="469" t="n"/>
      <c r="K995" s="469" t="n"/>
      <c r="L995" s="469" t="n"/>
      <c r="M995" s="469" t="n"/>
      <c r="N995" s="469" t="n"/>
      <c r="O995" s="469" t="n"/>
      <c r="P995" s="471" t="n"/>
      <c r="Q995" s="469" t="n"/>
      <c r="R995" s="469" t="n"/>
      <c r="S995" s="469" t="n"/>
      <c r="T995" s="469" t="n"/>
      <c r="U995" s="469" t="n"/>
      <c r="V995" s="469" t="n"/>
      <c r="W995" s="469" t="n"/>
      <c r="X995" s="469" t="n"/>
      <c r="Y995" s="469" t="n"/>
      <c r="Z995" s="469" t="n"/>
      <c r="AA995" s="469" t="n"/>
    </row>
    <row r="996">
      <c r="A996" s="468" t="n"/>
      <c r="B996" s="469" t="n"/>
      <c r="C996" s="469" t="n"/>
      <c r="D996" s="469" t="n"/>
      <c r="E996" s="469" t="n"/>
      <c r="F996" s="469" t="n"/>
      <c r="G996" s="469" t="n"/>
      <c r="H996" s="469" t="n"/>
      <c r="I996" s="469" t="n"/>
      <c r="J996" s="469" t="n"/>
      <c r="K996" s="469" t="n"/>
      <c r="L996" s="469" t="n"/>
      <c r="M996" s="469" t="n"/>
      <c r="N996" s="469" t="n"/>
      <c r="O996" s="469" t="n"/>
      <c r="P996" s="471" t="n"/>
      <c r="Q996" s="469" t="n"/>
      <c r="R996" s="469" t="n"/>
      <c r="S996" s="469" t="n"/>
      <c r="T996" s="469" t="n"/>
      <c r="U996" s="469" t="n"/>
      <c r="V996" s="469" t="n"/>
      <c r="W996" s="469" t="n"/>
      <c r="X996" s="469" t="n"/>
      <c r="Y996" s="469" t="n"/>
      <c r="Z996" s="469" t="n"/>
      <c r="AA996" s="469" t="n"/>
    </row>
    <row r="997">
      <c r="A997" s="468" t="n"/>
      <c r="B997" s="469" t="n"/>
      <c r="C997" s="469" t="n"/>
      <c r="D997" s="469" t="n"/>
      <c r="E997" s="469" t="n"/>
      <c r="F997" s="469" t="n"/>
      <c r="G997" s="469" t="n"/>
      <c r="H997" s="469" t="n"/>
      <c r="I997" s="469" t="n"/>
      <c r="J997" s="469" t="n"/>
      <c r="K997" s="469" t="n"/>
      <c r="L997" s="469" t="n"/>
      <c r="M997" s="469" t="n"/>
      <c r="N997" s="469" t="n"/>
      <c r="O997" s="469" t="n"/>
      <c r="P997" s="471" t="n"/>
      <c r="Q997" s="469" t="n"/>
      <c r="R997" s="469" t="n"/>
      <c r="S997" s="469" t="n"/>
      <c r="T997" s="469" t="n"/>
      <c r="U997" s="469" t="n"/>
      <c r="V997" s="469" t="n"/>
      <c r="W997" s="469" t="n"/>
      <c r="X997" s="469" t="n"/>
      <c r="Y997" s="469" t="n"/>
      <c r="Z997" s="469" t="n"/>
      <c r="AA997" s="469" t="n"/>
    </row>
    <row r="998">
      <c r="A998" s="468" t="n"/>
      <c r="B998" s="469" t="n"/>
      <c r="C998" s="469" t="n"/>
      <c r="D998" s="469" t="n"/>
      <c r="E998" s="469" t="n"/>
      <c r="F998" s="469" t="n"/>
      <c r="G998" s="469" t="n"/>
      <c r="H998" s="469" t="n"/>
      <c r="I998" s="469" t="n"/>
      <c r="J998" s="469" t="n"/>
      <c r="K998" s="469" t="n"/>
      <c r="L998" s="469" t="n"/>
      <c r="M998" s="469" t="n"/>
      <c r="N998" s="469" t="n"/>
      <c r="O998" s="469" t="n"/>
      <c r="P998" s="471" t="n"/>
      <c r="Q998" s="469" t="n"/>
      <c r="R998" s="469" t="n"/>
      <c r="S998" s="469" t="n"/>
      <c r="T998" s="469" t="n"/>
      <c r="U998" s="469" t="n"/>
      <c r="V998" s="469" t="n"/>
      <c r="W998" s="469" t="n"/>
      <c r="X998" s="469" t="n"/>
      <c r="Y998" s="469" t="n"/>
      <c r="Z998" s="469" t="n"/>
      <c r="AA998" s="469" t="n"/>
    </row>
    <row r="999">
      <c r="A999" s="468" t="n"/>
      <c r="B999" s="469" t="n"/>
      <c r="C999" s="469" t="n"/>
      <c r="D999" s="469" t="n"/>
      <c r="E999" s="469" t="n"/>
      <c r="F999" s="469" t="n"/>
      <c r="G999" s="469" t="n"/>
      <c r="H999" s="469" t="n"/>
      <c r="I999" s="469" t="n"/>
      <c r="J999" s="469" t="n"/>
      <c r="K999" s="469" t="n"/>
      <c r="L999" s="469" t="n"/>
      <c r="M999" s="469" t="n"/>
      <c r="N999" s="469" t="n"/>
      <c r="O999" s="469" t="n"/>
      <c r="P999" s="471" t="n"/>
      <c r="Q999" s="469" t="n"/>
      <c r="R999" s="469" t="n"/>
      <c r="S999" s="469" t="n"/>
      <c r="T999" s="469" t="n"/>
      <c r="U999" s="469" t="n"/>
      <c r="V999" s="469" t="n"/>
      <c r="W999" s="469" t="n"/>
      <c r="X999" s="469" t="n"/>
      <c r="Y999" s="469" t="n"/>
      <c r="Z999" s="469" t="n"/>
      <c r="AA999" s="469" t="n"/>
    </row>
    <row r="1000">
      <c r="A1000" s="474" t="n"/>
      <c r="B1000" s="475" t="n"/>
      <c r="C1000" s="475" t="n"/>
      <c r="D1000" s="475" t="n"/>
      <c r="E1000" s="475" t="n"/>
      <c r="F1000" s="475" t="n"/>
      <c r="G1000" s="475" t="n"/>
      <c r="H1000" s="475" t="n"/>
      <c r="I1000" s="475" t="n"/>
      <c r="J1000" s="475" t="n"/>
      <c r="K1000" s="475" t="n"/>
      <c r="L1000" s="475" t="n"/>
      <c r="M1000" s="475" t="n"/>
      <c r="N1000" s="475" t="n"/>
      <c r="O1000" s="475" t="n"/>
      <c r="P1000" s="476" t="n"/>
      <c r="Q1000" s="469" t="n"/>
      <c r="R1000" s="469" t="n"/>
      <c r="S1000" s="469" t="n"/>
      <c r="T1000" s="469" t="n"/>
      <c r="U1000" s="469" t="n"/>
      <c r="V1000" s="469" t="n"/>
      <c r="W1000" s="469" t="n"/>
      <c r="X1000" s="469" t="n"/>
      <c r="Y1000" s="469" t="n"/>
      <c r="Z1000" s="469" t="n"/>
      <c r="AA1000" s="469" t="n"/>
    </row>
  </sheetData>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2.63" defaultRowHeight="15.75" customHeight="1"/>
  <cols>
    <col width="24" customWidth="1" style="482" min="1" max="1"/>
    <col width="19.63" customWidth="1" style="482" min="2" max="2"/>
    <col width="14.38" customWidth="1" style="482" min="3" max="3"/>
    <col width="18.75" customWidth="1" style="482" min="4" max="5"/>
    <col width="22.5" customWidth="1" style="482" min="6" max="6"/>
    <col width="7.63" customWidth="1" style="482" min="7" max="8"/>
    <col width="10.38" customWidth="1" style="482" min="9" max="9"/>
    <col width="11.63" customWidth="1" style="482" min="10" max="10"/>
    <col width="12.63" customWidth="1" style="482" min="11" max="11"/>
    <col width="5" customWidth="1" style="482" min="12" max="12"/>
    <col width="6.38" customWidth="1" style="482" min="13" max="13"/>
    <col width="5.13" customWidth="1" style="482" min="14" max="14"/>
  </cols>
  <sheetData>
    <row r="1">
      <c r="A1" s="477">
        <f>IFERROR(__xludf.DUMMYFUNCTION("IMPORTRANGE(""https://docs.google.com/spreadsheets/d/1oJmkDK37Qizzdaxn4KCwh1BMwdNWuHCx3AGH8BC9yu0/edit?gid=781951868#gid=781951868"",""BGM!A:G"")"),"BGM/SE関連")</f>
        <v/>
      </c>
      <c r="B1" s="417" t="n"/>
      <c r="C1" s="418" t="n"/>
      <c r="D1" s="418" t="n"/>
      <c r="E1" s="419" t="n"/>
      <c r="F1" s="420" t="n"/>
      <c r="G1" s="420" t="n"/>
      <c r="H1" s="417" t="n"/>
      <c r="I1" s="417" t="n"/>
      <c r="J1" s="417" t="n"/>
      <c r="K1" s="417" t="n"/>
      <c r="L1" s="417" t="n"/>
      <c r="M1" s="417" t="n"/>
      <c r="N1" s="421" t="n"/>
      <c r="O1" s="421" t="n"/>
      <c r="P1" s="422" t="n"/>
      <c r="Q1" s="422" t="n"/>
      <c r="R1" s="424" t="n"/>
      <c r="S1" s="417" t="n"/>
      <c r="T1" s="417" t="n"/>
      <c r="U1" s="417" t="n"/>
      <c r="V1" s="417" t="n"/>
      <c r="W1" s="417" t="n"/>
      <c r="X1" s="417" t="n"/>
      <c r="Y1" s="417" t="n"/>
      <c r="Z1" s="417" t="n"/>
      <c r="AA1" s="417" t="n"/>
    </row>
    <row r="2">
      <c r="A2" s="426">
        <f>IFERROR(__xludf.DUMMYFUNCTION("""COMPUTED_VALUE"""),"ファイル名")</f>
        <v/>
      </c>
      <c r="B2" s="426">
        <f>IFERROR(__xludf.DUMMYFUNCTION("""COMPUTED_VALUE"""),"旧ファイル名
（対応後削除予定）")</f>
        <v/>
      </c>
      <c r="C2" s="427">
        <f>IFERROR(__xludf.DUMMYFUNCTION("""COMPUTED_VALUE"""),"使用箇所")</f>
        <v/>
      </c>
      <c r="D2" s="428" t="n"/>
      <c r="E2" s="428">
        <f>IFERROR(__xludf.DUMMYFUNCTION("""COMPUTED_VALUE"""),"サウンド名称")</f>
        <v/>
      </c>
      <c r="F2" s="429">
        <f>IFERROR(__xludf.DUMMYFUNCTION("""COMPUTED_VALUE"""),"格納フォルダ")</f>
        <v/>
      </c>
      <c r="G2" s="429">
        <f>IFERROR(__xludf.DUMMYFUNCTION("""COMPUTED_VALUE"""),"備考（クエストでの使用箇所など）")</f>
        <v/>
      </c>
      <c r="H2" s="368" t="n"/>
      <c r="I2" s="439" t="n"/>
      <c r="J2" s="368" t="n"/>
      <c r="K2" s="426" t="n"/>
      <c r="L2" s="429" t="n"/>
      <c r="M2" s="429" t="n"/>
      <c r="N2" s="431" t="n"/>
      <c r="O2" s="431" t="n"/>
      <c r="P2" s="431" t="n"/>
      <c r="Q2" s="431" t="n"/>
      <c r="R2" s="432" t="n"/>
      <c r="S2" s="432" t="n"/>
      <c r="T2" s="426" t="n"/>
      <c r="U2" s="478" t="n"/>
      <c r="V2" s="478" t="n"/>
      <c r="W2" s="429" t="n"/>
      <c r="X2" s="429" t="n"/>
      <c r="Y2" s="429" t="n"/>
      <c r="Z2" s="429" t="n"/>
      <c r="AA2" s="426" t="n"/>
    </row>
    <row r="3">
      <c r="A3" s="439" t="n"/>
      <c r="B3" s="435" t="n"/>
      <c r="C3" s="436">
        <f>IFERROR(__xludf.DUMMYFUNCTION("""COMPUTED_VALUE"""),"分類")</f>
        <v/>
      </c>
      <c r="D3" s="437">
        <f>IFERROR(__xludf.DUMMYFUNCTION("""COMPUTED_VALUE"""),"使用画面")</f>
        <v/>
      </c>
      <c r="E3" s="437" t="n"/>
      <c r="F3" s="438" t="n"/>
      <c r="G3" s="438" t="n"/>
      <c r="H3" s="439" t="n"/>
      <c r="I3" s="439" t="n"/>
      <c r="J3" s="439" t="n"/>
      <c r="K3" s="439" t="n"/>
      <c r="L3" s="438" t="n"/>
      <c r="M3" s="436" t="n"/>
      <c r="N3" s="440" t="n"/>
      <c r="O3" s="440" t="n"/>
      <c r="P3" s="440" t="n"/>
      <c r="Q3" s="440" t="n"/>
      <c r="R3" s="441" t="n"/>
      <c r="S3" s="441" t="n"/>
      <c r="T3" s="460" t="n"/>
      <c r="U3" s="448" t="n"/>
      <c r="V3" s="448" t="n"/>
      <c r="W3" s="438" t="n"/>
      <c r="X3" s="438" t="n"/>
      <c r="Y3" s="438" t="n"/>
      <c r="Z3" s="438" t="n"/>
      <c r="AA3" s="439" t="n"/>
    </row>
    <row r="4">
      <c r="A4" s="439">
        <f>IFERROR(__xludf.DUMMYFUNCTION("""COMPUTED_VALUE"""),"SSE_SBG_003_001")</f>
        <v/>
      </c>
      <c r="B4" s="435">
        <f>IFERROR(__xludf.DUMMYFUNCTION("""COMPUTED_VALUE"""),"ingame_001_2")</f>
        <v/>
      </c>
      <c r="C4" s="436">
        <f>IFERROR(__xludf.DUMMYFUNCTION("""COMPUTED_VALUE"""),"バトル")</f>
        <v/>
      </c>
      <c r="D4" s="437">
        <f>IFERROR(__xludf.DUMMYFUNCTION("""COMPUTED_VALUE"""),"メイン・イベントクエスト バトル系1")</f>
        <v/>
      </c>
      <c r="E4" s="437">
        <f>IFERROR(__xludf.DUMMYFUNCTION("""COMPUTED_VALUE"""),"メイン・イベントクエストのインゲームでバトル系の作品で使用します")</f>
        <v/>
      </c>
      <c r="F4" s="438" t="n"/>
      <c r="G4" s="438" t="n"/>
      <c r="H4" s="439" t="n"/>
      <c r="I4" s="439" t="n"/>
      <c r="J4" s="439" t="n"/>
      <c r="K4" s="439" t="n"/>
      <c r="L4" s="438" t="n"/>
      <c r="M4" s="436" t="n"/>
      <c r="N4" s="445" t="n"/>
      <c r="O4" s="445" t="n"/>
      <c r="P4" s="445" t="n"/>
      <c r="Q4" s="445" t="n"/>
      <c r="R4" s="441" t="n"/>
      <c r="S4" s="441" t="n"/>
      <c r="T4" s="460" t="n"/>
      <c r="U4" s="448" t="n"/>
      <c r="V4" s="448" t="n"/>
      <c r="W4" s="438" t="n"/>
      <c r="X4" s="438" t="n"/>
      <c r="Y4" s="438" t="n"/>
      <c r="Z4" s="438" t="n"/>
      <c r="AA4" s="439" t="n"/>
    </row>
    <row r="5">
      <c r="A5" s="439">
        <f>IFERROR(__xludf.DUMMYFUNCTION("""COMPUTED_VALUE"""),"SSE_SBG_003_002")</f>
        <v/>
      </c>
      <c r="B5" s="435">
        <f>IFERROR(__xludf.DUMMYFUNCTION("""COMPUTED_VALUE"""),"ingame_001
ingame_002
ingame_003")</f>
        <v/>
      </c>
      <c r="C5" s="436">
        <f>IFERROR(__xludf.DUMMYFUNCTION("""COMPUTED_VALUE"""),"バトル")</f>
        <v/>
      </c>
      <c r="D5" s="437">
        <f>IFERROR(__xludf.DUMMYFUNCTION("""COMPUTED_VALUE"""),"メイン・イベントクエスト 日常・ギャグ系")</f>
        <v/>
      </c>
      <c r="E5" s="437">
        <f>IFERROR(__xludf.DUMMYFUNCTION("""COMPUTED_VALUE"""),"メイン・イベントクエストのインゲームで日常・ギャグ系の作品で使用します")</f>
        <v/>
      </c>
      <c r="F5" s="438" t="n"/>
      <c r="G5" s="438" t="n"/>
      <c r="H5" s="439" t="n"/>
      <c r="I5" s="439" t="n"/>
      <c r="J5" s="439" t="n"/>
      <c r="K5" s="439" t="n"/>
      <c r="L5" s="438" t="n"/>
      <c r="M5" s="436" t="n"/>
      <c r="N5" s="440" t="n"/>
      <c r="O5" s="440" t="n"/>
      <c r="P5" s="440" t="n"/>
      <c r="Q5" s="440" t="n"/>
      <c r="R5" s="441" t="n"/>
      <c r="S5" s="441" t="n"/>
      <c r="T5" s="460" t="n"/>
      <c r="U5" s="448" t="n"/>
      <c r="V5" s="448" t="n"/>
      <c r="W5" s="438" t="n"/>
      <c r="X5" s="438" t="n"/>
      <c r="Y5" s="438" t="n"/>
      <c r="Z5" s="438" t="n"/>
      <c r="AA5" s="439" t="n"/>
    </row>
    <row r="6">
      <c r="A6" s="439">
        <f>IFERROR(__xludf.DUMMYFUNCTION("""COMPUTED_VALUE"""),"SSE_SBG_003_003")</f>
        <v/>
      </c>
      <c r="B6" s="435">
        <f>IFERROR(__xludf.DUMMYFUNCTION("""COMPUTED_VALUE"""),"ingame_001_3")</f>
        <v/>
      </c>
      <c r="C6" s="436">
        <f>IFERROR(__xludf.DUMMYFUNCTION("""COMPUTED_VALUE"""),"バトル")</f>
        <v/>
      </c>
      <c r="D6" s="437">
        <f>IFERROR(__xludf.DUMMYFUNCTION("""COMPUTED_VALUE"""),"メイン・イベントクエスト シリアス系")</f>
        <v/>
      </c>
      <c r="E6" s="437">
        <f>IFERROR(__xludf.DUMMYFUNCTION("""COMPUTED_VALUE"""),"メイン・イベントクエストのインゲームでシリアス系の作品で使用します")</f>
        <v/>
      </c>
      <c r="F6" s="438" t="n"/>
      <c r="G6" s="438" t="n"/>
      <c r="H6" s="439" t="n"/>
      <c r="I6" s="439" t="n"/>
      <c r="J6" s="439" t="n"/>
      <c r="K6" s="439" t="n"/>
      <c r="L6" s="438" t="n"/>
      <c r="M6" s="436" t="n"/>
      <c r="N6" s="440" t="n"/>
      <c r="O6" s="440" t="n"/>
      <c r="P6" s="440" t="n"/>
      <c r="Q6" s="440" t="n"/>
      <c r="R6" s="441" t="n"/>
      <c r="S6" s="441" t="n"/>
      <c r="T6" s="460" t="n"/>
      <c r="U6" s="448" t="n"/>
      <c r="V6" s="448" t="n"/>
      <c r="W6" s="438" t="n"/>
      <c r="X6" s="438" t="n"/>
      <c r="Y6" s="438" t="n"/>
      <c r="Z6" s="438" t="n"/>
      <c r="AA6" s="439" t="n"/>
    </row>
    <row r="7">
      <c r="A7" s="439">
        <f>IFERROR(__xludf.DUMMYFUNCTION("""COMPUTED_VALUE"""),"SSE_SBG_003_004")</f>
        <v/>
      </c>
      <c r="B7" s="435" t="n"/>
      <c r="C7" s="436">
        <f>IFERROR(__xludf.DUMMYFUNCTION("""COMPUTED_VALUE"""),"バトル")</f>
        <v/>
      </c>
      <c r="D7" s="437">
        <f>IFERROR(__xludf.DUMMYFUNCTION("""COMPUTED_VALUE"""),"メイン・イベントクエスト 強敵/ボスバトル1")</f>
        <v/>
      </c>
      <c r="E7" s="437">
        <f>IFERROR(__xludf.DUMMYFUNCTION("""COMPUTED_VALUE"""),"メイン・イベントクエストのインゲームで強敵登場時に使用します")</f>
        <v/>
      </c>
      <c r="F7" s="438" t="n"/>
      <c r="G7" s="438">
        <f>IFERROR(__xludf.DUMMYFUNCTION("""COMPUTED_VALUE"""),"ボス登場時に使用")</f>
        <v/>
      </c>
      <c r="H7" s="439" t="n"/>
      <c r="I7" s="439" t="n"/>
      <c r="J7" s="439" t="n"/>
      <c r="K7" s="439" t="n"/>
      <c r="L7" s="438" t="n"/>
      <c r="M7" s="436" t="n"/>
      <c r="N7" s="440" t="n"/>
      <c r="O7" s="440" t="n"/>
      <c r="P7" s="440" t="n"/>
      <c r="Q7" s="440" t="n"/>
      <c r="R7" s="441" t="n"/>
      <c r="S7" s="441" t="n"/>
      <c r="T7" s="460" t="n"/>
      <c r="U7" s="448" t="n"/>
      <c r="V7" s="448" t="n"/>
      <c r="W7" s="438" t="n"/>
      <c r="X7" s="438" t="n"/>
      <c r="Y7" s="438" t="n"/>
      <c r="Z7" s="438" t="n"/>
      <c r="AA7" s="439" t="n"/>
    </row>
    <row r="8">
      <c r="A8" s="439">
        <f>IFERROR(__xludf.DUMMYFUNCTION("""COMPUTED_VALUE"""),"SSE_SBG_003_005")</f>
        <v/>
      </c>
      <c r="B8" s="435" t="n"/>
      <c r="C8" s="436">
        <f>IFERROR(__xludf.DUMMYFUNCTION("""COMPUTED_VALUE"""),"バトル")</f>
        <v/>
      </c>
      <c r="D8" s="437">
        <f>IFERROR(__xludf.DUMMYFUNCTION("""COMPUTED_VALUE"""),"メイン・イベントクエスト ラブコメ系1")</f>
        <v/>
      </c>
      <c r="E8" s="437">
        <f>IFERROR(__xludf.DUMMYFUNCTION("""COMPUTED_VALUE"""),"メイン・イベントクエストのインゲームでラブコメ系の作品で使用します")</f>
        <v/>
      </c>
      <c r="F8" s="438" t="n"/>
      <c r="G8" s="438">
        <f>IFERROR(__xludf.DUMMYFUNCTION("""COMPUTED_VALUE"""),"※MIX前音源のため使用不可
（権利としてはWPが持っている音源）")</f>
        <v/>
      </c>
      <c r="H8" s="438" t="n"/>
      <c r="I8" s="439" t="n"/>
      <c r="J8" s="438" t="n"/>
      <c r="K8" s="438" t="n"/>
      <c r="L8" s="438" t="n"/>
      <c r="M8" s="447" t="n"/>
      <c r="N8" s="440" t="n"/>
      <c r="O8" s="440" t="n"/>
      <c r="P8" s="440" t="n"/>
      <c r="Q8" s="440" t="n"/>
      <c r="R8" s="441" t="n"/>
      <c r="S8" s="441" t="n"/>
      <c r="T8" s="460" t="n"/>
      <c r="U8" s="448" t="n"/>
      <c r="V8" s="448" t="n"/>
      <c r="W8" s="438" t="n"/>
      <c r="X8" s="438" t="n"/>
      <c r="Y8" s="438" t="n"/>
      <c r="Z8" s="438" t="n"/>
      <c r="AA8" s="439" t="n"/>
    </row>
    <row r="9">
      <c r="A9" s="439">
        <f>IFERROR(__xludf.DUMMYFUNCTION("""COMPUTED_VALUE"""),"SSE_SBG_003_006")</f>
        <v/>
      </c>
      <c r="B9" s="435" t="n"/>
      <c r="C9" s="436">
        <f>IFERROR(__xludf.DUMMYFUNCTION("""COMPUTED_VALUE"""),"バトル")</f>
        <v/>
      </c>
      <c r="D9" s="437">
        <f>IFERROR(__xludf.DUMMYFUNCTION("""COMPUTED_VALUE"""),"メイン・イベントクエスト バトル5 バトル系2")</f>
        <v/>
      </c>
      <c r="E9" s="437">
        <f>IFERROR(__xludf.DUMMYFUNCTION("""COMPUTED_VALUE"""),"メイン・イベントクエストのインゲームでバトル系の作品で使用します")</f>
        <v/>
      </c>
      <c r="F9" s="438" t="n"/>
      <c r="G9" s="438" t="n"/>
      <c r="H9" s="438" t="n"/>
      <c r="I9" s="439" t="n"/>
      <c r="J9" s="438" t="n"/>
      <c r="K9" s="438" t="n"/>
      <c r="L9" s="438" t="n"/>
      <c r="M9" s="447" t="n"/>
      <c r="N9" s="440" t="n"/>
      <c r="O9" s="440" t="n"/>
      <c r="P9" s="440" t="n"/>
      <c r="Q9" s="440" t="n"/>
      <c r="R9" s="441" t="n"/>
      <c r="S9" s="441" t="n"/>
      <c r="T9" s="460" t="n"/>
      <c r="U9" s="448" t="n"/>
      <c r="V9" s="448" t="n"/>
      <c r="W9" s="438" t="n"/>
      <c r="X9" s="438" t="n"/>
      <c r="Y9" s="438" t="n"/>
      <c r="Z9" s="438" t="n"/>
      <c r="AA9" s="439" t="n"/>
    </row>
    <row r="10">
      <c r="A10" s="439">
        <f>IFERROR(__xludf.DUMMYFUNCTION("""COMPUTED_VALUE"""),"SSE_SBG_003_007")</f>
        <v/>
      </c>
      <c r="B10" s="435" t="n"/>
      <c r="C10" s="436">
        <f>IFERROR(__xludf.DUMMYFUNCTION("""COMPUTED_VALUE"""),"バトル")</f>
        <v/>
      </c>
      <c r="D10" s="437">
        <f>IFERROR(__xludf.DUMMYFUNCTION("""COMPUTED_VALUE"""),"メイン・イベントクエスト強敵/ボス登場時2
（高難度）")</f>
        <v/>
      </c>
      <c r="E10" s="437">
        <f>IFERROR(__xludf.DUMMYFUNCTION("""COMPUTED_VALUE"""),"難易度が高難度のメイン・イベントクエストのインゲームで強敵登場時に使用します")</f>
        <v/>
      </c>
      <c r="F10" s="438" t="n"/>
      <c r="G10" s="438">
        <f>IFERROR(__xludf.DUMMYFUNCTION("""COMPUTED_VALUE"""),"高難度クエストに使用")</f>
        <v/>
      </c>
      <c r="H10" s="438" t="n"/>
      <c r="I10" s="439" t="n"/>
      <c r="J10" s="438" t="n"/>
      <c r="K10" s="438" t="n"/>
      <c r="L10" s="438" t="n"/>
      <c r="M10" s="447" t="n"/>
      <c r="N10" s="440" t="n"/>
      <c r="O10" s="440" t="n"/>
      <c r="P10" s="440" t="n"/>
      <c r="Q10" s="440" t="n"/>
      <c r="R10" s="441" t="n"/>
      <c r="S10" s="441" t="n"/>
      <c r="T10" s="460" t="n"/>
      <c r="U10" s="448" t="n"/>
      <c r="V10" s="448" t="n"/>
      <c r="W10" s="438" t="n"/>
      <c r="X10" s="438" t="n"/>
      <c r="Y10" s="438" t="n"/>
      <c r="Z10" s="438" t="n"/>
      <c r="AA10" s="439" t="n"/>
    </row>
    <row r="11">
      <c r="A11" s="439">
        <f>IFERROR(__xludf.DUMMYFUNCTION("""COMPUTED_VALUE"""),"SSE_SBG_003_008")</f>
        <v/>
      </c>
      <c r="B11" s="435" t="n"/>
      <c r="C11" s="436">
        <f>IFERROR(__xludf.DUMMYFUNCTION("""COMPUTED_VALUE"""),"バトル")</f>
        <v/>
      </c>
      <c r="D11" s="437">
        <f>IFERROR(__xludf.DUMMYFUNCTION("""COMPUTED_VALUE"""),"メイン・イベントクエスト（高難易度）バトル1")</f>
        <v/>
      </c>
      <c r="E11" s="437">
        <f>IFERROR(__xludf.DUMMYFUNCTION("""COMPUTED_VALUE"""),"難易度が高難度のメイン・イベントクエストのインゲームでバトル系の作品で使用します")</f>
        <v/>
      </c>
      <c r="F11" s="438" t="n"/>
      <c r="G11" s="438" t="n"/>
      <c r="H11" s="438" t="n"/>
      <c r="I11" s="439" t="n"/>
      <c r="J11" s="438" t="n"/>
      <c r="K11" s="438" t="n"/>
      <c r="L11" s="438" t="n"/>
      <c r="M11" s="447" t="n"/>
      <c r="N11" s="440" t="n"/>
      <c r="O11" s="440" t="n"/>
      <c r="P11" s="440" t="n"/>
      <c r="Q11" s="440" t="n"/>
      <c r="R11" s="441" t="n"/>
      <c r="S11" s="441" t="n"/>
      <c r="T11" s="460" t="n"/>
      <c r="U11" s="448" t="n"/>
      <c r="V11" s="448" t="n"/>
      <c r="W11" s="438" t="n"/>
      <c r="X11" s="438" t="n"/>
      <c r="Y11" s="438" t="n"/>
      <c r="Z11" s="438" t="n"/>
      <c r="AA11" s="439" t="n"/>
    </row>
    <row r="12">
      <c r="A12" s="439">
        <f>IFERROR(__xludf.DUMMYFUNCTION("""COMPUTED_VALUE"""),"SSE_SBG_003_009")</f>
        <v/>
      </c>
      <c r="B12" s="435" t="n"/>
      <c r="C12" s="436">
        <f>IFERROR(__xludf.DUMMYFUNCTION("""COMPUTED_VALUE"""),"バトル")</f>
        <v/>
      </c>
      <c r="D12" s="437">
        <f>IFERROR(__xludf.DUMMYFUNCTION("""COMPUTED_VALUE"""),"メイン・イベントクエスト ラブコメ系2")</f>
        <v/>
      </c>
      <c r="E12" s="437">
        <f>IFERROR(__xludf.DUMMYFUNCTION("""COMPUTED_VALUE"""),"メイン・イベントクエストのインゲームでラブコメ系の作品で使用します")</f>
        <v/>
      </c>
      <c r="F12" s="479">
        <f>IFERROR(__xludf.DUMMYFUNCTION("""COMPUTED_VALUE"""),"https://app.box.com/folder/303904861699")</f>
        <v/>
      </c>
      <c r="G12" s="438" t="n"/>
      <c r="H12" s="438" t="n"/>
      <c r="I12" s="439" t="n"/>
      <c r="J12" s="438" t="n"/>
      <c r="K12" s="438" t="n"/>
      <c r="L12" s="438" t="n"/>
      <c r="M12" s="447" t="n"/>
      <c r="N12" s="440" t="n"/>
      <c r="O12" s="440" t="n"/>
      <c r="P12" s="440" t="n"/>
      <c r="Q12" s="440" t="n"/>
      <c r="R12" s="441" t="n"/>
      <c r="S12" s="441" t="n"/>
      <c r="T12" s="460" t="n"/>
      <c r="U12" s="448" t="n"/>
      <c r="V12" s="448" t="n"/>
      <c r="W12" s="438" t="n"/>
      <c r="X12" s="438" t="n"/>
      <c r="Y12" s="438" t="n"/>
      <c r="Z12" s="438" t="n"/>
      <c r="AA12" s="439" t="n"/>
    </row>
    <row r="13">
      <c r="A13" s="439">
        <f>IFERROR(__xludf.DUMMYFUNCTION("""COMPUTED_VALUE"""),"SSE_SBG_003_010")</f>
        <v/>
      </c>
      <c r="B13" s="435" t="n"/>
      <c r="C13" s="436">
        <f>IFERROR(__xludf.DUMMYFUNCTION("""COMPUTED_VALUE"""),"バトル")</f>
        <v/>
      </c>
      <c r="D13" s="437">
        <f>IFERROR(__xludf.DUMMYFUNCTION("""COMPUTED_VALUE"""),"降臨バトル ")</f>
        <v/>
      </c>
      <c r="E13" s="437">
        <f>IFERROR(__xludf.DUMMYFUNCTION("""COMPUTED_VALUE"""),"降臨バトルのインゲームで使用します")</f>
        <v/>
      </c>
      <c r="F13" s="479">
        <f>IFERROR(__xludf.DUMMYFUNCTION("""COMPUTED_VALUE"""),"https://app.box.com/folder/313090384535")</f>
        <v/>
      </c>
      <c r="G13" s="438" t="n"/>
      <c r="H13" s="438" t="n"/>
      <c r="I13" s="439" t="n"/>
      <c r="J13" s="438" t="n"/>
      <c r="K13" s="438" t="n"/>
      <c r="L13" s="438" t="n"/>
      <c r="M13" s="447" t="n"/>
      <c r="N13" s="440" t="n"/>
      <c r="O13" s="440" t="n"/>
      <c r="P13" s="440" t="n"/>
      <c r="Q13" s="440" t="n"/>
      <c r="R13" s="441" t="n"/>
      <c r="S13" s="441" t="n"/>
      <c r="T13" s="460" t="n"/>
      <c r="U13" s="448" t="n"/>
      <c r="V13" s="448" t="n"/>
      <c r="W13" s="438" t="n"/>
      <c r="X13" s="438" t="n"/>
      <c r="Y13" s="438" t="n"/>
      <c r="Z13" s="438" t="n"/>
      <c r="AA13" s="439" t="n"/>
    </row>
    <row r="14">
      <c r="A14" s="439">
        <f>IFERROR(__xludf.DUMMYFUNCTION("""COMPUTED_VALUE"""),"SSE_SBG_000_001")</f>
        <v/>
      </c>
      <c r="B14" s="435" t="n"/>
      <c r="C14" s="436">
        <f>IFERROR(__xludf.DUMMYFUNCTION("""COMPUTED_VALUE"""),"タイトル・ホーム")</f>
        <v/>
      </c>
      <c r="D14" s="437">
        <f>IFERROR(__xludf.DUMMYFUNCTION("""COMPUTED_VALUE"""),"タイトル")</f>
        <v/>
      </c>
      <c r="E14" s="437">
        <f>IFERROR(__xludf.DUMMYFUNCTION("""COMPUTED_VALUE"""),"タイトル画面で使用します")</f>
        <v/>
      </c>
      <c r="F14" s="479">
        <f>IFERROR(__xludf.DUMMYFUNCTION("""COMPUTED_VALUE"""),"https://app.box.com/folder/313090384535")</f>
        <v/>
      </c>
      <c r="G14" s="438" t="n"/>
      <c r="H14" s="438" t="n"/>
      <c r="I14" s="439" t="n"/>
      <c r="J14" s="439" t="n"/>
      <c r="K14" s="438" t="n"/>
      <c r="L14" s="438" t="n"/>
      <c r="M14" s="436" t="n"/>
      <c r="N14" s="440" t="n"/>
      <c r="O14" s="440" t="n"/>
      <c r="P14" s="440" t="n"/>
      <c r="Q14" s="440" t="n"/>
      <c r="R14" s="441" t="n"/>
      <c r="S14" s="441" t="n"/>
      <c r="T14" s="460" t="n"/>
      <c r="U14" s="448" t="n"/>
      <c r="V14" s="448" t="n"/>
      <c r="W14" s="438" t="n"/>
      <c r="X14" s="438" t="n"/>
      <c r="Y14" s="438" t="n"/>
      <c r="Z14" s="438" t="n"/>
      <c r="AA14" s="439" t="n"/>
    </row>
    <row r="15">
      <c r="A15" s="439">
        <f>IFERROR(__xludf.DUMMYFUNCTION("""COMPUTED_VALUE"""),"SSE_SBG_000_002")</f>
        <v/>
      </c>
      <c r="B15" s="435" t="n"/>
      <c r="C15" s="436">
        <f>IFERROR(__xludf.DUMMYFUNCTION("""COMPUTED_VALUE"""),"タイトル・ホーム")</f>
        <v/>
      </c>
      <c r="D15" s="437">
        <f>IFERROR(__xludf.DUMMYFUNCTION("""COMPUTED_VALUE"""),"ホーム1")</f>
        <v/>
      </c>
      <c r="E15" s="437">
        <f>IFERROR(__xludf.DUMMYFUNCTION("""COMPUTED_VALUE"""),"ホーム画面（定常）で使用します")</f>
        <v/>
      </c>
      <c r="F15" s="479">
        <f>IFERROR(__xludf.DUMMYFUNCTION("""COMPUTED_VALUE"""),"https://app.box.com/folder/307822120496")</f>
        <v/>
      </c>
      <c r="G15" s="438" t="n"/>
      <c r="H15" s="438" t="n"/>
      <c r="I15" s="439" t="n"/>
      <c r="J15" s="439" t="n"/>
      <c r="K15" s="438" t="n"/>
      <c r="L15" s="438" t="n"/>
      <c r="M15" s="436" t="n"/>
      <c r="N15" s="440" t="n"/>
      <c r="O15" s="440" t="n"/>
      <c r="P15" s="440" t="n"/>
      <c r="Q15" s="440" t="n"/>
      <c r="R15" s="441" t="n"/>
      <c r="S15" s="441" t="n"/>
      <c r="T15" s="460" t="n"/>
      <c r="U15" s="448" t="n"/>
      <c r="V15" s="448" t="n"/>
      <c r="W15" s="438" t="n"/>
      <c r="X15" s="438" t="n"/>
      <c r="Y15" s="438" t="n"/>
      <c r="Z15" s="438" t="n"/>
      <c r="AA15" s="439" t="n"/>
    </row>
    <row r="16">
      <c r="A16" s="439">
        <f>IFERROR(__xludf.DUMMYFUNCTION("""COMPUTED_VALUE"""),"SSE_SBG_000_003")</f>
        <v/>
      </c>
      <c r="B16" s="435" t="n"/>
      <c r="C16" s="436">
        <f>IFERROR(__xludf.DUMMYFUNCTION("""COMPUTED_VALUE"""),"タイトル・ホーム")</f>
        <v/>
      </c>
      <c r="D16" s="437">
        <f>IFERROR(__xludf.DUMMYFUNCTION("""COMPUTED_VALUE"""),"ホーム2")</f>
        <v/>
      </c>
      <c r="E16" s="437">
        <f>IFERROR(__xludf.DUMMYFUNCTION("""COMPUTED_VALUE"""),"ホーム画面で使用します
→いいジャン祭周年系イベントなど開催時に使用します")</f>
        <v/>
      </c>
      <c r="F16" s="480">
        <f>IFERROR(__xludf.DUMMYFUNCTION("""COMPUTED_VALUE"""),"https://app.box.com/folder/309364595927")</f>
        <v/>
      </c>
      <c r="G16" s="439" t="n"/>
      <c r="H16" s="439" t="n"/>
      <c r="I16" s="439" t="n"/>
      <c r="J16" s="439" t="n"/>
      <c r="K16" s="439" t="n"/>
      <c r="L16" s="438" t="n"/>
      <c r="M16" s="436" t="n"/>
      <c r="N16" s="440" t="n"/>
      <c r="O16" s="440" t="n"/>
      <c r="P16" s="440" t="n"/>
      <c r="Q16" s="440" t="n"/>
      <c r="R16" s="441" t="n"/>
      <c r="S16" s="441" t="n"/>
      <c r="T16" s="460" t="n"/>
      <c r="U16" s="448" t="n"/>
      <c r="V16" s="448" t="n"/>
      <c r="W16" s="438" t="n"/>
      <c r="X16" s="438" t="n"/>
      <c r="Y16" s="438" t="n"/>
      <c r="Z16" s="438" t="n"/>
      <c r="AA16" s="439" t="n"/>
    </row>
    <row r="17">
      <c r="A17" s="439">
        <f>IFERROR(__xludf.DUMMYFUNCTION("""COMPUTED_VALUE"""),"SSE_SBG_001_001")</f>
        <v/>
      </c>
      <c r="B17" s="435" t="n"/>
      <c r="C17" s="436">
        <f>IFERROR(__xludf.DUMMYFUNCTION("""COMPUTED_VALUE"""),"システム")</f>
        <v/>
      </c>
      <c r="D17" s="437">
        <f>IFERROR(__xludf.DUMMYFUNCTION("""COMPUTED_VALUE"""),"バトルリザルト")</f>
        <v/>
      </c>
      <c r="E17" s="437">
        <f>IFERROR(__xludf.DUMMYFUNCTION("""COMPUTED_VALUE"""),"バトルリザルト画面で使用します")</f>
        <v/>
      </c>
      <c r="F17" s="480">
        <f>IFERROR(__xludf.DUMMYFUNCTION("""COMPUTED_VALUE"""),"https://app.box.com/folder/309364595927")</f>
        <v/>
      </c>
      <c r="G17" s="439" t="n"/>
      <c r="H17" s="439" t="n"/>
      <c r="I17" s="439" t="n"/>
      <c r="J17" s="439" t="n"/>
      <c r="K17" s="439" t="n"/>
      <c r="L17" s="438" t="n"/>
      <c r="M17" s="436" t="n"/>
      <c r="N17" s="440" t="n"/>
      <c r="O17" s="440" t="n"/>
      <c r="P17" s="440" t="n"/>
      <c r="Q17" s="440" t="n"/>
      <c r="R17" s="441" t="n"/>
      <c r="S17" s="441" t="n"/>
      <c r="T17" s="460" t="n"/>
      <c r="U17" s="448" t="n"/>
      <c r="V17" s="448" t="n"/>
      <c r="W17" s="438" t="n"/>
      <c r="X17" s="438" t="n"/>
      <c r="Y17" s="438" t="n"/>
      <c r="Z17" s="438" t="n"/>
      <c r="AA17" s="439" t="n"/>
    </row>
    <row r="18">
      <c r="A18" s="439">
        <f>IFERROR(__xludf.DUMMYFUNCTION("""COMPUTED_VALUE"""),"SSE_SBG_000_004")</f>
        <v/>
      </c>
      <c r="B18" s="435" t="n"/>
      <c r="C18" s="436">
        <f>IFERROR(__xludf.DUMMYFUNCTION("""COMPUTED_VALUE"""),"タイトル・ホーム")</f>
        <v/>
      </c>
      <c r="D18" s="437">
        <f>IFERROR(__xludf.DUMMYFUNCTION("""COMPUTED_VALUE"""),"イベントTOP")</f>
        <v/>
      </c>
      <c r="E18" s="437">
        <f>IFERROR(__xludf.DUMMYFUNCTION("""COMPUTED_VALUE"""),"イベントTOP画面で使用します
→以下の画面でも流れます
・コイン獲得クエストTOP画面
・降臨バトルTOP画面
・いいジャン祭TOP画面
・いいジャン祭ステージ選択画面")</f>
        <v/>
      </c>
      <c r="F18" s="480">
        <f>IFERROR(__xludf.DUMMYFUNCTION("""COMPUTED_VALUE"""),"https://app.box.com/folder/313090384535")</f>
        <v/>
      </c>
      <c r="G18" s="439" t="n"/>
      <c r="H18" s="439" t="n"/>
      <c r="I18" s="439" t="n"/>
      <c r="J18" s="439" t="n"/>
      <c r="K18" s="439" t="n"/>
      <c r="L18" s="438" t="n"/>
      <c r="M18" s="436" t="n"/>
      <c r="N18" s="440" t="n"/>
      <c r="O18" s="440" t="n"/>
      <c r="P18" s="440" t="n"/>
      <c r="Q18" s="440" t="n"/>
      <c r="R18" s="441" t="n"/>
      <c r="S18" s="441" t="n"/>
      <c r="T18" s="460" t="n"/>
      <c r="U18" s="448" t="n"/>
      <c r="V18" s="448" t="n"/>
      <c r="W18" s="438" t="n"/>
      <c r="X18" s="438" t="n"/>
      <c r="Y18" s="438" t="n"/>
      <c r="Z18" s="438" t="n"/>
      <c r="AA18" s="439" t="n"/>
    </row>
    <row r="19">
      <c r="A19" s="439">
        <f>IFERROR(__xludf.DUMMYFUNCTION("""COMPUTED_VALUE"""),"SSE_SBG_000_005")</f>
        <v/>
      </c>
      <c r="B19" s="435" t="n"/>
      <c r="C19" s="436">
        <f>IFERROR(__xludf.DUMMYFUNCTION("""COMPUTED_VALUE"""),"#N/A")</f>
        <v/>
      </c>
      <c r="D19" s="437" t="n"/>
      <c r="E19" s="437" t="n"/>
      <c r="F19" s="439" t="n"/>
      <c r="G19" s="439" t="n"/>
      <c r="H19" s="439" t="n"/>
      <c r="I19" s="439" t="n"/>
      <c r="J19" s="439" t="n"/>
      <c r="K19" s="439" t="n"/>
      <c r="L19" s="438" t="n"/>
      <c r="M19" s="436" t="n"/>
      <c r="N19" s="440" t="n"/>
      <c r="O19" s="440" t="n"/>
      <c r="P19" s="440" t="n"/>
      <c r="Q19" s="440" t="n"/>
      <c r="R19" s="441" t="n"/>
      <c r="S19" s="441" t="n"/>
      <c r="T19" s="460" t="n"/>
      <c r="U19" s="448" t="n"/>
      <c r="V19" s="448" t="n"/>
      <c r="W19" s="438" t="n"/>
      <c r="X19" s="438" t="n"/>
      <c r="Y19" s="438" t="n"/>
      <c r="Z19" s="438" t="n"/>
      <c r="AA19" s="439" t="n"/>
    </row>
    <row r="20">
      <c r="A20" s="439">
        <f>IFERROR(__xludf.DUMMYFUNCTION("""COMPUTED_VALUE"""),"SSE_SBG_002_001")</f>
        <v/>
      </c>
      <c r="B20" s="435" t="n"/>
      <c r="C20" s="436">
        <f>IFERROR(__xludf.DUMMYFUNCTION("""COMPUTED_VALUE"""),"ガシャ")</f>
        <v/>
      </c>
      <c r="D20" s="437">
        <f>IFERROR(__xludf.DUMMYFUNCTION("""COMPUTED_VALUE"""),"ガシャ演出")</f>
        <v/>
      </c>
      <c r="E20" s="437">
        <f>IFERROR(__xludf.DUMMYFUNCTION("""COMPUTED_VALUE"""),"ガシャ演出で使用します")</f>
        <v/>
      </c>
      <c r="F20" s="480">
        <f>IFERROR(__xludf.DUMMYFUNCTION("""COMPUTED_VALUE"""),"https://app.box.com/file/1721214030733")</f>
        <v/>
      </c>
      <c r="G20" s="439" t="n"/>
      <c r="H20" s="439" t="n"/>
      <c r="I20" s="439" t="n"/>
      <c r="J20" s="439" t="n"/>
      <c r="K20" s="439" t="n"/>
      <c r="L20" s="438" t="n"/>
      <c r="M20" s="436" t="n"/>
      <c r="N20" s="449" t="n"/>
      <c r="O20" s="449" t="n"/>
      <c r="P20" s="449" t="n"/>
      <c r="Q20" s="449" t="n"/>
      <c r="R20" s="441" t="n"/>
      <c r="S20" s="441" t="n"/>
      <c r="T20" s="460" t="n"/>
      <c r="U20" s="448" t="n"/>
      <c r="V20" s="448" t="n"/>
      <c r="W20" s="438" t="n"/>
      <c r="X20" s="438" t="n"/>
      <c r="Y20" s="438" t="n"/>
      <c r="Z20" s="438" t="n"/>
      <c r="AA20" s="439" t="n"/>
    </row>
    <row r="21">
      <c r="A21" s="439">
        <f>IFERROR(__xludf.DUMMYFUNCTION("""COMPUTED_VALUE"""),"SSE_SBG_002_002")</f>
        <v/>
      </c>
      <c r="B21" s="435" t="n"/>
      <c r="C21" s="436">
        <f>IFERROR(__xludf.DUMMYFUNCTION("""COMPUTED_VALUE"""),"ガシャ")</f>
        <v/>
      </c>
      <c r="D21" s="437">
        <f>IFERROR(__xludf.DUMMYFUNCTION("""COMPUTED_VALUE"""),"ガシャリザルト画面")</f>
        <v/>
      </c>
      <c r="E21" s="437">
        <f>IFERROR(__xludf.DUMMYFUNCTION("""COMPUTED_VALUE"""),"ガシャリザルト画面で使用します")</f>
        <v/>
      </c>
      <c r="F21" s="480">
        <f>IFERROR(__xludf.DUMMYFUNCTION("""COMPUTED_VALUE"""),"https://app.box.com/file/1721214030733")</f>
        <v/>
      </c>
      <c r="G21" s="439" t="n"/>
      <c r="H21" s="439" t="n"/>
      <c r="I21" s="439" t="n"/>
      <c r="J21" s="439" t="n"/>
      <c r="K21" s="439" t="n"/>
      <c r="L21" s="438" t="n"/>
      <c r="M21" s="436" t="n"/>
      <c r="N21" s="440" t="n"/>
      <c r="O21" s="440" t="n"/>
      <c r="P21" s="440" t="n"/>
      <c r="Q21" s="440" t="n"/>
      <c r="R21" s="441" t="n"/>
      <c r="S21" s="441" t="n"/>
      <c r="T21" s="460" t="n"/>
      <c r="U21" s="448" t="n"/>
      <c r="V21" s="448" t="n"/>
      <c r="W21" s="438" t="n"/>
      <c r="X21" s="438" t="n"/>
      <c r="Y21" s="438" t="n"/>
      <c r="Z21" s="438" t="n"/>
      <c r="AA21" s="439" t="n"/>
    </row>
    <row r="22">
      <c r="A22" s="452" t="n"/>
      <c r="B22" s="452" t="n"/>
      <c r="C22" s="453" t="n"/>
      <c r="D22" s="454" t="n"/>
      <c r="E22" s="454" t="n"/>
      <c r="F22" s="455" t="n"/>
      <c r="G22" s="455" t="n"/>
      <c r="H22" s="438" t="n"/>
      <c r="I22" s="439" t="n"/>
      <c r="J22" s="438" t="n"/>
      <c r="K22" s="455" t="n"/>
      <c r="L22" s="455" t="n"/>
      <c r="M22" s="436" t="n"/>
      <c r="N22" s="456" t="n"/>
      <c r="O22" s="456" t="n"/>
      <c r="P22" s="456" t="n"/>
      <c r="Q22" s="456" t="n"/>
      <c r="R22" s="457" t="n"/>
      <c r="S22" s="457" t="n"/>
      <c r="T22" s="452" t="n"/>
      <c r="U22" s="481" t="n"/>
      <c r="V22" s="481" t="n"/>
      <c r="W22" s="455" t="n"/>
      <c r="X22" s="455" t="n"/>
      <c r="Y22" s="455" t="n"/>
      <c r="Z22" s="455" t="n"/>
      <c r="AA22" s="452" t="n"/>
    </row>
    <row r="23">
      <c r="A23" s="439" t="n"/>
      <c r="B23" s="435" t="n"/>
      <c r="C23" s="436" t="n"/>
      <c r="D23" s="437" t="n"/>
      <c r="E23" s="437" t="n"/>
      <c r="F23" s="439" t="n"/>
      <c r="G23" s="439" t="n"/>
      <c r="H23" s="438" t="n"/>
      <c r="I23" s="439" t="n"/>
      <c r="J23" s="438" t="n"/>
      <c r="K23" s="438" t="n"/>
      <c r="L23" s="438" t="n"/>
      <c r="M23" s="447" t="n"/>
      <c r="N23" s="440" t="n"/>
      <c r="O23" s="440" t="n"/>
      <c r="P23" s="440" t="n"/>
      <c r="Q23" s="440" t="n"/>
      <c r="R23" s="441" t="n"/>
      <c r="S23" s="441" t="n"/>
      <c r="T23" s="460" t="n"/>
      <c r="U23" s="448" t="n"/>
      <c r="V23" s="448" t="n"/>
      <c r="W23" s="438" t="n"/>
      <c r="X23" s="438" t="n"/>
      <c r="Y23" s="438" t="n"/>
      <c r="Z23" s="438" t="n"/>
      <c r="AA23" s="439" t="n"/>
    </row>
    <row r="24">
      <c r="A24" s="439" t="n"/>
      <c r="B24" s="435" t="n"/>
      <c r="C24" s="436" t="n"/>
      <c r="D24" s="437" t="n"/>
      <c r="E24" s="437" t="n"/>
      <c r="F24" s="439" t="n"/>
      <c r="G24" s="439" t="n"/>
      <c r="H24" s="438" t="n"/>
      <c r="I24" s="439" t="n"/>
      <c r="J24" s="438" t="n"/>
      <c r="K24" s="438" t="n"/>
      <c r="L24" s="438" t="n"/>
      <c r="M24" s="447" t="n"/>
      <c r="N24" s="440" t="n"/>
      <c r="O24" s="440" t="n"/>
      <c r="P24" s="440" t="n"/>
      <c r="Q24" s="440" t="n"/>
      <c r="R24" s="441" t="n"/>
      <c r="S24" s="441" t="n"/>
      <c r="T24" s="460" t="n"/>
      <c r="U24" s="448" t="n"/>
      <c r="V24" s="448" t="n"/>
      <c r="W24" s="438" t="n"/>
      <c r="X24" s="438" t="n"/>
      <c r="Y24" s="438" t="n"/>
      <c r="Z24" s="438" t="n"/>
      <c r="AA24" s="439" t="n"/>
    </row>
    <row r="25">
      <c r="A25" s="439" t="n"/>
      <c r="B25" s="435" t="n"/>
      <c r="C25" s="436" t="n"/>
      <c r="D25" s="437" t="n"/>
      <c r="E25" s="437" t="n"/>
      <c r="F25" s="439" t="n"/>
      <c r="G25" s="439" t="n"/>
      <c r="H25" s="438" t="n"/>
      <c r="I25" s="439" t="n"/>
      <c r="J25" s="438" t="n"/>
      <c r="K25" s="438" t="n"/>
      <c r="L25" s="438" t="n"/>
      <c r="M25" s="447" t="n"/>
      <c r="N25" s="440" t="n"/>
      <c r="O25" s="440" t="n"/>
      <c r="P25" s="440" t="n"/>
      <c r="Q25" s="440" t="n"/>
      <c r="R25" s="441" t="n"/>
      <c r="S25" s="441" t="n"/>
      <c r="T25" s="460" t="n"/>
      <c r="U25" s="448" t="n"/>
      <c r="V25" s="448" t="n"/>
      <c r="W25" s="438" t="n"/>
      <c r="X25" s="438" t="n"/>
      <c r="Y25" s="438" t="n"/>
      <c r="Z25" s="438" t="n"/>
      <c r="AA25" s="439" t="n"/>
    </row>
    <row r="26">
      <c r="A26" s="439" t="n"/>
      <c r="B26" s="435" t="n"/>
      <c r="C26" s="436" t="n"/>
      <c r="D26" s="437" t="n"/>
      <c r="E26" s="437" t="n"/>
      <c r="F26" s="439" t="n"/>
      <c r="G26" s="439" t="n"/>
      <c r="H26" s="439" t="n"/>
      <c r="I26" s="439" t="n"/>
      <c r="J26" s="438" t="n"/>
      <c r="K26" s="438" t="n"/>
      <c r="L26" s="438" t="n"/>
      <c r="M26" s="436" t="n"/>
      <c r="N26" s="449" t="n"/>
      <c r="O26" s="449" t="n"/>
      <c r="P26" s="449" t="n"/>
      <c r="Q26" s="449" t="n"/>
      <c r="R26" s="441" t="n"/>
      <c r="S26" s="441" t="n"/>
      <c r="T26" s="460" t="n"/>
      <c r="U26" s="448" t="n"/>
      <c r="V26" s="448" t="n"/>
      <c r="W26" s="438" t="n"/>
      <c r="X26" s="438" t="n"/>
      <c r="Y26" s="438" t="n"/>
      <c r="Z26" s="438" t="n"/>
      <c r="AA26" s="439" t="n"/>
    </row>
    <row r="27">
      <c r="A27" s="439" t="n"/>
      <c r="B27" s="435" t="n"/>
      <c r="C27" s="436" t="n"/>
      <c r="D27" s="437" t="n"/>
      <c r="E27" s="437" t="n"/>
      <c r="F27" s="439" t="n"/>
      <c r="G27" s="439" t="n"/>
      <c r="H27" s="439" t="n"/>
      <c r="I27" s="439" t="n"/>
      <c r="J27" s="439" t="n"/>
      <c r="K27" s="438" t="n"/>
      <c r="L27" s="438" t="n"/>
      <c r="M27" s="436" t="n"/>
      <c r="N27" s="449" t="n"/>
      <c r="O27" s="449" t="n"/>
      <c r="P27" s="449" t="n"/>
      <c r="Q27" s="449" t="n"/>
      <c r="R27" s="441" t="n"/>
      <c r="S27" s="441" t="n"/>
      <c r="T27" s="460" t="n"/>
      <c r="U27" s="448" t="n"/>
      <c r="V27" s="448" t="n"/>
      <c r="W27" s="438" t="n"/>
      <c r="X27" s="438" t="n"/>
      <c r="Y27" s="438" t="n"/>
      <c r="Z27" s="438" t="n"/>
      <c r="AA27" s="439" t="n"/>
    </row>
    <row r="28">
      <c r="A28" s="439" t="n"/>
      <c r="B28" s="435" t="n"/>
      <c r="C28" s="436" t="n"/>
      <c r="D28" s="437" t="n"/>
      <c r="E28" s="437" t="n"/>
      <c r="F28" s="439" t="n"/>
      <c r="G28" s="439" t="n"/>
      <c r="H28" s="439" t="n"/>
      <c r="I28" s="439" t="n"/>
      <c r="J28" s="438" t="n"/>
      <c r="K28" s="438" t="n"/>
      <c r="L28" s="438" t="n"/>
      <c r="M28" s="436" t="n"/>
      <c r="N28" s="449" t="n"/>
      <c r="O28" s="449" t="n"/>
      <c r="P28" s="449" t="n"/>
      <c r="Q28" s="449" t="n"/>
      <c r="R28" s="441" t="n"/>
      <c r="S28" s="441" t="n"/>
      <c r="T28" s="460" t="n"/>
      <c r="U28" s="448" t="n"/>
      <c r="V28" s="448" t="n"/>
      <c r="W28" s="438" t="n"/>
      <c r="X28" s="438" t="n"/>
      <c r="Y28" s="438" t="n"/>
      <c r="Z28" s="438" t="n"/>
      <c r="AA28" s="439" t="n"/>
    </row>
    <row r="29">
      <c r="A29" s="439" t="n"/>
      <c r="B29" s="435" t="n"/>
      <c r="C29" s="436" t="n"/>
      <c r="D29" s="437" t="n"/>
      <c r="E29" s="437" t="n"/>
      <c r="F29" s="439" t="n"/>
      <c r="G29" s="439" t="n"/>
      <c r="H29" s="438" t="n"/>
      <c r="I29" s="439" t="n"/>
      <c r="J29" s="438" t="n"/>
      <c r="K29" s="438" t="n"/>
      <c r="L29" s="438" t="n"/>
      <c r="M29" s="447" t="n"/>
      <c r="N29" s="449" t="n"/>
      <c r="O29" s="449" t="n"/>
      <c r="P29" s="449" t="n"/>
      <c r="Q29" s="449" t="n"/>
      <c r="R29" s="441" t="n"/>
      <c r="S29" s="441" t="n"/>
      <c r="T29" s="460" t="n"/>
      <c r="U29" s="448" t="n"/>
      <c r="V29" s="448" t="n"/>
      <c r="W29" s="438" t="n"/>
      <c r="X29" s="438" t="n"/>
      <c r="Y29" s="438" t="n"/>
      <c r="Z29" s="438" t="n"/>
      <c r="AA29" s="439" t="n"/>
    </row>
    <row r="30">
      <c r="A30" s="439" t="n"/>
      <c r="B30" s="435" t="n"/>
      <c r="C30" s="436" t="n"/>
      <c r="D30" s="437" t="n"/>
      <c r="E30" s="437" t="n"/>
      <c r="F30" s="439" t="n"/>
      <c r="G30" s="439" t="n"/>
      <c r="H30" s="438" t="n"/>
      <c r="I30" s="439" t="n"/>
      <c r="J30" s="438" t="n"/>
      <c r="K30" s="438" t="n"/>
      <c r="L30" s="438" t="n"/>
      <c r="M30" s="447" t="n"/>
      <c r="N30" s="440" t="n"/>
      <c r="O30" s="440" t="n"/>
      <c r="P30" s="440" t="n"/>
      <c r="Q30" s="440" t="n"/>
      <c r="R30" s="441" t="n"/>
      <c r="S30" s="441" t="n"/>
      <c r="T30" s="460" t="n"/>
      <c r="U30" s="448" t="n"/>
      <c r="V30" s="448" t="n"/>
      <c r="W30" s="438" t="n"/>
      <c r="X30" s="438" t="n"/>
      <c r="Y30" s="438" t="n"/>
      <c r="Z30" s="438" t="n"/>
      <c r="AA30" s="439" t="n"/>
    </row>
    <row r="31">
      <c r="A31" s="439" t="n"/>
      <c r="B31" s="435" t="n"/>
      <c r="C31" s="436" t="n"/>
      <c r="D31" s="437" t="n"/>
      <c r="E31" s="437" t="n"/>
      <c r="F31" s="439" t="n"/>
      <c r="G31" s="439" t="n"/>
      <c r="H31" s="438" t="n"/>
      <c r="I31" s="439" t="n"/>
      <c r="J31" s="438" t="n"/>
      <c r="K31" s="438" t="n"/>
      <c r="L31" s="438" t="n"/>
      <c r="M31" s="447" t="n"/>
      <c r="N31" s="440" t="n"/>
      <c r="O31" s="440" t="n"/>
      <c r="P31" s="440" t="n"/>
      <c r="Q31" s="440" t="n"/>
      <c r="R31" s="441" t="n"/>
      <c r="S31" s="441" t="n"/>
      <c r="T31" s="460" t="n"/>
      <c r="U31" s="448" t="n"/>
      <c r="V31" s="448" t="n"/>
      <c r="W31" s="438" t="n"/>
      <c r="X31" s="438" t="n"/>
      <c r="Y31" s="438" t="n"/>
      <c r="Z31" s="438" t="n"/>
      <c r="AA31" s="439" t="n"/>
    </row>
    <row r="32">
      <c r="A32" s="439" t="n"/>
      <c r="B32" s="435" t="n"/>
      <c r="C32" s="436" t="n"/>
      <c r="D32" s="437" t="n"/>
      <c r="E32" s="437" t="n"/>
      <c r="F32" s="439" t="n"/>
      <c r="G32" s="439" t="n"/>
      <c r="H32" s="438" t="n"/>
      <c r="I32" s="439" t="n"/>
      <c r="J32" s="438" t="n"/>
      <c r="K32" s="438" t="n"/>
      <c r="L32" s="438" t="n"/>
      <c r="M32" s="447" t="n"/>
      <c r="N32" s="440" t="n"/>
      <c r="O32" s="440" t="n"/>
      <c r="P32" s="440" t="n"/>
      <c r="Q32" s="440" t="n"/>
      <c r="R32" s="441" t="n"/>
      <c r="S32" s="441" t="n"/>
      <c r="T32" s="460" t="n"/>
      <c r="U32" s="448" t="n"/>
      <c r="V32" s="448" t="n"/>
      <c r="W32" s="438" t="n"/>
      <c r="X32" s="438" t="n"/>
      <c r="Y32" s="438" t="n"/>
      <c r="Z32" s="438" t="n"/>
      <c r="AA32" s="439" t="n"/>
    </row>
    <row r="33">
      <c r="A33" s="439" t="n"/>
      <c r="B33" s="435" t="n"/>
      <c r="C33" s="436" t="n"/>
      <c r="D33" s="437" t="n"/>
      <c r="E33" s="437" t="n"/>
      <c r="F33" s="439" t="n"/>
      <c r="G33" s="439" t="n"/>
      <c r="H33" s="438" t="n"/>
      <c r="I33" s="439" t="n"/>
      <c r="J33" s="438" t="n"/>
      <c r="K33" s="438" t="n"/>
      <c r="L33" s="438" t="n"/>
      <c r="M33" s="447" t="n"/>
      <c r="N33" s="440" t="n"/>
      <c r="O33" s="440" t="n"/>
      <c r="P33" s="440" t="n"/>
      <c r="Q33" s="440" t="n"/>
      <c r="R33" s="441" t="n"/>
      <c r="S33" s="441" t="n"/>
      <c r="T33" s="460" t="n"/>
      <c r="U33" s="448" t="n"/>
      <c r="V33" s="448" t="n"/>
      <c r="W33" s="438" t="n"/>
      <c r="X33" s="438" t="n"/>
      <c r="Y33" s="438" t="n"/>
      <c r="Z33" s="438" t="n"/>
      <c r="AA33" s="439" t="n"/>
    </row>
    <row r="34">
      <c r="A34" s="439" t="n"/>
      <c r="B34" s="435" t="n"/>
      <c r="C34" s="436" t="n"/>
      <c r="D34" s="437" t="n"/>
      <c r="E34" s="437" t="n"/>
      <c r="F34" s="439" t="n"/>
      <c r="G34" s="439" t="n"/>
      <c r="H34" s="438" t="n"/>
      <c r="I34" s="439" t="n"/>
      <c r="J34" s="438" t="n"/>
      <c r="K34" s="438" t="n"/>
      <c r="L34" s="438" t="n"/>
      <c r="M34" s="447" t="n"/>
      <c r="N34" s="440" t="n"/>
      <c r="O34" s="440" t="n"/>
      <c r="P34" s="440" t="n"/>
      <c r="Q34" s="440" t="n"/>
      <c r="R34" s="441" t="n"/>
      <c r="S34" s="441" t="n"/>
      <c r="T34" s="460" t="n"/>
      <c r="U34" s="448" t="n"/>
      <c r="V34" s="448" t="n"/>
      <c r="W34" s="438" t="n"/>
      <c r="X34" s="438" t="n"/>
      <c r="Y34" s="438" t="n"/>
      <c r="Z34" s="438" t="n"/>
      <c r="AA34" s="439" t="n"/>
    </row>
    <row r="35">
      <c r="A35" s="439" t="n"/>
      <c r="B35" s="435" t="n"/>
      <c r="C35" s="436" t="n"/>
      <c r="D35" s="437" t="n"/>
      <c r="E35" s="437" t="n"/>
      <c r="F35" s="439" t="n"/>
      <c r="G35" s="439" t="n"/>
      <c r="H35" s="438" t="n"/>
      <c r="I35" s="439" t="n"/>
      <c r="J35" s="438" t="n"/>
      <c r="K35" s="438" t="n"/>
      <c r="L35" s="438" t="n"/>
      <c r="M35" s="447" t="n"/>
      <c r="N35" s="440" t="n"/>
      <c r="O35" s="440" t="n"/>
      <c r="P35" s="440" t="n"/>
      <c r="Q35" s="440" t="n"/>
      <c r="R35" s="441" t="n"/>
      <c r="S35" s="441" t="n"/>
      <c r="T35" s="460" t="n"/>
      <c r="U35" s="448" t="n"/>
      <c r="V35" s="448" t="n"/>
      <c r="W35" s="438" t="n"/>
      <c r="X35" s="438" t="n"/>
      <c r="Y35" s="438" t="n"/>
      <c r="Z35" s="438" t="n"/>
      <c r="AA35" s="439" t="n"/>
    </row>
    <row r="36">
      <c r="A36" s="439" t="n"/>
      <c r="B36" s="435" t="n"/>
      <c r="C36" s="436" t="n"/>
      <c r="D36" s="437" t="n"/>
      <c r="E36" s="437" t="n"/>
      <c r="F36" s="439" t="n"/>
      <c r="G36" s="439" t="n"/>
      <c r="H36" s="438" t="n"/>
      <c r="I36" s="439" t="n"/>
      <c r="J36" s="438" t="n"/>
      <c r="K36" s="438" t="n"/>
      <c r="L36" s="438" t="n"/>
      <c r="M36" s="447" t="n"/>
      <c r="N36" s="440" t="n"/>
      <c r="O36" s="440" t="n"/>
      <c r="P36" s="440" t="n"/>
      <c r="Q36" s="440" t="n"/>
      <c r="R36" s="441" t="n"/>
      <c r="S36" s="441" t="n"/>
      <c r="T36" s="460" t="n"/>
      <c r="U36" s="448" t="n"/>
      <c r="V36" s="448" t="n"/>
      <c r="W36" s="438" t="n"/>
      <c r="X36" s="438" t="n"/>
      <c r="Y36" s="438" t="n"/>
      <c r="Z36" s="438" t="n"/>
      <c r="AA36" s="439" t="n"/>
    </row>
    <row r="37">
      <c r="A37" s="439" t="n"/>
      <c r="B37" s="435" t="n"/>
      <c r="C37" s="436" t="n"/>
      <c r="D37" s="437" t="n"/>
      <c r="E37" s="437" t="n"/>
      <c r="F37" s="439" t="n"/>
      <c r="G37" s="439" t="n"/>
      <c r="H37" s="438" t="n"/>
      <c r="I37" s="439" t="n"/>
      <c r="J37" s="438" t="n"/>
      <c r="K37" s="438" t="n"/>
      <c r="L37" s="438" t="n"/>
      <c r="M37" s="447" t="n"/>
      <c r="N37" s="440" t="n"/>
      <c r="O37" s="440" t="n"/>
      <c r="P37" s="440" t="n"/>
      <c r="Q37" s="440" t="n"/>
      <c r="R37" s="441" t="n"/>
      <c r="S37" s="441" t="n"/>
      <c r="T37" s="460" t="n"/>
      <c r="U37" s="448" t="n"/>
      <c r="V37" s="448" t="n"/>
      <c r="W37" s="438" t="n"/>
      <c r="X37" s="438" t="n"/>
      <c r="Y37" s="438" t="n"/>
      <c r="Z37" s="438" t="n"/>
      <c r="AA37" s="439" t="n"/>
    </row>
    <row r="38">
      <c r="A38" s="439" t="n"/>
      <c r="B38" s="435" t="n"/>
      <c r="C38" s="436" t="n"/>
      <c r="D38" s="437" t="n"/>
      <c r="E38" s="437" t="n"/>
      <c r="F38" s="439" t="n"/>
      <c r="G38" s="439" t="n"/>
      <c r="H38" s="438" t="n"/>
      <c r="I38" s="439" t="n"/>
      <c r="J38" s="438" t="n"/>
      <c r="K38" s="438" t="n"/>
      <c r="L38" s="438" t="n"/>
      <c r="M38" s="447" t="n"/>
      <c r="N38" s="440" t="n"/>
      <c r="O38" s="440" t="n"/>
      <c r="P38" s="440" t="n"/>
      <c r="Q38" s="440" t="n"/>
      <c r="R38" s="441" t="n"/>
      <c r="S38" s="441" t="n"/>
      <c r="T38" s="460" t="n"/>
      <c r="U38" s="448" t="n"/>
      <c r="V38" s="448" t="n"/>
      <c r="W38" s="438" t="n"/>
      <c r="X38" s="438" t="n"/>
      <c r="Y38" s="438" t="n"/>
      <c r="Z38" s="438" t="n"/>
      <c r="AA38" s="439" t="n"/>
    </row>
    <row r="39">
      <c r="A39" s="439" t="n"/>
      <c r="B39" s="435" t="n"/>
      <c r="C39" s="436" t="n"/>
      <c r="D39" s="437" t="n"/>
      <c r="E39" s="437" t="n"/>
      <c r="F39" s="439" t="n"/>
      <c r="G39" s="439" t="n"/>
      <c r="H39" s="438" t="n"/>
      <c r="I39" s="439" t="n"/>
      <c r="J39" s="438" t="n"/>
      <c r="K39" s="438" t="n"/>
      <c r="L39" s="438" t="n"/>
      <c r="M39" s="447" t="n"/>
      <c r="N39" s="440" t="n"/>
      <c r="O39" s="440" t="n"/>
      <c r="P39" s="440" t="n"/>
      <c r="Q39" s="440" t="n"/>
      <c r="R39" s="441" t="n"/>
      <c r="S39" s="441" t="n"/>
      <c r="T39" s="460" t="n"/>
      <c r="U39" s="448" t="n"/>
      <c r="V39" s="448" t="n"/>
      <c r="W39" s="438" t="n"/>
      <c r="X39" s="438" t="n"/>
      <c r="Y39" s="438" t="n"/>
      <c r="Z39" s="438" t="n"/>
      <c r="AA39" s="439" t="n"/>
    </row>
    <row r="40">
      <c r="A40" s="439" t="n"/>
      <c r="B40" s="435" t="n"/>
      <c r="C40" s="436" t="n"/>
      <c r="D40" s="437" t="n"/>
      <c r="E40" s="437" t="n"/>
      <c r="F40" s="439" t="n"/>
      <c r="G40" s="439" t="n"/>
      <c r="H40" s="438" t="n"/>
      <c r="I40" s="439" t="n"/>
      <c r="J40" s="438" t="n"/>
      <c r="K40" s="438" t="n"/>
      <c r="L40" s="438" t="n"/>
      <c r="M40" s="447" t="n"/>
      <c r="N40" s="440" t="n"/>
      <c r="O40" s="440" t="n"/>
      <c r="P40" s="440" t="n"/>
      <c r="Q40" s="440" t="n"/>
      <c r="R40" s="441" t="n"/>
      <c r="S40" s="441" t="n"/>
      <c r="T40" s="460" t="n"/>
      <c r="U40" s="448" t="n"/>
      <c r="V40" s="448" t="n"/>
      <c r="W40" s="438" t="n"/>
      <c r="X40" s="438" t="n"/>
      <c r="Y40" s="438" t="n"/>
      <c r="Z40" s="438" t="n"/>
      <c r="AA40" s="439" t="n"/>
    </row>
    <row r="41">
      <c r="A41" s="439" t="n"/>
      <c r="B41" s="435" t="n"/>
      <c r="C41" s="436" t="n"/>
      <c r="D41" s="437" t="n"/>
      <c r="E41" s="437" t="n"/>
      <c r="F41" s="439" t="n"/>
      <c r="G41" s="439" t="n"/>
      <c r="H41" s="438" t="n"/>
      <c r="I41" s="439" t="n"/>
      <c r="J41" s="438" t="n"/>
      <c r="K41" s="438" t="n"/>
      <c r="L41" s="438" t="n"/>
      <c r="M41" s="447" t="n"/>
      <c r="N41" s="440" t="n"/>
      <c r="O41" s="440" t="n"/>
      <c r="P41" s="440" t="n"/>
      <c r="Q41" s="440" t="n"/>
      <c r="R41" s="441" t="n"/>
      <c r="S41" s="441" t="n"/>
      <c r="T41" s="460" t="n"/>
      <c r="U41" s="448" t="n"/>
      <c r="V41" s="448" t="n"/>
      <c r="W41" s="438" t="n"/>
      <c r="X41" s="438" t="n"/>
      <c r="Y41" s="438" t="n"/>
      <c r="Z41" s="438" t="n"/>
      <c r="AA41" s="439" t="n"/>
    </row>
    <row r="42">
      <c r="A42" s="439" t="n"/>
      <c r="B42" s="435" t="n"/>
      <c r="C42" s="436" t="n"/>
      <c r="D42" s="437" t="n"/>
      <c r="E42" s="437" t="n"/>
      <c r="F42" s="439" t="n"/>
      <c r="G42" s="439" t="n"/>
      <c r="H42" s="438" t="n"/>
      <c r="I42" s="439" t="n"/>
      <c r="J42" s="438" t="n"/>
      <c r="K42" s="438" t="n"/>
      <c r="L42" s="438" t="n"/>
      <c r="M42" s="447" t="n"/>
      <c r="N42" s="440" t="n"/>
      <c r="O42" s="440" t="n"/>
      <c r="P42" s="440" t="n"/>
      <c r="Q42" s="440" t="n"/>
      <c r="R42" s="441" t="n"/>
      <c r="S42" s="441" t="n"/>
      <c r="T42" s="460" t="n"/>
      <c r="U42" s="448" t="n"/>
      <c r="V42" s="448" t="n"/>
      <c r="W42" s="438" t="n"/>
      <c r="X42" s="438" t="n"/>
      <c r="Y42" s="438" t="n"/>
      <c r="Z42" s="438" t="n"/>
      <c r="AA42" s="439" t="n"/>
    </row>
    <row r="43">
      <c r="A43" s="439" t="n"/>
      <c r="B43" s="435" t="n"/>
      <c r="C43" s="436" t="n"/>
      <c r="D43" s="437" t="n"/>
      <c r="E43" s="437" t="n"/>
      <c r="F43" s="438" t="n"/>
      <c r="G43" s="438" t="n"/>
      <c r="H43" s="438" t="n"/>
      <c r="I43" s="439" t="n"/>
      <c r="J43" s="438" t="n"/>
      <c r="K43" s="438" t="n"/>
      <c r="L43" s="438" t="n"/>
      <c r="M43" s="447" t="n"/>
      <c r="N43" s="440" t="n"/>
      <c r="O43" s="440" t="n"/>
      <c r="P43" s="440" t="n"/>
      <c r="Q43" s="440" t="n"/>
      <c r="R43" s="441" t="n"/>
      <c r="S43" s="441" t="n"/>
      <c r="T43" s="460" t="n"/>
      <c r="U43" s="448" t="n"/>
      <c r="V43" s="448" t="n"/>
      <c r="W43" s="438" t="n"/>
      <c r="X43" s="438" t="n"/>
      <c r="Y43" s="438" t="n"/>
      <c r="Z43" s="438" t="n"/>
      <c r="AA43" s="439" t="n"/>
    </row>
    <row r="44">
      <c r="A44" s="439" t="n"/>
      <c r="B44" s="435" t="n"/>
      <c r="C44" s="436" t="n"/>
      <c r="D44" s="437" t="n"/>
      <c r="E44" s="437" t="n"/>
      <c r="F44" s="439" t="n"/>
      <c r="G44" s="438" t="n"/>
      <c r="H44" s="439" t="n"/>
      <c r="I44" s="439" t="n"/>
      <c r="J44" s="438" t="n"/>
      <c r="K44" s="438" t="n"/>
      <c r="L44" s="438" t="n"/>
      <c r="M44" s="436" t="n"/>
      <c r="N44" s="461" t="n"/>
      <c r="O44" s="461" t="n"/>
      <c r="P44" s="461" t="n"/>
      <c r="Q44" s="461" t="n"/>
      <c r="R44" s="462" t="n"/>
      <c r="S44" s="462" t="n"/>
      <c r="T44" s="439" t="n"/>
      <c r="U44" s="448" t="n"/>
      <c r="V44" s="448" t="n"/>
      <c r="W44" s="438" t="n"/>
      <c r="X44" s="438" t="n"/>
      <c r="Y44" s="438" t="n"/>
      <c r="Z44" s="438" t="n"/>
      <c r="AA44" s="439" t="n"/>
    </row>
    <row r="45">
      <c r="A45" s="439" t="n"/>
      <c r="B45" s="435" t="n"/>
      <c r="C45" s="436" t="n"/>
      <c r="D45" s="437" t="n"/>
      <c r="E45" s="437" t="n"/>
      <c r="F45" s="439" t="n"/>
      <c r="G45" s="438" t="n"/>
      <c r="H45" s="439" t="n"/>
      <c r="I45" s="439" t="n"/>
      <c r="J45" s="438" t="n"/>
      <c r="K45" s="438" t="n"/>
      <c r="L45" s="438" t="n"/>
      <c r="M45" s="436" t="n"/>
      <c r="N45" s="440" t="n"/>
      <c r="O45" s="440" t="n"/>
      <c r="P45" s="440" t="n"/>
      <c r="Q45" s="440" t="n"/>
      <c r="R45" s="441" t="n"/>
      <c r="S45" s="441" t="n"/>
      <c r="T45" s="460" t="n"/>
      <c r="U45" s="448" t="n"/>
      <c r="V45" s="448" t="n"/>
      <c r="W45" s="438" t="n"/>
      <c r="X45" s="438" t="n"/>
      <c r="Y45" s="438" t="n"/>
      <c r="Z45" s="438" t="n"/>
      <c r="AA45" s="439" t="n"/>
    </row>
    <row r="46">
      <c r="A46" s="439" t="n"/>
      <c r="B46" s="435" t="n"/>
      <c r="C46" s="436" t="n"/>
      <c r="D46" s="437" t="n"/>
      <c r="E46" s="437" t="n"/>
      <c r="F46" s="439" t="n"/>
      <c r="G46" s="438" t="n"/>
      <c r="H46" s="439" t="n"/>
      <c r="I46" s="439" t="n"/>
      <c r="J46" s="438" t="n"/>
      <c r="K46" s="438" t="n"/>
      <c r="L46" s="438" t="n"/>
      <c r="M46" s="436" t="n"/>
      <c r="N46" s="440" t="n"/>
      <c r="O46" s="440" t="n"/>
      <c r="P46" s="440" t="n"/>
      <c r="Q46" s="440" t="n"/>
      <c r="R46" s="441" t="n"/>
      <c r="S46" s="441" t="n"/>
      <c r="T46" s="460" t="n"/>
      <c r="U46" s="448" t="n"/>
      <c r="V46" s="448" t="n"/>
      <c r="W46" s="438" t="n"/>
      <c r="X46" s="438" t="n"/>
      <c r="Y46" s="438" t="n"/>
      <c r="Z46" s="438" t="n"/>
      <c r="AA46" s="439" t="n"/>
    </row>
    <row r="47">
      <c r="A47" s="439" t="n"/>
      <c r="B47" s="435" t="n"/>
      <c r="C47" s="436" t="n"/>
      <c r="D47" s="437" t="n"/>
      <c r="E47" s="437" t="n"/>
      <c r="F47" s="439" t="n"/>
      <c r="G47" s="438" t="n"/>
      <c r="H47" s="439" t="n"/>
      <c r="I47" s="439" t="n"/>
      <c r="J47" s="438" t="n"/>
      <c r="K47" s="438" t="n"/>
      <c r="L47" s="438" t="n"/>
      <c r="M47" s="436" t="n"/>
      <c r="N47" s="440" t="n"/>
      <c r="O47" s="440" t="n"/>
      <c r="P47" s="440" t="n"/>
      <c r="Q47" s="440" t="n"/>
      <c r="R47" s="441" t="n"/>
      <c r="S47" s="441" t="n"/>
      <c r="T47" s="460" t="n"/>
      <c r="U47" s="448" t="n"/>
      <c r="V47" s="448" t="n"/>
      <c r="W47" s="438" t="n"/>
      <c r="X47" s="438" t="n"/>
      <c r="Y47" s="438" t="n"/>
      <c r="Z47" s="438" t="n"/>
      <c r="AA47" s="439" t="n"/>
    </row>
    <row r="48">
      <c r="A48" s="439" t="n"/>
      <c r="B48" s="435" t="n"/>
      <c r="C48" s="436" t="n"/>
      <c r="D48" s="437" t="n"/>
      <c r="E48" s="437" t="n"/>
      <c r="F48" s="438" t="n"/>
      <c r="G48" s="438" t="n"/>
      <c r="H48" s="438" t="n"/>
      <c r="I48" s="439" t="n"/>
      <c r="J48" s="438" t="n"/>
      <c r="K48" s="438" t="n"/>
      <c r="L48" s="438" t="n"/>
      <c r="M48" s="447" t="n"/>
      <c r="N48" s="440" t="n"/>
      <c r="O48" s="440" t="n"/>
      <c r="P48" s="440" t="n"/>
      <c r="Q48" s="440" t="n"/>
      <c r="R48" s="441" t="n"/>
      <c r="S48" s="441" t="n"/>
      <c r="T48" s="460" t="n"/>
      <c r="U48" s="448" t="n"/>
      <c r="V48" s="448" t="n"/>
      <c r="W48" s="438" t="n"/>
      <c r="X48" s="438" t="n"/>
      <c r="Y48" s="438" t="n"/>
      <c r="Z48" s="438" t="n"/>
      <c r="AA48" s="439" t="n"/>
    </row>
    <row r="49">
      <c r="A49" s="439" t="n"/>
      <c r="B49" s="435" t="n"/>
      <c r="C49" s="436" t="n"/>
      <c r="D49" s="437" t="n"/>
      <c r="E49" s="437" t="n"/>
      <c r="F49" s="438" t="n"/>
      <c r="G49" s="438" t="n"/>
      <c r="H49" s="438" t="n"/>
      <c r="I49" s="439" t="n"/>
      <c r="J49" s="438" t="n"/>
      <c r="K49" s="438" t="n"/>
      <c r="L49" s="438" t="n"/>
      <c r="M49" s="447" t="n"/>
      <c r="N49" s="440" t="n"/>
      <c r="O49" s="440" t="n"/>
      <c r="P49" s="440" t="n"/>
      <c r="Q49" s="440" t="n"/>
      <c r="R49" s="441" t="n"/>
      <c r="S49" s="441" t="n"/>
      <c r="T49" s="460" t="n"/>
      <c r="U49" s="448" t="n"/>
      <c r="V49" s="448" t="n"/>
      <c r="W49" s="438" t="n"/>
      <c r="X49" s="438" t="n"/>
      <c r="Y49" s="438" t="n"/>
      <c r="Z49" s="438" t="n"/>
      <c r="AA49" s="439" t="n"/>
    </row>
    <row r="50">
      <c r="A50" s="439" t="n"/>
      <c r="B50" s="435" t="n"/>
      <c r="C50" s="436" t="n"/>
      <c r="D50" s="437" t="n"/>
      <c r="E50" s="437" t="n"/>
      <c r="F50" s="439" t="n"/>
      <c r="G50" s="439" t="n"/>
      <c r="H50" s="439" t="n"/>
      <c r="I50" s="439" t="n"/>
      <c r="J50" s="439" t="n"/>
      <c r="K50" s="439" t="n"/>
      <c r="L50" s="438" t="n"/>
      <c r="M50" s="436" t="n"/>
      <c r="N50" s="440" t="n"/>
      <c r="O50" s="440" t="n"/>
      <c r="P50" s="440" t="n"/>
      <c r="Q50" s="440" t="n"/>
      <c r="R50" s="441" t="n"/>
      <c r="S50" s="441" t="n"/>
      <c r="T50" s="460" t="n"/>
      <c r="U50" s="448" t="n"/>
      <c r="V50" s="448" t="n"/>
      <c r="W50" s="438" t="n"/>
      <c r="X50" s="438" t="n"/>
      <c r="Y50" s="438" t="n"/>
      <c r="Z50" s="438" t="n"/>
      <c r="AA50" s="439" t="n"/>
    </row>
    <row r="51">
      <c r="A51" s="439" t="n"/>
      <c r="B51" s="435" t="n"/>
      <c r="C51" s="436" t="n"/>
      <c r="D51" s="437" t="n"/>
      <c r="E51" s="437" t="n"/>
      <c r="F51" s="439" t="n"/>
      <c r="G51" s="439" t="n"/>
      <c r="H51" s="439" t="n"/>
      <c r="I51" s="439" t="n"/>
      <c r="J51" s="439" t="n"/>
      <c r="K51" s="439" t="n"/>
      <c r="L51" s="438" t="n"/>
      <c r="M51" s="436" t="n"/>
      <c r="N51" s="440" t="n"/>
      <c r="O51" s="440" t="n"/>
      <c r="P51" s="440" t="n"/>
      <c r="Q51" s="440" t="n"/>
      <c r="R51" s="441" t="n"/>
      <c r="S51" s="441" t="n"/>
      <c r="T51" s="460" t="n"/>
      <c r="U51" s="448" t="n"/>
      <c r="V51" s="448" t="n"/>
      <c r="W51" s="438" t="n"/>
      <c r="X51" s="438" t="n"/>
      <c r="Y51" s="438" t="n"/>
      <c r="Z51" s="438" t="n"/>
      <c r="AA51" s="439" t="n"/>
    </row>
    <row r="52">
      <c r="A52" s="439" t="n"/>
      <c r="B52" s="435" t="n"/>
      <c r="C52" s="436" t="n"/>
      <c r="D52" s="437" t="n"/>
      <c r="E52" s="437" t="n"/>
      <c r="F52" s="439" t="n"/>
      <c r="G52" s="439" t="n"/>
      <c r="H52" s="439" t="n"/>
      <c r="I52" s="439" t="n"/>
      <c r="J52" s="438" t="n"/>
      <c r="K52" s="438" t="n"/>
      <c r="L52" s="438" t="n"/>
      <c r="M52" s="436" t="n"/>
      <c r="N52" s="440" t="n"/>
      <c r="O52" s="440" t="n"/>
      <c r="P52" s="440" t="n"/>
      <c r="Q52" s="440" t="n"/>
      <c r="R52" s="441" t="n"/>
      <c r="S52" s="441" t="n"/>
      <c r="T52" s="460" t="n"/>
      <c r="U52" s="448" t="n"/>
      <c r="V52" s="448" t="n"/>
      <c r="W52" s="438" t="n"/>
      <c r="X52" s="438" t="n"/>
      <c r="Y52" s="438" t="n"/>
      <c r="Z52" s="438" t="n"/>
      <c r="AA52" s="439" t="n"/>
    </row>
    <row r="53">
      <c r="A53" s="439" t="n"/>
      <c r="B53" s="435" t="n"/>
      <c r="C53" s="436" t="n"/>
      <c r="D53" s="437" t="n"/>
      <c r="E53" s="437" t="n"/>
      <c r="F53" s="439" t="n"/>
      <c r="G53" s="439" t="n"/>
      <c r="H53" s="439" t="n"/>
      <c r="I53" s="439" t="n"/>
      <c r="J53" s="438" t="n"/>
      <c r="K53" s="438" t="n"/>
      <c r="L53" s="438" t="n"/>
      <c r="M53" s="436" t="n"/>
      <c r="N53" s="440" t="n"/>
      <c r="O53" s="440" t="n"/>
      <c r="P53" s="440" t="n"/>
      <c r="Q53" s="440" t="n"/>
      <c r="R53" s="441" t="n"/>
      <c r="S53" s="441" t="n"/>
      <c r="T53" s="460" t="n"/>
      <c r="U53" s="448" t="n"/>
      <c r="V53" s="448" t="n"/>
      <c r="W53" s="438" t="n"/>
      <c r="X53" s="438" t="n"/>
      <c r="Y53" s="438" t="n"/>
      <c r="Z53" s="438" t="n"/>
      <c r="AA53" s="439" t="n"/>
    </row>
    <row r="54">
      <c r="A54" s="439" t="n"/>
      <c r="B54" s="435" t="n"/>
      <c r="C54" s="436" t="n"/>
      <c r="D54" s="437" t="n"/>
      <c r="E54" s="437" t="n"/>
      <c r="F54" s="439" t="n"/>
      <c r="G54" s="439" t="n"/>
      <c r="H54" s="439" t="n"/>
      <c r="I54" s="439" t="n"/>
      <c r="J54" s="438" t="n"/>
      <c r="K54" s="438" t="n"/>
      <c r="L54" s="438" t="n"/>
      <c r="M54" s="436" t="n"/>
      <c r="N54" s="440" t="n"/>
      <c r="O54" s="440" t="n"/>
      <c r="P54" s="440" t="n"/>
      <c r="Q54" s="440" t="n"/>
      <c r="R54" s="441" t="n"/>
      <c r="S54" s="441" t="n"/>
      <c r="T54" s="460" t="n"/>
      <c r="U54" s="448" t="n"/>
      <c r="V54" s="448" t="n"/>
      <c r="W54" s="438" t="n"/>
      <c r="X54" s="438" t="n"/>
      <c r="Y54" s="438" t="n"/>
      <c r="Z54" s="438" t="n"/>
      <c r="AA54" s="439" t="n"/>
    </row>
    <row r="55">
      <c r="A55" s="439" t="n"/>
      <c r="B55" s="435" t="n"/>
      <c r="C55" s="436" t="n"/>
      <c r="D55" s="437" t="n"/>
      <c r="E55" s="437" t="n"/>
      <c r="F55" s="439" t="n"/>
      <c r="G55" s="439" t="n"/>
      <c r="H55" s="439" t="n"/>
      <c r="I55" s="439" t="n"/>
      <c r="J55" s="438" t="n"/>
      <c r="K55" s="438" t="n"/>
      <c r="L55" s="438" t="n"/>
      <c r="M55" s="436" t="n"/>
      <c r="N55" s="440" t="n"/>
      <c r="O55" s="440" t="n"/>
      <c r="P55" s="440" t="n"/>
      <c r="Q55" s="440" t="n"/>
      <c r="R55" s="441" t="n"/>
      <c r="S55" s="441" t="n"/>
      <c r="T55" s="460" t="n"/>
      <c r="U55" s="448" t="n"/>
      <c r="V55" s="448" t="n"/>
      <c r="W55" s="438" t="n"/>
      <c r="X55" s="438" t="n"/>
      <c r="Y55" s="438" t="n"/>
      <c r="Z55" s="438" t="n"/>
      <c r="AA55" s="439" t="n"/>
    </row>
    <row r="56">
      <c r="A56" s="439" t="n"/>
      <c r="B56" s="435" t="n"/>
      <c r="C56" s="436" t="n"/>
      <c r="D56" s="437" t="n"/>
      <c r="E56" s="437" t="n"/>
      <c r="F56" s="439" t="n"/>
      <c r="G56" s="439" t="n"/>
      <c r="H56" s="439" t="n"/>
      <c r="I56" s="439" t="n"/>
      <c r="J56" s="438" t="n"/>
      <c r="K56" s="438" t="n"/>
      <c r="L56" s="438" t="n"/>
      <c r="M56" s="436" t="n"/>
      <c r="N56" s="440" t="n"/>
      <c r="O56" s="440" t="n"/>
      <c r="P56" s="440" t="n"/>
      <c r="Q56" s="440" t="n"/>
      <c r="R56" s="441" t="n"/>
      <c r="S56" s="441" t="n"/>
      <c r="T56" s="460" t="n"/>
      <c r="U56" s="448" t="n"/>
      <c r="V56" s="448" t="n"/>
      <c r="W56" s="438" t="n"/>
      <c r="X56" s="438" t="n"/>
      <c r="Y56" s="438" t="n"/>
      <c r="Z56" s="438" t="n"/>
      <c r="AA56" s="439" t="n"/>
    </row>
    <row r="57">
      <c r="A57" s="439" t="n"/>
      <c r="B57" s="435" t="n"/>
      <c r="C57" s="436" t="n"/>
      <c r="D57" s="437" t="n"/>
      <c r="E57" s="437" t="n"/>
      <c r="F57" s="439" t="n"/>
      <c r="G57" s="439" t="n"/>
      <c r="H57" s="438" t="n"/>
      <c r="I57" s="439" t="n"/>
      <c r="J57" s="438" t="n"/>
      <c r="K57" s="438" t="n"/>
      <c r="L57" s="438" t="n"/>
      <c r="M57" s="447" t="n"/>
      <c r="N57" s="440" t="n"/>
      <c r="O57" s="440" t="n"/>
      <c r="P57" s="440" t="n"/>
      <c r="Q57" s="440" t="n"/>
      <c r="R57" s="441" t="n"/>
      <c r="S57" s="441" t="n"/>
      <c r="T57" s="460" t="n"/>
      <c r="U57" s="448" t="n"/>
      <c r="V57" s="448" t="n"/>
      <c r="W57" s="438" t="n"/>
      <c r="X57" s="438" t="n"/>
      <c r="Y57" s="438" t="n"/>
      <c r="Z57" s="438" t="n"/>
      <c r="AA57" s="439" t="n"/>
    </row>
    <row r="58">
      <c r="A58" s="439" t="n"/>
      <c r="B58" s="435" t="n"/>
      <c r="C58" s="436" t="n"/>
      <c r="D58" s="437" t="n"/>
      <c r="E58" s="437" t="n"/>
      <c r="F58" s="439" t="n"/>
      <c r="G58" s="439" t="n"/>
      <c r="H58" s="438" t="n"/>
      <c r="I58" s="439" t="n"/>
      <c r="J58" s="438" t="n"/>
      <c r="K58" s="438" t="n"/>
      <c r="L58" s="438" t="n"/>
      <c r="M58" s="447" t="n"/>
      <c r="N58" s="440" t="n"/>
      <c r="O58" s="440" t="n"/>
      <c r="P58" s="440" t="n"/>
      <c r="Q58" s="440" t="n"/>
      <c r="R58" s="441" t="n"/>
      <c r="S58" s="441" t="n"/>
      <c r="T58" s="460" t="n"/>
      <c r="U58" s="448" t="n"/>
      <c r="V58" s="448" t="n"/>
      <c r="W58" s="438" t="n"/>
      <c r="X58" s="438" t="n"/>
      <c r="Y58" s="438" t="n"/>
      <c r="Z58" s="438" t="n"/>
      <c r="AA58" s="439" t="n"/>
    </row>
    <row r="59">
      <c r="A59" s="439" t="n"/>
      <c r="B59" s="435" t="n"/>
      <c r="C59" s="436" t="n"/>
      <c r="D59" s="437" t="n"/>
      <c r="E59" s="437" t="n"/>
      <c r="F59" s="439" t="n"/>
      <c r="G59" s="439" t="n"/>
      <c r="H59" s="438" t="n"/>
      <c r="I59" s="439" t="n"/>
      <c r="J59" s="438" t="n"/>
      <c r="K59" s="438" t="n"/>
      <c r="L59" s="438" t="n"/>
      <c r="M59" s="447" t="n"/>
      <c r="N59" s="440" t="n"/>
      <c r="O59" s="440" t="n"/>
      <c r="P59" s="440" t="n"/>
      <c r="Q59" s="440" t="n"/>
      <c r="R59" s="441" t="n"/>
      <c r="S59" s="441" t="n"/>
      <c r="T59" s="460" t="n"/>
      <c r="U59" s="448" t="n"/>
      <c r="V59" s="448" t="n"/>
      <c r="W59" s="438" t="n"/>
      <c r="X59" s="438" t="n"/>
      <c r="Y59" s="438" t="n"/>
      <c r="Z59" s="438" t="n"/>
      <c r="AA59" s="439" t="n"/>
    </row>
    <row r="60">
      <c r="A60" s="439" t="n"/>
      <c r="B60" s="435" t="n"/>
      <c r="C60" s="436" t="n"/>
      <c r="D60" s="437" t="n"/>
      <c r="E60" s="437" t="n"/>
      <c r="F60" s="438" t="n"/>
      <c r="G60" s="438" t="n"/>
      <c r="H60" s="439" t="n"/>
      <c r="I60" s="439" t="n"/>
      <c r="J60" s="438" t="n"/>
      <c r="K60" s="438" t="n"/>
      <c r="L60" s="438" t="n"/>
      <c r="M60" s="436" t="n"/>
      <c r="N60" s="440" t="n"/>
      <c r="O60" s="440" t="n"/>
      <c r="P60" s="440" t="n"/>
      <c r="Q60" s="440" t="n"/>
      <c r="R60" s="441" t="n"/>
      <c r="S60" s="441" t="n"/>
      <c r="T60" s="460" t="n"/>
      <c r="U60" s="448" t="n"/>
      <c r="V60" s="448" t="n"/>
      <c r="W60" s="438" t="n"/>
      <c r="X60" s="438" t="n"/>
      <c r="Y60" s="438" t="n"/>
      <c r="Z60" s="438" t="n"/>
      <c r="AA60" s="439" t="n"/>
    </row>
    <row r="61">
      <c r="A61" s="439" t="n"/>
      <c r="B61" s="435" t="n"/>
      <c r="C61" s="436" t="n"/>
      <c r="D61" s="437" t="n"/>
      <c r="E61" s="437" t="n"/>
      <c r="F61" s="438" t="n"/>
      <c r="G61" s="438" t="n"/>
      <c r="H61" s="439" t="n"/>
      <c r="I61" s="439" t="n"/>
      <c r="J61" s="438" t="n"/>
      <c r="K61" s="438" t="n"/>
      <c r="L61" s="438" t="n"/>
      <c r="M61" s="436" t="n"/>
      <c r="N61" s="440" t="n"/>
      <c r="O61" s="440" t="n"/>
      <c r="P61" s="440" t="n"/>
      <c r="Q61" s="440" t="n"/>
      <c r="R61" s="441" t="n"/>
      <c r="S61" s="441" t="n"/>
      <c r="T61" s="460" t="n"/>
      <c r="U61" s="448" t="n"/>
      <c r="V61" s="448" t="n"/>
      <c r="W61" s="438" t="n"/>
      <c r="X61" s="438" t="n"/>
      <c r="Y61" s="438" t="n"/>
      <c r="Z61" s="438" t="n"/>
      <c r="AA61" s="439" t="n"/>
    </row>
    <row r="62">
      <c r="A62" s="439" t="n"/>
      <c r="B62" s="435" t="n"/>
      <c r="C62" s="436" t="n"/>
      <c r="D62" s="437" t="n"/>
      <c r="E62" s="437" t="n"/>
      <c r="F62" s="438" t="n"/>
      <c r="G62" s="438" t="n"/>
      <c r="H62" s="439" t="n"/>
      <c r="I62" s="439" t="n"/>
      <c r="J62" s="438" t="n"/>
      <c r="K62" s="438" t="n"/>
      <c r="L62" s="438" t="n"/>
      <c r="M62" s="436" t="n"/>
      <c r="N62" s="440" t="n"/>
      <c r="O62" s="440" t="n"/>
      <c r="P62" s="440" t="n"/>
      <c r="Q62" s="440" t="n"/>
      <c r="R62" s="441" t="n"/>
      <c r="S62" s="441" t="n"/>
      <c r="T62" s="460" t="n"/>
      <c r="U62" s="448" t="n"/>
      <c r="V62" s="448" t="n"/>
      <c r="W62" s="438" t="n"/>
      <c r="X62" s="438" t="n"/>
      <c r="Y62" s="438" t="n"/>
      <c r="Z62" s="438" t="n"/>
      <c r="AA62" s="439" t="n"/>
    </row>
    <row r="63">
      <c r="A63" s="439" t="n"/>
      <c r="B63" s="435" t="n"/>
      <c r="C63" s="436" t="n"/>
      <c r="D63" s="437" t="n"/>
      <c r="E63" s="437" t="n"/>
      <c r="F63" s="439" t="n"/>
      <c r="G63" s="439" t="n"/>
      <c r="H63" s="439" t="n"/>
      <c r="I63" s="439" t="n"/>
      <c r="J63" s="438" t="n"/>
      <c r="K63" s="438" t="n"/>
      <c r="L63" s="438" t="n"/>
      <c r="M63" s="436" t="n"/>
      <c r="N63" s="449" t="n"/>
      <c r="O63" s="449" t="n"/>
      <c r="P63" s="449" t="n"/>
      <c r="Q63" s="449" t="n"/>
      <c r="R63" s="441" t="n"/>
      <c r="S63" s="441" t="n"/>
      <c r="T63" s="460" t="n"/>
      <c r="U63" s="448" t="n"/>
      <c r="V63" s="448" t="n"/>
      <c r="W63" s="438" t="n"/>
      <c r="X63" s="438" t="n"/>
      <c r="Y63" s="438" t="n"/>
      <c r="Z63" s="438" t="n"/>
      <c r="AA63" s="439" t="n"/>
    </row>
    <row r="64">
      <c r="A64" s="439" t="n"/>
      <c r="B64" s="435" t="n"/>
      <c r="C64" s="436" t="n"/>
      <c r="D64" s="437" t="n"/>
      <c r="E64" s="437" t="n"/>
      <c r="F64" s="439" t="n"/>
      <c r="G64" s="439" t="n"/>
      <c r="H64" s="439" t="n"/>
      <c r="I64" s="439" t="n"/>
      <c r="J64" s="438" t="n"/>
      <c r="K64" s="439" t="n"/>
      <c r="L64" s="438" t="n"/>
      <c r="M64" s="436" t="n"/>
      <c r="N64" s="440" t="n"/>
      <c r="O64" s="440" t="n"/>
      <c r="P64" s="440" t="n"/>
      <c r="Q64" s="440" t="n"/>
      <c r="R64" s="441" t="n"/>
      <c r="S64" s="441" t="n"/>
      <c r="T64" s="460" t="n"/>
      <c r="U64" s="448" t="n"/>
      <c r="V64" s="448" t="n"/>
      <c r="W64" s="438" t="n"/>
      <c r="X64" s="438" t="n"/>
      <c r="Y64" s="438" t="n"/>
      <c r="Z64" s="438" t="n"/>
      <c r="AA64" s="439" t="n"/>
    </row>
    <row r="65">
      <c r="A65" s="439" t="n"/>
      <c r="B65" s="435" t="n"/>
      <c r="C65" s="436" t="n"/>
      <c r="D65" s="437" t="n"/>
      <c r="E65" s="437" t="n"/>
      <c r="F65" s="439" t="n"/>
      <c r="G65" s="439" t="n"/>
      <c r="H65" s="439" t="n"/>
      <c r="I65" s="439" t="n"/>
      <c r="J65" s="439" t="n"/>
      <c r="K65" s="438" t="n"/>
      <c r="L65" s="438" t="n"/>
      <c r="M65" s="436" t="n"/>
      <c r="N65" s="440" t="n"/>
      <c r="O65" s="440" t="n"/>
      <c r="P65" s="440" t="n"/>
      <c r="Q65" s="440" t="n"/>
      <c r="R65" s="441" t="n"/>
      <c r="S65" s="441" t="n"/>
      <c r="T65" s="460" t="n"/>
      <c r="U65" s="448" t="n"/>
      <c r="V65" s="448" t="n"/>
      <c r="W65" s="438" t="n"/>
      <c r="X65" s="438" t="n"/>
      <c r="Y65" s="438" t="n"/>
      <c r="Z65" s="438" t="n"/>
      <c r="AA65" s="439" t="n"/>
    </row>
    <row r="66">
      <c r="A66" s="439" t="n"/>
      <c r="B66" s="435" t="n"/>
      <c r="C66" s="436" t="n"/>
      <c r="D66" s="437" t="n"/>
      <c r="E66" s="437" t="n"/>
      <c r="F66" s="439" t="n"/>
      <c r="G66" s="439" t="n"/>
      <c r="H66" s="439" t="n"/>
      <c r="I66" s="439" t="n"/>
      <c r="J66" s="439" t="n"/>
      <c r="K66" s="439" t="n"/>
      <c r="L66" s="438" t="n"/>
      <c r="M66" s="436" t="n"/>
      <c r="N66" s="440" t="n"/>
      <c r="O66" s="440" t="n"/>
      <c r="P66" s="440" t="n"/>
      <c r="Q66" s="440" t="n"/>
      <c r="R66" s="441" t="n"/>
      <c r="S66" s="441" t="n"/>
      <c r="T66" s="460" t="n"/>
      <c r="U66" s="448" t="n"/>
      <c r="V66" s="448" t="n"/>
      <c r="W66" s="438" t="n"/>
      <c r="X66" s="438" t="n"/>
      <c r="Y66" s="438" t="n"/>
      <c r="Z66" s="438" t="n"/>
      <c r="AA66" s="439" t="n"/>
    </row>
    <row r="67">
      <c r="A67" s="439" t="n"/>
      <c r="B67" s="435" t="n"/>
      <c r="C67" s="436" t="n"/>
      <c r="D67" s="437" t="n"/>
      <c r="E67" s="437" t="n"/>
      <c r="F67" s="439" t="n"/>
      <c r="G67" s="439" t="n"/>
      <c r="H67" s="439" t="n"/>
      <c r="I67" s="439" t="n"/>
      <c r="J67" s="439" t="n"/>
      <c r="K67" s="438" t="n"/>
      <c r="L67" s="438" t="n"/>
      <c r="M67" s="436" t="n"/>
      <c r="N67" s="440" t="n"/>
      <c r="O67" s="440" t="n"/>
      <c r="P67" s="440" t="n"/>
      <c r="Q67" s="440" t="n"/>
      <c r="R67" s="441" t="n"/>
      <c r="S67" s="441" t="n"/>
      <c r="T67" s="460" t="n"/>
      <c r="U67" s="448" t="n"/>
      <c r="V67" s="448" t="n"/>
      <c r="W67" s="438" t="n"/>
      <c r="X67" s="438" t="n"/>
      <c r="Y67" s="438" t="n"/>
      <c r="Z67" s="438" t="n"/>
      <c r="AA67" s="439" t="n"/>
    </row>
    <row r="68">
      <c r="A68" s="439" t="n"/>
      <c r="B68" s="435" t="n"/>
      <c r="C68" s="436" t="n"/>
      <c r="D68" s="437" t="n"/>
      <c r="E68" s="437" t="n"/>
      <c r="F68" s="439" t="n"/>
      <c r="G68" s="439" t="n"/>
      <c r="H68" s="438" t="n"/>
      <c r="I68" s="439" t="n"/>
      <c r="J68" s="439" t="n"/>
      <c r="K68" s="439" t="n"/>
      <c r="L68" s="438" t="n"/>
      <c r="M68" s="447" t="n"/>
      <c r="N68" s="440" t="n"/>
      <c r="O68" s="440" t="n"/>
      <c r="P68" s="440" t="n"/>
      <c r="Q68" s="440" t="n"/>
      <c r="R68" s="441" t="n"/>
      <c r="S68" s="441" t="n"/>
      <c r="T68" s="460" t="n"/>
      <c r="U68" s="448" t="n"/>
      <c r="V68" s="448" t="n"/>
      <c r="W68" s="438" t="n"/>
      <c r="X68" s="438" t="n"/>
      <c r="Y68" s="438" t="n"/>
      <c r="Z68" s="438" t="n"/>
      <c r="AA68" s="439" t="n"/>
    </row>
    <row r="69">
      <c r="A69" s="439" t="n"/>
      <c r="B69" s="435" t="n"/>
      <c r="C69" s="436" t="n"/>
      <c r="D69" s="437" t="n"/>
      <c r="E69" s="437" t="n"/>
      <c r="F69" s="439" t="n"/>
      <c r="G69" s="439" t="n"/>
      <c r="H69" s="438" t="n"/>
      <c r="I69" s="439" t="n"/>
      <c r="J69" s="439" t="n"/>
      <c r="K69" s="439" t="n"/>
      <c r="L69" s="438" t="n"/>
      <c r="M69" s="447" t="n"/>
      <c r="N69" s="449" t="n"/>
      <c r="O69" s="449" t="n"/>
      <c r="P69" s="449" t="n"/>
      <c r="Q69" s="449" t="n"/>
      <c r="R69" s="441" t="n"/>
      <c r="S69" s="441" t="n"/>
      <c r="T69" s="460" t="n"/>
      <c r="U69" s="448" t="n"/>
      <c r="V69" s="448" t="n"/>
      <c r="W69" s="438" t="n"/>
      <c r="X69" s="438" t="n"/>
      <c r="Y69" s="438" t="n"/>
      <c r="Z69" s="438" t="n"/>
      <c r="AA69" s="439" t="n"/>
    </row>
    <row r="70">
      <c r="A70" s="439" t="n"/>
      <c r="B70" s="435" t="n"/>
      <c r="C70" s="436" t="n"/>
      <c r="D70" s="437" t="n"/>
      <c r="E70" s="437" t="n"/>
      <c r="F70" s="438" t="n"/>
      <c r="G70" s="438" t="n"/>
      <c r="H70" s="439" t="n"/>
      <c r="I70" s="439" t="n"/>
      <c r="J70" s="438" t="n"/>
      <c r="K70" s="438" t="n"/>
      <c r="L70" s="438" t="n"/>
      <c r="M70" s="436" t="n"/>
      <c r="N70" s="440" t="n"/>
      <c r="O70" s="440" t="n"/>
      <c r="P70" s="440" t="n"/>
      <c r="Q70" s="440" t="n"/>
      <c r="R70" s="441" t="n"/>
      <c r="S70" s="441" t="n"/>
      <c r="T70" s="460" t="n"/>
      <c r="U70" s="448" t="n"/>
      <c r="V70" s="448" t="n"/>
      <c r="W70" s="438" t="n"/>
      <c r="X70" s="438" t="n"/>
      <c r="Y70" s="438" t="n"/>
      <c r="Z70" s="438" t="n"/>
      <c r="AA70" s="439" t="n"/>
    </row>
    <row r="71">
      <c r="A71" s="439" t="n"/>
      <c r="B71" s="435" t="n"/>
      <c r="C71" s="436" t="n"/>
      <c r="D71" s="437" t="n"/>
      <c r="E71" s="437" t="n"/>
      <c r="F71" s="438" t="n"/>
      <c r="G71" s="438" t="n"/>
      <c r="H71" s="439" t="n"/>
      <c r="I71" s="439" t="n"/>
      <c r="J71" s="438" t="n"/>
      <c r="K71" s="438" t="n"/>
      <c r="L71" s="438" t="n"/>
      <c r="M71" s="436" t="n"/>
      <c r="N71" s="440" t="n"/>
      <c r="O71" s="440" t="n"/>
      <c r="P71" s="440" t="n"/>
      <c r="Q71" s="440" t="n"/>
      <c r="R71" s="441" t="n"/>
      <c r="S71" s="441" t="n"/>
      <c r="T71" s="460" t="n"/>
      <c r="U71" s="448" t="n"/>
      <c r="V71" s="448" t="n"/>
      <c r="W71" s="438" t="n"/>
      <c r="X71" s="438" t="n"/>
      <c r="Y71" s="438" t="n"/>
      <c r="Z71" s="438" t="n"/>
      <c r="AA71" s="439" t="n"/>
    </row>
    <row r="72">
      <c r="A72" s="439" t="n"/>
      <c r="B72" s="435" t="n"/>
      <c r="C72" s="436" t="n"/>
      <c r="D72" s="437" t="n"/>
      <c r="E72" s="437" t="n"/>
      <c r="F72" s="439" t="n"/>
      <c r="G72" s="438" t="n"/>
      <c r="H72" s="439" t="n"/>
      <c r="I72" s="439" t="n"/>
      <c r="J72" s="438" t="n"/>
      <c r="K72" s="438" t="n"/>
      <c r="L72" s="438" t="n"/>
      <c r="M72" s="436" t="n"/>
      <c r="N72" s="440" t="n"/>
      <c r="O72" s="440" t="n"/>
      <c r="P72" s="440" t="n"/>
      <c r="Q72" s="440" t="n"/>
      <c r="R72" s="441" t="n"/>
      <c r="S72" s="441" t="n"/>
      <c r="T72" s="460" t="n"/>
      <c r="U72" s="448" t="n"/>
      <c r="V72" s="448" t="n"/>
      <c r="W72" s="438" t="n"/>
      <c r="X72" s="438" t="n"/>
      <c r="Y72" s="438" t="n"/>
      <c r="Z72" s="438" t="n"/>
      <c r="AA72" s="439" t="n"/>
    </row>
    <row r="73">
      <c r="A73" s="439" t="n"/>
      <c r="B73" s="435" t="n"/>
      <c r="C73" s="436" t="n"/>
      <c r="D73" s="437" t="n"/>
      <c r="E73" s="437" t="n"/>
      <c r="F73" s="439" t="n"/>
      <c r="G73" s="438" t="n"/>
      <c r="H73" s="439" t="n"/>
      <c r="I73" s="439" t="n"/>
      <c r="J73" s="438" t="n"/>
      <c r="K73" s="438" t="n"/>
      <c r="L73" s="438" t="n"/>
      <c r="M73" s="436" t="n"/>
      <c r="N73" s="440" t="n"/>
      <c r="O73" s="440" t="n"/>
      <c r="P73" s="440" t="n"/>
      <c r="Q73" s="440" t="n"/>
      <c r="R73" s="441" t="n"/>
      <c r="S73" s="441" t="n"/>
      <c r="T73" s="460" t="n"/>
      <c r="U73" s="448" t="n"/>
      <c r="V73" s="448" t="n"/>
      <c r="W73" s="438" t="n"/>
      <c r="X73" s="438" t="n"/>
      <c r="Y73" s="438" t="n"/>
      <c r="Z73" s="438" t="n"/>
      <c r="AA73" s="439" t="n"/>
    </row>
    <row r="74">
      <c r="A74" s="439" t="n"/>
      <c r="B74" s="435" t="n"/>
      <c r="C74" s="436" t="n"/>
      <c r="D74" s="437" t="n"/>
      <c r="E74" s="437" t="n"/>
      <c r="F74" s="438" t="n"/>
      <c r="G74" s="438" t="n"/>
      <c r="H74" s="438" t="n"/>
      <c r="I74" s="439" t="n"/>
      <c r="J74" s="438" t="n"/>
      <c r="K74" s="438" t="n"/>
      <c r="L74" s="438" t="n"/>
      <c r="M74" s="436" t="n"/>
      <c r="N74" s="440" t="n"/>
      <c r="O74" s="440" t="n"/>
      <c r="P74" s="440" t="n"/>
      <c r="Q74" s="440" t="n"/>
      <c r="R74" s="441" t="n"/>
      <c r="S74" s="441" t="n"/>
      <c r="T74" s="460" t="n"/>
      <c r="U74" s="448" t="n"/>
      <c r="V74" s="448" t="n"/>
      <c r="W74" s="438" t="n"/>
      <c r="X74" s="438" t="n"/>
      <c r="Y74" s="438" t="n"/>
      <c r="Z74" s="438" t="n"/>
      <c r="AA74" s="439" t="n"/>
    </row>
    <row r="75">
      <c r="A75" s="439" t="n"/>
      <c r="B75" s="435" t="n"/>
      <c r="C75" s="436" t="n"/>
      <c r="D75" s="437" t="n"/>
      <c r="E75" s="437" t="n"/>
      <c r="F75" s="439" t="n"/>
      <c r="G75" s="439" t="n"/>
      <c r="H75" s="439" t="n"/>
      <c r="I75" s="439" t="n"/>
      <c r="J75" s="439" t="n"/>
      <c r="K75" s="439" t="n"/>
      <c r="L75" s="438" t="n"/>
      <c r="M75" s="436" t="n"/>
      <c r="N75" s="449" t="n"/>
      <c r="O75" s="449" t="n"/>
      <c r="P75" s="449" t="n"/>
      <c r="Q75" s="449" t="n"/>
      <c r="R75" s="441" t="n"/>
      <c r="S75" s="441" t="n"/>
      <c r="T75" s="460" t="n"/>
      <c r="U75" s="448" t="n"/>
      <c r="V75" s="448" t="n"/>
      <c r="W75" s="438" t="n"/>
      <c r="X75" s="438" t="n"/>
      <c r="Y75" s="438" t="n"/>
      <c r="Z75" s="438" t="n"/>
      <c r="AA75" s="439" t="n"/>
    </row>
    <row r="76">
      <c r="A76" s="439" t="n"/>
      <c r="B76" s="435" t="n"/>
      <c r="C76" s="436" t="n"/>
      <c r="D76" s="437" t="n"/>
      <c r="E76" s="437" t="n"/>
      <c r="F76" s="439" t="n"/>
      <c r="G76" s="439" t="n"/>
      <c r="H76" s="439" t="n"/>
      <c r="I76" s="439" t="n"/>
      <c r="J76" s="439" t="n"/>
      <c r="K76" s="439" t="n"/>
      <c r="L76" s="438" t="n"/>
      <c r="M76" s="436" t="n"/>
      <c r="N76" s="449" t="n"/>
      <c r="O76" s="449" t="n"/>
      <c r="P76" s="449" t="n"/>
      <c r="Q76" s="449" t="n"/>
      <c r="R76" s="441" t="n"/>
      <c r="S76" s="441" t="n"/>
      <c r="T76" s="460" t="n"/>
      <c r="U76" s="448" t="n"/>
      <c r="V76" s="448" t="n"/>
      <c r="W76" s="438" t="n"/>
      <c r="X76" s="438" t="n"/>
      <c r="Y76" s="438" t="n"/>
      <c r="Z76" s="438" t="n"/>
      <c r="AA76" s="439" t="n"/>
    </row>
    <row r="77">
      <c r="A77" s="439" t="n"/>
      <c r="B77" s="435" t="n"/>
      <c r="C77" s="436" t="n"/>
      <c r="D77" s="437" t="n"/>
      <c r="E77" s="437" t="n"/>
      <c r="F77" s="439" t="n"/>
      <c r="G77" s="439" t="n"/>
      <c r="H77" s="439" t="n"/>
      <c r="I77" s="439" t="n"/>
      <c r="J77" s="439" t="n"/>
      <c r="K77" s="439" t="n"/>
      <c r="L77" s="438" t="n"/>
      <c r="M77" s="436" t="n"/>
      <c r="N77" s="440" t="n"/>
      <c r="O77" s="440" t="n"/>
      <c r="P77" s="440" t="n"/>
      <c r="Q77" s="440" t="n"/>
      <c r="R77" s="441" t="n"/>
      <c r="S77" s="441" t="n"/>
      <c r="T77" s="460" t="n"/>
      <c r="U77" s="448" t="n"/>
      <c r="V77" s="448" t="n"/>
      <c r="W77" s="438" t="n"/>
      <c r="X77" s="438" t="n"/>
      <c r="Y77" s="438" t="n"/>
      <c r="Z77" s="438" t="n"/>
      <c r="AA77" s="439" t="n"/>
    </row>
    <row r="78">
      <c r="A78" s="439" t="n"/>
      <c r="B78" s="435" t="n"/>
      <c r="C78" s="436" t="n"/>
      <c r="D78" s="437" t="n"/>
      <c r="E78" s="437" t="n"/>
      <c r="F78" s="439" t="n"/>
      <c r="G78" s="439" t="n"/>
      <c r="H78" s="439" t="n"/>
      <c r="I78" s="439" t="n"/>
      <c r="J78" s="439" t="n"/>
      <c r="K78" s="439" t="n"/>
      <c r="L78" s="438" t="n"/>
      <c r="M78" s="436" t="n"/>
      <c r="N78" s="440" t="n"/>
      <c r="O78" s="440" t="n"/>
      <c r="P78" s="440" t="n"/>
      <c r="Q78" s="440" t="n"/>
      <c r="R78" s="441" t="n"/>
      <c r="S78" s="441" t="n"/>
      <c r="T78" s="460" t="n"/>
      <c r="U78" s="448" t="n"/>
      <c r="V78" s="448" t="n"/>
      <c r="W78" s="438" t="n"/>
      <c r="X78" s="438" t="n"/>
      <c r="Y78" s="438" t="n"/>
      <c r="Z78" s="438" t="n"/>
      <c r="AA78" s="439" t="n"/>
    </row>
    <row r="79">
      <c r="A79" s="439" t="n"/>
      <c r="B79" s="435" t="n"/>
      <c r="C79" s="436" t="n"/>
      <c r="D79" s="437" t="n"/>
      <c r="E79" s="437" t="n"/>
      <c r="F79" s="439" t="n"/>
      <c r="G79" s="439" t="n"/>
      <c r="H79" s="438" t="n"/>
      <c r="I79" s="439" t="n"/>
      <c r="J79" s="439" t="n"/>
      <c r="K79" s="439" t="n"/>
      <c r="L79" s="438" t="n"/>
      <c r="M79" s="447" t="n"/>
      <c r="N79" s="449" t="n"/>
      <c r="O79" s="449" t="n"/>
      <c r="P79" s="449" t="n"/>
      <c r="Q79" s="449" t="n"/>
      <c r="R79" s="441" t="n"/>
      <c r="S79" s="441" t="n"/>
      <c r="T79" s="460" t="n"/>
      <c r="U79" s="448" t="n"/>
      <c r="V79" s="448" t="n"/>
      <c r="W79" s="438" t="n"/>
      <c r="X79" s="438" t="n"/>
      <c r="Y79" s="438" t="n"/>
      <c r="Z79" s="438" t="n"/>
      <c r="AA79" s="439" t="n"/>
    </row>
    <row r="80">
      <c r="A80" s="439" t="n"/>
      <c r="B80" s="435" t="n"/>
      <c r="C80" s="436" t="n"/>
      <c r="D80" s="437" t="n"/>
      <c r="E80" s="437" t="n"/>
      <c r="F80" s="439" t="n"/>
      <c r="G80" s="439" t="n"/>
      <c r="H80" s="438" t="n"/>
      <c r="I80" s="439" t="n"/>
      <c r="J80" s="439" t="n"/>
      <c r="K80" s="439" t="n"/>
      <c r="L80" s="438" t="n"/>
      <c r="M80" s="447" t="n"/>
      <c r="N80" s="449" t="n"/>
      <c r="O80" s="449" t="n"/>
      <c r="P80" s="449" t="n"/>
      <c r="Q80" s="449" t="n"/>
      <c r="R80" s="441" t="n"/>
      <c r="S80" s="441" t="n"/>
      <c r="T80" s="460" t="n"/>
      <c r="U80" s="448" t="n"/>
      <c r="V80" s="448" t="n"/>
      <c r="W80" s="438" t="n"/>
      <c r="X80" s="438" t="n"/>
      <c r="Y80" s="438" t="n"/>
      <c r="Z80" s="438" t="n"/>
      <c r="AA80" s="439" t="n"/>
    </row>
    <row r="81">
      <c r="A81" s="439" t="n"/>
      <c r="B81" s="435" t="n"/>
      <c r="C81" s="436" t="n"/>
      <c r="D81" s="437" t="n"/>
      <c r="E81" s="437" t="n"/>
      <c r="F81" s="439" t="n"/>
      <c r="G81" s="439" t="n"/>
      <c r="H81" s="438" t="n"/>
      <c r="I81" s="439" t="n"/>
      <c r="J81" s="439" t="n"/>
      <c r="K81" s="439" t="n"/>
      <c r="L81" s="438" t="n"/>
      <c r="M81" s="447" t="n"/>
      <c r="N81" s="449" t="n"/>
      <c r="O81" s="449" t="n"/>
      <c r="P81" s="449" t="n"/>
      <c r="Q81" s="449" t="n"/>
      <c r="R81" s="441" t="n"/>
      <c r="S81" s="441" t="n"/>
      <c r="T81" s="460" t="n"/>
      <c r="U81" s="448" t="n"/>
      <c r="V81" s="448" t="n"/>
      <c r="W81" s="438" t="n"/>
      <c r="X81" s="438" t="n"/>
      <c r="Y81" s="438" t="n"/>
      <c r="Z81" s="438" t="n"/>
      <c r="AA81" s="439" t="n"/>
    </row>
    <row r="82">
      <c r="A82" s="439" t="n"/>
      <c r="B82" s="435" t="n"/>
      <c r="C82" s="436" t="n"/>
      <c r="D82" s="437" t="n"/>
      <c r="E82" s="437" t="n"/>
      <c r="F82" s="439" t="n"/>
      <c r="G82" s="439" t="n"/>
      <c r="H82" s="438" t="n"/>
      <c r="I82" s="439" t="n"/>
      <c r="J82" s="439" t="n"/>
      <c r="K82" s="439" t="n"/>
      <c r="L82" s="438" t="n"/>
      <c r="M82" s="447" t="n"/>
      <c r="N82" s="440" t="n"/>
      <c r="O82" s="440" t="n"/>
      <c r="P82" s="440" t="n"/>
      <c r="Q82" s="440" t="n"/>
      <c r="R82" s="441" t="n"/>
      <c r="S82" s="441" t="n"/>
      <c r="T82" s="460" t="n"/>
      <c r="U82" s="448" t="n"/>
      <c r="V82" s="448" t="n"/>
      <c r="W82" s="438" t="n"/>
      <c r="X82" s="438" t="n"/>
      <c r="Y82" s="438" t="n"/>
      <c r="Z82" s="438" t="n"/>
      <c r="AA82" s="439" t="n"/>
    </row>
    <row r="83">
      <c r="A83" s="439" t="n"/>
      <c r="B83" s="435" t="n"/>
      <c r="C83" s="436" t="n"/>
      <c r="D83" s="437" t="n"/>
      <c r="E83" s="437" t="n"/>
      <c r="F83" s="439" t="n"/>
      <c r="G83" s="439" t="n"/>
      <c r="H83" s="438" t="n"/>
      <c r="I83" s="439" t="n"/>
      <c r="J83" s="439" t="n"/>
      <c r="K83" s="438" t="n"/>
      <c r="L83" s="438" t="n"/>
      <c r="M83" s="447" t="n"/>
      <c r="N83" s="440" t="n"/>
      <c r="O83" s="440" t="n"/>
      <c r="P83" s="440" t="n"/>
      <c r="Q83" s="440" t="n"/>
      <c r="R83" s="441" t="n"/>
      <c r="S83" s="441" t="n"/>
      <c r="T83" s="460" t="n"/>
      <c r="U83" s="448" t="n"/>
      <c r="V83" s="448" t="n"/>
      <c r="W83" s="438" t="n"/>
      <c r="X83" s="438" t="n"/>
      <c r="Y83" s="438" t="n"/>
      <c r="Z83" s="438" t="n"/>
      <c r="AA83" s="439" t="n"/>
    </row>
    <row r="84">
      <c r="A84" s="439" t="n"/>
      <c r="B84" s="435" t="n"/>
      <c r="C84" s="436" t="n"/>
      <c r="D84" s="437" t="n"/>
      <c r="E84" s="437" t="n"/>
      <c r="F84" s="439" t="n"/>
      <c r="G84" s="439" t="n"/>
      <c r="H84" s="438" t="n"/>
      <c r="I84" s="439" t="n"/>
      <c r="J84" s="439" t="n"/>
      <c r="K84" s="439" t="n"/>
      <c r="L84" s="438" t="n"/>
      <c r="M84" s="447" t="n"/>
      <c r="N84" s="440" t="n"/>
      <c r="O84" s="440" t="n"/>
      <c r="P84" s="440" t="n"/>
      <c r="Q84" s="440" t="n"/>
      <c r="R84" s="441" t="n"/>
      <c r="S84" s="441" t="n"/>
      <c r="T84" s="460" t="n"/>
      <c r="U84" s="448" t="n"/>
      <c r="V84" s="448" t="n"/>
      <c r="W84" s="438" t="n"/>
      <c r="X84" s="438" t="n"/>
      <c r="Y84" s="438" t="n"/>
      <c r="Z84" s="438" t="n"/>
      <c r="AA84" s="439" t="n"/>
    </row>
    <row r="85">
      <c r="A85" s="439" t="n"/>
      <c r="B85" s="435" t="n"/>
      <c r="C85" s="436" t="n"/>
      <c r="D85" s="437" t="n"/>
      <c r="E85" s="437" t="n"/>
      <c r="F85" s="438" t="n"/>
      <c r="G85" s="438" t="n"/>
      <c r="H85" s="439" t="n"/>
      <c r="I85" s="439" t="n"/>
      <c r="J85" s="438" t="n"/>
      <c r="K85" s="438" t="n"/>
      <c r="L85" s="438" t="n"/>
      <c r="M85" s="436" t="n"/>
      <c r="N85" s="440" t="n"/>
      <c r="O85" s="440" t="n"/>
      <c r="P85" s="440" t="n"/>
      <c r="Q85" s="440" t="n"/>
      <c r="R85" s="441" t="n"/>
      <c r="S85" s="441" t="n"/>
      <c r="T85" s="460" t="n"/>
      <c r="U85" s="448" t="n"/>
      <c r="V85" s="448" t="n"/>
      <c r="W85" s="438" t="n"/>
      <c r="X85" s="438" t="n"/>
      <c r="Y85" s="438" t="n"/>
      <c r="Z85" s="438" t="n"/>
      <c r="AA85" s="439" t="n"/>
    </row>
    <row r="86">
      <c r="A86" s="439" t="n"/>
      <c r="B86" s="435" t="n"/>
      <c r="C86" s="436" t="n"/>
      <c r="D86" s="437" t="n"/>
      <c r="E86" s="437" t="n"/>
      <c r="F86" s="438" t="n"/>
      <c r="G86" s="438" t="n"/>
      <c r="H86" s="439" t="n"/>
      <c r="I86" s="439" t="n"/>
      <c r="J86" s="438" t="n"/>
      <c r="K86" s="438" t="n"/>
      <c r="L86" s="438" t="n"/>
      <c r="M86" s="436" t="n"/>
      <c r="N86" s="440" t="n"/>
      <c r="O86" s="440" t="n"/>
      <c r="P86" s="440" t="n"/>
      <c r="Q86" s="440" t="n"/>
      <c r="R86" s="441" t="n"/>
      <c r="S86" s="441" t="n"/>
      <c r="T86" s="460" t="n"/>
      <c r="U86" s="448" t="n"/>
      <c r="V86" s="448" t="n"/>
      <c r="W86" s="438" t="n"/>
      <c r="X86" s="438" t="n"/>
      <c r="Y86" s="438" t="n"/>
      <c r="Z86" s="438" t="n"/>
      <c r="AA86" s="439" t="n"/>
    </row>
    <row r="87">
      <c r="A87" s="439" t="n"/>
      <c r="B87" s="435" t="n"/>
      <c r="C87" s="436" t="n"/>
      <c r="D87" s="437" t="n"/>
      <c r="E87" s="437" t="n"/>
      <c r="F87" s="438" t="n"/>
      <c r="G87" s="438" t="n"/>
      <c r="H87" s="439" t="n"/>
      <c r="I87" s="439" t="n"/>
      <c r="J87" s="438" t="n"/>
      <c r="K87" s="438" t="n"/>
      <c r="L87" s="438" t="n"/>
      <c r="M87" s="436" t="n"/>
      <c r="N87" s="440" t="n"/>
      <c r="O87" s="440" t="n"/>
      <c r="P87" s="440" t="n"/>
      <c r="Q87" s="440" t="n"/>
      <c r="R87" s="441" t="n"/>
      <c r="S87" s="441" t="n"/>
      <c r="T87" s="460" t="n"/>
      <c r="U87" s="448" t="n"/>
      <c r="V87" s="448" t="n"/>
      <c r="W87" s="438" t="n"/>
      <c r="X87" s="438" t="n"/>
      <c r="Y87" s="438" t="n"/>
      <c r="Z87" s="438" t="n"/>
      <c r="AA87" s="439" t="n"/>
    </row>
    <row r="88">
      <c r="A88" s="439" t="n"/>
      <c r="B88" s="435" t="n"/>
      <c r="C88" s="436" t="n"/>
      <c r="D88" s="437" t="n"/>
      <c r="E88" s="437" t="n"/>
      <c r="F88" s="438" t="n"/>
      <c r="G88" s="438" t="n"/>
      <c r="H88" s="439" t="n"/>
      <c r="I88" s="439" t="n"/>
      <c r="J88" s="438" t="n"/>
      <c r="K88" s="438" t="n"/>
      <c r="L88" s="438" t="n"/>
      <c r="M88" s="436" t="n"/>
      <c r="N88" s="440" t="n"/>
      <c r="O88" s="440" t="n"/>
      <c r="P88" s="440" t="n"/>
      <c r="Q88" s="440" t="n"/>
      <c r="R88" s="441" t="n"/>
      <c r="S88" s="441" t="n"/>
      <c r="T88" s="460" t="n"/>
      <c r="U88" s="448" t="n"/>
      <c r="V88" s="448" t="n"/>
      <c r="W88" s="438" t="n"/>
      <c r="X88" s="438" t="n"/>
      <c r="Y88" s="438" t="n"/>
      <c r="Z88" s="438" t="n"/>
      <c r="AA88" s="439" t="n"/>
    </row>
    <row r="89">
      <c r="A89" s="439" t="n"/>
      <c r="B89" s="435" t="n"/>
      <c r="C89" s="436" t="n"/>
      <c r="D89" s="437" t="n"/>
      <c r="E89" s="437" t="n"/>
      <c r="F89" s="439" t="n"/>
      <c r="G89" s="439" t="n"/>
      <c r="H89" s="439" t="n"/>
      <c r="I89" s="439" t="n"/>
      <c r="J89" s="439" t="n"/>
      <c r="K89" s="438" t="n"/>
      <c r="L89" s="463" t="n"/>
      <c r="M89" s="436" t="n"/>
      <c r="N89" s="440" t="n"/>
      <c r="O89" s="440" t="n"/>
      <c r="P89" s="440" t="n"/>
      <c r="Q89" s="440" t="n"/>
      <c r="R89" s="441" t="n"/>
      <c r="S89" s="441" t="n"/>
      <c r="T89" s="460" t="n"/>
      <c r="U89" s="448" t="n"/>
      <c r="V89" s="448" t="n"/>
      <c r="W89" s="438" t="n"/>
      <c r="X89" s="438" t="n"/>
      <c r="Y89" s="438" t="n"/>
      <c r="Z89" s="438" t="n"/>
      <c r="AA89" s="439" t="n"/>
    </row>
    <row r="90">
      <c r="A90" s="439" t="n"/>
      <c r="B90" s="435" t="n"/>
      <c r="C90" s="436" t="n"/>
      <c r="D90" s="437" t="n"/>
      <c r="E90" s="437" t="n"/>
      <c r="F90" s="439" t="n"/>
      <c r="G90" s="439" t="n"/>
      <c r="H90" s="439" t="n"/>
      <c r="I90" s="439" t="n"/>
      <c r="J90" s="439" t="n"/>
      <c r="K90" s="439" t="n"/>
      <c r="L90" s="438" t="n"/>
      <c r="M90" s="436" t="n"/>
      <c r="N90" s="440" t="n"/>
      <c r="O90" s="440" t="n"/>
      <c r="P90" s="440" t="n"/>
      <c r="Q90" s="440" t="n"/>
      <c r="R90" s="441" t="n"/>
      <c r="S90" s="441" t="n"/>
      <c r="T90" s="460" t="n"/>
      <c r="U90" s="448" t="n"/>
      <c r="V90" s="448" t="n"/>
      <c r="W90" s="438" t="n"/>
      <c r="X90" s="438" t="n"/>
      <c r="Y90" s="438" t="n"/>
      <c r="Z90" s="438" t="n"/>
      <c r="AA90" s="439" t="n"/>
    </row>
    <row r="91">
      <c r="A91" s="439" t="n"/>
      <c r="B91" s="435" t="n"/>
      <c r="C91" s="436" t="n"/>
      <c r="D91" s="437" t="n"/>
      <c r="E91" s="437" t="n"/>
      <c r="F91" s="439" t="n"/>
      <c r="G91" s="438" t="n"/>
      <c r="H91" s="439" t="n"/>
      <c r="I91" s="439" t="n"/>
      <c r="J91" s="439" t="n"/>
      <c r="K91" s="439" t="n"/>
      <c r="L91" s="438" t="n"/>
      <c r="M91" s="436" t="n"/>
      <c r="N91" s="440" t="n"/>
      <c r="O91" s="440" t="n"/>
      <c r="P91" s="440" t="n"/>
      <c r="Q91" s="440" t="n"/>
      <c r="R91" s="441" t="n"/>
      <c r="S91" s="441" t="n"/>
      <c r="T91" s="460" t="n"/>
      <c r="U91" s="448" t="n"/>
      <c r="V91" s="448" t="n"/>
      <c r="W91" s="438" t="n"/>
      <c r="X91" s="438" t="n"/>
      <c r="Y91" s="438" t="n"/>
      <c r="Z91" s="438" t="n"/>
      <c r="AA91" s="439" t="n"/>
    </row>
    <row r="92">
      <c r="A92" s="439" t="n"/>
      <c r="B92" s="435" t="n"/>
      <c r="C92" s="436" t="n"/>
      <c r="D92" s="437" t="n"/>
      <c r="E92" s="437" t="n"/>
      <c r="F92" s="438" t="n"/>
      <c r="G92" s="438" t="n"/>
      <c r="H92" s="439" t="n"/>
      <c r="I92" s="439" t="n"/>
      <c r="J92" s="438" t="n"/>
      <c r="K92" s="438" t="n"/>
      <c r="L92" s="438" t="n"/>
      <c r="M92" s="436" t="n"/>
      <c r="N92" s="440" t="n"/>
      <c r="O92" s="440" t="n"/>
      <c r="P92" s="440" t="n"/>
      <c r="Q92" s="440" t="n"/>
      <c r="R92" s="441" t="n"/>
      <c r="S92" s="441" t="n"/>
      <c r="T92" s="460" t="n"/>
      <c r="U92" s="448" t="n"/>
      <c r="V92" s="448" t="n"/>
      <c r="W92" s="438" t="n"/>
      <c r="X92" s="438" t="n"/>
      <c r="Y92" s="438" t="n"/>
      <c r="Z92" s="438" t="n"/>
      <c r="AA92" s="439" t="n"/>
    </row>
    <row r="93">
      <c r="A93" s="439" t="n"/>
      <c r="B93" s="435" t="n"/>
      <c r="C93" s="436" t="n"/>
      <c r="D93" s="437" t="n"/>
      <c r="E93" s="437" t="n"/>
      <c r="F93" s="438" t="n"/>
      <c r="G93" s="438" t="n"/>
      <c r="H93" s="438" t="n"/>
      <c r="I93" s="439" t="n"/>
      <c r="J93" s="439" t="n"/>
      <c r="K93" s="439" t="n"/>
      <c r="L93" s="438" t="n"/>
      <c r="M93" s="436" t="n"/>
      <c r="N93" s="440" t="n"/>
      <c r="O93" s="440" t="n"/>
      <c r="P93" s="440" t="n"/>
      <c r="Q93" s="440" t="n"/>
      <c r="R93" s="441" t="n"/>
      <c r="S93" s="441" t="n"/>
      <c r="T93" s="460" t="n"/>
      <c r="U93" s="448" t="n"/>
      <c r="V93" s="448" t="n"/>
      <c r="W93" s="438" t="n"/>
      <c r="X93" s="438" t="n"/>
      <c r="Y93" s="438" t="n"/>
      <c r="Z93" s="438" t="n"/>
      <c r="AA93" s="439" t="n"/>
    </row>
    <row r="94">
      <c r="A94" s="439" t="n"/>
      <c r="B94" s="435" t="n"/>
      <c r="C94" s="436" t="n"/>
      <c r="D94" s="437" t="n"/>
      <c r="E94" s="437" t="n"/>
      <c r="F94" s="438" t="n"/>
      <c r="G94" s="438" t="n"/>
      <c r="H94" s="438" t="n"/>
      <c r="I94" s="439" t="n"/>
      <c r="J94" s="439" t="n"/>
      <c r="K94" s="439" t="n"/>
      <c r="L94" s="438" t="n"/>
      <c r="M94" s="436" t="n"/>
      <c r="N94" s="440" t="n"/>
      <c r="O94" s="440" t="n"/>
      <c r="P94" s="440" t="n"/>
      <c r="Q94" s="440" t="n"/>
      <c r="R94" s="441" t="n"/>
      <c r="S94" s="441" t="n"/>
      <c r="T94" s="460" t="n"/>
      <c r="U94" s="448" t="n"/>
      <c r="V94" s="448" t="n"/>
      <c r="W94" s="438" t="n"/>
      <c r="X94" s="438" t="n"/>
      <c r="Y94" s="438" t="n"/>
      <c r="Z94" s="438" t="n"/>
      <c r="AA94" s="439" t="n"/>
    </row>
    <row r="95">
      <c r="A95" s="439" t="n"/>
      <c r="B95" s="435" t="n"/>
      <c r="C95" s="436" t="n"/>
      <c r="D95" s="437" t="n"/>
      <c r="E95" s="437" t="n"/>
      <c r="F95" s="438" t="n"/>
      <c r="G95" s="438" t="n"/>
      <c r="H95" s="438" t="n"/>
      <c r="I95" s="439" t="n"/>
      <c r="J95" s="439" t="n"/>
      <c r="K95" s="439" t="n"/>
      <c r="L95" s="438" t="n"/>
      <c r="M95" s="436" t="n"/>
      <c r="N95" s="440" t="n"/>
      <c r="O95" s="440" t="n"/>
      <c r="P95" s="440" t="n"/>
      <c r="Q95" s="440" t="n"/>
      <c r="R95" s="441" t="n"/>
      <c r="S95" s="441" t="n"/>
      <c r="T95" s="460" t="n"/>
      <c r="U95" s="448" t="n"/>
      <c r="V95" s="448" t="n"/>
      <c r="W95" s="438" t="n"/>
      <c r="X95" s="438" t="n"/>
      <c r="Y95" s="438" t="n"/>
      <c r="Z95" s="438" t="n"/>
      <c r="AA95" s="439" t="n"/>
    </row>
    <row r="96">
      <c r="A96" s="464" t="n"/>
      <c r="B96" s="464" t="n"/>
      <c r="C96" s="464" t="n"/>
      <c r="D96" s="464" t="n"/>
      <c r="E96" s="464" t="n"/>
      <c r="F96" s="464" t="n"/>
      <c r="G96" s="464" t="n"/>
      <c r="H96" s="464" t="n"/>
      <c r="I96" s="464" t="n"/>
      <c r="J96" s="464" t="n"/>
      <c r="K96" s="464" t="n"/>
      <c r="L96" s="464" t="n"/>
      <c r="M96" s="464" t="n"/>
      <c r="N96" s="464" t="n"/>
      <c r="O96" s="464" t="n"/>
      <c r="P96" s="464" t="n"/>
      <c r="Q96" s="464" t="n"/>
      <c r="R96" s="464" t="n"/>
      <c r="S96" s="464" t="n"/>
      <c r="T96" s="464" t="n"/>
      <c r="U96" s="464" t="n"/>
      <c r="V96" s="464" t="n"/>
      <c r="W96" s="464" t="n"/>
      <c r="X96" s="464" t="n"/>
      <c r="Y96" s="464" t="n"/>
      <c r="Z96" s="464" t="n"/>
      <c r="AA96" s="464" t="n"/>
    </row>
    <row r="97">
      <c r="A97" s="464" t="n"/>
      <c r="B97" s="464" t="n"/>
      <c r="C97" s="464" t="n"/>
      <c r="D97" s="464" t="n"/>
      <c r="E97" s="464" t="n"/>
      <c r="F97" s="464" t="n"/>
      <c r="G97" s="464" t="n"/>
      <c r="H97" s="464" t="n"/>
      <c r="I97" s="464" t="n"/>
      <c r="J97" s="464" t="n"/>
      <c r="K97" s="464" t="n"/>
      <c r="L97" s="464" t="n"/>
      <c r="M97" s="464" t="n"/>
      <c r="N97" s="464" t="n"/>
      <c r="O97" s="464" t="n"/>
      <c r="P97" s="464" t="n"/>
      <c r="Q97" s="464" t="n"/>
      <c r="R97" s="464" t="n"/>
      <c r="S97" s="464" t="n"/>
      <c r="T97" s="464" t="n"/>
      <c r="U97" s="464" t="n"/>
      <c r="V97" s="464" t="n"/>
      <c r="W97" s="464" t="n"/>
      <c r="X97" s="464" t="n"/>
      <c r="Y97" s="464" t="n"/>
      <c r="Z97" s="464" t="n"/>
      <c r="AA97" s="464" t="n"/>
    </row>
    <row r="98">
      <c r="A98" s="464" t="n"/>
      <c r="B98" s="464" t="n"/>
      <c r="C98" s="464" t="n"/>
      <c r="D98" s="464" t="n"/>
      <c r="E98" s="464" t="n"/>
      <c r="F98" s="464" t="n"/>
      <c r="G98" s="464" t="n"/>
      <c r="H98" s="464" t="n"/>
      <c r="I98" s="464" t="n"/>
      <c r="J98" s="464" t="n"/>
      <c r="K98" s="464" t="n"/>
      <c r="L98" s="464" t="n"/>
      <c r="M98" s="464" t="n"/>
      <c r="N98" s="464" t="n"/>
      <c r="O98" s="464" t="n"/>
      <c r="P98" s="464" t="n"/>
      <c r="Q98" s="464" t="n"/>
      <c r="R98" s="464" t="n"/>
      <c r="S98" s="464" t="n"/>
      <c r="T98" s="464" t="n"/>
      <c r="U98" s="464" t="n"/>
      <c r="V98" s="464" t="n"/>
      <c r="W98" s="464" t="n"/>
      <c r="X98" s="464" t="n"/>
      <c r="Y98" s="464" t="n"/>
      <c r="Z98" s="464" t="n"/>
      <c r="AA98" s="464" t="n"/>
    </row>
    <row r="99">
      <c r="A99" s="464" t="n"/>
      <c r="B99" s="464" t="n"/>
      <c r="C99" s="464" t="n"/>
      <c r="D99" s="464" t="n"/>
      <c r="E99" s="464" t="n"/>
      <c r="F99" s="464" t="n"/>
      <c r="G99" s="464" t="n"/>
      <c r="H99" s="464" t="n"/>
      <c r="I99" s="464" t="n"/>
      <c r="J99" s="464" t="n"/>
      <c r="K99" s="464" t="n"/>
      <c r="L99" s="464" t="n"/>
      <c r="M99" s="464" t="n"/>
      <c r="N99" s="464" t="n"/>
      <c r="O99" s="464" t="n"/>
      <c r="P99" s="464" t="n"/>
      <c r="Q99" s="464" t="n"/>
      <c r="R99" s="464" t="n"/>
      <c r="S99" s="464" t="n"/>
      <c r="T99" s="464" t="n"/>
      <c r="U99" s="464" t="n"/>
      <c r="V99" s="464" t="n"/>
      <c r="W99" s="464" t="n"/>
      <c r="X99" s="464" t="n"/>
      <c r="Y99" s="464" t="n"/>
      <c r="Z99" s="464" t="n"/>
      <c r="AA99" s="464" t="n"/>
    </row>
    <row r="100">
      <c r="A100" s="464" t="n"/>
      <c r="B100" s="464" t="n"/>
      <c r="C100" s="464" t="n"/>
      <c r="D100" s="464" t="n"/>
      <c r="E100" s="464" t="n"/>
      <c r="F100" s="464" t="n"/>
      <c r="G100" s="464" t="n"/>
      <c r="H100" s="464" t="n"/>
      <c r="I100" s="464" t="n"/>
      <c r="J100" s="464" t="n"/>
      <c r="K100" s="464" t="n"/>
      <c r="L100" s="464" t="n"/>
      <c r="M100" s="464" t="n"/>
      <c r="N100" s="464" t="n"/>
      <c r="O100" s="464" t="n"/>
      <c r="P100" s="464" t="n"/>
      <c r="Q100" s="464" t="n"/>
      <c r="R100" s="464" t="n"/>
      <c r="S100" s="464" t="n"/>
      <c r="T100" s="464" t="n"/>
      <c r="U100" s="464" t="n"/>
      <c r="V100" s="464" t="n"/>
      <c r="W100" s="464" t="n"/>
      <c r="X100" s="464" t="n"/>
      <c r="Y100" s="464" t="n"/>
      <c r="Z100" s="464" t="n"/>
      <c r="AA100" s="464" t="n"/>
    </row>
    <row r="101">
      <c r="A101" s="464" t="n"/>
      <c r="B101" s="464" t="n"/>
      <c r="C101" s="464" t="n"/>
      <c r="D101" s="464" t="n"/>
      <c r="E101" s="464" t="n"/>
      <c r="F101" s="464" t="n"/>
      <c r="G101" s="464" t="n"/>
      <c r="H101" s="464" t="n"/>
      <c r="I101" s="464" t="n"/>
      <c r="J101" s="464" t="n"/>
      <c r="K101" s="464" t="n"/>
      <c r="L101" s="464" t="n"/>
      <c r="M101" s="464" t="n"/>
      <c r="N101" s="464" t="n"/>
      <c r="O101" s="464" t="n"/>
      <c r="P101" s="464" t="n"/>
      <c r="Q101" s="464" t="n"/>
      <c r="R101" s="464" t="n"/>
      <c r="S101" s="464" t="n"/>
      <c r="T101" s="464" t="n"/>
      <c r="U101" s="464" t="n"/>
      <c r="V101" s="464" t="n"/>
      <c r="W101" s="464" t="n"/>
      <c r="X101" s="464" t="n"/>
      <c r="Y101" s="464" t="n"/>
      <c r="Z101" s="464" t="n"/>
      <c r="AA101" s="464" t="n"/>
    </row>
    <row r="102">
      <c r="A102" s="464" t="n"/>
      <c r="B102" s="464" t="n"/>
      <c r="C102" s="464" t="n"/>
      <c r="D102" s="464" t="n"/>
      <c r="E102" s="464" t="n"/>
      <c r="F102" s="464" t="n"/>
      <c r="G102" s="464" t="n"/>
      <c r="H102" s="464" t="n"/>
      <c r="I102" s="464" t="n"/>
      <c r="J102" s="464" t="n"/>
      <c r="K102" s="464" t="n"/>
      <c r="L102" s="464" t="n"/>
      <c r="M102" s="464" t="n"/>
      <c r="N102" s="464" t="n"/>
      <c r="O102" s="464" t="n"/>
      <c r="P102" s="464" t="n"/>
      <c r="Q102" s="464" t="n"/>
      <c r="R102" s="464" t="n"/>
      <c r="S102" s="464" t="n"/>
      <c r="T102" s="464" t="n"/>
      <c r="U102" s="464" t="n"/>
      <c r="V102" s="464" t="n"/>
      <c r="W102" s="464" t="n"/>
      <c r="X102" s="464" t="n"/>
      <c r="Y102" s="464" t="n"/>
      <c r="Z102" s="464" t="n"/>
      <c r="AA102" s="464" t="n"/>
    </row>
    <row r="103">
      <c r="A103" s="464" t="n"/>
      <c r="B103" s="464" t="n"/>
      <c r="C103" s="464" t="n"/>
      <c r="D103" s="464" t="n"/>
      <c r="E103" s="464" t="n"/>
      <c r="F103" s="464" t="n"/>
      <c r="G103" s="464" t="n"/>
      <c r="H103" s="464" t="n"/>
      <c r="I103" s="464" t="n"/>
      <c r="J103" s="464" t="n"/>
      <c r="K103" s="464" t="n"/>
      <c r="L103" s="464" t="n"/>
      <c r="M103" s="464" t="n"/>
      <c r="N103" s="464" t="n"/>
      <c r="O103" s="464" t="n"/>
      <c r="P103" s="464" t="n"/>
      <c r="Q103" s="464" t="n"/>
      <c r="R103" s="464" t="n"/>
      <c r="S103" s="464" t="n"/>
      <c r="T103" s="464" t="n"/>
      <c r="U103" s="464" t="n"/>
      <c r="V103" s="464" t="n"/>
      <c r="W103" s="464" t="n"/>
      <c r="X103" s="464" t="n"/>
      <c r="Y103" s="464" t="n"/>
      <c r="Z103" s="464" t="n"/>
      <c r="AA103" s="464" t="n"/>
    </row>
    <row r="104">
      <c r="A104" s="464" t="n"/>
      <c r="B104" s="464" t="n"/>
      <c r="C104" s="464" t="n"/>
      <c r="D104" s="464" t="n"/>
      <c r="E104" s="464" t="n"/>
      <c r="F104" s="464" t="n"/>
      <c r="G104" s="464" t="n"/>
      <c r="H104" s="464" t="n"/>
      <c r="I104" s="464" t="n"/>
      <c r="J104" s="464" t="n"/>
      <c r="K104" s="464" t="n"/>
      <c r="L104" s="464" t="n"/>
      <c r="M104" s="464" t="n"/>
      <c r="N104" s="464" t="n"/>
      <c r="O104" s="464" t="n"/>
      <c r="P104" s="464" t="n"/>
      <c r="Q104" s="464" t="n"/>
      <c r="R104" s="464" t="n"/>
      <c r="S104" s="464" t="n"/>
      <c r="T104" s="464" t="n"/>
      <c r="U104" s="464" t="n"/>
      <c r="V104" s="464" t="n"/>
      <c r="W104" s="464" t="n"/>
      <c r="X104" s="464" t="n"/>
      <c r="Y104" s="464" t="n"/>
      <c r="Z104" s="464" t="n"/>
      <c r="AA104" s="464" t="n"/>
    </row>
    <row r="105">
      <c r="A105" s="464" t="n"/>
      <c r="B105" s="464" t="n"/>
      <c r="C105" s="464" t="n"/>
      <c r="D105" s="464" t="n"/>
      <c r="E105" s="464" t="n"/>
      <c r="F105" s="464" t="n"/>
      <c r="G105" s="464" t="n"/>
      <c r="H105" s="464" t="n"/>
      <c r="I105" s="464" t="n"/>
      <c r="J105" s="464" t="n"/>
      <c r="K105" s="464" t="n"/>
      <c r="L105" s="464" t="n"/>
      <c r="M105" s="464" t="n"/>
      <c r="N105" s="464" t="n"/>
      <c r="O105" s="464" t="n"/>
      <c r="P105" s="464" t="n"/>
      <c r="Q105" s="464" t="n"/>
      <c r="R105" s="464" t="n"/>
      <c r="S105" s="464" t="n"/>
      <c r="T105" s="464" t="n"/>
      <c r="U105" s="464" t="n"/>
      <c r="V105" s="464" t="n"/>
      <c r="W105" s="464" t="n"/>
      <c r="X105" s="464" t="n"/>
      <c r="Y105" s="464" t="n"/>
      <c r="Z105" s="464" t="n"/>
      <c r="AA105" s="464" t="n"/>
    </row>
    <row r="106">
      <c r="A106" s="464" t="n"/>
      <c r="B106" s="464" t="n"/>
      <c r="C106" s="464" t="n"/>
      <c r="D106" s="464" t="n"/>
      <c r="E106" s="464" t="n"/>
      <c r="F106" s="464" t="n"/>
      <c r="G106" s="464" t="n"/>
      <c r="H106" s="464" t="n"/>
      <c r="I106" s="464" t="n"/>
      <c r="J106" s="464" t="n"/>
      <c r="K106" s="464" t="n"/>
      <c r="L106" s="464" t="n"/>
      <c r="M106" s="464" t="n"/>
      <c r="N106" s="464" t="n"/>
      <c r="O106" s="464" t="n"/>
      <c r="P106" s="464" t="n"/>
      <c r="Q106" s="464" t="n"/>
      <c r="R106" s="464" t="n"/>
      <c r="S106" s="464" t="n"/>
      <c r="T106" s="464" t="n"/>
      <c r="U106" s="464" t="n"/>
      <c r="V106" s="464" t="n"/>
      <c r="W106" s="464" t="n"/>
      <c r="X106" s="464" t="n"/>
      <c r="Y106" s="464" t="n"/>
      <c r="Z106" s="464" t="n"/>
      <c r="AA106" s="464" t="n"/>
    </row>
    <row r="107">
      <c r="A107" s="464" t="n"/>
      <c r="B107" s="464" t="n"/>
      <c r="C107" s="464" t="n"/>
      <c r="D107" s="464" t="n"/>
      <c r="E107" s="464" t="n"/>
      <c r="F107" s="464" t="n"/>
      <c r="G107" s="464" t="n"/>
      <c r="H107" s="464" t="n"/>
      <c r="I107" s="464" t="n"/>
      <c r="J107" s="464" t="n"/>
      <c r="K107" s="464" t="n"/>
      <c r="L107" s="464" t="n"/>
      <c r="M107" s="464" t="n"/>
      <c r="N107" s="464" t="n"/>
      <c r="O107" s="464" t="n"/>
      <c r="P107" s="464" t="n"/>
      <c r="Q107" s="464" t="n"/>
      <c r="R107" s="464" t="n"/>
      <c r="S107" s="464" t="n"/>
      <c r="T107" s="464" t="n"/>
      <c r="U107" s="464" t="n"/>
      <c r="V107" s="464" t="n"/>
      <c r="W107" s="464" t="n"/>
      <c r="X107" s="464" t="n"/>
      <c r="Y107" s="464" t="n"/>
      <c r="Z107" s="464" t="n"/>
      <c r="AA107" s="464" t="n"/>
    </row>
    <row r="108">
      <c r="A108" s="464" t="n"/>
      <c r="B108" s="464" t="n"/>
      <c r="C108" s="464" t="n"/>
      <c r="D108" s="464" t="n"/>
      <c r="E108" s="464" t="n"/>
      <c r="F108" s="464" t="n"/>
      <c r="G108" s="464" t="n"/>
      <c r="H108" s="464" t="n"/>
      <c r="I108" s="464" t="n"/>
      <c r="J108" s="464" t="n"/>
      <c r="K108" s="464" t="n"/>
      <c r="L108" s="464" t="n"/>
      <c r="M108" s="464" t="n"/>
      <c r="N108" s="464" t="n"/>
      <c r="O108" s="464" t="n"/>
      <c r="P108" s="464" t="n"/>
      <c r="Q108" s="464" t="n"/>
      <c r="R108" s="464" t="n"/>
      <c r="S108" s="464" t="n"/>
      <c r="T108" s="464" t="n"/>
      <c r="U108" s="464" t="n"/>
      <c r="V108" s="464" t="n"/>
      <c r="W108" s="464" t="n"/>
      <c r="X108" s="464" t="n"/>
      <c r="Y108" s="464" t="n"/>
      <c r="Z108" s="464" t="n"/>
      <c r="AA108" s="464" t="n"/>
    </row>
    <row r="109">
      <c r="A109" s="464" t="n"/>
      <c r="B109" s="464" t="n"/>
      <c r="C109" s="464" t="n"/>
      <c r="D109" s="464" t="n"/>
      <c r="E109" s="464" t="n"/>
      <c r="F109" s="464" t="n"/>
      <c r="G109" s="464" t="n"/>
      <c r="H109" s="464" t="n"/>
      <c r="I109" s="464" t="n"/>
      <c r="J109" s="464" t="n"/>
      <c r="K109" s="464" t="n"/>
      <c r="L109" s="464" t="n"/>
      <c r="M109" s="464" t="n"/>
      <c r="N109" s="464" t="n"/>
      <c r="O109" s="464" t="n"/>
      <c r="P109" s="464" t="n"/>
      <c r="Q109" s="464" t="n"/>
      <c r="R109" s="464" t="n"/>
      <c r="S109" s="464" t="n"/>
      <c r="T109" s="464" t="n"/>
      <c r="U109" s="464" t="n"/>
      <c r="V109" s="464" t="n"/>
      <c r="W109" s="464" t="n"/>
      <c r="X109" s="464" t="n"/>
      <c r="Y109" s="464" t="n"/>
      <c r="Z109" s="464" t="n"/>
      <c r="AA109" s="464" t="n"/>
    </row>
    <row r="110">
      <c r="A110" s="464" t="n"/>
      <c r="B110" s="464" t="n"/>
      <c r="C110" s="464" t="n"/>
      <c r="D110" s="464" t="n"/>
      <c r="E110" s="464" t="n"/>
      <c r="F110" s="464" t="n"/>
      <c r="G110" s="464" t="n"/>
      <c r="H110" s="464" t="n"/>
      <c r="I110" s="464" t="n"/>
      <c r="J110" s="464" t="n"/>
      <c r="K110" s="464" t="n"/>
      <c r="L110" s="464" t="n"/>
      <c r="M110" s="464" t="n"/>
      <c r="N110" s="464" t="n"/>
      <c r="O110" s="464" t="n"/>
      <c r="P110" s="464" t="n"/>
      <c r="Q110" s="464" t="n"/>
      <c r="R110" s="464" t="n"/>
      <c r="S110" s="464" t="n"/>
      <c r="T110" s="464" t="n"/>
      <c r="U110" s="464" t="n"/>
      <c r="V110" s="464" t="n"/>
      <c r="W110" s="464" t="n"/>
      <c r="X110" s="464" t="n"/>
      <c r="Y110" s="464" t="n"/>
      <c r="Z110" s="464" t="n"/>
      <c r="AA110" s="464" t="n"/>
    </row>
    <row r="111">
      <c r="A111" s="464" t="n"/>
      <c r="B111" s="464" t="n"/>
      <c r="C111" s="464" t="n"/>
      <c r="D111" s="464" t="n"/>
      <c r="E111" s="464" t="n"/>
      <c r="F111" s="464" t="n"/>
      <c r="G111" s="464" t="n"/>
      <c r="H111" s="464" t="n"/>
      <c r="I111" s="464" t="n"/>
      <c r="J111" s="464" t="n"/>
      <c r="K111" s="464" t="n"/>
      <c r="L111" s="464" t="n"/>
      <c r="M111" s="464" t="n"/>
      <c r="N111" s="464" t="n"/>
      <c r="O111" s="464" t="n"/>
      <c r="P111" s="464" t="n"/>
      <c r="Q111" s="464" t="n"/>
      <c r="R111" s="464" t="n"/>
      <c r="S111" s="464" t="n"/>
      <c r="T111" s="464" t="n"/>
      <c r="U111" s="464" t="n"/>
      <c r="V111" s="464" t="n"/>
      <c r="W111" s="464" t="n"/>
      <c r="X111" s="464" t="n"/>
      <c r="Y111" s="464" t="n"/>
      <c r="Z111" s="464" t="n"/>
      <c r="AA111" s="464" t="n"/>
    </row>
    <row r="112">
      <c r="A112" s="464" t="n"/>
      <c r="B112" s="464" t="n"/>
      <c r="C112" s="464" t="n"/>
      <c r="D112" s="464" t="n"/>
      <c r="E112" s="464" t="n"/>
      <c r="F112" s="464" t="n"/>
      <c r="G112" s="464" t="n"/>
      <c r="H112" s="464" t="n"/>
      <c r="I112" s="464" t="n"/>
      <c r="J112" s="464" t="n"/>
      <c r="K112" s="464" t="n"/>
      <c r="L112" s="464" t="n"/>
      <c r="M112" s="464" t="n"/>
      <c r="N112" s="464" t="n"/>
      <c r="O112" s="464" t="n"/>
      <c r="P112" s="464" t="n"/>
      <c r="Q112" s="464" t="n"/>
      <c r="R112" s="464" t="n"/>
      <c r="S112" s="464" t="n"/>
      <c r="T112" s="464" t="n"/>
      <c r="U112" s="464" t="n"/>
      <c r="V112" s="464" t="n"/>
      <c r="W112" s="464" t="n"/>
      <c r="X112" s="464" t="n"/>
      <c r="Y112" s="464" t="n"/>
      <c r="Z112" s="464" t="n"/>
      <c r="AA112" s="464" t="n"/>
    </row>
    <row r="113">
      <c r="A113" s="464" t="n"/>
      <c r="B113" s="464" t="n"/>
      <c r="C113" s="464" t="n"/>
      <c r="D113" s="464" t="n"/>
      <c r="E113" s="464" t="n"/>
      <c r="F113" s="464" t="n"/>
      <c r="G113" s="464" t="n"/>
      <c r="H113" s="464" t="n"/>
      <c r="I113" s="464" t="n"/>
      <c r="J113" s="464" t="n"/>
      <c r="K113" s="464" t="n"/>
      <c r="L113" s="464" t="n"/>
      <c r="M113" s="464" t="n"/>
      <c r="N113" s="464" t="n"/>
      <c r="O113" s="464" t="n"/>
      <c r="P113" s="464" t="n"/>
      <c r="Q113" s="464" t="n"/>
      <c r="R113" s="464" t="n"/>
      <c r="S113" s="464" t="n"/>
      <c r="T113" s="464" t="n"/>
      <c r="U113" s="464" t="n"/>
      <c r="V113" s="464" t="n"/>
      <c r="W113" s="464" t="n"/>
      <c r="X113" s="464" t="n"/>
      <c r="Y113" s="464" t="n"/>
      <c r="Z113" s="464" t="n"/>
      <c r="AA113" s="464" t="n"/>
    </row>
    <row r="114">
      <c r="A114" s="464" t="n"/>
      <c r="B114" s="464" t="n"/>
      <c r="C114" s="464" t="n"/>
      <c r="D114" s="464" t="n"/>
      <c r="E114" s="464" t="n"/>
      <c r="F114" s="464" t="n"/>
      <c r="G114" s="464" t="n"/>
      <c r="H114" s="464" t="n"/>
      <c r="I114" s="464" t="n"/>
      <c r="J114" s="464" t="n"/>
      <c r="K114" s="464" t="n"/>
      <c r="L114" s="464" t="n"/>
      <c r="M114" s="464" t="n"/>
      <c r="N114" s="464" t="n"/>
      <c r="O114" s="464" t="n"/>
      <c r="P114" s="464" t="n"/>
      <c r="Q114" s="464" t="n"/>
      <c r="R114" s="464" t="n"/>
      <c r="S114" s="464" t="n"/>
      <c r="T114" s="464" t="n"/>
      <c r="U114" s="464" t="n"/>
      <c r="V114" s="464" t="n"/>
      <c r="W114" s="464" t="n"/>
      <c r="X114" s="464" t="n"/>
      <c r="Y114" s="464" t="n"/>
      <c r="Z114" s="464" t="n"/>
      <c r="AA114" s="464" t="n"/>
    </row>
    <row r="115">
      <c r="A115" s="464" t="n"/>
      <c r="B115" s="464" t="n"/>
      <c r="C115" s="464" t="n"/>
      <c r="D115" s="464" t="n"/>
      <c r="E115" s="464" t="n"/>
      <c r="F115" s="464" t="n"/>
      <c r="G115" s="464" t="n"/>
      <c r="H115" s="464" t="n"/>
      <c r="I115" s="464" t="n"/>
      <c r="J115" s="464" t="n"/>
      <c r="K115" s="464" t="n"/>
      <c r="L115" s="464" t="n"/>
      <c r="M115" s="464" t="n"/>
      <c r="N115" s="464" t="n"/>
      <c r="O115" s="464" t="n"/>
      <c r="P115" s="464" t="n"/>
      <c r="Q115" s="464" t="n"/>
      <c r="R115" s="464" t="n"/>
      <c r="S115" s="464" t="n"/>
      <c r="T115" s="464" t="n"/>
      <c r="U115" s="464" t="n"/>
      <c r="V115" s="464" t="n"/>
      <c r="W115" s="464" t="n"/>
      <c r="X115" s="464" t="n"/>
      <c r="Y115" s="464" t="n"/>
      <c r="Z115" s="464" t="n"/>
      <c r="AA115" s="464" t="n"/>
    </row>
    <row r="116">
      <c r="A116" s="464" t="n"/>
      <c r="B116" s="464" t="n"/>
      <c r="C116" s="464" t="n"/>
      <c r="D116" s="464" t="n"/>
      <c r="E116" s="464" t="n"/>
      <c r="F116" s="464" t="n"/>
      <c r="G116" s="464" t="n"/>
      <c r="H116" s="464" t="n"/>
      <c r="I116" s="464" t="n"/>
      <c r="J116" s="464" t="n"/>
      <c r="K116" s="464" t="n"/>
      <c r="L116" s="464" t="n"/>
      <c r="M116" s="464" t="n"/>
      <c r="N116" s="464" t="n"/>
      <c r="O116" s="464" t="n"/>
      <c r="P116" s="464" t="n"/>
      <c r="Q116" s="464" t="n"/>
      <c r="R116" s="464" t="n"/>
      <c r="S116" s="464" t="n"/>
      <c r="T116" s="464" t="n"/>
      <c r="U116" s="464" t="n"/>
      <c r="V116" s="464" t="n"/>
      <c r="W116" s="464" t="n"/>
      <c r="X116" s="464" t="n"/>
      <c r="Y116" s="464" t="n"/>
      <c r="Z116" s="464" t="n"/>
      <c r="AA116" s="464" t="n"/>
    </row>
    <row r="117">
      <c r="A117" s="464" t="n"/>
      <c r="B117" s="464" t="n"/>
      <c r="C117" s="464" t="n"/>
      <c r="D117" s="464" t="n"/>
      <c r="E117" s="464" t="n"/>
      <c r="F117" s="464" t="n"/>
      <c r="G117" s="464" t="n"/>
      <c r="H117" s="464" t="n"/>
      <c r="I117" s="464" t="n"/>
      <c r="J117" s="464" t="n"/>
      <c r="K117" s="464" t="n"/>
      <c r="L117" s="464" t="n"/>
      <c r="M117" s="464" t="n"/>
      <c r="N117" s="464" t="n"/>
      <c r="O117" s="464" t="n"/>
      <c r="P117" s="464" t="n"/>
      <c r="Q117" s="464" t="n"/>
      <c r="R117" s="464" t="n"/>
      <c r="S117" s="464" t="n"/>
      <c r="T117" s="464" t="n"/>
      <c r="U117" s="464" t="n"/>
      <c r="V117" s="464" t="n"/>
      <c r="W117" s="464" t="n"/>
      <c r="X117" s="464" t="n"/>
      <c r="Y117" s="464" t="n"/>
      <c r="Z117" s="464" t="n"/>
      <c r="AA117" s="464" t="n"/>
    </row>
    <row r="118">
      <c r="A118" s="464" t="n"/>
      <c r="B118" s="464" t="n"/>
      <c r="C118" s="464" t="n"/>
      <c r="D118" s="464" t="n"/>
      <c r="E118" s="464" t="n"/>
      <c r="F118" s="464" t="n"/>
      <c r="G118" s="464" t="n"/>
      <c r="H118" s="464" t="n"/>
      <c r="I118" s="464" t="n"/>
      <c r="J118" s="464" t="n"/>
      <c r="K118" s="464" t="n"/>
      <c r="L118" s="464" t="n"/>
      <c r="M118" s="464" t="n"/>
      <c r="N118" s="464" t="n"/>
      <c r="O118" s="464" t="n"/>
      <c r="P118" s="464" t="n"/>
      <c r="Q118" s="464" t="n"/>
      <c r="R118" s="464" t="n"/>
      <c r="S118" s="464" t="n"/>
      <c r="T118" s="464" t="n"/>
      <c r="U118" s="464" t="n"/>
      <c r="V118" s="464" t="n"/>
      <c r="W118" s="464" t="n"/>
      <c r="X118" s="464" t="n"/>
      <c r="Y118" s="464" t="n"/>
      <c r="Z118" s="464" t="n"/>
      <c r="AA118" s="464" t="n"/>
    </row>
    <row r="119">
      <c r="A119" s="464" t="n"/>
      <c r="B119" s="464" t="n"/>
      <c r="C119" s="464" t="n"/>
      <c r="D119" s="464" t="n"/>
      <c r="E119" s="464" t="n"/>
      <c r="F119" s="464" t="n"/>
      <c r="G119" s="464" t="n"/>
      <c r="H119" s="464" t="n"/>
      <c r="I119" s="464" t="n"/>
      <c r="J119" s="464" t="n"/>
      <c r="K119" s="464" t="n"/>
      <c r="L119" s="464" t="n"/>
      <c r="M119" s="464" t="n"/>
      <c r="N119" s="464" t="n"/>
      <c r="O119" s="464" t="n"/>
      <c r="P119" s="464" t="n"/>
      <c r="Q119" s="464" t="n"/>
      <c r="R119" s="464" t="n"/>
      <c r="S119" s="464" t="n"/>
      <c r="T119" s="464" t="n"/>
      <c r="U119" s="464" t="n"/>
      <c r="V119" s="464" t="n"/>
      <c r="W119" s="464" t="n"/>
      <c r="X119" s="464" t="n"/>
      <c r="Y119" s="464" t="n"/>
      <c r="Z119" s="464" t="n"/>
      <c r="AA119" s="464" t="n"/>
    </row>
    <row r="120">
      <c r="A120" s="464" t="n"/>
      <c r="B120" s="464" t="n"/>
      <c r="C120" s="464" t="n"/>
      <c r="D120" s="464" t="n"/>
      <c r="E120" s="464" t="n"/>
      <c r="F120" s="464" t="n"/>
      <c r="G120" s="464" t="n"/>
      <c r="H120" s="464" t="n"/>
      <c r="I120" s="464" t="n"/>
      <c r="J120" s="464" t="n"/>
      <c r="K120" s="464" t="n"/>
      <c r="L120" s="464" t="n"/>
      <c r="M120" s="464" t="n"/>
      <c r="N120" s="464" t="n"/>
      <c r="O120" s="464" t="n"/>
      <c r="P120" s="464" t="n"/>
      <c r="Q120" s="464" t="n"/>
      <c r="R120" s="464" t="n"/>
      <c r="S120" s="464" t="n"/>
      <c r="T120" s="464" t="n"/>
      <c r="U120" s="464" t="n"/>
      <c r="V120" s="464" t="n"/>
      <c r="W120" s="464" t="n"/>
      <c r="X120" s="464" t="n"/>
      <c r="Y120" s="464" t="n"/>
      <c r="Z120" s="464" t="n"/>
      <c r="AA120" s="464" t="n"/>
    </row>
    <row r="121">
      <c r="A121" s="468" t="n"/>
      <c r="B121" s="469" t="n"/>
      <c r="C121" s="469" t="n"/>
      <c r="D121" s="469" t="n"/>
      <c r="E121" s="469" t="n"/>
      <c r="F121" s="469" t="n"/>
      <c r="G121" s="469" t="n"/>
      <c r="H121" s="469" t="n"/>
      <c r="I121" s="469" t="n"/>
      <c r="J121" s="469" t="n"/>
      <c r="K121" s="469" t="n"/>
      <c r="L121" s="469" t="n"/>
      <c r="M121" s="469" t="n"/>
      <c r="N121" s="469" t="n"/>
      <c r="O121" s="469" t="n"/>
      <c r="P121" s="471" t="n"/>
      <c r="Q121" s="469" t="n"/>
      <c r="R121" s="469" t="n"/>
      <c r="S121" s="469" t="n"/>
      <c r="T121" s="469" t="n"/>
      <c r="U121" s="469" t="n"/>
      <c r="V121" s="469" t="n"/>
      <c r="W121" s="469" t="n"/>
      <c r="X121" s="469" t="n"/>
      <c r="Y121" s="469" t="n"/>
      <c r="Z121" s="469" t="n"/>
      <c r="AA121" s="469" t="n"/>
    </row>
    <row r="122">
      <c r="A122" s="468" t="n"/>
      <c r="B122" s="469" t="n"/>
      <c r="C122" s="469" t="n"/>
      <c r="D122" s="469" t="n"/>
      <c r="E122" s="469" t="n"/>
      <c r="F122" s="469" t="n"/>
      <c r="G122" s="469" t="n"/>
      <c r="H122" s="469" t="n"/>
      <c r="I122" s="469" t="n"/>
      <c r="J122" s="469" t="n"/>
      <c r="K122" s="469" t="n"/>
      <c r="L122" s="469" t="n"/>
      <c r="M122" s="469" t="n"/>
      <c r="N122" s="469" t="n"/>
      <c r="O122" s="469" t="n"/>
      <c r="P122" s="471" t="n"/>
      <c r="Q122" s="469" t="n"/>
      <c r="R122" s="469" t="n"/>
      <c r="S122" s="469" t="n"/>
      <c r="T122" s="469" t="n"/>
      <c r="U122" s="469" t="n"/>
      <c r="V122" s="469" t="n"/>
      <c r="W122" s="469" t="n"/>
      <c r="X122" s="469" t="n"/>
      <c r="Y122" s="469" t="n"/>
      <c r="Z122" s="469" t="n"/>
      <c r="AA122" s="469" t="n"/>
    </row>
    <row r="123">
      <c r="A123" s="468" t="n"/>
      <c r="B123" s="469" t="n"/>
      <c r="C123" s="469" t="n"/>
      <c r="D123" s="469" t="n"/>
      <c r="E123" s="469" t="n"/>
      <c r="F123" s="469" t="n"/>
      <c r="G123" s="469" t="n"/>
      <c r="H123" s="469" t="n"/>
      <c r="I123" s="469" t="n"/>
      <c r="J123" s="469" t="n"/>
      <c r="K123" s="469" t="n"/>
      <c r="L123" s="469" t="n"/>
      <c r="M123" s="469" t="n"/>
      <c r="N123" s="469" t="n"/>
      <c r="O123" s="469" t="n"/>
      <c r="P123" s="471" t="n"/>
      <c r="Q123" s="469" t="n"/>
      <c r="R123" s="469" t="n"/>
      <c r="S123" s="469" t="n"/>
      <c r="T123" s="469" t="n"/>
      <c r="U123" s="469" t="n"/>
      <c r="V123" s="469" t="n"/>
      <c r="W123" s="469" t="n"/>
      <c r="X123" s="469" t="n"/>
      <c r="Y123" s="469" t="n"/>
      <c r="Z123" s="469" t="n"/>
      <c r="AA123" s="469" t="n"/>
    </row>
    <row r="124">
      <c r="A124" s="468" t="n"/>
      <c r="B124" s="469" t="n"/>
      <c r="C124" s="469" t="n"/>
      <c r="D124" s="469" t="n"/>
      <c r="E124" s="469" t="n"/>
      <c r="F124" s="469" t="n"/>
      <c r="G124" s="469" t="n"/>
      <c r="H124" s="469" t="n"/>
      <c r="I124" s="469" t="n"/>
      <c r="J124" s="469" t="n"/>
      <c r="K124" s="469" t="n"/>
      <c r="L124" s="469" t="n"/>
      <c r="M124" s="469" t="n"/>
      <c r="N124" s="469" t="n"/>
      <c r="O124" s="469" t="n"/>
      <c r="P124" s="471" t="n"/>
      <c r="Q124" s="469" t="n"/>
      <c r="R124" s="469" t="n"/>
      <c r="S124" s="469" t="n"/>
      <c r="T124" s="469" t="n"/>
      <c r="U124" s="469" t="n"/>
      <c r="V124" s="469" t="n"/>
      <c r="W124" s="469" t="n"/>
      <c r="X124" s="469" t="n"/>
      <c r="Y124" s="469" t="n"/>
      <c r="Z124" s="469" t="n"/>
      <c r="AA124" s="469" t="n"/>
    </row>
    <row r="125">
      <c r="A125" s="468" t="n"/>
      <c r="B125" s="469" t="n"/>
      <c r="C125" s="469" t="n"/>
      <c r="D125" s="469" t="n"/>
      <c r="E125" s="469" t="n"/>
      <c r="F125" s="469" t="n"/>
      <c r="G125" s="469" t="n"/>
      <c r="H125" s="469" t="n"/>
      <c r="I125" s="469" t="n"/>
      <c r="J125" s="469" t="n"/>
      <c r="K125" s="469" t="n"/>
      <c r="L125" s="469" t="n"/>
      <c r="M125" s="469" t="n"/>
      <c r="N125" s="469" t="n"/>
      <c r="O125" s="469" t="n"/>
      <c r="P125" s="471" t="n"/>
      <c r="Q125" s="469" t="n"/>
      <c r="R125" s="469" t="n"/>
      <c r="S125" s="469" t="n"/>
      <c r="T125" s="469" t="n"/>
      <c r="U125" s="469" t="n"/>
      <c r="V125" s="469" t="n"/>
      <c r="W125" s="469" t="n"/>
      <c r="X125" s="469" t="n"/>
      <c r="Y125" s="469" t="n"/>
      <c r="Z125" s="469" t="n"/>
      <c r="AA125" s="469" t="n"/>
    </row>
    <row r="126">
      <c r="A126" s="468" t="n"/>
      <c r="B126" s="469" t="n"/>
      <c r="C126" s="469" t="n"/>
      <c r="D126" s="469" t="n"/>
      <c r="E126" s="469" t="n"/>
      <c r="F126" s="469" t="n"/>
      <c r="G126" s="469" t="n"/>
      <c r="H126" s="469" t="n"/>
      <c r="I126" s="469" t="n"/>
      <c r="J126" s="469" t="n"/>
      <c r="K126" s="469" t="n"/>
      <c r="L126" s="469" t="n"/>
      <c r="M126" s="469" t="n"/>
      <c r="N126" s="469" t="n"/>
      <c r="O126" s="469" t="n"/>
      <c r="P126" s="471" t="n"/>
      <c r="Q126" s="469" t="n"/>
      <c r="R126" s="469" t="n"/>
      <c r="S126" s="469" t="n"/>
      <c r="T126" s="469" t="n"/>
      <c r="U126" s="469" t="n"/>
      <c r="V126" s="469" t="n"/>
      <c r="W126" s="469" t="n"/>
      <c r="X126" s="469" t="n"/>
      <c r="Y126" s="469" t="n"/>
      <c r="Z126" s="469" t="n"/>
      <c r="AA126" s="469" t="n"/>
    </row>
    <row r="127">
      <c r="A127" s="468" t="n"/>
      <c r="B127" s="469" t="n"/>
      <c r="C127" s="469" t="n"/>
      <c r="D127" s="469" t="n"/>
      <c r="E127" s="469" t="n"/>
      <c r="F127" s="469" t="n"/>
      <c r="G127" s="469" t="n"/>
      <c r="H127" s="469" t="n"/>
      <c r="I127" s="469" t="n"/>
      <c r="J127" s="469" t="n"/>
      <c r="K127" s="469" t="n"/>
      <c r="L127" s="469" t="n"/>
      <c r="M127" s="469" t="n"/>
      <c r="N127" s="469" t="n"/>
      <c r="O127" s="469" t="n"/>
      <c r="P127" s="471" t="n"/>
      <c r="Q127" s="469" t="n"/>
      <c r="R127" s="469" t="n"/>
      <c r="S127" s="469" t="n"/>
      <c r="T127" s="469" t="n"/>
      <c r="U127" s="469" t="n"/>
      <c r="V127" s="469" t="n"/>
      <c r="W127" s="469" t="n"/>
      <c r="X127" s="469" t="n"/>
      <c r="Y127" s="469" t="n"/>
      <c r="Z127" s="469" t="n"/>
      <c r="AA127" s="469" t="n"/>
    </row>
    <row r="128">
      <c r="A128" s="468" t="n"/>
      <c r="B128" s="469" t="n"/>
      <c r="C128" s="469" t="n"/>
      <c r="D128" s="469" t="n"/>
      <c r="E128" s="469" t="n"/>
      <c r="F128" s="469" t="n"/>
      <c r="G128" s="469" t="n"/>
      <c r="H128" s="469" t="n"/>
      <c r="I128" s="469" t="n"/>
      <c r="J128" s="469" t="n"/>
      <c r="K128" s="469" t="n"/>
      <c r="L128" s="469" t="n"/>
      <c r="M128" s="469" t="n"/>
      <c r="N128" s="469" t="n"/>
      <c r="O128" s="469" t="n"/>
      <c r="P128" s="471" t="n"/>
      <c r="Q128" s="469" t="n"/>
      <c r="R128" s="469" t="n"/>
      <c r="S128" s="469" t="n"/>
      <c r="T128" s="469" t="n"/>
      <c r="U128" s="469" t="n"/>
      <c r="V128" s="469" t="n"/>
      <c r="W128" s="469" t="n"/>
      <c r="X128" s="469" t="n"/>
      <c r="Y128" s="469" t="n"/>
      <c r="Z128" s="469" t="n"/>
      <c r="AA128" s="469" t="n"/>
    </row>
    <row r="129">
      <c r="A129" s="468" t="n"/>
      <c r="B129" s="469" t="n"/>
      <c r="C129" s="469" t="n"/>
      <c r="D129" s="469" t="n"/>
      <c r="E129" s="469" t="n"/>
      <c r="F129" s="469" t="n"/>
      <c r="G129" s="469" t="n"/>
      <c r="H129" s="469" t="n"/>
      <c r="I129" s="469" t="n"/>
      <c r="J129" s="469" t="n"/>
      <c r="K129" s="469" t="n"/>
      <c r="L129" s="469" t="n"/>
      <c r="M129" s="469" t="n"/>
      <c r="N129" s="469" t="n"/>
      <c r="O129" s="469" t="n"/>
      <c r="P129" s="471" t="n"/>
      <c r="Q129" s="469" t="n"/>
      <c r="R129" s="469" t="n"/>
      <c r="S129" s="469" t="n"/>
      <c r="T129" s="469" t="n"/>
      <c r="U129" s="469" t="n"/>
      <c r="V129" s="469" t="n"/>
      <c r="W129" s="469" t="n"/>
      <c r="X129" s="469" t="n"/>
      <c r="Y129" s="469" t="n"/>
      <c r="Z129" s="469" t="n"/>
      <c r="AA129" s="469" t="n"/>
    </row>
    <row r="130">
      <c r="A130" s="468" t="n"/>
      <c r="B130" s="469" t="n"/>
      <c r="C130" s="469" t="n"/>
      <c r="D130" s="469" t="n"/>
      <c r="E130" s="469" t="n"/>
      <c r="F130" s="469" t="n"/>
      <c r="G130" s="469" t="n"/>
      <c r="H130" s="469" t="n"/>
      <c r="I130" s="469" t="n"/>
      <c r="J130" s="469" t="n"/>
      <c r="K130" s="469" t="n"/>
      <c r="L130" s="469" t="n"/>
      <c r="M130" s="469" t="n"/>
      <c r="N130" s="469" t="n"/>
      <c r="O130" s="469" t="n"/>
      <c r="P130" s="471" t="n"/>
      <c r="Q130" s="469" t="n"/>
      <c r="R130" s="469" t="n"/>
      <c r="S130" s="469" t="n"/>
      <c r="T130" s="469" t="n"/>
      <c r="U130" s="469" t="n"/>
      <c r="V130" s="469" t="n"/>
      <c r="W130" s="469" t="n"/>
      <c r="X130" s="469" t="n"/>
      <c r="Y130" s="469" t="n"/>
      <c r="Z130" s="469" t="n"/>
      <c r="AA130" s="469" t="n"/>
    </row>
    <row r="131">
      <c r="A131" s="468" t="n"/>
      <c r="B131" s="469" t="n"/>
      <c r="C131" s="469" t="n"/>
      <c r="D131" s="469" t="n"/>
      <c r="E131" s="469" t="n"/>
      <c r="F131" s="469" t="n"/>
      <c r="G131" s="469" t="n"/>
      <c r="H131" s="469" t="n"/>
      <c r="I131" s="469" t="n"/>
      <c r="J131" s="469" t="n"/>
      <c r="K131" s="469" t="n"/>
      <c r="L131" s="469" t="n"/>
      <c r="M131" s="469" t="n"/>
      <c r="N131" s="469" t="n"/>
      <c r="O131" s="469" t="n"/>
      <c r="P131" s="471" t="n"/>
      <c r="Q131" s="469" t="n"/>
      <c r="R131" s="469" t="n"/>
      <c r="S131" s="469" t="n"/>
      <c r="T131" s="469" t="n"/>
      <c r="U131" s="469" t="n"/>
      <c r="V131" s="469" t="n"/>
      <c r="W131" s="469" t="n"/>
      <c r="X131" s="469" t="n"/>
      <c r="Y131" s="469" t="n"/>
      <c r="Z131" s="469" t="n"/>
      <c r="AA131" s="469" t="n"/>
    </row>
    <row r="132">
      <c r="A132" s="468" t="n"/>
      <c r="B132" s="469" t="n"/>
      <c r="C132" s="469" t="n"/>
      <c r="D132" s="469" t="n"/>
      <c r="E132" s="469" t="n"/>
      <c r="F132" s="469" t="n"/>
      <c r="G132" s="469" t="n"/>
      <c r="H132" s="469" t="n"/>
      <c r="I132" s="469" t="n"/>
      <c r="J132" s="469" t="n"/>
      <c r="K132" s="469" t="n"/>
      <c r="L132" s="469" t="n"/>
      <c r="M132" s="469" t="n"/>
      <c r="N132" s="469" t="n"/>
      <c r="O132" s="469" t="n"/>
      <c r="P132" s="471" t="n"/>
      <c r="Q132" s="469" t="n"/>
      <c r="R132" s="469" t="n"/>
      <c r="S132" s="469" t="n"/>
      <c r="T132" s="469" t="n"/>
      <c r="U132" s="469" t="n"/>
      <c r="V132" s="469" t="n"/>
      <c r="W132" s="469" t="n"/>
      <c r="X132" s="469" t="n"/>
      <c r="Y132" s="469" t="n"/>
      <c r="Z132" s="469" t="n"/>
      <c r="AA132" s="469" t="n"/>
    </row>
    <row r="133">
      <c r="A133" s="468" t="n"/>
      <c r="B133" s="469" t="n"/>
      <c r="C133" s="469" t="n"/>
      <c r="D133" s="469" t="n"/>
      <c r="E133" s="469" t="n"/>
      <c r="F133" s="469" t="n"/>
      <c r="G133" s="469" t="n"/>
      <c r="H133" s="469" t="n"/>
      <c r="I133" s="469" t="n"/>
      <c r="J133" s="469" t="n"/>
      <c r="K133" s="469" t="n"/>
      <c r="L133" s="469" t="n"/>
      <c r="M133" s="469" t="n"/>
      <c r="N133" s="469" t="n"/>
      <c r="O133" s="469" t="n"/>
      <c r="P133" s="471" t="n"/>
      <c r="Q133" s="469" t="n"/>
      <c r="R133" s="469" t="n"/>
      <c r="S133" s="469" t="n"/>
      <c r="T133" s="469" t="n"/>
      <c r="U133" s="469" t="n"/>
      <c r="V133" s="469" t="n"/>
      <c r="W133" s="469" t="n"/>
      <c r="X133" s="469" t="n"/>
      <c r="Y133" s="469" t="n"/>
      <c r="Z133" s="469" t="n"/>
      <c r="AA133" s="469" t="n"/>
    </row>
    <row r="134">
      <c r="A134" s="468" t="n"/>
      <c r="B134" s="469" t="n"/>
      <c r="C134" s="469" t="n"/>
      <c r="D134" s="469" t="n"/>
      <c r="E134" s="469" t="n"/>
      <c r="F134" s="469" t="n"/>
      <c r="G134" s="469" t="n"/>
      <c r="H134" s="469" t="n"/>
      <c r="I134" s="469" t="n"/>
      <c r="J134" s="469" t="n"/>
      <c r="K134" s="469" t="n"/>
      <c r="L134" s="469" t="n"/>
      <c r="M134" s="469" t="n"/>
      <c r="N134" s="469" t="n"/>
      <c r="O134" s="469" t="n"/>
      <c r="P134" s="471" t="n"/>
      <c r="Q134" s="469" t="n"/>
      <c r="R134" s="469" t="n"/>
      <c r="S134" s="469" t="n"/>
      <c r="T134" s="469" t="n"/>
      <c r="U134" s="469" t="n"/>
      <c r="V134" s="469" t="n"/>
      <c r="W134" s="469" t="n"/>
      <c r="X134" s="469" t="n"/>
      <c r="Y134" s="469" t="n"/>
      <c r="Z134" s="469" t="n"/>
      <c r="AA134" s="469" t="n"/>
    </row>
    <row r="135">
      <c r="A135" s="468" t="n"/>
      <c r="B135" s="469" t="n"/>
      <c r="C135" s="469" t="n"/>
      <c r="D135" s="469" t="n"/>
      <c r="E135" s="469" t="n"/>
      <c r="F135" s="469" t="n"/>
      <c r="G135" s="469" t="n"/>
      <c r="H135" s="469" t="n"/>
      <c r="I135" s="469" t="n"/>
      <c r="J135" s="469" t="n"/>
      <c r="K135" s="469" t="n"/>
      <c r="L135" s="469" t="n"/>
      <c r="M135" s="469" t="n"/>
      <c r="N135" s="469" t="n"/>
      <c r="O135" s="469" t="n"/>
      <c r="P135" s="471" t="n"/>
      <c r="Q135" s="469" t="n"/>
      <c r="R135" s="469" t="n"/>
      <c r="S135" s="469" t="n"/>
      <c r="T135" s="469" t="n"/>
      <c r="U135" s="469" t="n"/>
      <c r="V135" s="469" t="n"/>
      <c r="W135" s="469" t="n"/>
      <c r="X135" s="469" t="n"/>
      <c r="Y135" s="469" t="n"/>
      <c r="Z135" s="469" t="n"/>
      <c r="AA135" s="469" t="n"/>
    </row>
    <row r="136">
      <c r="A136" s="468" t="n"/>
      <c r="B136" s="469" t="n"/>
      <c r="C136" s="469" t="n"/>
      <c r="D136" s="469" t="n"/>
      <c r="E136" s="469" t="n"/>
      <c r="F136" s="469" t="n"/>
      <c r="G136" s="469" t="n"/>
      <c r="H136" s="469" t="n"/>
      <c r="I136" s="469" t="n"/>
      <c r="J136" s="469" t="n"/>
      <c r="K136" s="469" t="n"/>
      <c r="L136" s="469" t="n"/>
      <c r="M136" s="469" t="n"/>
      <c r="N136" s="469" t="n"/>
      <c r="O136" s="469" t="n"/>
      <c r="P136" s="471" t="n"/>
      <c r="Q136" s="469" t="n"/>
      <c r="R136" s="469" t="n"/>
      <c r="S136" s="469" t="n"/>
      <c r="T136" s="469" t="n"/>
      <c r="U136" s="469" t="n"/>
      <c r="V136" s="469" t="n"/>
      <c r="W136" s="469" t="n"/>
      <c r="X136" s="469" t="n"/>
      <c r="Y136" s="469" t="n"/>
      <c r="Z136" s="469" t="n"/>
      <c r="AA136" s="469" t="n"/>
    </row>
    <row r="137">
      <c r="A137" s="468" t="n"/>
      <c r="B137" s="469" t="n"/>
      <c r="C137" s="469" t="n"/>
      <c r="D137" s="469" t="n"/>
      <c r="E137" s="469" t="n"/>
      <c r="F137" s="469" t="n"/>
      <c r="G137" s="469" t="n"/>
      <c r="H137" s="469" t="n"/>
      <c r="I137" s="469" t="n"/>
      <c r="J137" s="469" t="n"/>
      <c r="K137" s="469" t="n"/>
      <c r="L137" s="469" t="n"/>
      <c r="M137" s="469" t="n"/>
      <c r="N137" s="469" t="n"/>
      <c r="O137" s="469" t="n"/>
      <c r="P137" s="471" t="n"/>
      <c r="Q137" s="469" t="n"/>
      <c r="R137" s="469" t="n"/>
      <c r="S137" s="469" t="n"/>
      <c r="T137" s="469" t="n"/>
      <c r="U137" s="469" t="n"/>
      <c r="V137" s="469" t="n"/>
      <c r="W137" s="469" t="n"/>
      <c r="X137" s="469" t="n"/>
      <c r="Y137" s="469" t="n"/>
      <c r="Z137" s="469" t="n"/>
      <c r="AA137" s="469" t="n"/>
    </row>
    <row r="138">
      <c r="A138" s="468" t="n"/>
      <c r="B138" s="469" t="n"/>
      <c r="C138" s="469" t="n"/>
      <c r="D138" s="469" t="n"/>
      <c r="E138" s="469" t="n"/>
      <c r="F138" s="469" t="n"/>
      <c r="G138" s="469" t="n"/>
      <c r="H138" s="469" t="n"/>
      <c r="I138" s="469" t="n"/>
      <c r="J138" s="469" t="n"/>
      <c r="K138" s="469" t="n"/>
      <c r="L138" s="469" t="n"/>
      <c r="M138" s="469" t="n"/>
      <c r="N138" s="469" t="n"/>
      <c r="O138" s="469" t="n"/>
      <c r="P138" s="471" t="n"/>
      <c r="Q138" s="469" t="n"/>
      <c r="R138" s="469" t="n"/>
      <c r="S138" s="469" t="n"/>
      <c r="T138" s="469" t="n"/>
      <c r="U138" s="469" t="n"/>
      <c r="V138" s="469" t="n"/>
      <c r="W138" s="469" t="n"/>
      <c r="X138" s="469" t="n"/>
      <c r="Y138" s="469" t="n"/>
      <c r="Z138" s="469" t="n"/>
      <c r="AA138" s="469" t="n"/>
    </row>
    <row r="139">
      <c r="A139" s="468" t="n"/>
      <c r="B139" s="469" t="n"/>
      <c r="C139" s="469" t="n"/>
      <c r="D139" s="469" t="n"/>
      <c r="E139" s="469" t="n"/>
      <c r="F139" s="469" t="n"/>
      <c r="G139" s="469" t="n"/>
      <c r="H139" s="469" t="n"/>
      <c r="I139" s="469" t="n"/>
      <c r="J139" s="469" t="n"/>
      <c r="K139" s="469" t="n"/>
      <c r="L139" s="469" t="n"/>
      <c r="M139" s="469" t="n"/>
      <c r="N139" s="469" t="n"/>
      <c r="O139" s="469" t="n"/>
      <c r="P139" s="471" t="n"/>
      <c r="Q139" s="469" t="n"/>
      <c r="R139" s="469" t="n"/>
      <c r="S139" s="469" t="n"/>
      <c r="T139" s="469" t="n"/>
      <c r="U139" s="469" t="n"/>
      <c r="V139" s="469" t="n"/>
      <c r="W139" s="469" t="n"/>
      <c r="X139" s="469" t="n"/>
      <c r="Y139" s="469" t="n"/>
      <c r="Z139" s="469" t="n"/>
      <c r="AA139" s="469" t="n"/>
    </row>
    <row r="140">
      <c r="A140" s="468" t="n"/>
      <c r="B140" s="469" t="n"/>
      <c r="C140" s="469" t="n"/>
      <c r="D140" s="469" t="n"/>
      <c r="E140" s="469" t="n"/>
      <c r="F140" s="469" t="n"/>
      <c r="G140" s="469" t="n"/>
      <c r="H140" s="469" t="n"/>
      <c r="I140" s="469" t="n"/>
      <c r="J140" s="469" t="n"/>
      <c r="K140" s="469" t="n"/>
      <c r="L140" s="469" t="n"/>
      <c r="M140" s="469" t="n"/>
      <c r="N140" s="469" t="n"/>
      <c r="O140" s="469" t="n"/>
      <c r="P140" s="471" t="n"/>
      <c r="Q140" s="469" t="n"/>
      <c r="R140" s="469" t="n"/>
      <c r="S140" s="469" t="n"/>
      <c r="T140" s="469" t="n"/>
      <c r="U140" s="469" t="n"/>
      <c r="V140" s="469" t="n"/>
      <c r="W140" s="469" t="n"/>
      <c r="X140" s="469" t="n"/>
      <c r="Y140" s="469" t="n"/>
      <c r="Z140" s="469" t="n"/>
      <c r="AA140" s="469" t="n"/>
    </row>
    <row r="141">
      <c r="A141" s="468" t="n"/>
      <c r="B141" s="469" t="n"/>
      <c r="C141" s="469" t="n"/>
      <c r="D141" s="469" t="n"/>
      <c r="E141" s="469" t="n"/>
      <c r="F141" s="469" t="n"/>
      <c r="G141" s="469" t="n"/>
      <c r="H141" s="469" t="n"/>
      <c r="I141" s="469" t="n"/>
      <c r="J141" s="469" t="n"/>
      <c r="K141" s="469" t="n"/>
      <c r="L141" s="469" t="n"/>
      <c r="M141" s="469" t="n"/>
      <c r="N141" s="469" t="n"/>
      <c r="O141" s="469" t="n"/>
      <c r="P141" s="471" t="n"/>
      <c r="Q141" s="469" t="n"/>
      <c r="R141" s="469" t="n"/>
      <c r="S141" s="469" t="n"/>
      <c r="T141" s="469" t="n"/>
      <c r="U141" s="469" t="n"/>
      <c r="V141" s="469" t="n"/>
      <c r="W141" s="469" t="n"/>
      <c r="X141" s="469" t="n"/>
      <c r="Y141" s="469" t="n"/>
      <c r="Z141" s="469" t="n"/>
      <c r="AA141" s="469" t="n"/>
    </row>
    <row r="142">
      <c r="A142" s="468" t="n"/>
      <c r="B142" s="469" t="n"/>
      <c r="C142" s="469" t="n"/>
      <c r="D142" s="469" t="n"/>
      <c r="E142" s="469" t="n"/>
      <c r="F142" s="469" t="n"/>
      <c r="G142" s="469" t="n"/>
      <c r="H142" s="469" t="n"/>
      <c r="I142" s="469" t="n"/>
      <c r="J142" s="469" t="n"/>
      <c r="K142" s="469" t="n"/>
      <c r="L142" s="469" t="n"/>
      <c r="M142" s="469" t="n"/>
      <c r="N142" s="469" t="n"/>
      <c r="O142" s="469" t="n"/>
      <c r="P142" s="471" t="n"/>
      <c r="Q142" s="469" t="n"/>
      <c r="R142" s="469" t="n"/>
      <c r="S142" s="469" t="n"/>
      <c r="T142" s="469" t="n"/>
      <c r="U142" s="469" t="n"/>
      <c r="V142" s="469" t="n"/>
      <c r="W142" s="469" t="n"/>
      <c r="X142" s="469" t="n"/>
      <c r="Y142" s="469" t="n"/>
      <c r="Z142" s="469" t="n"/>
      <c r="AA142" s="469" t="n"/>
    </row>
    <row r="143">
      <c r="A143" s="468" t="n"/>
      <c r="B143" s="469" t="n"/>
      <c r="C143" s="469" t="n"/>
      <c r="D143" s="469" t="n"/>
      <c r="E143" s="469" t="n"/>
      <c r="F143" s="469" t="n"/>
      <c r="G143" s="469" t="n"/>
      <c r="H143" s="469" t="n"/>
      <c r="I143" s="469" t="n"/>
      <c r="J143" s="469" t="n"/>
      <c r="K143" s="469" t="n"/>
      <c r="L143" s="469" t="n"/>
      <c r="M143" s="469" t="n"/>
      <c r="N143" s="469" t="n"/>
      <c r="O143" s="469" t="n"/>
      <c r="P143" s="471" t="n"/>
      <c r="Q143" s="469" t="n"/>
      <c r="R143" s="469" t="n"/>
      <c r="S143" s="469" t="n"/>
      <c r="T143" s="469" t="n"/>
      <c r="U143" s="469" t="n"/>
      <c r="V143" s="469" t="n"/>
      <c r="W143" s="469" t="n"/>
      <c r="X143" s="469" t="n"/>
      <c r="Y143" s="469" t="n"/>
      <c r="Z143" s="469" t="n"/>
      <c r="AA143" s="469" t="n"/>
    </row>
    <row r="144">
      <c r="A144" s="468" t="n"/>
      <c r="B144" s="469" t="n"/>
      <c r="C144" s="469" t="n"/>
      <c r="D144" s="469" t="n"/>
      <c r="E144" s="469" t="n"/>
      <c r="F144" s="469" t="n"/>
      <c r="G144" s="469" t="n"/>
      <c r="H144" s="469" t="n"/>
      <c r="I144" s="469" t="n"/>
      <c r="J144" s="469" t="n"/>
      <c r="K144" s="469" t="n"/>
      <c r="L144" s="469" t="n"/>
      <c r="M144" s="469" t="n"/>
      <c r="N144" s="469" t="n"/>
      <c r="O144" s="469" t="n"/>
      <c r="P144" s="471" t="n"/>
      <c r="Q144" s="469" t="n"/>
      <c r="R144" s="469" t="n"/>
      <c r="S144" s="469" t="n"/>
      <c r="T144" s="469" t="n"/>
      <c r="U144" s="469" t="n"/>
      <c r="V144" s="469" t="n"/>
      <c r="W144" s="469" t="n"/>
      <c r="X144" s="469" t="n"/>
      <c r="Y144" s="469" t="n"/>
      <c r="Z144" s="469" t="n"/>
      <c r="AA144" s="469" t="n"/>
    </row>
    <row r="145">
      <c r="A145" s="468" t="n"/>
      <c r="B145" s="469" t="n"/>
      <c r="C145" s="469" t="n"/>
      <c r="D145" s="469" t="n"/>
      <c r="E145" s="469" t="n"/>
      <c r="F145" s="469" t="n"/>
      <c r="G145" s="469" t="n"/>
      <c r="H145" s="469" t="n"/>
      <c r="I145" s="469" t="n"/>
      <c r="J145" s="469" t="n"/>
      <c r="K145" s="469" t="n"/>
      <c r="L145" s="469" t="n"/>
      <c r="M145" s="469" t="n"/>
      <c r="N145" s="469" t="n"/>
      <c r="O145" s="469" t="n"/>
      <c r="P145" s="471" t="n"/>
      <c r="Q145" s="469" t="n"/>
      <c r="R145" s="469" t="n"/>
      <c r="S145" s="469" t="n"/>
      <c r="T145" s="469" t="n"/>
      <c r="U145" s="469" t="n"/>
      <c r="V145" s="469" t="n"/>
      <c r="W145" s="469" t="n"/>
      <c r="X145" s="469" t="n"/>
      <c r="Y145" s="469" t="n"/>
      <c r="Z145" s="469" t="n"/>
      <c r="AA145" s="469" t="n"/>
    </row>
    <row r="146">
      <c r="A146" s="468" t="n"/>
      <c r="B146" s="469" t="n"/>
      <c r="C146" s="469" t="n"/>
      <c r="D146" s="469" t="n"/>
      <c r="E146" s="469" t="n"/>
      <c r="F146" s="469" t="n"/>
      <c r="G146" s="469" t="n"/>
      <c r="H146" s="469" t="n"/>
      <c r="I146" s="469" t="n"/>
      <c r="J146" s="469" t="n"/>
      <c r="K146" s="469" t="n"/>
      <c r="L146" s="469" t="n"/>
      <c r="M146" s="469" t="n"/>
      <c r="N146" s="469" t="n"/>
      <c r="O146" s="469" t="n"/>
      <c r="P146" s="471" t="n"/>
      <c r="Q146" s="469" t="n"/>
      <c r="R146" s="469" t="n"/>
      <c r="S146" s="469" t="n"/>
      <c r="T146" s="469" t="n"/>
      <c r="U146" s="469" t="n"/>
      <c r="V146" s="469" t="n"/>
      <c r="W146" s="469" t="n"/>
      <c r="X146" s="469" t="n"/>
      <c r="Y146" s="469" t="n"/>
      <c r="Z146" s="469" t="n"/>
      <c r="AA146" s="469" t="n"/>
    </row>
    <row r="147">
      <c r="A147" s="468" t="n"/>
      <c r="B147" s="469" t="n"/>
      <c r="C147" s="469" t="n"/>
      <c r="D147" s="469" t="n"/>
      <c r="E147" s="469" t="n"/>
      <c r="F147" s="469" t="n"/>
      <c r="G147" s="469" t="n"/>
      <c r="H147" s="469" t="n"/>
      <c r="I147" s="469" t="n"/>
      <c r="J147" s="469" t="n"/>
      <c r="K147" s="469" t="n"/>
      <c r="L147" s="469" t="n"/>
      <c r="M147" s="469" t="n"/>
      <c r="N147" s="469" t="n"/>
      <c r="O147" s="469" t="n"/>
      <c r="P147" s="471" t="n"/>
      <c r="Q147" s="469" t="n"/>
      <c r="R147" s="469" t="n"/>
      <c r="S147" s="469" t="n"/>
      <c r="T147" s="469" t="n"/>
      <c r="U147" s="469" t="n"/>
      <c r="V147" s="469" t="n"/>
      <c r="W147" s="469" t="n"/>
      <c r="X147" s="469" t="n"/>
      <c r="Y147" s="469" t="n"/>
      <c r="Z147" s="469" t="n"/>
      <c r="AA147" s="469" t="n"/>
    </row>
    <row r="148">
      <c r="A148" s="468" t="n"/>
      <c r="B148" s="469" t="n"/>
      <c r="C148" s="469" t="n"/>
      <c r="D148" s="469" t="n"/>
      <c r="E148" s="469" t="n"/>
      <c r="F148" s="469" t="n"/>
      <c r="G148" s="469" t="n"/>
      <c r="H148" s="469" t="n"/>
      <c r="I148" s="469" t="n"/>
      <c r="J148" s="469" t="n"/>
      <c r="K148" s="469" t="n"/>
      <c r="L148" s="469" t="n"/>
      <c r="M148" s="469" t="n"/>
      <c r="N148" s="469" t="n"/>
      <c r="O148" s="469" t="n"/>
      <c r="P148" s="471" t="n"/>
      <c r="Q148" s="469" t="n"/>
      <c r="R148" s="469" t="n"/>
      <c r="S148" s="469" t="n"/>
      <c r="T148" s="469" t="n"/>
      <c r="U148" s="469" t="n"/>
      <c r="V148" s="469" t="n"/>
      <c r="W148" s="469" t="n"/>
      <c r="X148" s="469" t="n"/>
      <c r="Y148" s="469" t="n"/>
      <c r="Z148" s="469" t="n"/>
      <c r="AA148" s="469" t="n"/>
    </row>
    <row r="149">
      <c r="A149" s="468" t="n"/>
      <c r="B149" s="469" t="n"/>
      <c r="C149" s="469" t="n"/>
      <c r="D149" s="469" t="n"/>
      <c r="E149" s="469" t="n"/>
      <c r="F149" s="469" t="n"/>
      <c r="G149" s="469" t="n"/>
      <c r="H149" s="469" t="n"/>
      <c r="I149" s="469" t="n"/>
      <c r="J149" s="469" t="n"/>
      <c r="K149" s="469" t="n"/>
      <c r="L149" s="469" t="n"/>
      <c r="M149" s="469" t="n"/>
      <c r="N149" s="469" t="n"/>
      <c r="O149" s="469" t="n"/>
      <c r="P149" s="471" t="n"/>
      <c r="Q149" s="469" t="n"/>
      <c r="R149" s="469" t="n"/>
      <c r="S149" s="469" t="n"/>
      <c r="T149" s="469" t="n"/>
      <c r="U149" s="469" t="n"/>
      <c r="V149" s="469" t="n"/>
      <c r="W149" s="469" t="n"/>
      <c r="X149" s="469" t="n"/>
      <c r="Y149" s="469" t="n"/>
      <c r="Z149" s="469" t="n"/>
      <c r="AA149" s="469" t="n"/>
    </row>
    <row r="150">
      <c r="A150" s="468" t="n"/>
      <c r="B150" s="469" t="n"/>
      <c r="C150" s="469" t="n"/>
      <c r="D150" s="469" t="n"/>
      <c r="E150" s="469" t="n"/>
      <c r="F150" s="469" t="n"/>
      <c r="G150" s="469" t="n"/>
      <c r="H150" s="469" t="n"/>
      <c r="I150" s="469" t="n"/>
      <c r="J150" s="469" t="n"/>
      <c r="K150" s="469" t="n"/>
      <c r="L150" s="469" t="n"/>
      <c r="M150" s="469" t="n"/>
      <c r="N150" s="469" t="n"/>
      <c r="O150" s="469" t="n"/>
      <c r="P150" s="471" t="n"/>
      <c r="Q150" s="469" t="n"/>
      <c r="R150" s="469" t="n"/>
      <c r="S150" s="469" t="n"/>
      <c r="T150" s="469" t="n"/>
      <c r="U150" s="469" t="n"/>
      <c r="V150" s="469" t="n"/>
      <c r="W150" s="469" t="n"/>
      <c r="X150" s="469" t="n"/>
      <c r="Y150" s="469" t="n"/>
      <c r="Z150" s="469" t="n"/>
      <c r="AA150" s="469" t="n"/>
    </row>
    <row r="151">
      <c r="A151" s="468" t="n"/>
      <c r="B151" s="469" t="n"/>
      <c r="C151" s="469" t="n"/>
      <c r="D151" s="469" t="n"/>
      <c r="E151" s="469" t="n"/>
      <c r="F151" s="469" t="n"/>
      <c r="G151" s="469" t="n"/>
      <c r="H151" s="469" t="n"/>
      <c r="I151" s="469" t="n"/>
      <c r="J151" s="469" t="n"/>
      <c r="K151" s="469" t="n"/>
      <c r="L151" s="469" t="n"/>
      <c r="M151" s="469" t="n"/>
      <c r="N151" s="469" t="n"/>
      <c r="O151" s="469" t="n"/>
      <c r="P151" s="471" t="n"/>
      <c r="Q151" s="469" t="n"/>
      <c r="R151" s="469" t="n"/>
      <c r="S151" s="469" t="n"/>
      <c r="T151" s="469" t="n"/>
      <c r="U151" s="469" t="n"/>
      <c r="V151" s="469" t="n"/>
      <c r="W151" s="469" t="n"/>
      <c r="X151" s="469" t="n"/>
      <c r="Y151" s="469" t="n"/>
      <c r="Z151" s="469" t="n"/>
      <c r="AA151" s="469" t="n"/>
    </row>
    <row r="152">
      <c r="A152" s="468" t="n"/>
      <c r="B152" s="469" t="n"/>
      <c r="C152" s="469" t="n"/>
      <c r="D152" s="469" t="n"/>
      <c r="E152" s="469" t="n"/>
      <c r="F152" s="469" t="n"/>
      <c r="G152" s="469" t="n"/>
      <c r="H152" s="469" t="n"/>
      <c r="I152" s="469" t="n"/>
      <c r="J152" s="469" t="n"/>
      <c r="K152" s="469" t="n"/>
      <c r="L152" s="469" t="n"/>
      <c r="M152" s="469" t="n"/>
      <c r="N152" s="469" t="n"/>
      <c r="O152" s="469" t="n"/>
      <c r="P152" s="471" t="n"/>
      <c r="Q152" s="469" t="n"/>
      <c r="R152" s="469" t="n"/>
      <c r="S152" s="469" t="n"/>
      <c r="T152" s="469" t="n"/>
      <c r="U152" s="469" t="n"/>
      <c r="V152" s="469" t="n"/>
      <c r="W152" s="469" t="n"/>
      <c r="X152" s="469" t="n"/>
      <c r="Y152" s="469" t="n"/>
      <c r="Z152" s="469" t="n"/>
      <c r="AA152" s="469" t="n"/>
    </row>
    <row r="153">
      <c r="A153" s="468" t="n"/>
      <c r="B153" s="469" t="n"/>
      <c r="C153" s="469" t="n"/>
      <c r="D153" s="469" t="n"/>
      <c r="E153" s="469" t="n"/>
      <c r="F153" s="469" t="n"/>
      <c r="G153" s="469" t="n"/>
      <c r="H153" s="469" t="n"/>
      <c r="I153" s="469" t="n"/>
      <c r="J153" s="469" t="n"/>
      <c r="K153" s="469" t="n"/>
      <c r="L153" s="469" t="n"/>
      <c r="M153" s="469" t="n"/>
      <c r="N153" s="469" t="n"/>
      <c r="O153" s="469" t="n"/>
      <c r="P153" s="471" t="n"/>
      <c r="Q153" s="469" t="n"/>
      <c r="R153" s="469" t="n"/>
      <c r="S153" s="469" t="n"/>
      <c r="T153" s="469" t="n"/>
      <c r="U153" s="469" t="n"/>
      <c r="V153" s="469" t="n"/>
      <c r="W153" s="469" t="n"/>
      <c r="X153" s="469" t="n"/>
      <c r="Y153" s="469" t="n"/>
      <c r="Z153" s="469" t="n"/>
      <c r="AA153" s="469" t="n"/>
    </row>
    <row r="154">
      <c r="A154" s="468" t="n"/>
      <c r="B154" s="469" t="n"/>
      <c r="C154" s="469" t="n"/>
      <c r="D154" s="469" t="n"/>
      <c r="E154" s="469" t="n"/>
      <c r="F154" s="469" t="n"/>
      <c r="G154" s="469" t="n"/>
      <c r="H154" s="469" t="n"/>
      <c r="I154" s="469" t="n"/>
      <c r="J154" s="469" t="n"/>
      <c r="K154" s="469" t="n"/>
      <c r="L154" s="469" t="n"/>
      <c r="M154" s="469" t="n"/>
      <c r="N154" s="469" t="n"/>
      <c r="O154" s="469" t="n"/>
      <c r="P154" s="471" t="n"/>
      <c r="Q154" s="469" t="n"/>
      <c r="R154" s="469" t="n"/>
      <c r="S154" s="469" t="n"/>
      <c r="T154" s="469" t="n"/>
      <c r="U154" s="469" t="n"/>
      <c r="V154" s="469" t="n"/>
      <c r="W154" s="469" t="n"/>
      <c r="X154" s="469" t="n"/>
      <c r="Y154" s="469" t="n"/>
      <c r="Z154" s="469" t="n"/>
      <c r="AA154" s="469" t="n"/>
    </row>
    <row r="155">
      <c r="A155" s="468" t="n"/>
      <c r="B155" s="469" t="n"/>
      <c r="C155" s="469" t="n"/>
      <c r="D155" s="469" t="n"/>
      <c r="E155" s="469" t="n"/>
      <c r="F155" s="469" t="n"/>
      <c r="G155" s="469" t="n"/>
      <c r="H155" s="469" t="n"/>
      <c r="I155" s="469" t="n"/>
      <c r="J155" s="469" t="n"/>
      <c r="K155" s="469" t="n"/>
      <c r="L155" s="469" t="n"/>
      <c r="M155" s="469" t="n"/>
      <c r="N155" s="469" t="n"/>
      <c r="O155" s="469" t="n"/>
      <c r="P155" s="471" t="n"/>
      <c r="Q155" s="469" t="n"/>
      <c r="R155" s="469" t="n"/>
      <c r="S155" s="469" t="n"/>
      <c r="T155" s="469" t="n"/>
      <c r="U155" s="469" t="n"/>
      <c r="V155" s="469" t="n"/>
      <c r="W155" s="469" t="n"/>
      <c r="X155" s="469" t="n"/>
      <c r="Y155" s="469" t="n"/>
      <c r="Z155" s="469" t="n"/>
      <c r="AA155" s="469" t="n"/>
    </row>
    <row r="156">
      <c r="A156" s="468" t="n"/>
      <c r="B156" s="469" t="n"/>
      <c r="C156" s="469" t="n"/>
      <c r="D156" s="469" t="n"/>
      <c r="E156" s="469" t="n"/>
      <c r="F156" s="469" t="n"/>
      <c r="G156" s="469" t="n"/>
      <c r="H156" s="469" t="n"/>
      <c r="I156" s="469" t="n"/>
      <c r="J156" s="469" t="n"/>
      <c r="K156" s="469" t="n"/>
      <c r="L156" s="469" t="n"/>
      <c r="M156" s="469" t="n"/>
      <c r="N156" s="469" t="n"/>
      <c r="O156" s="469" t="n"/>
      <c r="P156" s="471" t="n"/>
      <c r="Q156" s="469" t="n"/>
      <c r="R156" s="469" t="n"/>
      <c r="S156" s="469" t="n"/>
      <c r="T156" s="469" t="n"/>
      <c r="U156" s="469" t="n"/>
      <c r="V156" s="469" t="n"/>
      <c r="W156" s="469" t="n"/>
      <c r="X156" s="469" t="n"/>
      <c r="Y156" s="469" t="n"/>
      <c r="Z156" s="469" t="n"/>
      <c r="AA156" s="469" t="n"/>
    </row>
    <row r="157">
      <c r="A157" s="468" t="n"/>
      <c r="B157" s="469" t="n"/>
      <c r="C157" s="469" t="n"/>
      <c r="D157" s="469" t="n"/>
      <c r="E157" s="469" t="n"/>
      <c r="F157" s="469" t="n"/>
      <c r="G157" s="469" t="n"/>
      <c r="H157" s="469" t="n"/>
      <c r="I157" s="469" t="n"/>
      <c r="J157" s="469" t="n"/>
      <c r="K157" s="469" t="n"/>
      <c r="L157" s="469" t="n"/>
      <c r="M157" s="469" t="n"/>
      <c r="N157" s="469" t="n"/>
      <c r="O157" s="469" t="n"/>
      <c r="P157" s="471" t="n"/>
      <c r="Q157" s="469" t="n"/>
      <c r="R157" s="469" t="n"/>
      <c r="S157" s="469" t="n"/>
      <c r="T157" s="469" t="n"/>
      <c r="U157" s="469" t="n"/>
      <c r="V157" s="469" t="n"/>
      <c r="W157" s="469" t="n"/>
      <c r="X157" s="469" t="n"/>
      <c r="Y157" s="469" t="n"/>
      <c r="Z157" s="469" t="n"/>
      <c r="AA157" s="469" t="n"/>
    </row>
    <row r="158">
      <c r="A158" s="468" t="n"/>
      <c r="B158" s="469" t="n"/>
      <c r="C158" s="469" t="n"/>
      <c r="D158" s="469" t="n"/>
      <c r="E158" s="469" t="n"/>
      <c r="F158" s="469" t="n"/>
      <c r="G158" s="469" t="n"/>
      <c r="H158" s="469" t="n"/>
      <c r="I158" s="469" t="n"/>
      <c r="J158" s="469" t="n"/>
      <c r="K158" s="469" t="n"/>
      <c r="L158" s="469" t="n"/>
      <c r="M158" s="469" t="n"/>
      <c r="N158" s="469" t="n"/>
      <c r="O158" s="469" t="n"/>
      <c r="P158" s="471" t="n"/>
      <c r="Q158" s="469" t="n"/>
      <c r="R158" s="469" t="n"/>
      <c r="S158" s="469" t="n"/>
      <c r="T158" s="469" t="n"/>
      <c r="U158" s="469" t="n"/>
      <c r="V158" s="469" t="n"/>
      <c r="W158" s="469" t="n"/>
      <c r="X158" s="469" t="n"/>
      <c r="Y158" s="469" t="n"/>
      <c r="Z158" s="469" t="n"/>
      <c r="AA158" s="469" t="n"/>
    </row>
    <row r="159">
      <c r="A159" s="468" t="n"/>
      <c r="B159" s="469" t="n"/>
      <c r="C159" s="469" t="n"/>
      <c r="D159" s="469" t="n"/>
      <c r="E159" s="469" t="n"/>
      <c r="F159" s="469" t="n"/>
      <c r="G159" s="469" t="n"/>
      <c r="H159" s="469" t="n"/>
      <c r="I159" s="469" t="n"/>
      <c r="J159" s="469" t="n"/>
      <c r="K159" s="469" t="n"/>
      <c r="L159" s="469" t="n"/>
      <c r="M159" s="469" t="n"/>
      <c r="N159" s="469" t="n"/>
      <c r="O159" s="469" t="n"/>
      <c r="P159" s="471" t="n"/>
      <c r="Q159" s="469" t="n"/>
      <c r="R159" s="469" t="n"/>
      <c r="S159" s="469" t="n"/>
      <c r="T159" s="469" t="n"/>
      <c r="U159" s="469" t="n"/>
      <c r="V159" s="469" t="n"/>
      <c r="W159" s="469" t="n"/>
      <c r="X159" s="469" t="n"/>
      <c r="Y159" s="469" t="n"/>
      <c r="Z159" s="469" t="n"/>
      <c r="AA159" s="469" t="n"/>
    </row>
    <row r="160">
      <c r="A160" s="468" t="n"/>
      <c r="B160" s="469" t="n"/>
      <c r="C160" s="469" t="n"/>
      <c r="D160" s="469" t="n"/>
      <c r="E160" s="469" t="n"/>
      <c r="F160" s="469" t="n"/>
      <c r="G160" s="469" t="n"/>
      <c r="H160" s="469" t="n"/>
      <c r="I160" s="469" t="n"/>
      <c r="J160" s="469" t="n"/>
      <c r="K160" s="469" t="n"/>
      <c r="L160" s="469" t="n"/>
      <c r="M160" s="469" t="n"/>
      <c r="N160" s="469" t="n"/>
      <c r="O160" s="469" t="n"/>
      <c r="P160" s="471" t="n"/>
      <c r="Q160" s="469" t="n"/>
      <c r="R160" s="469" t="n"/>
      <c r="S160" s="469" t="n"/>
      <c r="T160" s="469" t="n"/>
      <c r="U160" s="469" t="n"/>
      <c r="V160" s="469" t="n"/>
      <c r="W160" s="469" t="n"/>
      <c r="X160" s="469" t="n"/>
      <c r="Y160" s="469" t="n"/>
      <c r="Z160" s="469" t="n"/>
      <c r="AA160" s="469" t="n"/>
    </row>
    <row r="161">
      <c r="A161" s="468" t="n"/>
      <c r="B161" s="469" t="n"/>
      <c r="C161" s="469" t="n"/>
      <c r="D161" s="469" t="n"/>
      <c r="E161" s="469" t="n"/>
      <c r="F161" s="469" t="n"/>
      <c r="G161" s="469" t="n"/>
      <c r="H161" s="469" t="n"/>
      <c r="I161" s="469" t="n"/>
      <c r="J161" s="469" t="n"/>
      <c r="K161" s="469" t="n"/>
      <c r="L161" s="469" t="n"/>
      <c r="M161" s="469" t="n"/>
      <c r="N161" s="469" t="n"/>
      <c r="O161" s="469" t="n"/>
      <c r="P161" s="471" t="n"/>
      <c r="Q161" s="469" t="n"/>
      <c r="R161" s="469" t="n"/>
      <c r="S161" s="469" t="n"/>
      <c r="T161" s="469" t="n"/>
      <c r="U161" s="469" t="n"/>
      <c r="V161" s="469" t="n"/>
      <c r="W161" s="469" t="n"/>
      <c r="X161" s="469" t="n"/>
      <c r="Y161" s="469" t="n"/>
      <c r="Z161" s="469" t="n"/>
      <c r="AA161" s="469" t="n"/>
    </row>
    <row r="162">
      <c r="A162" s="468" t="n"/>
      <c r="B162" s="469" t="n"/>
      <c r="C162" s="469" t="n"/>
      <c r="D162" s="469" t="n"/>
      <c r="E162" s="469" t="n"/>
      <c r="F162" s="469" t="n"/>
      <c r="G162" s="469" t="n"/>
      <c r="H162" s="469" t="n"/>
      <c r="I162" s="469" t="n"/>
      <c r="J162" s="469" t="n"/>
      <c r="K162" s="469" t="n"/>
      <c r="L162" s="469" t="n"/>
      <c r="M162" s="469" t="n"/>
      <c r="N162" s="469" t="n"/>
      <c r="O162" s="469" t="n"/>
      <c r="P162" s="471" t="n"/>
      <c r="Q162" s="469" t="n"/>
      <c r="R162" s="469" t="n"/>
      <c r="S162" s="469" t="n"/>
      <c r="T162" s="469" t="n"/>
      <c r="U162" s="469" t="n"/>
      <c r="V162" s="469" t="n"/>
      <c r="W162" s="469" t="n"/>
      <c r="X162" s="469" t="n"/>
      <c r="Y162" s="469" t="n"/>
      <c r="Z162" s="469" t="n"/>
      <c r="AA162" s="469" t="n"/>
    </row>
    <row r="163">
      <c r="A163" s="468" t="n"/>
      <c r="B163" s="469" t="n"/>
      <c r="C163" s="469" t="n"/>
      <c r="D163" s="469" t="n"/>
      <c r="E163" s="469" t="n"/>
      <c r="F163" s="469" t="n"/>
      <c r="G163" s="469" t="n"/>
      <c r="H163" s="469" t="n"/>
      <c r="I163" s="469" t="n"/>
      <c r="J163" s="469" t="n"/>
      <c r="K163" s="469" t="n"/>
      <c r="L163" s="469" t="n"/>
      <c r="M163" s="469" t="n"/>
      <c r="N163" s="469" t="n"/>
      <c r="O163" s="469" t="n"/>
      <c r="P163" s="471" t="n"/>
      <c r="Q163" s="469" t="n"/>
      <c r="R163" s="469" t="n"/>
      <c r="S163" s="469" t="n"/>
      <c r="T163" s="469" t="n"/>
      <c r="U163" s="469" t="n"/>
      <c r="V163" s="469" t="n"/>
      <c r="W163" s="469" t="n"/>
      <c r="X163" s="469" t="n"/>
      <c r="Y163" s="469" t="n"/>
      <c r="Z163" s="469" t="n"/>
      <c r="AA163" s="469" t="n"/>
    </row>
    <row r="164">
      <c r="A164" s="468" t="n"/>
      <c r="B164" s="469" t="n"/>
      <c r="C164" s="469" t="n"/>
      <c r="D164" s="469" t="n"/>
      <c r="E164" s="469" t="n"/>
      <c r="F164" s="469" t="n"/>
      <c r="G164" s="469" t="n"/>
      <c r="H164" s="469" t="n"/>
      <c r="I164" s="469" t="n"/>
      <c r="J164" s="469" t="n"/>
      <c r="K164" s="469" t="n"/>
      <c r="L164" s="469" t="n"/>
      <c r="M164" s="469" t="n"/>
      <c r="N164" s="469" t="n"/>
      <c r="O164" s="469" t="n"/>
      <c r="P164" s="471" t="n"/>
      <c r="Q164" s="469" t="n"/>
      <c r="R164" s="469" t="n"/>
      <c r="S164" s="469" t="n"/>
      <c r="T164" s="469" t="n"/>
      <c r="U164" s="469" t="n"/>
      <c r="V164" s="469" t="n"/>
      <c r="W164" s="469" t="n"/>
      <c r="X164" s="469" t="n"/>
      <c r="Y164" s="469" t="n"/>
      <c r="Z164" s="469" t="n"/>
      <c r="AA164" s="469" t="n"/>
    </row>
    <row r="165">
      <c r="A165" s="468" t="n"/>
      <c r="B165" s="469" t="n"/>
      <c r="C165" s="469" t="n"/>
      <c r="D165" s="469" t="n"/>
      <c r="E165" s="469" t="n"/>
      <c r="F165" s="469" t="n"/>
      <c r="G165" s="469" t="n"/>
      <c r="H165" s="469" t="n"/>
      <c r="I165" s="469" t="n"/>
      <c r="J165" s="469" t="n"/>
      <c r="K165" s="469" t="n"/>
      <c r="L165" s="469" t="n"/>
      <c r="M165" s="469" t="n"/>
      <c r="N165" s="469" t="n"/>
      <c r="O165" s="469" t="n"/>
      <c r="P165" s="471" t="n"/>
      <c r="Q165" s="469" t="n"/>
      <c r="R165" s="469" t="n"/>
      <c r="S165" s="469" t="n"/>
      <c r="T165" s="469" t="n"/>
      <c r="U165" s="469" t="n"/>
      <c r="V165" s="469" t="n"/>
      <c r="W165" s="469" t="n"/>
      <c r="X165" s="469" t="n"/>
      <c r="Y165" s="469" t="n"/>
      <c r="Z165" s="469" t="n"/>
      <c r="AA165" s="469" t="n"/>
    </row>
    <row r="166">
      <c r="A166" s="468" t="n"/>
      <c r="B166" s="469" t="n"/>
      <c r="C166" s="469" t="n"/>
      <c r="D166" s="469" t="n"/>
      <c r="E166" s="469" t="n"/>
      <c r="F166" s="469" t="n"/>
      <c r="G166" s="469" t="n"/>
      <c r="H166" s="469" t="n"/>
      <c r="I166" s="469" t="n"/>
      <c r="J166" s="469" t="n"/>
      <c r="K166" s="469" t="n"/>
      <c r="L166" s="469" t="n"/>
      <c r="M166" s="469" t="n"/>
      <c r="N166" s="469" t="n"/>
      <c r="O166" s="469" t="n"/>
      <c r="P166" s="471" t="n"/>
      <c r="Q166" s="469" t="n"/>
      <c r="R166" s="469" t="n"/>
      <c r="S166" s="469" t="n"/>
      <c r="T166" s="469" t="n"/>
      <c r="U166" s="469" t="n"/>
      <c r="V166" s="469" t="n"/>
      <c r="W166" s="469" t="n"/>
      <c r="X166" s="469" t="n"/>
      <c r="Y166" s="469" t="n"/>
      <c r="Z166" s="469" t="n"/>
      <c r="AA166" s="469" t="n"/>
    </row>
    <row r="167">
      <c r="A167" s="468" t="n"/>
      <c r="B167" s="469" t="n"/>
      <c r="C167" s="469" t="n"/>
      <c r="D167" s="469" t="n"/>
      <c r="E167" s="469" t="n"/>
      <c r="F167" s="469" t="n"/>
      <c r="G167" s="469" t="n"/>
      <c r="H167" s="469" t="n"/>
      <c r="I167" s="469" t="n"/>
      <c r="J167" s="469" t="n"/>
      <c r="K167" s="469" t="n"/>
      <c r="L167" s="469" t="n"/>
      <c r="M167" s="469" t="n"/>
      <c r="N167" s="469" t="n"/>
      <c r="O167" s="469" t="n"/>
      <c r="P167" s="471" t="n"/>
      <c r="Q167" s="469" t="n"/>
      <c r="R167" s="469" t="n"/>
      <c r="S167" s="469" t="n"/>
      <c r="T167" s="469" t="n"/>
      <c r="U167" s="469" t="n"/>
      <c r="V167" s="469" t="n"/>
      <c r="W167" s="469" t="n"/>
      <c r="X167" s="469" t="n"/>
      <c r="Y167" s="469" t="n"/>
      <c r="Z167" s="469" t="n"/>
      <c r="AA167" s="469" t="n"/>
    </row>
    <row r="168">
      <c r="A168" s="468" t="n"/>
      <c r="B168" s="469" t="n"/>
      <c r="C168" s="469" t="n"/>
      <c r="D168" s="469" t="n"/>
      <c r="E168" s="469" t="n"/>
      <c r="F168" s="469" t="n"/>
      <c r="G168" s="469" t="n"/>
      <c r="H168" s="469" t="n"/>
      <c r="I168" s="469" t="n"/>
      <c r="J168" s="469" t="n"/>
      <c r="K168" s="469" t="n"/>
      <c r="L168" s="469" t="n"/>
      <c r="M168" s="469" t="n"/>
      <c r="N168" s="469" t="n"/>
      <c r="O168" s="469" t="n"/>
      <c r="P168" s="471" t="n"/>
      <c r="Q168" s="469" t="n"/>
      <c r="R168" s="469" t="n"/>
      <c r="S168" s="469" t="n"/>
      <c r="T168" s="469" t="n"/>
      <c r="U168" s="469" t="n"/>
      <c r="V168" s="469" t="n"/>
      <c r="W168" s="469" t="n"/>
      <c r="X168" s="469" t="n"/>
      <c r="Y168" s="469" t="n"/>
      <c r="Z168" s="469" t="n"/>
      <c r="AA168" s="469" t="n"/>
    </row>
    <row r="169">
      <c r="A169" s="468" t="n"/>
      <c r="B169" s="469" t="n"/>
      <c r="C169" s="469" t="n"/>
      <c r="D169" s="469" t="n"/>
      <c r="E169" s="469" t="n"/>
      <c r="F169" s="469" t="n"/>
      <c r="G169" s="469" t="n"/>
      <c r="H169" s="469" t="n"/>
      <c r="I169" s="469" t="n"/>
      <c r="J169" s="469" t="n"/>
      <c r="K169" s="469" t="n"/>
      <c r="L169" s="469" t="n"/>
      <c r="M169" s="469" t="n"/>
      <c r="N169" s="469" t="n"/>
      <c r="O169" s="469" t="n"/>
      <c r="P169" s="471" t="n"/>
      <c r="Q169" s="469" t="n"/>
      <c r="R169" s="469" t="n"/>
      <c r="S169" s="469" t="n"/>
      <c r="T169" s="469" t="n"/>
      <c r="U169" s="469" t="n"/>
      <c r="V169" s="469" t="n"/>
      <c r="W169" s="469" t="n"/>
      <c r="X169" s="469" t="n"/>
      <c r="Y169" s="469" t="n"/>
      <c r="Z169" s="469" t="n"/>
      <c r="AA169" s="469" t="n"/>
    </row>
    <row r="170">
      <c r="A170" s="468" t="n"/>
      <c r="B170" s="469" t="n"/>
      <c r="C170" s="469" t="n"/>
      <c r="D170" s="469" t="n"/>
      <c r="E170" s="469" t="n"/>
      <c r="F170" s="469" t="n"/>
      <c r="G170" s="469" t="n"/>
      <c r="H170" s="469" t="n"/>
      <c r="I170" s="469" t="n"/>
      <c r="J170" s="469" t="n"/>
      <c r="K170" s="469" t="n"/>
      <c r="L170" s="469" t="n"/>
      <c r="M170" s="469" t="n"/>
      <c r="N170" s="469" t="n"/>
      <c r="O170" s="469" t="n"/>
      <c r="P170" s="471" t="n"/>
      <c r="Q170" s="469" t="n"/>
      <c r="R170" s="469" t="n"/>
      <c r="S170" s="469" t="n"/>
      <c r="T170" s="469" t="n"/>
      <c r="U170" s="469" t="n"/>
      <c r="V170" s="469" t="n"/>
      <c r="W170" s="469" t="n"/>
      <c r="X170" s="469" t="n"/>
      <c r="Y170" s="469" t="n"/>
      <c r="Z170" s="469" t="n"/>
      <c r="AA170" s="469" t="n"/>
    </row>
    <row r="171">
      <c r="A171" s="468" t="n"/>
      <c r="B171" s="469" t="n"/>
      <c r="C171" s="469" t="n"/>
      <c r="D171" s="469" t="n"/>
      <c r="E171" s="469" t="n"/>
      <c r="F171" s="469" t="n"/>
      <c r="G171" s="469" t="n"/>
      <c r="H171" s="469" t="n"/>
      <c r="I171" s="469" t="n"/>
      <c r="J171" s="469" t="n"/>
      <c r="K171" s="469" t="n"/>
      <c r="L171" s="469" t="n"/>
      <c r="M171" s="469" t="n"/>
      <c r="N171" s="469" t="n"/>
      <c r="O171" s="469" t="n"/>
      <c r="P171" s="471" t="n"/>
      <c r="Q171" s="469" t="n"/>
      <c r="R171" s="469" t="n"/>
      <c r="S171" s="469" t="n"/>
      <c r="T171" s="469" t="n"/>
      <c r="U171" s="469" t="n"/>
      <c r="V171" s="469" t="n"/>
      <c r="W171" s="469" t="n"/>
      <c r="X171" s="469" t="n"/>
      <c r="Y171" s="469" t="n"/>
      <c r="Z171" s="469" t="n"/>
      <c r="AA171" s="469" t="n"/>
    </row>
    <row r="172">
      <c r="A172" s="468" t="n"/>
      <c r="B172" s="469" t="n"/>
      <c r="C172" s="469" t="n"/>
      <c r="D172" s="469" t="n"/>
      <c r="E172" s="469" t="n"/>
      <c r="F172" s="469" t="n"/>
      <c r="G172" s="469" t="n"/>
      <c r="H172" s="469" t="n"/>
      <c r="I172" s="469" t="n"/>
      <c r="J172" s="469" t="n"/>
      <c r="K172" s="469" t="n"/>
      <c r="L172" s="469" t="n"/>
      <c r="M172" s="469" t="n"/>
      <c r="N172" s="469" t="n"/>
      <c r="O172" s="469" t="n"/>
      <c r="P172" s="471" t="n"/>
      <c r="Q172" s="469" t="n"/>
      <c r="R172" s="469" t="n"/>
      <c r="S172" s="469" t="n"/>
      <c r="T172" s="469" t="n"/>
      <c r="U172" s="469" t="n"/>
      <c r="V172" s="469" t="n"/>
      <c r="W172" s="469" t="n"/>
      <c r="X172" s="469" t="n"/>
      <c r="Y172" s="469" t="n"/>
      <c r="Z172" s="469" t="n"/>
      <c r="AA172" s="469" t="n"/>
    </row>
    <row r="173">
      <c r="A173" s="468" t="n"/>
      <c r="B173" s="469" t="n"/>
      <c r="C173" s="469" t="n"/>
      <c r="D173" s="469" t="n"/>
      <c r="E173" s="469" t="n"/>
      <c r="F173" s="469" t="n"/>
      <c r="G173" s="469" t="n"/>
      <c r="H173" s="469" t="n"/>
      <c r="I173" s="469" t="n"/>
      <c r="J173" s="469" t="n"/>
      <c r="K173" s="469" t="n"/>
      <c r="L173" s="469" t="n"/>
      <c r="M173" s="469" t="n"/>
      <c r="N173" s="469" t="n"/>
      <c r="O173" s="469" t="n"/>
      <c r="P173" s="471" t="n"/>
      <c r="Q173" s="469" t="n"/>
      <c r="R173" s="469" t="n"/>
      <c r="S173" s="469" t="n"/>
      <c r="T173" s="469" t="n"/>
      <c r="U173" s="469" t="n"/>
      <c r="V173" s="469" t="n"/>
      <c r="W173" s="469" t="n"/>
      <c r="X173" s="469" t="n"/>
      <c r="Y173" s="469" t="n"/>
      <c r="Z173" s="469" t="n"/>
      <c r="AA173" s="469" t="n"/>
    </row>
    <row r="174">
      <c r="A174" s="468" t="n"/>
      <c r="B174" s="469" t="n"/>
      <c r="C174" s="469" t="n"/>
      <c r="D174" s="469" t="n"/>
      <c r="E174" s="469" t="n"/>
      <c r="F174" s="469" t="n"/>
      <c r="G174" s="469" t="n"/>
      <c r="H174" s="469" t="n"/>
      <c r="I174" s="469" t="n"/>
      <c r="J174" s="469" t="n"/>
      <c r="K174" s="469" t="n"/>
      <c r="L174" s="469" t="n"/>
      <c r="M174" s="469" t="n"/>
      <c r="N174" s="469" t="n"/>
      <c r="O174" s="469" t="n"/>
      <c r="P174" s="471" t="n"/>
      <c r="Q174" s="469" t="n"/>
      <c r="R174" s="469" t="n"/>
      <c r="S174" s="469" t="n"/>
      <c r="T174" s="469" t="n"/>
      <c r="U174" s="469" t="n"/>
      <c r="V174" s="469" t="n"/>
      <c r="W174" s="469" t="n"/>
      <c r="X174" s="469" t="n"/>
      <c r="Y174" s="469" t="n"/>
      <c r="Z174" s="469" t="n"/>
      <c r="AA174" s="469" t="n"/>
    </row>
    <row r="175">
      <c r="A175" s="468" t="n"/>
      <c r="B175" s="469" t="n"/>
      <c r="C175" s="469" t="n"/>
      <c r="D175" s="469" t="n"/>
      <c r="E175" s="469" t="n"/>
      <c r="F175" s="469" t="n"/>
      <c r="G175" s="469" t="n"/>
      <c r="H175" s="469" t="n"/>
      <c r="I175" s="469" t="n"/>
      <c r="J175" s="469" t="n"/>
      <c r="K175" s="469" t="n"/>
      <c r="L175" s="469" t="n"/>
      <c r="M175" s="469" t="n"/>
      <c r="N175" s="469" t="n"/>
      <c r="O175" s="469" t="n"/>
      <c r="P175" s="471" t="n"/>
      <c r="Q175" s="469" t="n"/>
      <c r="R175" s="469" t="n"/>
      <c r="S175" s="469" t="n"/>
      <c r="T175" s="469" t="n"/>
      <c r="U175" s="469" t="n"/>
      <c r="V175" s="469" t="n"/>
      <c r="W175" s="469" t="n"/>
      <c r="X175" s="469" t="n"/>
      <c r="Y175" s="469" t="n"/>
      <c r="Z175" s="469" t="n"/>
      <c r="AA175" s="469" t="n"/>
    </row>
    <row r="176">
      <c r="A176" s="468" t="n"/>
      <c r="B176" s="469" t="n"/>
      <c r="C176" s="469" t="n"/>
      <c r="D176" s="469" t="n"/>
      <c r="E176" s="469" t="n"/>
      <c r="F176" s="469" t="n"/>
      <c r="G176" s="469" t="n"/>
      <c r="H176" s="469" t="n"/>
      <c r="I176" s="469" t="n"/>
      <c r="J176" s="469" t="n"/>
      <c r="K176" s="469" t="n"/>
      <c r="L176" s="469" t="n"/>
      <c r="M176" s="469" t="n"/>
      <c r="N176" s="469" t="n"/>
      <c r="O176" s="469" t="n"/>
      <c r="P176" s="471" t="n"/>
      <c r="Q176" s="469" t="n"/>
      <c r="R176" s="469" t="n"/>
      <c r="S176" s="469" t="n"/>
      <c r="T176" s="469" t="n"/>
      <c r="U176" s="469" t="n"/>
      <c r="V176" s="469" t="n"/>
      <c r="W176" s="469" t="n"/>
      <c r="X176" s="469" t="n"/>
      <c r="Y176" s="469" t="n"/>
      <c r="Z176" s="469" t="n"/>
      <c r="AA176" s="469" t="n"/>
    </row>
    <row r="177">
      <c r="A177" s="468" t="n"/>
      <c r="B177" s="469" t="n"/>
      <c r="C177" s="469" t="n"/>
      <c r="D177" s="469" t="n"/>
      <c r="E177" s="469" t="n"/>
      <c r="F177" s="469" t="n"/>
      <c r="G177" s="469" t="n"/>
      <c r="H177" s="469" t="n"/>
      <c r="I177" s="469" t="n"/>
      <c r="J177" s="469" t="n"/>
      <c r="K177" s="469" t="n"/>
      <c r="L177" s="469" t="n"/>
      <c r="M177" s="469" t="n"/>
      <c r="N177" s="469" t="n"/>
      <c r="O177" s="469" t="n"/>
      <c r="P177" s="471" t="n"/>
      <c r="Q177" s="469" t="n"/>
      <c r="R177" s="469" t="n"/>
      <c r="S177" s="469" t="n"/>
      <c r="T177" s="469" t="n"/>
      <c r="U177" s="469" t="n"/>
      <c r="V177" s="469" t="n"/>
      <c r="W177" s="469" t="n"/>
      <c r="X177" s="469" t="n"/>
      <c r="Y177" s="469" t="n"/>
      <c r="Z177" s="469" t="n"/>
      <c r="AA177" s="469" t="n"/>
    </row>
    <row r="178">
      <c r="A178" s="468" t="n"/>
      <c r="B178" s="469" t="n"/>
      <c r="C178" s="469" t="n"/>
      <c r="D178" s="469" t="n"/>
      <c r="E178" s="469" t="n"/>
      <c r="F178" s="469" t="n"/>
      <c r="G178" s="469" t="n"/>
      <c r="H178" s="469" t="n"/>
      <c r="I178" s="469" t="n"/>
      <c r="J178" s="469" t="n"/>
      <c r="K178" s="469" t="n"/>
      <c r="L178" s="469" t="n"/>
      <c r="M178" s="469" t="n"/>
      <c r="N178" s="469" t="n"/>
      <c r="O178" s="469" t="n"/>
      <c r="P178" s="471" t="n"/>
      <c r="Q178" s="469" t="n"/>
      <c r="R178" s="469" t="n"/>
      <c r="S178" s="469" t="n"/>
      <c r="T178" s="469" t="n"/>
      <c r="U178" s="469" t="n"/>
      <c r="V178" s="469" t="n"/>
      <c r="W178" s="469" t="n"/>
      <c r="X178" s="469" t="n"/>
      <c r="Y178" s="469" t="n"/>
      <c r="Z178" s="469" t="n"/>
      <c r="AA178" s="469" t="n"/>
    </row>
    <row r="179">
      <c r="A179" s="468" t="n"/>
      <c r="B179" s="469" t="n"/>
      <c r="C179" s="469" t="n"/>
      <c r="D179" s="469" t="n"/>
      <c r="E179" s="469" t="n"/>
      <c r="F179" s="469" t="n"/>
      <c r="G179" s="469" t="n"/>
      <c r="H179" s="469" t="n"/>
      <c r="I179" s="469" t="n"/>
      <c r="J179" s="469" t="n"/>
      <c r="K179" s="469" t="n"/>
      <c r="L179" s="469" t="n"/>
      <c r="M179" s="469" t="n"/>
      <c r="N179" s="469" t="n"/>
      <c r="O179" s="469" t="n"/>
      <c r="P179" s="471" t="n"/>
      <c r="Q179" s="469" t="n"/>
      <c r="R179" s="469" t="n"/>
      <c r="S179" s="469" t="n"/>
      <c r="T179" s="469" t="n"/>
      <c r="U179" s="469" t="n"/>
      <c r="V179" s="469" t="n"/>
      <c r="W179" s="469" t="n"/>
      <c r="X179" s="469" t="n"/>
      <c r="Y179" s="469" t="n"/>
      <c r="Z179" s="469" t="n"/>
      <c r="AA179" s="469" t="n"/>
    </row>
    <row r="180">
      <c r="A180" s="468" t="n"/>
      <c r="B180" s="469" t="n"/>
      <c r="C180" s="469" t="n"/>
      <c r="D180" s="469" t="n"/>
      <c r="E180" s="469" t="n"/>
      <c r="F180" s="469" t="n"/>
      <c r="G180" s="469" t="n"/>
      <c r="H180" s="469" t="n"/>
      <c r="I180" s="469" t="n"/>
      <c r="J180" s="469" t="n"/>
      <c r="K180" s="469" t="n"/>
      <c r="L180" s="469" t="n"/>
      <c r="M180" s="469" t="n"/>
      <c r="N180" s="469" t="n"/>
      <c r="O180" s="469" t="n"/>
      <c r="P180" s="471" t="n"/>
      <c r="Q180" s="469" t="n"/>
      <c r="R180" s="469" t="n"/>
      <c r="S180" s="469" t="n"/>
      <c r="T180" s="469" t="n"/>
      <c r="U180" s="469" t="n"/>
      <c r="V180" s="469" t="n"/>
      <c r="W180" s="469" t="n"/>
      <c r="X180" s="469" t="n"/>
      <c r="Y180" s="469" t="n"/>
      <c r="Z180" s="469" t="n"/>
      <c r="AA180" s="469" t="n"/>
    </row>
    <row r="181">
      <c r="A181" s="468" t="n"/>
      <c r="B181" s="469" t="n"/>
      <c r="C181" s="469" t="n"/>
      <c r="D181" s="469" t="n"/>
      <c r="E181" s="469" t="n"/>
      <c r="F181" s="469" t="n"/>
      <c r="G181" s="469" t="n"/>
      <c r="H181" s="469" t="n"/>
      <c r="I181" s="469" t="n"/>
      <c r="J181" s="469" t="n"/>
      <c r="K181" s="469" t="n"/>
      <c r="L181" s="469" t="n"/>
      <c r="M181" s="469" t="n"/>
      <c r="N181" s="469" t="n"/>
      <c r="O181" s="469" t="n"/>
      <c r="P181" s="471" t="n"/>
      <c r="Q181" s="469" t="n"/>
      <c r="R181" s="469" t="n"/>
      <c r="S181" s="469" t="n"/>
      <c r="T181" s="469" t="n"/>
      <c r="U181" s="469" t="n"/>
      <c r="V181" s="469" t="n"/>
      <c r="W181" s="469" t="n"/>
      <c r="X181" s="469" t="n"/>
      <c r="Y181" s="469" t="n"/>
      <c r="Z181" s="469" t="n"/>
      <c r="AA181" s="469" t="n"/>
    </row>
    <row r="182">
      <c r="A182" s="468" t="n"/>
      <c r="B182" s="469" t="n"/>
      <c r="C182" s="469" t="n"/>
      <c r="D182" s="469" t="n"/>
      <c r="E182" s="469" t="n"/>
      <c r="F182" s="469" t="n"/>
      <c r="G182" s="469" t="n"/>
      <c r="H182" s="469" t="n"/>
      <c r="I182" s="469" t="n"/>
      <c r="J182" s="469" t="n"/>
      <c r="K182" s="469" t="n"/>
      <c r="L182" s="469" t="n"/>
      <c r="M182" s="469" t="n"/>
      <c r="N182" s="469" t="n"/>
      <c r="O182" s="469" t="n"/>
      <c r="P182" s="471" t="n"/>
      <c r="Q182" s="469" t="n"/>
      <c r="R182" s="469" t="n"/>
      <c r="S182" s="469" t="n"/>
      <c r="T182" s="469" t="n"/>
      <c r="U182" s="469" t="n"/>
      <c r="V182" s="469" t="n"/>
      <c r="W182" s="469" t="n"/>
      <c r="X182" s="469" t="n"/>
      <c r="Y182" s="469" t="n"/>
      <c r="Z182" s="469" t="n"/>
      <c r="AA182" s="469" t="n"/>
    </row>
    <row r="183">
      <c r="A183" s="468" t="n"/>
      <c r="B183" s="469" t="n"/>
      <c r="C183" s="469" t="n"/>
      <c r="D183" s="469" t="n"/>
      <c r="E183" s="469" t="n"/>
      <c r="F183" s="469" t="n"/>
      <c r="G183" s="469" t="n"/>
      <c r="H183" s="469" t="n"/>
      <c r="I183" s="469" t="n"/>
      <c r="J183" s="469" t="n"/>
      <c r="K183" s="469" t="n"/>
      <c r="L183" s="469" t="n"/>
      <c r="M183" s="469" t="n"/>
      <c r="N183" s="469" t="n"/>
      <c r="O183" s="469" t="n"/>
      <c r="P183" s="471" t="n"/>
      <c r="Q183" s="469" t="n"/>
      <c r="R183" s="469" t="n"/>
      <c r="S183" s="469" t="n"/>
      <c r="T183" s="469" t="n"/>
      <c r="U183" s="469" t="n"/>
      <c r="V183" s="469" t="n"/>
      <c r="W183" s="469" t="n"/>
      <c r="X183" s="469" t="n"/>
      <c r="Y183" s="469" t="n"/>
      <c r="Z183" s="469" t="n"/>
      <c r="AA183" s="469" t="n"/>
    </row>
    <row r="184">
      <c r="A184" s="468" t="n"/>
      <c r="B184" s="469" t="n"/>
      <c r="C184" s="469" t="n"/>
      <c r="D184" s="469" t="n"/>
      <c r="E184" s="469" t="n"/>
      <c r="F184" s="469" t="n"/>
      <c r="G184" s="469" t="n"/>
      <c r="H184" s="469" t="n"/>
      <c r="I184" s="469" t="n"/>
      <c r="J184" s="469" t="n"/>
      <c r="K184" s="469" t="n"/>
      <c r="L184" s="469" t="n"/>
      <c r="M184" s="469" t="n"/>
      <c r="N184" s="469" t="n"/>
      <c r="O184" s="469" t="n"/>
      <c r="P184" s="471" t="n"/>
      <c r="Q184" s="469" t="n"/>
      <c r="R184" s="469" t="n"/>
      <c r="S184" s="469" t="n"/>
      <c r="T184" s="469" t="n"/>
      <c r="U184" s="469" t="n"/>
      <c r="V184" s="469" t="n"/>
      <c r="W184" s="469" t="n"/>
      <c r="X184" s="469" t="n"/>
      <c r="Y184" s="469" t="n"/>
      <c r="Z184" s="469" t="n"/>
      <c r="AA184" s="469" t="n"/>
    </row>
    <row r="185">
      <c r="A185" s="468" t="n"/>
      <c r="B185" s="469" t="n"/>
      <c r="C185" s="469" t="n"/>
      <c r="D185" s="469" t="n"/>
      <c r="E185" s="469" t="n"/>
      <c r="F185" s="469" t="n"/>
      <c r="G185" s="469" t="n"/>
      <c r="H185" s="469" t="n"/>
      <c r="I185" s="469" t="n"/>
      <c r="J185" s="469" t="n"/>
      <c r="K185" s="469" t="n"/>
      <c r="L185" s="469" t="n"/>
      <c r="M185" s="469" t="n"/>
      <c r="N185" s="469" t="n"/>
      <c r="O185" s="469" t="n"/>
      <c r="P185" s="471" t="n"/>
      <c r="Q185" s="469" t="n"/>
      <c r="R185" s="469" t="n"/>
      <c r="S185" s="469" t="n"/>
      <c r="T185" s="469" t="n"/>
      <c r="U185" s="469" t="n"/>
      <c r="V185" s="469" t="n"/>
      <c r="W185" s="469" t="n"/>
      <c r="X185" s="469" t="n"/>
      <c r="Y185" s="469" t="n"/>
      <c r="Z185" s="469" t="n"/>
      <c r="AA185" s="469" t="n"/>
    </row>
    <row r="186">
      <c r="A186" s="468" t="n"/>
      <c r="B186" s="469" t="n"/>
      <c r="C186" s="469" t="n"/>
      <c r="D186" s="469" t="n"/>
      <c r="E186" s="469" t="n"/>
      <c r="F186" s="469" t="n"/>
      <c r="G186" s="469" t="n"/>
      <c r="H186" s="469" t="n"/>
      <c r="I186" s="469" t="n"/>
      <c r="J186" s="469" t="n"/>
      <c r="K186" s="469" t="n"/>
      <c r="L186" s="469" t="n"/>
      <c r="M186" s="469" t="n"/>
      <c r="N186" s="469" t="n"/>
      <c r="O186" s="469" t="n"/>
      <c r="P186" s="471" t="n"/>
      <c r="Q186" s="469" t="n"/>
      <c r="R186" s="469" t="n"/>
      <c r="S186" s="469" t="n"/>
      <c r="T186" s="469" t="n"/>
      <c r="U186" s="469" t="n"/>
      <c r="V186" s="469" t="n"/>
      <c r="W186" s="469" t="n"/>
      <c r="X186" s="469" t="n"/>
      <c r="Y186" s="469" t="n"/>
      <c r="Z186" s="469" t="n"/>
      <c r="AA186" s="469" t="n"/>
    </row>
    <row r="187">
      <c r="A187" s="468" t="n"/>
      <c r="B187" s="469" t="n"/>
      <c r="C187" s="469" t="n"/>
      <c r="D187" s="469" t="n"/>
      <c r="E187" s="469" t="n"/>
      <c r="F187" s="469" t="n"/>
      <c r="G187" s="469" t="n"/>
      <c r="H187" s="469" t="n"/>
      <c r="I187" s="469" t="n"/>
      <c r="J187" s="469" t="n"/>
      <c r="K187" s="469" t="n"/>
      <c r="L187" s="469" t="n"/>
      <c r="M187" s="469" t="n"/>
      <c r="N187" s="469" t="n"/>
      <c r="O187" s="469" t="n"/>
      <c r="P187" s="471" t="n"/>
      <c r="Q187" s="469" t="n"/>
      <c r="R187" s="469" t="n"/>
      <c r="S187" s="469" t="n"/>
      <c r="T187" s="469" t="n"/>
      <c r="U187" s="469" t="n"/>
      <c r="V187" s="469" t="n"/>
      <c r="W187" s="469" t="n"/>
      <c r="X187" s="469" t="n"/>
      <c r="Y187" s="469" t="n"/>
      <c r="Z187" s="469" t="n"/>
      <c r="AA187" s="469" t="n"/>
    </row>
    <row r="188">
      <c r="A188" s="468" t="n"/>
      <c r="B188" s="469" t="n"/>
      <c r="C188" s="469" t="n"/>
      <c r="D188" s="469" t="n"/>
      <c r="E188" s="469" t="n"/>
      <c r="F188" s="469" t="n"/>
      <c r="G188" s="469" t="n"/>
      <c r="H188" s="469" t="n"/>
      <c r="I188" s="469" t="n"/>
      <c r="J188" s="469" t="n"/>
      <c r="K188" s="469" t="n"/>
      <c r="L188" s="469" t="n"/>
      <c r="M188" s="469" t="n"/>
      <c r="N188" s="469" t="n"/>
      <c r="O188" s="469" t="n"/>
      <c r="P188" s="471" t="n"/>
      <c r="Q188" s="469" t="n"/>
      <c r="R188" s="469" t="n"/>
      <c r="S188" s="469" t="n"/>
      <c r="T188" s="469" t="n"/>
      <c r="U188" s="469" t="n"/>
      <c r="V188" s="469" t="n"/>
      <c r="W188" s="469" t="n"/>
      <c r="X188" s="469" t="n"/>
      <c r="Y188" s="469" t="n"/>
      <c r="Z188" s="469" t="n"/>
      <c r="AA188" s="469" t="n"/>
    </row>
    <row r="189">
      <c r="A189" s="468" t="n"/>
      <c r="B189" s="469" t="n"/>
      <c r="C189" s="469" t="n"/>
      <c r="D189" s="469" t="n"/>
      <c r="E189" s="469" t="n"/>
      <c r="F189" s="469" t="n"/>
      <c r="G189" s="469" t="n"/>
      <c r="H189" s="469" t="n"/>
      <c r="I189" s="469" t="n"/>
      <c r="J189" s="469" t="n"/>
      <c r="K189" s="469" t="n"/>
      <c r="L189" s="469" t="n"/>
      <c r="M189" s="469" t="n"/>
      <c r="N189" s="469" t="n"/>
      <c r="O189" s="469" t="n"/>
      <c r="P189" s="471" t="n"/>
      <c r="Q189" s="469" t="n"/>
      <c r="R189" s="469" t="n"/>
      <c r="S189" s="469" t="n"/>
      <c r="T189" s="469" t="n"/>
      <c r="U189" s="469" t="n"/>
      <c r="V189" s="469" t="n"/>
      <c r="W189" s="469" t="n"/>
      <c r="X189" s="469" t="n"/>
      <c r="Y189" s="469" t="n"/>
      <c r="Z189" s="469" t="n"/>
      <c r="AA189" s="469" t="n"/>
    </row>
    <row r="190">
      <c r="A190" s="468" t="n"/>
      <c r="B190" s="469" t="n"/>
      <c r="C190" s="469" t="n"/>
      <c r="D190" s="469" t="n"/>
      <c r="E190" s="469" t="n"/>
      <c r="F190" s="469" t="n"/>
      <c r="G190" s="469" t="n"/>
      <c r="H190" s="469" t="n"/>
      <c r="I190" s="469" t="n"/>
      <c r="J190" s="469" t="n"/>
      <c r="K190" s="469" t="n"/>
      <c r="L190" s="469" t="n"/>
      <c r="M190" s="469" t="n"/>
      <c r="N190" s="469" t="n"/>
      <c r="O190" s="469" t="n"/>
      <c r="P190" s="471" t="n"/>
      <c r="Q190" s="469" t="n"/>
      <c r="R190" s="469" t="n"/>
      <c r="S190" s="469" t="n"/>
      <c r="T190" s="469" t="n"/>
      <c r="U190" s="469" t="n"/>
      <c r="V190" s="469" t="n"/>
      <c r="W190" s="469" t="n"/>
      <c r="X190" s="469" t="n"/>
      <c r="Y190" s="469" t="n"/>
      <c r="Z190" s="469" t="n"/>
      <c r="AA190" s="469" t="n"/>
    </row>
    <row r="191">
      <c r="A191" s="468" t="n"/>
      <c r="B191" s="469" t="n"/>
      <c r="C191" s="469" t="n"/>
      <c r="D191" s="469" t="n"/>
      <c r="E191" s="469" t="n"/>
      <c r="F191" s="469" t="n"/>
      <c r="G191" s="469" t="n"/>
      <c r="H191" s="469" t="n"/>
      <c r="I191" s="469" t="n"/>
      <c r="J191" s="469" t="n"/>
      <c r="K191" s="469" t="n"/>
      <c r="L191" s="469" t="n"/>
      <c r="M191" s="469" t="n"/>
      <c r="N191" s="469" t="n"/>
      <c r="O191" s="469" t="n"/>
      <c r="P191" s="471" t="n"/>
      <c r="Q191" s="469" t="n"/>
      <c r="R191" s="469" t="n"/>
      <c r="S191" s="469" t="n"/>
      <c r="T191" s="469" t="n"/>
      <c r="U191" s="469" t="n"/>
      <c r="V191" s="469" t="n"/>
      <c r="W191" s="469" t="n"/>
      <c r="X191" s="469" t="n"/>
      <c r="Y191" s="469" t="n"/>
      <c r="Z191" s="469" t="n"/>
      <c r="AA191" s="469" t="n"/>
    </row>
    <row r="192">
      <c r="A192" s="468" t="n"/>
      <c r="B192" s="469" t="n"/>
      <c r="C192" s="469" t="n"/>
      <c r="D192" s="469" t="n"/>
      <c r="E192" s="469" t="n"/>
      <c r="F192" s="469" t="n"/>
      <c r="G192" s="469" t="n"/>
      <c r="H192" s="469" t="n"/>
      <c r="I192" s="469" t="n"/>
      <c r="J192" s="469" t="n"/>
      <c r="K192" s="469" t="n"/>
      <c r="L192" s="469" t="n"/>
      <c r="M192" s="469" t="n"/>
      <c r="N192" s="469" t="n"/>
      <c r="O192" s="469" t="n"/>
      <c r="P192" s="471" t="n"/>
      <c r="Q192" s="469" t="n"/>
      <c r="R192" s="469" t="n"/>
      <c r="S192" s="469" t="n"/>
      <c r="T192" s="469" t="n"/>
      <c r="U192" s="469" t="n"/>
      <c r="V192" s="469" t="n"/>
      <c r="W192" s="469" t="n"/>
      <c r="X192" s="469" t="n"/>
      <c r="Y192" s="469" t="n"/>
      <c r="Z192" s="469" t="n"/>
      <c r="AA192" s="469" t="n"/>
    </row>
    <row r="193">
      <c r="A193" s="468" t="n"/>
      <c r="B193" s="469" t="n"/>
      <c r="C193" s="469" t="n"/>
      <c r="D193" s="469" t="n"/>
      <c r="E193" s="469" t="n"/>
      <c r="F193" s="469" t="n"/>
      <c r="G193" s="469" t="n"/>
      <c r="H193" s="469" t="n"/>
      <c r="I193" s="469" t="n"/>
      <c r="J193" s="469" t="n"/>
      <c r="K193" s="469" t="n"/>
      <c r="L193" s="469" t="n"/>
      <c r="M193" s="469" t="n"/>
      <c r="N193" s="469" t="n"/>
      <c r="O193" s="469" t="n"/>
      <c r="P193" s="471" t="n"/>
      <c r="Q193" s="469" t="n"/>
      <c r="R193" s="469" t="n"/>
      <c r="S193" s="469" t="n"/>
      <c r="T193" s="469" t="n"/>
      <c r="U193" s="469" t="n"/>
      <c r="V193" s="469" t="n"/>
      <c r="W193" s="469" t="n"/>
      <c r="X193" s="469" t="n"/>
      <c r="Y193" s="469" t="n"/>
      <c r="Z193" s="469" t="n"/>
      <c r="AA193" s="469" t="n"/>
    </row>
    <row r="194">
      <c r="A194" s="468" t="n"/>
      <c r="B194" s="469" t="n"/>
      <c r="C194" s="469" t="n"/>
      <c r="D194" s="469" t="n"/>
      <c r="E194" s="469" t="n"/>
      <c r="F194" s="469" t="n"/>
      <c r="G194" s="469" t="n"/>
      <c r="H194" s="469" t="n"/>
      <c r="I194" s="469" t="n"/>
      <c r="J194" s="469" t="n"/>
      <c r="K194" s="469" t="n"/>
      <c r="L194" s="469" t="n"/>
      <c r="M194" s="469" t="n"/>
      <c r="N194" s="469" t="n"/>
      <c r="O194" s="469" t="n"/>
      <c r="P194" s="471" t="n"/>
      <c r="Q194" s="469" t="n"/>
      <c r="R194" s="469" t="n"/>
      <c r="S194" s="469" t="n"/>
      <c r="T194" s="469" t="n"/>
      <c r="U194" s="469" t="n"/>
      <c r="V194" s="469" t="n"/>
      <c r="W194" s="469" t="n"/>
      <c r="X194" s="469" t="n"/>
      <c r="Y194" s="469" t="n"/>
      <c r="Z194" s="469" t="n"/>
      <c r="AA194" s="469" t="n"/>
    </row>
    <row r="195">
      <c r="A195" s="468" t="n"/>
      <c r="B195" s="469" t="n"/>
      <c r="C195" s="469" t="n"/>
      <c r="D195" s="469" t="n"/>
      <c r="E195" s="469" t="n"/>
      <c r="F195" s="469" t="n"/>
      <c r="G195" s="469" t="n"/>
      <c r="H195" s="469" t="n"/>
      <c r="I195" s="469" t="n"/>
      <c r="J195" s="469" t="n"/>
      <c r="K195" s="469" t="n"/>
      <c r="L195" s="469" t="n"/>
      <c r="M195" s="469" t="n"/>
      <c r="N195" s="469" t="n"/>
      <c r="O195" s="469" t="n"/>
      <c r="P195" s="471" t="n"/>
      <c r="Q195" s="469" t="n"/>
      <c r="R195" s="469" t="n"/>
      <c r="S195" s="469" t="n"/>
      <c r="T195" s="469" t="n"/>
      <c r="U195" s="469" t="n"/>
      <c r="V195" s="469" t="n"/>
      <c r="W195" s="469" t="n"/>
      <c r="X195" s="469" t="n"/>
      <c r="Y195" s="469" t="n"/>
      <c r="Z195" s="469" t="n"/>
      <c r="AA195" s="469" t="n"/>
    </row>
    <row r="196">
      <c r="A196" s="468" t="n"/>
      <c r="B196" s="469" t="n"/>
      <c r="C196" s="469" t="n"/>
      <c r="D196" s="469" t="n"/>
      <c r="E196" s="469" t="n"/>
      <c r="F196" s="469" t="n"/>
      <c r="G196" s="469" t="n"/>
      <c r="H196" s="469" t="n"/>
      <c r="I196" s="469" t="n"/>
      <c r="J196" s="469" t="n"/>
      <c r="K196" s="469" t="n"/>
      <c r="L196" s="469" t="n"/>
      <c r="M196" s="469" t="n"/>
      <c r="N196" s="469" t="n"/>
      <c r="O196" s="469" t="n"/>
      <c r="P196" s="471" t="n"/>
      <c r="Q196" s="469" t="n"/>
      <c r="R196" s="469" t="n"/>
      <c r="S196" s="469" t="n"/>
      <c r="T196" s="469" t="n"/>
      <c r="U196" s="469" t="n"/>
      <c r="V196" s="469" t="n"/>
      <c r="W196" s="469" t="n"/>
      <c r="X196" s="469" t="n"/>
      <c r="Y196" s="469" t="n"/>
      <c r="Z196" s="469" t="n"/>
      <c r="AA196" s="469" t="n"/>
    </row>
    <row r="197">
      <c r="A197" s="468" t="n"/>
      <c r="B197" s="469" t="n"/>
      <c r="C197" s="469" t="n"/>
      <c r="D197" s="469" t="n"/>
      <c r="E197" s="469" t="n"/>
      <c r="F197" s="469" t="n"/>
      <c r="G197" s="469" t="n"/>
      <c r="H197" s="469" t="n"/>
      <c r="I197" s="469" t="n"/>
      <c r="J197" s="469" t="n"/>
      <c r="K197" s="469" t="n"/>
      <c r="L197" s="469" t="n"/>
      <c r="M197" s="469" t="n"/>
      <c r="N197" s="469" t="n"/>
      <c r="O197" s="469" t="n"/>
      <c r="P197" s="471" t="n"/>
      <c r="Q197" s="469" t="n"/>
      <c r="R197" s="469" t="n"/>
      <c r="S197" s="469" t="n"/>
      <c r="T197" s="469" t="n"/>
      <c r="U197" s="469" t="n"/>
      <c r="V197" s="469" t="n"/>
      <c r="W197" s="469" t="n"/>
      <c r="X197" s="469" t="n"/>
      <c r="Y197" s="469" t="n"/>
      <c r="Z197" s="469" t="n"/>
      <c r="AA197" s="469" t="n"/>
    </row>
    <row r="198">
      <c r="A198" s="468" t="n"/>
      <c r="B198" s="469" t="n"/>
      <c r="C198" s="469" t="n"/>
      <c r="D198" s="469" t="n"/>
      <c r="E198" s="469" t="n"/>
      <c r="F198" s="469" t="n"/>
      <c r="G198" s="469" t="n"/>
      <c r="H198" s="469" t="n"/>
      <c r="I198" s="469" t="n"/>
      <c r="J198" s="469" t="n"/>
      <c r="K198" s="469" t="n"/>
      <c r="L198" s="469" t="n"/>
      <c r="M198" s="469" t="n"/>
      <c r="N198" s="469" t="n"/>
      <c r="O198" s="469" t="n"/>
      <c r="P198" s="471" t="n"/>
      <c r="Q198" s="469" t="n"/>
      <c r="R198" s="469" t="n"/>
      <c r="S198" s="469" t="n"/>
      <c r="T198" s="469" t="n"/>
      <c r="U198" s="469" t="n"/>
      <c r="V198" s="469" t="n"/>
      <c r="W198" s="469" t="n"/>
      <c r="X198" s="469" t="n"/>
      <c r="Y198" s="469" t="n"/>
      <c r="Z198" s="469" t="n"/>
      <c r="AA198" s="469" t="n"/>
    </row>
    <row r="199">
      <c r="A199" s="468" t="n"/>
      <c r="B199" s="469" t="n"/>
      <c r="C199" s="469" t="n"/>
      <c r="D199" s="469" t="n"/>
      <c r="E199" s="469" t="n"/>
      <c r="F199" s="469" t="n"/>
      <c r="G199" s="469" t="n"/>
      <c r="H199" s="469" t="n"/>
      <c r="I199" s="469" t="n"/>
      <c r="J199" s="469" t="n"/>
      <c r="K199" s="469" t="n"/>
      <c r="L199" s="469" t="n"/>
      <c r="M199" s="469" t="n"/>
      <c r="N199" s="469" t="n"/>
      <c r="O199" s="469" t="n"/>
      <c r="P199" s="471" t="n"/>
      <c r="Q199" s="469" t="n"/>
      <c r="R199" s="469" t="n"/>
      <c r="S199" s="469" t="n"/>
      <c r="T199" s="469" t="n"/>
      <c r="U199" s="469" t="n"/>
      <c r="V199" s="469" t="n"/>
      <c r="W199" s="469" t="n"/>
      <c r="X199" s="469" t="n"/>
      <c r="Y199" s="469" t="n"/>
      <c r="Z199" s="469" t="n"/>
      <c r="AA199" s="469" t="n"/>
    </row>
    <row r="200">
      <c r="A200" s="468" t="n"/>
      <c r="B200" s="469" t="n"/>
      <c r="C200" s="469" t="n"/>
      <c r="D200" s="469" t="n"/>
      <c r="E200" s="469" t="n"/>
      <c r="F200" s="469" t="n"/>
      <c r="G200" s="469" t="n"/>
      <c r="H200" s="469" t="n"/>
      <c r="I200" s="469" t="n"/>
      <c r="J200" s="469" t="n"/>
      <c r="K200" s="469" t="n"/>
      <c r="L200" s="469" t="n"/>
      <c r="M200" s="469" t="n"/>
      <c r="N200" s="469" t="n"/>
      <c r="O200" s="469" t="n"/>
      <c r="P200" s="471" t="n"/>
      <c r="Q200" s="469" t="n"/>
      <c r="R200" s="469" t="n"/>
      <c r="S200" s="469" t="n"/>
      <c r="T200" s="469" t="n"/>
      <c r="U200" s="469" t="n"/>
      <c r="V200" s="469" t="n"/>
      <c r="W200" s="469" t="n"/>
      <c r="X200" s="469" t="n"/>
      <c r="Y200" s="469" t="n"/>
      <c r="Z200" s="469" t="n"/>
      <c r="AA200" s="469" t="n"/>
    </row>
    <row r="201">
      <c r="A201" s="468" t="n"/>
      <c r="B201" s="469" t="n"/>
      <c r="C201" s="469" t="n"/>
      <c r="D201" s="469" t="n"/>
      <c r="E201" s="469" t="n"/>
      <c r="F201" s="469" t="n"/>
      <c r="G201" s="469" t="n"/>
      <c r="H201" s="469" t="n"/>
      <c r="I201" s="469" t="n"/>
      <c r="J201" s="469" t="n"/>
      <c r="K201" s="469" t="n"/>
      <c r="L201" s="469" t="n"/>
      <c r="M201" s="469" t="n"/>
      <c r="N201" s="469" t="n"/>
      <c r="O201" s="469" t="n"/>
      <c r="P201" s="471" t="n"/>
      <c r="Q201" s="469" t="n"/>
      <c r="R201" s="469" t="n"/>
      <c r="S201" s="469" t="n"/>
      <c r="T201" s="469" t="n"/>
      <c r="U201" s="469" t="n"/>
      <c r="V201" s="469" t="n"/>
      <c r="W201" s="469" t="n"/>
      <c r="X201" s="469" t="n"/>
      <c r="Y201" s="469" t="n"/>
      <c r="Z201" s="469" t="n"/>
      <c r="AA201" s="469" t="n"/>
    </row>
    <row r="202">
      <c r="A202" s="468" t="n"/>
      <c r="B202" s="469" t="n"/>
      <c r="C202" s="469" t="n"/>
      <c r="D202" s="469" t="n"/>
      <c r="E202" s="469" t="n"/>
      <c r="F202" s="469" t="n"/>
      <c r="G202" s="469" t="n"/>
      <c r="H202" s="469" t="n"/>
      <c r="I202" s="469" t="n"/>
      <c r="J202" s="469" t="n"/>
      <c r="K202" s="469" t="n"/>
      <c r="L202" s="469" t="n"/>
      <c r="M202" s="469" t="n"/>
      <c r="N202" s="469" t="n"/>
      <c r="O202" s="469" t="n"/>
      <c r="P202" s="471" t="n"/>
      <c r="Q202" s="469" t="n"/>
      <c r="R202" s="469" t="n"/>
      <c r="S202" s="469" t="n"/>
      <c r="T202" s="469" t="n"/>
      <c r="U202" s="469" t="n"/>
      <c r="V202" s="469" t="n"/>
      <c r="W202" s="469" t="n"/>
      <c r="X202" s="469" t="n"/>
      <c r="Y202" s="469" t="n"/>
      <c r="Z202" s="469" t="n"/>
      <c r="AA202" s="469" t="n"/>
    </row>
    <row r="203">
      <c r="A203" s="468" t="n"/>
      <c r="B203" s="469" t="n"/>
      <c r="C203" s="469" t="n"/>
      <c r="D203" s="469" t="n"/>
      <c r="E203" s="469" t="n"/>
      <c r="F203" s="469" t="n"/>
      <c r="G203" s="469" t="n"/>
      <c r="H203" s="469" t="n"/>
      <c r="I203" s="469" t="n"/>
      <c r="J203" s="469" t="n"/>
      <c r="K203" s="469" t="n"/>
      <c r="L203" s="469" t="n"/>
      <c r="M203" s="469" t="n"/>
      <c r="N203" s="469" t="n"/>
      <c r="O203" s="469" t="n"/>
      <c r="P203" s="471" t="n"/>
      <c r="Q203" s="469" t="n"/>
      <c r="R203" s="469" t="n"/>
      <c r="S203" s="469" t="n"/>
      <c r="T203" s="469" t="n"/>
      <c r="U203" s="469" t="n"/>
      <c r="V203" s="469" t="n"/>
      <c r="W203" s="469" t="n"/>
      <c r="X203" s="469" t="n"/>
      <c r="Y203" s="469" t="n"/>
      <c r="Z203" s="469" t="n"/>
      <c r="AA203" s="469" t="n"/>
    </row>
    <row r="204">
      <c r="A204" s="468" t="n"/>
      <c r="B204" s="469" t="n"/>
      <c r="C204" s="469" t="n"/>
      <c r="D204" s="469" t="n"/>
      <c r="E204" s="469" t="n"/>
      <c r="F204" s="469" t="n"/>
      <c r="G204" s="469" t="n"/>
      <c r="H204" s="469" t="n"/>
      <c r="I204" s="469" t="n"/>
      <c r="J204" s="469" t="n"/>
      <c r="K204" s="469" t="n"/>
      <c r="L204" s="469" t="n"/>
      <c r="M204" s="469" t="n"/>
      <c r="N204" s="469" t="n"/>
      <c r="O204" s="469" t="n"/>
      <c r="P204" s="471" t="n"/>
      <c r="Q204" s="469" t="n"/>
      <c r="R204" s="469" t="n"/>
      <c r="S204" s="469" t="n"/>
      <c r="T204" s="469" t="n"/>
      <c r="U204" s="469" t="n"/>
      <c r="V204" s="469" t="n"/>
      <c r="W204" s="469" t="n"/>
      <c r="X204" s="469" t="n"/>
      <c r="Y204" s="469" t="n"/>
      <c r="Z204" s="469" t="n"/>
      <c r="AA204" s="469" t="n"/>
    </row>
    <row r="205">
      <c r="A205" s="468" t="n"/>
      <c r="B205" s="469" t="n"/>
      <c r="C205" s="469" t="n"/>
      <c r="D205" s="469" t="n"/>
      <c r="E205" s="469" t="n"/>
      <c r="F205" s="469" t="n"/>
      <c r="G205" s="469" t="n"/>
      <c r="H205" s="469" t="n"/>
      <c r="I205" s="469" t="n"/>
      <c r="J205" s="469" t="n"/>
      <c r="K205" s="469" t="n"/>
      <c r="L205" s="469" t="n"/>
      <c r="M205" s="469" t="n"/>
      <c r="N205" s="469" t="n"/>
      <c r="O205" s="469" t="n"/>
      <c r="P205" s="471" t="n"/>
      <c r="Q205" s="469" t="n"/>
      <c r="R205" s="469" t="n"/>
      <c r="S205" s="469" t="n"/>
      <c r="T205" s="469" t="n"/>
      <c r="U205" s="469" t="n"/>
      <c r="V205" s="469" t="n"/>
      <c r="W205" s="469" t="n"/>
      <c r="X205" s="469" t="n"/>
      <c r="Y205" s="469" t="n"/>
      <c r="Z205" s="469" t="n"/>
      <c r="AA205" s="469" t="n"/>
    </row>
    <row r="206">
      <c r="A206" s="468" t="n"/>
      <c r="B206" s="469" t="n"/>
      <c r="C206" s="469" t="n"/>
      <c r="D206" s="469" t="n"/>
      <c r="E206" s="469" t="n"/>
      <c r="F206" s="469" t="n"/>
      <c r="G206" s="469" t="n"/>
      <c r="H206" s="469" t="n"/>
      <c r="I206" s="469" t="n"/>
      <c r="J206" s="469" t="n"/>
      <c r="K206" s="469" t="n"/>
      <c r="L206" s="469" t="n"/>
      <c r="M206" s="469" t="n"/>
      <c r="N206" s="469" t="n"/>
      <c r="O206" s="469" t="n"/>
      <c r="P206" s="471" t="n"/>
      <c r="Q206" s="469" t="n"/>
      <c r="R206" s="469" t="n"/>
      <c r="S206" s="469" t="n"/>
      <c r="T206" s="469" t="n"/>
      <c r="U206" s="469" t="n"/>
      <c r="V206" s="469" t="n"/>
      <c r="W206" s="469" t="n"/>
      <c r="X206" s="469" t="n"/>
      <c r="Y206" s="469" t="n"/>
      <c r="Z206" s="469" t="n"/>
      <c r="AA206" s="469" t="n"/>
    </row>
    <row r="207">
      <c r="A207" s="468" t="n"/>
      <c r="B207" s="469" t="n"/>
      <c r="C207" s="469" t="n"/>
      <c r="D207" s="469" t="n"/>
      <c r="E207" s="469" t="n"/>
      <c r="F207" s="469" t="n"/>
      <c r="G207" s="469" t="n"/>
      <c r="H207" s="469" t="n"/>
      <c r="I207" s="469" t="n"/>
      <c r="J207" s="469" t="n"/>
      <c r="K207" s="469" t="n"/>
      <c r="L207" s="469" t="n"/>
      <c r="M207" s="469" t="n"/>
      <c r="N207" s="469" t="n"/>
      <c r="O207" s="469" t="n"/>
      <c r="P207" s="471" t="n"/>
      <c r="Q207" s="469" t="n"/>
      <c r="R207" s="469" t="n"/>
      <c r="S207" s="469" t="n"/>
      <c r="T207" s="469" t="n"/>
      <c r="U207" s="469" t="n"/>
      <c r="V207" s="469" t="n"/>
      <c r="W207" s="469" t="n"/>
      <c r="X207" s="469" t="n"/>
      <c r="Y207" s="469" t="n"/>
      <c r="Z207" s="469" t="n"/>
      <c r="AA207" s="469" t="n"/>
    </row>
    <row r="208">
      <c r="A208" s="468" t="n"/>
      <c r="B208" s="469" t="n"/>
      <c r="C208" s="469" t="n"/>
      <c r="D208" s="469" t="n"/>
      <c r="E208" s="469" t="n"/>
      <c r="F208" s="469" t="n"/>
      <c r="G208" s="469" t="n"/>
      <c r="H208" s="469" t="n"/>
      <c r="I208" s="469" t="n"/>
      <c r="J208" s="469" t="n"/>
      <c r="K208" s="469" t="n"/>
      <c r="L208" s="469" t="n"/>
      <c r="M208" s="469" t="n"/>
      <c r="N208" s="469" t="n"/>
      <c r="O208" s="469" t="n"/>
      <c r="P208" s="471" t="n"/>
      <c r="Q208" s="469" t="n"/>
      <c r="R208" s="469" t="n"/>
      <c r="S208" s="469" t="n"/>
      <c r="T208" s="469" t="n"/>
      <c r="U208" s="469" t="n"/>
      <c r="V208" s="469" t="n"/>
      <c r="W208" s="469" t="n"/>
      <c r="X208" s="469" t="n"/>
      <c r="Y208" s="469" t="n"/>
      <c r="Z208" s="469" t="n"/>
      <c r="AA208" s="469" t="n"/>
    </row>
    <row r="209">
      <c r="A209" s="468" t="n"/>
      <c r="B209" s="469" t="n"/>
      <c r="C209" s="469" t="n"/>
      <c r="D209" s="469" t="n"/>
      <c r="E209" s="469" t="n"/>
      <c r="F209" s="469" t="n"/>
      <c r="G209" s="469" t="n"/>
      <c r="H209" s="469" t="n"/>
      <c r="I209" s="469" t="n"/>
      <c r="J209" s="469" t="n"/>
      <c r="K209" s="469" t="n"/>
      <c r="L209" s="469" t="n"/>
      <c r="M209" s="469" t="n"/>
      <c r="N209" s="469" t="n"/>
      <c r="O209" s="469" t="n"/>
      <c r="P209" s="471" t="n"/>
      <c r="Q209" s="469" t="n"/>
      <c r="R209" s="469" t="n"/>
      <c r="S209" s="469" t="n"/>
      <c r="T209" s="469" t="n"/>
      <c r="U209" s="469" t="n"/>
      <c r="V209" s="469" t="n"/>
      <c r="W209" s="469" t="n"/>
      <c r="X209" s="469" t="n"/>
      <c r="Y209" s="469" t="n"/>
      <c r="Z209" s="469" t="n"/>
      <c r="AA209" s="469" t="n"/>
    </row>
    <row r="210">
      <c r="A210" s="468" t="n"/>
      <c r="B210" s="469" t="n"/>
      <c r="C210" s="469" t="n"/>
      <c r="D210" s="469" t="n"/>
      <c r="E210" s="469" t="n"/>
      <c r="F210" s="469" t="n"/>
      <c r="G210" s="469" t="n"/>
      <c r="H210" s="469" t="n"/>
      <c r="I210" s="469" t="n"/>
      <c r="J210" s="469" t="n"/>
      <c r="K210" s="469" t="n"/>
      <c r="L210" s="469" t="n"/>
      <c r="M210" s="469" t="n"/>
      <c r="N210" s="469" t="n"/>
      <c r="O210" s="469" t="n"/>
      <c r="P210" s="471" t="n"/>
      <c r="Q210" s="469" t="n"/>
      <c r="R210" s="469" t="n"/>
      <c r="S210" s="469" t="n"/>
      <c r="T210" s="469" t="n"/>
      <c r="U210" s="469" t="n"/>
      <c r="V210" s="469" t="n"/>
      <c r="W210" s="469" t="n"/>
      <c r="X210" s="469" t="n"/>
      <c r="Y210" s="469" t="n"/>
      <c r="Z210" s="469" t="n"/>
      <c r="AA210" s="469" t="n"/>
    </row>
    <row r="211">
      <c r="A211" s="468" t="n"/>
      <c r="B211" s="469" t="n"/>
      <c r="C211" s="469" t="n"/>
      <c r="D211" s="469" t="n"/>
      <c r="E211" s="469" t="n"/>
      <c r="F211" s="469" t="n"/>
      <c r="G211" s="469" t="n"/>
      <c r="H211" s="469" t="n"/>
      <c r="I211" s="469" t="n"/>
      <c r="J211" s="469" t="n"/>
      <c r="K211" s="469" t="n"/>
      <c r="L211" s="469" t="n"/>
      <c r="M211" s="469" t="n"/>
      <c r="N211" s="469" t="n"/>
      <c r="O211" s="469" t="n"/>
      <c r="P211" s="471" t="n"/>
      <c r="Q211" s="469" t="n"/>
      <c r="R211" s="469" t="n"/>
      <c r="S211" s="469" t="n"/>
      <c r="T211" s="469" t="n"/>
      <c r="U211" s="469" t="n"/>
      <c r="V211" s="469" t="n"/>
      <c r="W211" s="469" t="n"/>
      <c r="X211" s="469" t="n"/>
      <c r="Y211" s="469" t="n"/>
      <c r="Z211" s="469" t="n"/>
      <c r="AA211" s="469" t="n"/>
    </row>
    <row r="212">
      <c r="A212" s="468" t="n"/>
      <c r="B212" s="469" t="n"/>
      <c r="C212" s="469" t="n"/>
      <c r="D212" s="469" t="n"/>
      <c r="E212" s="469" t="n"/>
      <c r="F212" s="469" t="n"/>
      <c r="G212" s="469" t="n"/>
      <c r="H212" s="469" t="n"/>
      <c r="I212" s="469" t="n"/>
      <c r="J212" s="469" t="n"/>
      <c r="K212" s="469" t="n"/>
      <c r="L212" s="469" t="n"/>
      <c r="M212" s="469" t="n"/>
      <c r="N212" s="469" t="n"/>
      <c r="O212" s="469" t="n"/>
      <c r="P212" s="471" t="n"/>
      <c r="Q212" s="469" t="n"/>
      <c r="R212" s="469" t="n"/>
      <c r="S212" s="469" t="n"/>
      <c r="T212" s="469" t="n"/>
      <c r="U212" s="469" t="n"/>
      <c r="V212" s="469" t="n"/>
      <c r="W212" s="469" t="n"/>
      <c r="X212" s="469" t="n"/>
      <c r="Y212" s="469" t="n"/>
      <c r="Z212" s="469" t="n"/>
      <c r="AA212" s="469" t="n"/>
    </row>
    <row r="213">
      <c r="A213" s="468" t="n"/>
      <c r="B213" s="469" t="n"/>
      <c r="C213" s="469" t="n"/>
      <c r="D213" s="469" t="n"/>
      <c r="E213" s="469" t="n"/>
      <c r="F213" s="469" t="n"/>
      <c r="G213" s="469" t="n"/>
      <c r="H213" s="469" t="n"/>
      <c r="I213" s="469" t="n"/>
      <c r="J213" s="469" t="n"/>
      <c r="K213" s="469" t="n"/>
      <c r="L213" s="469" t="n"/>
      <c r="M213" s="469" t="n"/>
      <c r="N213" s="469" t="n"/>
      <c r="O213" s="469" t="n"/>
      <c r="P213" s="471" t="n"/>
      <c r="Q213" s="469" t="n"/>
      <c r="R213" s="469" t="n"/>
      <c r="S213" s="469" t="n"/>
      <c r="T213" s="469" t="n"/>
      <c r="U213" s="469" t="n"/>
      <c r="V213" s="469" t="n"/>
      <c r="W213" s="469" t="n"/>
      <c r="X213" s="469" t="n"/>
      <c r="Y213" s="469" t="n"/>
      <c r="Z213" s="469" t="n"/>
      <c r="AA213" s="469" t="n"/>
    </row>
    <row r="214">
      <c r="A214" s="468" t="n"/>
      <c r="B214" s="469" t="n"/>
      <c r="C214" s="469" t="n"/>
      <c r="D214" s="469" t="n"/>
      <c r="E214" s="469" t="n"/>
      <c r="F214" s="469" t="n"/>
      <c r="G214" s="469" t="n"/>
      <c r="H214" s="469" t="n"/>
      <c r="I214" s="469" t="n"/>
      <c r="J214" s="469" t="n"/>
      <c r="K214" s="469" t="n"/>
      <c r="L214" s="469" t="n"/>
      <c r="M214" s="469" t="n"/>
      <c r="N214" s="469" t="n"/>
      <c r="O214" s="469" t="n"/>
      <c r="P214" s="471" t="n"/>
      <c r="Q214" s="469" t="n"/>
      <c r="R214" s="469" t="n"/>
      <c r="S214" s="469" t="n"/>
      <c r="T214" s="469" t="n"/>
      <c r="U214" s="469" t="n"/>
      <c r="V214" s="469" t="n"/>
      <c r="W214" s="469" t="n"/>
      <c r="X214" s="469" t="n"/>
      <c r="Y214" s="469" t="n"/>
      <c r="Z214" s="469" t="n"/>
      <c r="AA214" s="469" t="n"/>
    </row>
    <row r="215">
      <c r="A215" s="468" t="n"/>
      <c r="B215" s="469" t="n"/>
      <c r="C215" s="469" t="n"/>
      <c r="D215" s="469" t="n"/>
      <c r="E215" s="469" t="n"/>
      <c r="F215" s="469" t="n"/>
      <c r="G215" s="469" t="n"/>
      <c r="H215" s="469" t="n"/>
      <c r="I215" s="469" t="n"/>
      <c r="J215" s="469" t="n"/>
      <c r="K215" s="469" t="n"/>
      <c r="L215" s="469" t="n"/>
      <c r="M215" s="469" t="n"/>
      <c r="N215" s="469" t="n"/>
      <c r="O215" s="469" t="n"/>
      <c r="P215" s="471" t="n"/>
      <c r="Q215" s="469" t="n"/>
      <c r="R215" s="469" t="n"/>
      <c r="S215" s="469" t="n"/>
      <c r="T215" s="469" t="n"/>
      <c r="U215" s="469" t="n"/>
      <c r="V215" s="469" t="n"/>
      <c r="W215" s="469" t="n"/>
      <c r="X215" s="469" t="n"/>
      <c r="Y215" s="469" t="n"/>
      <c r="Z215" s="469" t="n"/>
      <c r="AA215" s="469" t="n"/>
    </row>
    <row r="216">
      <c r="A216" s="468" t="n"/>
      <c r="B216" s="469" t="n"/>
      <c r="C216" s="469" t="n"/>
      <c r="D216" s="469" t="n"/>
      <c r="E216" s="469" t="n"/>
      <c r="F216" s="469" t="n"/>
      <c r="G216" s="469" t="n"/>
      <c r="H216" s="469" t="n"/>
      <c r="I216" s="469" t="n"/>
      <c r="J216" s="469" t="n"/>
      <c r="K216" s="469" t="n"/>
      <c r="L216" s="469" t="n"/>
      <c r="M216" s="469" t="n"/>
      <c r="N216" s="469" t="n"/>
      <c r="O216" s="469" t="n"/>
      <c r="P216" s="471" t="n"/>
      <c r="Q216" s="469" t="n"/>
      <c r="R216" s="469" t="n"/>
      <c r="S216" s="469" t="n"/>
      <c r="T216" s="469" t="n"/>
      <c r="U216" s="469" t="n"/>
      <c r="V216" s="469" t="n"/>
      <c r="W216" s="469" t="n"/>
      <c r="X216" s="469" t="n"/>
      <c r="Y216" s="469" t="n"/>
      <c r="Z216" s="469" t="n"/>
      <c r="AA216" s="469" t="n"/>
    </row>
    <row r="217">
      <c r="A217" s="468" t="n"/>
      <c r="B217" s="469" t="n"/>
      <c r="C217" s="469" t="n"/>
      <c r="D217" s="469" t="n"/>
      <c r="E217" s="469" t="n"/>
      <c r="F217" s="469" t="n"/>
      <c r="G217" s="469" t="n"/>
      <c r="H217" s="469" t="n"/>
      <c r="I217" s="469" t="n"/>
      <c r="J217" s="469" t="n"/>
      <c r="K217" s="469" t="n"/>
      <c r="L217" s="469" t="n"/>
      <c r="M217" s="469" t="n"/>
      <c r="N217" s="469" t="n"/>
      <c r="O217" s="469" t="n"/>
      <c r="P217" s="471" t="n"/>
      <c r="Q217" s="469" t="n"/>
      <c r="R217" s="469" t="n"/>
      <c r="S217" s="469" t="n"/>
      <c r="T217" s="469" t="n"/>
      <c r="U217" s="469" t="n"/>
      <c r="V217" s="469" t="n"/>
      <c r="W217" s="469" t="n"/>
      <c r="X217" s="469" t="n"/>
      <c r="Y217" s="469" t="n"/>
      <c r="Z217" s="469" t="n"/>
      <c r="AA217" s="469" t="n"/>
    </row>
    <row r="218">
      <c r="A218" s="468" t="n"/>
      <c r="B218" s="469" t="n"/>
      <c r="C218" s="469" t="n"/>
      <c r="D218" s="469" t="n"/>
      <c r="E218" s="469" t="n"/>
      <c r="F218" s="469" t="n"/>
      <c r="G218" s="469" t="n"/>
      <c r="H218" s="469" t="n"/>
      <c r="I218" s="469" t="n"/>
      <c r="J218" s="469" t="n"/>
      <c r="K218" s="469" t="n"/>
      <c r="L218" s="469" t="n"/>
      <c r="M218" s="469" t="n"/>
      <c r="N218" s="469" t="n"/>
      <c r="O218" s="469" t="n"/>
      <c r="P218" s="471" t="n"/>
      <c r="Q218" s="469" t="n"/>
      <c r="R218" s="469" t="n"/>
      <c r="S218" s="469" t="n"/>
      <c r="T218" s="469" t="n"/>
      <c r="U218" s="469" t="n"/>
      <c r="V218" s="469" t="n"/>
      <c r="W218" s="469" t="n"/>
      <c r="X218" s="469" t="n"/>
      <c r="Y218" s="469" t="n"/>
      <c r="Z218" s="469" t="n"/>
      <c r="AA218" s="469" t="n"/>
    </row>
    <row r="219">
      <c r="A219" s="468" t="n"/>
      <c r="B219" s="469" t="n"/>
      <c r="C219" s="469" t="n"/>
      <c r="D219" s="469" t="n"/>
      <c r="E219" s="469" t="n"/>
      <c r="F219" s="469" t="n"/>
      <c r="G219" s="469" t="n"/>
      <c r="H219" s="469" t="n"/>
      <c r="I219" s="469" t="n"/>
      <c r="J219" s="469" t="n"/>
      <c r="K219" s="469" t="n"/>
      <c r="L219" s="469" t="n"/>
      <c r="M219" s="469" t="n"/>
      <c r="N219" s="469" t="n"/>
      <c r="O219" s="469" t="n"/>
      <c r="P219" s="471" t="n"/>
      <c r="Q219" s="469" t="n"/>
      <c r="R219" s="469" t="n"/>
      <c r="S219" s="469" t="n"/>
      <c r="T219" s="469" t="n"/>
      <c r="U219" s="469" t="n"/>
      <c r="V219" s="469" t="n"/>
      <c r="W219" s="469" t="n"/>
      <c r="X219" s="469" t="n"/>
      <c r="Y219" s="469" t="n"/>
      <c r="Z219" s="469" t="n"/>
      <c r="AA219" s="469" t="n"/>
    </row>
    <row r="220">
      <c r="A220" s="468" t="n"/>
      <c r="B220" s="469" t="n"/>
      <c r="C220" s="469" t="n"/>
      <c r="D220" s="469" t="n"/>
      <c r="E220" s="469" t="n"/>
      <c r="F220" s="469" t="n"/>
      <c r="G220" s="469" t="n"/>
      <c r="H220" s="469" t="n"/>
      <c r="I220" s="469" t="n"/>
      <c r="J220" s="469" t="n"/>
      <c r="K220" s="469" t="n"/>
      <c r="L220" s="469" t="n"/>
      <c r="M220" s="469" t="n"/>
      <c r="N220" s="469" t="n"/>
      <c r="O220" s="469" t="n"/>
      <c r="P220" s="471" t="n"/>
      <c r="Q220" s="469" t="n"/>
      <c r="R220" s="469" t="n"/>
      <c r="S220" s="469" t="n"/>
      <c r="T220" s="469" t="n"/>
      <c r="U220" s="469" t="n"/>
      <c r="V220" s="469" t="n"/>
      <c r="W220" s="469" t="n"/>
      <c r="X220" s="469" t="n"/>
      <c r="Y220" s="469" t="n"/>
      <c r="Z220" s="469" t="n"/>
      <c r="AA220" s="469" t="n"/>
    </row>
    <row r="221">
      <c r="A221" s="468" t="n"/>
      <c r="B221" s="469" t="n"/>
      <c r="C221" s="469" t="n"/>
      <c r="D221" s="469" t="n"/>
      <c r="E221" s="469" t="n"/>
      <c r="F221" s="469" t="n"/>
      <c r="G221" s="469" t="n"/>
      <c r="H221" s="469" t="n"/>
      <c r="I221" s="469" t="n"/>
      <c r="J221" s="469" t="n"/>
      <c r="K221" s="469" t="n"/>
      <c r="L221" s="469" t="n"/>
      <c r="M221" s="469" t="n"/>
      <c r="N221" s="469" t="n"/>
      <c r="O221" s="469" t="n"/>
      <c r="P221" s="471" t="n"/>
      <c r="Q221" s="469" t="n"/>
      <c r="R221" s="469" t="n"/>
      <c r="S221" s="469" t="n"/>
      <c r="T221" s="469" t="n"/>
      <c r="U221" s="469" t="n"/>
      <c r="V221" s="469" t="n"/>
      <c r="W221" s="469" t="n"/>
      <c r="X221" s="469" t="n"/>
      <c r="Y221" s="469" t="n"/>
      <c r="Z221" s="469" t="n"/>
      <c r="AA221" s="469" t="n"/>
    </row>
    <row r="222">
      <c r="A222" s="468" t="n"/>
      <c r="B222" s="469" t="n"/>
      <c r="C222" s="469" t="n"/>
      <c r="D222" s="469" t="n"/>
      <c r="E222" s="469" t="n"/>
      <c r="F222" s="469" t="n"/>
      <c r="G222" s="469" t="n"/>
      <c r="H222" s="469" t="n"/>
      <c r="I222" s="469" t="n"/>
      <c r="J222" s="469" t="n"/>
      <c r="K222" s="469" t="n"/>
      <c r="L222" s="469" t="n"/>
      <c r="M222" s="469" t="n"/>
      <c r="N222" s="469" t="n"/>
      <c r="O222" s="469" t="n"/>
      <c r="P222" s="471" t="n"/>
      <c r="Q222" s="469" t="n"/>
      <c r="R222" s="469" t="n"/>
      <c r="S222" s="469" t="n"/>
      <c r="T222" s="469" t="n"/>
      <c r="U222" s="469" t="n"/>
      <c r="V222" s="469" t="n"/>
      <c r="W222" s="469" t="n"/>
      <c r="X222" s="469" t="n"/>
      <c r="Y222" s="469" t="n"/>
      <c r="Z222" s="469" t="n"/>
      <c r="AA222" s="469" t="n"/>
    </row>
    <row r="223">
      <c r="A223" s="468" t="n"/>
      <c r="B223" s="469" t="n"/>
      <c r="C223" s="469" t="n"/>
      <c r="D223" s="469" t="n"/>
      <c r="E223" s="469" t="n"/>
      <c r="F223" s="469" t="n"/>
      <c r="G223" s="469" t="n"/>
      <c r="H223" s="469" t="n"/>
      <c r="I223" s="469" t="n"/>
      <c r="J223" s="469" t="n"/>
      <c r="K223" s="469" t="n"/>
      <c r="L223" s="469" t="n"/>
      <c r="M223" s="469" t="n"/>
      <c r="N223" s="469" t="n"/>
      <c r="O223" s="469" t="n"/>
      <c r="P223" s="471" t="n"/>
      <c r="Q223" s="469" t="n"/>
      <c r="R223" s="469" t="n"/>
      <c r="S223" s="469" t="n"/>
      <c r="T223" s="469" t="n"/>
      <c r="U223" s="469" t="n"/>
      <c r="V223" s="469" t="n"/>
      <c r="W223" s="469" t="n"/>
      <c r="X223" s="469" t="n"/>
      <c r="Y223" s="469" t="n"/>
      <c r="Z223" s="469" t="n"/>
      <c r="AA223" s="469" t="n"/>
    </row>
    <row r="224">
      <c r="A224" s="468" t="n"/>
      <c r="B224" s="469" t="n"/>
      <c r="C224" s="469" t="n"/>
      <c r="D224" s="469" t="n"/>
      <c r="E224" s="469" t="n"/>
      <c r="F224" s="469" t="n"/>
      <c r="G224" s="469" t="n"/>
      <c r="H224" s="469" t="n"/>
      <c r="I224" s="469" t="n"/>
      <c r="J224" s="469" t="n"/>
      <c r="K224" s="469" t="n"/>
      <c r="L224" s="469" t="n"/>
      <c r="M224" s="469" t="n"/>
      <c r="N224" s="469" t="n"/>
      <c r="O224" s="469" t="n"/>
      <c r="P224" s="471" t="n"/>
      <c r="Q224" s="469" t="n"/>
      <c r="R224" s="469" t="n"/>
      <c r="S224" s="469" t="n"/>
      <c r="T224" s="469" t="n"/>
      <c r="U224" s="469" t="n"/>
      <c r="V224" s="469" t="n"/>
      <c r="W224" s="469" t="n"/>
      <c r="X224" s="469" t="n"/>
      <c r="Y224" s="469" t="n"/>
      <c r="Z224" s="469" t="n"/>
      <c r="AA224" s="469" t="n"/>
    </row>
    <row r="225">
      <c r="A225" s="468" t="n"/>
      <c r="B225" s="469" t="n"/>
      <c r="C225" s="469" t="n"/>
      <c r="D225" s="469" t="n"/>
      <c r="E225" s="469" t="n"/>
      <c r="F225" s="469" t="n"/>
      <c r="G225" s="469" t="n"/>
      <c r="H225" s="469" t="n"/>
      <c r="I225" s="469" t="n"/>
      <c r="J225" s="469" t="n"/>
      <c r="K225" s="469" t="n"/>
      <c r="L225" s="469" t="n"/>
      <c r="M225" s="469" t="n"/>
      <c r="N225" s="469" t="n"/>
      <c r="O225" s="469" t="n"/>
      <c r="P225" s="471" t="n"/>
      <c r="Q225" s="469" t="n"/>
      <c r="R225" s="469" t="n"/>
      <c r="S225" s="469" t="n"/>
      <c r="T225" s="469" t="n"/>
      <c r="U225" s="469" t="n"/>
      <c r="V225" s="469" t="n"/>
      <c r="W225" s="469" t="n"/>
      <c r="X225" s="469" t="n"/>
      <c r="Y225" s="469" t="n"/>
      <c r="Z225" s="469" t="n"/>
      <c r="AA225" s="469" t="n"/>
    </row>
    <row r="226">
      <c r="A226" s="468" t="n"/>
      <c r="B226" s="469" t="n"/>
      <c r="C226" s="469" t="n"/>
      <c r="D226" s="469" t="n"/>
      <c r="E226" s="469" t="n"/>
      <c r="F226" s="469" t="n"/>
      <c r="G226" s="469" t="n"/>
      <c r="H226" s="469" t="n"/>
      <c r="I226" s="469" t="n"/>
      <c r="J226" s="469" t="n"/>
      <c r="K226" s="469" t="n"/>
      <c r="L226" s="469" t="n"/>
      <c r="M226" s="469" t="n"/>
      <c r="N226" s="469" t="n"/>
      <c r="O226" s="469" t="n"/>
      <c r="P226" s="471" t="n"/>
      <c r="Q226" s="469" t="n"/>
      <c r="R226" s="469" t="n"/>
      <c r="S226" s="469" t="n"/>
      <c r="T226" s="469" t="n"/>
      <c r="U226" s="469" t="n"/>
      <c r="V226" s="469" t="n"/>
      <c r="W226" s="469" t="n"/>
      <c r="X226" s="469" t="n"/>
      <c r="Y226" s="469" t="n"/>
      <c r="Z226" s="469" t="n"/>
      <c r="AA226" s="469" t="n"/>
    </row>
    <row r="227">
      <c r="A227" s="468" t="n"/>
      <c r="B227" s="469" t="n"/>
      <c r="C227" s="469" t="n"/>
      <c r="D227" s="469" t="n"/>
      <c r="E227" s="469" t="n"/>
      <c r="F227" s="469" t="n"/>
      <c r="G227" s="469" t="n"/>
      <c r="H227" s="469" t="n"/>
      <c r="I227" s="469" t="n"/>
      <c r="J227" s="469" t="n"/>
      <c r="K227" s="469" t="n"/>
      <c r="L227" s="469" t="n"/>
      <c r="M227" s="469" t="n"/>
      <c r="N227" s="469" t="n"/>
      <c r="O227" s="469" t="n"/>
      <c r="P227" s="471" t="n"/>
      <c r="Q227" s="469" t="n"/>
      <c r="R227" s="469" t="n"/>
      <c r="S227" s="469" t="n"/>
      <c r="T227" s="469" t="n"/>
      <c r="U227" s="469" t="n"/>
      <c r="V227" s="469" t="n"/>
      <c r="W227" s="469" t="n"/>
      <c r="X227" s="469" t="n"/>
      <c r="Y227" s="469" t="n"/>
      <c r="Z227" s="469" t="n"/>
      <c r="AA227" s="469" t="n"/>
    </row>
    <row r="228">
      <c r="A228" s="468" t="n"/>
      <c r="B228" s="469" t="n"/>
      <c r="C228" s="469" t="n"/>
      <c r="D228" s="469" t="n"/>
      <c r="E228" s="469" t="n"/>
      <c r="F228" s="469" t="n"/>
      <c r="G228" s="469" t="n"/>
      <c r="H228" s="469" t="n"/>
      <c r="I228" s="469" t="n"/>
      <c r="J228" s="469" t="n"/>
      <c r="K228" s="469" t="n"/>
      <c r="L228" s="469" t="n"/>
      <c r="M228" s="469" t="n"/>
      <c r="N228" s="469" t="n"/>
      <c r="O228" s="469" t="n"/>
      <c r="P228" s="471" t="n"/>
      <c r="Q228" s="469" t="n"/>
      <c r="R228" s="469" t="n"/>
      <c r="S228" s="469" t="n"/>
      <c r="T228" s="469" t="n"/>
      <c r="U228" s="469" t="n"/>
      <c r="V228" s="469" t="n"/>
      <c r="W228" s="469" t="n"/>
      <c r="X228" s="469" t="n"/>
      <c r="Y228" s="469" t="n"/>
      <c r="Z228" s="469" t="n"/>
      <c r="AA228" s="469" t="n"/>
    </row>
    <row r="229">
      <c r="A229" s="468" t="n"/>
      <c r="B229" s="469" t="n"/>
      <c r="C229" s="469" t="n"/>
      <c r="D229" s="469" t="n"/>
      <c r="E229" s="469" t="n"/>
      <c r="F229" s="469" t="n"/>
      <c r="G229" s="469" t="n"/>
      <c r="H229" s="469" t="n"/>
      <c r="I229" s="469" t="n"/>
      <c r="J229" s="469" t="n"/>
      <c r="K229" s="469" t="n"/>
      <c r="L229" s="469" t="n"/>
      <c r="M229" s="469" t="n"/>
      <c r="N229" s="469" t="n"/>
      <c r="O229" s="469" t="n"/>
      <c r="P229" s="471" t="n"/>
      <c r="Q229" s="469" t="n"/>
      <c r="R229" s="469" t="n"/>
      <c r="S229" s="469" t="n"/>
      <c r="T229" s="469" t="n"/>
      <c r="U229" s="469" t="n"/>
      <c r="V229" s="469" t="n"/>
      <c r="W229" s="469" t="n"/>
      <c r="X229" s="469" t="n"/>
      <c r="Y229" s="469" t="n"/>
      <c r="Z229" s="469" t="n"/>
      <c r="AA229" s="469" t="n"/>
    </row>
    <row r="230">
      <c r="A230" s="468" t="n"/>
      <c r="B230" s="469" t="n"/>
      <c r="C230" s="469" t="n"/>
      <c r="D230" s="469" t="n"/>
      <c r="E230" s="469" t="n"/>
      <c r="F230" s="469" t="n"/>
      <c r="G230" s="469" t="n"/>
      <c r="H230" s="469" t="n"/>
      <c r="I230" s="469" t="n"/>
      <c r="J230" s="469" t="n"/>
      <c r="K230" s="469" t="n"/>
      <c r="L230" s="469" t="n"/>
      <c r="M230" s="469" t="n"/>
      <c r="N230" s="469" t="n"/>
      <c r="O230" s="469" t="n"/>
      <c r="P230" s="471" t="n"/>
      <c r="Q230" s="469" t="n"/>
      <c r="R230" s="469" t="n"/>
      <c r="S230" s="469" t="n"/>
      <c r="T230" s="469" t="n"/>
      <c r="U230" s="469" t="n"/>
      <c r="V230" s="469" t="n"/>
      <c r="W230" s="469" t="n"/>
      <c r="X230" s="469" t="n"/>
      <c r="Y230" s="469" t="n"/>
      <c r="Z230" s="469" t="n"/>
      <c r="AA230" s="469" t="n"/>
    </row>
    <row r="231">
      <c r="A231" s="468" t="n"/>
      <c r="B231" s="469" t="n"/>
      <c r="C231" s="469" t="n"/>
      <c r="D231" s="469" t="n"/>
      <c r="E231" s="469" t="n"/>
      <c r="F231" s="469" t="n"/>
      <c r="G231" s="469" t="n"/>
      <c r="H231" s="469" t="n"/>
      <c r="I231" s="469" t="n"/>
      <c r="J231" s="469" t="n"/>
      <c r="K231" s="469" t="n"/>
      <c r="L231" s="469" t="n"/>
      <c r="M231" s="469" t="n"/>
      <c r="N231" s="469" t="n"/>
      <c r="O231" s="469" t="n"/>
      <c r="P231" s="471" t="n"/>
      <c r="Q231" s="469" t="n"/>
      <c r="R231" s="469" t="n"/>
      <c r="S231" s="469" t="n"/>
      <c r="T231" s="469" t="n"/>
      <c r="U231" s="469" t="n"/>
      <c r="V231" s="469" t="n"/>
      <c r="W231" s="469" t="n"/>
      <c r="X231" s="469" t="n"/>
      <c r="Y231" s="469" t="n"/>
      <c r="Z231" s="469" t="n"/>
      <c r="AA231" s="469" t="n"/>
    </row>
    <row r="232">
      <c r="A232" s="468" t="n"/>
      <c r="B232" s="469" t="n"/>
      <c r="C232" s="469" t="n"/>
      <c r="D232" s="469" t="n"/>
      <c r="E232" s="469" t="n"/>
      <c r="F232" s="469" t="n"/>
      <c r="G232" s="469" t="n"/>
      <c r="H232" s="469" t="n"/>
      <c r="I232" s="469" t="n"/>
      <c r="J232" s="469" t="n"/>
      <c r="K232" s="469" t="n"/>
      <c r="L232" s="469" t="n"/>
      <c r="M232" s="469" t="n"/>
      <c r="N232" s="469" t="n"/>
      <c r="O232" s="469" t="n"/>
      <c r="P232" s="471" t="n"/>
      <c r="Q232" s="469" t="n"/>
      <c r="R232" s="469" t="n"/>
      <c r="S232" s="469" t="n"/>
      <c r="T232" s="469" t="n"/>
      <c r="U232" s="469" t="n"/>
      <c r="V232" s="469" t="n"/>
      <c r="W232" s="469" t="n"/>
      <c r="X232" s="469" t="n"/>
      <c r="Y232" s="469" t="n"/>
      <c r="Z232" s="469" t="n"/>
      <c r="AA232" s="469" t="n"/>
    </row>
    <row r="233">
      <c r="A233" s="468" t="n"/>
      <c r="B233" s="469" t="n"/>
      <c r="C233" s="469" t="n"/>
      <c r="D233" s="469" t="n"/>
      <c r="E233" s="469" t="n"/>
      <c r="F233" s="469" t="n"/>
      <c r="G233" s="469" t="n"/>
      <c r="H233" s="469" t="n"/>
      <c r="I233" s="469" t="n"/>
      <c r="J233" s="469" t="n"/>
      <c r="K233" s="469" t="n"/>
      <c r="L233" s="469" t="n"/>
      <c r="M233" s="469" t="n"/>
      <c r="N233" s="469" t="n"/>
      <c r="O233" s="469" t="n"/>
      <c r="P233" s="471" t="n"/>
      <c r="Q233" s="469" t="n"/>
      <c r="R233" s="469" t="n"/>
      <c r="S233" s="469" t="n"/>
      <c r="T233" s="469" t="n"/>
      <c r="U233" s="469" t="n"/>
      <c r="V233" s="469" t="n"/>
      <c r="W233" s="469" t="n"/>
      <c r="X233" s="469" t="n"/>
      <c r="Y233" s="469" t="n"/>
      <c r="Z233" s="469" t="n"/>
      <c r="AA233" s="469" t="n"/>
    </row>
    <row r="234">
      <c r="A234" s="468" t="n"/>
      <c r="B234" s="469" t="n"/>
      <c r="C234" s="469" t="n"/>
      <c r="D234" s="469" t="n"/>
      <c r="E234" s="469" t="n"/>
      <c r="F234" s="469" t="n"/>
      <c r="G234" s="469" t="n"/>
      <c r="H234" s="469" t="n"/>
      <c r="I234" s="469" t="n"/>
      <c r="J234" s="469" t="n"/>
      <c r="K234" s="469" t="n"/>
      <c r="L234" s="469" t="n"/>
      <c r="M234" s="469" t="n"/>
      <c r="N234" s="469" t="n"/>
      <c r="O234" s="469" t="n"/>
      <c r="P234" s="471" t="n"/>
      <c r="Q234" s="469" t="n"/>
      <c r="R234" s="469" t="n"/>
      <c r="S234" s="469" t="n"/>
      <c r="T234" s="469" t="n"/>
      <c r="U234" s="469" t="n"/>
      <c r="V234" s="469" t="n"/>
      <c r="W234" s="469" t="n"/>
      <c r="X234" s="469" t="n"/>
      <c r="Y234" s="469" t="n"/>
      <c r="Z234" s="469" t="n"/>
      <c r="AA234" s="469" t="n"/>
    </row>
    <row r="235">
      <c r="A235" s="468" t="n"/>
      <c r="B235" s="469" t="n"/>
      <c r="C235" s="469" t="n"/>
      <c r="D235" s="469" t="n"/>
      <c r="E235" s="469" t="n"/>
      <c r="F235" s="469" t="n"/>
      <c r="G235" s="469" t="n"/>
      <c r="H235" s="469" t="n"/>
      <c r="I235" s="469" t="n"/>
      <c r="J235" s="469" t="n"/>
      <c r="K235" s="469" t="n"/>
      <c r="L235" s="469" t="n"/>
      <c r="M235" s="469" t="n"/>
      <c r="N235" s="469" t="n"/>
      <c r="O235" s="469" t="n"/>
      <c r="P235" s="471" t="n"/>
      <c r="Q235" s="469" t="n"/>
      <c r="R235" s="469" t="n"/>
      <c r="S235" s="469" t="n"/>
      <c r="T235" s="469" t="n"/>
      <c r="U235" s="469" t="n"/>
      <c r="V235" s="469" t="n"/>
      <c r="W235" s="469" t="n"/>
      <c r="X235" s="469" t="n"/>
      <c r="Y235" s="469" t="n"/>
      <c r="Z235" s="469" t="n"/>
      <c r="AA235" s="469" t="n"/>
    </row>
    <row r="236">
      <c r="A236" s="468" t="n"/>
      <c r="B236" s="469" t="n"/>
      <c r="C236" s="469" t="n"/>
      <c r="D236" s="469" t="n"/>
      <c r="E236" s="469" t="n"/>
      <c r="F236" s="469" t="n"/>
      <c r="G236" s="469" t="n"/>
      <c r="H236" s="469" t="n"/>
      <c r="I236" s="469" t="n"/>
      <c r="J236" s="469" t="n"/>
      <c r="K236" s="469" t="n"/>
      <c r="L236" s="469" t="n"/>
      <c r="M236" s="469" t="n"/>
      <c r="N236" s="469" t="n"/>
      <c r="O236" s="469" t="n"/>
      <c r="P236" s="471" t="n"/>
      <c r="Q236" s="469" t="n"/>
      <c r="R236" s="469" t="n"/>
      <c r="S236" s="469" t="n"/>
      <c r="T236" s="469" t="n"/>
      <c r="U236" s="469" t="n"/>
      <c r="V236" s="469" t="n"/>
      <c r="W236" s="469" t="n"/>
      <c r="X236" s="469" t="n"/>
      <c r="Y236" s="469" t="n"/>
      <c r="Z236" s="469" t="n"/>
      <c r="AA236" s="469" t="n"/>
    </row>
    <row r="237">
      <c r="A237" s="468" t="n"/>
      <c r="B237" s="469" t="n"/>
      <c r="C237" s="469" t="n"/>
      <c r="D237" s="469" t="n"/>
      <c r="E237" s="469" t="n"/>
      <c r="F237" s="469" t="n"/>
      <c r="G237" s="469" t="n"/>
      <c r="H237" s="469" t="n"/>
      <c r="I237" s="469" t="n"/>
      <c r="J237" s="469" t="n"/>
      <c r="K237" s="469" t="n"/>
      <c r="L237" s="469" t="n"/>
      <c r="M237" s="469" t="n"/>
      <c r="N237" s="469" t="n"/>
      <c r="O237" s="469" t="n"/>
      <c r="P237" s="471" t="n"/>
      <c r="Q237" s="469" t="n"/>
      <c r="R237" s="469" t="n"/>
      <c r="S237" s="469" t="n"/>
      <c r="T237" s="469" t="n"/>
      <c r="U237" s="469" t="n"/>
      <c r="V237" s="469" t="n"/>
      <c r="W237" s="469" t="n"/>
      <c r="X237" s="469" t="n"/>
      <c r="Y237" s="469" t="n"/>
      <c r="Z237" s="469" t="n"/>
      <c r="AA237" s="469" t="n"/>
    </row>
    <row r="238">
      <c r="A238" s="468" t="n"/>
      <c r="B238" s="469" t="n"/>
      <c r="C238" s="469" t="n"/>
      <c r="D238" s="469" t="n"/>
      <c r="E238" s="469" t="n"/>
      <c r="F238" s="469" t="n"/>
      <c r="G238" s="469" t="n"/>
      <c r="H238" s="469" t="n"/>
      <c r="I238" s="469" t="n"/>
      <c r="J238" s="469" t="n"/>
      <c r="K238" s="469" t="n"/>
      <c r="L238" s="469" t="n"/>
      <c r="M238" s="469" t="n"/>
      <c r="N238" s="469" t="n"/>
      <c r="O238" s="469" t="n"/>
      <c r="P238" s="471" t="n"/>
      <c r="Q238" s="469" t="n"/>
      <c r="R238" s="469" t="n"/>
      <c r="S238" s="469" t="n"/>
      <c r="T238" s="469" t="n"/>
      <c r="U238" s="469" t="n"/>
      <c r="V238" s="469" t="n"/>
      <c r="W238" s="469" t="n"/>
      <c r="X238" s="469" t="n"/>
      <c r="Y238" s="469" t="n"/>
      <c r="Z238" s="469" t="n"/>
      <c r="AA238" s="469" t="n"/>
    </row>
    <row r="239">
      <c r="A239" s="468" t="n"/>
      <c r="B239" s="469" t="n"/>
      <c r="C239" s="469" t="n"/>
      <c r="D239" s="469" t="n"/>
      <c r="E239" s="469" t="n"/>
      <c r="F239" s="469" t="n"/>
      <c r="G239" s="469" t="n"/>
      <c r="H239" s="469" t="n"/>
      <c r="I239" s="469" t="n"/>
      <c r="J239" s="469" t="n"/>
      <c r="K239" s="469" t="n"/>
      <c r="L239" s="469" t="n"/>
      <c r="M239" s="469" t="n"/>
      <c r="N239" s="469" t="n"/>
      <c r="O239" s="469" t="n"/>
      <c r="P239" s="471" t="n"/>
      <c r="Q239" s="469" t="n"/>
      <c r="R239" s="469" t="n"/>
      <c r="S239" s="469" t="n"/>
      <c r="T239" s="469" t="n"/>
      <c r="U239" s="469" t="n"/>
      <c r="V239" s="469" t="n"/>
      <c r="W239" s="469" t="n"/>
      <c r="X239" s="469" t="n"/>
      <c r="Y239" s="469" t="n"/>
      <c r="Z239" s="469" t="n"/>
      <c r="AA239" s="469" t="n"/>
    </row>
    <row r="240">
      <c r="A240" s="468" t="n"/>
      <c r="B240" s="469" t="n"/>
      <c r="C240" s="469" t="n"/>
      <c r="D240" s="469" t="n"/>
      <c r="E240" s="469" t="n"/>
      <c r="F240" s="469" t="n"/>
      <c r="G240" s="469" t="n"/>
      <c r="H240" s="469" t="n"/>
      <c r="I240" s="469" t="n"/>
      <c r="J240" s="469" t="n"/>
      <c r="K240" s="469" t="n"/>
      <c r="L240" s="469" t="n"/>
      <c r="M240" s="469" t="n"/>
      <c r="N240" s="469" t="n"/>
      <c r="O240" s="469" t="n"/>
      <c r="P240" s="471" t="n"/>
      <c r="Q240" s="469" t="n"/>
      <c r="R240" s="469" t="n"/>
      <c r="S240" s="469" t="n"/>
      <c r="T240" s="469" t="n"/>
      <c r="U240" s="469" t="n"/>
      <c r="V240" s="469" t="n"/>
      <c r="W240" s="469" t="n"/>
      <c r="X240" s="469" t="n"/>
      <c r="Y240" s="469" t="n"/>
      <c r="Z240" s="469" t="n"/>
      <c r="AA240" s="469" t="n"/>
    </row>
    <row r="241">
      <c r="A241" s="468" t="n"/>
      <c r="B241" s="469" t="n"/>
      <c r="C241" s="469" t="n"/>
      <c r="D241" s="469" t="n"/>
      <c r="E241" s="469" t="n"/>
      <c r="F241" s="469" t="n"/>
      <c r="G241" s="469" t="n"/>
      <c r="H241" s="469" t="n"/>
      <c r="I241" s="469" t="n"/>
      <c r="J241" s="469" t="n"/>
      <c r="K241" s="469" t="n"/>
      <c r="L241" s="469" t="n"/>
      <c r="M241" s="469" t="n"/>
      <c r="N241" s="469" t="n"/>
      <c r="O241" s="469" t="n"/>
      <c r="P241" s="471" t="n"/>
      <c r="Q241" s="469" t="n"/>
      <c r="R241" s="469" t="n"/>
      <c r="S241" s="469" t="n"/>
      <c r="T241" s="469" t="n"/>
      <c r="U241" s="469" t="n"/>
      <c r="V241" s="469" t="n"/>
      <c r="W241" s="469" t="n"/>
      <c r="X241" s="469" t="n"/>
      <c r="Y241" s="469" t="n"/>
      <c r="Z241" s="469" t="n"/>
      <c r="AA241" s="469" t="n"/>
    </row>
    <row r="242">
      <c r="A242" s="468" t="n"/>
      <c r="B242" s="469" t="n"/>
      <c r="C242" s="469" t="n"/>
      <c r="D242" s="469" t="n"/>
      <c r="E242" s="469" t="n"/>
      <c r="F242" s="469" t="n"/>
      <c r="G242" s="469" t="n"/>
      <c r="H242" s="469" t="n"/>
      <c r="I242" s="469" t="n"/>
      <c r="J242" s="469" t="n"/>
      <c r="K242" s="469" t="n"/>
      <c r="L242" s="469" t="n"/>
      <c r="M242" s="469" t="n"/>
      <c r="N242" s="469" t="n"/>
      <c r="O242" s="469" t="n"/>
      <c r="P242" s="471" t="n"/>
      <c r="Q242" s="469" t="n"/>
      <c r="R242" s="469" t="n"/>
      <c r="S242" s="469" t="n"/>
      <c r="T242" s="469" t="n"/>
      <c r="U242" s="469" t="n"/>
      <c r="V242" s="469" t="n"/>
      <c r="W242" s="469" t="n"/>
      <c r="X242" s="469" t="n"/>
      <c r="Y242" s="469" t="n"/>
      <c r="Z242" s="469" t="n"/>
      <c r="AA242" s="469" t="n"/>
    </row>
    <row r="243">
      <c r="A243" s="468" t="n"/>
      <c r="B243" s="469" t="n"/>
      <c r="C243" s="469" t="n"/>
      <c r="D243" s="469" t="n"/>
      <c r="E243" s="469" t="n"/>
      <c r="F243" s="469" t="n"/>
      <c r="G243" s="469" t="n"/>
      <c r="H243" s="469" t="n"/>
      <c r="I243" s="469" t="n"/>
      <c r="J243" s="469" t="n"/>
      <c r="K243" s="469" t="n"/>
      <c r="L243" s="469" t="n"/>
      <c r="M243" s="469" t="n"/>
      <c r="N243" s="469" t="n"/>
      <c r="O243" s="469" t="n"/>
      <c r="P243" s="471" t="n"/>
      <c r="Q243" s="469" t="n"/>
      <c r="R243" s="469" t="n"/>
      <c r="S243" s="469" t="n"/>
      <c r="T243" s="469" t="n"/>
      <c r="U243" s="469" t="n"/>
      <c r="V243" s="469" t="n"/>
      <c r="W243" s="469" t="n"/>
      <c r="X243" s="469" t="n"/>
      <c r="Y243" s="469" t="n"/>
      <c r="Z243" s="469" t="n"/>
      <c r="AA243" s="469" t="n"/>
    </row>
    <row r="244">
      <c r="A244" s="468" t="n"/>
      <c r="B244" s="469" t="n"/>
      <c r="C244" s="469" t="n"/>
      <c r="D244" s="469" t="n"/>
      <c r="E244" s="469" t="n"/>
      <c r="F244" s="469" t="n"/>
      <c r="G244" s="469" t="n"/>
      <c r="H244" s="469" t="n"/>
      <c r="I244" s="469" t="n"/>
      <c r="J244" s="469" t="n"/>
      <c r="K244" s="469" t="n"/>
      <c r="L244" s="469" t="n"/>
      <c r="M244" s="469" t="n"/>
      <c r="N244" s="469" t="n"/>
      <c r="O244" s="469" t="n"/>
      <c r="P244" s="471" t="n"/>
      <c r="Q244" s="469" t="n"/>
      <c r="R244" s="469" t="n"/>
      <c r="S244" s="469" t="n"/>
      <c r="T244" s="469" t="n"/>
      <c r="U244" s="469" t="n"/>
      <c r="V244" s="469" t="n"/>
      <c r="W244" s="469" t="n"/>
      <c r="X244" s="469" t="n"/>
      <c r="Y244" s="469" t="n"/>
      <c r="Z244" s="469" t="n"/>
      <c r="AA244" s="469" t="n"/>
    </row>
    <row r="245">
      <c r="A245" s="468" t="n"/>
      <c r="B245" s="469" t="n"/>
      <c r="C245" s="469" t="n"/>
      <c r="D245" s="469" t="n"/>
      <c r="E245" s="469" t="n"/>
      <c r="F245" s="469" t="n"/>
      <c r="G245" s="469" t="n"/>
      <c r="H245" s="469" t="n"/>
      <c r="I245" s="469" t="n"/>
      <c r="J245" s="469" t="n"/>
      <c r="K245" s="469" t="n"/>
      <c r="L245" s="469" t="n"/>
      <c r="M245" s="469" t="n"/>
      <c r="N245" s="469" t="n"/>
      <c r="O245" s="469" t="n"/>
      <c r="P245" s="471" t="n"/>
      <c r="Q245" s="469" t="n"/>
      <c r="R245" s="469" t="n"/>
      <c r="S245" s="469" t="n"/>
      <c r="T245" s="469" t="n"/>
      <c r="U245" s="469" t="n"/>
      <c r="V245" s="469" t="n"/>
      <c r="W245" s="469" t="n"/>
      <c r="X245" s="469" t="n"/>
      <c r="Y245" s="469" t="n"/>
      <c r="Z245" s="469" t="n"/>
      <c r="AA245" s="469" t="n"/>
    </row>
    <row r="246">
      <c r="A246" s="468" t="n"/>
      <c r="B246" s="469" t="n"/>
      <c r="C246" s="469" t="n"/>
      <c r="D246" s="469" t="n"/>
      <c r="E246" s="469" t="n"/>
      <c r="F246" s="469" t="n"/>
      <c r="G246" s="469" t="n"/>
      <c r="H246" s="469" t="n"/>
      <c r="I246" s="469" t="n"/>
      <c r="J246" s="469" t="n"/>
      <c r="K246" s="469" t="n"/>
      <c r="L246" s="469" t="n"/>
      <c r="M246" s="469" t="n"/>
      <c r="N246" s="469" t="n"/>
      <c r="O246" s="469" t="n"/>
      <c r="P246" s="471" t="n"/>
      <c r="Q246" s="469" t="n"/>
      <c r="R246" s="469" t="n"/>
      <c r="S246" s="469" t="n"/>
      <c r="T246" s="469" t="n"/>
      <c r="U246" s="469" t="n"/>
      <c r="V246" s="469" t="n"/>
      <c r="W246" s="469" t="n"/>
      <c r="X246" s="469" t="n"/>
      <c r="Y246" s="469" t="n"/>
      <c r="Z246" s="469" t="n"/>
      <c r="AA246" s="469" t="n"/>
    </row>
    <row r="247">
      <c r="A247" s="468" t="n"/>
      <c r="B247" s="469" t="n"/>
      <c r="C247" s="469" t="n"/>
      <c r="D247" s="469" t="n"/>
      <c r="E247" s="469" t="n"/>
      <c r="F247" s="469" t="n"/>
      <c r="G247" s="469" t="n"/>
      <c r="H247" s="469" t="n"/>
      <c r="I247" s="469" t="n"/>
      <c r="J247" s="469" t="n"/>
      <c r="K247" s="469" t="n"/>
      <c r="L247" s="469" t="n"/>
      <c r="M247" s="469" t="n"/>
      <c r="N247" s="469" t="n"/>
      <c r="O247" s="469" t="n"/>
      <c r="P247" s="471" t="n"/>
      <c r="Q247" s="469" t="n"/>
      <c r="R247" s="469" t="n"/>
      <c r="S247" s="469" t="n"/>
      <c r="T247" s="469" t="n"/>
      <c r="U247" s="469" t="n"/>
      <c r="V247" s="469" t="n"/>
      <c r="W247" s="469" t="n"/>
      <c r="X247" s="469" t="n"/>
      <c r="Y247" s="469" t="n"/>
      <c r="Z247" s="469" t="n"/>
      <c r="AA247" s="469" t="n"/>
    </row>
    <row r="248">
      <c r="A248" s="468" t="n"/>
      <c r="B248" s="469" t="n"/>
      <c r="C248" s="469" t="n"/>
      <c r="D248" s="469" t="n"/>
      <c r="E248" s="469" t="n"/>
      <c r="F248" s="469" t="n"/>
      <c r="G248" s="469" t="n"/>
      <c r="H248" s="469" t="n"/>
      <c r="I248" s="469" t="n"/>
      <c r="J248" s="469" t="n"/>
      <c r="K248" s="469" t="n"/>
      <c r="L248" s="469" t="n"/>
      <c r="M248" s="469" t="n"/>
      <c r="N248" s="469" t="n"/>
      <c r="O248" s="469" t="n"/>
      <c r="P248" s="471" t="n"/>
      <c r="Q248" s="469" t="n"/>
      <c r="R248" s="469" t="n"/>
      <c r="S248" s="469" t="n"/>
      <c r="T248" s="469" t="n"/>
      <c r="U248" s="469" t="n"/>
      <c r="V248" s="469" t="n"/>
      <c r="W248" s="469" t="n"/>
      <c r="X248" s="469" t="n"/>
      <c r="Y248" s="469" t="n"/>
      <c r="Z248" s="469" t="n"/>
      <c r="AA248" s="469" t="n"/>
    </row>
    <row r="249">
      <c r="A249" s="468" t="n"/>
      <c r="B249" s="469" t="n"/>
      <c r="C249" s="469" t="n"/>
      <c r="D249" s="469" t="n"/>
      <c r="E249" s="469" t="n"/>
      <c r="F249" s="469" t="n"/>
      <c r="G249" s="469" t="n"/>
      <c r="H249" s="469" t="n"/>
      <c r="I249" s="469" t="n"/>
      <c r="J249" s="469" t="n"/>
      <c r="K249" s="469" t="n"/>
      <c r="L249" s="469" t="n"/>
      <c r="M249" s="469" t="n"/>
      <c r="N249" s="469" t="n"/>
      <c r="O249" s="469" t="n"/>
      <c r="P249" s="471" t="n"/>
      <c r="Q249" s="469" t="n"/>
      <c r="R249" s="469" t="n"/>
      <c r="S249" s="469" t="n"/>
      <c r="T249" s="469" t="n"/>
      <c r="U249" s="469" t="n"/>
      <c r="V249" s="469" t="n"/>
      <c r="W249" s="469" t="n"/>
      <c r="X249" s="469" t="n"/>
      <c r="Y249" s="469" t="n"/>
      <c r="Z249" s="469" t="n"/>
      <c r="AA249" s="469" t="n"/>
    </row>
    <row r="250">
      <c r="A250" s="468" t="n"/>
      <c r="B250" s="469" t="n"/>
      <c r="C250" s="469" t="n"/>
      <c r="D250" s="469" t="n"/>
      <c r="E250" s="469" t="n"/>
      <c r="F250" s="469" t="n"/>
      <c r="G250" s="469" t="n"/>
      <c r="H250" s="469" t="n"/>
      <c r="I250" s="469" t="n"/>
      <c r="J250" s="469" t="n"/>
      <c r="K250" s="469" t="n"/>
      <c r="L250" s="469" t="n"/>
      <c r="M250" s="469" t="n"/>
      <c r="N250" s="469" t="n"/>
      <c r="O250" s="469" t="n"/>
      <c r="P250" s="471" t="n"/>
      <c r="Q250" s="469" t="n"/>
      <c r="R250" s="469" t="n"/>
      <c r="S250" s="469" t="n"/>
      <c r="T250" s="469" t="n"/>
      <c r="U250" s="469" t="n"/>
      <c r="V250" s="469" t="n"/>
      <c r="W250" s="469" t="n"/>
      <c r="X250" s="469" t="n"/>
      <c r="Y250" s="469" t="n"/>
      <c r="Z250" s="469" t="n"/>
      <c r="AA250" s="469" t="n"/>
    </row>
    <row r="251">
      <c r="A251" s="468" t="n"/>
      <c r="B251" s="469" t="n"/>
      <c r="C251" s="469" t="n"/>
      <c r="D251" s="469" t="n"/>
      <c r="E251" s="469" t="n"/>
      <c r="F251" s="469" t="n"/>
      <c r="G251" s="469" t="n"/>
      <c r="H251" s="469" t="n"/>
      <c r="I251" s="469" t="n"/>
      <c r="J251" s="469" t="n"/>
      <c r="K251" s="469" t="n"/>
      <c r="L251" s="469" t="n"/>
      <c r="M251" s="469" t="n"/>
      <c r="N251" s="469" t="n"/>
      <c r="O251" s="469" t="n"/>
      <c r="P251" s="471" t="n"/>
      <c r="Q251" s="469" t="n"/>
      <c r="R251" s="469" t="n"/>
      <c r="S251" s="469" t="n"/>
      <c r="T251" s="469" t="n"/>
      <c r="U251" s="469" t="n"/>
      <c r="V251" s="469" t="n"/>
      <c r="W251" s="469" t="n"/>
      <c r="X251" s="469" t="n"/>
      <c r="Y251" s="469" t="n"/>
      <c r="Z251" s="469" t="n"/>
      <c r="AA251" s="469" t="n"/>
    </row>
    <row r="252">
      <c r="A252" s="468" t="n"/>
      <c r="B252" s="469" t="n"/>
      <c r="C252" s="469" t="n"/>
      <c r="D252" s="469" t="n"/>
      <c r="E252" s="469" t="n"/>
      <c r="F252" s="469" t="n"/>
      <c r="G252" s="469" t="n"/>
      <c r="H252" s="469" t="n"/>
      <c r="I252" s="469" t="n"/>
      <c r="J252" s="469" t="n"/>
      <c r="K252" s="469" t="n"/>
      <c r="L252" s="469" t="n"/>
      <c r="M252" s="469" t="n"/>
      <c r="N252" s="469" t="n"/>
      <c r="O252" s="469" t="n"/>
      <c r="P252" s="471" t="n"/>
      <c r="Q252" s="469" t="n"/>
      <c r="R252" s="469" t="n"/>
      <c r="S252" s="469" t="n"/>
      <c r="T252" s="469" t="n"/>
      <c r="U252" s="469" t="n"/>
      <c r="V252" s="469" t="n"/>
      <c r="W252" s="469" t="n"/>
      <c r="X252" s="469" t="n"/>
      <c r="Y252" s="469" t="n"/>
      <c r="Z252" s="469" t="n"/>
      <c r="AA252" s="469" t="n"/>
    </row>
    <row r="253">
      <c r="A253" s="468" t="n"/>
      <c r="B253" s="469" t="n"/>
      <c r="C253" s="469" t="n"/>
      <c r="D253" s="469" t="n"/>
      <c r="E253" s="469" t="n"/>
      <c r="F253" s="469" t="n"/>
      <c r="G253" s="469" t="n"/>
      <c r="H253" s="469" t="n"/>
      <c r="I253" s="469" t="n"/>
      <c r="J253" s="469" t="n"/>
      <c r="K253" s="469" t="n"/>
      <c r="L253" s="469" t="n"/>
      <c r="M253" s="469" t="n"/>
      <c r="N253" s="469" t="n"/>
      <c r="O253" s="469" t="n"/>
      <c r="P253" s="471" t="n"/>
      <c r="Q253" s="469" t="n"/>
      <c r="R253" s="469" t="n"/>
      <c r="S253" s="469" t="n"/>
      <c r="T253" s="469" t="n"/>
      <c r="U253" s="469" t="n"/>
      <c r="V253" s="469" t="n"/>
      <c r="W253" s="469" t="n"/>
      <c r="X253" s="469" t="n"/>
      <c r="Y253" s="469" t="n"/>
      <c r="Z253" s="469" t="n"/>
      <c r="AA253" s="469" t="n"/>
    </row>
    <row r="254">
      <c r="A254" s="468" t="n"/>
      <c r="B254" s="469" t="n"/>
      <c r="C254" s="469" t="n"/>
      <c r="D254" s="469" t="n"/>
      <c r="E254" s="469" t="n"/>
      <c r="F254" s="469" t="n"/>
      <c r="G254" s="469" t="n"/>
      <c r="H254" s="469" t="n"/>
      <c r="I254" s="469" t="n"/>
      <c r="J254" s="469" t="n"/>
      <c r="K254" s="469" t="n"/>
      <c r="L254" s="469" t="n"/>
      <c r="M254" s="469" t="n"/>
      <c r="N254" s="469" t="n"/>
      <c r="O254" s="469" t="n"/>
      <c r="P254" s="471" t="n"/>
      <c r="Q254" s="469" t="n"/>
      <c r="R254" s="469" t="n"/>
      <c r="S254" s="469" t="n"/>
      <c r="T254" s="469" t="n"/>
      <c r="U254" s="469" t="n"/>
      <c r="V254" s="469" t="n"/>
      <c r="W254" s="469" t="n"/>
      <c r="X254" s="469" t="n"/>
      <c r="Y254" s="469" t="n"/>
      <c r="Z254" s="469" t="n"/>
      <c r="AA254" s="469" t="n"/>
    </row>
    <row r="255">
      <c r="A255" s="468" t="n"/>
      <c r="B255" s="469" t="n"/>
      <c r="C255" s="469" t="n"/>
      <c r="D255" s="469" t="n"/>
      <c r="E255" s="469" t="n"/>
      <c r="F255" s="469" t="n"/>
      <c r="G255" s="469" t="n"/>
      <c r="H255" s="469" t="n"/>
      <c r="I255" s="469" t="n"/>
      <c r="J255" s="469" t="n"/>
      <c r="K255" s="469" t="n"/>
      <c r="L255" s="469" t="n"/>
      <c r="M255" s="469" t="n"/>
      <c r="N255" s="469" t="n"/>
      <c r="O255" s="469" t="n"/>
      <c r="P255" s="471" t="n"/>
      <c r="Q255" s="469" t="n"/>
      <c r="R255" s="469" t="n"/>
      <c r="S255" s="469" t="n"/>
      <c r="T255" s="469" t="n"/>
      <c r="U255" s="469" t="n"/>
      <c r="V255" s="469" t="n"/>
      <c r="W255" s="469" t="n"/>
      <c r="X255" s="469" t="n"/>
      <c r="Y255" s="469" t="n"/>
      <c r="Z255" s="469" t="n"/>
      <c r="AA255" s="469" t="n"/>
    </row>
    <row r="256">
      <c r="A256" s="468" t="n"/>
      <c r="B256" s="469" t="n"/>
      <c r="C256" s="469" t="n"/>
      <c r="D256" s="469" t="n"/>
      <c r="E256" s="469" t="n"/>
      <c r="F256" s="469" t="n"/>
      <c r="G256" s="469" t="n"/>
      <c r="H256" s="469" t="n"/>
      <c r="I256" s="469" t="n"/>
      <c r="J256" s="469" t="n"/>
      <c r="K256" s="469" t="n"/>
      <c r="L256" s="469" t="n"/>
      <c r="M256" s="469" t="n"/>
      <c r="N256" s="469" t="n"/>
      <c r="O256" s="469" t="n"/>
      <c r="P256" s="471" t="n"/>
      <c r="Q256" s="469" t="n"/>
      <c r="R256" s="469" t="n"/>
      <c r="S256" s="469" t="n"/>
      <c r="T256" s="469" t="n"/>
      <c r="U256" s="469" t="n"/>
      <c r="V256" s="469" t="n"/>
      <c r="W256" s="469" t="n"/>
      <c r="X256" s="469" t="n"/>
      <c r="Y256" s="469" t="n"/>
      <c r="Z256" s="469" t="n"/>
      <c r="AA256" s="469" t="n"/>
    </row>
    <row r="257">
      <c r="A257" s="468" t="n"/>
      <c r="B257" s="469" t="n"/>
      <c r="C257" s="469" t="n"/>
      <c r="D257" s="469" t="n"/>
      <c r="E257" s="469" t="n"/>
      <c r="F257" s="469" t="n"/>
      <c r="G257" s="469" t="n"/>
      <c r="H257" s="469" t="n"/>
      <c r="I257" s="469" t="n"/>
      <c r="J257" s="469" t="n"/>
      <c r="K257" s="469" t="n"/>
      <c r="L257" s="469" t="n"/>
      <c r="M257" s="469" t="n"/>
      <c r="N257" s="469" t="n"/>
      <c r="O257" s="469" t="n"/>
      <c r="P257" s="471" t="n"/>
      <c r="Q257" s="469" t="n"/>
      <c r="R257" s="469" t="n"/>
      <c r="S257" s="469" t="n"/>
      <c r="T257" s="469" t="n"/>
      <c r="U257" s="469" t="n"/>
      <c r="V257" s="469" t="n"/>
      <c r="W257" s="469" t="n"/>
      <c r="X257" s="469" t="n"/>
      <c r="Y257" s="469" t="n"/>
      <c r="Z257" s="469" t="n"/>
      <c r="AA257" s="469" t="n"/>
    </row>
    <row r="258">
      <c r="A258" s="468" t="n"/>
      <c r="B258" s="469" t="n"/>
      <c r="C258" s="469" t="n"/>
      <c r="D258" s="469" t="n"/>
      <c r="E258" s="469" t="n"/>
      <c r="F258" s="469" t="n"/>
      <c r="G258" s="469" t="n"/>
      <c r="H258" s="469" t="n"/>
      <c r="I258" s="469" t="n"/>
      <c r="J258" s="469" t="n"/>
      <c r="K258" s="469" t="n"/>
      <c r="L258" s="469" t="n"/>
      <c r="M258" s="469" t="n"/>
      <c r="N258" s="469" t="n"/>
      <c r="O258" s="469" t="n"/>
      <c r="P258" s="471" t="n"/>
      <c r="Q258" s="469" t="n"/>
      <c r="R258" s="469" t="n"/>
      <c r="S258" s="469" t="n"/>
      <c r="T258" s="469" t="n"/>
      <c r="U258" s="469" t="n"/>
      <c r="V258" s="469" t="n"/>
      <c r="W258" s="469" t="n"/>
      <c r="X258" s="469" t="n"/>
      <c r="Y258" s="469" t="n"/>
      <c r="Z258" s="469" t="n"/>
      <c r="AA258" s="469" t="n"/>
    </row>
    <row r="259">
      <c r="A259" s="468" t="n"/>
      <c r="B259" s="469" t="n"/>
      <c r="C259" s="469" t="n"/>
      <c r="D259" s="469" t="n"/>
      <c r="E259" s="469" t="n"/>
      <c r="F259" s="469" t="n"/>
      <c r="G259" s="469" t="n"/>
      <c r="H259" s="469" t="n"/>
      <c r="I259" s="469" t="n"/>
      <c r="J259" s="469" t="n"/>
      <c r="K259" s="469" t="n"/>
      <c r="L259" s="469" t="n"/>
      <c r="M259" s="469" t="n"/>
      <c r="N259" s="469" t="n"/>
      <c r="O259" s="469" t="n"/>
      <c r="P259" s="471" t="n"/>
      <c r="Q259" s="469" t="n"/>
      <c r="R259" s="469" t="n"/>
      <c r="S259" s="469" t="n"/>
      <c r="T259" s="469" t="n"/>
      <c r="U259" s="469" t="n"/>
      <c r="V259" s="469" t="n"/>
      <c r="W259" s="469" t="n"/>
      <c r="X259" s="469" t="n"/>
      <c r="Y259" s="469" t="n"/>
      <c r="Z259" s="469" t="n"/>
      <c r="AA259" s="469" t="n"/>
    </row>
    <row r="260">
      <c r="A260" s="468" t="n"/>
      <c r="B260" s="469" t="n"/>
      <c r="C260" s="469" t="n"/>
      <c r="D260" s="469" t="n"/>
      <c r="E260" s="469" t="n"/>
      <c r="F260" s="469" t="n"/>
      <c r="G260" s="469" t="n"/>
      <c r="H260" s="469" t="n"/>
      <c r="I260" s="469" t="n"/>
      <c r="J260" s="469" t="n"/>
      <c r="K260" s="469" t="n"/>
      <c r="L260" s="469" t="n"/>
      <c r="M260" s="469" t="n"/>
      <c r="N260" s="469" t="n"/>
      <c r="O260" s="469" t="n"/>
      <c r="P260" s="471" t="n"/>
      <c r="Q260" s="469" t="n"/>
      <c r="R260" s="469" t="n"/>
      <c r="S260" s="469" t="n"/>
      <c r="T260" s="469" t="n"/>
      <c r="U260" s="469" t="n"/>
      <c r="V260" s="469" t="n"/>
      <c r="W260" s="469" t="n"/>
      <c r="X260" s="469" t="n"/>
      <c r="Y260" s="469" t="n"/>
      <c r="Z260" s="469" t="n"/>
      <c r="AA260" s="469" t="n"/>
    </row>
    <row r="261">
      <c r="A261" s="468" t="n"/>
      <c r="B261" s="469" t="n"/>
      <c r="C261" s="469" t="n"/>
      <c r="D261" s="469" t="n"/>
      <c r="E261" s="469" t="n"/>
      <c r="F261" s="469" t="n"/>
      <c r="G261" s="469" t="n"/>
      <c r="H261" s="469" t="n"/>
      <c r="I261" s="469" t="n"/>
      <c r="J261" s="469" t="n"/>
      <c r="K261" s="469" t="n"/>
      <c r="L261" s="469" t="n"/>
      <c r="M261" s="469" t="n"/>
      <c r="N261" s="469" t="n"/>
      <c r="O261" s="469" t="n"/>
      <c r="P261" s="471" t="n"/>
      <c r="Q261" s="469" t="n"/>
      <c r="R261" s="469" t="n"/>
      <c r="S261" s="469" t="n"/>
      <c r="T261" s="469" t="n"/>
      <c r="U261" s="469" t="n"/>
      <c r="V261" s="469" t="n"/>
      <c r="W261" s="469" t="n"/>
      <c r="X261" s="469" t="n"/>
      <c r="Y261" s="469" t="n"/>
      <c r="Z261" s="469" t="n"/>
      <c r="AA261" s="469" t="n"/>
    </row>
    <row r="262">
      <c r="A262" s="468" t="n"/>
      <c r="B262" s="469" t="n"/>
      <c r="C262" s="469" t="n"/>
      <c r="D262" s="469" t="n"/>
      <c r="E262" s="469" t="n"/>
      <c r="F262" s="469" t="n"/>
      <c r="G262" s="469" t="n"/>
      <c r="H262" s="469" t="n"/>
      <c r="I262" s="469" t="n"/>
      <c r="J262" s="469" t="n"/>
      <c r="K262" s="469" t="n"/>
      <c r="L262" s="469" t="n"/>
      <c r="M262" s="469" t="n"/>
      <c r="N262" s="469" t="n"/>
      <c r="O262" s="469" t="n"/>
      <c r="P262" s="471" t="n"/>
      <c r="Q262" s="469" t="n"/>
      <c r="R262" s="469" t="n"/>
      <c r="S262" s="469" t="n"/>
      <c r="T262" s="469" t="n"/>
      <c r="U262" s="469" t="n"/>
      <c r="V262" s="469" t="n"/>
      <c r="W262" s="469" t="n"/>
      <c r="X262" s="469" t="n"/>
      <c r="Y262" s="469" t="n"/>
      <c r="Z262" s="469" t="n"/>
      <c r="AA262" s="469" t="n"/>
    </row>
    <row r="263">
      <c r="A263" s="468" t="n"/>
      <c r="B263" s="469" t="n"/>
      <c r="C263" s="469" t="n"/>
      <c r="D263" s="469" t="n"/>
      <c r="E263" s="469" t="n"/>
      <c r="F263" s="469" t="n"/>
      <c r="G263" s="469" t="n"/>
      <c r="H263" s="469" t="n"/>
      <c r="I263" s="469" t="n"/>
      <c r="J263" s="469" t="n"/>
      <c r="K263" s="469" t="n"/>
      <c r="L263" s="469" t="n"/>
      <c r="M263" s="469" t="n"/>
      <c r="N263" s="469" t="n"/>
      <c r="O263" s="469" t="n"/>
      <c r="P263" s="471" t="n"/>
      <c r="Q263" s="469" t="n"/>
      <c r="R263" s="469" t="n"/>
      <c r="S263" s="469" t="n"/>
      <c r="T263" s="469" t="n"/>
      <c r="U263" s="469" t="n"/>
      <c r="V263" s="469" t="n"/>
      <c r="W263" s="469" t="n"/>
      <c r="X263" s="469" t="n"/>
      <c r="Y263" s="469" t="n"/>
      <c r="Z263" s="469" t="n"/>
      <c r="AA263" s="469" t="n"/>
    </row>
    <row r="264">
      <c r="A264" s="468" t="n"/>
      <c r="B264" s="469" t="n"/>
      <c r="C264" s="469" t="n"/>
      <c r="D264" s="469" t="n"/>
      <c r="E264" s="469" t="n"/>
      <c r="F264" s="469" t="n"/>
      <c r="G264" s="469" t="n"/>
      <c r="H264" s="469" t="n"/>
      <c r="I264" s="469" t="n"/>
      <c r="J264" s="469" t="n"/>
      <c r="K264" s="469" t="n"/>
      <c r="L264" s="469" t="n"/>
      <c r="M264" s="469" t="n"/>
      <c r="N264" s="469" t="n"/>
      <c r="O264" s="469" t="n"/>
      <c r="P264" s="471" t="n"/>
      <c r="Q264" s="469" t="n"/>
      <c r="R264" s="469" t="n"/>
      <c r="S264" s="469" t="n"/>
      <c r="T264" s="469" t="n"/>
      <c r="U264" s="469" t="n"/>
      <c r="V264" s="469" t="n"/>
      <c r="W264" s="469" t="n"/>
      <c r="X264" s="469" t="n"/>
      <c r="Y264" s="469" t="n"/>
      <c r="Z264" s="469" t="n"/>
      <c r="AA264" s="469" t="n"/>
    </row>
    <row r="265">
      <c r="A265" s="468" t="n"/>
      <c r="B265" s="469" t="n"/>
      <c r="C265" s="469" t="n"/>
      <c r="D265" s="469" t="n"/>
      <c r="E265" s="469" t="n"/>
      <c r="F265" s="469" t="n"/>
      <c r="G265" s="469" t="n"/>
      <c r="H265" s="469" t="n"/>
      <c r="I265" s="469" t="n"/>
      <c r="J265" s="469" t="n"/>
      <c r="K265" s="469" t="n"/>
      <c r="L265" s="469" t="n"/>
      <c r="M265" s="469" t="n"/>
      <c r="N265" s="469" t="n"/>
      <c r="O265" s="469" t="n"/>
      <c r="P265" s="471" t="n"/>
      <c r="Q265" s="469" t="n"/>
      <c r="R265" s="469" t="n"/>
      <c r="S265" s="469" t="n"/>
      <c r="T265" s="469" t="n"/>
      <c r="U265" s="469" t="n"/>
      <c r="V265" s="469" t="n"/>
      <c r="W265" s="469" t="n"/>
      <c r="X265" s="469" t="n"/>
      <c r="Y265" s="469" t="n"/>
      <c r="Z265" s="469" t="n"/>
      <c r="AA265" s="469" t="n"/>
    </row>
    <row r="266">
      <c r="A266" s="468" t="n"/>
      <c r="B266" s="469" t="n"/>
      <c r="C266" s="469" t="n"/>
      <c r="D266" s="469" t="n"/>
      <c r="E266" s="469" t="n"/>
      <c r="F266" s="469" t="n"/>
      <c r="G266" s="469" t="n"/>
      <c r="H266" s="469" t="n"/>
      <c r="I266" s="469" t="n"/>
      <c r="J266" s="469" t="n"/>
      <c r="K266" s="469" t="n"/>
      <c r="L266" s="469" t="n"/>
      <c r="M266" s="469" t="n"/>
      <c r="N266" s="469" t="n"/>
      <c r="O266" s="469" t="n"/>
      <c r="P266" s="471" t="n"/>
      <c r="Q266" s="469" t="n"/>
      <c r="R266" s="469" t="n"/>
      <c r="S266" s="469" t="n"/>
      <c r="T266" s="469" t="n"/>
      <c r="U266" s="469" t="n"/>
      <c r="V266" s="469" t="n"/>
      <c r="W266" s="469" t="n"/>
      <c r="X266" s="469" t="n"/>
      <c r="Y266" s="469" t="n"/>
      <c r="Z266" s="469" t="n"/>
      <c r="AA266" s="469" t="n"/>
    </row>
    <row r="267">
      <c r="A267" s="468" t="n"/>
      <c r="B267" s="469" t="n"/>
      <c r="C267" s="469" t="n"/>
      <c r="D267" s="469" t="n"/>
      <c r="E267" s="469" t="n"/>
      <c r="F267" s="469" t="n"/>
      <c r="G267" s="469" t="n"/>
      <c r="H267" s="469" t="n"/>
      <c r="I267" s="469" t="n"/>
      <c r="J267" s="469" t="n"/>
      <c r="K267" s="469" t="n"/>
      <c r="L267" s="469" t="n"/>
      <c r="M267" s="469" t="n"/>
      <c r="N267" s="469" t="n"/>
      <c r="O267" s="469" t="n"/>
      <c r="P267" s="471" t="n"/>
      <c r="Q267" s="469" t="n"/>
      <c r="R267" s="469" t="n"/>
      <c r="S267" s="469" t="n"/>
      <c r="T267" s="469" t="n"/>
      <c r="U267" s="469" t="n"/>
      <c r="V267" s="469" t="n"/>
      <c r="W267" s="469" t="n"/>
      <c r="X267" s="469" t="n"/>
      <c r="Y267" s="469" t="n"/>
      <c r="Z267" s="469" t="n"/>
      <c r="AA267" s="469" t="n"/>
    </row>
    <row r="268">
      <c r="A268" s="468" t="n"/>
      <c r="B268" s="469" t="n"/>
      <c r="C268" s="469" t="n"/>
      <c r="D268" s="469" t="n"/>
      <c r="E268" s="469" t="n"/>
      <c r="F268" s="469" t="n"/>
      <c r="G268" s="469" t="n"/>
      <c r="H268" s="469" t="n"/>
      <c r="I268" s="469" t="n"/>
      <c r="J268" s="469" t="n"/>
      <c r="K268" s="469" t="n"/>
      <c r="L268" s="469" t="n"/>
      <c r="M268" s="469" t="n"/>
      <c r="N268" s="469" t="n"/>
      <c r="O268" s="469" t="n"/>
      <c r="P268" s="471" t="n"/>
      <c r="Q268" s="469" t="n"/>
      <c r="R268" s="469" t="n"/>
      <c r="S268" s="469" t="n"/>
      <c r="T268" s="469" t="n"/>
      <c r="U268" s="469" t="n"/>
      <c r="V268" s="469" t="n"/>
      <c r="W268" s="469" t="n"/>
      <c r="X268" s="469" t="n"/>
      <c r="Y268" s="469" t="n"/>
      <c r="Z268" s="469" t="n"/>
      <c r="AA268" s="469" t="n"/>
    </row>
    <row r="269">
      <c r="A269" s="468" t="n"/>
      <c r="B269" s="469" t="n"/>
      <c r="C269" s="469" t="n"/>
      <c r="D269" s="469" t="n"/>
      <c r="E269" s="469" t="n"/>
      <c r="F269" s="469" t="n"/>
      <c r="G269" s="469" t="n"/>
      <c r="H269" s="469" t="n"/>
      <c r="I269" s="469" t="n"/>
      <c r="J269" s="469" t="n"/>
      <c r="K269" s="469" t="n"/>
      <c r="L269" s="469" t="n"/>
      <c r="M269" s="469" t="n"/>
      <c r="N269" s="469" t="n"/>
      <c r="O269" s="469" t="n"/>
      <c r="P269" s="471" t="n"/>
      <c r="Q269" s="469" t="n"/>
      <c r="R269" s="469" t="n"/>
      <c r="S269" s="469" t="n"/>
      <c r="T269" s="469" t="n"/>
      <c r="U269" s="469" t="n"/>
      <c r="V269" s="469" t="n"/>
      <c r="W269" s="469" t="n"/>
      <c r="X269" s="469" t="n"/>
      <c r="Y269" s="469" t="n"/>
      <c r="Z269" s="469" t="n"/>
      <c r="AA269" s="469" t="n"/>
    </row>
    <row r="270">
      <c r="A270" s="468" t="n"/>
      <c r="B270" s="469" t="n"/>
      <c r="C270" s="469" t="n"/>
      <c r="D270" s="469" t="n"/>
      <c r="E270" s="469" t="n"/>
      <c r="F270" s="469" t="n"/>
      <c r="G270" s="469" t="n"/>
      <c r="H270" s="469" t="n"/>
      <c r="I270" s="469" t="n"/>
      <c r="J270" s="469" t="n"/>
      <c r="K270" s="469" t="n"/>
      <c r="L270" s="469" t="n"/>
      <c r="M270" s="469" t="n"/>
      <c r="N270" s="469" t="n"/>
      <c r="O270" s="469" t="n"/>
      <c r="P270" s="471" t="n"/>
      <c r="Q270" s="469" t="n"/>
      <c r="R270" s="469" t="n"/>
      <c r="S270" s="469" t="n"/>
      <c r="T270" s="469" t="n"/>
      <c r="U270" s="469" t="n"/>
      <c r="V270" s="469" t="n"/>
      <c r="W270" s="469" t="n"/>
      <c r="X270" s="469" t="n"/>
      <c r="Y270" s="469" t="n"/>
      <c r="Z270" s="469" t="n"/>
      <c r="AA270" s="469" t="n"/>
    </row>
    <row r="271">
      <c r="A271" s="468" t="n"/>
      <c r="B271" s="469" t="n"/>
      <c r="C271" s="469" t="n"/>
      <c r="D271" s="469" t="n"/>
      <c r="E271" s="469" t="n"/>
      <c r="F271" s="469" t="n"/>
      <c r="G271" s="469" t="n"/>
      <c r="H271" s="469" t="n"/>
      <c r="I271" s="469" t="n"/>
      <c r="J271" s="469" t="n"/>
      <c r="K271" s="469" t="n"/>
      <c r="L271" s="469" t="n"/>
      <c r="M271" s="469" t="n"/>
      <c r="N271" s="469" t="n"/>
      <c r="O271" s="469" t="n"/>
      <c r="P271" s="471" t="n"/>
      <c r="Q271" s="469" t="n"/>
      <c r="R271" s="469" t="n"/>
      <c r="S271" s="469" t="n"/>
      <c r="T271" s="469" t="n"/>
      <c r="U271" s="469" t="n"/>
      <c r="V271" s="469" t="n"/>
      <c r="W271" s="469" t="n"/>
      <c r="X271" s="469" t="n"/>
      <c r="Y271" s="469" t="n"/>
      <c r="Z271" s="469" t="n"/>
      <c r="AA271" s="469" t="n"/>
    </row>
    <row r="272">
      <c r="A272" s="468" t="n"/>
      <c r="B272" s="469" t="n"/>
      <c r="C272" s="469" t="n"/>
      <c r="D272" s="469" t="n"/>
      <c r="E272" s="469" t="n"/>
      <c r="F272" s="469" t="n"/>
      <c r="G272" s="469" t="n"/>
      <c r="H272" s="469" t="n"/>
      <c r="I272" s="469" t="n"/>
      <c r="J272" s="469" t="n"/>
      <c r="K272" s="469" t="n"/>
      <c r="L272" s="469" t="n"/>
      <c r="M272" s="469" t="n"/>
      <c r="N272" s="469" t="n"/>
      <c r="O272" s="469" t="n"/>
      <c r="P272" s="471" t="n"/>
      <c r="Q272" s="469" t="n"/>
      <c r="R272" s="469" t="n"/>
      <c r="S272" s="469" t="n"/>
      <c r="T272" s="469" t="n"/>
      <c r="U272" s="469" t="n"/>
      <c r="V272" s="469" t="n"/>
      <c r="W272" s="469" t="n"/>
      <c r="X272" s="469" t="n"/>
      <c r="Y272" s="469" t="n"/>
      <c r="Z272" s="469" t="n"/>
      <c r="AA272" s="469" t="n"/>
    </row>
    <row r="273">
      <c r="A273" s="468" t="n"/>
      <c r="B273" s="469" t="n"/>
      <c r="C273" s="469" t="n"/>
      <c r="D273" s="469" t="n"/>
      <c r="E273" s="469" t="n"/>
      <c r="F273" s="469" t="n"/>
      <c r="G273" s="469" t="n"/>
      <c r="H273" s="469" t="n"/>
      <c r="I273" s="469" t="n"/>
      <c r="J273" s="469" t="n"/>
      <c r="K273" s="469" t="n"/>
      <c r="L273" s="469" t="n"/>
      <c r="M273" s="469" t="n"/>
      <c r="N273" s="469" t="n"/>
      <c r="O273" s="469" t="n"/>
      <c r="P273" s="471" t="n"/>
      <c r="Q273" s="469" t="n"/>
      <c r="R273" s="469" t="n"/>
      <c r="S273" s="469" t="n"/>
      <c r="T273" s="469" t="n"/>
      <c r="U273" s="469" t="n"/>
      <c r="V273" s="469" t="n"/>
      <c r="W273" s="469" t="n"/>
      <c r="X273" s="469" t="n"/>
      <c r="Y273" s="469" t="n"/>
      <c r="Z273" s="469" t="n"/>
      <c r="AA273" s="469" t="n"/>
    </row>
    <row r="274">
      <c r="A274" s="468" t="n"/>
      <c r="B274" s="469" t="n"/>
      <c r="C274" s="469" t="n"/>
      <c r="D274" s="469" t="n"/>
      <c r="E274" s="469" t="n"/>
      <c r="F274" s="469" t="n"/>
      <c r="G274" s="469" t="n"/>
      <c r="H274" s="469" t="n"/>
      <c r="I274" s="469" t="n"/>
      <c r="J274" s="469" t="n"/>
      <c r="K274" s="469" t="n"/>
      <c r="L274" s="469" t="n"/>
      <c r="M274" s="469" t="n"/>
      <c r="N274" s="469" t="n"/>
      <c r="O274" s="469" t="n"/>
      <c r="P274" s="471" t="n"/>
      <c r="Q274" s="469" t="n"/>
      <c r="R274" s="469" t="n"/>
      <c r="S274" s="469" t="n"/>
      <c r="T274" s="469" t="n"/>
      <c r="U274" s="469" t="n"/>
      <c r="V274" s="469" t="n"/>
      <c r="W274" s="469" t="n"/>
      <c r="X274" s="469" t="n"/>
      <c r="Y274" s="469" t="n"/>
      <c r="Z274" s="469" t="n"/>
      <c r="AA274" s="469" t="n"/>
    </row>
    <row r="275">
      <c r="A275" s="468" t="n"/>
      <c r="B275" s="469" t="n"/>
      <c r="C275" s="469" t="n"/>
      <c r="D275" s="469" t="n"/>
      <c r="E275" s="469" t="n"/>
      <c r="F275" s="469" t="n"/>
      <c r="G275" s="469" t="n"/>
      <c r="H275" s="469" t="n"/>
      <c r="I275" s="469" t="n"/>
      <c r="J275" s="469" t="n"/>
      <c r="K275" s="469" t="n"/>
      <c r="L275" s="469" t="n"/>
      <c r="M275" s="469" t="n"/>
      <c r="N275" s="469" t="n"/>
      <c r="O275" s="469" t="n"/>
      <c r="P275" s="471" t="n"/>
      <c r="Q275" s="469" t="n"/>
      <c r="R275" s="469" t="n"/>
      <c r="S275" s="469" t="n"/>
      <c r="T275" s="469" t="n"/>
      <c r="U275" s="469" t="n"/>
      <c r="V275" s="469" t="n"/>
      <c r="W275" s="469" t="n"/>
      <c r="X275" s="469" t="n"/>
      <c r="Y275" s="469" t="n"/>
      <c r="Z275" s="469" t="n"/>
      <c r="AA275" s="469" t="n"/>
    </row>
    <row r="276">
      <c r="A276" s="468" t="n"/>
      <c r="B276" s="469" t="n"/>
      <c r="C276" s="469" t="n"/>
      <c r="D276" s="469" t="n"/>
      <c r="E276" s="469" t="n"/>
      <c r="F276" s="469" t="n"/>
      <c r="G276" s="469" t="n"/>
      <c r="H276" s="469" t="n"/>
      <c r="I276" s="469" t="n"/>
      <c r="J276" s="469" t="n"/>
      <c r="K276" s="469" t="n"/>
      <c r="L276" s="469" t="n"/>
      <c r="M276" s="469" t="n"/>
      <c r="N276" s="469" t="n"/>
      <c r="O276" s="469" t="n"/>
      <c r="P276" s="471" t="n"/>
      <c r="Q276" s="469" t="n"/>
      <c r="R276" s="469" t="n"/>
      <c r="S276" s="469" t="n"/>
      <c r="T276" s="469" t="n"/>
      <c r="U276" s="469" t="n"/>
      <c r="V276" s="469" t="n"/>
      <c r="W276" s="469" t="n"/>
      <c r="X276" s="469" t="n"/>
      <c r="Y276" s="469" t="n"/>
      <c r="Z276" s="469" t="n"/>
      <c r="AA276" s="469" t="n"/>
    </row>
    <row r="277">
      <c r="A277" s="468" t="n"/>
      <c r="B277" s="469" t="n"/>
      <c r="C277" s="469" t="n"/>
      <c r="D277" s="469" t="n"/>
      <c r="E277" s="469" t="n"/>
      <c r="F277" s="469" t="n"/>
      <c r="G277" s="469" t="n"/>
      <c r="H277" s="469" t="n"/>
      <c r="I277" s="469" t="n"/>
      <c r="J277" s="469" t="n"/>
      <c r="K277" s="469" t="n"/>
      <c r="L277" s="469" t="n"/>
      <c r="M277" s="469" t="n"/>
      <c r="N277" s="469" t="n"/>
      <c r="O277" s="469" t="n"/>
      <c r="P277" s="471" t="n"/>
      <c r="Q277" s="469" t="n"/>
      <c r="R277" s="469" t="n"/>
      <c r="S277" s="469" t="n"/>
      <c r="T277" s="469" t="n"/>
      <c r="U277" s="469" t="n"/>
      <c r="V277" s="469" t="n"/>
      <c r="W277" s="469" t="n"/>
      <c r="X277" s="469" t="n"/>
      <c r="Y277" s="469" t="n"/>
      <c r="Z277" s="469" t="n"/>
      <c r="AA277" s="469" t="n"/>
    </row>
    <row r="278">
      <c r="A278" s="468" t="n"/>
      <c r="B278" s="469" t="n"/>
      <c r="C278" s="469" t="n"/>
      <c r="D278" s="469" t="n"/>
      <c r="E278" s="469" t="n"/>
      <c r="F278" s="469" t="n"/>
      <c r="G278" s="469" t="n"/>
      <c r="H278" s="469" t="n"/>
      <c r="I278" s="469" t="n"/>
      <c r="J278" s="469" t="n"/>
      <c r="K278" s="469" t="n"/>
      <c r="L278" s="469" t="n"/>
      <c r="M278" s="469" t="n"/>
      <c r="N278" s="469" t="n"/>
      <c r="O278" s="469" t="n"/>
      <c r="P278" s="471" t="n"/>
      <c r="Q278" s="469" t="n"/>
      <c r="R278" s="469" t="n"/>
      <c r="S278" s="469" t="n"/>
      <c r="T278" s="469" t="n"/>
      <c r="U278" s="469" t="n"/>
      <c r="V278" s="469" t="n"/>
      <c r="W278" s="469" t="n"/>
      <c r="X278" s="469" t="n"/>
      <c r="Y278" s="469" t="n"/>
      <c r="Z278" s="469" t="n"/>
      <c r="AA278" s="469" t="n"/>
    </row>
    <row r="279">
      <c r="A279" s="468" t="n"/>
      <c r="B279" s="469" t="n"/>
      <c r="C279" s="469" t="n"/>
      <c r="D279" s="469" t="n"/>
      <c r="E279" s="469" t="n"/>
      <c r="F279" s="469" t="n"/>
      <c r="G279" s="469" t="n"/>
      <c r="H279" s="469" t="n"/>
      <c r="I279" s="469" t="n"/>
      <c r="J279" s="469" t="n"/>
      <c r="K279" s="469" t="n"/>
      <c r="L279" s="469" t="n"/>
      <c r="M279" s="469" t="n"/>
      <c r="N279" s="469" t="n"/>
      <c r="O279" s="469" t="n"/>
      <c r="P279" s="471" t="n"/>
      <c r="Q279" s="469" t="n"/>
      <c r="R279" s="469" t="n"/>
      <c r="S279" s="469" t="n"/>
      <c r="T279" s="469" t="n"/>
      <c r="U279" s="469" t="n"/>
      <c r="V279" s="469" t="n"/>
      <c r="W279" s="469" t="n"/>
      <c r="X279" s="469" t="n"/>
      <c r="Y279" s="469" t="n"/>
      <c r="Z279" s="469" t="n"/>
      <c r="AA279" s="469" t="n"/>
    </row>
    <row r="280">
      <c r="A280" s="468" t="n"/>
      <c r="B280" s="469" t="n"/>
      <c r="C280" s="469" t="n"/>
      <c r="D280" s="469" t="n"/>
      <c r="E280" s="469" t="n"/>
      <c r="F280" s="469" t="n"/>
      <c r="G280" s="469" t="n"/>
      <c r="H280" s="469" t="n"/>
      <c r="I280" s="469" t="n"/>
      <c r="J280" s="469" t="n"/>
      <c r="K280" s="469" t="n"/>
      <c r="L280" s="469" t="n"/>
      <c r="M280" s="469" t="n"/>
      <c r="N280" s="469" t="n"/>
      <c r="O280" s="469" t="n"/>
      <c r="P280" s="471" t="n"/>
      <c r="Q280" s="469" t="n"/>
      <c r="R280" s="469" t="n"/>
      <c r="S280" s="469" t="n"/>
      <c r="T280" s="469" t="n"/>
      <c r="U280" s="469" t="n"/>
      <c r="V280" s="469" t="n"/>
      <c r="W280" s="469" t="n"/>
      <c r="X280" s="469" t="n"/>
      <c r="Y280" s="469" t="n"/>
      <c r="Z280" s="469" t="n"/>
      <c r="AA280" s="469" t="n"/>
    </row>
    <row r="281">
      <c r="A281" s="468" t="n"/>
      <c r="B281" s="469" t="n"/>
      <c r="C281" s="469" t="n"/>
      <c r="D281" s="469" t="n"/>
      <c r="E281" s="469" t="n"/>
      <c r="F281" s="469" t="n"/>
      <c r="G281" s="469" t="n"/>
      <c r="H281" s="469" t="n"/>
      <c r="I281" s="469" t="n"/>
      <c r="J281" s="469" t="n"/>
      <c r="K281" s="469" t="n"/>
      <c r="L281" s="469" t="n"/>
      <c r="M281" s="469" t="n"/>
      <c r="N281" s="469" t="n"/>
      <c r="O281" s="469" t="n"/>
      <c r="P281" s="471" t="n"/>
      <c r="Q281" s="469" t="n"/>
      <c r="R281" s="469" t="n"/>
      <c r="S281" s="469" t="n"/>
      <c r="T281" s="469" t="n"/>
      <c r="U281" s="469" t="n"/>
      <c r="V281" s="469" t="n"/>
      <c r="W281" s="469" t="n"/>
      <c r="X281" s="469" t="n"/>
      <c r="Y281" s="469" t="n"/>
      <c r="Z281" s="469" t="n"/>
      <c r="AA281" s="469" t="n"/>
    </row>
    <row r="282">
      <c r="A282" s="468" t="n"/>
      <c r="B282" s="469" t="n"/>
      <c r="C282" s="469" t="n"/>
      <c r="D282" s="469" t="n"/>
      <c r="E282" s="469" t="n"/>
      <c r="F282" s="469" t="n"/>
      <c r="G282" s="469" t="n"/>
      <c r="H282" s="469" t="n"/>
      <c r="I282" s="469" t="n"/>
      <c r="J282" s="469" t="n"/>
      <c r="K282" s="469" t="n"/>
      <c r="L282" s="469" t="n"/>
      <c r="M282" s="469" t="n"/>
      <c r="N282" s="469" t="n"/>
      <c r="O282" s="469" t="n"/>
      <c r="P282" s="471" t="n"/>
      <c r="Q282" s="469" t="n"/>
      <c r="R282" s="469" t="n"/>
      <c r="S282" s="469" t="n"/>
      <c r="T282" s="469" t="n"/>
      <c r="U282" s="469" t="n"/>
      <c r="V282" s="469" t="n"/>
      <c r="W282" s="469" t="n"/>
      <c r="X282" s="469" t="n"/>
      <c r="Y282" s="469" t="n"/>
      <c r="Z282" s="469" t="n"/>
      <c r="AA282" s="469" t="n"/>
    </row>
    <row r="283">
      <c r="A283" s="468" t="n"/>
      <c r="B283" s="469" t="n"/>
      <c r="C283" s="469" t="n"/>
      <c r="D283" s="469" t="n"/>
      <c r="E283" s="469" t="n"/>
      <c r="F283" s="469" t="n"/>
      <c r="G283" s="469" t="n"/>
      <c r="H283" s="469" t="n"/>
      <c r="I283" s="469" t="n"/>
      <c r="J283" s="469" t="n"/>
      <c r="K283" s="469" t="n"/>
      <c r="L283" s="469" t="n"/>
      <c r="M283" s="469" t="n"/>
      <c r="N283" s="469" t="n"/>
      <c r="O283" s="469" t="n"/>
      <c r="P283" s="471" t="n"/>
      <c r="Q283" s="469" t="n"/>
      <c r="R283" s="469" t="n"/>
      <c r="S283" s="469" t="n"/>
      <c r="T283" s="469" t="n"/>
      <c r="U283" s="469" t="n"/>
      <c r="V283" s="469" t="n"/>
      <c r="W283" s="469" t="n"/>
      <c r="X283" s="469" t="n"/>
      <c r="Y283" s="469" t="n"/>
      <c r="Z283" s="469" t="n"/>
      <c r="AA283" s="469" t="n"/>
    </row>
    <row r="284">
      <c r="A284" s="468" t="n"/>
      <c r="B284" s="469" t="n"/>
      <c r="C284" s="469" t="n"/>
      <c r="D284" s="469" t="n"/>
      <c r="E284" s="469" t="n"/>
      <c r="F284" s="469" t="n"/>
      <c r="G284" s="469" t="n"/>
      <c r="H284" s="469" t="n"/>
      <c r="I284" s="469" t="n"/>
      <c r="J284" s="469" t="n"/>
      <c r="K284" s="469" t="n"/>
      <c r="L284" s="469" t="n"/>
      <c r="M284" s="469" t="n"/>
      <c r="N284" s="469" t="n"/>
      <c r="O284" s="469" t="n"/>
      <c r="P284" s="471" t="n"/>
      <c r="Q284" s="469" t="n"/>
      <c r="R284" s="469" t="n"/>
      <c r="S284" s="469" t="n"/>
      <c r="T284" s="469" t="n"/>
      <c r="U284" s="469" t="n"/>
      <c r="V284" s="469" t="n"/>
      <c r="W284" s="469" t="n"/>
      <c r="X284" s="469" t="n"/>
      <c r="Y284" s="469" t="n"/>
      <c r="Z284" s="469" t="n"/>
      <c r="AA284" s="469" t="n"/>
    </row>
    <row r="285">
      <c r="A285" s="468" t="n"/>
      <c r="B285" s="469" t="n"/>
      <c r="C285" s="469" t="n"/>
      <c r="D285" s="469" t="n"/>
      <c r="E285" s="469" t="n"/>
      <c r="F285" s="469" t="n"/>
      <c r="G285" s="469" t="n"/>
      <c r="H285" s="469" t="n"/>
      <c r="I285" s="469" t="n"/>
      <c r="J285" s="469" t="n"/>
      <c r="K285" s="469" t="n"/>
      <c r="L285" s="469" t="n"/>
      <c r="M285" s="469" t="n"/>
      <c r="N285" s="469" t="n"/>
      <c r="O285" s="469" t="n"/>
      <c r="P285" s="471" t="n"/>
      <c r="Q285" s="469" t="n"/>
      <c r="R285" s="469" t="n"/>
      <c r="S285" s="469" t="n"/>
      <c r="T285" s="469" t="n"/>
      <c r="U285" s="469" t="n"/>
      <c r="V285" s="469" t="n"/>
      <c r="W285" s="469" t="n"/>
      <c r="X285" s="469" t="n"/>
      <c r="Y285" s="469" t="n"/>
      <c r="Z285" s="469" t="n"/>
      <c r="AA285" s="469" t="n"/>
    </row>
    <row r="286">
      <c r="A286" s="468" t="n"/>
      <c r="B286" s="469" t="n"/>
      <c r="C286" s="469" t="n"/>
      <c r="D286" s="469" t="n"/>
      <c r="E286" s="469" t="n"/>
      <c r="F286" s="469" t="n"/>
      <c r="G286" s="469" t="n"/>
      <c r="H286" s="469" t="n"/>
      <c r="I286" s="469" t="n"/>
      <c r="J286" s="469" t="n"/>
      <c r="K286" s="469" t="n"/>
      <c r="L286" s="469" t="n"/>
      <c r="M286" s="469" t="n"/>
      <c r="N286" s="469" t="n"/>
      <c r="O286" s="469" t="n"/>
      <c r="P286" s="471" t="n"/>
      <c r="Q286" s="469" t="n"/>
      <c r="R286" s="469" t="n"/>
      <c r="S286" s="469" t="n"/>
      <c r="T286" s="469" t="n"/>
      <c r="U286" s="469" t="n"/>
      <c r="V286" s="469" t="n"/>
      <c r="W286" s="469" t="n"/>
      <c r="X286" s="469" t="n"/>
      <c r="Y286" s="469" t="n"/>
      <c r="Z286" s="469" t="n"/>
      <c r="AA286" s="469" t="n"/>
    </row>
    <row r="287">
      <c r="A287" s="468" t="n"/>
      <c r="B287" s="469" t="n"/>
      <c r="C287" s="469" t="n"/>
      <c r="D287" s="469" t="n"/>
      <c r="E287" s="469" t="n"/>
      <c r="F287" s="469" t="n"/>
      <c r="G287" s="469" t="n"/>
      <c r="H287" s="469" t="n"/>
      <c r="I287" s="469" t="n"/>
      <c r="J287" s="469" t="n"/>
      <c r="K287" s="469" t="n"/>
      <c r="L287" s="469" t="n"/>
      <c r="M287" s="469" t="n"/>
      <c r="N287" s="469" t="n"/>
      <c r="O287" s="469" t="n"/>
      <c r="P287" s="471" t="n"/>
      <c r="Q287" s="469" t="n"/>
      <c r="R287" s="469" t="n"/>
      <c r="S287" s="469" t="n"/>
      <c r="T287" s="469" t="n"/>
      <c r="U287" s="469" t="n"/>
      <c r="V287" s="469" t="n"/>
      <c r="W287" s="469" t="n"/>
      <c r="X287" s="469" t="n"/>
      <c r="Y287" s="469" t="n"/>
      <c r="Z287" s="469" t="n"/>
      <c r="AA287" s="469" t="n"/>
    </row>
    <row r="288">
      <c r="A288" s="468" t="n"/>
      <c r="B288" s="469" t="n"/>
      <c r="C288" s="469" t="n"/>
      <c r="D288" s="469" t="n"/>
      <c r="E288" s="469" t="n"/>
      <c r="F288" s="469" t="n"/>
      <c r="G288" s="469" t="n"/>
      <c r="H288" s="469" t="n"/>
      <c r="I288" s="469" t="n"/>
      <c r="J288" s="469" t="n"/>
      <c r="K288" s="469" t="n"/>
      <c r="L288" s="469" t="n"/>
      <c r="M288" s="469" t="n"/>
      <c r="N288" s="469" t="n"/>
      <c r="O288" s="469" t="n"/>
      <c r="P288" s="471" t="n"/>
      <c r="Q288" s="469" t="n"/>
      <c r="R288" s="469" t="n"/>
      <c r="S288" s="469" t="n"/>
      <c r="T288" s="469" t="n"/>
      <c r="U288" s="469" t="n"/>
      <c r="V288" s="469" t="n"/>
      <c r="W288" s="469" t="n"/>
      <c r="X288" s="469" t="n"/>
      <c r="Y288" s="469" t="n"/>
      <c r="Z288" s="469" t="n"/>
      <c r="AA288" s="469" t="n"/>
    </row>
    <row r="289">
      <c r="A289" s="468" t="n"/>
      <c r="B289" s="469" t="n"/>
      <c r="C289" s="469" t="n"/>
      <c r="D289" s="469" t="n"/>
      <c r="E289" s="469" t="n"/>
      <c r="F289" s="469" t="n"/>
      <c r="G289" s="469" t="n"/>
      <c r="H289" s="469" t="n"/>
      <c r="I289" s="469" t="n"/>
      <c r="J289" s="469" t="n"/>
      <c r="K289" s="469" t="n"/>
      <c r="L289" s="469" t="n"/>
      <c r="M289" s="469" t="n"/>
      <c r="N289" s="469" t="n"/>
      <c r="O289" s="469" t="n"/>
      <c r="P289" s="471" t="n"/>
      <c r="Q289" s="469" t="n"/>
      <c r="R289" s="469" t="n"/>
      <c r="S289" s="469" t="n"/>
      <c r="T289" s="469" t="n"/>
      <c r="U289" s="469" t="n"/>
      <c r="V289" s="469" t="n"/>
      <c r="W289" s="469" t="n"/>
      <c r="X289" s="469" t="n"/>
      <c r="Y289" s="469" t="n"/>
      <c r="Z289" s="469" t="n"/>
      <c r="AA289" s="469" t="n"/>
    </row>
    <row r="290">
      <c r="A290" s="468" t="n"/>
      <c r="B290" s="469" t="n"/>
      <c r="C290" s="469" t="n"/>
      <c r="D290" s="469" t="n"/>
      <c r="E290" s="469" t="n"/>
      <c r="F290" s="469" t="n"/>
      <c r="G290" s="469" t="n"/>
      <c r="H290" s="469" t="n"/>
      <c r="I290" s="469" t="n"/>
      <c r="J290" s="469" t="n"/>
      <c r="K290" s="469" t="n"/>
      <c r="L290" s="469" t="n"/>
      <c r="M290" s="469" t="n"/>
      <c r="N290" s="469" t="n"/>
      <c r="O290" s="469" t="n"/>
      <c r="P290" s="471" t="n"/>
      <c r="Q290" s="469" t="n"/>
      <c r="R290" s="469" t="n"/>
      <c r="S290" s="469" t="n"/>
      <c r="T290" s="469" t="n"/>
      <c r="U290" s="469" t="n"/>
      <c r="V290" s="469" t="n"/>
      <c r="W290" s="469" t="n"/>
      <c r="X290" s="469" t="n"/>
      <c r="Y290" s="469" t="n"/>
      <c r="Z290" s="469" t="n"/>
      <c r="AA290" s="469" t="n"/>
    </row>
    <row r="291">
      <c r="A291" s="468" t="n"/>
      <c r="B291" s="469" t="n"/>
      <c r="C291" s="469" t="n"/>
      <c r="D291" s="469" t="n"/>
      <c r="E291" s="469" t="n"/>
      <c r="F291" s="469" t="n"/>
      <c r="G291" s="469" t="n"/>
      <c r="H291" s="469" t="n"/>
      <c r="I291" s="469" t="n"/>
      <c r="J291" s="469" t="n"/>
      <c r="K291" s="469" t="n"/>
      <c r="L291" s="469" t="n"/>
      <c r="M291" s="469" t="n"/>
      <c r="N291" s="469" t="n"/>
      <c r="O291" s="469" t="n"/>
      <c r="P291" s="471" t="n"/>
      <c r="Q291" s="469" t="n"/>
      <c r="R291" s="469" t="n"/>
      <c r="S291" s="469" t="n"/>
      <c r="T291" s="469" t="n"/>
      <c r="U291" s="469" t="n"/>
      <c r="V291" s="469" t="n"/>
      <c r="W291" s="469" t="n"/>
      <c r="X291" s="469" t="n"/>
      <c r="Y291" s="469" t="n"/>
      <c r="Z291" s="469" t="n"/>
      <c r="AA291" s="469" t="n"/>
    </row>
    <row r="292">
      <c r="A292" s="468" t="n"/>
      <c r="B292" s="469" t="n"/>
      <c r="C292" s="469" t="n"/>
      <c r="D292" s="469" t="n"/>
      <c r="E292" s="469" t="n"/>
      <c r="F292" s="469" t="n"/>
      <c r="G292" s="469" t="n"/>
      <c r="H292" s="469" t="n"/>
      <c r="I292" s="469" t="n"/>
      <c r="J292" s="469" t="n"/>
      <c r="K292" s="469" t="n"/>
      <c r="L292" s="469" t="n"/>
      <c r="M292" s="469" t="n"/>
      <c r="N292" s="469" t="n"/>
      <c r="O292" s="469" t="n"/>
      <c r="P292" s="471" t="n"/>
      <c r="Q292" s="469" t="n"/>
      <c r="R292" s="469" t="n"/>
      <c r="S292" s="469" t="n"/>
      <c r="T292" s="469" t="n"/>
      <c r="U292" s="469" t="n"/>
      <c r="V292" s="469" t="n"/>
      <c r="W292" s="469" t="n"/>
      <c r="X292" s="469" t="n"/>
      <c r="Y292" s="469" t="n"/>
      <c r="Z292" s="469" t="n"/>
      <c r="AA292" s="469" t="n"/>
    </row>
    <row r="293">
      <c r="A293" s="468" t="n"/>
      <c r="B293" s="469" t="n"/>
      <c r="C293" s="469" t="n"/>
      <c r="D293" s="469" t="n"/>
      <c r="E293" s="469" t="n"/>
      <c r="F293" s="469" t="n"/>
      <c r="G293" s="469" t="n"/>
      <c r="H293" s="469" t="n"/>
      <c r="I293" s="469" t="n"/>
      <c r="J293" s="469" t="n"/>
      <c r="K293" s="469" t="n"/>
      <c r="L293" s="469" t="n"/>
      <c r="M293" s="469" t="n"/>
      <c r="N293" s="469" t="n"/>
      <c r="O293" s="469" t="n"/>
      <c r="P293" s="471" t="n"/>
      <c r="Q293" s="469" t="n"/>
      <c r="R293" s="469" t="n"/>
      <c r="S293" s="469" t="n"/>
      <c r="T293" s="469" t="n"/>
      <c r="U293" s="469" t="n"/>
      <c r="V293" s="469" t="n"/>
      <c r="W293" s="469" t="n"/>
      <c r="X293" s="469" t="n"/>
      <c r="Y293" s="469" t="n"/>
      <c r="Z293" s="469" t="n"/>
      <c r="AA293" s="469" t="n"/>
    </row>
    <row r="294">
      <c r="A294" s="468" t="n"/>
      <c r="B294" s="469" t="n"/>
      <c r="C294" s="469" t="n"/>
      <c r="D294" s="469" t="n"/>
      <c r="E294" s="469" t="n"/>
      <c r="F294" s="469" t="n"/>
      <c r="G294" s="469" t="n"/>
      <c r="H294" s="469" t="n"/>
      <c r="I294" s="469" t="n"/>
      <c r="J294" s="469" t="n"/>
      <c r="K294" s="469" t="n"/>
      <c r="L294" s="469" t="n"/>
      <c r="M294" s="469" t="n"/>
      <c r="N294" s="469" t="n"/>
      <c r="O294" s="469" t="n"/>
      <c r="P294" s="471" t="n"/>
      <c r="Q294" s="469" t="n"/>
      <c r="R294" s="469" t="n"/>
      <c r="S294" s="469" t="n"/>
      <c r="T294" s="469" t="n"/>
      <c r="U294" s="469" t="n"/>
      <c r="V294" s="469" t="n"/>
      <c r="W294" s="469" t="n"/>
      <c r="X294" s="469" t="n"/>
      <c r="Y294" s="469" t="n"/>
      <c r="Z294" s="469" t="n"/>
      <c r="AA294" s="469" t="n"/>
    </row>
    <row r="295">
      <c r="A295" s="468" t="n"/>
      <c r="B295" s="469" t="n"/>
      <c r="C295" s="469" t="n"/>
      <c r="D295" s="469" t="n"/>
      <c r="E295" s="469" t="n"/>
      <c r="F295" s="469" t="n"/>
      <c r="G295" s="469" t="n"/>
      <c r="H295" s="469" t="n"/>
      <c r="I295" s="469" t="n"/>
      <c r="J295" s="469" t="n"/>
      <c r="K295" s="469" t="n"/>
      <c r="L295" s="469" t="n"/>
      <c r="M295" s="469" t="n"/>
      <c r="N295" s="469" t="n"/>
      <c r="O295" s="469" t="n"/>
      <c r="P295" s="471" t="n"/>
      <c r="Q295" s="469" t="n"/>
      <c r="R295" s="469" t="n"/>
      <c r="S295" s="469" t="n"/>
      <c r="T295" s="469" t="n"/>
      <c r="U295" s="469" t="n"/>
      <c r="V295" s="469" t="n"/>
      <c r="W295" s="469" t="n"/>
      <c r="X295" s="469" t="n"/>
      <c r="Y295" s="469" t="n"/>
      <c r="Z295" s="469" t="n"/>
      <c r="AA295" s="469" t="n"/>
    </row>
    <row r="296">
      <c r="A296" s="468" t="n"/>
      <c r="B296" s="469" t="n"/>
      <c r="C296" s="469" t="n"/>
      <c r="D296" s="469" t="n"/>
      <c r="E296" s="469" t="n"/>
      <c r="F296" s="469" t="n"/>
      <c r="G296" s="469" t="n"/>
      <c r="H296" s="469" t="n"/>
      <c r="I296" s="469" t="n"/>
      <c r="J296" s="469" t="n"/>
      <c r="K296" s="469" t="n"/>
      <c r="L296" s="469" t="n"/>
      <c r="M296" s="469" t="n"/>
      <c r="N296" s="469" t="n"/>
      <c r="O296" s="469" t="n"/>
      <c r="P296" s="471" t="n"/>
      <c r="Q296" s="469" t="n"/>
      <c r="R296" s="469" t="n"/>
      <c r="S296" s="469" t="n"/>
      <c r="T296" s="469" t="n"/>
      <c r="U296" s="469" t="n"/>
      <c r="V296" s="469" t="n"/>
      <c r="W296" s="469" t="n"/>
      <c r="X296" s="469" t="n"/>
      <c r="Y296" s="469" t="n"/>
      <c r="Z296" s="469" t="n"/>
      <c r="AA296" s="469" t="n"/>
    </row>
    <row r="297">
      <c r="A297" s="468" t="n"/>
      <c r="B297" s="469" t="n"/>
      <c r="C297" s="469" t="n"/>
      <c r="D297" s="469" t="n"/>
      <c r="E297" s="469" t="n"/>
      <c r="F297" s="469" t="n"/>
      <c r="G297" s="469" t="n"/>
      <c r="H297" s="469" t="n"/>
      <c r="I297" s="469" t="n"/>
      <c r="J297" s="469" t="n"/>
      <c r="K297" s="469" t="n"/>
      <c r="L297" s="469" t="n"/>
      <c r="M297" s="469" t="n"/>
      <c r="N297" s="469" t="n"/>
      <c r="O297" s="469" t="n"/>
      <c r="P297" s="471" t="n"/>
      <c r="Q297" s="469" t="n"/>
      <c r="R297" s="469" t="n"/>
      <c r="S297" s="469" t="n"/>
      <c r="T297" s="469" t="n"/>
      <c r="U297" s="469" t="n"/>
      <c r="V297" s="469" t="n"/>
      <c r="W297" s="469" t="n"/>
      <c r="X297" s="469" t="n"/>
      <c r="Y297" s="469" t="n"/>
      <c r="Z297" s="469" t="n"/>
      <c r="AA297" s="469" t="n"/>
    </row>
    <row r="298">
      <c r="A298" s="468" t="n"/>
      <c r="B298" s="469" t="n"/>
      <c r="C298" s="469" t="n"/>
      <c r="D298" s="469" t="n"/>
      <c r="E298" s="469" t="n"/>
      <c r="F298" s="469" t="n"/>
      <c r="G298" s="469" t="n"/>
      <c r="H298" s="469" t="n"/>
      <c r="I298" s="469" t="n"/>
      <c r="J298" s="469" t="n"/>
      <c r="K298" s="469" t="n"/>
      <c r="L298" s="469" t="n"/>
      <c r="M298" s="469" t="n"/>
      <c r="N298" s="469" t="n"/>
      <c r="O298" s="469" t="n"/>
      <c r="P298" s="471" t="n"/>
      <c r="Q298" s="469" t="n"/>
      <c r="R298" s="469" t="n"/>
      <c r="S298" s="469" t="n"/>
      <c r="T298" s="469" t="n"/>
      <c r="U298" s="469" t="n"/>
      <c r="V298" s="469" t="n"/>
      <c r="W298" s="469" t="n"/>
      <c r="X298" s="469" t="n"/>
      <c r="Y298" s="469" t="n"/>
      <c r="Z298" s="469" t="n"/>
      <c r="AA298" s="469" t="n"/>
    </row>
    <row r="299">
      <c r="A299" s="468" t="n"/>
      <c r="B299" s="469" t="n"/>
      <c r="C299" s="469" t="n"/>
      <c r="D299" s="469" t="n"/>
      <c r="E299" s="469" t="n"/>
      <c r="F299" s="469" t="n"/>
      <c r="G299" s="469" t="n"/>
      <c r="H299" s="469" t="n"/>
      <c r="I299" s="469" t="n"/>
      <c r="J299" s="469" t="n"/>
      <c r="K299" s="469" t="n"/>
      <c r="L299" s="469" t="n"/>
      <c r="M299" s="469" t="n"/>
      <c r="N299" s="469" t="n"/>
      <c r="O299" s="469" t="n"/>
      <c r="P299" s="471" t="n"/>
      <c r="Q299" s="469" t="n"/>
      <c r="R299" s="469" t="n"/>
      <c r="S299" s="469" t="n"/>
      <c r="T299" s="469" t="n"/>
      <c r="U299" s="469" t="n"/>
      <c r="V299" s="469" t="n"/>
      <c r="W299" s="469" t="n"/>
      <c r="X299" s="469" t="n"/>
      <c r="Y299" s="469" t="n"/>
      <c r="Z299" s="469" t="n"/>
      <c r="AA299" s="469" t="n"/>
    </row>
    <row r="300">
      <c r="A300" s="468" t="n"/>
      <c r="B300" s="469" t="n"/>
      <c r="C300" s="469" t="n"/>
      <c r="D300" s="469" t="n"/>
      <c r="E300" s="469" t="n"/>
      <c r="F300" s="469" t="n"/>
      <c r="G300" s="469" t="n"/>
      <c r="H300" s="469" t="n"/>
      <c r="I300" s="469" t="n"/>
      <c r="J300" s="469" t="n"/>
      <c r="K300" s="469" t="n"/>
      <c r="L300" s="469" t="n"/>
      <c r="M300" s="469" t="n"/>
      <c r="N300" s="469" t="n"/>
      <c r="O300" s="469" t="n"/>
      <c r="P300" s="471" t="n"/>
      <c r="Q300" s="469" t="n"/>
      <c r="R300" s="469" t="n"/>
      <c r="S300" s="469" t="n"/>
      <c r="T300" s="469" t="n"/>
      <c r="U300" s="469" t="n"/>
      <c r="V300" s="469" t="n"/>
      <c r="W300" s="469" t="n"/>
      <c r="X300" s="469" t="n"/>
      <c r="Y300" s="469" t="n"/>
      <c r="Z300" s="469" t="n"/>
      <c r="AA300" s="469" t="n"/>
    </row>
    <row r="301">
      <c r="A301" s="468" t="n"/>
      <c r="B301" s="469" t="n"/>
      <c r="C301" s="469" t="n"/>
      <c r="D301" s="469" t="n"/>
      <c r="E301" s="469" t="n"/>
      <c r="F301" s="469" t="n"/>
      <c r="G301" s="469" t="n"/>
      <c r="H301" s="469" t="n"/>
      <c r="I301" s="469" t="n"/>
      <c r="J301" s="469" t="n"/>
      <c r="K301" s="469" t="n"/>
      <c r="L301" s="469" t="n"/>
      <c r="M301" s="469" t="n"/>
      <c r="N301" s="469" t="n"/>
      <c r="O301" s="469" t="n"/>
      <c r="P301" s="471" t="n"/>
      <c r="Q301" s="469" t="n"/>
      <c r="R301" s="469" t="n"/>
      <c r="S301" s="469" t="n"/>
      <c r="T301" s="469" t="n"/>
      <c r="U301" s="469" t="n"/>
      <c r="V301" s="469" t="n"/>
      <c r="W301" s="469" t="n"/>
      <c r="X301" s="469" t="n"/>
      <c r="Y301" s="469" t="n"/>
      <c r="Z301" s="469" t="n"/>
      <c r="AA301" s="469" t="n"/>
    </row>
    <row r="302">
      <c r="A302" s="468" t="n"/>
      <c r="B302" s="469" t="n"/>
      <c r="C302" s="469" t="n"/>
      <c r="D302" s="469" t="n"/>
      <c r="E302" s="469" t="n"/>
      <c r="F302" s="469" t="n"/>
      <c r="G302" s="469" t="n"/>
      <c r="H302" s="469" t="n"/>
      <c r="I302" s="469" t="n"/>
      <c r="J302" s="469" t="n"/>
      <c r="K302" s="469" t="n"/>
      <c r="L302" s="469" t="n"/>
      <c r="M302" s="469" t="n"/>
      <c r="N302" s="469" t="n"/>
      <c r="O302" s="469" t="n"/>
      <c r="P302" s="471" t="n"/>
      <c r="Q302" s="469" t="n"/>
      <c r="R302" s="469" t="n"/>
      <c r="S302" s="469" t="n"/>
      <c r="T302" s="469" t="n"/>
      <c r="U302" s="469" t="n"/>
      <c r="V302" s="469" t="n"/>
      <c r="W302" s="469" t="n"/>
      <c r="X302" s="469" t="n"/>
      <c r="Y302" s="469" t="n"/>
      <c r="Z302" s="469" t="n"/>
      <c r="AA302" s="469" t="n"/>
    </row>
    <row r="303">
      <c r="A303" s="468" t="n"/>
      <c r="B303" s="469" t="n"/>
      <c r="C303" s="469" t="n"/>
      <c r="D303" s="469" t="n"/>
      <c r="E303" s="469" t="n"/>
      <c r="F303" s="469" t="n"/>
      <c r="G303" s="469" t="n"/>
      <c r="H303" s="469" t="n"/>
      <c r="I303" s="469" t="n"/>
      <c r="J303" s="469" t="n"/>
      <c r="K303" s="469" t="n"/>
      <c r="L303" s="469" t="n"/>
      <c r="M303" s="469" t="n"/>
      <c r="N303" s="469" t="n"/>
      <c r="O303" s="469" t="n"/>
      <c r="P303" s="471" t="n"/>
      <c r="Q303" s="469" t="n"/>
      <c r="R303" s="469" t="n"/>
      <c r="S303" s="469" t="n"/>
      <c r="T303" s="469" t="n"/>
      <c r="U303" s="469" t="n"/>
      <c r="V303" s="469" t="n"/>
      <c r="W303" s="469" t="n"/>
      <c r="X303" s="469" t="n"/>
      <c r="Y303" s="469" t="n"/>
      <c r="Z303" s="469" t="n"/>
      <c r="AA303" s="469" t="n"/>
    </row>
    <row r="304">
      <c r="A304" s="468" t="n"/>
      <c r="B304" s="469" t="n"/>
      <c r="C304" s="469" t="n"/>
      <c r="D304" s="469" t="n"/>
      <c r="E304" s="469" t="n"/>
      <c r="F304" s="469" t="n"/>
      <c r="G304" s="469" t="n"/>
      <c r="H304" s="469" t="n"/>
      <c r="I304" s="469" t="n"/>
      <c r="J304" s="469" t="n"/>
      <c r="K304" s="469" t="n"/>
      <c r="L304" s="469" t="n"/>
      <c r="M304" s="469" t="n"/>
      <c r="N304" s="469" t="n"/>
      <c r="O304" s="469" t="n"/>
      <c r="P304" s="471" t="n"/>
      <c r="Q304" s="469" t="n"/>
      <c r="R304" s="469" t="n"/>
      <c r="S304" s="469" t="n"/>
      <c r="T304" s="469" t="n"/>
      <c r="U304" s="469" t="n"/>
      <c r="V304" s="469" t="n"/>
      <c r="W304" s="469" t="n"/>
      <c r="X304" s="469" t="n"/>
      <c r="Y304" s="469" t="n"/>
      <c r="Z304" s="469" t="n"/>
      <c r="AA304" s="469" t="n"/>
    </row>
    <row r="305">
      <c r="A305" s="468" t="n"/>
      <c r="B305" s="469" t="n"/>
      <c r="C305" s="469" t="n"/>
      <c r="D305" s="469" t="n"/>
      <c r="E305" s="469" t="n"/>
      <c r="F305" s="469" t="n"/>
      <c r="G305" s="469" t="n"/>
      <c r="H305" s="469" t="n"/>
      <c r="I305" s="469" t="n"/>
      <c r="J305" s="469" t="n"/>
      <c r="K305" s="469" t="n"/>
      <c r="L305" s="469" t="n"/>
      <c r="M305" s="469" t="n"/>
      <c r="N305" s="469" t="n"/>
      <c r="O305" s="469" t="n"/>
      <c r="P305" s="471" t="n"/>
      <c r="Q305" s="469" t="n"/>
      <c r="R305" s="469" t="n"/>
      <c r="S305" s="469" t="n"/>
      <c r="T305" s="469" t="n"/>
      <c r="U305" s="469" t="n"/>
      <c r="V305" s="469" t="n"/>
      <c r="W305" s="469" t="n"/>
      <c r="X305" s="469" t="n"/>
      <c r="Y305" s="469" t="n"/>
      <c r="Z305" s="469" t="n"/>
      <c r="AA305" s="469" t="n"/>
    </row>
    <row r="306">
      <c r="A306" s="468" t="n"/>
      <c r="B306" s="469" t="n"/>
      <c r="C306" s="469" t="n"/>
      <c r="D306" s="469" t="n"/>
      <c r="E306" s="469" t="n"/>
      <c r="F306" s="469" t="n"/>
      <c r="G306" s="469" t="n"/>
      <c r="H306" s="469" t="n"/>
      <c r="I306" s="469" t="n"/>
      <c r="J306" s="469" t="n"/>
      <c r="K306" s="469" t="n"/>
      <c r="L306" s="469" t="n"/>
      <c r="M306" s="469" t="n"/>
      <c r="N306" s="469" t="n"/>
      <c r="O306" s="469" t="n"/>
      <c r="P306" s="471" t="n"/>
      <c r="Q306" s="469" t="n"/>
      <c r="R306" s="469" t="n"/>
      <c r="S306" s="469" t="n"/>
      <c r="T306" s="469" t="n"/>
      <c r="U306" s="469" t="n"/>
      <c r="V306" s="469" t="n"/>
      <c r="W306" s="469" t="n"/>
      <c r="X306" s="469" t="n"/>
      <c r="Y306" s="469" t="n"/>
      <c r="Z306" s="469" t="n"/>
      <c r="AA306" s="469" t="n"/>
    </row>
    <row r="307">
      <c r="A307" s="468" t="n"/>
      <c r="B307" s="469" t="n"/>
      <c r="C307" s="469" t="n"/>
      <c r="D307" s="469" t="n"/>
      <c r="E307" s="469" t="n"/>
      <c r="F307" s="469" t="n"/>
      <c r="G307" s="469" t="n"/>
      <c r="H307" s="469" t="n"/>
      <c r="I307" s="469" t="n"/>
      <c r="J307" s="469" t="n"/>
      <c r="K307" s="469" t="n"/>
      <c r="L307" s="469" t="n"/>
      <c r="M307" s="469" t="n"/>
      <c r="N307" s="469" t="n"/>
      <c r="O307" s="469" t="n"/>
      <c r="P307" s="471" t="n"/>
      <c r="Q307" s="469" t="n"/>
      <c r="R307" s="469" t="n"/>
      <c r="S307" s="469" t="n"/>
      <c r="T307" s="469" t="n"/>
      <c r="U307" s="469" t="n"/>
      <c r="V307" s="469" t="n"/>
      <c r="W307" s="469" t="n"/>
      <c r="X307" s="469" t="n"/>
      <c r="Y307" s="469" t="n"/>
      <c r="Z307" s="469" t="n"/>
      <c r="AA307" s="469" t="n"/>
    </row>
    <row r="308">
      <c r="A308" s="468" t="n"/>
      <c r="B308" s="469" t="n"/>
      <c r="C308" s="469" t="n"/>
      <c r="D308" s="469" t="n"/>
      <c r="E308" s="469" t="n"/>
      <c r="F308" s="469" t="n"/>
      <c r="G308" s="469" t="n"/>
      <c r="H308" s="469" t="n"/>
      <c r="I308" s="469" t="n"/>
      <c r="J308" s="469" t="n"/>
      <c r="K308" s="469" t="n"/>
      <c r="L308" s="469" t="n"/>
      <c r="M308" s="469" t="n"/>
      <c r="N308" s="469" t="n"/>
      <c r="O308" s="469" t="n"/>
      <c r="P308" s="471" t="n"/>
      <c r="Q308" s="469" t="n"/>
      <c r="R308" s="469" t="n"/>
      <c r="S308" s="469" t="n"/>
      <c r="T308" s="469" t="n"/>
      <c r="U308" s="469" t="n"/>
      <c r="V308" s="469" t="n"/>
      <c r="W308" s="469" t="n"/>
      <c r="X308" s="469" t="n"/>
      <c r="Y308" s="469" t="n"/>
      <c r="Z308" s="469" t="n"/>
      <c r="AA308" s="469" t="n"/>
    </row>
    <row r="309">
      <c r="A309" s="468" t="n"/>
      <c r="B309" s="469" t="n"/>
      <c r="C309" s="469" t="n"/>
      <c r="D309" s="469" t="n"/>
      <c r="E309" s="469" t="n"/>
      <c r="F309" s="469" t="n"/>
      <c r="G309" s="469" t="n"/>
      <c r="H309" s="469" t="n"/>
      <c r="I309" s="469" t="n"/>
      <c r="J309" s="469" t="n"/>
      <c r="K309" s="469" t="n"/>
      <c r="L309" s="469" t="n"/>
      <c r="M309" s="469" t="n"/>
      <c r="N309" s="469" t="n"/>
      <c r="O309" s="469" t="n"/>
      <c r="P309" s="471" t="n"/>
      <c r="Q309" s="469" t="n"/>
      <c r="R309" s="469" t="n"/>
      <c r="S309" s="469" t="n"/>
      <c r="T309" s="469" t="n"/>
      <c r="U309" s="469" t="n"/>
      <c r="V309" s="469" t="n"/>
      <c r="W309" s="469" t="n"/>
      <c r="X309" s="469" t="n"/>
      <c r="Y309" s="469" t="n"/>
      <c r="Z309" s="469" t="n"/>
      <c r="AA309" s="469" t="n"/>
    </row>
    <row r="310">
      <c r="A310" s="468" t="n"/>
      <c r="B310" s="469" t="n"/>
      <c r="C310" s="469" t="n"/>
      <c r="D310" s="469" t="n"/>
      <c r="E310" s="469" t="n"/>
      <c r="F310" s="469" t="n"/>
      <c r="G310" s="469" t="n"/>
      <c r="H310" s="469" t="n"/>
      <c r="I310" s="469" t="n"/>
      <c r="J310" s="469" t="n"/>
      <c r="K310" s="469" t="n"/>
      <c r="L310" s="469" t="n"/>
      <c r="M310" s="469" t="n"/>
      <c r="N310" s="469" t="n"/>
      <c r="O310" s="469" t="n"/>
      <c r="P310" s="471" t="n"/>
      <c r="Q310" s="469" t="n"/>
      <c r="R310" s="469" t="n"/>
      <c r="S310" s="469" t="n"/>
      <c r="T310" s="469" t="n"/>
      <c r="U310" s="469" t="n"/>
      <c r="V310" s="469" t="n"/>
      <c r="W310" s="469" t="n"/>
      <c r="X310" s="469" t="n"/>
      <c r="Y310" s="469" t="n"/>
      <c r="Z310" s="469" t="n"/>
      <c r="AA310" s="469" t="n"/>
    </row>
    <row r="311">
      <c r="A311" s="468" t="n"/>
      <c r="B311" s="469" t="n"/>
      <c r="C311" s="469" t="n"/>
      <c r="D311" s="469" t="n"/>
      <c r="E311" s="469" t="n"/>
      <c r="F311" s="469" t="n"/>
      <c r="G311" s="469" t="n"/>
      <c r="H311" s="469" t="n"/>
      <c r="I311" s="469" t="n"/>
      <c r="J311" s="469" t="n"/>
      <c r="K311" s="469" t="n"/>
      <c r="L311" s="469" t="n"/>
      <c r="M311" s="469" t="n"/>
      <c r="N311" s="469" t="n"/>
      <c r="O311" s="469" t="n"/>
      <c r="P311" s="471" t="n"/>
      <c r="Q311" s="469" t="n"/>
      <c r="R311" s="469" t="n"/>
      <c r="S311" s="469" t="n"/>
      <c r="T311" s="469" t="n"/>
      <c r="U311" s="469" t="n"/>
      <c r="V311" s="469" t="n"/>
      <c r="W311" s="469" t="n"/>
      <c r="X311" s="469" t="n"/>
      <c r="Y311" s="469" t="n"/>
      <c r="Z311" s="469" t="n"/>
      <c r="AA311" s="469" t="n"/>
    </row>
    <row r="312">
      <c r="A312" s="468" t="n"/>
      <c r="B312" s="469" t="n"/>
      <c r="C312" s="469" t="n"/>
      <c r="D312" s="469" t="n"/>
      <c r="E312" s="469" t="n"/>
      <c r="F312" s="469" t="n"/>
      <c r="G312" s="469" t="n"/>
      <c r="H312" s="469" t="n"/>
      <c r="I312" s="469" t="n"/>
      <c r="J312" s="469" t="n"/>
      <c r="K312" s="469" t="n"/>
      <c r="L312" s="469" t="n"/>
      <c r="M312" s="469" t="n"/>
      <c r="N312" s="469" t="n"/>
      <c r="O312" s="469" t="n"/>
      <c r="P312" s="471" t="n"/>
      <c r="Q312" s="469" t="n"/>
      <c r="R312" s="469" t="n"/>
      <c r="S312" s="469" t="n"/>
      <c r="T312" s="469" t="n"/>
      <c r="U312" s="469" t="n"/>
      <c r="V312" s="469" t="n"/>
      <c r="W312" s="469" t="n"/>
      <c r="X312" s="469" t="n"/>
      <c r="Y312" s="469" t="n"/>
      <c r="Z312" s="469" t="n"/>
      <c r="AA312" s="469" t="n"/>
    </row>
    <row r="313">
      <c r="A313" s="468" t="n"/>
      <c r="B313" s="469" t="n"/>
      <c r="C313" s="469" t="n"/>
      <c r="D313" s="469" t="n"/>
      <c r="E313" s="469" t="n"/>
      <c r="F313" s="469" t="n"/>
      <c r="G313" s="469" t="n"/>
      <c r="H313" s="469" t="n"/>
      <c r="I313" s="469" t="n"/>
      <c r="J313" s="469" t="n"/>
      <c r="K313" s="469" t="n"/>
      <c r="L313" s="469" t="n"/>
      <c r="M313" s="469" t="n"/>
      <c r="N313" s="469" t="n"/>
      <c r="O313" s="469" t="n"/>
      <c r="P313" s="471" t="n"/>
      <c r="Q313" s="469" t="n"/>
      <c r="R313" s="469" t="n"/>
      <c r="S313" s="469" t="n"/>
      <c r="T313" s="469" t="n"/>
      <c r="U313" s="469" t="n"/>
      <c r="V313" s="469" t="n"/>
      <c r="W313" s="469" t="n"/>
      <c r="X313" s="469" t="n"/>
      <c r="Y313" s="469" t="n"/>
      <c r="Z313" s="469" t="n"/>
      <c r="AA313" s="469" t="n"/>
    </row>
    <row r="314">
      <c r="A314" s="468" t="n"/>
      <c r="B314" s="469" t="n"/>
      <c r="C314" s="469" t="n"/>
      <c r="D314" s="469" t="n"/>
      <c r="E314" s="469" t="n"/>
      <c r="F314" s="469" t="n"/>
      <c r="G314" s="469" t="n"/>
      <c r="H314" s="469" t="n"/>
      <c r="I314" s="469" t="n"/>
      <c r="J314" s="469" t="n"/>
      <c r="K314" s="469" t="n"/>
      <c r="L314" s="469" t="n"/>
      <c r="M314" s="469" t="n"/>
      <c r="N314" s="469" t="n"/>
      <c r="O314" s="469" t="n"/>
      <c r="P314" s="471" t="n"/>
      <c r="Q314" s="469" t="n"/>
      <c r="R314" s="469" t="n"/>
      <c r="S314" s="469" t="n"/>
      <c r="T314" s="469" t="n"/>
      <c r="U314" s="469" t="n"/>
      <c r="V314" s="469" t="n"/>
      <c r="W314" s="469" t="n"/>
      <c r="X314" s="469" t="n"/>
      <c r="Y314" s="469" t="n"/>
      <c r="Z314" s="469" t="n"/>
      <c r="AA314" s="469" t="n"/>
    </row>
    <row r="315">
      <c r="A315" s="468" t="n"/>
      <c r="B315" s="469" t="n"/>
      <c r="C315" s="469" t="n"/>
      <c r="D315" s="469" t="n"/>
      <c r="E315" s="469" t="n"/>
      <c r="F315" s="469" t="n"/>
      <c r="G315" s="469" t="n"/>
      <c r="H315" s="469" t="n"/>
      <c r="I315" s="469" t="n"/>
      <c r="J315" s="469" t="n"/>
      <c r="K315" s="469" t="n"/>
      <c r="L315" s="469" t="n"/>
      <c r="M315" s="469" t="n"/>
      <c r="N315" s="469" t="n"/>
      <c r="O315" s="469" t="n"/>
      <c r="P315" s="471" t="n"/>
      <c r="Q315" s="469" t="n"/>
      <c r="R315" s="469" t="n"/>
      <c r="S315" s="469" t="n"/>
      <c r="T315" s="469" t="n"/>
      <c r="U315" s="469" t="n"/>
      <c r="V315" s="469" t="n"/>
      <c r="W315" s="469" t="n"/>
      <c r="X315" s="469" t="n"/>
      <c r="Y315" s="469" t="n"/>
      <c r="Z315" s="469" t="n"/>
      <c r="AA315" s="469" t="n"/>
    </row>
    <row r="316">
      <c r="A316" s="468" t="n"/>
      <c r="B316" s="469" t="n"/>
      <c r="C316" s="469" t="n"/>
      <c r="D316" s="469" t="n"/>
      <c r="E316" s="469" t="n"/>
      <c r="F316" s="469" t="n"/>
      <c r="G316" s="469" t="n"/>
      <c r="H316" s="469" t="n"/>
      <c r="I316" s="469" t="n"/>
      <c r="J316" s="469" t="n"/>
      <c r="K316" s="469" t="n"/>
      <c r="L316" s="469" t="n"/>
      <c r="M316" s="469" t="n"/>
      <c r="N316" s="469" t="n"/>
      <c r="O316" s="469" t="n"/>
      <c r="P316" s="471" t="n"/>
      <c r="Q316" s="469" t="n"/>
      <c r="R316" s="469" t="n"/>
      <c r="S316" s="469" t="n"/>
      <c r="T316" s="469" t="n"/>
      <c r="U316" s="469" t="n"/>
      <c r="V316" s="469" t="n"/>
      <c r="W316" s="469" t="n"/>
      <c r="X316" s="469" t="n"/>
      <c r="Y316" s="469" t="n"/>
      <c r="Z316" s="469" t="n"/>
      <c r="AA316" s="469" t="n"/>
    </row>
    <row r="317">
      <c r="A317" s="468" t="n"/>
      <c r="B317" s="469" t="n"/>
      <c r="C317" s="469" t="n"/>
      <c r="D317" s="469" t="n"/>
      <c r="E317" s="469" t="n"/>
      <c r="F317" s="469" t="n"/>
      <c r="G317" s="469" t="n"/>
      <c r="H317" s="469" t="n"/>
      <c r="I317" s="469" t="n"/>
      <c r="J317" s="469" t="n"/>
      <c r="K317" s="469" t="n"/>
      <c r="L317" s="469" t="n"/>
      <c r="M317" s="469" t="n"/>
      <c r="N317" s="469" t="n"/>
      <c r="O317" s="469" t="n"/>
      <c r="P317" s="471" t="n"/>
      <c r="Q317" s="469" t="n"/>
      <c r="R317" s="469" t="n"/>
      <c r="S317" s="469" t="n"/>
      <c r="T317" s="469" t="n"/>
      <c r="U317" s="469" t="n"/>
      <c r="V317" s="469" t="n"/>
      <c r="W317" s="469" t="n"/>
      <c r="X317" s="469" t="n"/>
      <c r="Y317" s="469" t="n"/>
      <c r="Z317" s="469" t="n"/>
      <c r="AA317" s="469" t="n"/>
    </row>
    <row r="318">
      <c r="A318" s="468" t="n"/>
      <c r="B318" s="469" t="n"/>
      <c r="C318" s="469" t="n"/>
      <c r="D318" s="469" t="n"/>
      <c r="E318" s="469" t="n"/>
      <c r="F318" s="469" t="n"/>
      <c r="G318" s="469" t="n"/>
      <c r="H318" s="469" t="n"/>
      <c r="I318" s="469" t="n"/>
      <c r="J318" s="469" t="n"/>
      <c r="K318" s="469" t="n"/>
      <c r="L318" s="469" t="n"/>
      <c r="M318" s="469" t="n"/>
      <c r="N318" s="469" t="n"/>
      <c r="O318" s="469" t="n"/>
      <c r="P318" s="471" t="n"/>
      <c r="Q318" s="469" t="n"/>
      <c r="R318" s="469" t="n"/>
      <c r="S318" s="469" t="n"/>
      <c r="T318" s="469" t="n"/>
      <c r="U318" s="469" t="n"/>
      <c r="V318" s="469" t="n"/>
      <c r="W318" s="469" t="n"/>
      <c r="X318" s="469" t="n"/>
      <c r="Y318" s="469" t="n"/>
      <c r="Z318" s="469" t="n"/>
      <c r="AA318" s="469" t="n"/>
    </row>
    <row r="319">
      <c r="A319" s="468" t="n"/>
      <c r="B319" s="469" t="n"/>
      <c r="C319" s="469" t="n"/>
      <c r="D319" s="469" t="n"/>
      <c r="E319" s="469" t="n"/>
      <c r="F319" s="469" t="n"/>
      <c r="G319" s="469" t="n"/>
      <c r="H319" s="469" t="n"/>
      <c r="I319" s="469" t="n"/>
      <c r="J319" s="469" t="n"/>
      <c r="K319" s="469" t="n"/>
      <c r="L319" s="469" t="n"/>
      <c r="M319" s="469" t="n"/>
      <c r="N319" s="469" t="n"/>
      <c r="O319" s="469" t="n"/>
      <c r="P319" s="471" t="n"/>
      <c r="Q319" s="469" t="n"/>
      <c r="R319" s="469" t="n"/>
      <c r="S319" s="469" t="n"/>
      <c r="T319" s="469" t="n"/>
      <c r="U319" s="469" t="n"/>
      <c r="V319" s="469" t="n"/>
      <c r="W319" s="469" t="n"/>
      <c r="X319" s="469" t="n"/>
      <c r="Y319" s="469" t="n"/>
      <c r="Z319" s="469" t="n"/>
      <c r="AA319" s="469" t="n"/>
    </row>
    <row r="320">
      <c r="A320" s="468" t="n"/>
      <c r="B320" s="469" t="n"/>
      <c r="C320" s="469" t="n"/>
      <c r="D320" s="469" t="n"/>
      <c r="E320" s="469" t="n"/>
      <c r="F320" s="469" t="n"/>
      <c r="G320" s="469" t="n"/>
      <c r="H320" s="469" t="n"/>
      <c r="I320" s="469" t="n"/>
      <c r="J320" s="469" t="n"/>
      <c r="K320" s="469" t="n"/>
      <c r="L320" s="469" t="n"/>
      <c r="M320" s="469" t="n"/>
      <c r="N320" s="469" t="n"/>
      <c r="O320" s="469" t="n"/>
      <c r="P320" s="471" t="n"/>
      <c r="Q320" s="469" t="n"/>
      <c r="R320" s="469" t="n"/>
      <c r="S320" s="469" t="n"/>
      <c r="T320" s="469" t="n"/>
      <c r="U320" s="469" t="n"/>
      <c r="V320" s="469" t="n"/>
      <c r="W320" s="469" t="n"/>
      <c r="X320" s="469" t="n"/>
      <c r="Y320" s="469" t="n"/>
      <c r="Z320" s="469" t="n"/>
      <c r="AA320" s="469" t="n"/>
    </row>
    <row r="321">
      <c r="A321" s="468" t="n"/>
      <c r="B321" s="469" t="n"/>
      <c r="C321" s="469" t="n"/>
      <c r="D321" s="469" t="n"/>
      <c r="E321" s="469" t="n"/>
      <c r="F321" s="469" t="n"/>
      <c r="G321" s="469" t="n"/>
      <c r="H321" s="469" t="n"/>
      <c r="I321" s="469" t="n"/>
      <c r="J321" s="469" t="n"/>
      <c r="K321" s="469" t="n"/>
      <c r="L321" s="469" t="n"/>
      <c r="M321" s="469" t="n"/>
      <c r="N321" s="469" t="n"/>
      <c r="O321" s="469" t="n"/>
      <c r="P321" s="471" t="n"/>
      <c r="Q321" s="469" t="n"/>
      <c r="R321" s="469" t="n"/>
      <c r="S321" s="469" t="n"/>
      <c r="T321" s="469" t="n"/>
      <c r="U321" s="469" t="n"/>
      <c r="V321" s="469" t="n"/>
      <c r="W321" s="469" t="n"/>
      <c r="X321" s="469" t="n"/>
      <c r="Y321" s="469" t="n"/>
      <c r="Z321" s="469" t="n"/>
      <c r="AA321" s="469" t="n"/>
    </row>
    <row r="322">
      <c r="A322" s="468" t="n"/>
      <c r="B322" s="469" t="n"/>
      <c r="C322" s="469" t="n"/>
      <c r="D322" s="469" t="n"/>
      <c r="E322" s="469" t="n"/>
      <c r="F322" s="469" t="n"/>
      <c r="G322" s="469" t="n"/>
      <c r="H322" s="469" t="n"/>
      <c r="I322" s="469" t="n"/>
      <c r="J322" s="469" t="n"/>
      <c r="K322" s="469" t="n"/>
      <c r="L322" s="469" t="n"/>
      <c r="M322" s="469" t="n"/>
      <c r="N322" s="469" t="n"/>
      <c r="O322" s="469" t="n"/>
      <c r="P322" s="471" t="n"/>
      <c r="Q322" s="469" t="n"/>
      <c r="R322" s="469" t="n"/>
      <c r="S322" s="469" t="n"/>
      <c r="T322" s="469" t="n"/>
      <c r="U322" s="469" t="n"/>
      <c r="V322" s="469" t="n"/>
      <c r="W322" s="469" t="n"/>
      <c r="X322" s="469" t="n"/>
      <c r="Y322" s="469" t="n"/>
      <c r="Z322" s="469" t="n"/>
      <c r="AA322" s="469" t="n"/>
    </row>
    <row r="323">
      <c r="A323" s="468" t="n"/>
      <c r="B323" s="469" t="n"/>
      <c r="C323" s="469" t="n"/>
      <c r="D323" s="469" t="n"/>
      <c r="E323" s="469" t="n"/>
      <c r="F323" s="469" t="n"/>
      <c r="G323" s="469" t="n"/>
      <c r="H323" s="469" t="n"/>
      <c r="I323" s="469" t="n"/>
      <c r="J323" s="469" t="n"/>
      <c r="K323" s="469" t="n"/>
      <c r="L323" s="469" t="n"/>
      <c r="M323" s="469" t="n"/>
      <c r="N323" s="469" t="n"/>
      <c r="O323" s="469" t="n"/>
      <c r="P323" s="471" t="n"/>
      <c r="Q323" s="469" t="n"/>
      <c r="R323" s="469" t="n"/>
      <c r="S323" s="469" t="n"/>
      <c r="T323" s="469" t="n"/>
      <c r="U323" s="469" t="n"/>
      <c r="V323" s="469" t="n"/>
      <c r="W323" s="469" t="n"/>
      <c r="X323" s="469" t="n"/>
      <c r="Y323" s="469" t="n"/>
      <c r="Z323" s="469" t="n"/>
      <c r="AA323" s="469" t="n"/>
    </row>
    <row r="324">
      <c r="A324" s="468" t="n"/>
      <c r="B324" s="469" t="n"/>
      <c r="C324" s="469" t="n"/>
      <c r="D324" s="469" t="n"/>
      <c r="E324" s="469" t="n"/>
      <c r="F324" s="469" t="n"/>
      <c r="G324" s="469" t="n"/>
      <c r="H324" s="469" t="n"/>
      <c r="I324" s="469" t="n"/>
      <c r="J324" s="469" t="n"/>
      <c r="K324" s="469" t="n"/>
      <c r="L324" s="469" t="n"/>
      <c r="M324" s="469" t="n"/>
      <c r="N324" s="469" t="n"/>
      <c r="O324" s="469" t="n"/>
      <c r="P324" s="471" t="n"/>
      <c r="Q324" s="469" t="n"/>
      <c r="R324" s="469" t="n"/>
      <c r="S324" s="469" t="n"/>
      <c r="T324" s="469" t="n"/>
      <c r="U324" s="469" t="n"/>
      <c r="V324" s="469" t="n"/>
      <c r="W324" s="469" t="n"/>
      <c r="X324" s="469" t="n"/>
      <c r="Y324" s="469" t="n"/>
      <c r="Z324" s="469" t="n"/>
      <c r="AA324" s="469" t="n"/>
    </row>
    <row r="325">
      <c r="A325" s="468" t="n"/>
      <c r="B325" s="469" t="n"/>
      <c r="C325" s="469" t="n"/>
      <c r="D325" s="469" t="n"/>
      <c r="E325" s="469" t="n"/>
      <c r="F325" s="469" t="n"/>
      <c r="G325" s="469" t="n"/>
      <c r="H325" s="469" t="n"/>
      <c r="I325" s="469" t="n"/>
      <c r="J325" s="469" t="n"/>
      <c r="K325" s="469" t="n"/>
      <c r="L325" s="469" t="n"/>
      <c r="M325" s="469" t="n"/>
      <c r="N325" s="469" t="n"/>
      <c r="O325" s="469" t="n"/>
      <c r="P325" s="471" t="n"/>
      <c r="Q325" s="469" t="n"/>
      <c r="R325" s="469" t="n"/>
      <c r="S325" s="469" t="n"/>
      <c r="T325" s="469" t="n"/>
      <c r="U325" s="469" t="n"/>
      <c r="V325" s="469" t="n"/>
      <c r="W325" s="469" t="n"/>
      <c r="X325" s="469" t="n"/>
      <c r="Y325" s="469" t="n"/>
      <c r="Z325" s="469" t="n"/>
      <c r="AA325" s="469" t="n"/>
    </row>
    <row r="326">
      <c r="A326" s="468" t="n"/>
      <c r="B326" s="469" t="n"/>
      <c r="C326" s="469" t="n"/>
      <c r="D326" s="469" t="n"/>
      <c r="E326" s="469" t="n"/>
      <c r="F326" s="469" t="n"/>
      <c r="G326" s="469" t="n"/>
      <c r="H326" s="469" t="n"/>
      <c r="I326" s="469" t="n"/>
      <c r="J326" s="469" t="n"/>
      <c r="K326" s="469" t="n"/>
      <c r="L326" s="469" t="n"/>
      <c r="M326" s="469" t="n"/>
      <c r="N326" s="469" t="n"/>
      <c r="O326" s="469" t="n"/>
      <c r="P326" s="471" t="n"/>
      <c r="Q326" s="469" t="n"/>
      <c r="R326" s="469" t="n"/>
      <c r="S326" s="469" t="n"/>
      <c r="T326" s="469" t="n"/>
      <c r="U326" s="469" t="n"/>
      <c r="V326" s="469" t="n"/>
      <c r="W326" s="469" t="n"/>
      <c r="X326" s="469" t="n"/>
      <c r="Y326" s="469" t="n"/>
      <c r="Z326" s="469" t="n"/>
      <c r="AA326" s="469" t="n"/>
    </row>
    <row r="327">
      <c r="A327" s="468" t="n"/>
      <c r="B327" s="469" t="n"/>
      <c r="C327" s="469" t="n"/>
      <c r="D327" s="469" t="n"/>
      <c r="E327" s="469" t="n"/>
      <c r="F327" s="469" t="n"/>
      <c r="G327" s="469" t="n"/>
      <c r="H327" s="469" t="n"/>
      <c r="I327" s="469" t="n"/>
      <c r="J327" s="469" t="n"/>
      <c r="K327" s="469" t="n"/>
      <c r="L327" s="469" t="n"/>
      <c r="M327" s="469" t="n"/>
      <c r="N327" s="469" t="n"/>
      <c r="O327" s="469" t="n"/>
      <c r="P327" s="471" t="n"/>
      <c r="Q327" s="469" t="n"/>
      <c r="R327" s="469" t="n"/>
      <c r="S327" s="469" t="n"/>
      <c r="T327" s="469" t="n"/>
      <c r="U327" s="469" t="n"/>
      <c r="V327" s="469" t="n"/>
      <c r="W327" s="469" t="n"/>
      <c r="X327" s="469" t="n"/>
      <c r="Y327" s="469" t="n"/>
      <c r="Z327" s="469" t="n"/>
      <c r="AA327" s="469" t="n"/>
    </row>
    <row r="328">
      <c r="A328" s="468" t="n"/>
      <c r="B328" s="469" t="n"/>
      <c r="C328" s="469" t="n"/>
      <c r="D328" s="469" t="n"/>
      <c r="E328" s="469" t="n"/>
      <c r="F328" s="469" t="n"/>
      <c r="G328" s="469" t="n"/>
      <c r="H328" s="469" t="n"/>
      <c r="I328" s="469" t="n"/>
      <c r="J328" s="469" t="n"/>
      <c r="K328" s="469" t="n"/>
      <c r="L328" s="469" t="n"/>
      <c r="M328" s="469" t="n"/>
      <c r="N328" s="469" t="n"/>
      <c r="O328" s="469" t="n"/>
      <c r="P328" s="471" t="n"/>
      <c r="Q328" s="469" t="n"/>
      <c r="R328" s="469" t="n"/>
      <c r="S328" s="469" t="n"/>
      <c r="T328" s="469" t="n"/>
      <c r="U328" s="469" t="n"/>
      <c r="V328" s="469" t="n"/>
      <c r="W328" s="469" t="n"/>
      <c r="X328" s="469" t="n"/>
      <c r="Y328" s="469" t="n"/>
      <c r="Z328" s="469" t="n"/>
      <c r="AA328" s="469" t="n"/>
    </row>
    <row r="329">
      <c r="A329" s="468" t="n"/>
      <c r="B329" s="469" t="n"/>
      <c r="C329" s="469" t="n"/>
      <c r="D329" s="469" t="n"/>
      <c r="E329" s="469" t="n"/>
      <c r="F329" s="469" t="n"/>
      <c r="G329" s="469" t="n"/>
      <c r="H329" s="469" t="n"/>
      <c r="I329" s="469" t="n"/>
      <c r="J329" s="469" t="n"/>
      <c r="K329" s="469" t="n"/>
      <c r="L329" s="469" t="n"/>
      <c r="M329" s="469" t="n"/>
      <c r="N329" s="469" t="n"/>
      <c r="O329" s="469" t="n"/>
      <c r="P329" s="471" t="n"/>
      <c r="Q329" s="469" t="n"/>
      <c r="R329" s="469" t="n"/>
      <c r="S329" s="469" t="n"/>
      <c r="T329" s="469" t="n"/>
      <c r="U329" s="469" t="n"/>
      <c r="V329" s="469" t="n"/>
      <c r="W329" s="469" t="n"/>
      <c r="X329" s="469" t="n"/>
      <c r="Y329" s="469" t="n"/>
      <c r="Z329" s="469" t="n"/>
      <c r="AA329" s="469" t="n"/>
    </row>
    <row r="330">
      <c r="A330" s="468" t="n"/>
      <c r="B330" s="469" t="n"/>
      <c r="C330" s="469" t="n"/>
      <c r="D330" s="469" t="n"/>
      <c r="E330" s="469" t="n"/>
      <c r="F330" s="469" t="n"/>
      <c r="G330" s="469" t="n"/>
      <c r="H330" s="469" t="n"/>
      <c r="I330" s="469" t="n"/>
      <c r="J330" s="469" t="n"/>
      <c r="K330" s="469" t="n"/>
      <c r="L330" s="469" t="n"/>
      <c r="M330" s="469" t="n"/>
      <c r="N330" s="469" t="n"/>
      <c r="O330" s="469" t="n"/>
      <c r="P330" s="471" t="n"/>
      <c r="Q330" s="469" t="n"/>
      <c r="R330" s="469" t="n"/>
      <c r="S330" s="469" t="n"/>
      <c r="T330" s="469" t="n"/>
      <c r="U330" s="469" t="n"/>
      <c r="V330" s="469" t="n"/>
      <c r="W330" s="469" t="n"/>
      <c r="X330" s="469" t="n"/>
      <c r="Y330" s="469" t="n"/>
      <c r="Z330" s="469" t="n"/>
      <c r="AA330" s="469" t="n"/>
    </row>
    <row r="331">
      <c r="A331" s="468" t="n"/>
      <c r="B331" s="469" t="n"/>
      <c r="C331" s="469" t="n"/>
      <c r="D331" s="469" t="n"/>
      <c r="E331" s="469" t="n"/>
      <c r="F331" s="469" t="n"/>
      <c r="G331" s="469" t="n"/>
      <c r="H331" s="469" t="n"/>
      <c r="I331" s="469" t="n"/>
      <c r="J331" s="469" t="n"/>
      <c r="K331" s="469" t="n"/>
      <c r="L331" s="469" t="n"/>
      <c r="M331" s="469" t="n"/>
      <c r="N331" s="469" t="n"/>
      <c r="O331" s="469" t="n"/>
      <c r="P331" s="471" t="n"/>
      <c r="Q331" s="469" t="n"/>
      <c r="R331" s="469" t="n"/>
      <c r="S331" s="469" t="n"/>
      <c r="T331" s="469" t="n"/>
      <c r="U331" s="469" t="n"/>
      <c r="V331" s="469" t="n"/>
      <c r="W331" s="469" t="n"/>
      <c r="X331" s="469" t="n"/>
      <c r="Y331" s="469" t="n"/>
      <c r="Z331" s="469" t="n"/>
      <c r="AA331" s="469" t="n"/>
    </row>
    <row r="332">
      <c r="A332" s="468" t="n"/>
      <c r="B332" s="469" t="n"/>
      <c r="C332" s="469" t="n"/>
      <c r="D332" s="469" t="n"/>
      <c r="E332" s="469" t="n"/>
      <c r="F332" s="469" t="n"/>
      <c r="G332" s="469" t="n"/>
      <c r="H332" s="469" t="n"/>
      <c r="I332" s="469" t="n"/>
      <c r="J332" s="469" t="n"/>
      <c r="K332" s="469" t="n"/>
      <c r="L332" s="469" t="n"/>
      <c r="M332" s="469" t="n"/>
      <c r="N332" s="469" t="n"/>
      <c r="O332" s="469" t="n"/>
      <c r="P332" s="471" t="n"/>
      <c r="Q332" s="469" t="n"/>
      <c r="R332" s="469" t="n"/>
      <c r="S332" s="469" t="n"/>
      <c r="T332" s="469" t="n"/>
      <c r="U332" s="469" t="n"/>
      <c r="V332" s="469" t="n"/>
      <c r="W332" s="469" t="n"/>
      <c r="X332" s="469" t="n"/>
      <c r="Y332" s="469" t="n"/>
      <c r="Z332" s="469" t="n"/>
      <c r="AA332" s="469" t="n"/>
    </row>
    <row r="333">
      <c r="A333" s="468" t="n"/>
      <c r="B333" s="469" t="n"/>
      <c r="C333" s="469" t="n"/>
      <c r="D333" s="469" t="n"/>
      <c r="E333" s="469" t="n"/>
      <c r="F333" s="469" t="n"/>
      <c r="G333" s="469" t="n"/>
      <c r="H333" s="469" t="n"/>
      <c r="I333" s="469" t="n"/>
      <c r="J333" s="469" t="n"/>
      <c r="K333" s="469" t="n"/>
      <c r="L333" s="469" t="n"/>
      <c r="M333" s="469" t="n"/>
      <c r="N333" s="469" t="n"/>
      <c r="O333" s="469" t="n"/>
      <c r="P333" s="471" t="n"/>
      <c r="Q333" s="469" t="n"/>
      <c r="R333" s="469" t="n"/>
      <c r="S333" s="469" t="n"/>
      <c r="T333" s="469" t="n"/>
      <c r="U333" s="469" t="n"/>
      <c r="V333" s="469" t="n"/>
      <c r="W333" s="469" t="n"/>
      <c r="X333" s="469" t="n"/>
      <c r="Y333" s="469" t="n"/>
      <c r="Z333" s="469" t="n"/>
      <c r="AA333" s="469" t="n"/>
    </row>
    <row r="334">
      <c r="A334" s="468" t="n"/>
      <c r="B334" s="469" t="n"/>
      <c r="C334" s="469" t="n"/>
      <c r="D334" s="469" t="n"/>
      <c r="E334" s="469" t="n"/>
      <c r="F334" s="469" t="n"/>
      <c r="G334" s="469" t="n"/>
      <c r="H334" s="469" t="n"/>
      <c r="I334" s="469" t="n"/>
      <c r="J334" s="469" t="n"/>
      <c r="K334" s="469" t="n"/>
      <c r="L334" s="469" t="n"/>
      <c r="M334" s="469" t="n"/>
      <c r="N334" s="469" t="n"/>
      <c r="O334" s="469" t="n"/>
      <c r="P334" s="471" t="n"/>
      <c r="Q334" s="469" t="n"/>
      <c r="R334" s="469" t="n"/>
      <c r="S334" s="469" t="n"/>
      <c r="T334" s="469" t="n"/>
      <c r="U334" s="469" t="n"/>
      <c r="V334" s="469" t="n"/>
      <c r="W334" s="469" t="n"/>
      <c r="X334" s="469" t="n"/>
      <c r="Y334" s="469" t="n"/>
      <c r="Z334" s="469" t="n"/>
      <c r="AA334" s="469" t="n"/>
    </row>
    <row r="335">
      <c r="A335" s="468" t="n"/>
      <c r="B335" s="469" t="n"/>
      <c r="C335" s="469" t="n"/>
      <c r="D335" s="469" t="n"/>
      <c r="E335" s="469" t="n"/>
      <c r="F335" s="469" t="n"/>
      <c r="G335" s="469" t="n"/>
      <c r="H335" s="469" t="n"/>
      <c r="I335" s="469" t="n"/>
      <c r="J335" s="469" t="n"/>
      <c r="K335" s="469" t="n"/>
      <c r="L335" s="469" t="n"/>
      <c r="M335" s="469" t="n"/>
      <c r="N335" s="469" t="n"/>
      <c r="O335" s="469" t="n"/>
      <c r="P335" s="471" t="n"/>
      <c r="Q335" s="469" t="n"/>
      <c r="R335" s="469" t="n"/>
      <c r="S335" s="469" t="n"/>
      <c r="T335" s="469" t="n"/>
      <c r="U335" s="469" t="n"/>
      <c r="V335" s="469" t="n"/>
      <c r="W335" s="469" t="n"/>
      <c r="X335" s="469" t="n"/>
      <c r="Y335" s="469" t="n"/>
      <c r="Z335" s="469" t="n"/>
      <c r="AA335" s="469" t="n"/>
    </row>
    <row r="336">
      <c r="A336" s="468" t="n"/>
      <c r="B336" s="469" t="n"/>
      <c r="C336" s="469" t="n"/>
      <c r="D336" s="469" t="n"/>
      <c r="E336" s="469" t="n"/>
      <c r="F336" s="469" t="n"/>
      <c r="G336" s="469" t="n"/>
      <c r="H336" s="469" t="n"/>
      <c r="I336" s="469" t="n"/>
      <c r="J336" s="469" t="n"/>
      <c r="K336" s="469" t="n"/>
      <c r="L336" s="469" t="n"/>
      <c r="M336" s="469" t="n"/>
      <c r="N336" s="469" t="n"/>
      <c r="O336" s="469" t="n"/>
      <c r="P336" s="471" t="n"/>
      <c r="Q336" s="469" t="n"/>
      <c r="R336" s="469" t="n"/>
      <c r="S336" s="469" t="n"/>
      <c r="T336" s="469" t="n"/>
      <c r="U336" s="469" t="n"/>
      <c r="V336" s="469" t="n"/>
      <c r="W336" s="469" t="n"/>
      <c r="X336" s="469" t="n"/>
      <c r="Y336" s="469" t="n"/>
      <c r="Z336" s="469" t="n"/>
      <c r="AA336" s="469" t="n"/>
    </row>
    <row r="337">
      <c r="A337" s="468" t="n"/>
      <c r="B337" s="469" t="n"/>
      <c r="C337" s="469" t="n"/>
      <c r="D337" s="469" t="n"/>
      <c r="E337" s="469" t="n"/>
      <c r="F337" s="469" t="n"/>
      <c r="G337" s="469" t="n"/>
      <c r="H337" s="469" t="n"/>
      <c r="I337" s="469" t="n"/>
      <c r="J337" s="469" t="n"/>
      <c r="K337" s="469" t="n"/>
      <c r="L337" s="469" t="n"/>
      <c r="M337" s="469" t="n"/>
      <c r="N337" s="469" t="n"/>
      <c r="O337" s="469" t="n"/>
      <c r="P337" s="471" t="n"/>
      <c r="Q337" s="469" t="n"/>
      <c r="R337" s="469" t="n"/>
      <c r="S337" s="469" t="n"/>
      <c r="T337" s="469" t="n"/>
      <c r="U337" s="469" t="n"/>
      <c r="V337" s="469" t="n"/>
      <c r="W337" s="469" t="n"/>
      <c r="X337" s="469" t="n"/>
      <c r="Y337" s="469" t="n"/>
      <c r="Z337" s="469" t="n"/>
      <c r="AA337" s="469" t="n"/>
    </row>
    <row r="338">
      <c r="A338" s="468" t="n"/>
      <c r="B338" s="469" t="n"/>
      <c r="C338" s="469" t="n"/>
      <c r="D338" s="469" t="n"/>
      <c r="E338" s="469" t="n"/>
      <c r="F338" s="469" t="n"/>
      <c r="G338" s="469" t="n"/>
      <c r="H338" s="469" t="n"/>
      <c r="I338" s="469" t="n"/>
      <c r="J338" s="469" t="n"/>
      <c r="K338" s="469" t="n"/>
      <c r="L338" s="469" t="n"/>
      <c r="M338" s="469" t="n"/>
      <c r="N338" s="469" t="n"/>
      <c r="O338" s="469" t="n"/>
      <c r="P338" s="471" t="n"/>
      <c r="Q338" s="469" t="n"/>
      <c r="R338" s="469" t="n"/>
      <c r="S338" s="469" t="n"/>
      <c r="T338" s="469" t="n"/>
      <c r="U338" s="469" t="n"/>
      <c r="V338" s="469" t="n"/>
      <c r="W338" s="469" t="n"/>
      <c r="X338" s="469" t="n"/>
      <c r="Y338" s="469" t="n"/>
      <c r="Z338" s="469" t="n"/>
      <c r="AA338" s="469" t="n"/>
    </row>
    <row r="339">
      <c r="A339" s="468" t="n"/>
      <c r="B339" s="469" t="n"/>
      <c r="C339" s="469" t="n"/>
      <c r="D339" s="469" t="n"/>
      <c r="E339" s="469" t="n"/>
      <c r="F339" s="469" t="n"/>
      <c r="G339" s="469" t="n"/>
      <c r="H339" s="469" t="n"/>
      <c r="I339" s="469" t="n"/>
      <c r="J339" s="469" t="n"/>
      <c r="K339" s="469" t="n"/>
      <c r="L339" s="469" t="n"/>
      <c r="M339" s="469" t="n"/>
      <c r="N339" s="469" t="n"/>
      <c r="O339" s="469" t="n"/>
      <c r="P339" s="471" t="n"/>
      <c r="Q339" s="469" t="n"/>
      <c r="R339" s="469" t="n"/>
      <c r="S339" s="469" t="n"/>
      <c r="T339" s="469" t="n"/>
      <c r="U339" s="469" t="n"/>
      <c r="V339" s="469" t="n"/>
      <c r="W339" s="469" t="n"/>
      <c r="X339" s="469" t="n"/>
      <c r="Y339" s="469" t="n"/>
      <c r="Z339" s="469" t="n"/>
      <c r="AA339" s="469" t="n"/>
    </row>
    <row r="340">
      <c r="A340" s="468" t="n"/>
      <c r="B340" s="469" t="n"/>
      <c r="C340" s="469" t="n"/>
      <c r="D340" s="469" t="n"/>
      <c r="E340" s="469" t="n"/>
      <c r="F340" s="469" t="n"/>
      <c r="G340" s="469" t="n"/>
      <c r="H340" s="469" t="n"/>
      <c r="I340" s="469" t="n"/>
      <c r="J340" s="469" t="n"/>
      <c r="K340" s="469" t="n"/>
      <c r="L340" s="469" t="n"/>
      <c r="M340" s="469" t="n"/>
      <c r="N340" s="469" t="n"/>
      <c r="O340" s="469" t="n"/>
      <c r="P340" s="471" t="n"/>
      <c r="Q340" s="469" t="n"/>
      <c r="R340" s="469" t="n"/>
      <c r="S340" s="469" t="n"/>
      <c r="T340" s="469" t="n"/>
      <c r="U340" s="469" t="n"/>
      <c r="V340" s="469" t="n"/>
      <c r="W340" s="469" t="n"/>
      <c r="X340" s="469" t="n"/>
      <c r="Y340" s="469" t="n"/>
      <c r="Z340" s="469" t="n"/>
      <c r="AA340" s="469" t="n"/>
    </row>
    <row r="341">
      <c r="A341" s="468" t="n"/>
      <c r="B341" s="469" t="n"/>
      <c r="C341" s="469" t="n"/>
      <c r="D341" s="469" t="n"/>
      <c r="E341" s="469" t="n"/>
      <c r="F341" s="469" t="n"/>
      <c r="G341" s="469" t="n"/>
      <c r="H341" s="469" t="n"/>
      <c r="I341" s="469" t="n"/>
      <c r="J341" s="469" t="n"/>
      <c r="K341" s="469" t="n"/>
      <c r="L341" s="469" t="n"/>
      <c r="M341" s="469" t="n"/>
      <c r="N341" s="469" t="n"/>
      <c r="O341" s="469" t="n"/>
      <c r="P341" s="471" t="n"/>
      <c r="Q341" s="469" t="n"/>
      <c r="R341" s="469" t="n"/>
      <c r="S341" s="469" t="n"/>
      <c r="T341" s="469" t="n"/>
      <c r="U341" s="469" t="n"/>
      <c r="V341" s="469" t="n"/>
      <c r="W341" s="469" t="n"/>
      <c r="X341" s="469" t="n"/>
      <c r="Y341" s="469" t="n"/>
      <c r="Z341" s="469" t="n"/>
      <c r="AA341" s="469" t="n"/>
    </row>
    <row r="342">
      <c r="A342" s="468" t="n"/>
      <c r="B342" s="469" t="n"/>
      <c r="C342" s="469" t="n"/>
      <c r="D342" s="469" t="n"/>
      <c r="E342" s="469" t="n"/>
      <c r="F342" s="469" t="n"/>
      <c r="G342" s="469" t="n"/>
      <c r="H342" s="469" t="n"/>
      <c r="I342" s="469" t="n"/>
      <c r="J342" s="469" t="n"/>
      <c r="K342" s="469" t="n"/>
      <c r="L342" s="469" t="n"/>
      <c r="M342" s="469" t="n"/>
      <c r="N342" s="469" t="n"/>
      <c r="O342" s="469" t="n"/>
      <c r="P342" s="471" t="n"/>
      <c r="Q342" s="469" t="n"/>
      <c r="R342" s="469" t="n"/>
      <c r="S342" s="469" t="n"/>
      <c r="T342" s="469" t="n"/>
      <c r="U342" s="469" t="n"/>
      <c r="V342" s="469" t="n"/>
      <c r="W342" s="469" t="n"/>
      <c r="X342" s="469" t="n"/>
      <c r="Y342" s="469" t="n"/>
      <c r="Z342" s="469" t="n"/>
      <c r="AA342" s="469" t="n"/>
    </row>
    <row r="343">
      <c r="A343" s="468" t="n"/>
      <c r="B343" s="469" t="n"/>
      <c r="C343" s="469" t="n"/>
      <c r="D343" s="469" t="n"/>
      <c r="E343" s="469" t="n"/>
      <c r="F343" s="469" t="n"/>
      <c r="G343" s="469" t="n"/>
      <c r="H343" s="469" t="n"/>
      <c r="I343" s="469" t="n"/>
      <c r="J343" s="469" t="n"/>
      <c r="K343" s="469" t="n"/>
      <c r="L343" s="469" t="n"/>
      <c r="M343" s="469" t="n"/>
      <c r="N343" s="469" t="n"/>
      <c r="O343" s="469" t="n"/>
      <c r="P343" s="471" t="n"/>
      <c r="Q343" s="469" t="n"/>
      <c r="R343" s="469" t="n"/>
      <c r="S343" s="469" t="n"/>
      <c r="T343" s="469" t="n"/>
      <c r="U343" s="469" t="n"/>
      <c r="V343" s="469" t="n"/>
      <c r="W343" s="469" t="n"/>
      <c r="X343" s="469" t="n"/>
      <c r="Y343" s="469" t="n"/>
      <c r="Z343" s="469" t="n"/>
      <c r="AA343" s="469" t="n"/>
    </row>
    <row r="344">
      <c r="A344" s="468" t="n"/>
      <c r="B344" s="469" t="n"/>
      <c r="C344" s="469" t="n"/>
      <c r="D344" s="469" t="n"/>
      <c r="E344" s="469" t="n"/>
      <c r="F344" s="469" t="n"/>
      <c r="G344" s="469" t="n"/>
      <c r="H344" s="469" t="n"/>
      <c r="I344" s="469" t="n"/>
      <c r="J344" s="469" t="n"/>
      <c r="K344" s="469" t="n"/>
      <c r="L344" s="469" t="n"/>
      <c r="M344" s="469" t="n"/>
      <c r="N344" s="469" t="n"/>
      <c r="O344" s="469" t="n"/>
      <c r="P344" s="471" t="n"/>
      <c r="Q344" s="469" t="n"/>
      <c r="R344" s="469" t="n"/>
      <c r="S344" s="469" t="n"/>
      <c r="T344" s="469" t="n"/>
      <c r="U344" s="469" t="n"/>
      <c r="V344" s="469" t="n"/>
      <c r="W344" s="469" t="n"/>
      <c r="X344" s="469" t="n"/>
      <c r="Y344" s="469" t="n"/>
      <c r="Z344" s="469" t="n"/>
      <c r="AA344" s="469" t="n"/>
    </row>
    <row r="345">
      <c r="A345" s="468" t="n"/>
      <c r="B345" s="469" t="n"/>
      <c r="C345" s="469" t="n"/>
      <c r="D345" s="469" t="n"/>
      <c r="E345" s="469" t="n"/>
      <c r="F345" s="469" t="n"/>
      <c r="G345" s="469" t="n"/>
      <c r="H345" s="469" t="n"/>
      <c r="I345" s="469" t="n"/>
      <c r="J345" s="469" t="n"/>
      <c r="K345" s="469" t="n"/>
      <c r="L345" s="469" t="n"/>
      <c r="M345" s="469" t="n"/>
      <c r="N345" s="469" t="n"/>
      <c r="O345" s="469" t="n"/>
      <c r="P345" s="471" t="n"/>
      <c r="Q345" s="469" t="n"/>
      <c r="R345" s="469" t="n"/>
      <c r="S345" s="469" t="n"/>
      <c r="T345" s="469" t="n"/>
      <c r="U345" s="469" t="n"/>
      <c r="V345" s="469" t="n"/>
      <c r="W345" s="469" t="n"/>
      <c r="X345" s="469" t="n"/>
      <c r="Y345" s="469" t="n"/>
      <c r="Z345" s="469" t="n"/>
      <c r="AA345" s="469" t="n"/>
    </row>
    <row r="346">
      <c r="A346" s="468" t="n"/>
      <c r="B346" s="469" t="n"/>
      <c r="C346" s="469" t="n"/>
      <c r="D346" s="469" t="n"/>
      <c r="E346" s="469" t="n"/>
      <c r="F346" s="469" t="n"/>
      <c r="G346" s="469" t="n"/>
      <c r="H346" s="469" t="n"/>
      <c r="I346" s="469" t="n"/>
      <c r="J346" s="469" t="n"/>
      <c r="K346" s="469" t="n"/>
      <c r="L346" s="469" t="n"/>
      <c r="M346" s="469" t="n"/>
      <c r="N346" s="469" t="n"/>
      <c r="O346" s="469" t="n"/>
      <c r="P346" s="471" t="n"/>
      <c r="Q346" s="469" t="n"/>
      <c r="R346" s="469" t="n"/>
      <c r="S346" s="469" t="n"/>
      <c r="T346" s="469" t="n"/>
      <c r="U346" s="469" t="n"/>
      <c r="V346" s="469" t="n"/>
      <c r="W346" s="469" t="n"/>
      <c r="X346" s="469" t="n"/>
      <c r="Y346" s="469" t="n"/>
      <c r="Z346" s="469" t="n"/>
      <c r="AA346" s="469" t="n"/>
    </row>
    <row r="347">
      <c r="A347" s="468" t="n"/>
      <c r="B347" s="469" t="n"/>
      <c r="C347" s="469" t="n"/>
      <c r="D347" s="469" t="n"/>
      <c r="E347" s="469" t="n"/>
      <c r="F347" s="469" t="n"/>
      <c r="G347" s="469" t="n"/>
      <c r="H347" s="469" t="n"/>
      <c r="I347" s="469" t="n"/>
      <c r="J347" s="469" t="n"/>
      <c r="K347" s="469" t="n"/>
      <c r="L347" s="469" t="n"/>
      <c r="M347" s="469" t="n"/>
      <c r="N347" s="469" t="n"/>
      <c r="O347" s="469" t="n"/>
      <c r="P347" s="471" t="n"/>
      <c r="Q347" s="469" t="n"/>
      <c r="R347" s="469" t="n"/>
      <c r="S347" s="469" t="n"/>
      <c r="T347" s="469" t="n"/>
      <c r="U347" s="469" t="n"/>
      <c r="V347" s="469" t="n"/>
      <c r="W347" s="469" t="n"/>
      <c r="X347" s="469" t="n"/>
      <c r="Y347" s="469" t="n"/>
      <c r="Z347" s="469" t="n"/>
      <c r="AA347" s="469" t="n"/>
    </row>
    <row r="348">
      <c r="A348" s="468" t="n"/>
      <c r="B348" s="469" t="n"/>
      <c r="C348" s="469" t="n"/>
      <c r="D348" s="469" t="n"/>
      <c r="E348" s="469" t="n"/>
      <c r="F348" s="469" t="n"/>
      <c r="G348" s="469" t="n"/>
      <c r="H348" s="469" t="n"/>
      <c r="I348" s="469" t="n"/>
      <c r="J348" s="469" t="n"/>
      <c r="K348" s="469" t="n"/>
      <c r="L348" s="469" t="n"/>
      <c r="M348" s="469" t="n"/>
      <c r="N348" s="469" t="n"/>
      <c r="O348" s="469" t="n"/>
      <c r="P348" s="471" t="n"/>
      <c r="Q348" s="469" t="n"/>
      <c r="R348" s="469" t="n"/>
      <c r="S348" s="469" t="n"/>
      <c r="T348" s="469" t="n"/>
      <c r="U348" s="469" t="n"/>
      <c r="V348" s="469" t="n"/>
      <c r="W348" s="469" t="n"/>
      <c r="X348" s="469" t="n"/>
      <c r="Y348" s="469" t="n"/>
      <c r="Z348" s="469" t="n"/>
      <c r="AA348" s="469" t="n"/>
    </row>
    <row r="349">
      <c r="A349" s="468" t="n"/>
      <c r="B349" s="469" t="n"/>
      <c r="C349" s="469" t="n"/>
      <c r="D349" s="469" t="n"/>
      <c r="E349" s="469" t="n"/>
      <c r="F349" s="469" t="n"/>
      <c r="G349" s="469" t="n"/>
      <c r="H349" s="469" t="n"/>
      <c r="I349" s="469" t="n"/>
      <c r="J349" s="469" t="n"/>
      <c r="K349" s="469" t="n"/>
      <c r="L349" s="469" t="n"/>
      <c r="M349" s="469" t="n"/>
      <c r="N349" s="469" t="n"/>
      <c r="O349" s="469" t="n"/>
      <c r="P349" s="471" t="n"/>
      <c r="Q349" s="469" t="n"/>
      <c r="R349" s="469" t="n"/>
      <c r="S349" s="469" t="n"/>
      <c r="T349" s="469" t="n"/>
      <c r="U349" s="469" t="n"/>
      <c r="V349" s="469" t="n"/>
      <c r="W349" s="469" t="n"/>
      <c r="X349" s="469" t="n"/>
      <c r="Y349" s="469" t="n"/>
      <c r="Z349" s="469" t="n"/>
      <c r="AA349" s="469" t="n"/>
    </row>
    <row r="350">
      <c r="A350" s="468" t="n"/>
      <c r="B350" s="469" t="n"/>
      <c r="C350" s="469" t="n"/>
      <c r="D350" s="469" t="n"/>
      <c r="E350" s="469" t="n"/>
      <c r="F350" s="469" t="n"/>
      <c r="G350" s="469" t="n"/>
      <c r="H350" s="469" t="n"/>
      <c r="I350" s="469" t="n"/>
      <c r="J350" s="469" t="n"/>
      <c r="K350" s="469" t="n"/>
      <c r="L350" s="469" t="n"/>
      <c r="M350" s="469" t="n"/>
      <c r="N350" s="469" t="n"/>
      <c r="O350" s="469" t="n"/>
      <c r="P350" s="471" t="n"/>
      <c r="Q350" s="469" t="n"/>
      <c r="R350" s="469" t="n"/>
      <c r="S350" s="469" t="n"/>
      <c r="T350" s="469" t="n"/>
      <c r="U350" s="469" t="n"/>
      <c r="V350" s="469" t="n"/>
      <c r="W350" s="469" t="n"/>
      <c r="X350" s="469" t="n"/>
      <c r="Y350" s="469" t="n"/>
      <c r="Z350" s="469" t="n"/>
      <c r="AA350" s="469" t="n"/>
    </row>
    <row r="351">
      <c r="A351" s="468" t="n"/>
      <c r="B351" s="469" t="n"/>
      <c r="C351" s="469" t="n"/>
      <c r="D351" s="469" t="n"/>
      <c r="E351" s="469" t="n"/>
      <c r="F351" s="469" t="n"/>
      <c r="G351" s="469" t="n"/>
      <c r="H351" s="469" t="n"/>
      <c r="I351" s="469" t="n"/>
      <c r="J351" s="469" t="n"/>
      <c r="K351" s="469" t="n"/>
      <c r="L351" s="469" t="n"/>
      <c r="M351" s="469" t="n"/>
      <c r="N351" s="469" t="n"/>
      <c r="O351" s="469" t="n"/>
      <c r="P351" s="471" t="n"/>
      <c r="Q351" s="469" t="n"/>
      <c r="R351" s="469" t="n"/>
      <c r="S351" s="469" t="n"/>
      <c r="T351" s="469" t="n"/>
      <c r="U351" s="469" t="n"/>
      <c r="V351" s="469" t="n"/>
      <c r="W351" s="469" t="n"/>
      <c r="X351" s="469" t="n"/>
      <c r="Y351" s="469" t="n"/>
      <c r="Z351" s="469" t="n"/>
      <c r="AA351" s="469" t="n"/>
    </row>
    <row r="352">
      <c r="A352" s="468" t="n"/>
      <c r="B352" s="469" t="n"/>
      <c r="C352" s="469" t="n"/>
      <c r="D352" s="469" t="n"/>
      <c r="E352" s="469" t="n"/>
      <c r="F352" s="469" t="n"/>
      <c r="G352" s="469" t="n"/>
      <c r="H352" s="469" t="n"/>
      <c r="I352" s="469" t="n"/>
      <c r="J352" s="469" t="n"/>
      <c r="K352" s="469" t="n"/>
      <c r="L352" s="469" t="n"/>
      <c r="M352" s="469" t="n"/>
      <c r="N352" s="469" t="n"/>
      <c r="O352" s="469" t="n"/>
      <c r="P352" s="471" t="n"/>
      <c r="Q352" s="469" t="n"/>
      <c r="R352" s="469" t="n"/>
      <c r="S352" s="469" t="n"/>
      <c r="T352" s="469" t="n"/>
      <c r="U352" s="469" t="n"/>
      <c r="V352" s="469" t="n"/>
      <c r="W352" s="469" t="n"/>
      <c r="X352" s="469" t="n"/>
      <c r="Y352" s="469" t="n"/>
      <c r="Z352" s="469" t="n"/>
      <c r="AA352" s="469" t="n"/>
    </row>
    <row r="353">
      <c r="A353" s="468" t="n"/>
      <c r="B353" s="469" t="n"/>
      <c r="C353" s="469" t="n"/>
      <c r="D353" s="469" t="n"/>
      <c r="E353" s="469" t="n"/>
      <c r="F353" s="469" t="n"/>
      <c r="G353" s="469" t="n"/>
      <c r="H353" s="469" t="n"/>
      <c r="I353" s="469" t="n"/>
      <c r="J353" s="469" t="n"/>
      <c r="K353" s="469" t="n"/>
      <c r="L353" s="469" t="n"/>
      <c r="M353" s="469" t="n"/>
      <c r="N353" s="469" t="n"/>
      <c r="O353" s="469" t="n"/>
      <c r="P353" s="471" t="n"/>
      <c r="Q353" s="469" t="n"/>
      <c r="R353" s="469" t="n"/>
      <c r="S353" s="469" t="n"/>
      <c r="T353" s="469" t="n"/>
      <c r="U353" s="469" t="n"/>
      <c r="V353" s="469" t="n"/>
      <c r="W353" s="469" t="n"/>
      <c r="X353" s="469" t="n"/>
      <c r="Y353" s="469" t="n"/>
      <c r="Z353" s="469" t="n"/>
      <c r="AA353" s="469" t="n"/>
    </row>
    <row r="354">
      <c r="A354" s="468" t="n"/>
      <c r="B354" s="469" t="n"/>
      <c r="C354" s="469" t="n"/>
      <c r="D354" s="469" t="n"/>
      <c r="E354" s="469" t="n"/>
      <c r="F354" s="469" t="n"/>
      <c r="G354" s="469" t="n"/>
      <c r="H354" s="469" t="n"/>
      <c r="I354" s="469" t="n"/>
      <c r="J354" s="469" t="n"/>
      <c r="K354" s="469" t="n"/>
      <c r="L354" s="469" t="n"/>
      <c r="M354" s="469" t="n"/>
      <c r="N354" s="469" t="n"/>
      <c r="O354" s="469" t="n"/>
      <c r="P354" s="471" t="n"/>
      <c r="Q354" s="469" t="n"/>
      <c r="R354" s="469" t="n"/>
      <c r="S354" s="469" t="n"/>
      <c r="T354" s="469" t="n"/>
      <c r="U354" s="469" t="n"/>
      <c r="V354" s="469" t="n"/>
      <c r="W354" s="469" t="n"/>
      <c r="X354" s="469" t="n"/>
      <c r="Y354" s="469" t="n"/>
      <c r="Z354" s="469" t="n"/>
      <c r="AA354" s="469" t="n"/>
    </row>
    <row r="355">
      <c r="A355" s="468" t="n"/>
      <c r="B355" s="469" t="n"/>
      <c r="C355" s="469" t="n"/>
      <c r="D355" s="469" t="n"/>
      <c r="E355" s="469" t="n"/>
      <c r="F355" s="469" t="n"/>
      <c r="G355" s="469" t="n"/>
      <c r="H355" s="469" t="n"/>
      <c r="I355" s="469" t="n"/>
      <c r="J355" s="469" t="n"/>
      <c r="K355" s="469" t="n"/>
      <c r="L355" s="469" t="n"/>
      <c r="M355" s="469" t="n"/>
      <c r="N355" s="469" t="n"/>
      <c r="O355" s="469" t="n"/>
      <c r="P355" s="471" t="n"/>
      <c r="Q355" s="469" t="n"/>
      <c r="R355" s="469" t="n"/>
      <c r="S355" s="469" t="n"/>
      <c r="T355" s="469" t="n"/>
      <c r="U355" s="469" t="n"/>
      <c r="V355" s="469" t="n"/>
      <c r="W355" s="469" t="n"/>
      <c r="X355" s="469" t="n"/>
      <c r="Y355" s="469" t="n"/>
      <c r="Z355" s="469" t="n"/>
      <c r="AA355" s="469" t="n"/>
    </row>
    <row r="356">
      <c r="A356" s="468" t="n"/>
      <c r="B356" s="469" t="n"/>
      <c r="C356" s="469" t="n"/>
      <c r="D356" s="469" t="n"/>
      <c r="E356" s="469" t="n"/>
      <c r="F356" s="469" t="n"/>
      <c r="G356" s="469" t="n"/>
      <c r="H356" s="469" t="n"/>
      <c r="I356" s="469" t="n"/>
      <c r="J356" s="469" t="n"/>
      <c r="K356" s="469" t="n"/>
      <c r="L356" s="469" t="n"/>
      <c r="M356" s="469" t="n"/>
      <c r="N356" s="469" t="n"/>
      <c r="O356" s="469" t="n"/>
      <c r="P356" s="471" t="n"/>
      <c r="Q356" s="469" t="n"/>
      <c r="R356" s="469" t="n"/>
      <c r="S356" s="469" t="n"/>
      <c r="T356" s="469" t="n"/>
      <c r="U356" s="469" t="n"/>
      <c r="V356" s="469" t="n"/>
      <c r="W356" s="469" t="n"/>
      <c r="X356" s="469" t="n"/>
      <c r="Y356" s="469" t="n"/>
      <c r="Z356" s="469" t="n"/>
      <c r="AA356" s="469" t="n"/>
    </row>
    <row r="357">
      <c r="A357" s="468" t="n"/>
      <c r="B357" s="469" t="n"/>
      <c r="C357" s="469" t="n"/>
      <c r="D357" s="469" t="n"/>
      <c r="E357" s="469" t="n"/>
      <c r="F357" s="469" t="n"/>
      <c r="G357" s="469" t="n"/>
      <c r="H357" s="469" t="n"/>
      <c r="I357" s="469" t="n"/>
      <c r="J357" s="469" t="n"/>
      <c r="K357" s="469" t="n"/>
      <c r="L357" s="469" t="n"/>
      <c r="M357" s="469" t="n"/>
      <c r="N357" s="469" t="n"/>
      <c r="O357" s="469" t="n"/>
      <c r="P357" s="471" t="n"/>
      <c r="Q357" s="469" t="n"/>
      <c r="R357" s="469" t="n"/>
      <c r="S357" s="469" t="n"/>
      <c r="T357" s="469" t="n"/>
      <c r="U357" s="469" t="n"/>
      <c r="V357" s="469" t="n"/>
      <c r="W357" s="469" t="n"/>
      <c r="X357" s="469" t="n"/>
      <c r="Y357" s="469" t="n"/>
      <c r="Z357" s="469" t="n"/>
      <c r="AA357" s="469" t="n"/>
    </row>
    <row r="358">
      <c r="A358" s="468" t="n"/>
      <c r="B358" s="469" t="n"/>
      <c r="C358" s="469" t="n"/>
      <c r="D358" s="469" t="n"/>
      <c r="E358" s="469" t="n"/>
      <c r="F358" s="469" t="n"/>
      <c r="G358" s="469" t="n"/>
      <c r="H358" s="469" t="n"/>
      <c r="I358" s="469" t="n"/>
      <c r="J358" s="469" t="n"/>
      <c r="K358" s="469" t="n"/>
      <c r="L358" s="469" t="n"/>
      <c r="M358" s="469" t="n"/>
      <c r="N358" s="469" t="n"/>
      <c r="O358" s="469" t="n"/>
      <c r="P358" s="471" t="n"/>
      <c r="Q358" s="469" t="n"/>
      <c r="R358" s="469" t="n"/>
      <c r="S358" s="469" t="n"/>
      <c r="T358" s="469" t="n"/>
      <c r="U358" s="469" t="n"/>
      <c r="V358" s="469" t="n"/>
      <c r="W358" s="469" t="n"/>
      <c r="X358" s="469" t="n"/>
      <c r="Y358" s="469" t="n"/>
      <c r="Z358" s="469" t="n"/>
      <c r="AA358" s="469" t="n"/>
    </row>
    <row r="359">
      <c r="A359" s="468" t="n"/>
      <c r="B359" s="469" t="n"/>
      <c r="C359" s="469" t="n"/>
      <c r="D359" s="469" t="n"/>
      <c r="E359" s="469" t="n"/>
      <c r="F359" s="469" t="n"/>
      <c r="G359" s="469" t="n"/>
      <c r="H359" s="469" t="n"/>
      <c r="I359" s="469" t="n"/>
      <c r="J359" s="469" t="n"/>
      <c r="K359" s="469" t="n"/>
      <c r="L359" s="469" t="n"/>
      <c r="M359" s="469" t="n"/>
      <c r="N359" s="469" t="n"/>
      <c r="O359" s="469" t="n"/>
      <c r="P359" s="471" t="n"/>
      <c r="Q359" s="469" t="n"/>
      <c r="R359" s="469" t="n"/>
      <c r="S359" s="469" t="n"/>
      <c r="T359" s="469" t="n"/>
      <c r="U359" s="469" t="n"/>
      <c r="V359" s="469" t="n"/>
      <c r="W359" s="469" t="n"/>
      <c r="X359" s="469" t="n"/>
      <c r="Y359" s="469" t="n"/>
      <c r="Z359" s="469" t="n"/>
      <c r="AA359" s="469" t="n"/>
    </row>
    <row r="360">
      <c r="A360" s="468" t="n"/>
      <c r="B360" s="469" t="n"/>
      <c r="C360" s="469" t="n"/>
      <c r="D360" s="469" t="n"/>
      <c r="E360" s="469" t="n"/>
      <c r="F360" s="469" t="n"/>
      <c r="G360" s="469" t="n"/>
      <c r="H360" s="469" t="n"/>
      <c r="I360" s="469" t="n"/>
      <c r="J360" s="469" t="n"/>
      <c r="K360" s="469" t="n"/>
      <c r="L360" s="469" t="n"/>
      <c r="M360" s="469" t="n"/>
      <c r="N360" s="469" t="n"/>
      <c r="O360" s="469" t="n"/>
      <c r="P360" s="471" t="n"/>
      <c r="Q360" s="469" t="n"/>
      <c r="R360" s="469" t="n"/>
      <c r="S360" s="469" t="n"/>
      <c r="T360" s="469" t="n"/>
      <c r="U360" s="469" t="n"/>
      <c r="V360" s="469" t="n"/>
      <c r="W360" s="469" t="n"/>
      <c r="X360" s="469" t="n"/>
      <c r="Y360" s="469" t="n"/>
      <c r="Z360" s="469" t="n"/>
      <c r="AA360" s="469" t="n"/>
    </row>
    <row r="361">
      <c r="A361" s="468" t="n"/>
      <c r="B361" s="469" t="n"/>
      <c r="C361" s="469" t="n"/>
      <c r="D361" s="469" t="n"/>
      <c r="E361" s="469" t="n"/>
      <c r="F361" s="469" t="n"/>
      <c r="G361" s="469" t="n"/>
      <c r="H361" s="469" t="n"/>
      <c r="I361" s="469" t="n"/>
      <c r="J361" s="469" t="n"/>
      <c r="K361" s="469" t="n"/>
      <c r="L361" s="469" t="n"/>
      <c r="M361" s="469" t="n"/>
      <c r="N361" s="469" t="n"/>
      <c r="O361" s="469" t="n"/>
      <c r="P361" s="471" t="n"/>
      <c r="Q361" s="469" t="n"/>
      <c r="R361" s="469" t="n"/>
      <c r="S361" s="469" t="n"/>
      <c r="T361" s="469" t="n"/>
      <c r="U361" s="469" t="n"/>
      <c r="V361" s="469" t="n"/>
      <c r="W361" s="469" t="n"/>
      <c r="X361" s="469" t="n"/>
      <c r="Y361" s="469" t="n"/>
      <c r="Z361" s="469" t="n"/>
      <c r="AA361" s="469" t="n"/>
    </row>
    <row r="362">
      <c r="A362" s="468" t="n"/>
      <c r="B362" s="469" t="n"/>
      <c r="C362" s="469" t="n"/>
      <c r="D362" s="469" t="n"/>
      <c r="E362" s="469" t="n"/>
      <c r="F362" s="469" t="n"/>
      <c r="G362" s="469" t="n"/>
      <c r="H362" s="469" t="n"/>
      <c r="I362" s="469" t="n"/>
      <c r="J362" s="469" t="n"/>
      <c r="K362" s="469" t="n"/>
      <c r="L362" s="469" t="n"/>
      <c r="M362" s="469" t="n"/>
      <c r="N362" s="469" t="n"/>
      <c r="O362" s="469" t="n"/>
      <c r="P362" s="471" t="n"/>
      <c r="Q362" s="469" t="n"/>
      <c r="R362" s="469" t="n"/>
      <c r="S362" s="469" t="n"/>
      <c r="T362" s="469" t="n"/>
      <c r="U362" s="469" t="n"/>
      <c r="V362" s="469" t="n"/>
      <c r="W362" s="469" t="n"/>
      <c r="X362" s="469" t="n"/>
      <c r="Y362" s="469" t="n"/>
      <c r="Z362" s="469" t="n"/>
      <c r="AA362" s="469" t="n"/>
    </row>
    <row r="363">
      <c r="A363" s="468" t="n"/>
      <c r="B363" s="469" t="n"/>
      <c r="C363" s="469" t="n"/>
      <c r="D363" s="469" t="n"/>
      <c r="E363" s="469" t="n"/>
      <c r="F363" s="469" t="n"/>
      <c r="G363" s="469" t="n"/>
      <c r="H363" s="469" t="n"/>
      <c r="I363" s="469" t="n"/>
      <c r="J363" s="469" t="n"/>
      <c r="K363" s="469" t="n"/>
      <c r="L363" s="469" t="n"/>
      <c r="M363" s="469" t="n"/>
      <c r="N363" s="469" t="n"/>
      <c r="O363" s="469" t="n"/>
      <c r="P363" s="471" t="n"/>
      <c r="Q363" s="469" t="n"/>
      <c r="R363" s="469" t="n"/>
      <c r="S363" s="469" t="n"/>
      <c r="T363" s="469" t="n"/>
      <c r="U363" s="469" t="n"/>
      <c r="V363" s="469" t="n"/>
      <c r="W363" s="469" t="n"/>
      <c r="X363" s="469" t="n"/>
      <c r="Y363" s="469" t="n"/>
      <c r="Z363" s="469" t="n"/>
      <c r="AA363" s="469" t="n"/>
    </row>
    <row r="364">
      <c r="A364" s="468" t="n"/>
      <c r="B364" s="469" t="n"/>
      <c r="C364" s="469" t="n"/>
      <c r="D364" s="469" t="n"/>
      <c r="E364" s="469" t="n"/>
      <c r="F364" s="469" t="n"/>
      <c r="G364" s="469" t="n"/>
      <c r="H364" s="469" t="n"/>
      <c r="I364" s="469" t="n"/>
      <c r="J364" s="469" t="n"/>
      <c r="K364" s="469" t="n"/>
      <c r="L364" s="469" t="n"/>
      <c r="M364" s="469" t="n"/>
      <c r="N364" s="469" t="n"/>
      <c r="O364" s="469" t="n"/>
      <c r="P364" s="471" t="n"/>
      <c r="Q364" s="469" t="n"/>
      <c r="R364" s="469" t="n"/>
      <c r="S364" s="469" t="n"/>
      <c r="T364" s="469" t="n"/>
      <c r="U364" s="469" t="n"/>
      <c r="V364" s="469" t="n"/>
      <c r="W364" s="469" t="n"/>
      <c r="X364" s="469" t="n"/>
      <c r="Y364" s="469" t="n"/>
      <c r="Z364" s="469" t="n"/>
      <c r="AA364" s="469" t="n"/>
    </row>
    <row r="365">
      <c r="A365" s="468" t="n"/>
      <c r="B365" s="469" t="n"/>
      <c r="C365" s="469" t="n"/>
      <c r="D365" s="469" t="n"/>
      <c r="E365" s="469" t="n"/>
      <c r="F365" s="469" t="n"/>
      <c r="G365" s="469" t="n"/>
      <c r="H365" s="469" t="n"/>
      <c r="I365" s="469" t="n"/>
      <c r="J365" s="469" t="n"/>
      <c r="K365" s="469" t="n"/>
      <c r="L365" s="469" t="n"/>
      <c r="M365" s="469" t="n"/>
      <c r="N365" s="469" t="n"/>
      <c r="O365" s="469" t="n"/>
      <c r="P365" s="471" t="n"/>
      <c r="Q365" s="469" t="n"/>
      <c r="R365" s="469" t="n"/>
      <c r="S365" s="469" t="n"/>
      <c r="T365" s="469" t="n"/>
      <c r="U365" s="469" t="n"/>
      <c r="V365" s="469" t="n"/>
      <c r="W365" s="469" t="n"/>
      <c r="X365" s="469" t="n"/>
      <c r="Y365" s="469" t="n"/>
      <c r="Z365" s="469" t="n"/>
      <c r="AA365" s="469" t="n"/>
    </row>
    <row r="366">
      <c r="A366" s="468" t="n"/>
      <c r="B366" s="469" t="n"/>
      <c r="C366" s="469" t="n"/>
      <c r="D366" s="469" t="n"/>
      <c r="E366" s="469" t="n"/>
      <c r="F366" s="469" t="n"/>
      <c r="G366" s="469" t="n"/>
      <c r="H366" s="469" t="n"/>
      <c r="I366" s="469" t="n"/>
      <c r="J366" s="469" t="n"/>
      <c r="K366" s="469" t="n"/>
      <c r="L366" s="469" t="n"/>
      <c r="M366" s="469" t="n"/>
      <c r="N366" s="469" t="n"/>
      <c r="O366" s="469" t="n"/>
      <c r="P366" s="471" t="n"/>
      <c r="Q366" s="469" t="n"/>
      <c r="R366" s="469" t="n"/>
      <c r="S366" s="469" t="n"/>
      <c r="T366" s="469" t="n"/>
      <c r="U366" s="469" t="n"/>
      <c r="V366" s="469" t="n"/>
      <c r="W366" s="469" t="n"/>
      <c r="X366" s="469" t="n"/>
      <c r="Y366" s="469" t="n"/>
      <c r="Z366" s="469" t="n"/>
      <c r="AA366" s="469" t="n"/>
    </row>
    <row r="367">
      <c r="A367" s="468" t="n"/>
      <c r="B367" s="469" t="n"/>
      <c r="C367" s="469" t="n"/>
      <c r="D367" s="469" t="n"/>
      <c r="E367" s="469" t="n"/>
      <c r="F367" s="469" t="n"/>
      <c r="G367" s="469" t="n"/>
      <c r="H367" s="469" t="n"/>
      <c r="I367" s="469" t="n"/>
      <c r="J367" s="469" t="n"/>
      <c r="K367" s="469" t="n"/>
      <c r="L367" s="469" t="n"/>
      <c r="M367" s="469" t="n"/>
      <c r="N367" s="469" t="n"/>
      <c r="O367" s="469" t="n"/>
      <c r="P367" s="471" t="n"/>
      <c r="Q367" s="469" t="n"/>
      <c r="R367" s="469" t="n"/>
      <c r="S367" s="469" t="n"/>
      <c r="T367" s="469" t="n"/>
      <c r="U367" s="469" t="n"/>
      <c r="V367" s="469" t="n"/>
      <c r="W367" s="469" t="n"/>
      <c r="X367" s="469" t="n"/>
      <c r="Y367" s="469" t="n"/>
      <c r="Z367" s="469" t="n"/>
      <c r="AA367" s="469" t="n"/>
    </row>
    <row r="368">
      <c r="A368" s="468" t="n"/>
      <c r="B368" s="469" t="n"/>
      <c r="C368" s="469" t="n"/>
      <c r="D368" s="469" t="n"/>
      <c r="E368" s="469" t="n"/>
      <c r="F368" s="469" t="n"/>
      <c r="G368" s="469" t="n"/>
      <c r="H368" s="469" t="n"/>
      <c r="I368" s="469" t="n"/>
      <c r="J368" s="469" t="n"/>
      <c r="K368" s="469" t="n"/>
      <c r="L368" s="469" t="n"/>
      <c r="M368" s="469" t="n"/>
      <c r="N368" s="469" t="n"/>
      <c r="O368" s="469" t="n"/>
      <c r="P368" s="471" t="n"/>
      <c r="Q368" s="469" t="n"/>
      <c r="R368" s="469" t="n"/>
      <c r="S368" s="469" t="n"/>
      <c r="T368" s="469" t="n"/>
      <c r="U368" s="469" t="n"/>
      <c r="V368" s="469" t="n"/>
      <c r="W368" s="469" t="n"/>
      <c r="X368" s="469" t="n"/>
      <c r="Y368" s="469" t="n"/>
      <c r="Z368" s="469" t="n"/>
      <c r="AA368" s="469" t="n"/>
    </row>
    <row r="369">
      <c r="A369" s="468" t="n"/>
      <c r="B369" s="469" t="n"/>
      <c r="C369" s="469" t="n"/>
      <c r="D369" s="469" t="n"/>
      <c r="E369" s="469" t="n"/>
      <c r="F369" s="469" t="n"/>
      <c r="G369" s="469" t="n"/>
      <c r="H369" s="469" t="n"/>
      <c r="I369" s="469" t="n"/>
      <c r="J369" s="469" t="n"/>
      <c r="K369" s="469" t="n"/>
      <c r="L369" s="469" t="n"/>
      <c r="M369" s="469" t="n"/>
      <c r="N369" s="469" t="n"/>
      <c r="O369" s="469" t="n"/>
      <c r="P369" s="471" t="n"/>
      <c r="Q369" s="469" t="n"/>
      <c r="R369" s="469" t="n"/>
      <c r="S369" s="469" t="n"/>
      <c r="T369" s="469" t="n"/>
      <c r="U369" s="469" t="n"/>
      <c r="V369" s="469" t="n"/>
      <c r="W369" s="469" t="n"/>
      <c r="X369" s="469" t="n"/>
      <c r="Y369" s="469" t="n"/>
      <c r="Z369" s="469" t="n"/>
      <c r="AA369" s="469" t="n"/>
    </row>
    <row r="370">
      <c r="A370" s="468" t="n"/>
      <c r="B370" s="469" t="n"/>
      <c r="C370" s="469" t="n"/>
      <c r="D370" s="469" t="n"/>
      <c r="E370" s="469" t="n"/>
      <c r="F370" s="469" t="n"/>
      <c r="G370" s="469" t="n"/>
      <c r="H370" s="469" t="n"/>
      <c r="I370" s="469" t="n"/>
      <c r="J370" s="469" t="n"/>
      <c r="K370" s="469" t="n"/>
      <c r="L370" s="469" t="n"/>
      <c r="M370" s="469" t="n"/>
      <c r="N370" s="469" t="n"/>
      <c r="O370" s="469" t="n"/>
      <c r="P370" s="471" t="n"/>
      <c r="Q370" s="469" t="n"/>
      <c r="R370" s="469" t="n"/>
      <c r="S370" s="469" t="n"/>
      <c r="T370" s="469" t="n"/>
      <c r="U370" s="469" t="n"/>
      <c r="V370" s="469" t="n"/>
      <c r="W370" s="469" t="n"/>
      <c r="X370" s="469" t="n"/>
      <c r="Y370" s="469" t="n"/>
      <c r="Z370" s="469" t="n"/>
      <c r="AA370" s="469" t="n"/>
    </row>
    <row r="371">
      <c r="A371" s="468" t="n"/>
      <c r="B371" s="469" t="n"/>
      <c r="C371" s="469" t="n"/>
      <c r="D371" s="469" t="n"/>
      <c r="E371" s="469" t="n"/>
      <c r="F371" s="469" t="n"/>
      <c r="G371" s="469" t="n"/>
      <c r="H371" s="469" t="n"/>
      <c r="I371" s="469" t="n"/>
      <c r="J371" s="469" t="n"/>
      <c r="K371" s="469" t="n"/>
      <c r="L371" s="469" t="n"/>
      <c r="M371" s="469" t="n"/>
      <c r="N371" s="469" t="n"/>
      <c r="O371" s="469" t="n"/>
      <c r="P371" s="471" t="n"/>
      <c r="Q371" s="469" t="n"/>
      <c r="R371" s="469" t="n"/>
      <c r="S371" s="469" t="n"/>
      <c r="T371" s="469" t="n"/>
      <c r="U371" s="469" t="n"/>
      <c r="V371" s="469" t="n"/>
      <c r="W371" s="469" t="n"/>
      <c r="X371" s="469" t="n"/>
      <c r="Y371" s="469" t="n"/>
      <c r="Z371" s="469" t="n"/>
      <c r="AA371" s="469" t="n"/>
    </row>
    <row r="372">
      <c r="A372" s="468" t="n"/>
      <c r="B372" s="469" t="n"/>
      <c r="C372" s="469" t="n"/>
      <c r="D372" s="469" t="n"/>
      <c r="E372" s="469" t="n"/>
      <c r="F372" s="469" t="n"/>
      <c r="G372" s="469" t="n"/>
      <c r="H372" s="469" t="n"/>
      <c r="I372" s="469" t="n"/>
      <c r="J372" s="469" t="n"/>
      <c r="K372" s="469" t="n"/>
      <c r="L372" s="469" t="n"/>
      <c r="M372" s="469" t="n"/>
      <c r="N372" s="469" t="n"/>
      <c r="O372" s="469" t="n"/>
      <c r="P372" s="471" t="n"/>
      <c r="Q372" s="469" t="n"/>
      <c r="R372" s="469" t="n"/>
      <c r="S372" s="469" t="n"/>
      <c r="T372" s="469" t="n"/>
      <c r="U372" s="469" t="n"/>
      <c r="V372" s="469" t="n"/>
      <c r="W372" s="469" t="n"/>
      <c r="X372" s="469" t="n"/>
      <c r="Y372" s="469" t="n"/>
      <c r="Z372" s="469" t="n"/>
      <c r="AA372" s="469" t="n"/>
    </row>
    <row r="373">
      <c r="A373" s="468" t="n"/>
      <c r="B373" s="469" t="n"/>
      <c r="C373" s="469" t="n"/>
      <c r="D373" s="469" t="n"/>
      <c r="E373" s="469" t="n"/>
      <c r="F373" s="469" t="n"/>
      <c r="G373" s="469" t="n"/>
      <c r="H373" s="469" t="n"/>
      <c r="I373" s="469" t="n"/>
      <c r="J373" s="469" t="n"/>
      <c r="K373" s="469" t="n"/>
      <c r="L373" s="469" t="n"/>
      <c r="M373" s="469" t="n"/>
      <c r="N373" s="469" t="n"/>
      <c r="O373" s="469" t="n"/>
      <c r="P373" s="471" t="n"/>
      <c r="Q373" s="469" t="n"/>
      <c r="R373" s="469" t="n"/>
      <c r="S373" s="469" t="n"/>
      <c r="T373" s="469" t="n"/>
      <c r="U373" s="469" t="n"/>
      <c r="V373" s="469" t="n"/>
      <c r="W373" s="469" t="n"/>
      <c r="X373" s="469" t="n"/>
      <c r="Y373" s="469" t="n"/>
      <c r="Z373" s="469" t="n"/>
      <c r="AA373" s="469" t="n"/>
    </row>
    <row r="374">
      <c r="A374" s="468" t="n"/>
      <c r="B374" s="469" t="n"/>
      <c r="C374" s="469" t="n"/>
      <c r="D374" s="469" t="n"/>
      <c r="E374" s="469" t="n"/>
      <c r="F374" s="469" t="n"/>
      <c r="G374" s="469" t="n"/>
      <c r="H374" s="469" t="n"/>
      <c r="I374" s="469" t="n"/>
      <c r="J374" s="469" t="n"/>
      <c r="K374" s="469" t="n"/>
      <c r="L374" s="469" t="n"/>
      <c r="M374" s="469" t="n"/>
      <c r="N374" s="469" t="n"/>
      <c r="O374" s="469" t="n"/>
      <c r="P374" s="471" t="n"/>
      <c r="Q374" s="469" t="n"/>
      <c r="R374" s="469" t="n"/>
      <c r="S374" s="469" t="n"/>
      <c r="T374" s="469" t="n"/>
      <c r="U374" s="469" t="n"/>
      <c r="V374" s="469" t="n"/>
      <c r="W374" s="469" t="n"/>
      <c r="X374" s="469" t="n"/>
      <c r="Y374" s="469" t="n"/>
      <c r="Z374" s="469" t="n"/>
      <c r="AA374" s="469" t="n"/>
    </row>
    <row r="375">
      <c r="A375" s="468" t="n"/>
      <c r="B375" s="469" t="n"/>
      <c r="C375" s="469" t="n"/>
      <c r="D375" s="469" t="n"/>
      <c r="E375" s="469" t="n"/>
      <c r="F375" s="469" t="n"/>
      <c r="G375" s="469" t="n"/>
      <c r="H375" s="469" t="n"/>
      <c r="I375" s="469" t="n"/>
      <c r="J375" s="469" t="n"/>
      <c r="K375" s="469" t="n"/>
      <c r="L375" s="469" t="n"/>
      <c r="M375" s="469" t="n"/>
      <c r="N375" s="469" t="n"/>
      <c r="O375" s="469" t="n"/>
      <c r="P375" s="471" t="n"/>
      <c r="Q375" s="469" t="n"/>
      <c r="R375" s="469" t="n"/>
      <c r="S375" s="469" t="n"/>
      <c r="T375" s="469" t="n"/>
      <c r="U375" s="469" t="n"/>
      <c r="V375" s="469" t="n"/>
      <c r="W375" s="469" t="n"/>
      <c r="X375" s="469" t="n"/>
      <c r="Y375" s="469" t="n"/>
      <c r="Z375" s="469" t="n"/>
      <c r="AA375" s="469" t="n"/>
    </row>
    <row r="376">
      <c r="A376" s="468" t="n"/>
      <c r="B376" s="469" t="n"/>
      <c r="C376" s="469" t="n"/>
      <c r="D376" s="469" t="n"/>
      <c r="E376" s="469" t="n"/>
      <c r="F376" s="469" t="n"/>
      <c r="G376" s="469" t="n"/>
      <c r="H376" s="469" t="n"/>
      <c r="I376" s="469" t="n"/>
      <c r="J376" s="469" t="n"/>
      <c r="K376" s="469" t="n"/>
      <c r="L376" s="469" t="n"/>
      <c r="M376" s="469" t="n"/>
      <c r="N376" s="469" t="n"/>
      <c r="O376" s="469" t="n"/>
      <c r="P376" s="471" t="n"/>
      <c r="Q376" s="469" t="n"/>
      <c r="R376" s="469" t="n"/>
      <c r="S376" s="469" t="n"/>
      <c r="T376" s="469" t="n"/>
      <c r="U376" s="469" t="n"/>
      <c r="V376" s="469" t="n"/>
      <c r="W376" s="469" t="n"/>
      <c r="X376" s="469" t="n"/>
      <c r="Y376" s="469" t="n"/>
      <c r="Z376" s="469" t="n"/>
      <c r="AA376" s="469" t="n"/>
    </row>
    <row r="377">
      <c r="A377" s="468" t="n"/>
      <c r="B377" s="469" t="n"/>
      <c r="C377" s="469" t="n"/>
      <c r="D377" s="469" t="n"/>
      <c r="E377" s="469" t="n"/>
      <c r="F377" s="469" t="n"/>
      <c r="G377" s="469" t="n"/>
      <c r="H377" s="469" t="n"/>
      <c r="I377" s="469" t="n"/>
      <c r="J377" s="469" t="n"/>
      <c r="K377" s="469" t="n"/>
      <c r="L377" s="469" t="n"/>
      <c r="M377" s="469" t="n"/>
      <c r="N377" s="469" t="n"/>
      <c r="O377" s="469" t="n"/>
      <c r="P377" s="471" t="n"/>
      <c r="Q377" s="469" t="n"/>
      <c r="R377" s="469" t="n"/>
      <c r="S377" s="469" t="n"/>
      <c r="T377" s="469" t="n"/>
      <c r="U377" s="469" t="n"/>
      <c r="V377" s="469" t="n"/>
      <c r="W377" s="469" t="n"/>
      <c r="X377" s="469" t="n"/>
      <c r="Y377" s="469" t="n"/>
      <c r="Z377" s="469" t="n"/>
      <c r="AA377" s="469" t="n"/>
    </row>
    <row r="378">
      <c r="A378" s="468" t="n"/>
      <c r="B378" s="469" t="n"/>
      <c r="C378" s="469" t="n"/>
      <c r="D378" s="469" t="n"/>
      <c r="E378" s="469" t="n"/>
      <c r="F378" s="469" t="n"/>
      <c r="G378" s="469" t="n"/>
      <c r="H378" s="469" t="n"/>
      <c r="I378" s="469" t="n"/>
      <c r="J378" s="469" t="n"/>
      <c r="K378" s="469" t="n"/>
      <c r="L378" s="469" t="n"/>
      <c r="M378" s="469" t="n"/>
      <c r="N378" s="469" t="n"/>
      <c r="O378" s="469" t="n"/>
      <c r="P378" s="471" t="n"/>
      <c r="Q378" s="469" t="n"/>
      <c r="R378" s="469" t="n"/>
      <c r="S378" s="469" t="n"/>
      <c r="T378" s="469" t="n"/>
      <c r="U378" s="469" t="n"/>
      <c r="V378" s="469" t="n"/>
      <c r="W378" s="469" t="n"/>
      <c r="X378" s="469" t="n"/>
      <c r="Y378" s="469" t="n"/>
      <c r="Z378" s="469" t="n"/>
      <c r="AA378" s="469" t="n"/>
    </row>
    <row r="379">
      <c r="A379" s="468" t="n"/>
      <c r="B379" s="469" t="n"/>
      <c r="C379" s="469" t="n"/>
      <c r="D379" s="469" t="n"/>
      <c r="E379" s="469" t="n"/>
      <c r="F379" s="469" t="n"/>
      <c r="G379" s="469" t="n"/>
      <c r="H379" s="469" t="n"/>
      <c r="I379" s="469" t="n"/>
      <c r="J379" s="469" t="n"/>
      <c r="K379" s="469" t="n"/>
      <c r="L379" s="469" t="n"/>
      <c r="M379" s="469" t="n"/>
      <c r="N379" s="469" t="n"/>
      <c r="O379" s="469" t="n"/>
      <c r="P379" s="471" t="n"/>
      <c r="Q379" s="469" t="n"/>
      <c r="R379" s="469" t="n"/>
      <c r="S379" s="469" t="n"/>
      <c r="T379" s="469" t="n"/>
      <c r="U379" s="469" t="n"/>
      <c r="V379" s="469" t="n"/>
      <c r="W379" s="469" t="n"/>
      <c r="X379" s="469" t="n"/>
      <c r="Y379" s="469" t="n"/>
      <c r="Z379" s="469" t="n"/>
      <c r="AA379" s="469" t="n"/>
    </row>
    <row r="380">
      <c r="A380" s="468" t="n"/>
      <c r="B380" s="469" t="n"/>
      <c r="C380" s="469" t="n"/>
      <c r="D380" s="469" t="n"/>
      <c r="E380" s="469" t="n"/>
      <c r="F380" s="469" t="n"/>
      <c r="G380" s="469" t="n"/>
      <c r="H380" s="469" t="n"/>
      <c r="I380" s="469" t="n"/>
      <c r="J380" s="469" t="n"/>
      <c r="K380" s="469" t="n"/>
      <c r="L380" s="469" t="n"/>
      <c r="M380" s="469" t="n"/>
      <c r="N380" s="469" t="n"/>
      <c r="O380" s="469" t="n"/>
      <c r="P380" s="471" t="n"/>
      <c r="Q380" s="469" t="n"/>
      <c r="R380" s="469" t="n"/>
      <c r="S380" s="469" t="n"/>
      <c r="T380" s="469" t="n"/>
      <c r="U380" s="469" t="n"/>
      <c r="V380" s="469" t="n"/>
      <c r="W380" s="469" t="n"/>
      <c r="X380" s="469" t="n"/>
      <c r="Y380" s="469" t="n"/>
      <c r="Z380" s="469" t="n"/>
      <c r="AA380" s="469" t="n"/>
    </row>
    <row r="381">
      <c r="A381" s="468" t="n"/>
      <c r="B381" s="469" t="n"/>
      <c r="C381" s="469" t="n"/>
      <c r="D381" s="469" t="n"/>
      <c r="E381" s="469" t="n"/>
      <c r="F381" s="469" t="n"/>
      <c r="G381" s="469" t="n"/>
      <c r="H381" s="469" t="n"/>
      <c r="I381" s="469" t="n"/>
      <c r="J381" s="469" t="n"/>
      <c r="K381" s="469" t="n"/>
      <c r="L381" s="469" t="n"/>
      <c r="M381" s="469" t="n"/>
      <c r="N381" s="469" t="n"/>
      <c r="O381" s="469" t="n"/>
      <c r="P381" s="471" t="n"/>
      <c r="Q381" s="469" t="n"/>
      <c r="R381" s="469" t="n"/>
      <c r="S381" s="469" t="n"/>
      <c r="T381" s="469" t="n"/>
      <c r="U381" s="469" t="n"/>
      <c r="V381" s="469" t="n"/>
      <c r="W381" s="469" t="n"/>
      <c r="X381" s="469" t="n"/>
      <c r="Y381" s="469" t="n"/>
      <c r="Z381" s="469" t="n"/>
      <c r="AA381" s="469" t="n"/>
    </row>
    <row r="382">
      <c r="A382" s="468" t="n"/>
      <c r="B382" s="469" t="n"/>
      <c r="C382" s="469" t="n"/>
      <c r="D382" s="469" t="n"/>
      <c r="E382" s="469" t="n"/>
      <c r="F382" s="469" t="n"/>
      <c r="G382" s="469" t="n"/>
      <c r="H382" s="469" t="n"/>
      <c r="I382" s="469" t="n"/>
      <c r="J382" s="469" t="n"/>
      <c r="K382" s="469" t="n"/>
      <c r="L382" s="469" t="n"/>
      <c r="M382" s="469" t="n"/>
      <c r="N382" s="469" t="n"/>
      <c r="O382" s="469" t="n"/>
      <c r="P382" s="471" t="n"/>
      <c r="Q382" s="469" t="n"/>
      <c r="R382" s="469" t="n"/>
      <c r="S382" s="469" t="n"/>
      <c r="T382" s="469" t="n"/>
      <c r="U382" s="469" t="n"/>
      <c r="V382" s="469" t="n"/>
      <c r="W382" s="469" t="n"/>
      <c r="X382" s="469" t="n"/>
      <c r="Y382" s="469" t="n"/>
      <c r="Z382" s="469" t="n"/>
      <c r="AA382" s="469" t="n"/>
    </row>
    <row r="383">
      <c r="A383" s="468" t="n"/>
      <c r="B383" s="469" t="n"/>
      <c r="C383" s="469" t="n"/>
      <c r="D383" s="469" t="n"/>
      <c r="E383" s="469" t="n"/>
      <c r="F383" s="469" t="n"/>
      <c r="G383" s="469" t="n"/>
      <c r="H383" s="469" t="n"/>
      <c r="I383" s="469" t="n"/>
      <c r="J383" s="469" t="n"/>
      <c r="K383" s="469" t="n"/>
      <c r="L383" s="469" t="n"/>
      <c r="M383" s="469" t="n"/>
      <c r="N383" s="469" t="n"/>
      <c r="O383" s="469" t="n"/>
      <c r="P383" s="471" t="n"/>
      <c r="Q383" s="469" t="n"/>
      <c r="R383" s="469" t="n"/>
      <c r="S383" s="469" t="n"/>
      <c r="T383" s="469" t="n"/>
      <c r="U383" s="469" t="n"/>
      <c r="V383" s="469" t="n"/>
      <c r="W383" s="469" t="n"/>
      <c r="X383" s="469" t="n"/>
      <c r="Y383" s="469" t="n"/>
      <c r="Z383" s="469" t="n"/>
      <c r="AA383" s="469" t="n"/>
    </row>
    <row r="384">
      <c r="A384" s="468" t="n"/>
      <c r="B384" s="469" t="n"/>
      <c r="C384" s="469" t="n"/>
      <c r="D384" s="469" t="n"/>
      <c r="E384" s="469" t="n"/>
      <c r="F384" s="469" t="n"/>
      <c r="G384" s="469" t="n"/>
      <c r="H384" s="469" t="n"/>
      <c r="I384" s="469" t="n"/>
      <c r="J384" s="469" t="n"/>
      <c r="K384" s="469" t="n"/>
      <c r="L384" s="469" t="n"/>
      <c r="M384" s="469" t="n"/>
      <c r="N384" s="469" t="n"/>
      <c r="O384" s="469" t="n"/>
      <c r="P384" s="471" t="n"/>
      <c r="Q384" s="469" t="n"/>
      <c r="R384" s="469" t="n"/>
      <c r="S384" s="469" t="n"/>
      <c r="T384" s="469" t="n"/>
      <c r="U384" s="469" t="n"/>
      <c r="V384" s="469" t="n"/>
      <c r="W384" s="469" t="n"/>
      <c r="X384" s="469" t="n"/>
      <c r="Y384" s="469" t="n"/>
      <c r="Z384" s="469" t="n"/>
      <c r="AA384" s="469" t="n"/>
    </row>
    <row r="385">
      <c r="A385" s="468" t="n"/>
      <c r="B385" s="469" t="n"/>
      <c r="C385" s="469" t="n"/>
      <c r="D385" s="469" t="n"/>
      <c r="E385" s="469" t="n"/>
      <c r="F385" s="469" t="n"/>
      <c r="G385" s="469" t="n"/>
      <c r="H385" s="469" t="n"/>
      <c r="I385" s="469" t="n"/>
      <c r="J385" s="469" t="n"/>
      <c r="K385" s="469" t="n"/>
      <c r="L385" s="469" t="n"/>
      <c r="M385" s="469" t="n"/>
      <c r="N385" s="469" t="n"/>
      <c r="O385" s="469" t="n"/>
      <c r="P385" s="471" t="n"/>
      <c r="Q385" s="469" t="n"/>
      <c r="R385" s="469" t="n"/>
      <c r="S385" s="469" t="n"/>
      <c r="T385" s="469" t="n"/>
      <c r="U385" s="469" t="n"/>
      <c r="V385" s="469" t="n"/>
      <c r="W385" s="469" t="n"/>
      <c r="X385" s="469" t="n"/>
      <c r="Y385" s="469" t="n"/>
      <c r="Z385" s="469" t="n"/>
      <c r="AA385" s="469" t="n"/>
    </row>
    <row r="386">
      <c r="A386" s="468" t="n"/>
      <c r="B386" s="469" t="n"/>
      <c r="C386" s="469" t="n"/>
      <c r="D386" s="469" t="n"/>
      <c r="E386" s="469" t="n"/>
      <c r="F386" s="469" t="n"/>
      <c r="G386" s="469" t="n"/>
      <c r="H386" s="469" t="n"/>
      <c r="I386" s="469" t="n"/>
      <c r="J386" s="469" t="n"/>
      <c r="K386" s="469" t="n"/>
      <c r="L386" s="469" t="n"/>
      <c r="M386" s="469" t="n"/>
      <c r="N386" s="469" t="n"/>
      <c r="O386" s="469" t="n"/>
      <c r="P386" s="471" t="n"/>
      <c r="Q386" s="469" t="n"/>
      <c r="R386" s="469" t="n"/>
      <c r="S386" s="469" t="n"/>
      <c r="T386" s="469" t="n"/>
      <c r="U386" s="469" t="n"/>
      <c r="V386" s="469" t="n"/>
      <c r="W386" s="469" t="n"/>
      <c r="X386" s="469" t="n"/>
      <c r="Y386" s="469" t="n"/>
      <c r="Z386" s="469" t="n"/>
      <c r="AA386" s="469" t="n"/>
    </row>
    <row r="387">
      <c r="A387" s="468" t="n"/>
      <c r="B387" s="469" t="n"/>
      <c r="C387" s="469" t="n"/>
      <c r="D387" s="469" t="n"/>
      <c r="E387" s="469" t="n"/>
      <c r="F387" s="469" t="n"/>
      <c r="G387" s="469" t="n"/>
      <c r="H387" s="469" t="n"/>
      <c r="I387" s="469" t="n"/>
      <c r="J387" s="469" t="n"/>
      <c r="K387" s="469" t="n"/>
      <c r="L387" s="469" t="n"/>
      <c r="M387" s="469" t="n"/>
      <c r="N387" s="469" t="n"/>
      <c r="O387" s="469" t="n"/>
      <c r="P387" s="471" t="n"/>
      <c r="Q387" s="469" t="n"/>
      <c r="R387" s="469" t="n"/>
      <c r="S387" s="469" t="n"/>
      <c r="T387" s="469" t="n"/>
      <c r="U387" s="469" t="n"/>
      <c r="V387" s="469" t="n"/>
      <c r="W387" s="469" t="n"/>
      <c r="X387" s="469" t="n"/>
      <c r="Y387" s="469" t="n"/>
      <c r="Z387" s="469" t="n"/>
      <c r="AA387" s="469" t="n"/>
    </row>
    <row r="388">
      <c r="A388" s="468" t="n"/>
      <c r="B388" s="469" t="n"/>
      <c r="C388" s="469" t="n"/>
      <c r="D388" s="469" t="n"/>
      <c r="E388" s="469" t="n"/>
      <c r="F388" s="469" t="n"/>
      <c r="G388" s="469" t="n"/>
      <c r="H388" s="469" t="n"/>
      <c r="I388" s="469" t="n"/>
      <c r="J388" s="469" t="n"/>
      <c r="K388" s="469" t="n"/>
      <c r="L388" s="469" t="n"/>
      <c r="M388" s="469" t="n"/>
      <c r="N388" s="469" t="n"/>
      <c r="O388" s="469" t="n"/>
      <c r="P388" s="471" t="n"/>
      <c r="Q388" s="469" t="n"/>
      <c r="R388" s="469" t="n"/>
      <c r="S388" s="469" t="n"/>
      <c r="T388" s="469" t="n"/>
      <c r="U388" s="469" t="n"/>
      <c r="V388" s="469" t="n"/>
      <c r="W388" s="469" t="n"/>
      <c r="X388" s="469" t="n"/>
      <c r="Y388" s="469" t="n"/>
      <c r="Z388" s="469" t="n"/>
      <c r="AA388" s="469" t="n"/>
    </row>
    <row r="389">
      <c r="A389" s="468" t="n"/>
      <c r="B389" s="469" t="n"/>
      <c r="C389" s="469" t="n"/>
      <c r="D389" s="469" t="n"/>
      <c r="E389" s="469" t="n"/>
      <c r="F389" s="469" t="n"/>
      <c r="G389" s="469" t="n"/>
      <c r="H389" s="469" t="n"/>
      <c r="I389" s="469" t="n"/>
      <c r="J389" s="469" t="n"/>
      <c r="K389" s="469" t="n"/>
      <c r="L389" s="469" t="n"/>
      <c r="M389" s="469" t="n"/>
      <c r="N389" s="469" t="n"/>
      <c r="O389" s="469" t="n"/>
      <c r="P389" s="471" t="n"/>
      <c r="Q389" s="469" t="n"/>
      <c r="R389" s="469" t="n"/>
      <c r="S389" s="469" t="n"/>
      <c r="T389" s="469" t="n"/>
      <c r="U389" s="469" t="n"/>
      <c r="V389" s="469" t="n"/>
      <c r="W389" s="469" t="n"/>
      <c r="X389" s="469" t="n"/>
      <c r="Y389" s="469" t="n"/>
      <c r="Z389" s="469" t="n"/>
      <c r="AA389" s="469" t="n"/>
    </row>
    <row r="390">
      <c r="A390" s="468" t="n"/>
      <c r="B390" s="469" t="n"/>
      <c r="C390" s="469" t="n"/>
      <c r="D390" s="469" t="n"/>
      <c r="E390" s="469" t="n"/>
      <c r="F390" s="469" t="n"/>
      <c r="G390" s="469" t="n"/>
      <c r="H390" s="469" t="n"/>
      <c r="I390" s="469" t="n"/>
      <c r="J390" s="469" t="n"/>
      <c r="K390" s="469" t="n"/>
      <c r="L390" s="469" t="n"/>
      <c r="M390" s="469" t="n"/>
      <c r="N390" s="469" t="n"/>
      <c r="O390" s="469" t="n"/>
      <c r="P390" s="471" t="n"/>
      <c r="Q390" s="469" t="n"/>
      <c r="R390" s="469" t="n"/>
      <c r="S390" s="469" t="n"/>
      <c r="T390" s="469" t="n"/>
      <c r="U390" s="469" t="n"/>
      <c r="V390" s="469" t="n"/>
      <c r="W390" s="469" t="n"/>
      <c r="X390" s="469" t="n"/>
      <c r="Y390" s="469" t="n"/>
      <c r="Z390" s="469" t="n"/>
      <c r="AA390" s="469" t="n"/>
    </row>
    <row r="391">
      <c r="A391" s="468" t="n"/>
      <c r="B391" s="469" t="n"/>
      <c r="C391" s="469" t="n"/>
      <c r="D391" s="469" t="n"/>
      <c r="E391" s="469" t="n"/>
      <c r="F391" s="469" t="n"/>
      <c r="G391" s="469" t="n"/>
      <c r="H391" s="469" t="n"/>
      <c r="I391" s="469" t="n"/>
      <c r="J391" s="469" t="n"/>
      <c r="K391" s="469" t="n"/>
      <c r="L391" s="469" t="n"/>
      <c r="M391" s="469" t="n"/>
      <c r="N391" s="469" t="n"/>
      <c r="O391" s="469" t="n"/>
      <c r="P391" s="471" t="n"/>
      <c r="Q391" s="469" t="n"/>
      <c r="R391" s="469" t="n"/>
      <c r="S391" s="469" t="n"/>
      <c r="T391" s="469" t="n"/>
      <c r="U391" s="469" t="n"/>
      <c r="V391" s="469" t="n"/>
      <c r="W391" s="469" t="n"/>
      <c r="X391" s="469" t="n"/>
      <c r="Y391" s="469" t="n"/>
      <c r="Z391" s="469" t="n"/>
      <c r="AA391" s="469" t="n"/>
    </row>
    <row r="392">
      <c r="A392" s="468" t="n"/>
      <c r="B392" s="469" t="n"/>
      <c r="C392" s="469" t="n"/>
      <c r="D392" s="469" t="n"/>
      <c r="E392" s="469" t="n"/>
      <c r="F392" s="469" t="n"/>
      <c r="G392" s="469" t="n"/>
      <c r="H392" s="469" t="n"/>
      <c r="I392" s="469" t="n"/>
      <c r="J392" s="469" t="n"/>
      <c r="K392" s="469" t="n"/>
      <c r="L392" s="469" t="n"/>
      <c r="M392" s="469" t="n"/>
      <c r="N392" s="469" t="n"/>
      <c r="O392" s="469" t="n"/>
      <c r="P392" s="471" t="n"/>
      <c r="Q392" s="469" t="n"/>
      <c r="R392" s="469" t="n"/>
      <c r="S392" s="469" t="n"/>
      <c r="T392" s="469" t="n"/>
      <c r="U392" s="469" t="n"/>
      <c r="V392" s="469" t="n"/>
      <c r="W392" s="469" t="n"/>
      <c r="X392" s="469" t="n"/>
      <c r="Y392" s="469" t="n"/>
      <c r="Z392" s="469" t="n"/>
      <c r="AA392" s="469" t="n"/>
    </row>
    <row r="393">
      <c r="A393" s="468" t="n"/>
      <c r="B393" s="469" t="n"/>
      <c r="C393" s="469" t="n"/>
      <c r="D393" s="469" t="n"/>
      <c r="E393" s="469" t="n"/>
      <c r="F393" s="469" t="n"/>
      <c r="G393" s="469" t="n"/>
      <c r="H393" s="469" t="n"/>
      <c r="I393" s="469" t="n"/>
      <c r="J393" s="469" t="n"/>
      <c r="K393" s="469" t="n"/>
      <c r="L393" s="469" t="n"/>
      <c r="M393" s="469" t="n"/>
      <c r="N393" s="469" t="n"/>
      <c r="O393" s="469" t="n"/>
      <c r="P393" s="471" t="n"/>
      <c r="Q393" s="469" t="n"/>
      <c r="R393" s="469" t="n"/>
      <c r="S393" s="469" t="n"/>
      <c r="T393" s="469" t="n"/>
      <c r="U393" s="469" t="n"/>
      <c r="V393" s="469" t="n"/>
      <c r="W393" s="469" t="n"/>
      <c r="X393" s="469" t="n"/>
      <c r="Y393" s="469" t="n"/>
      <c r="Z393" s="469" t="n"/>
      <c r="AA393" s="469" t="n"/>
    </row>
    <row r="394">
      <c r="A394" s="468" t="n"/>
      <c r="B394" s="469" t="n"/>
      <c r="C394" s="469" t="n"/>
      <c r="D394" s="469" t="n"/>
      <c r="E394" s="469" t="n"/>
      <c r="F394" s="469" t="n"/>
      <c r="G394" s="469" t="n"/>
      <c r="H394" s="469" t="n"/>
      <c r="I394" s="469" t="n"/>
      <c r="J394" s="469" t="n"/>
      <c r="K394" s="469" t="n"/>
      <c r="L394" s="469" t="n"/>
      <c r="M394" s="469" t="n"/>
      <c r="N394" s="469" t="n"/>
      <c r="O394" s="469" t="n"/>
      <c r="P394" s="471" t="n"/>
      <c r="Q394" s="469" t="n"/>
      <c r="R394" s="469" t="n"/>
      <c r="S394" s="469" t="n"/>
      <c r="T394" s="469" t="n"/>
      <c r="U394" s="469" t="n"/>
      <c r="V394" s="469" t="n"/>
      <c r="W394" s="469" t="n"/>
      <c r="X394" s="469" t="n"/>
      <c r="Y394" s="469" t="n"/>
      <c r="Z394" s="469" t="n"/>
      <c r="AA394" s="469" t="n"/>
    </row>
    <row r="395">
      <c r="A395" s="468" t="n"/>
      <c r="B395" s="469" t="n"/>
      <c r="C395" s="469" t="n"/>
      <c r="D395" s="469" t="n"/>
      <c r="E395" s="469" t="n"/>
      <c r="F395" s="469" t="n"/>
      <c r="G395" s="469" t="n"/>
      <c r="H395" s="469" t="n"/>
      <c r="I395" s="469" t="n"/>
      <c r="J395" s="469" t="n"/>
      <c r="K395" s="469" t="n"/>
      <c r="L395" s="469" t="n"/>
      <c r="M395" s="469" t="n"/>
      <c r="N395" s="469" t="n"/>
      <c r="O395" s="469" t="n"/>
      <c r="P395" s="471" t="n"/>
      <c r="Q395" s="469" t="n"/>
      <c r="R395" s="469" t="n"/>
      <c r="S395" s="469" t="n"/>
      <c r="T395" s="469" t="n"/>
      <c r="U395" s="469" t="n"/>
      <c r="V395" s="469" t="n"/>
      <c r="W395" s="469" t="n"/>
      <c r="X395" s="469" t="n"/>
      <c r="Y395" s="469" t="n"/>
      <c r="Z395" s="469" t="n"/>
      <c r="AA395" s="469" t="n"/>
    </row>
    <row r="396">
      <c r="A396" s="468" t="n"/>
      <c r="B396" s="469" t="n"/>
      <c r="C396" s="469" t="n"/>
      <c r="D396" s="469" t="n"/>
      <c r="E396" s="469" t="n"/>
      <c r="F396" s="469" t="n"/>
      <c r="G396" s="469" t="n"/>
      <c r="H396" s="469" t="n"/>
      <c r="I396" s="469" t="n"/>
      <c r="J396" s="469" t="n"/>
      <c r="K396" s="469" t="n"/>
      <c r="L396" s="469" t="n"/>
      <c r="M396" s="469" t="n"/>
      <c r="N396" s="469" t="n"/>
      <c r="O396" s="469" t="n"/>
      <c r="P396" s="471" t="n"/>
      <c r="Q396" s="469" t="n"/>
      <c r="R396" s="469" t="n"/>
      <c r="S396" s="469" t="n"/>
      <c r="T396" s="469" t="n"/>
      <c r="U396" s="469" t="n"/>
      <c r="V396" s="469" t="n"/>
      <c r="W396" s="469" t="n"/>
      <c r="X396" s="469" t="n"/>
      <c r="Y396" s="469" t="n"/>
      <c r="Z396" s="469" t="n"/>
      <c r="AA396" s="469" t="n"/>
    </row>
    <row r="397">
      <c r="A397" s="468" t="n"/>
      <c r="B397" s="469" t="n"/>
      <c r="C397" s="469" t="n"/>
      <c r="D397" s="469" t="n"/>
      <c r="E397" s="469" t="n"/>
      <c r="F397" s="469" t="n"/>
      <c r="G397" s="469" t="n"/>
      <c r="H397" s="469" t="n"/>
      <c r="I397" s="469" t="n"/>
      <c r="J397" s="469" t="n"/>
      <c r="K397" s="469" t="n"/>
      <c r="L397" s="469" t="n"/>
      <c r="M397" s="469" t="n"/>
      <c r="N397" s="469" t="n"/>
      <c r="O397" s="469" t="n"/>
      <c r="P397" s="471" t="n"/>
      <c r="Q397" s="469" t="n"/>
      <c r="R397" s="469" t="n"/>
      <c r="S397" s="469" t="n"/>
      <c r="T397" s="469" t="n"/>
      <c r="U397" s="469" t="n"/>
      <c r="V397" s="469" t="n"/>
      <c r="W397" s="469" t="n"/>
      <c r="X397" s="469" t="n"/>
      <c r="Y397" s="469" t="n"/>
      <c r="Z397" s="469" t="n"/>
      <c r="AA397" s="469" t="n"/>
    </row>
    <row r="398">
      <c r="A398" s="468" t="n"/>
      <c r="B398" s="469" t="n"/>
      <c r="C398" s="469" t="n"/>
      <c r="D398" s="469" t="n"/>
      <c r="E398" s="469" t="n"/>
      <c r="F398" s="469" t="n"/>
      <c r="G398" s="469" t="n"/>
      <c r="H398" s="469" t="n"/>
      <c r="I398" s="469" t="n"/>
      <c r="J398" s="469" t="n"/>
      <c r="K398" s="469" t="n"/>
      <c r="L398" s="469" t="n"/>
      <c r="M398" s="469" t="n"/>
      <c r="N398" s="469" t="n"/>
      <c r="O398" s="469" t="n"/>
      <c r="P398" s="471" t="n"/>
      <c r="Q398" s="469" t="n"/>
      <c r="R398" s="469" t="n"/>
      <c r="S398" s="469" t="n"/>
      <c r="T398" s="469" t="n"/>
      <c r="U398" s="469" t="n"/>
      <c r="V398" s="469" t="n"/>
      <c r="W398" s="469" t="n"/>
      <c r="X398" s="469" t="n"/>
      <c r="Y398" s="469" t="n"/>
      <c r="Z398" s="469" t="n"/>
      <c r="AA398" s="469" t="n"/>
    </row>
    <row r="399">
      <c r="A399" s="468" t="n"/>
      <c r="B399" s="469" t="n"/>
      <c r="C399" s="469" t="n"/>
      <c r="D399" s="469" t="n"/>
      <c r="E399" s="469" t="n"/>
      <c r="F399" s="469" t="n"/>
      <c r="G399" s="469" t="n"/>
      <c r="H399" s="469" t="n"/>
      <c r="I399" s="469" t="n"/>
      <c r="J399" s="469" t="n"/>
      <c r="K399" s="469" t="n"/>
      <c r="L399" s="469" t="n"/>
      <c r="M399" s="469" t="n"/>
      <c r="N399" s="469" t="n"/>
      <c r="O399" s="469" t="n"/>
      <c r="P399" s="471" t="n"/>
      <c r="Q399" s="469" t="n"/>
      <c r="R399" s="469" t="n"/>
      <c r="S399" s="469" t="n"/>
      <c r="T399" s="469" t="n"/>
      <c r="U399" s="469" t="n"/>
      <c r="V399" s="469" t="n"/>
      <c r="W399" s="469" t="n"/>
      <c r="X399" s="469" t="n"/>
      <c r="Y399" s="469" t="n"/>
      <c r="Z399" s="469" t="n"/>
      <c r="AA399" s="469" t="n"/>
    </row>
    <row r="400">
      <c r="A400" s="468" t="n"/>
      <c r="B400" s="469" t="n"/>
      <c r="C400" s="469" t="n"/>
      <c r="D400" s="469" t="n"/>
      <c r="E400" s="469" t="n"/>
      <c r="F400" s="469" t="n"/>
      <c r="G400" s="469" t="n"/>
      <c r="H400" s="469" t="n"/>
      <c r="I400" s="469" t="n"/>
      <c r="J400" s="469" t="n"/>
      <c r="K400" s="469" t="n"/>
      <c r="L400" s="469" t="n"/>
      <c r="M400" s="469" t="n"/>
      <c r="N400" s="469" t="n"/>
      <c r="O400" s="469" t="n"/>
      <c r="P400" s="471" t="n"/>
      <c r="Q400" s="469" t="n"/>
      <c r="R400" s="469" t="n"/>
      <c r="S400" s="469" t="n"/>
      <c r="T400" s="469" t="n"/>
      <c r="U400" s="469" t="n"/>
      <c r="V400" s="469" t="n"/>
      <c r="W400" s="469" t="n"/>
      <c r="X400" s="469" t="n"/>
      <c r="Y400" s="469" t="n"/>
      <c r="Z400" s="469" t="n"/>
      <c r="AA400" s="469" t="n"/>
    </row>
    <row r="401">
      <c r="A401" s="468" t="n"/>
      <c r="B401" s="469" t="n"/>
      <c r="C401" s="469" t="n"/>
      <c r="D401" s="469" t="n"/>
      <c r="E401" s="469" t="n"/>
      <c r="F401" s="469" t="n"/>
      <c r="G401" s="469" t="n"/>
      <c r="H401" s="469" t="n"/>
      <c r="I401" s="469" t="n"/>
      <c r="J401" s="469" t="n"/>
      <c r="K401" s="469" t="n"/>
      <c r="L401" s="469" t="n"/>
      <c r="M401" s="469" t="n"/>
      <c r="N401" s="469" t="n"/>
      <c r="O401" s="469" t="n"/>
      <c r="P401" s="471" t="n"/>
      <c r="Q401" s="469" t="n"/>
      <c r="R401" s="469" t="n"/>
      <c r="S401" s="469" t="n"/>
      <c r="T401" s="469" t="n"/>
      <c r="U401" s="469" t="n"/>
      <c r="V401" s="469" t="n"/>
      <c r="W401" s="469" t="n"/>
      <c r="X401" s="469" t="n"/>
      <c r="Y401" s="469" t="n"/>
      <c r="Z401" s="469" t="n"/>
      <c r="AA401" s="469" t="n"/>
    </row>
    <row r="402">
      <c r="A402" s="468" t="n"/>
      <c r="B402" s="469" t="n"/>
      <c r="C402" s="469" t="n"/>
      <c r="D402" s="469" t="n"/>
      <c r="E402" s="469" t="n"/>
      <c r="F402" s="469" t="n"/>
      <c r="G402" s="469" t="n"/>
      <c r="H402" s="469" t="n"/>
      <c r="I402" s="469" t="n"/>
      <c r="J402" s="469" t="n"/>
      <c r="K402" s="469" t="n"/>
      <c r="L402" s="469" t="n"/>
      <c r="M402" s="469" t="n"/>
      <c r="N402" s="469" t="n"/>
      <c r="O402" s="469" t="n"/>
      <c r="P402" s="471" t="n"/>
      <c r="Q402" s="469" t="n"/>
      <c r="R402" s="469" t="n"/>
      <c r="S402" s="469" t="n"/>
      <c r="T402" s="469" t="n"/>
      <c r="U402" s="469" t="n"/>
      <c r="V402" s="469" t="n"/>
      <c r="W402" s="469" t="n"/>
      <c r="X402" s="469" t="n"/>
      <c r="Y402" s="469" t="n"/>
      <c r="Z402" s="469" t="n"/>
      <c r="AA402" s="469" t="n"/>
    </row>
    <row r="403">
      <c r="A403" s="468" t="n"/>
      <c r="B403" s="469" t="n"/>
      <c r="C403" s="469" t="n"/>
      <c r="D403" s="469" t="n"/>
      <c r="E403" s="469" t="n"/>
      <c r="F403" s="469" t="n"/>
      <c r="G403" s="469" t="n"/>
      <c r="H403" s="469" t="n"/>
      <c r="I403" s="469" t="n"/>
      <c r="J403" s="469" t="n"/>
      <c r="K403" s="469" t="n"/>
      <c r="L403" s="469" t="n"/>
      <c r="M403" s="469" t="n"/>
      <c r="N403" s="469" t="n"/>
      <c r="O403" s="469" t="n"/>
      <c r="P403" s="471" t="n"/>
      <c r="Q403" s="469" t="n"/>
      <c r="R403" s="469" t="n"/>
      <c r="S403" s="469" t="n"/>
      <c r="T403" s="469" t="n"/>
      <c r="U403" s="469" t="n"/>
      <c r="V403" s="469" t="n"/>
      <c r="W403" s="469" t="n"/>
      <c r="X403" s="469" t="n"/>
      <c r="Y403" s="469" t="n"/>
      <c r="Z403" s="469" t="n"/>
      <c r="AA403" s="469" t="n"/>
    </row>
    <row r="404">
      <c r="A404" s="468" t="n"/>
      <c r="B404" s="469" t="n"/>
      <c r="C404" s="469" t="n"/>
      <c r="D404" s="469" t="n"/>
      <c r="E404" s="469" t="n"/>
      <c r="F404" s="469" t="n"/>
      <c r="G404" s="469" t="n"/>
      <c r="H404" s="469" t="n"/>
      <c r="I404" s="469" t="n"/>
      <c r="J404" s="469" t="n"/>
      <c r="K404" s="469" t="n"/>
      <c r="L404" s="469" t="n"/>
      <c r="M404" s="469" t="n"/>
      <c r="N404" s="469" t="n"/>
      <c r="O404" s="469" t="n"/>
      <c r="P404" s="471" t="n"/>
      <c r="Q404" s="469" t="n"/>
      <c r="R404" s="469" t="n"/>
      <c r="S404" s="469" t="n"/>
      <c r="T404" s="469" t="n"/>
      <c r="U404" s="469" t="n"/>
      <c r="V404" s="469" t="n"/>
      <c r="W404" s="469" t="n"/>
      <c r="X404" s="469" t="n"/>
      <c r="Y404" s="469" t="n"/>
      <c r="Z404" s="469" t="n"/>
      <c r="AA404" s="469" t="n"/>
    </row>
    <row r="405">
      <c r="A405" s="468" t="n"/>
      <c r="B405" s="469" t="n"/>
      <c r="C405" s="469" t="n"/>
      <c r="D405" s="469" t="n"/>
      <c r="E405" s="469" t="n"/>
      <c r="F405" s="469" t="n"/>
      <c r="G405" s="469" t="n"/>
      <c r="H405" s="469" t="n"/>
      <c r="I405" s="469" t="n"/>
      <c r="J405" s="469" t="n"/>
      <c r="K405" s="469" t="n"/>
      <c r="L405" s="469" t="n"/>
      <c r="M405" s="469" t="n"/>
      <c r="N405" s="469" t="n"/>
      <c r="O405" s="469" t="n"/>
      <c r="P405" s="471" t="n"/>
      <c r="Q405" s="469" t="n"/>
      <c r="R405" s="469" t="n"/>
      <c r="S405" s="469" t="n"/>
      <c r="T405" s="469" t="n"/>
      <c r="U405" s="469" t="n"/>
      <c r="V405" s="469" t="n"/>
      <c r="W405" s="469" t="n"/>
      <c r="X405" s="469" t="n"/>
      <c r="Y405" s="469" t="n"/>
      <c r="Z405" s="469" t="n"/>
      <c r="AA405" s="469" t="n"/>
    </row>
    <row r="406">
      <c r="A406" s="468" t="n"/>
      <c r="B406" s="469" t="n"/>
      <c r="C406" s="469" t="n"/>
      <c r="D406" s="469" t="n"/>
      <c r="E406" s="469" t="n"/>
      <c r="F406" s="469" t="n"/>
      <c r="G406" s="469" t="n"/>
      <c r="H406" s="469" t="n"/>
      <c r="I406" s="469" t="n"/>
      <c r="J406" s="469" t="n"/>
      <c r="K406" s="469" t="n"/>
      <c r="L406" s="469" t="n"/>
      <c r="M406" s="469" t="n"/>
      <c r="N406" s="469" t="n"/>
      <c r="O406" s="469" t="n"/>
      <c r="P406" s="471" t="n"/>
      <c r="Q406" s="469" t="n"/>
      <c r="R406" s="469" t="n"/>
      <c r="S406" s="469" t="n"/>
      <c r="T406" s="469" t="n"/>
      <c r="U406" s="469" t="n"/>
      <c r="V406" s="469" t="n"/>
      <c r="W406" s="469" t="n"/>
      <c r="X406" s="469" t="n"/>
      <c r="Y406" s="469" t="n"/>
      <c r="Z406" s="469" t="n"/>
      <c r="AA406" s="469" t="n"/>
    </row>
    <row r="407">
      <c r="A407" s="468" t="n"/>
      <c r="B407" s="469" t="n"/>
      <c r="C407" s="469" t="n"/>
      <c r="D407" s="469" t="n"/>
      <c r="E407" s="469" t="n"/>
      <c r="F407" s="469" t="n"/>
      <c r="G407" s="469" t="n"/>
      <c r="H407" s="469" t="n"/>
      <c r="I407" s="469" t="n"/>
      <c r="J407" s="469" t="n"/>
      <c r="K407" s="469" t="n"/>
      <c r="L407" s="469" t="n"/>
      <c r="M407" s="469" t="n"/>
      <c r="N407" s="469" t="n"/>
      <c r="O407" s="469" t="n"/>
      <c r="P407" s="471" t="n"/>
      <c r="Q407" s="469" t="n"/>
      <c r="R407" s="469" t="n"/>
      <c r="S407" s="469" t="n"/>
      <c r="T407" s="469" t="n"/>
      <c r="U407" s="469" t="n"/>
      <c r="V407" s="469" t="n"/>
      <c r="W407" s="469" t="n"/>
      <c r="X407" s="469" t="n"/>
      <c r="Y407" s="469" t="n"/>
      <c r="Z407" s="469" t="n"/>
      <c r="AA407" s="469" t="n"/>
    </row>
    <row r="408">
      <c r="A408" s="468" t="n"/>
      <c r="B408" s="469" t="n"/>
      <c r="C408" s="469" t="n"/>
      <c r="D408" s="469" t="n"/>
      <c r="E408" s="469" t="n"/>
      <c r="F408" s="469" t="n"/>
      <c r="G408" s="469" t="n"/>
      <c r="H408" s="469" t="n"/>
      <c r="I408" s="469" t="n"/>
      <c r="J408" s="469" t="n"/>
      <c r="K408" s="469" t="n"/>
      <c r="L408" s="469" t="n"/>
      <c r="M408" s="469" t="n"/>
      <c r="N408" s="469" t="n"/>
      <c r="O408" s="469" t="n"/>
      <c r="P408" s="471" t="n"/>
      <c r="Q408" s="469" t="n"/>
      <c r="R408" s="469" t="n"/>
      <c r="S408" s="469" t="n"/>
      <c r="T408" s="469" t="n"/>
      <c r="U408" s="469" t="n"/>
      <c r="V408" s="469" t="n"/>
      <c r="W408" s="469" t="n"/>
      <c r="X408" s="469" t="n"/>
      <c r="Y408" s="469" t="n"/>
      <c r="Z408" s="469" t="n"/>
      <c r="AA408" s="469" t="n"/>
    </row>
    <row r="409">
      <c r="A409" s="468" t="n"/>
      <c r="B409" s="469" t="n"/>
      <c r="C409" s="469" t="n"/>
      <c r="D409" s="469" t="n"/>
      <c r="E409" s="469" t="n"/>
      <c r="F409" s="469" t="n"/>
      <c r="G409" s="469" t="n"/>
      <c r="H409" s="469" t="n"/>
      <c r="I409" s="469" t="n"/>
      <c r="J409" s="469" t="n"/>
      <c r="K409" s="469" t="n"/>
      <c r="L409" s="469" t="n"/>
      <c r="M409" s="469" t="n"/>
      <c r="N409" s="469" t="n"/>
      <c r="O409" s="469" t="n"/>
      <c r="P409" s="471" t="n"/>
      <c r="Q409" s="469" t="n"/>
      <c r="R409" s="469" t="n"/>
      <c r="S409" s="469" t="n"/>
      <c r="T409" s="469" t="n"/>
      <c r="U409" s="469" t="n"/>
      <c r="V409" s="469" t="n"/>
      <c r="W409" s="469" t="n"/>
      <c r="X409" s="469" t="n"/>
      <c r="Y409" s="469" t="n"/>
      <c r="Z409" s="469" t="n"/>
      <c r="AA409" s="469" t="n"/>
    </row>
    <row r="410">
      <c r="A410" s="468" t="n"/>
      <c r="B410" s="469" t="n"/>
      <c r="C410" s="469" t="n"/>
      <c r="D410" s="469" t="n"/>
      <c r="E410" s="469" t="n"/>
      <c r="F410" s="469" t="n"/>
      <c r="G410" s="469" t="n"/>
      <c r="H410" s="469" t="n"/>
      <c r="I410" s="469" t="n"/>
      <c r="J410" s="469" t="n"/>
      <c r="K410" s="469" t="n"/>
      <c r="L410" s="469" t="n"/>
      <c r="M410" s="469" t="n"/>
      <c r="N410" s="469" t="n"/>
      <c r="O410" s="469" t="n"/>
      <c r="P410" s="471" t="n"/>
      <c r="Q410" s="469" t="n"/>
      <c r="R410" s="469" t="n"/>
      <c r="S410" s="469" t="n"/>
      <c r="T410" s="469" t="n"/>
      <c r="U410" s="469" t="n"/>
      <c r="V410" s="469" t="n"/>
      <c r="W410" s="469" t="n"/>
      <c r="X410" s="469" t="n"/>
      <c r="Y410" s="469" t="n"/>
      <c r="Z410" s="469" t="n"/>
      <c r="AA410" s="469" t="n"/>
    </row>
    <row r="411">
      <c r="A411" s="468" t="n"/>
      <c r="B411" s="469" t="n"/>
      <c r="C411" s="469" t="n"/>
      <c r="D411" s="469" t="n"/>
      <c r="E411" s="469" t="n"/>
      <c r="F411" s="469" t="n"/>
      <c r="G411" s="469" t="n"/>
      <c r="H411" s="469" t="n"/>
      <c r="I411" s="469" t="n"/>
      <c r="J411" s="469" t="n"/>
      <c r="K411" s="469" t="n"/>
      <c r="L411" s="469" t="n"/>
      <c r="M411" s="469" t="n"/>
      <c r="N411" s="469" t="n"/>
      <c r="O411" s="469" t="n"/>
      <c r="P411" s="471" t="n"/>
      <c r="Q411" s="469" t="n"/>
      <c r="R411" s="469" t="n"/>
      <c r="S411" s="469" t="n"/>
      <c r="T411" s="469" t="n"/>
      <c r="U411" s="469" t="n"/>
      <c r="V411" s="469" t="n"/>
      <c r="W411" s="469" t="n"/>
      <c r="X411" s="469" t="n"/>
      <c r="Y411" s="469" t="n"/>
      <c r="Z411" s="469" t="n"/>
      <c r="AA411" s="469" t="n"/>
    </row>
    <row r="412">
      <c r="A412" s="468" t="n"/>
      <c r="B412" s="469" t="n"/>
      <c r="C412" s="469" t="n"/>
      <c r="D412" s="469" t="n"/>
      <c r="E412" s="469" t="n"/>
      <c r="F412" s="469" t="n"/>
      <c r="G412" s="469" t="n"/>
      <c r="H412" s="469" t="n"/>
      <c r="I412" s="469" t="n"/>
      <c r="J412" s="469" t="n"/>
      <c r="K412" s="469" t="n"/>
      <c r="L412" s="469" t="n"/>
      <c r="M412" s="469" t="n"/>
      <c r="N412" s="469" t="n"/>
      <c r="O412" s="469" t="n"/>
      <c r="P412" s="471" t="n"/>
      <c r="Q412" s="469" t="n"/>
      <c r="R412" s="469" t="n"/>
      <c r="S412" s="469" t="n"/>
      <c r="T412" s="469" t="n"/>
      <c r="U412" s="469" t="n"/>
      <c r="V412" s="469" t="n"/>
      <c r="W412" s="469" t="n"/>
      <c r="X412" s="469" t="n"/>
      <c r="Y412" s="469" t="n"/>
      <c r="Z412" s="469" t="n"/>
      <c r="AA412" s="469" t="n"/>
    </row>
    <row r="413">
      <c r="A413" s="468" t="n"/>
      <c r="B413" s="469" t="n"/>
      <c r="C413" s="469" t="n"/>
      <c r="D413" s="469" t="n"/>
      <c r="E413" s="469" t="n"/>
      <c r="F413" s="469" t="n"/>
      <c r="G413" s="469" t="n"/>
      <c r="H413" s="469" t="n"/>
      <c r="I413" s="469" t="n"/>
      <c r="J413" s="469" t="n"/>
      <c r="K413" s="469" t="n"/>
      <c r="L413" s="469" t="n"/>
      <c r="M413" s="469" t="n"/>
      <c r="N413" s="469" t="n"/>
      <c r="O413" s="469" t="n"/>
      <c r="P413" s="471" t="n"/>
      <c r="Q413" s="469" t="n"/>
      <c r="R413" s="469" t="n"/>
      <c r="S413" s="469" t="n"/>
      <c r="T413" s="469" t="n"/>
      <c r="U413" s="469" t="n"/>
      <c r="V413" s="469" t="n"/>
      <c r="W413" s="469" t="n"/>
      <c r="X413" s="469" t="n"/>
      <c r="Y413" s="469" t="n"/>
      <c r="Z413" s="469" t="n"/>
      <c r="AA413" s="469" t="n"/>
    </row>
    <row r="414">
      <c r="A414" s="468" t="n"/>
      <c r="B414" s="469" t="n"/>
      <c r="C414" s="469" t="n"/>
      <c r="D414" s="469" t="n"/>
      <c r="E414" s="469" t="n"/>
      <c r="F414" s="469" t="n"/>
      <c r="G414" s="469" t="n"/>
      <c r="H414" s="469" t="n"/>
      <c r="I414" s="469" t="n"/>
      <c r="J414" s="469" t="n"/>
      <c r="K414" s="469" t="n"/>
      <c r="L414" s="469" t="n"/>
      <c r="M414" s="469" t="n"/>
      <c r="N414" s="469" t="n"/>
      <c r="O414" s="469" t="n"/>
      <c r="P414" s="471" t="n"/>
      <c r="Q414" s="469" t="n"/>
      <c r="R414" s="469" t="n"/>
      <c r="S414" s="469" t="n"/>
      <c r="T414" s="469" t="n"/>
      <c r="U414" s="469" t="n"/>
      <c r="V414" s="469" t="n"/>
      <c r="W414" s="469" t="n"/>
      <c r="X414" s="469" t="n"/>
      <c r="Y414" s="469" t="n"/>
      <c r="Z414" s="469" t="n"/>
      <c r="AA414" s="469" t="n"/>
    </row>
    <row r="415">
      <c r="A415" s="468" t="n"/>
      <c r="B415" s="469" t="n"/>
      <c r="C415" s="469" t="n"/>
      <c r="D415" s="469" t="n"/>
      <c r="E415" s="469" t="n"/>
      <c r="F415" s="469" t="n"/>
      <c r="G415" s="469" t="n"/>
      <c r="H415" s="469" t="n"/>
      <c r="I415" s="469" t="n"/>
      <c r="J415" s="469" t="n"/>
      <c r="K415" s="469" t="n"/>
      <c r="L415" s="469" t="n"/>
      <c r="M415" s="469" t="n"/>
      <c r="N415" s="469" t="n"/>
      <c r="O415" s="469" t="n"/>
      <c r="P415" s="471" t="n"/>
      <c r="Q415" s="469" t="n"/>
      <c r="R415" s="469" t="n"/>
      <c r="S415" s="469" t="n"/>
      <c r="T415" s="469" t="n"/>
      <c r="U415" s="469" t="n"/>
      <c r="V415" s="469" t="n"/>
      <c r="W415" s="469" t="n"/>
      <c r="X415" s="469" t="n"/>
      <c r="Y415" s="469" t="n"/>
      <c r="Z415" s="469" t="n"/>
      <c r="AA415" s="469" t="n"/>
    </row>
    <row r="416">
      <c r="A416" s="468" t="n"/>
      <c r="B416" s="469" t="n"/>
      <c r="C416" s="469" t="n"/>
      <c r="D416" s="469" t="n"/>
      <c r="E416" s="469" t="n"/>
      <c r="F416" s="469" t="n"/>
      <c r="G416" s="469" t="n"/>
      <c r="H416" s="469" t="n"/>
      <c r="I416" s="469" t="n"/>
      <c r="J416" s="469" t="n"/>
      <c r="K416" s="469" t="n"/>
      <c r="L416" s="469" t="n"/>
      <c r="M416" s="469" t="n"/>
      <c r="N416" s="469" t="n"/>
      <c r="O416" s="469" t="n"/>
      <c r="P416" s="471" t="n"/>
      <c r="Q416" s="469" t="n"/>
      <c r="R416" s="469" t="n"/>
      <c r="S416" s="469" t="n"/>
      <c r="T416" s="469" t="n"/>
      <c r="U416" s="469" t="n"/>
      <c r="V416" s="469" t="n"/>
      <c r="W416" s="469" t="n"/>
      <c r="X416" s="469" t="n"/>
      <c r="Y416" s="469" t="n"/>
      <c r="Z416" s="469" t="n"/>
      <c r="AA416" s="469" t="n"/>
    </row>
    <row r="417">
      <c r="A417" s="468" t="n"/>
      <c r="B417" s="469" t="n"/>
      <c r="C417" s="469" t="n"/>
      <c r="D417" s="469" t="n"/>
      <c r="E417" s="469" t="n"/>
      <c r="F417" s="469" t="n"/>
      <c r="G417" s="469" t="n"/>
      <c r="H417" s="469" t="n"/>
      <c r="I417" s="469" t="n"/>
      <c r="J417" s="469" t="n"/>
      <c r="K417" s="469" t="n"/>
      <c r="L417" s="469" t="n"/>
      <c r="M417" s="469" t="n"/>
      <c r="N417" s="469" t="n"/>
      <c r="O417" s="469" t="n"/>
      <c r="P417" s="471" t="n"/>
      <c r="Q417" s="469" t="n"/>
      <c r="R417" s="469" t="n"/>
      <c r="S417" s="469" t="n"/>
      <c r="T417" s="469" t="n"/>
      <c r="U417" s="469" t="n"/>
      <c r="V417" s="469" t="n"/>
      <c r="W417" s="469" t="n"/>
      <c r="X417" s="469" t="n"/>
      <c r="Y417" s="469" t="n"/>
      <c r="Z417" s="469" t="n"/>
      <c r="AA417" s="469" t="n"/>
    </row>
    <row r="418">
      <c r="A418" s="468" t="n"/>
      <c r="B418" s="469" t="n"/>
      <c r="C418" s="469" t="n"/>
      <c r="D418" s="469" t="n"/>
      <c r="E418" s="469" t="n"/>
      <c r="F418" s="469" t="n"/>
      <c r="G418" s="469" t="n"/>
      <c r="H418" s="469" t="n"/>
      <c r="I418" s="469" t="n"/>
      <c r="J418" s="469" t="n"/>
      <c r="K418" s="469" t="n"/>
      <c r="L418" s="469" t="n"/>
      <c r="M418" s="469" t="n"/>
      <c r="N418" s="469" t="n"/>
      <c r="O418" s="469" t="n"/>
      <c r="P418" s="471" t="n"/>
      <c r="Q418" s="469" t="n"/>
      <c r="R418" s="469" t="n"/>
      <c r="S418" s="469" t="n"/>
      <c r="T418" s="469" t="n"/>
      <c r="U418" s="469" t="n"/>
      <c r="V418" s="469" t="n"/>
      <c r="W418" s="469" t="n"/>
      <c r="X418" s="469" t="n"/>
      <c r="Y418" s="469" t="n"/>
      <c r="Z418" s="469" t="n"/>
      <c r="AA418" s="469" t="n"/>
    </row>
    <row r="419">
      <c r="A419" s="468" t="n"/>
      <c r="B419" s="469" t="n"/>
      <c r="C419" s="469" t="n"/>
      <c r="D419" s="469" t="n"/>
      <c r="E419" s="469" t="n"/>
      <c r="F419" s="469" t="n"/>
      <c r="G419" s="469" t="n"/>
      <c r="H419" s="469" t="n"/>
      <c r="I419" s="469" t="n"/>
      <c r="J419" s="469" t="n"/>
      <c r="K419" s="469" t="n"/>
      <c r="L419" s="469" t="n"/>
      <c r="M419" s="469" t="n"/>
      <c r="N419" s="469" t="n"/>
      <c r="O419" s="469" t="n"/>
      <c r="P419" s="471" t="n"/>
      <c r="Q419" s="469" t="n"/>
      <c r="R419" s="469" t="n"/>
      <c r="S419" s="469" t="n"/>
      <c r="T419" s="469" t="n"/>
      <c r="U419" s="469" t="n"/>
      <c r="V419" s="469" t="n"/>
      <c r="W419" s="469" t="n"/>
      <c r="X419" s="469" t="n"/>
      <c r="Y419" s="469" t="n"/>
      <c r="Z419" s="469" t="n"/>
      <c r="AA419" s="469" t="n"/>
    </row>
    <row r="420">
      <c r="A420" s="468" t="n"/>
      <c r="B420" s="469" t="n"/>
      <c r="C420" s="469" t="n"/>
      <c r="D420" s="469" t="n"/>
      <c r="E420" s="469" t="n"/>
      <c r="F420" s="469" t="n"/>
      <c r="G420" s="469" t="n"/>
      <c r="H420" s="469" t="n"/>
      <c r="I420" s="469" t="n"/>
      <c r="J420" s="469" t="n"/>
      <c r="K420" s="469" t="n"/>
      <c r="L420" s="469" t="n"/>
      <c r="M420" s="469" t="n"/>
      <c r="N420" s="469" t="n"/>
      <c r="O420" s="469" t="n"/>
      <c r="P420" s="471" t="n"/>
      <c r="Q420" s="469" t="n"/>
      <c r="R420" s="469" t="n"/>
      <c r="S420" s="469" t="n"/>
      <c r="T420" s="469" t="n"/>
      <c r="U420" s="469" t="n"/>
      <c r="V420" s="469" t="n"/>
      <c r="W420" s="469" t="n"/>
      <c r="X420" s="469" t="n"/>
      <c r="Y420" s="469" t="n"/>
      <c r="Z420" s="469" t="n"/>
      <c r="AA420" s="469" t="n"/>
    </row>
    <row r="421">
      <c r="A421" s="468" t="n"/>
      <c r="B421" s="469" t="n"/>
      <c r="C421" s="469" t="n"/>
      <c r="D421" s="469" t="n"/>
      <c r="E421" s="469" t="n"/>
      <c r="F421" s="469" t="n"/>
      <c r="G421" s="469" t="n"/>
      <c r="H421" s="469" t="n"/>
      <c r="I421" s="469" t="n"/>
      <c r="J421" s="469" t="n"/>
      <c r="K421" s="469" t="n"/>
      <c r="L421" s="469" t="n"/>
      <c r="M421" s="469" t="n"/>
      <c r="N421" s="469" t="n"/>
      <c r="O421" s="469" t="n"/>
      <c r="P421" s="471" t="n"/>
      <c r="Q421" s="469" t="n"/>
      <c r="R421" s="469" t="n"/>
      <c r="S421" s="469" t="n"/>
      <c r="T421" s="469" t="n"/>
      <c r="U421" s="469" t="n"/>
      <c r="V421" s="469" t="n"/>
      <c r="W421" s="469" t="n"/>
      <c r="X421" s="469" t="n"/>
      <c r="Y421" s="469" t="n"/>
      <c r="Z421" s="469" t="n"/>
      <c r="AA421" s="469" t="n"/>
    </row>
    <row r="422">
      <c r="A422" s="468" t="n"/>
      <c r="B422" s="469" t="n"/>
      <c r="C422" s="469" t="n"/>
      <c r="D422" s="469" t="n"/>
      <c r="E422" s="469" t="n"/>
      <c r="F422" s="469" t="n"/>
      <c r="G422" s="469" t="n"/>
      <c r="H422" s="469" t="n"/>
      <c r="I422" s="469" t="n"/>
      <c r="J422" s="469" t="n"/>
      <c r="K422" s="469" t="n"/>
      <c r="L422" s="469" t="n"/>
      <c r="M422" s="469" t="n"/>
      <c r="N422" s="469" t="n"/>
      <c r="O422" s="469" t="n"/>
      <c r="P422" s="471" t="n"/>
      <c r="Q422" s="469" t="n"/>
      <c r="R422" s="469" t="n"/>
      <c r="S422" s="469" t="n"/>
      <c r="T422" s="469" t="n"/>
      <c r="U422" s="469" t="n"/>
      <c r="V422" s="469" t="n"/>
      <c r="W422" s="469" t="n"/>
      <c r="X422" s="469" t="n"/>
      <c r="Y422" s="469" t="n"/>
      <c r="Z422" s="469" t="n"/>
      <c r="AA422" s="469" t="n"/>
    </row>
    <row r="423">
      <c r="A423" s="468" t="n"/>
      <c r="B423" s="469" t="n"/>
      <c r="C423" s="469" t="n"/>
      <c r="D423" s="469" t="n"/>
      <c r="E423" s="469" t="n"/>
      <c r="F423" s="469" t="n"/>
      <c r="G423" s="469" t="n"/>
      <c r="H423" s="469" t="n"/>
      <c r="I423" s="469" t="n"/>
      <c r="J423" s="469" t="n"/>
      <c r="K423" s="469" t="n"/>
      <c r="L423" s="469" t="n"/>
      <c r="M423" s="469" t="n"/>
      <c r="N423" s="469" t="n"/>
      <c r="O423" s="469" t="n"/>
      <c r="P423" s="471" t="n"/>
      <c r="Q423" s="469" t="n"/>
      <c r="R423" s="469" t="n"/>
      <c r="S423" s="469" t="n"/>
      <c r="T423" s="469" t="n"/>
      <c r="U423" s="469" t="n"/>
      <c r="V423" s="469" t="n"/>
      <c r="W423" s="469" t="n"/>
      <c r="X423" s="469" t="n"/>
      <c r="Y423" s="469" t="n"/>
      <c r="Z423" s="469" t="n"/>
      <c r="AA423" s="469" t="n"/>
    </row>
    <row r="424">
      <c r="A424" s="468" t="n"/>
      <c r="B424" s="469" t="n"/>
      <c r="C424" s="469" t="n"/>
      <c r="D424" s="469" t="n"/>
      <c r="E424" s="469" t="n"/>
      <c r="F424" s="469" t="n"/>
      <c r="G424" s="469" t="n"/>
      <c r="H424" s="469" t="n"/>
      <c r="I424" s="469" t="n"/>
      <c r="J424" s="469" t="n"/>
      <c r="K424" s="469" t="n"/>
      <c r="L424" s="469" t="n"/>
      <c r="M424" s="469" t="n"/>
      <c r="N424" s="469" t="n"/>
      <c r="O424" s="469" t="n"/>
      <c r="P424" s="471" t="n"/>
      <c r="Q424" s="469" t="n"/>
      <c r="R424" s="469" t="n"/>
      <c r="S424" s="469" t="n"/>
      <c r="T424" s="469" t="n"/>
      <c r="U424" s="469" t="n"/>
      <c r="V424" s="469" t="n"/>
      <c r="W424" s="469" t="n"/>
      <c r="X424" s="469" t="n"/>
      <c r="Y424" s="469" t="n"/>
      <c r="Z424" s="469" t="n"/>
      <c r="AA424" s="469" t="n"/>
    </row>
    <row r="425">
      <c r="A425" s="468" t="n"/>
      <c r="B425" s="469" t="n"/>
      <c r="C425" s="469" t="n"/>
      <c r="D425" s="469" t="n"/>
      <c r="E425" s="469" t="n"/>
      <c r="F425" s="469" t="n"/>
      <c r="G425" s="469" t="n"/>
      <c r="H425" s="469" t="n"/>
      <c r="I425" s="469" t="n"/>
      <c r="J425" s="469" t="n"/>
      <c r="K425" s="469" t="n"/>
      <c r="L425" s="469" t="n"/>
      <c r="M425" s="469" t="n"/>
      <c r="N425" s="469" t="n"/>
      <c r="O425" s="469" t="n"/>
      <c r="P425" s="471" t="n"/>
      <c r="Q425" s="469" t="n"/>
      <c r="R425" s="469" t="n"/>
      <c r="S425" s="469" t="n"/>
      <c r="T425" s="469" t="n"/>
      <c r="U425" s="469" t="n"/>
      <c r="V425" s="469" t="n"/>
      <c r="W425" s="469" t="n"/>
      <c r="X425" s="469" t="n"/>
      <c r="Y425" s="469" t="n"/>
      <c r="Z425" s="469" t="n"/>
      <c r="AA425" s="469" t="n"/>
    </row>
    <row r="426">
      <c r="A426" s="468" t="n"/>
      <c r="B426" s="469" t="n"/>
      <c r="C426" s="469" t="n"/>
      <c r="D426" s="469" t="n"/>
      <c r="E426" s="469" t="n"/>
      <c r="F426" s="469" t="n"/>
      <c r="G426" s="469" t="n"/>
      <c r="H426" s="469" t="n"/>
      <c r="I426" s="469" t="n"/>
      <c r="J426" s="469" t="n"/>
      <c r="K426" s="469" t="n"/>
      <c r="L426" s="469" t="n"/>
      <c r="M426" s="469" t="n"/>
      <c r="N426" s="469" t="n"/>
      <c r="O426" s="469" t="n"/>
      <c r="P426" s="471" t="n"/>
      <c r="Q426" s="469" t="n"/>
      <c r="R426" s="469" t="n"/>
      <c r="S426" s="469" t="n"/>
      <c r="T426" s="469" t="n"/>
      <c r="U426" s="469" t="n"/>
      <c r="V426" s="469" t="n"/>
      <c r="W426" s="469" t="n"/>
      <c r="X426" s="469" t="n"/>
      <c r="Y426" s="469" t="n"/>
      <c r="Z426" s="469" t="n"/>
      <c r="AA426" s="469" t="n"/>
    </row>
    <row r="427">
      <c r="A427" s="468" t="n"/>
      <c r="B427" s="469" t="n"/>
      <c r="C427" s="469" t="n"/>
      <c r="D427" s="469" t="n"/>
      <c r="E427" s="469" t="n"/>
      <c r="F427" s="469" t="n"/>
      <c r="G427" s="469" t="n"/>
      <c r="H427" s="469" t="n"/>
      <c r="I427" s="469" t="n"/>
      <c r="J427" s="469" t="n"/>
      <c r="K427" s="469" t="n"/>
      <c r="L427" s="469" t="n"/>
      <c r="M427" s="469" t="n"/>
      <c r="N427" s="469" t="n"/>
      <c r="O427" s="469" t="n"/>
      <c r="P427" s="471" t="n"/>
      <c r="Q427" s="469" t="n"/>
      <c r="R427" s="469" t="n"/>
      <c r="S427" s="469" t="n"/>
      <c r="T427" s="469" t="n"/>
      <c r="U427" s="469" t="n"/>
      <c r="V427" s="469" t="n"/>
      <c r="W427" s="469" t="n"/>
      <c r="X427" s="469" t="n"/>
      <c r="Y427" s="469" t="n"/>
      <c r="Z427" s="469" t="n"/>
      <c r="AA427" s="469" t="n"/>
    </row>
    <row r="428">
      <c r="A428" s="468" t="n"/>
      <c r="B428" s="469" t="n"/>
      <c r="C428" s="469" t="n"/>
      <c r="D428" s="469" t="n"/>
      <c r="E428" s="469" t="n"/>
      <c r="F428" s="469" t="n"/>
      <c r="G428" s="469" t="n"/>
      <c r="H428" s="469" t="n"/>
      <c r="I428" s="469" t="n"/>
      <c r="J428" s="469" t="n"/>
      <c r="K428" s="469" t="n"/>
      <c r="L428" s="469" t="n"/>
      <c r="M428" s="469" t="n"/>
      <c r="N428" s="469" t="n"/>
      <c r="O428" s="469" t="n"/>
      <c r="P428" s="471" t="n"/>
      <c r="Q428" s="469" t="n"/>
      <c r="R428" s="469" t="n"/>
      <c r="S428" s="469" t="n"/>
      <c r="T428" s="469" t="n"/>
      <c r="U428" s="469" t="n"/>
      <c r="V428" s="469" t="n"/>
      <c r="W428" s="469" t="n"/>
      <c r="X428" s="469" t="n"/>
      <c r="Y428" s="469" t="n"/>
      <c r="Z428" s="469" t="n"/>
      <c r="AA428" s="469" t="n"/>
    </row>
    <row r="429">
      <c r="A429" s="468" t="n"/>
      <c r="B429" s="469" t="n"/>
      <c r="C429" s="469" t="n"/>
      <c r="D429" s="469" t="n"/>
      <c r="E429" s="469" t="n"/>
      <c r="F429" s="469" t="n"/>
      <c r="G429" s="469" t="n"/>
      <c r="H429" s="469" t="n"/>
      <c r="I429" s="469" t="n"/>
      <c r="J429" s="469" t="n"/>
      <c r="K429" s="469" t="n"/>
      <c r="L429" s="469" t="n"/>
      <c r="M429" s="469" t="n"/>
      <c r="N429" s="469" t="n"/>
      <c r="O429" s="469" t="n"/>
      <c r="P429" s="471" t="n"/>
      <c r="Q429" s="469" t="n"/>
      <c r="R429" s="469" t="n"/>
      <c r="S429" s="469" t="n"/>
      <c r="T429" s="469" t="n"/>
      <c r="U429" s="469" t="n"/>
      <c r="V429" s="469" t="n"/>
      <c r="W429" s="469" t="n"/>
      <c r="X429" s="469" t="n"/>
      <c r="Y429" s="469" t="n"/>
      <c r="Z429" s="469" t="n"/>
      <c r="AA429" s="469" t="n"/>
    </row>
    <row r="430">
      <c r="A430" s="468" t="n"/>
      <c r="B430" s="469" t="n"/>
      <c r="C430" s="469" t="n"/>
      <c r="D430" s="469" t="n"/>
      <c r="E430" s="469" t="n"/>
      <c r="F430" s="469" t="n"/>
      <c r="G430" s="469" t="n"/>
      <c r="H430" s="469" t="n"/>
      <c r="I430" s="469" t="n"/>
      <c r="J430" s="469" t="n"/>
      <c r="K430" s="469" t="n"/>
      <c r="L430" s="469" t="n"/>
      <c r="M430" s="469" t="n"/>
      <c r="N430" s="469" t="n"/>
      <c r="O430" s="469" t="n"/>
      <c r="P430" s="471" t="n"/>
      <c r="Q430" s="469" t="n"/>
      <c r="R430" s="469" t="n"/>
      <c r="S430" s="469" t="n"/>
      <c r="T430" s="469" t="n"/>
      <c r="U430" s="469" t="n"/>
      <c r="V430" s="469" t="n"/>
      <c r="W430" s="469" t="n"/>
      <c r="X430" s="469" t="n"/>
      <c r="Y430" s="469" t="n"/>
      <c r="Z430" s="469" t="n"/>
      <c r="AA430" s="469" t="n"/>
    </row>
    <row r="431">
      <c r="A431" s="468" t="n"/>
      <c r="B431" s="469" t="n"/>
      <c r="C431" s="469" t="n"/>
      <c r="D431" s="469" t="n"/>
      <c r="E431" s="469" t="n"/>
      <c r="F431" s="469" t="n"/>
      <c r="G431" s="469" t="n"/>
      <c r="H431" s="469" t="n"/>
      <c r="I431" s="469" t="n"/>
      <c r="J431" s="469" t="n"/>
      <c r="K431" s="469" t="n"/>
      <c r="L431" s="469" t="n"/>
      <c r="M431" s="469" t="n"/>
      <c r="N431" s="469" t="n"/>
      <c r="O431" s="469" t="n"/>
      <c r="P431" s="471" t="n"/>
      <c r="Q431" s="469" t="n"/>
      <c r="R431" s="469" t="n"/>
      <c r="S431" s="469" t="n"/>
      <c r="T431" s="469" t="n"/>
      <c r="U431" s="469" t="n"/>
      <c r="V431" s="469" t="n"/>
      <c r="W431" s="469" t="n"/>
      <c r="X431" s="469" t="n"/>
      <c r="Y431" s="469" t="n"/>
      <c r="Z431" s="469" t="n"/>
      <c r="AA431" s="469" t="n"/>
    </row>
    <row r="432">
      <c r="A432" s="468" t="n"/>
      <c r="B432" s="469" t="n"/>
      <c r="C432" s="469" t="n"/>
      <c r="D432" s="469" t="n"/>
      <c r="E432" s="469" t="n"/>
      <c r="F432" s="469" t="n"/>
      <c r="G432" s="469" t="n"/>
      <c r="H432" s="469" t="n"/>
      <c r="I432" s="469" t="n"/>
      <c r="J432" s="469" t="n"/>
      <c r="K432" s="469" t="n"/>
      <c r="L432" s="469" t="n"/>
      <c r="M432" s="469" t="n"/>
      <c r="N432" s="469" t="n"/>
      <c r="O432" s="469" t="n"/>
      <c r="P432" s="471" t="n"/>
      <c r="Q432" s="469" t="n"/>
      <c r="R432" s="469" t="n"/>
      <c r="S432" s="469" t="n"/>
      <c r="T432" s="469" t="n"/>
      <c r="U432" s="469" t="n"/>
      <c r="V432" s="469" t="n"/>
      <c r="W432" s="469" t="n"/>
      <c r="X432" s="469" t="n"/>
      <c r="Y432" s="469" t="n"/>
      <c r="Z432" s="469" t="n"/>
      <c r="AA432" s="469" t="n"/>
    </row>
    <row r="433">
      <c r="A433" s="468" t="n"/>
      <c r="B433" s="469" t="n"/>
      <c r="C433" s="469" t="n"/>
      <c r="D433" s="469" t="n"/>
      <c r="E433" s="469" t="n"/>
      <c r="F433" s="469" t="n"/>
      <c r="G433" s="469" t="n"/>
      <c r="H433" s="469" t="n"/>
      <c r="I433" s="469" t="n"/>
      <c r="J433" s="469" t="n"/>
      <c r="K433" s="469" t="n"/>
      <c r="L433" s="469" t="n"/>
      <c r="M433" s="469" t="n"/>
      <c r="N433" s="469" t="n"/>
      <c r="O433" s="469" t="n"/>
      <c r="P433" s="471" t="n"/>
      <c r="Q433" s="469" t="n"/>
      <c r="R433" s="469" t="n"/>
      <c r="S433" s="469" t="n"/>
      <c r="T433" s="469" t="n"/>
      <c r="U433" s="469" t="n"/>
      <c r="V433" s="469" t="n"/>
      <c r="W433" s="469" t="n"/>
      <c r="X433" s="469" t="n"/>
      <c r="Y433" s="469" t="n"/>
      <c r="Z433" s="469" t="n"/>
      <c r="AA433" s="469" t="n"/>
    </row>
    <row r="434">
      <c r="A434" s="468" t="n"/>
      <c r="B434" s="469" t="n"/>
      <c r="C434" s="469" t="n"/>
      <c r="D434" s="469" t="n"/>
      <c r="E434" s="469" t="n"/>
      <c r="F434" s="469" t="n"/>
      <c r="G434" s="469" t="n"/>
      <c r="H434" s="469" t="n"/>
      <c r="I434" s="469" t="n"/>
      <c r="J434" s="469" t="n"/>
      <c r="K434" s="469" t="n"/>
      <c r="L434" s="469" t="n"/>
      <c r="M434" s="469" t="n"/>
      <c r="N434" s="469" t="n"/>
      <c r="O434" s="469" t="n"/>
      <c r="P434" s="471" t="n"/>
      <c r="Q434" s="469" t="n"/>
      <c r="R434" s="469" t="n"/>
      <c r="S434" s="469" t="n"/>
      <c r="T434" s="469" t="n"/>
      <c r="U434" s="469" t="n"/>
      <c r="V434" s="469" t="n"/>
      <c r="W434" s="469" t="n"/>
      <c r="X434" s="469" t="n"/>
      <c r="Y434" s="469" t="n"/>
      <c r="Z434" s="469" t="n"/>
      <c r="AA434" s="469" t="n"/>
    </row>
    <row r="435">
      <c r="A435" s="468" t="n"/>
      <c r="B435" s="469" t="n"/>
      <c r="C435" s="469" t="n"/>
      <c r="D435" s="469" t="n"/>
      <c r="E435" s="469" t="n"/>
      <c r="F435" s="469" t="n"/>
      <c r="G435" s="469" t="n"/>
      <c r="H435" s="469" t="n"/>
      <c r="I435" s="469" t="n"/>
      <c r="J435" s="469" t="n"/>
      <c r="K435" s="469" t="n"/>
      <c r="L435" s="469" t="n"/>
      <c r="M435" s="469" t="n"/>
      <c r="N435" s="469" t="n"/>
      <c r="O435" s="469" t="n"/>
      <c r="P435" s="471" t="n"/>
      <c r="Q435" s="469" t="n"/>
      <c r="R435" s="469" t="n"/>
      <c r="S435" s="469" t="n"/>
      <c r="T435" s="469" t="n"/>
      <c r="U435" s="469" t="n"/>
      <c r="V435" s="469" t="n"/>
      <c r="W435" s="469" t="n"/>
      <c r="X435" s="469" t="n"/>
      <c r="Y435" s="469" t="n"/>
      <c r="Z435" s="469" t="n"/>
      <c r="AA435" s="469" t="n"/>
    </row>
    <row r="436">
      <c r="A436" s="468" t="n"/>
      <c r="B436" s="469" t="n"/>
      <c r="C436" s="469" t="n"/>
      <c r="D436" s="469" t="n"/>
      <c r="E436" s="469" t="n"/>
      <c r="F436" s="469" t="n"/>
      <c r="G436" s="469" t="n"/>
      <c r="H436" s="469" t="n"/>
      <c r="I436" s="469" t="n"/>
      <c r="J436" s="469" t="n"/>
      <c r="K436" s="469" t="n"/>
      <c r="L436" s="469" t="n"/>
      <c r="M436" s="469" t="n"/>
      <c r="N436" s="469" t="n"/>
      <c r="O436" s="469" t="n"/>
      <c r="P436" s="471" t="n"/>
      <c r="Q436" s="469" t="n"/>
      <c r="R436" s="469" t="n"/>
      <c r="S436" s="469" t="n"/>
      <c r="T436" s="469" t="n"/>
      <c r="U436" s="469" t="n"/>
      <c r="V436" s="469" t="n"/>
      <c r="W436" s="469" t="n"/>
      <c r="X436" s="469" t="n"/>
      <c r="Y436" s="469" t="n"/>
      <c r="Z436" s="469" t="n"/>
      <c r="AA436" s="469" t="n"/>
    </row>
    <row r="437">
      <c r="A437" s="468" t="n"/>
      <c r="B437" s="469" t="n"/>
      <c r="C437" s="469" t="n"/>
      <c r="D437" s="469" t="n"/>
      <c r="E437" s="469" t="n"/>
      <c r="F437" s="469" t="n"/>
      <c r="G437" s="469" t="n"/>
      <c r="H437" s="469" t="n"/>
      <c r="I437" s="469" t="n"/>
      <c r="J437" s="469" t="n"/>
      <c r="K437" s="469" t="n"/>
      <c r="L437" s="469" t="n"/>
      <c r="M437" s="469" t="n"/>
      <c r="N437" s="469" t="n"/>
      <c r="O437" s="469" t="n"/>
      <c r="P437" s="471" t="n"/>
      <c r="Q437" s="469" t="n"/>
      <c r="R437" s="469" t="n"/>
      <c r="S437" s="469" t="n"/>
      <c r="T437" s="469" t="n"/>
      <c r="U437" s="469" t="n"/>
      <c r="V437" s="469" t="n"/>
      <c r="W437" s="469" t="n"/>
      <c r="X437" s="469" t="n"/>
      <c r="Y437" s="469" t="n"/>
      <c r="Z437" s="469" t="n"/>
      <c r="AA437" s="469" t="n"/>
    </row>
    <row r="438">
      <c r="A438" s="468" t="n"/>
      <c r="B438" s="469" t="n"/>
      <c r="C438" s="469" t="n"/>
      <c r="D438" s="469" t="n"/>
      <c r="E438" s="469" t="n"/>
      <c r="F438" s="469" t="n"/>
      <c r="G438" s="469" t="n"/>
      <c r="H438" s="469" t="n"/>
      <c r="I438" s="469" t="n"/>
      <c r="J438" s="469" t="n"/>
      <c r="K438" s="469" t="n"/>
      <c r="L438" s="469" t="n"/>
      <c r="M438" s="469" t="n"/>
      <c r="N438" s="469" t="n"/>
      <c r="O438" s="469" t="n"/>
      <c r="P438" s="471" t="n"/>
      <c r="Q438" s="469" t="n"/>
      <c r="R438" s="469" t="n"/>
      <c r="S438" s="469" t="n"/>
      <c r="T438" s="469" t="n"/>
      <c r="U438" s="469" t="n"/>
      <c r="V438" s="469" t="n"/>
      <c r="W438" s="469" t="n"/>
      <c r="X438" s="469" t="n"/>
      <c r="Y438" s="469" t="n"/>
      <c r="Z438" s="469" t="n"/>
      <c r="AA438" s="469" t="n"/>
    </row>
    <row r="439">
      <c r="A439" s="468" t="n"/>
      <c r="B439" s="469" t="n"/>
      <c r="C439" s="469" t="n"/>
      <c r="D439" s="469" t="n"/>
      <c r="E439" s="469" t="n"/>
      <c r="F439" s="469" t="n"/>
      <c r="G439" s="469" t="n"/>
      <c r="H439" s="469" t="n"/>
      <c r="I439" s="469" t="n"/>
      <c r="J439" s="469" t="n"/>
      <c r="K439" s="469" t="n"/>
      <c r="L439" s="469" t="n"/>
      <c r="M439" s="469" t="n"/>
      <c r="N439" s="469" t="n"/>
      <c r="O439" s="469" t="n"/>
      <c r="P439" s="471" t="n"/>
      <c r="Q439" s="469" t="n"/>
      <c r="R439" s="469" t="n"/>
      <c r="S439" s="469" t="n"/>
      <c r="T439" s="469" t="n"/>
      <c r="U439" s="469" t="n"/>
      <c r="V439" s="469" t="n"/>
      <c r="W439" s="469" t="n"/>
      <c r="X439" s="469" t="n"/>
      <c r="Y439" s="469" t="n"/>
      <c r="Z439" s="469" t="n"/>
      <c r="AA439" s="469" t="n"/>
    </row>
    <row r="440">
      <c r="A440" s="468" t="n"/>
      <c r="B440" s="469" t="n"/>
      <c r="C440" s="469" t="n"/>
      <c r="D440" s="469" t="n"/>
      <c r="E440" s="469" t="n"/>
      <c r="F440" s="469" t="n"/>
      <c r="G440" s="469" t="n"/>
      <c r="H440" s="469" t="n"/>
      <c r="I440" s="469" t="n"/>
      <c r="J440" s="469" t="n"/>
      <c r="K440" s="469" t="n"/>
      <c r="L440" s="469" t="n"/>
      <c r="M440" s="469" t="n"/>
      <c r="N440" s="469" t="n"/>
      <c r="O440" s="469" t="n"/>
      <c r="P440" s="471" t="n"/>
      <c r="Q440" s="469" t="n"/>
      <c r="R440" s="469" t="n"/>
      <c r="S440" s="469" t="n"/>
      <c r="T440" s="469" t="n"/>
      <c r="U440" s="469" t="n"/>
      <c r="V440" s="469" t="n"/>
      <c r="W440" s="469" t="n"/>
      <c r="X440" s="469" t="n"/>
      <c r="Y440" s="469" t="n"/>
      <c r="Z440" s="469" t="n"/>
      <c r="AA440" s="469" t="n"/>
    </row>
    <row r="441">
      <c r="A441" s="468" t="n"/>
      <c r="B441" s="469" t="n"/>
      <c r="C441" s="469" t="n"/>
      <c r="D441" s="469" t="n"/>
      <c r="E441" s="469" t="n"/>
      <c r="F441" s="469" t="n"/>
      <c r="G441" s="469" t="n"/>
      <c r="H441" s="469" t="n"/>
      <c r="I441" s="469" t="n"/>
      <c r="J441" s="469" t="n"/>
      <c r="K441" s="469" t="n"/>
      <c r="L441" s="469" t="n"/>
      <c r="M441" s="469" t="n"/>
      <c r="N441" s="469" t="n"/>
      <c r="O441" s="469" t="n"/>
      <c r="P441" s="471" t="n"/>
      <c r="Q441" s="469" t="n"/>
      <c r="R441" s="469" t="n"/>
      <c r="S441" s="469" t="n"/>
      <c r="T441" s="469" t="n"/>
      <c r="U441" s="469" t="n"/>
      <c r="V441" s="469" t="n"/>
      <c r="W441" s="469" t="n"/>
      <c r="X441" s="469" t="n"/>
      <c r="Y441" s="469" t="n"/>
      <c r="Z441" s="469" t="n"/>
      <c r="AA441" s="469" t="n"/>
    </row>
    <row r="442">
      <c r="A442" s="468" t="n"/>
      <c r="B442" s="469" t="n"/>
      <c r="C442" s="469" t="n"/>
      <c r="D442" s="469" t="n"/>
      <c r="E442" s="469" t="n"/>
      <c r="F442" s="469" t="n"/>
      <c r="G442" s="469" t="n"/>
      <c r="H442" s="469" t="n"/>
      <c r="I442" s="469" t="n"/>
      <c r="J442" s="469" t="n"/>
      <c r="K442" s="469" t="n"/>
      <c r="L442" s="469" t="n"/>
      <c r="M442" s="469" t="n"/>
      <c r="N442" s="469" t="n"/>
      <c r="O442" s="469" t="n"/>
      <c r="P442" s="471" t="n"/>
      <c r="Q442" s="469" t="n"/>
      <c r="R442" s="469" t="n"/>
      <c r="S442" s="469" t="n"/>
      <c r="T442" s="469" t="n"/>
      <c r="U442" s="469" t="n"/>
      <c r="V442" s="469" t="n"/>
      <c r="W442" s="469" t="n"/>
      <c r="X442" s="469" t="n"/>
      <c r="Y442" s="469" t="n"/>
      <c r="Z442" s="469" t="n"/>
      <c r="AA442" s="469" t="n"/>
    </row>
    <row r="443">
      <c r="A443" s="468" t="n"/>
      <c r="B443" s="469" t="n"/>
      <c r="C443" s="469" t="n"/>
      <c r="D443" s="469" t="n"/>
      <c r="E443" s="469" t="n"/>
      <c r="F443" s="469" t="n"/>
      <c r="G443" s="469" t="n"/>
      <c r="H443" s="469" t="n"/>
      <c r="I443" s="469" t="n"/>
      <c r="J443" s="469" t="n"/>
      <c r="K443" s="469" t="n"/>
      <c r="L443" s="469" t="n"/>
      <c r="M443" s="469" t="n"/>
      <c r="N443" s="469" t="n"/>
      <c r="O443" s="469" t="n"/>
      <c r="P443" s="471" t="n"/>
      <c r="Q443" s="469" t="n"/>
      <c r="R443" s="469" t="n"/>
      <c r="S443" s="469" t="n"/>
      <c r="T443" s="469" t="n"/>
      <c r="U443" s="469" t="n"/>
      <c r="V443" s="469" t="n"/>
      <c r="W443" s="469" t="n"/>
      <c r="X443" s="469" t="n"/>
      <c r="Y443" s="469" t="n"/>
      <c r="Z443" s="469" t="n"/>
      <c r="AA443" s="469" t="n"/>
    </row>
    <row r="444">
      <c r="A444" s="468" t="n"/>
      <c r="B444" s="469" t="n"/>
      <c r="C444" s="469" t="n"/>
      <c r="D444" s="469" t="n"/>
      <c r="E444" s="469" t="n"/>
      <c r="F444" s="469" t="n"/>
      <c r="G444" s="469" t="n"/>
      <c r="H444" s="469" t="n"/>
      <c r="I444" s="469" t="n"/>
      <c r="J444" s="469" t="n"/>
      <c r="K444" s="469" t="n"/>
      <c r="L444" s="469" t="n"/>
      <c r="M444" s="469" t="n"/>
      <c r="N444" s="469" t="n"/>
      <c r="O444" s="469" t="n"/>
      <c r="P444" s="471" t="n"/>
      <c r="Q444" s="469" t="n"/>
      <c r="R444" s="469" t="n"/>
      <c r="S444" s="469" t="n"/>
      <c r="T444" s="469" t="n"/>
      <c r="U444" s="469" t="n"/>
      <c r="V444" s="469" t="n"/>
      <c r="W444" s="469" t="n"/>
      <c r="X444" s="469" t="n"/>
      <c r="Y444" s="469" t="n"/>
      <c r="Z444" s="469" t="n"/>
      <c r="AA444" s="469" t="n"/>
    </row>
    <row r="445">
      <c r="A445" s="468" t="n"/>
      <c r="B445" s="469" t="n"/>
      <c r="C445" s="469" t="n"/>
      <c r="D445" s="469" t="n"/>
      <c r="E445" s="469" t="n"/>
      <c r="F445" s="469" t="n"/>
      <c r="G445" s="469" t="n"/>
      <c r="H445" s="469" t="n"/>
      <c r="I445" s="469" t="n"/>
      <c r="J445" s="469" t="n"/>
      <c r="K445" s="469" t="n"/>
      <c r="L445" s="469" t="n"/>
      <c r="M445" s="469" t="n"/>
      <c r="N445" s="469" t="n"/>
      <c r="O445" s="469" t="n"/>
      <c r="P445" s="471" t="n"/>
      <c r="Q445" s="469" t="n"/>
      <c r="R445" s="469" t="n"/>
      <c r="S445" s="469" t="n"/>
      <c r="T445" s="469" t="n"/>
      <c r="U445" s="469" t="n"/>
      <c r="V445" s="469" t="n"/>
      <c r="W445" s="469" t="n"/>
      <c r="X445" s="469" t="n"/>
      <c r="Y445" s="469" t="n"/>
      <c r="Z445" s="469" t="n"/>
      <c r="AA445" s="469" t="n"/>
    </row>
    <row r="446">
      <c r="A446" s="468" t="n"/>
      <c r="B446" s="469" t="n"/>
      <c r="C446" s="469" t="n"/>
      <c r="D446" s="469" t="n"/>
      <c r="E446" s="469" t="n"/>
      <c r="F446" s="469" t="n"/>
      <c r="G446" s="469" t="n"/>
      <c r="H446" s="469" t="n"/>
      <c r="I446" s="469" t="n"/>
      <c r="J446" s="469" t="n"/>
      <c r="K446" s="469" t="n"/>
      <c r="L446" s="469" t="n"/>
      <c r="M446" s="469" t="n"/>
      <c r="N446" s="469" t="n"/>
      <c r="O446" s="469" t="n"/>
      <c r="P446" s="471" t="n"/>
      <c r="Q446" s="469" t="n"/>
      <c r="R446" s="469" t="n"/>
      <c r="S446" s="469" t="n"/>
      <c r="T446" s="469" t="n"/>
      <c r="U446" s="469" t="n"/>
      <c r="V446" s="469" t="n"/>
      <c r="W446" s="469" t="n"/>
      <c r="X446" s="469" t="n"/>
      <c r="Y446" s="469" t="n"/>
      <c r="Z446" s="469" t="n"/>
      <c r="AA446" s="469" t="n"/>
    </row>
    <row r="447">
      <c r="A447" s="468" t="n"/>
      <c r="B447" s="469" t="n"/>
      <c r="C447" s="469" t="n"/>
      <c r="D447" s="469" t="n"/>
      <c r="E447" s="469" t="n"/>
      <c r="F447" s="469" t="n"/>
      <c r="G447" s="469" t="n"/>
      <c r="H447" s="469" t="n"/>
      <c r="I447" s="469" t="n"/>
      <c r="J447" s="469" t="n"/>
      <c r="K447" s="469" t="n"/>
      <c r="L447" s="469" t="n"/>
      <c r="M447" s="469" t="n"/>
      <c r="N447" s="469" t="n"/>
      <c r="O447" s="469" t="n"/>
      <c r="P447" s="471" t="n"/>
      <c r="Q447" s="469" t="n"/>
      <c r="R447" s="469" t="n"/>
      <c r="S447" s="469" t="n"/>
      <c r="T447" s="469" t="n"/>
      <c r="U447" s="469" t="n"/>
      <c r="V447" s="469" t="n"/>
      <c r="W447" s="469" t="n"/>
      <c r="X447" s="469" t="n"/>
      <c r="Y447" s="469" t="n"/>
      <c r="Z447" s="469" t="n"/>
      <c r="AA447" s="469" t="n"/>
    </row>
    <row r="448">
      <c r="A448" s="468" t="n"/>
      <c r="B448" s="469" t="n"/>
      <c r="C448" s="469" t="n"/>
      <c r="D448" s="469" t="n"/>
      <c r="E448" s="469" t="n"/>
      <c r="F448" s="469" t="n"/>
      <c r="G448" s="469" t="n"/>
      <c r="H448" s="469" t="n"/>
      <c r="I448" s="469" t="n"/>
      <c r="J448" s="469" t="n"/>
      <c r="K448" s="469" t="n"/>
      <c r="L448" s="469" t="n"/>
      <c r="M448" s="469" t="n"/>
      <c r="N448" s="469" t="n"/>
      <c r="O448" s="469" t="n"/>
      <c r="P448" s="471" t="n"/>
      <c r="Q448" s="469" t="n"/>
      <c r="R448" s="469" t="n"/>
      <c r="S448" s="469" t="n"/>
      <c r="T448" s="469" t="n"/>
      <c r="U448" s="469" t="n"/>
      <c r="V448" s="469" t="n"/>
      <c r="W448" s="469" t="n"/>
      <c r="X448" s="469" t="n"/>
      <c r="Y448" s="469" t="n"/>
      <c r="Z448" s="469" t="n"/>
      <c r="AA448" s="469" t="n"/>
    </row>
    <row r="449">
      <c r="A449" s="468" t="n"/>
      <c r="B449" s="469" t="n"/>
      <c r="C449" s="469" t="n"/>
      <c r="D449" s="469" t="n"/>
      <c r="E449" s="469" t="n"/>
      <c r="F449" s="469" t="n"/>
      <c r="G449" s="469" t="n"/>
      <c r="H449" s="469" t="n"/>
      <c r="I449" s="469" t="n"/>
      <c r="J449" s="469" t="n"/>
      <c r="K449" s="469" t="n"/>
      <c r="L449" s="469" t="n"/>
      <c r="M449" s="469" t="n"/>
      <c r="N449" s="469" t="n"/>
      <c r="O449" s="469" t="n"/>
      <c r="P449" s="471" t="n"/>
      <c r="Q449" s="469" t="n"/>
      <c r="R449" s="469" t="n"/>
      <c r="S449" s="469" t="n"/>
      <c r="T449" s="469" t="n"/>
      <c r="U449" s="469" t="n"/>
      <c r="V449" s="469" t="n"/>
      <c r="W449" s="469" t="n"/>
      <c r="X449" s="469" t="n"/>
      <c r="Y449" s="469" t="n"/>
      <c r="Z449" s="469" t="n"/>
      <c r="AA449" s="469" t="n"/>
    </row>
    <row r="450">
      <c r="A450" s="468" t="n"/>
      <c r="B450" s="469" t="n"/>
      <c r="C450" s="469" t="n"/>
      <c r="D450" s="469" t="n"/>
      <c r="E450" s="469" t="n"/>
      <c r="F450" s="469" t="n"/>
      <c r="G450" s="469" t="n"/>
      <c r="H450" s="469" t="n"/>
      <c r="I450" s="469" t="n"/>
      <c r="J450" s="469" t="n"/>
      <c r="K450" s="469" t="n"/>
      <c r="L450" s="469" t="n"/>
      <c r="M450" s="469" t="n"/>
      <c r="N450" s="469" t="n"/>
      <c r="O450" s="469" t="n"/>
      <c r="P450" s="471" t="n"/>
      <c r="Q450" s="469" t="n"/>
      <c r="R450" s="469" t="n"/>
      <c r="S450" s="469" t="n"/>
      <c r="T450" s="469" t="n"/>
      <c r="U450" s="469" t="n"/>
      <c r="V450" s="469" t="n"/>
      <c r="W450" s="469" t="n"/>
      <c r="X450" s="469" t="n"/>
      <c r="Y450" s="469" t="n"/>
      <c r="Z450" s="469" t="n"/>
      <c r="AA450" s="469" t="n"/>
    </row>
    <row r="451">
      <c r="A451" s="468" t="n"/>
      <c r="B451" s="469" t="n"/>
      <c r="C451" s="469" t="n"/>
      <c r="D451" s="469" t="n"/>
      <c r="E451" s="469" t="n"/>
      <c r="F451" s="469" t="n"/>
      <c r="G451" s="469" t="n"/>
      <c r="H451" s="469" t="n"/>
      <c r="I451" s="469" t="n"/>
      <c r="J451" s="469" t="n"/>
      <c r="K451" s="469" t="n"/>
      <c r="L451" s="469" t="n"/>
      <c r="M451" s="469" t="n"/>
      <c r="N451" s="469" t="n"/>
      <c r="O451" s="469" t="n"/>
      <c r="P451" s="471" t="n"/>
      <c r="Q451" s="469" t="n"/>
      <c r="R451" s="469" t="n"/>
      <c r="S451" s="469" t="n"/>
      <c r="T451" s="469" t="n"/>
      <c r="U451" s="469" t="n"/>
      <c r="V451" s="469" t="n"/>
      <c r="W451" s="469" t="n"/>
      <c r="X451" s="469" t="n"/>
      <c r="Y451" s="469" t="n"/>
      <c r="Z451" s="469" t="n"/>
      <c r="AA451" s="469" t="n"/>
    </row>
    <row r="452">
      <c r="A452" s="468" t="n"/>
      <c r="B452" s="469" t="n"/>
      <c r="C452" s="469" t="n"/>
      <c r="D452" s="469" t="n"/>
      <c r="E452" s="469" t="n"/>
      <c r="F452" s="469" t="n"/>
      <c r="G452" s="469" t="n"/>
      <c r="H452" s="469" t="n"/>
      <c r="I452" s="469" t="n"/>
      <c r="J452" s="469" t="n"/>
      <c r="K452" s="469" t="n"/>
      <c r="L452" s="469" t="n"/>
      <c r="M452" s="469" t="n"/>
      <c r="N452" s="469" t="n"/>
      <c r="O452" s="469" t="n"/>
      <c r="P452" s="471" t="n"/>
      <c r="Q452" s="469" t="n"/>
      <c r="R452" s="469" t="n"/>
      <c r="S452" s="469" t="n"/>
      <c r="T452" s="469" t="n"/>
      <c r="U452" s="469" t="n"/>
      <c r="V452" s="469" t="n"/>
      <c r="W452" s="469" t="n"/>
      <c r="X452" s="469" t="n"/>
      <c r="Y452" s="469" t="n"/>
      <c r="Z452" s="469" t="n"/>
      <c r="AA452" s="469" t="n"/>
    </row>
    <row r="453">
      <c r="A453" s="468" t="n"/>
      <c r="B453" s="469" t="n"/>
      <c r="C453" s="469" t="n"/>
      <c r="D453" s="469" t="n"/>
      <c r="E453" s="469" t="n"/>
      <c r="F453" s="469" t="n"/>
      <c r="G453" s="469" t="n"/>
      <c r="H453" s="469" t="n"/>
      <c r="I453" s="469" t="n"/>
      <c r="J453" s="469" t="n"/>
      <c r="K453" s="469" t="n"/>
      <c r="L453" s="469" t="n"/>
      <c r="M453" s="469" t="n"/>
      <c r="N453" s="469" t="n"/>
      <c r="O453" s="469" t="n"/>
      <c r="P453" s="471" t="n"/>
      <c r="Q453" s="469" t="n"/>
      <c r="R453" s="469" t="n"/>
      <c r="S453" s="469" t="n"/>
      <c r="T453" s="469" t="n"/>
      <c r="U453" s="469" t="n"/>
      <c r="V453" s="469" t="n"/>
      <c r="W453" s="469" t="n"/>
      <c r="X453" s="469" t="n"/>
      <c r="Y453" s="469" t="n"/>
      <c r="Z453" s="469" t="n"/>
      <c r="AA453" s="469" t="n"/>
    </row>
    <row r="454">
      <c r="A454" s="468" t="n"/>
      <c r="B454" s="469" t="n"/>
      <c r="C454" s="469" t="n"/>
      <c r="D454" s="469" t="n"/>
      <c r="E454" s="469" t="n"/>
      <c r="F454" s="469" t="n"/>
      <c r="G454" s="469" t="n"/>
      <c r="H454" s="469" t="n"/>
      <c r="I454" s="469" t="n"/>
      <c r="J454" s="469" t="n"/>
      <c r="K454" s="469" t="n"/>
      <c r="L454" s="469" t="n"/>
      <c r="M454" s="469" t="n"/>
      <c r="N454" s="469" t="n"/>
      <c r="O454" s="469" t="n"/>
      <c r="P454" s="471" t="n"/>
      <c r="Q454" s="469" t="n"/>
      <c r="R454" s="469" t="n"/>
      <c r="S454" s="469" t="n"/>
      <c r="T454" s="469" t="n"/>
      <c r="U454" s="469" t="n"/>
      <c r="V454" s="469" t="n"/>
      <c r="W454" s="469" t="n"/>
      <c r="X454" s="469" t="n"/>
      <c r="Y454" s="469" t="n"/>
      <c r="Z454" s="469" t="n"/>
      <c r="AA454" s="469" t="n"/>
    </row>
    <row r="455">
      <c r="A455" s="468" t="n"/>
      <c r="B455" s="469" t="n"/>
      <c r="C455" s="469" t="n"/>
      <c r="D455" s="469" t="n"/>
      <c r="E455" s="469" t="n"/>
      <c r="F455" s="469" t="n"/>
      <c r="G455" s="469" t="n"/>
      <c r="H455" s="469" t="n"/>
      <c r="I455" s="469" t="n"/>
      <c r="J455" s="469" t="n"/>
      <c r="K455" s="469" t="n"/>
      <c r="L455" s="469" t="n"/>
      <c r="M455" s="469" t="n"/>
      <c r="N455" s="469" t="n"/>
      <c r="O455" s="469" t="n"/>
      <c r="P455" s="471" t="n"/>
      <c r="Q455" s="469" t="n"/>
      <c r="R455" s="469" t="n"/>
      <c r="S455" s="469" t="n"/>
      <c r="T455" s="469" t="n"/>
      <c r="U455" s="469" t="n"/>
      <c r="V455" s="469" t="n"/>
      <c r="W455" s="469" t="n"/>
      <c r="X455" s="469" t="n"/>
      <c r="Y455" s="469" t="n"/>
      <c r="Z455" s="469" t="n"/>
      <c r="AA455" s="469" t="n"/>
    </row>
    <row r="456">
      <c r="A456" s="468" t="n"/>
      <c r="B456" s="469" t="n"/>
      <c r="C456" s="469" t="n"/>
      <c r="D456" s="469" t="n"/>
      <c r="E456" s="469" t="n"/>
      <c r="F456" s="469" t="n"/>
      <c r="G456" s="469" t="n"/>
      <c r="H456" s="469" t="n"/>
      <c r="I456" s="469" t="n"/>
      <c r="J456" s="469" t="n"/>
      <c r="K456" s="469" t="n"/>
      <c r="L456" s="469" t="n"/>
      <c r="M456" s="469" t="n"/>
      <c r="N456" s="469" t="n"/>
      <c r="O456" s="469" t="n"/>
      <c r="P456" s="471" t="n"/>
      <c r="Q456" s="469" t="n"/>
      <c r="R456" s="469" t="n"/>
      <c r="S456" s="469" t="n"/>
      <c r="T456" s="469" t="n"/>
      <c r="U456" s="469" t="n"/>
      <c r="V456" s="469" t="n"/>
      <c r="W456" s="469" t="n"/>
      <c r="X456" s="469" t="n"/>
      <c r="Y456" s="469" t="n"/>
      <c r="Z456" s="469" t="n"/>
      <c r="AA456" s="469" t="n"/>
    </row>
    <row r="457">
      <c r="A457" s="468" t="n"/>
      <c r="B457" s="469" t="n"/>
      <c r="C457" s="469" t="n"/>
      <c r="D457" s="469" t="n"/>
      <c r="E457" s="469" t="n"/>
      <c r="F457" s="469" t="n"/>
      <c r="G457" s="469" t="n"/>
      <c r="H457" s="469" t="n"/>
      <c r="I457" s="469" t="n"/>
      <c r="J457" s="469" t="n"/>
      <c r="K457" s="469" t="n"/>
      <c r="L457" s="469" t="n"/>
      <c r="M457" s="469" t="n"/>
      <c r="N457" s="469" t="n"/>
      <c r="O457" s="469" t="n"/>
      <c r="P457" s="471" t="n"/>
      <c r="Q457" s="469" t="n"/>
      <c r="R457" s="469" t="n"/>
      <c r="S457" s="469" t="n"/>
      <c r="T457" s="469" t="n"/>
      <c r="U457" s="469" t="n"/>
      <c r="V457" s="469" t="n"/>
      <c r="W457" s="469" t="n"/>
      <c r="X457" s="469" t="n"/>
      <c r="Y457" s="469" t="n"/>
      <c r="Z457" s="469" t="n"/>
      <c r="AA457" s="469" t="n"/>
    </row>
    <row r="458">
      <c r="A458" s="468" t="n"/>
      <c r="B458" s="469" t="n"/>
      <c r="C458" s="469" t="n"/>
      <c r="D458" s="469" t="n"/>
      <c r="E458" s="469" t="n"/>
      <c r="F458" s="469" t="n"/>
      <c r="G458" s="469" t="n"/>
      <c r="H458" s="469" t="n"/>
      <c r="I458" s="469" t="n"/>
      <c r="J458" s="469" t="n"/>
      <c r="K458" s="469" t="n"/>
      <c r="L458" s="469" t="n"/>
      <c r="M458" s="469" t="n"/>
      <c r="N458" s="469" t="n"/>
      <c r="O458" s="469" t="n"/>
      <c r="P458" s="471" t="n"/>
      <c r="Q458" s="469" t="n"/>
      <c r="R458" s="469" t="n"/>
      <c r="S458" s="469" t="n"/>
      <c r="T458" s="469" t="n"/>
      <c r="U458" s="469" t="n"/>
      <c r="V458" s="469" t="n"/>
      <c r="W458" s="469" t="n"/>
      <c r="X458" s="469" t="n"/>
      <c r="Y458" s="469" t="n"/>
      <c r="Z458" s="469" t="n"/>
      <c r="AA458" s="469" t="n"/>
    </row>
    <row r="459">
      <c r="A459" s="468" t="n"/>
      <c r="B459" s="469" t="n"/>
      <c r="C459" s="469" t="n"/>
      <c r="D459" s="469" t="n"/>
      <c r="E459" s="469" t="n"/>
      <c r="F459" s="469" t="n"/>
      <c r="G459" s="469" t="n"/>
      <c r="H459" s="469" t="n"/>
      <c r="I459" s="469" t="n"/>
      <c r="J459" s="469" t="n"/>
      <c r="K459" s="469" t="n"/>
      <c r="L459" s="469" t="n"/>
      <c r="M459" s="469" t="n"/>
      <c r="N459" s="469" t="n"/>
      <c r="O459" s="469" t="n"/>
      <c r="P459" s="471" t="n"/>
      <c r="Q459" s="469" t="n"/>
      <c r="R459" s="469" t="n"/>
      <c r="S459" s="469" t="n"/>
      <c r="T459" s="469" t="n"/>
      <c r="U459" s="469" t="n"/>
      <c r="V459" s="469" t="n"/>
      <c r="W459" s="469" t="n"/>
      <c r="X459" s="469" t="n"/>
      <c r="Y459" s="469" t="n"/>
      <c r="Z459" s="469" t="n"/>
      <c r="AA459" s="469" t="n"/>
    </row>
    <row r="460">
      <c r="A460" s="468" t="n"/>
      <c r="B460" s="469" t="n"/>
      <c r="C460" s="469" t="n"/>
      <c r="D460" s="469" t="n"/>
      <c r="E460" s="469" t="n"/>
      <c r="F460" s="469" t="n"/>
      <c r="G460" s="469" t="n"/>
      <c r="H460" s="469" t="n"/>
      <c r="I460" s="469" t="n"/>
      <c r="J460" s="469" t="n"/>
      <c r="K460" s="469" t="n"/>
      <c r="L460" s="469" t="n"/>
      <c r="M460" s="469" t="n"/>
      <c r="N460" s="469" t="n"/>
      <c r="O460" s="469" t="n"/>
      <c r="P460" s="471" t="n"/>
      <c r="Q460" s="469" t="n"/>
      <c r="R460" s="469" t="n"/>
      <c r="S460" s="469" t="n"/>
      <c r="T460" s="469" t="n"/>
      <c r="U460" s="469" t="n"/>
      <c r="V460" s="469" t="n"/>
      <c r="W460" s="469" t="n"/>
      <c r="X460" s="469" t="n"/>
      <c r="Y460" s="469" t="n"/>
      <c r="Z460" s="469" t="n"/>
      <c r="AA460" s="469" t="n"/>
    </row>
    <row r="461">
      <c r="A461" s="468" t="n"/>
      <c r="B461" s="469" t="n"/>
      <c r="C461" s="469" t="n"/>
      <c r="D461" s="469" t="n"/>
      <c r="E461" s="469" t="n"/>
      <c r="F461" s="469" t="n"/>
      <c r="G461" s="469" t="n"/>
      <c r="H461" s="469" t="n"/>
      <c r="I461" s="469" t="n"/>
      <c r="J461" s="469" t="n"/>
      <c r="K461" s="469" t="n"/>
      <c r="L461" s="469" t="n"/>
      <c r="M461" s="469" t="n"/>
      <c r="N461" s="469" t="n"/>
      <c r="O461" s="469" t="n"/>
      <c r="P461" s="471" t="n"/>
      <c r="Q461" s="469" t="n"/>
      <c r="R461" s="469" t="n"/>
      <c r="S461" s="469" t="n"/>
      <c r="T461" s="469" t="n"/>
      <c r="U461" s="469" t="n"/>
      <c r="V461" s="469" t="n"/>
      <c r="W461" s="469" t="n"/>
      <c r="X461" s="469" t="n"/>
      <c r="Y461" s="469" t="n"/>
      <c r="Z461" s="469" t="n"/>
      <c r="AA461" s="469" t="n"/>
    </row>
    <row r="462">
      <c r="A462" s="468" t="n"/>
      <c r="B462" s="469" t="n"/>
      <c r="C462" s="469" t="n"/>
      <c r="D462" s="469" t="n"/>
      <c r="E462" s="469" t="n"/>
      <c r="F462" s="469" t="n"/>
      <c r="G462" s="469" t="n"/>
      <c r="H462" s="469" t="n"/>
      <c r="I462" s="469" t="n"/>
      <c r="J462" s="469" t="n"/>
      <c r="K462" s="469" t="n"/>
      <c r="L462" s="469" t="n"/>
      <c r="M462" s="469" t="n"/>
      <c r="N462" s="469" t="n"/>
      <c r="O462" s="469" t="n"/>
      <c r="P462" s="471" t="n"/>
      <c r="Q462" s="469" t="n"/>
      <c r="R462" s="469" t="n"/>
      <c r="S462" s="469" t="n"/>
      <c r="T462" s="469" t="n"/>
      <c r="U462" s="469" t="n"/>
      <c r="V462" s="469" t="n"/>
      <c r="W462" s="469" t="n"/>
      <c r="X462" s="469" t="n"/>
      <c r="Y462" s="469" t="n"/>
      <c r="Z462" s="469" t="n"/>
      <c r="AA462" s="469" t="n"/>
    </row>
    <row r="463">
      <c r="A463" s="468" t="n"/>
      <c r="B463" s="469" t="n"/>
      <c r="C463" s="469" t="n"/>
      <c r="D463" s="469" t="n"/>
      <c r="E463" s="469" t="n"/>
      <c r="F463" s="469" t="n"/>
      <c r="G463" s="469" t="n"/>
      <c r="H463" s="469" t="n"/>
      <c r="I463" s="469" t="n"/>
      <c r="J463" s="469" t="n"/>
      <c r="K463" s="469" t="n"/>
      <c r="L463" s="469" t="n"/>
      <c r="M463" s="469" t="n"/>
      <c r="N463" s="469" t="n"/>
      <c r="O463" s="469" t="n"/>
      <c r="P463" s="471" t="n"/>
      <c r="Q463" s="469" t="n"/>
      <c r="R463" s="469" t="n"/>
      <c r="S463" s="469" t="n"/>
      <c r="T463" s="469" t="n"/>
      <c r="U463" s="469" t="n"/>
      <c r="V463" s="469" t="n"/>
      <c r="W463" s="469" t="n"/>
      <c r="X463" s="469" t="n"/>
      <c r="Y463" s="469" t="n"/>
      <c r="Z463" s="469" t="n"/>
      <c r="AA463" s="469" t="n"/>
    </row>
    <row r="464">
      <c r="A464" s="468" t="n"/>
      <c r="B464" s="469" t="n"/>
      <c r="C464" s="469" t="n"/>
      <c r="D464" s="469" t="n"/>
      <c r="E464" s="469" t="n"/>
      <c r="F464" s="469" t="n"/>
      <c r="G464" s="469" t="n"/>
      <c r="H464" s="469" t="n"/>
      <c r="I464" s="469" t="n"/>
      <c r="J464" s="469" t="n"/>
      <c r="K464" s="469" t="n"/>
      <c r="L464" s="469" t="n"/>
      <c r="M464" s="469" t="n"/>
      <c r="N464" s="469" t="n"/>
      <c r="O464" s="469" t="n"/>
      <c r="P464" s="471" t="n"/>
      <c r="Q464" s="469" t="n"/>
      <c r="R464" s="469" t="n"/>
      <c r="S464" s="469" t="n"/>
      <c r="T464" s="469" t="n"/>
      <c r="U464" s="469" t="n"/>
      <c r="V464" s="469" t="n"/>
      <c r="W464" s="469" t="n"/>
      <c r="X464" s="469" t="n"/>
      <c r="Y464" s="469" t="n"/>
      <c r="Z464" s="469" t="n"/>
      <c r="AA464" s="469" t="n"/>
    </row>
    <row r="465">
      <c r="A465" s="468" t="n"/>
      <c r="B465" s="469" t="n"/>
      <c r="C465" s="469" t="n"/>
      <c r="D465" s="469" t="n"/>
      <c r="E465" s="469" t="n"/>
      <c r="F465" s="469" t="n"/>
      <c r="G465" s="469" t="n"/>
      <c r="H465" s="469" t="n"/>
      <c r="I465" s="469" t="n"/>
      <c r="J465" s="469" t="n"/>
      <c r="K465" s="469" t="n"/>
      <c r="L465" s="469" t="n"/>
      <c r="M465" s="469" t="n"/>
      <c r="N465" s="469" t="n"/>
      <c r="O465" s="469" t="n"/>
      <c r="P465" s="471" t="n"/>
      <c r="Q465" s="469" t="n"/>
      <c r="R465" s="469" t="n"/>
      <c r="S465" s="469" t="n"/>
      <c r="T465" s="469" t="n"/>
      <c r="U465" s="469" t="n"/>
      <c r="V465" s="469" t="n"/>
      <c r="W465" s="469" t="n"/>
      <c r="X465" s="469" t="n"/>
      <c r="Y465" s="469" t="n"/>
      <c r="Z465" s="469" t="n"/>
      <c r="AA465" s="469" t="n"/>
    </row>
    <row r="466">
      <c r="A466" s="468" t="n"/>
      <c r="B466" s="469" t="n"/>
      <c r="C466" s="469" t="n"/>
      <c r="D466" s="469" t="n"/>
      <c r="E466" s="469" t="n"/>
      <c r="F466" s="469" t="n"/>
      <c r="G466" s="469" t="n"/>
      <c r="H466" s="469" t="n"/>
      <c r="I466" s="469" t="n"/>
      <c r="J466" s="469" t="n"/>
      <c r="K466" s="469" t="n"/>
      <c r="L466" s="469" t="n"/>
      <c r="M466" s="469" t="n"/>
      <c r="N466" s="469" t="n"/>
      <c r="O466" s="469" t="n"/>
      <c r="P466" s="471" t="n"/>
      <c r="Q466" s="469" t="n"/>
      <c r="R466" s="469" t="n"/>
      <c r="S466" s="469" t="n"/>
      <c r="T466" s="469" t="n"/>
      <c r="U466" s="469" t="n"/>
      <c r="V466" s="469" t="n"/>
      <c r="W466" s="469" t="n"/>
      <c r="X466" s="469" t="n"/>
      <c r="Y466" s="469" t="n"/>
      <c r="Z466" s="469" t="n"/>
      <c r="AA466" s="469" t="n"/>
    </row>
    <row r="467">
      <c r="A467" s="468" t="n"/>
      <c r="B467" s="469" t="n"/>
      <c r="C467" s="469" t="n"/>
      <c r="D467" s="469" t="n"/>
      <c r="E467" s="469" t="n"/>
      <c r="F467" s="469" t="n"/>
      <c r="G467" s="469" t="n"/>
      <c r="H467" s="469" t="n"/>
      <c r="I467" s="469" t="n"/>
      <c r="J467" s="469" t="n"/>
      <c r="K467" s="469" t="n"/>
      <c r="L467" s="469" t="n"/>
      <c r="M467" s="469" t="n"/>
      <c r="N467" s="469" t="n"/>
      <c r="O467" s="469" t="n"/>
      <c r="P467" s="471" t="n"/>
      <c r="Q467" s="469" t="n"/>
      <c r="R467" s="469" t="n"/>
      <c r="S467" s="469" t="n"/>
      <c r="T467" s="469" t="n"/>
      <c r="U467" s="469" t="n"/>
      <c r="V467" s="469" t="n"/>
      <c r="W467" s="469" t="n"/>
      <c r="X467" s="469" t="n"/>
      <c r="Y467" s="469" t="n"/>
      <c r="Z467" s="469" t="n"/>
      <c r="AA467" s="469" t="n"/>
    </row>
    <row r="468">
      <c r="A468" s="468" t="n"/>
      <c r="B468" s="469" t="n"/>
      <c r="C468" s="469" t="n"/>
      <c r="D468" s="469" t="n"/>
      <c r="E468" s="469" t="n"/>
      <c r="F468" s="469" t="n"/>
      <c r="G468" s="469" t="n"/>
      <c r="H468" s="469" t="n"/>
      <c r="I468" s="469" t="n"/>
      <c r="J468" s="469" t="n"/>
      <c r="K468" s="469" t="n"/>
      <c r="L468" s="469" t="n"/>
      <c r="M468" s="469" t="n"/>
      <c r="N468" s="469" t="n"/>
      <c r="O468" s="469" t="n"/>
      <c r="P468" s="471" t="n"/>
      <c r="Q468" s="469" t="n"/>
      <c r="R468" s="469" t="n"/>
      <c r="S468" s="469" t="n"/>
      <c r="T468" s="469" t="n"/>
      <c r="U468" s="469" t="n"/>
      <c r="V468" s="469" t="n"/>
      <c r="W468" s="469" t="n"/>
      <c r="X468" s="469" t="n"/>
      <c r="Y468" s="469" t="n"/>
      <c r="Z468" s="469" t="n"/>
      <c r="AA468" s="469" t="n"/>
    </row>
    <row r="469">
      <c r="A469" s="468" t="n"/>
      <c r="B469" s="469" t="n"/>
      <c r="C469" s="469" t="n"/>
      <c r="D469" s="469" t="n"/>
      <c r="E469" s="469" t="n"/>
      <c r="F469" s="469" t="n"/>
      <c r="G469" s="469" t="n"/>
      <c r="H469" s="469" t="n"/>
      <c r="I469" s="469" t="n"/>
      <c r="J469" s="469" t="n"/>
      <c r="K469" s="469" t="n"/>
      <c r="L469" s="469" t="n"/>
      <c r="M469" s="469" t="n"/>
      <c r="N469" s="469" t="n"/>
      <c r="O469" s="469" t="n"/>
      <c r="P469" s="471" t="n"/>
      <c r="Q469" s="469" t="n"/>
      <c r="R469" s="469" t="n"/>
      <c r="S469" s="469" t="n"/>
      <c r="T469" s="469" t="n"/>
      <c r="U469" s="469" t="n"/>
      <c r="V469" s="469" t="n"/>
      <c r="W469" s="469" t="n"/>
      <c r="X469" s="469" t="n"/>
      <c r="Y469" s="469" t="n"/>
      <c r="Z469" s="469" t="n"/>
      <c r="AA469" s="469" t="n"/>
    </row>
    <row r="470">
      <c r="A470" s="468" t="n"/>
      <c r="B470" s="469" t="n"/>
      <c r="C470" s="469" t="n"/>
      <c r="D470" s="469" t="n"/>
      <c r="E470" s="469" t="n"/>
      <c r="F470" s="469" t="n"/>
      <c r="G470" s="469" t="n"/>
      <c r="H470" s="469" t="n"/>
      <c r="I470" s="469" t="n"/>
      <c r="J470" s="469" t="n"/>
      <c r="K470" s="469" t="n"/>
      <c r="L470" s="469" t="n"/>
      <c r="M470" s="469" t="n"/>
      <c r="N470" s="469" t="n"/>
      <c r="O470" s="469" t="n"/>
      <c r="P470" s="471" t="n"/>
      <c r="Q470" s="469" t="n"/>
      <c r="R470" s="469" t="n"/>
      <c r="S470" s="469" t="n"/>
      <c r="T470" s="469" t="n"/>
      <c r="U470" s="469" t="n"/>
      <c r="V470" s="469" t="n"/>
      <c r="W470" s="469" t="n"/>
      <c r="X470" s="469" t="n"/>
      <c r="Y470" s="469" t="n"/>
      <c r="Z470" s="469" t="n"/>
      <c r="AA470" s="469" t="n"/>
    </row>
    <row r="471">
      <c r="A471" s="468" t="n"/>
      <c r="B471" s="469" t="n"/>
      <c r="C471" s="469" t="n"/>
      <c r="D471" s="469" t="n"/>
      <c r="E471" s="469" t="n"/>
      <c r="F471" s="469" t="n"/>
      <c r="G471" s="469" t="n"/>
      <c r="H471" s="469" t="n"/>
      <c r="I471" s="469" t="n"/>
      <c r="J471" s="469" t="n"/>
      <c r="K471" s="469" t="n"/>
      <c r="L471" s="469" t="n"/>
      <c r="M471" s="469" t="n"/>
      <c r="N471" s="469" t="n"/>
      <c r="O471" s="469" t="n"/>
      <c r="P471" s="471" t="n"/>
      <c r="Q471" s="469" t="n"/>
      <c r="R471" s="469" t="n"/>
      <c r="S471" s="469" t="n"/>
      <c r="T471" s="469" t="n"/>
      <c r="U471" s="469" t="n"/>
      <c r="V471" s="469" t="n"/>
      <c r="W471" s="469" t="n"/>
      <c r="X471" s="469" t="n"/>
      <c r="Y471" s="469" t="n"/>
      <c r="Z471" s="469" t="n"/>
      <c r="AA471" s="469" t="n"/>
    </row>
    <row r="472">
      <c r="A472" s="468" t="n"/>
      <c r="B472" s="469" t="n"/>
      <c r="C472" s="469" t="n"/>
      <c r="D472" s="469" t="n"/>
      <c r="E472" s="469" t="n"/>
      <c r="F472" s="469" t="n"/>
      <c r="G472" s="469" t="n"/>
      <c r="H472" s="469" t="n"/>
      <c r="I472" s="469" t="n"/>
      <c r="J472" s="469" t="n"/>
      <c r="K472" s="469" t="n"/>
      <c r="L472" s="469" t="n"/>
      <c r="M472" s="469" t="n"/>
      <c r="N472" s="469" t="n"/>
      <c r="O472" s="469" t="n"/>
      <c r="P472" s="471" t="n"/>
      <c r="Q472" s="469" t="n"/>
      <c r="R472" s="469" t="n"/>
      <c r="S472" s="469" t="n"/>
      <c r="T472" s="469" t="n"/>
      <c r="U472" s="469" t="n"/>
      <c r="V472" s="469" t="n"/>
      <c r="W472" s="469" t="n"/>
      <c r="X472" s="469" t="n"/>
      <c r="Y472" s="469" t="n"/>
      <c r="Z472" s="469" t="n"/>
      <c r="AA472" s="469" t="n"/>
    </row>
    <row r="473">
      <c r="A473" s="468" t="n"/>
      <c r="B473" s="469" t="n"/>
      <c r="C473" s="469" t="n"/>
      <c r="D473" s="469" t="n"/>
      <c r="E473" s="469" t="n"/>
      <c r="F473" s="469" t="n"/>
      <c r="G473" s="469" t="n"/>
      <c r="H473" s="469" t="n"/>
      <c r="I473" s="469" t="n"/>
      <c r="J473" s="469" t="n"/>
      <c r="K473" s="469" t="n"/>
      <c r="L473" s="469" t="n"/>
      <c r="M473" s="469" t="n"/>
      <c r="N473" s="469" t="n"/>
      <c r="O473" s="469" t="n"/>
      <c r="P473" s="471" t="n"/>
      <c r="Q473" s="469" t="n"/>
      <c r="R473" s="469" t="n"/>
      <c r="S473" s="469" t="n"/>
      <c r="T473" s="469" t="n"/>
      <c r="U473" s="469" t="n"/>
      <c r="V473" s="469" t="n"/>
      <c r="W473" s="469" t="n"/>
      <c r="X473" s="469" t="n"/>
      <c r="Y473" s="469" t="n"/>
      <c r="Z473" s="469" t="n"/>
      <c r="AA473" s="469" t="n"/>
    </row>
    <row r="474">
      <c r="A474" s="468" t="n"/>
      <c r="B474" s="469" t="n"/>
      <c r="C474" s="469" t="n"/>
      <c r="D474" s="469" t="n"/>
      <c r="E474" s="469" t="n"/>
      <c r="F474" s="469" t="n"/>
      <c r="G474" s="469" t="n"/>
      <c r="H474" s="469" t="n"/>
      <c r="I474" s="469" t="n"/>
      <c r="J474" s="469" t="n"/>
      <c r="K474" s="469" t="n"/>
      <c r="L474" s="469" t="n"/>
      <c r="M474" s="469" t="n"/>
      <c r="N474" s="469" t="n"/>
      <c r="O474" s="469" t="n"/>
      <c r="P474" s="471" t="n"/>
      <c r="Q474" s="469" t="n"/>
      <c r="R474" s="469" t="n"/>
      <c r="S474" s="469" t="n"/>
      <c r="T474" s="469" t="n"/>
      <c r="U474" s="469" t="n"/>
      <c r="V474" s="469" t="n"/>
      <c r="W474" s="469" t="n"/>
      <c r="X474" s="469" t="n"/>
      <c r="Y474" s="469" t="n"/>
      <c r="Z474" s="469" t="n"/>
      <c r="AA474" s="469" t="n"/>
    </row>
    <row r="475">
      <c r="A475" s="468" t="n"/>
      <c r="B475" s="469" t="n"/>
      <c r="C475" s="469" t="n"/>
      <c r="D475" s="469" t="n"/>
      <c r="E475" s="469" t="n"/>
      <c r="F475" s="469" t="n"/>
      <c r="G475" s="469" t="n"/>
      <c r="H475" s="469" t="n"/>
      <c r="I475" s="469" t="n"/>
      <c r="J475" s="469" t="n"/>
      <c r="K475" s="469" t="n"/>
      <c r="L475" s="469" t="n"/>
      <c r="M475" s="469" t="n"/>
      <c r="N475" s="469" t="n"/>
      <c r="O475" s="469" t="n"/>
      <c r="P475" s="471" t="n"/>
      <c r="Q475" s="469" t="n"/>
      <c r="R475" s="469" t="n"/>
      <c r="S475" s="469" t="n"/>
      <c r="T475" s="469" t="n"/>
      <c r="U475" s="469" t="n"/>
      <c r="V475" s="469" t="n"/>
      <c r="W475" s="469" t="n"/>
      <c r="X475" s="469" t="n"/>
      <c r="Y475" s="469" t="n"/>
      <c r="Z475" s="469" t="n"/>
      <c r="AA475" s="469" t="n"/>
    </row>
    <row r="476">
      <c r="A476" s="468" t="n"/>
      <c r="B476" s="469" t="n"/>
      <c r="C476" s="469" t="n"/>
      <c r="D476" s="469" t="n"/>
      <c r="E476" s="469" t="n"/>
      <c r="F476" s="469" t="n"/>
      <c r="G476" s="469" t="n"/>
      <c r="H476" s="469" t="n"/>
      <c r="I476" s="469" t="n"/>
      <c r="J476" s="469" t="n"/>
      <c r="K476" s="469" t="n"/>
      <c r="L476" s="469" t="n"/>
      <c r="M476" s="469" t="n"/>
      <c r="N476" s="469" t="n"/>
      <c r="O476" s="469" t="n"/>
      <c r="P476" s="471" t="n"/>
      <c r="Q476" s="469" t="n"/>
      <c r="R476" s="469" t="n"/>
      <c r="S476" s="469" t="n"/>
      <c r="T476" s="469" t="n"/>
      <c r="U476" s="469" t="n"/>
      <c r="V476" s="469" t="n"/>
      <c r="W476" s="469" t="n"/>
      <c r="X476" s="469" t="n"/>
      <c r="Y476" s="469" t="n"/>
      <c r="Z476" s="469" t="n"/>
      <c r="AA476" s="469" t="n"/>
    </row>
    <row r="477">
      <c r="A477" s="468" t="n"/>
      <c r="B477" s="469" t="n"/>
      <c r="C477" s="469" t="n"/>
      <c r="D477" s="469" t="n"/>
      <c r="E477" s="469" t="n"/>
      <c r="F477" s="469" t="n"/>
      <c r="G477" s="469" t="n"/>
      <c r="H477" s="469" t="n"/>
      <c r="I477" s="469" t="n"/>
      <c r="J477" s="469" t="n"/>
      <c r="K477" s="469" t="n"/>
      <c r="L477" s="469" t="n"/>
      <c r="M477" s="469" t="n"/>
      <c r="N477" s="469" t="n"/>
      <c r="O477" s="469" t="n"/>
      <c r="P477" s="471" t="n"/>
      <c r="Q477" s="469" t="n"/>
      <c r="R477" s="469" t="n"/>
      <c r="S477" s="469" t="n"/>
      <c r="T477" s="469" t="n"/>
      <c r="U477" s="469" t="n"/>
      <c r="V477" s="469" t="n"/>
      <c r="W477" s="469" t="n"/>
      <c r="X477" s="469" t="n"/>
      <c r="Y477" s="469" t="n"/>
      <c r="Z477" s="469" t="n"/>
      <c r="AA477" s="469" t="n"/>
    </row>
    <row r="478">
      <c r="A478" s="468" t="n"/>
      <c r="B478" s="469" t="n"/>
      <c r="C478" s="469" t="n"/>
      <c r="D478" s="469" t="n"/>
      <c r="E478" s="469" t="n"/>
      <c r="F478" s="469" t="n"/>
      <c r="G478" s="469" t="n"/>
      <c r="H478" s="469" t="n"/>
      <c r="I478" s="469" t="n"/>
      <c r="J478" s="469" t="n"/>
      <c r="K478" s="469" t="n"/>
      <c r="L478" s="469" t="n"/>
      <c r="M478" s="469" t="n"/>
      <c r="N478" s="469" t="n"/>
      <c r="O478" s="469" t="n"/>
      <c r="P478" s="471" t="n"/>
      <c r="Q478" s="469" t="n"/>
      <c r="R478" s="469" t="n"/>
      <c r="S478" s="469" t="n"/>
      <c r="T478" s="469" t="n"/>
      <c r="U478" s="469" t="n"/>
      <c r="V478" s="469" t="n"/>
      <c r="W478" s="469" t="n"/>
      <c r="X478" s="469" t="n"/>
      <c r="Y478" s="469" t="n"/>
      <c r="Z478" s="469" t="n"/>
      <c r="AA478" s="469" t="n"/>
    </row>
    <row r="479">
      <c r="A479" s="468" t="n"/>
      <c r="B479" s="469" t="n"/>
      <c r="C479" s="469" t="n"/>
      <c r="D479" s="469" t="n"/>
      <c r="E479" s="469" t="n"/>
      <c r="F479" s="469" t="n"/>
      <c r="G479" s="469" t="n"/>
      <c r="H479" s="469" t="n"/>
      <c r="I479" s="469" t="n"/>
      <c r="J479" s="469" t="n"/>
      <c r="K479" s="469" t="n"/>
      <c r="L479" s="469" t="n"/>
      <c r="M479" s="469" t="n"/>
      <c r="N479" s="469" t="n"/>
      <c r="O479" s="469" t="n"/>
      <c r="P479" s="471" t="n"/>
      <c r="Q479" s="469" t="n"/>
      <c r="R479" s="469" t="n"/>
      <c r="S479" s="469" t="n"/>
      <c r="T479" s="469" t="n"/>
      <c r="U479" s="469" t="n"/>
      <c r="V479" s="469" t="n"/>
      <c r="W479" s="469" t="n"/>
      <c r="X479" s="469" t="n"/>
      <c r="Y479" s="469" t="n"/>
      <c r="Z479" s="469" t="n"/>
      <c r="AA479" s="469" t="n"/>
    </row>
    <row r="480">
      <c r="A480" s="468" t="n"/>
      <c r="B480" s="469" t="n"/>
      <c r="C480" s="469" t="n"/>
      <c r="D480" s="469" t="n"/>
      <c r="E480" s="469" t="n"/>
      <c r="F480" s="469" t="n"/>
      <c r="G480" s="469" t="n"/>
      <c r="H480" s="469" t="n"/>
      <c r="I480" s="469" t="n"/>
      <c r="J480" s="469" t="n"/>
      <c r="K480" s="469" t="n"/>
      <c r="L480" s="469" t="n"/>
      <c r="M480" s="469" t="n"/>
      <c r="N480" s="469" t="n"/>
      <c r="O480" s="469" t="n"/>
      <c r="P480" s="471" t="n"/>
      <c r="Q480" s="469" t="n"/>
      <c r="R480" s="469" t="n"/>
      <c r="S480" s="469" t="n"/>
      <c r="T480" s="469" t="n"/>
      <c r="U480" s="469" t="n"/>
      <c r="V480" s="469" t="n"/>
      <c r="W480" s="469" t="n"/>
      <c r="X480" s="469" t="n"/>
      <c r="Y480" s="469" t="n"/>
      <c r="Z480" s="469" t="n"/>
      <c r="AA480" s="469" t="n"/>
    </row>
    <row r="481">
      <c r="A481" s="468" t="n"/>
      <c r="B481" s="469" t="n"/>
      <c r="C481" s="469" t="n"/>
      <c r="D481" s="469" t="n"/>
      <c r="E481" s="469" t="n"/>
      <c r="F481" s="469" t="n"/>
      <c r="G481" s="469" t="n"/>
      <c r="H481" s="469" t="n"/>
      <c r="I481" s="469" t="n"/>
      <c r="J481" s="469" t="n"/>
      <c r="K481" s="469" t="n"/>
      <c r="L481" s="469" t="n"/>
      <c r="M481" s="469" t="n"/>
      <c r="N481" s="469" t="n"/>
      <c r="O481" s="469" t="n"/>
      <c r="P481" s="471" t="n"/>
      <c r="Q481" s="469" t="n"/>
      <c r="R481" s="469" t="n"/>
      <c r="S481" s="469" t="n"/>
      <c r="T481" s="469" t="n"/>
      <c r="U481" s="469" t="n"/>
      <c r="V481" s="469" t="n"/>
      <c r="W481" s="469" t="n"/>
      <c r="X481" s="469" t="n"/>
      <c r="Y481" s="469" t="n"/>
      <c r="Z481" s="469" t="n"/>
      <c r="AA481" s="469" t="n"/>
    </row>
    <row r="482">
      <c r="A482" s="468" t="n"/>
      <c r="B482" s="469" t="n"/>
      <c r="C482" s="469" t="n"/>
      <c r="D482" s="469" t="n"/>
      <c r="E482" s="469" t="n"/>
      <c r="F482" s="469" t="n"/>
      <c r="G482" s="469" t="n"/>
      <c r="H482" s="469" t="n"/>
      <c r="I482" s="469" t="n"/>
      <c r="J482" s="469" t="n"/>
      <c r="K482" s="469" t="n"/>
      <c r="L482" s="469" t="n"/>
      <c r="M482" s="469" t="n"/>
      <c r="N482" s="469" t="n"/>
      <c r="O482" s="469" t="n"/>
      <c r="P482" s="471" t="n"/>
      <c r="Q482" s="469" t="n"/>
      <c r="R482" s="469" t="n"/>
      <c r="S482" s="469" t="n"/>
      <c r="T482" s="469" t="n"/>
      <c r="U482" s="469" t="n"/>
      <c r="V482" s="469" t="n"/>
      <c r="W482" s="469" t="n"/>
      <c r="X482" s="469" t="n"/>
      <c r="Y482" s="469" t="n"/>
      <c r="Z482" s="469" t="n"/>
      <c r="AA482" s="469" t="n"/>
    </row>
    <row r="483">
      <c r="A483" s="468" t="n"/>
      <c r="B483" s="469" t="n"/>
      <c r="C483" s="469" t="n"/>
      <c r="D483" s="469" t="n"/>
      <c r="E483" s="469" t="n"/>
      <c r="F483" s="469" t="n"/>
      <c r="G483" s="469" t="n"/>
      <c r="H483" s="469" t="n"/>
      <c r="I483" s="469" t="n"/>
      <c r="J483" s="469" t="n"/>
      <c r="K483" s="469" t="n"/>
      <c r="L483" s="469" t="n"/>
      <c r="M483" s="469" t="n"/>
      <c r="N483" s="469" t="n"/>
      <c r="O483" s="469" t="n"/>
      <c r="P483" s="471" t="n"/>
      <c r="Q483" s="469" t="n"/>
      <c r="R483" s="469" t="n"/>
      <c r="S483" s="469" t="n"/>
      <c r="T483" s="469" t="n"/>
      <c r="U483" s="469" t="n"/>
      <c r="V483" s="469" t="n"/>
      <c r="W483" s="469" t="n"/>
      <c r="X483" s="469" t="n"/>
      <c r="Y483" s="469" t="n"/>
      <c r="Z483" s="469" t="n"/>
      <c r="AA483" s="469" t="n"/>
    </row>
    <row r="484">
      <c r="A484" s="468" t="n"/>
      <c r="B484" s="469" t="n"/>
      <c r="C484" s="469" t="n"/>
      <c r="D484" s="469" t="n"/>
      <c r="E484" s="469" t="n"/>
      <c r="F484" s="469" t="n"/>
      <c r="G484" s="469" t="n"/>
      <c r="H484" s="469" t="n"/>
      <c r="I484" s="469" t="n"/>
      <c r="J484" s="469" t="n"/>
      <c r="K484" s="469" t="n"/>
      <c r="L484" s="469" t="n"/>
      <c r="M484" s="469" t="n"/>
      <c r="N484" s="469" t="n"/>
      <c r="O484" s="469" t="n"/>
      <c r="P484" s="471" t="n"/>
      <c r="Q484" s="469" t="n"/>
      <c r="R484" s="469" t="n"/>
      <c r="S484" s="469" t="n"/>
      <c r="T484" s="469" t="n"/>
      <c r="U484" s="469" t="n"/>
      <c r="V484" s="469" t="n"/>
      <c r="W484" s="469" t="n"/>
      <c r="X484" s="469" t="n"/>
      <c r="Y484" s="469" t="n"/>
      <c r="Z484" s="469" t="n"/>
      <c r="AA484" s="469" t="n"/>
    </row>
    <row r="485">
      <c r="A485" s="468" t="n"/>
      <c r="B485" s="469" t="n"/>
      <c r="C485" s="469" t="n"/>
      <c r="D485" s="469" t="n"/>
      <c r="E485" s="469" t="n"/>
      <c r="F485" s="469" t="n"/>
      <c r="G485" s="469" t="n"/>
      <c r="H485" s="469" t="n"/>
      <c r="I485" s="469" t="n"/>
      <c r="J485" s="469" t="n"/>
      <c r="K485" s="469" t="n"/>
      <c r="L485" s="469" t="n"/>
      <c r="M485" s="469" t="n"/>
      <c r="N485" s="469" t="n"/>
      <c r="O485" s="469" t="n"/>
      <c r="P485" s="471" t="n"/>
      <c r="Q485" s="469" t="n"/>
      <c r="R485" s="469" t="n"/>
      <c r="S485" s="469" t="n"/>
      <c r="T485" s="469" t="n"/>
      <c r="U485" s="469" t="n"/>
      <c r="V485" s="469" t="n"/>
      <c r="W485" s="469" t="n"/>
      <c r="X485" s="469" t="n"/>
      <c r="Y485" s="469" t="n"/>
      <c r="Z485" s="469" t="n"/>
      <c r="AA485" s="469" t="n"/>
    </row>
    <row r="486">
      <c r="A486" s="468" t="n"/>
      <c r="B486" s="469" t="n"/>
      <c r="C486" s="469" t="n"/>
      <c r="D486" s="469" t="n"/>
      <c r="E486" s="469" t="n"/>
      <c r="F486" s="469" t="n"/>
      <c r="G486" s="469" t="n"/>
      <c r="H486" s="469" t="n"/>
      <c r="I486" s="469" t="n"/>
      <c r="J486" s="469" t="n"/>
      <c r="K486" s="469" t="n"/>
      <c r="L486" s="469" t="n"/>
      <c r="M486" s="469" t="n"/>
      <c r="N486" s="469" t="n"/>
      <c r="O486" s="469" t="n"/>
      <c r="P486" s="471" t="n"/>
      <c r="Q486" s="469" t="n"/>
      <c r="R486" s="469" t="n"/>
      <c r="S486" s="469" t="n"/>
      <c r="T486" s="469" t="n"/>
      <c r="U486" s="469" t="n"/>
      <c r="V486" s="469" t="n"/>
      <c r="W486" s="469" t="n"/>
      <c r="X486" s="469" t="n"/>
      <c r="Y486" s="469" t="n"/>
      <c r="Z486" s="469" t="n"/>
      <c r="AA486" s="469" t="n"/>
    </row>
    <row r="487">
      <c r="A487" s="468" t="n"/>
      <c r="B487" s="469" t="n"/>
      <c r="C487" s="469" t="n"/>
      <c r="D487" s="469" t="n"/>
      <c r="E487" s="469" t="n"/>
      <c r="F487" s="469" t="n"/>
      <c r="G487" s="469" t="n"/>
      <c r="H487" s="469" t="n"/>
      <c r="I487" s="469" t="n"/>
      <c r="J487" s="469" t="n"/>
      <c r="K487" s="469" t="n"/>
      <c r="L487" s="469" t="n"/>
      <c r="M487" s="469" t="n"/>
      <c r="N487" s="469" t="n"/>
      <c r="O487" s="469" t="n"/>
      <c r="P487" s="471" t="n"/>
      <c r="Q487" s="469" t="n"/>
      <c r="R487" s="469" t="n"/>
      <c r="S487" s="469" t="n"/>
      <c r="T487" s="469" t="n"/>
      <c r="U487" s="469" t="n"/>
      <c r="V487" s="469" t="n"/>
      <c r="W487" s="469" t="n"/>
      <c r="X487" s="469" t="n"/>
      <c r="Y487" s="469" t="n"/>
      <c r="Z487" s="469" t="n"/>
      <c r="AA487" s="469" t="n"/>
    </row>
    <row r="488">
      <c r="A488" s="468" t="n"/>
      <c r="B488" s="469" t="n"/>
      <c r="C488" s="469" t="n"/>
      <c r="D488" s="469" t="n"/>
      <c r="E488" s="469" t="n"/>
      <c r="F488" s="469" t="n"/>
      <c r="G488" s="469" t="n"/>
      <c r="H488" s="469" t="n"/>
      <c r="I488" s="469" t="n"/>
      <c r="J488" s="469" t="n"/>
      <c r="K488" s="469" t="n"/>
      <c r="L488" s="469" t="n"/>
      <c r="M488" s="469" t="n"/>
      <c r="N488" s="469" t="n"/>
      <c r="O488" s="469" t="n"/>
      <c r="P488" s="471" t="n"/>
      <c r="Q488" s="469" t="n"/>
      <c r="R488" s="469" t="n"/>
      <c r="S488" s="469" t="n"/>
      <c r="T488" s="469" t="n"/>
      <c r="U488" s="469" t="n"/>
      <c r="V488" s="469" t="n"/>
      <c r="W488" s="469" t="n"/>
      <c r="X488" s="469" t="n"/>
      <c r="Y488" s="469" t="n"/>
      <c r="Z488" s="469" t="n"/>
      <c r="AA488" s="469" t="n"/>
    </row>
    <row r="489">
      <c r="A489" s="468" t="n"/>
      <c r="B489" s="469" t="n"/>
      <c r="C489" s="469" t="n"/>
      <c r="D489" s="469" t="n"/>
      <c r="E489" s="469" t="n"/>
      <c r="F489" s="469" t="n"/>
      <c r="G489" s="469" t="n"/>
      <c r="H489" s="469" t="n"/>
      <c r="I489" s="469" t="n"/>
      <c r="J489" s="469" t="n"/>
      <c r="K489" s="469" t="n"/>
      <c r="L489" s="469" t="n"/>
      <c r="M489" s="469" t="n"/>
      <c r="N489" s="469" t="n"/>
      <c r="O489" s="469" t="n"/>
      <c r="P489" s="471" t="n"/>
      <c r="Q489" s="469" t="n"/>
      <c r="R489" s="469" t="n"/>
      <c r="S489" s="469" t="n"/>
      <c r="T489" s="469" t="n"/>
      <c r="U489" s="469" t="n"/>
      <c r="V489" s="469" t="n"/>
      <c r="W489" s="469" t="n"/>
      <c r="X489" s="469" t="n"/>
      <c r="Y489" s="469" t="n"/>
      <c r="Z489" s="469" t="n"/>
      <c r="AA489" s="469" t="n"/>
    </row>
    <row r="490">
      <c r="A490" s="468" t="n"/>
      <c r="B490" s="469" t="n"/>
      <c r="C490" s="469" t="n"/>
      <c r="D490" s="469" t="n"/>
      <c r="E490" s="469" t="n"/>
      <c r="F490" s="469" t="n"/>
      <c r="G490" s="469" t="n"/>
      <c r="H490" s="469" t="n"/>
      <c r="I490" s="469" t="n"/>
      <c r="J490" s="469" t="n"/>
      <c r="K490" s="469" t="n"/>
      <c r="L490" s="469" t="n"/>
      <c r="M490" s="469" t="n"/>
      <c r="N490" s="469" t="n"/>
      <c r="O490" s="469" t="n"/>
      <c r="P490" s="471" t="n"/>
      <c r="Q490" s="469" t="n"/>
      <c r="R490" s="469" t="n"/>
      <c r="S490" s="469" t="n"/>
      <c r="T490" s="469" t="n"/>
      <c r="U490" s="469" t="n"/>
      <c r="V490" s="469" t="n"/>
      <c r="W490" s="469" t="n"/>
      <c r="X490" s="469" t="n"/>
      <c r="Y490" s="469" t="n"/>
      <c r="Z490" s="469" t="n"/>
      <c r="AA490" s="469" t="n"/>
    </row>
    <row r="491">
      <c r="A491" s="468" t="n"/>
      <c r="B491" s="469" t="n"/>
      <c r="C491" s="469" t="n"/>
      <c r="D491" s="469" t="n"/>
      <c r="E491" s="469" t="n"/>
      <c r="F491" s="469" t="n"/>
      <c r="G491" s="469" t="n"/>
      <c r="H491" s="469" t="n"/>
      <c r="I491" s="469" t="n"/>
      <c r="J491" s="469" t="n"/>
      <c r="K491" s="469" t="n"/>
      <c r="L491" s="469" t="n"/>
      <c r="M491" s="469" t="n"/>
      <c r="N491" s="469" t="n"/>
      <c r="O491" s="469" t="n"/>
      <c r="P491" s="471" t="n"/>
      <c r="Q491" s="469" t="n"/>
      <c r="R491" s="469" t="n"/>
      <c r="S491" s="469" t="n"/>
      <c r="T491" s="469" t="n"/>
      <c r="U491" s="469" t="n"/>
      <c r="V491" s="469" t="n"/>
      <c r="W491" s="469" t="n"/>
      <c r="X491" s="469" t="n"/>
      <c r="Y491" s="469" t="n"/>
      <c r="Z491" s="469" t="n"/>
      <c r="AA491" s="469" t="n"/>
    </row>
    <row r="492">
      <c r="A492" s="468" t="n"/>
      <c r="B492" s="469" t="n"/>
      <c r="C492" s="469" t="n"/>
      <c r="D492" s="469" t="n"/>
      <c r="E492" s="469" t="n"/>
      <c r="F492" s="469" t="n"/>
      <c r="G492" s="469" t="n"/>
      <c r="H492" s="469" t="n"/>
      <c r="I492" s="469" t="n"/>
      <c r="J492" s="469" t="n"/>
      <c r="K492" s="469" t="n"/>
      <c r="L492" s="469" t="n"/>
      <c r="M492" s="469" t="n"/>
      <c r="N492" s="469" t="n"/>
      <c r="O492" s="469" t="n"/>
      <c r="P492" s="471" t="n"/>
      <c r="Q492" s="469" t="n"/>
      <c r="R492" s="469" t="n"/>
      <c r="S492" s="469" t="n"/>
      <c r="T492" s="469" t="n"/>
      <c r="U492" s="469" t="n"/>
      <c r="V492" s="469" t="n"/>
      <c r="W492" s="469" t="n"/>
      <c r="X492" s="469" t="n"/>
      <c r="Y492" s="469" t="n"/>
      <c r="Z492" s="469" t="n"/>
      <c r="AA492" s="469" t="n"/>
    </row>
    <row r="493">
      <c r="A493" s="468" t="n"/>
      <c r="B493" s="469" t="n"/>
      <c r="C493" s="469" t="n"/>
      <c r="D493" s="469" t="n"/>
      <c r="E493" s="469" t="n"/>
      <c r="F493" s="469" t="n"/>
      <c r="G493" s="469" t="n"/>
      <c r="H493" s="469" t="n"/>
      <c r="I493" s="469" t="n"/>
      <c r="J493" s="469" t="n"/>
      <c r="K493" s="469" t="n"/>
      <c r="L493" s="469" t="n"/>
      <c r="M493" s="469" t="n"/>
      <c r="N493" s="469" t="n"/>
      <c r="O493" s="469" t="n"/>
      <c r="P493" s="471" t="n"/>
      <c r="Q493" s="469" t="n"/>
      <c r="R493" s="469" t="n"/>
      <c r="S493" s="469" t="n"/>
      <c r="T493" s="469" t="n"/>
      <c r="U493" s="469" t="n"/>
      <c r="V493" s="469" t="n"/>
      <c r="W493" s="469" t="n"/>
      <c r="X493" s="469" t="n"/>
      <c r="Y493" s="469" t="n"/>
      <c r="Z493" s="469" t="n"/>
      <c r="AA493" s="469" t="n"/>
    </row>
    <row r="494">
      <c r="A494" s="468" t="n"/>
      <c r="B494" s="469" t="n"/>
      <c r="C494" s="469" t="n"/>
      <c r="D494" s="469" t="n"/>
      <c r="E494" s="469" t="n"/>
      <c r="F494" s="469" t="n"/>
      <c r="G494" s="469" t="n"/>
      <c r="H494" s="469" t="n"/>
      <c r="I494" s="469" t="n"/>
      <c r="J494" s="469" t="n"/>
      <c r="K494" s="469" t="n"/>
      <c r="L494" s="469" t="n"/>
      <c r="M494" s="469" t="n"/>
      <c r="N494" s="469" t="n"/>
      <c r="O494" s="469" t="n"/>
      <c r="P494" s="471" t="n"/>
      <c r="Q494" s="469" t="n"/>
      <c r="R494" s="469" t="n"/>
      <c r="S494" s="469" t="n"/>
      <c r="T494" s="469" t="n"/>
      <c r="U494" s="469" t="n"/>
      <c r="V494" s="469" t="n"/>
      <c r="W494" s="469" t="n"/>
      <c r="X494" s="469" t="n"/>
      <c r="Y494" s="469" t="n"/>
      <c r="Z494" s="469" t="n"/>
      <c r="AA494" s="469" t="n"/>
    </row>
    <row r="495">
      <c r="A495" s="468" t="n"/>
      <c r="B495" s="469" t="n"/>
      <c r="C495" s="469" t="n"/>
      <c r="D495" s="469" t="n"/>
      <c r="E495" s="469" t="n"/>
      <c r="F495" s="469" t="n"/>
      <c r="G495" s="469" t="n"/>
      <c r="H495" s="469" t="n"/>
      <c r="I495" s="469" t="n"/>
      <c r="J495" s="469" t="n"/>
      <c r="K495" s="469" t="n"/>
      <c r="L495" s="469" t="n"/>
      <c r="M495" s="469" t="n"/>
      <c r="N495" s="469" t="n"/>
      <c r="O495" s="469" t="n"/>
      <c r="P495" s="471" t="n"/>
      <c r="Q495" s="469" t="n"/>
      <c r="R495" s="469" t="n"/>
      <c r="S495" s="469" t="n"/>
      <c r="T495" s="469" t="n"/>
      <c r="U495" s="469" t="n"/>
      <c r="V495" s="469" t="n"/>
      <c r="W495" s="469" t="n"/>
      <c r="X495" s="469" t="n"/>
      <c r="Y495" s="469" t="n"/>
      <c r="Z495" s="469" t="n"/>
      <c r="AA495" s="469" t="n"/>
    </row>
    <row r="496">
      <c r="A496" s="468" t="n"/>
      <c r="B496" s="469" t="n"/>
      <c r="C496" s="469" t="n"/>
      <c r="D496" s="469" t="n"/>
      <c r="E496" s="469" t="n"/>
      <c r="F496" s="469" t="n"/>
      <c r="G496" s="469" t="n"/>
      <c r="H496" s="469" t="n"/>
      <c r="I496" s="469" t="n"/>
      <c r="J496" s="469" t="n"/>
      <c r="K496" s="469" t="n"/>
      <c r="L496" s="469" t="n"/>
      <c r="M496" s="469" t="n"/>
      <c r="N496" s="469" t="n"/>
      <c r="O496" s="469" t="n"/>
      <c r="P496" s="471" t="n"/>
      <c r="Q496" s="469" t="n"/>
      <c r="R496" s="469" t="n"/>
      <c r="S496" s="469" t="n"/>
      <c r="T496" s="469" t="n"/>
      <c r="U496" s="469" t="n"/>
      <c r="V496" s="469" t="n"/>
      <c r="W496" s="469" t="n"/>
      <c r="X496" s="469" t="n"/>
      <c r="Y496" s="469" t="n"/>
      <c r="Z496" s="469" t="n"/>
      <c r="AA496" s="469" t="n"/>
    </row>
    <row r="497">
      <c r="A497" s="468" t="n"/>
      <c r="B497" s="469" t="n"/>
      <c r="C497" s="469" t="n"/>
      <c r="D497" s="469" t="n"/>
      <c r="E497" s="469" t="n"/>
      <c r="F497" s="469" t="n"/>
      <c r="G497" s="469" t="n"/>
      <c r="H497" s="469" t="n"/>
      <c r="I497" s="469" t="n"/>
      <c r="J497" s="469" t="n"/>
      <c r="K497" s="469" t="n"/>
      <c r="L497" s="469" t="n"/>
      <c r="M497" s="469" t="n"/>
      <c r="N497" s="469" t="n"/>
      <c r="O497" s="469" t="n"/>
      <c r="P497" s="471" t="n"/>
      <c r="Q497" s="469" t="n"/>
      <c r="R497" s="469" t="n"/>
      <c r="S497" s="469" t="n"/>
      <c r="T497" s="469" t="n"/>
      <c r="U497" s="469" t="n"/>
      <c r="V497" s="469" t="n"/>
      <c r="W497" s="469" t="n"/>
      <c r="X497" s="469" t="n"/>
      <c r="Y497" s="469" t="n"/>
      <c r="Z497" s="469" t="n"/>
      <c r="AA497" s="469" t="n"/>
    </row>
    <row r="498">
      <c r="A498" s="468" t="n"/>
      <c r="B498" s="469" t="n"/>
      <c r="C498" s="469" t="n"/>
      <c r="D498" s="469" t="n"/>
      <c r="E498" s="469" t="n"/>
      <c r="F498" s="469" t="n"/>
      <c r="G498" s="469" t="n"/>
      <c r="H498" s="469" t="n"/>
      <c r="I498" s="469" t="n"/>
      <c r="J498" s="469" t="n"/>
      <c r="K498" s="469" t="n"/>
      <c r="L498" s="469" t="n"/>
      <c r="M498" s="469" t="n"/>
      <c r="N498" s="469" t="n"/>
      <c r="O498" s="469" t="n"/>
      <c r="P498" s="471" t="n"/>
      <c r="Q498" s="469" t="n"/>
      <c r="R498" s="469" t="n"/>
      <c r="S498" s="469" t="n"/>
      <c r="T498" s="469" t="n"/>
      <c r="U498" s="469" t="n"/>
      <c r="V498" s="469" t="n"/>
      <c r="W498" s="469" t="n"/>
      <c r="X498" s="469" t="n"/>
      <c r="Y498" s="469" t="n"/>
      <c r="Z498" s="469" t="n"/>
      <c r="AA498" s="469" t="n"/>
    </row>
    <row r="499">
      <c r="A499" s="468" t="n"/>
      <c r="B499" s="469" t="n"/>
      <c r="C499" s="469" t="n"/>
      <c r="D499" s="469" t="n"/>
      <c r="E499" s="469" t="n"/>
      <c r="F499" s="469" t="n"/>
      <c r="G499" s="469" t="n"/>
      <c r="H499" s="469" t="n"/>
      <c r="I499" s="469" t="n"/>
      <c r="J499" s="469" t="n"/>
      <c r="K499" s="469" t="n"/>
      <c r="L499" s="469" t="n"/>
      <c r="M499" s="469" t="n"/>
      <c r="N499" s="469" t="n"/>
      <c r="O499" s="469" t="n"/>
      <c r="P499" s="471" t="n"/>
      <c r="Q499" s="469" t="n"/>
      <c r="R499" s="469" t="n"/>
      <c r="S499" s="469" t="n"/>
      <c r="T499" s="469" t="n"/>
      <c r="U499" s="469" t="n"/>
      <c r="V499" s="469" t="n"/>
      <c r="W499" s="469" t="n"/>
      <c r="X499" s="469" t="n"/>
      <c r="Y499" s="469" t="n"/>
      <c r="Z499" s="469" t="n"/>
      <c r="AA499" s="469" t="n"/>
    </row>
    <row r="500">
      <c r="A500" s="468" t="n"/>
      <c r="B500" s="469" t="n"/>
      <c r="C500" s="469" t="n"/>
      <c r="D500" s="469" t="n"/>
      <c r="E500" s="469" t="n"/>
      <c r="F500" s="469" t="n"/>
      <c r="G500" s="469" t="n"/>
      <c r="H500" s="469" t="n"/>
      <c r="I500" s="469" t="n"/>
      <c r="J500" s="469" t="n"/>
      <c r="K500" s="469" t="n"/>
      <c r="L500" s="469" t="n"/>
      <c r="M500" s="469" t="n"/>
      <c r="N500" s="469" t="n"/>
      <c r="O500" s="469" t="n"/>
      <c r="P500" s="471" t="n"/>
      <c r="Q500" s="469" t="n"/>
      <c r="R500" s="469" t="n"/>
      <c r="S500" s="469" t="n"/>
      <c r="T500" s="469" t="n"/>
      <c r="U500" s="469" t="n"/>
      <c r="V500" s="469" t="n"/>
      <c r="W500" s="469" t="n"/>
      <c r="X500" s="469" t="n"/>
      <c r="Y500" s="469" t="n"/>
      <c r="Z500" s="469" t="n"/>
      <c r="AA500" s="469" t="n"/>
    </row>
    <row r="501">
      <c r="A501" s="468" t="n"/>
      <c r="B501" s="469" t="n"/>
      <c r="C501" s="469" t="n"/>
      <c r="D501" s="469" t="n"/>
      <c r="E501" s="469" t="n"/>
      <c r="F501" s="469" t="n"/>
      <c r="G501" s="469" t="n"/>
      <c r="H501" s="469" t="n"/>
      <c r="I501" s="469" t="n"/>
      <c r="J501" s="469" t="n"/>
      <c r="K501" s="469" t="n"/>
      <c r="L501" s="469" t="n"/>
      <c r="M501" s="469" t="n"/>
      <c r="N501" s="469" t="n"/>
      <c r="O501" s="469" t="n"/>
      <c r="P501" s="471" t="n"/>
      <c r="Q501" s="469" t="n"/>
      <c r="R501" s="469" t="n"/>
      <c r="S501" s="469" t="n"/>
      <c r="T501" s="469" t="n"/>
      <c r="U501" s="469" t="n"/>
      <c r="V501" s="469" t="n"/>
      <c r="W501" s="469" t="n"/>
      <c r="X501" s="469" t="n"/>
      <c r="Y501" s="469" t="n"/>
      <c r="Z501" s="469" t="n"/>
      <c r="AA501" s="469" t="n"/>
    </row>
    <row r="502">
      <c r="A502" s="468" t="n"/>
      <c r="B502" s="469" t="n"/>
      <c r="C502" s="469" t="n"/>
      <c r="D502" s="469" t="n"/>
      <c r="E502" s="469" t="n"/>
      <c r="F502" s="469" t="n"/>
      <c r="G502" s="469" t="n"/>
      <c r="H502" s="469" t="n"/>
      <c r="I502" s="469" t="n"/>
      <c r="J502" s="469" t="n"/>
      <c r="K502" s="469" t="n"/>
      <c r="L502" s="469" t="n"/>
      <c r="M502" s="469" t="n"/>
      <c r="N502" s="469" t="n"/>
      <c r="O502" s="469" t="n"/>
      <c r="P502" s="471" t="n"/>
      <c r="Q502" s="469" t="n"/>
      <c r="R502" s="469" t="n"/>
      <c r="S502" s="469" t="n"/>
      <c r="T502" s="469" t="n"/>
      <c r="U502" s="469" t="n"/>
      <c r="V502" s="469" t="n"/>
      <c r="W502" s="469" t="n"/>
      <c r="X502" s="469" t="n"/>
      <c r="Y502" s="469" t="n"/>
      <c r="Z502" s="469" t="n"/>
      <c r="AA502" s="469" t="n"/>
    </row>
    <row r="503">
      <c r="A503" s="468" t="n"/>
      <c r="B503" s="469" t="n"/>
      <c r="C503" s="469" t="n"/>
      <c r="D503" s="469" t="n"/>
      <c r="E503" s="469" t="n"/>
      <c r="F503" s="469" t="n"/>
      <c r="G503" s="469" t="n"/>
      <c r="H503" s="469" t="n"/>
      <c r="I503" s="469" t="n"/>
      <c r="J503" s="469" t="n"/>
      <c r="K503" s="469" t="n"/>
      <c r="L503" s="469" t="n"/>
      <c r="M503" s="469" t="n"/>
      <c r="N503" s="469" t="n"/>
      <c r="O503" s="469" t="n"/>
      <c r="P503" s="471" t="n"/>
      <c r="Q503" s="469" t="n"/>
      <c r="R503" s="469" t="n"/>
      <c r="S503" s="469" t="n"/>
      <c r="T503" s="469" t="n"/>
      <c r="U503" s="469" t="n"/>
      <c r="V503" s="469" t="n"/>
      <c r="W503" s="469" t="n"/>
      <c r="X503" s="469" t="n"/>
      <c r="Y503" s="469" t="n"/>
      <c r="Z503" s="469" t="n"/>
      <c r="AA503" s="469" t="n"/>
    </row>
    <row r="504">
      <c r="A504" s="468" t="n"/>
      <c r="B504" s="469" t="n"/>
      <c r="C504" s="469" t="n"/>
      <c r="D504" s="469" t="n"/>
      <c r="E504" s="469" t="n"/>
      <c r="F504" s="469" t="n"/>
      <c r="G504" s="469" t="n"/>
      <c r="H504" s="469" t="n"/>
      <c r="I504" s="469" t="n"/>
      <c r="J504" s="469" t="n"/>
      <c r="K504" s="469" t="n"/>
      <c r="L504" s="469" t="n"/>
      <c r="M504" s="469" t="n"/>
      <c r="N504" s="469" t="n"/>
      <c r="O504" s="469" t="n"/>
      <c r="P504" s="471" t="n"/>
      <c r="Q504" s="469" t="n"/>
      <c r="R504" s="469" t="n"/>
      <c r="S504" s="469" t="n"/>
      <c r="T504" s="469" t="n"/>
      <c r="U504" s="469" t="n"/>
      <c r="V504" s="469" t="n"/>
      <c r="W504" s="469" t="n"/>
      <c r="X504" s="469" t="n"/>
      <c r="Y504" s="469" t="n"/>
      <c r="Z504" s="469" t="n"/>
      <c r="AA504" s="469" t="n"/>
    </row>
    <row r="505">
      <c r="A505" s="468" t="n"/>
      <c r="B505" s="469" t="n"/>
      <c r="C505" s="469" t="n"/>
      <c r="D505" s="469" t="n"/>
      <c r="E505" s="469" t="n"/>
      <c r="F505" s="469" t="n"/>
      <c r="G505" s="469" t="n"/>
      <c r="H505" s="469" t="n"/>
      <c r="I505" s="469" t="n"/>
      <c r="J505" s="469" t="n"/>
      <c r="K505" s="469" t="n"/>
      <c r="L505" s="469" t="n"/>
      <c r="M505" s="469" t="n"/>
      <c r="N505" s="469" t="n"/>
      <c r="O505" s="469" t="n"/>
      <c r="P505" s="471" t="n"/>
      <c r="Q505" s="469" t="n"/>
      <c r="R505" s="469" t="n"/>
      <c r="S505" s="469" t="n"/>
      <c r="T505" s="469" t="n"/>
      <c r="U505" s="469" t="n"/>
      <c r="V505" s="469" t="n"/>
      <c r="W505" s="469" t="n"/>
      <c r="X505" s="469" t="n"/>
      <c r="Y505" s="469" t="n"/>
      <c r="Z505" s="469" t="n"/>
      <c r="AA505" s="469" t="n"/>
    </row>
    <row r="506">
      <c r="A506" s="468" t="n"/>
      <c r="B506" s="469" t="n"/>
      <c r="C506" s="469" t="n"/>
      <c r="D506" s="469" t="n"/>
      <c r="E506" s="469" t="n"/>
      <c r="F506" s="469" t="n"/>
      <c r="G506" s="469" t="n"/>
      <c r="H506" s="469" t="n"/>
      <c r="I506" s="469" t="n"/>
      <c r="J506" s="469" t="n"/>
      <c r="K506" s="469" t="n"/>
      <c r="L506" s="469" t="n"/>
      <c r="M506" s="469" t="n"/>
      <c r="N506" s="469" t="n"/>
      <c r="O506" s="469" t="n"/>
      <c r="P506" s="471" t="n"/>
      <c r="Q506" s="469" t="n"/>
      <c r="R506" s="469" t="n"/>
      <c r="S506" s="469" t="n"/>
      <c r="T506" s="469" t="n"/>
      <c r="U506" s="469" t="n"/>
      <c r="V506" s="469" t="n"/>
      <c r="W506" s="469" t="n"/>
      <c r="X506" s="469" t="n"/>
      <c r="Y506" s="469" t="n"/>
      <c r="Z506" s="469" t="n"/>
      <c r="AA506" s="469" t="n"/>
    </row>
    <row r="507">
      <c r="A507" s="468" t="n"/>
      <c r="B507" s="469" t="n"/>
      <c r="C507" s="469" t="n"/>
      <c r="D507" s="469" t="n"/>
      <c r="E507" s="469" t="n"/>
      <c r="F507" s="469" t="n"/>
      <c r="G507" s="469" t="n"/>
      <c r="H507" s="469" t="n"/>
      <c r="I507" s="469" t="n"/>
      <c r="J507" s="469" t="n"/>
      <c r="K507" s="469" t="n"/>
      <c r="L507" s="469" t="n"/>
      <c r="M507" s="469" t="n"/>
      <c r="N507" s="469" t="n"/>
      <c r="O507" s="469" t="n"/>
      <c r="P507" s="471" t="n"/>
      <c r="Q507" s="469" t="n"/>
      <c r="R507" s="469" t="n"/>
      <c r="S507" s="469" t="n"/>
      <c r="T507" s="469" t="n"/>
      <c r="U507" s="469" t="n"/>
      <c r="V507" s="469" t="n"/>
      <c r="W507" s="469" t="n"/>
      <c r="X507" s="469" t="n"/>
      <c r="Y507" s="469" t="n"/>
      <c r="Z507" s="469" t="n"/>
      <c r="AA507" s="469" t="n"/>
    </row>
    <row r="508">
      <c r="A508" s="468" t="n"/>
      <c r="B508" s="469" t="n"/>
      <c r="C508" s="469" t="n"/>
      <c r="D508" s="469" t="n"/>
      <c r="E508" s="469" t="n"/>
      <c r="F508" s="469" t="n"/>
      <c r="G508" s="469" t="n"/>
      <c r="H508" s="469" t="n"/>
      <c r="I508" s="469" t="n"/>
      <c r="J508" s="469" t="n"/>
      <c r="K508" s="469" t="n"/>
      <c r="L508" s="469" t="n"/>
      <c r="M508" s="469" t="n"/>
      <c r="N508" s="469" t="n"/>
      <c r="O508" s="469" t="n"/>
      <c r="P508" s="471" t="n"/>
      <c r="Q508" s="469" t="n"/>
      <c r="R508" s="469" t="n"/>
      <c r="S508" s="469" t="n"/>
      <c r="T508" s="469" t="n"/>
      <c r="U508" s="469" t="n"/>
      <c r="V508" s="469" t="n"/>
      <c r="W508" s="469" t="n"/>
      <c r="X508" s="469" t="n"/>
      <c r="Y508" s="469" t="n"/>
      <c r="Z508" s="469" t="n"/>
      <c r="AA508" s="469" t="n"/>
    </row>
    <row r="509">
      <c r="A509" s="468" t="n"/>
      <c r="B509" s="469" t="n"/>
      <c r="C509" s="469" t="n"/>
      <c r="D509" s="469" t="n"/>
      <c r="E509" s="469" t="n"/>
      <c r="F509" s="469" t="n"/>
      <c r="G509" s="469" t="n"/>
      <c r="H509" s="469" t="n"/>
      <c r="I509" s="469" t="n"/>
      <c r="J509" s="469" t="n"/>
      <c r="K509" s="469" t="n"/>
      <c r="L509" s="469" t="n"/>
      <c r="M509" s="469" t="n"/>
      <c r="N509" s="469" t="n"/>
      <c r="O509" s="469" t="n"/>
      <c r="P509" s="471" t="n"/>
      <c r="Q509" s="469" t="n"/>
      <c r="R509" s="469" t="n"/>
      <c r="S509" s="469" t="n"/>
      <c r="T509" s="469" t="n"/>
      <c r="U509" s="469" t="n"/>
      <c r="V509" s="469" t="n"/>
      <c r="W509" s="469" t="n"/>
      <c r="X509" s="469" t="n"/>
      <c r="Y509" s="469" t="n"/>
      <c r="Z509" s="469" t="n"/>
      <c r="AA509" s="469" t="n"/>
    </row>
    <row r="510">
      <c r="A510" s="468" t="n"/>
      <c r="B510" s="469" t="n"/>
      <c r="C510" s="469" t="n"/>
      <c r="D510" s="469" t="n"/>
      <c r="E510" s="469" t="n"/>
      <c r="F510" s="469" t="n"/>
      <c r="G510" s="469" t="n"/>
      <c r="H510" s="469" t="n"/>
      <c r="I510" s="469" t="n"/>
      <c r="J510" s="469" t="n"/>
      <c r="K510" s="469" t="n"/>
      <c r="L510" s="469" t="n"/>
      <c r="M510" s="469" t="n"/>
      <c r="N510" s="469" t="n"/>
      <c r="O510" s="469" t="n"/>
      <c r="P510" s="471" t="n"/>
      <c r="Q510" s="469" t="n"/>
      <c r="R510" s="469" t="n"/>
      <c r="S510" s="469" t="n"/>
      <c r="T510" s="469" t="n"/>
      <c r="U510" s="469" t="n"/>
      <c r="V510" s="469" t="n"/>
      <c r="W510" s="469" t="n"/>
      <c r="X510" s="469" t="n"/>
      <c r="Y510" s="469" t="n"/>
      <c r="Z510" s="469" t="n"/>
      <c r="AA510" s="469" t="n"/>
    </row>
    <row r="511">
      <c r="A511" s="468" t="n"/>
      <c r="B511" s="469" t="n"/>
      <c r="C511" s="469" t="n"/>
      <c r="D511" s="469" t="n"/>
      <c r="E511" s="469" t="n"/>
      <c r="F511" s="469" t="n"/>
      <c r="G511" s="469" t="n"/>
      <c r="H511" s="469" t="n"/>
      <c r="I511" s="469" t="n"/>
      <c r="J511" s="469" t="n"/>
      <c r="K511" s="469" t="n"/>
      <c r="L511" s="469" t="n"/>
      <c r="M511" s="469" t="n"/>
      <c r="N511" s="469" t="n"/>
      <c r="O511" s="469" t="n"/>
      <c r="P511" s="471" t="n"/>
      <c r="Q511" s="469" t="n"/>
      <c r="R511" s="469" t="n"/>
      <c r="S511" s="469" t="n"/>
      <c r="T511" s="469" t="n"/>
      <c r="U511" s="469" t="n"/>
      <c r="V511" s="469" t="n"/>
      <c r="W511" s="469" t="n"/>
      <c r="X511" s="469" t="n"/>
      <c r="Y511" s="469" t="n"/>
      <c r="Z511" s="469" t="n"/>
      <c r="AA511" s="469" t="n"/>
    </row>
    <row r="512">
      <c r="A512" s="468" t="n"/>
      <c r="B512" s="469" t="n"/>
      <c r="C512" s="469" t="n"/>
      <c r="D512" s="469" t="n"/>
      <c r="E512" s="469" t="n"/>
      <c r="F512" s="469" t="n"/>
      <c r="G512" s="469" t="n"/>
      <c r="H512" s="469" t="n"/>
      <c r="I512" s="469" t="n"/>
      <c r="J512" s="469" t="n"/>
      <c r="K512" s="469" t="n"/>
      <c r="L512" s="469" t="n"/>
      <c r="M512" s="469" t="n"/>
      <c r="N512" s="469" t="n"/>
      <c r="O512" s="469" t="n"/>
      <c r="P512" s="471" t="n"/>
      <c r="Q512" s="469" t="n"/>
      <c r="R512" s="469" t="n"/>
      <c r="S512" s="469" t="n"/>
      <c r="T512" s="469" t="n"/>
      <c r="U512" s="469" t="n"/>
      <c r="V512" s="469" t="n"/>
      <c r="W512" s="469" t="n"/>
      <c r="X512" s="469" t="n"/>
      <c r="Y512" s="469" t="n"/>
      <c r="Z512" s="469" t="n"/>
      <c r="AA512" s="469" t="n"/>
    </row>
    <row r="513">
      <c r="A513" s="468" t="n"/>
      <c r="B513" s="469" t="n"/>
      <c r="C513" s="469" t="n"/>
      <c r="D513" s="469" t="n"/>
      <c r="E513" s="469" t="n"/>
      <c r="F513" s="469" t="n"/>
      <c r="G513" s="469" t="n"/>
      <c r="H513" s="469" t="n"/>
      <c r="I513" s="469" t="n"/>
      <c r="J513" s="469" t="n"/>
      <c r="K513" s="469" t="n"/>
      <c r="L513" s="469" t="n"/>
      <c r="M513" s="469" t="n"/>
      <c r="N513" s="469" t="n"/>
      <c r="O513" s="469" t="n"/>
      <c r="P513" s="471" t="n"/>
      <c r="Q513" s="469" t="n"/>
      <c r="R513" s="469" t="n"/>
      <c r="S513" s="469" t="n"/>
      <c r="T513" s="469" t="n"/>
      <c r="U513" s="469" t="n"/>
      <c r="V513" s="469" t="n"/>
      <c r="W513" s="469" t="n"/>
      <c r="X513" s="469" t="n"/>
      <c r="Y513" s="469" t="n"/>
      <c r="Z513" s="469" t="n"/>
      <c r="AA513" s="469" t="n"/>
    </row>
    <row r="514">
      <c r="A514" s="468" t="n"/>
      <c r="B514" s="469" t="n"/>
      <c r="C514" s="469" t="n"/>
      <c r="D514" s="469" t="n"/>
      <c r="E514" s="469" t="n"/>
      <c r="F514" s="469" t="n"/>
      <c r="G514" s="469" t="n"/>
      <c r="H514" s="469" t="n"/>
      <c r="I514" s="469" t="n"/>
      <c r="J514" s="469" t="n"/>
      <c r="K514" s="469" t="n"/>
      <c r="L514" s="469" t="n"/>
      <c r="M514" s="469" t="n"/>
      <c r="N514" s="469" t="n"/>
      <c r="O514" s="469" t="n"/>
      <c r="P514" s="471" t="n"/>
      <c r="Q514" s="469" t="n"/>
      <c r="R514" s="469" t="n"/>
      <c r="S514" s="469" t="n"/>
      <c r="T514" s="469" t="n"/>
      <c r="U514" s="469" t="n"/>
      <c r="V514" s="469" t="n"/>
      <c r="W514" s="469" t="n"/>
      <c r="X514" s="469" t="n"/>
      <c r="Y514" s="469" t="n"/>
      <c r="Z514" s="469" t="n"/>
      <c r="AA514" s="469" t="n"/>
    </row>
    <row r="515">
      <c r="A515" s="468" t="n"/>
      <c r="B515" s="469" t="n"/>
      <c r="C515" s="469" t="n"/>
      <c r="D515" s="469" t="n"/>
      <c r="E515" s="469" t="n"/>
      <c r="F515" s="469" t="n"/>
      <c r="G515" s="469" t="n"/>
      <c r="H515" s="469" t="n"/>
      <c r="I515" s="469" t="n"/>
      <c r="J515" s="469" t="n"/>
      <c r="K515" s="469" t="n"/>
      <c r="L515" s="469" t="n"/>
      <c r="M515" s="469" t="n"/>
      <c r="N515" s="469" t="n"/>
      <c r="O515" s="469" t="n"/>
      <c r="P515" s="471" t="n"/>
      <c r="Q515" s="469" t="n"/>
      <c r="R515" s="469" t="n"/>
      <c r="S515" s="469" t="n"/>
      <c r="T515" s="469" t="n"/>
      <c r="U515" s="469" t="n"/>
      <c r="V515" s="469" t="n"/>
      <c r="W515" s="469" t="n"/>
      <c r="X515" s="469" t="n"/>
      <c r="Y515" s="469" t="n"/>
      <c r="Z515" s="469" t="n"/>
      <c r="AA515" s="469" t="n"/>
    </row>
    <row r="516">
      <c r="A516" s="468" t="n"/>
      <c r="B516" s="469" t="n"/>
      <c r="C516" s="469" t="n"/>
      <c r="D516" s="469" t="n"/>
      <c r="E516" s="469" t="n"/>
      <c r="F516" s="469" t="n"/>
      <c r="G516" s="469" t="n"/>
      <c r="H516" s="469" t="n"/>
      <c r="I516" s="469" t="n"/>
      <c r="J516" s="469" t="n"/>
      <c r="K516" s="469" t="n"/>
      <c r="L516" s="469" t="n"/>
      <c r="M516" s="469" t="n"/>
      <c r="N516" s="469" t="n"/>
      <c r="O516" s="469" t="n"/>
      <c r="P516" s="471" t="n"/>
      <c r="Q516" s="469" t="n"/>
      <c r="R516" s="469" t="n"/>
      <c r="S516" s="469" t="n"/>
      <c r="T516" s="469" t="n"/>
      <c r="U516" s="469" t="n"/>
      <c r="V516" s="469" t="n"/>
      <c r="W516" s="469" t="n"/>
      <c r="X516" s="469" t="n"/>
      <c r="Y516" s="469" t="n"/>
      <c r="Z516" s="469" t="n"/>
      <c r="AA516" s="469" t="n"/>
    </row>
    <row r="517">
      <c r="A517" s="468" t="n"/>
      <c r="B517" s="469" t="n"/>
      <c r="C517" s="469" t="n"/>
      <c r="D517" s="469" t="n"/>
      <c r="E517" s="469" t="n"/>
      <c r="F517" s="469" t="n"/>
      <c r="G517" s="469" t="n"/>
      <c r="H517" s="469" t="n"/>
      <c r="I517" s="469" t="n"/>
      <c r="J517" s="469" t="n"/>
      <c r="K517" s="469" t="n"/>
      <c r="L517" s="469" t="n"/>
      <c r="M517" s="469" t="n"/>
      <c r="N517" s="469" t="n"/>
      <c r="O517" s="469" t="n"/>
      <c r="P517" s="471" t="n"/>
      <c r="Q517" s="469" t="n"/>
      <c r="R517" s="469" t="n"/>
      <c r="S517" s="469" t="n"/>
      <c r="T517" s="469" t="n"/>
      <c r="U517" s="469" t="n"/>
      <c r="V517" s="469" t="n"/>
      <c r="W517" s="469" t="n"/>
      <c r="X517" s="469" t="n"/>
      <c r="Y517" s="469" t="n"/>
      <c r="Z517" s="469" t="n"/>
      <c r="AA517" s="469" t="n"/>
    </row>
    <row r="518">
      <c r="A518" s="468" t="n"/>
      <c r="B518" s="469" t="n"/>
      <c r="C518" s="469" t="n"/>
      <c r="D518" s="469" t="n"/>
      <c r="E518" s="469" t="n"/>
      <c r="F518" s="469" t="n"/>
      <c r="G518" s="469" t="n"/>
      <c r="H518" s="469" t="n"/>
      <c r="I518" s="469" t="n"/>
      <c r="J518" s="469" t="n"/>
      <c r="K518" s="469" t="n"/>
      <c r="L518" s="469" t="n"/>
      <c r="M518" s="469" t="n"/>
      <c r="N518" s="469" t="n"/>
      <c r="O518" s="469" t="n"/>
      <c r="P518" s="471" t="n"/>
      <c r="Q518" s="469" t="n"/>
      <c r="R518" s="469" t="n"/>
      <c r="S518" s="469" t="n"/>
      <c r="T518" s="469" t="n"/>
      <c r="U518" s="469" t="n"/>
      <c r="V518" s="469" t="n"/>
      <c r="W518" s="469" t="n"/>
      <c r="X518" s="469" t="n"/>
      <c r="Y518" s="469" t="n"/>
      <c r="Z518" s="469" t="n"/>
      <c r="AA518" s="469" t="n"/>
    </row>
    <row r="519">
      <c r="A519" s="468" t="n"/>
      <c r="B519" s="469" t="n"/>
      <c r="C519" s="469" t="n"/>
      <c r="D519" s="469" t="n"/>
      <c r="E519" s="469" t="n"/>
      <c r="F519" s="469" t="n"/>
      <c r="G519" s="469" t="n"/>
      <c r="H519" s="469" t="n"/>
      <c r="I519" s="469" t="n"/>
      <c r="J519" s="469" t="n"/>
      <c r="K519" s="469" t="n"/>
      <c r="L519" s="469" t="n"/>
      <c r="M519" s="469" t="n"/>
      <c r="N519" s="469" t="n"/>
      <c r="O519" s="469" t="n"/>
      <c r="P519" s="471" t="n"/>
      <c r="Q519" s="469" t="n"/>
      <c r="R519" s="469" t="n"/>
      <c r="S519" s="469" t="n"/>
      <c r="T519" s="469" t="n"/>
      <c r="U519" s="469" t="n"/>
      <c r="V519" s="469" t="n"/>
      <c r="W519" s="469" t="n"/>
      <c r="X519" s="469" t="n"/>
      <c r="Y519" s="469" t="n"/>
      <c r="Z519" s="469" t="n"/>
      <c r="AA519" s="469" t="n"/>
    </row>
    <row r="520">
      <c r="A520" s="468" t="n"/>
      <c r="B520" s="469" t="n"/>
      <c r="C520" s="469" t="n"/>
      <c r="D520" s="469" t="n"/>
      <c r="E520" s="469" t="n"/>
      <c r="F520" s="469" t="n"/>
      <c r="G520" s="469" t="n"/>
      <c r="H520" s="469" t="n"/>
      <c r="I520" s="469" t="n"/>
      <c r="J520" s="469" t="n"/>
      <c r="K520" s="469" t="n"/>
      <c r="L520" s="469" t="n"/>
      <c r="M520" s="469" t="n"/>
      <c r="N520" s="469" t="n"/>
      <c r="O520" s="469" t="n"/>
      <c r="P520" s="471" t="n"/>
      <c r="Q520" s="469" t="n"/>
      <c r="R520" s="469" t="n"/>
      <c r="S520" s="469" t="n"/>
      <c r="T520" s="469" t="n"/>
      <c r="U520" s="469" t="n"/>
      <c r="V520" s="469" t="n"/>
      <c r="W520" s="469" t="n"/>
      <c r="X520" s="469" t="n"/>
      <c r="Y520" s="469" t="n"/>
      <c r="Z520" s="469" t="n"/>
      <c r="AA520" s="469" t="n"/>
    </row>
    <row r="521">
      <c r="A521" s="468" t="n"/>
      <c r="B521" s="469" t="n"/>
      <c r="C521" s="469" t="n"/>
      <c r="D521" s="469" t="n"/>
      <c r="E521" s="469" t="n"/>
      <c r="F521" s="469" t="n"/>
      <c r="G521" s="469" t="n"/>
      <c r="H521" s="469" t="n"/>
      <c r="I521" s="469" t="n"/>
      <c r="J521" s="469" t="n"/>
      <c r="K521" s="469" t="n"/>
      <c r="L521" s="469" t="n"/>
      <c r="M521" s="469" t="n"/>
      <c r="N521" s="469" t="n"/>
      <c r="O521" s="469" t="n"/>
      <c r="P521" s="471" t="n"/>
      <c r="Q521" s="469" t="n"/>
      <c r="R521" s="469" t="n"/>
      <c r="S521" s="469" t="n"/>
      <c r="T521" s="469" t="n"/>
      <c r="U521" s="469" t="n"/>
      <c r="V521" s="469" t="n"/>
      <c r="W521" s="469" t="n"/>
      <c r="X521" s="469" t="n"/>
      <c r="Y521" s="469" t="n"/>
      <c r="Z521" s="469" t="n"/>
      <c r="AA521" s="469" t="n"/>
    </row>
    <row r="522">
      <c r="A522" s="468" t="n"/>
      <c r="B522" s="469" t="n"/>
      <c r="C522" s="469" t="n"/>
      <c r="D522" s="469" t="n"/>
      <c r="E522" s="469" t="n"/>
      <c r="F522" s="469" t="n"/>
      <c r="G522" s="469" t="n"/>
      <c r="H522" s="469" t="n"/>
      <c r="I522" s="469" t="n"/>
      <c r="J522" s="469" t="n"/>
      <c r="K522" s="469" t="n"/>
      <c r="L522" s="469" t="n"/>
      <c r="M522" s="469" t="n"/>
      <c r="N522" s="469" t="n"/>
      <c r="O522" s="469" t="n"/>
      <c r="P522" s="471" t="n"/>
      <c r="Q522" s="469" t="n"/>
      <c r="R522" s="469" t="n"/>
      <c r="S522" s="469" t="n"/>
      <c r="T522" s="469" t="n"/>
      <c r="U522" s="469" t="n"/>
      <c r="V522" s="469" t="n"/>
      <c r="W522" s="469" t="n"/>
      <c r="X522" s="469" t="n"/>
      <c r="Y522" s="469" t="n"/>
      <c r="Z522" s="469" t="n"/>
      <c r="AA522" s="469" t="n"/>
    </row>
    <row r="523">
      <c r="A523" s="468" t="n"/>
      <c r="B523" s="469" t="n"/>
      <c r="C523" s="469" t="n"/>
      <c r="D523" s="469" t="n"/>
      <c r="E523" s="469" t="n"/>
      <c r="F523" s="469" t="n"/>
      <c r="G523" s="469" t="n"/>
      <c r="H523" s="469" t="n"/>
      <c r="I523" s="469" t="n"/>
      <c r="J523" s="469" t="n"/>
      <c r="K523" s="469" t="n"/>
      <c r="L523" s="469" t="n"/>
      <c r="M523" s="469" t="n"/>
      <c r="N523" s="469" t="n"/>
      <c r="O523" s="469" t="n"/>
      <c r="P523" s="471" t="n"/>
      <c r="Q523" s="469" t="n"/>
      <c r="R523" s="469" t="n"/>
      <c r="S523" s="469" t="n"/>
      <c r="T523" s="469" t="n"/>
      <c r="U523" s="469" t="n"/>
      <c r="V523" s="469" t="n"/>
      <c r="W523" s="469" t="n"/>
      <c r="X523" s="469" t="n"/>
      <c r="Y523" s="469" t="n"/>
      <c r="Z523" s="469" t="n"/>
      <c r="AA523" s="469" t="n"/>
    </row>
    <row r="524">
      <c r="A524" s="468" t="n"/>
      <c r="B524" s="469" t="n"/>
      <c r="C524" s="469" t="n"/>
      <c r="D524" s="469" t="n"/>
      <c r="E524" s="469" t="n"/>
      <c r="F524" s="469" t="n"/>
      <c r="G524" s="469" t="n"/>
      <c r="H524" s="469" t="n"/>
      <c r="I524" s="469" t="n"/>
      <c r="J524" s="469" t="n"/>
      <c r="K524" s="469" t="n"/>
      <c r="L524" s="469" t="n"/>
      <c r="M524" s="469" t="n"/>
      <c r="N524" s="469" t="n"/>
      <c r="O524" s="469" t="n"/>
      <c r="P524" s="471" t="n"/>
      <c r="Q524" s="469" t="n"/>
      <c r="R524" s="469" t="n"/>
      <c r="S524" s="469" t="n"/>
      <c r="T524" s="469" t="n"/>
      <c r="U524" s="469" t="n"/>
      <c r="V524" s="469" t="n"/>
      <c r="W524" s="469" t="n"/>
      <c r="X524" s="469" t="n"/>
      <c r="Y524" s="469" t="n"/>
      <c r="Z524" s="469" t="n"/>
      <c r="AA524" s="469" t="n"/>
    </row>
    <row r="525">
      <c r="A525" s="468" t="n"/>
      <c r="B525" s="469" t="n"/>
      <c r="C525" s="469" t="n"/>
      <c r="D525" s="469" t="n"/>
      <c r="E525" s="469" t="n"/>
      <c r="F525" s="469" t="n"/>
      <c r="G525" s="469" t="n"/>
      <c r="H525" s="469" t="n"/>
      <c r="I525" s="469" t="n"/>
      <c r="J525" s="469" t="n"/>
      <c r="K525" s="469" t="n"/>
      <c r="L525" s="469" t="n"/>
      <c r="M525" s="469" t="n"/>
      <c r="N525" s="469" t="n"/>
      <c r="O525" s="469" t="n"/>
      <c r="P525" s="471" t="n"/>
      <c r="Q525" s="469" t="n"/>
      <c r="R525" s="469" t="n"/>
      <c r="S525" s="469" t="n"/>
      <c r="T525" s="469" t="n"/>
      <c r="U525" s="469" t="n"/>
      <c r="V525" s="469" t="n"/>
      <c r="W525" s="469" t="n"/>
      <c r="X525" s="469" t="n"/>
      <c r="Y525" s="469" t="n"/>
      <c r="Z525" s="469" t="n"/>
      <c r="AA525" s="469" t="n"/>
    </row>
    <row r="526">
      <c r="A526" s="468" t="n"/>
      <c r="B526" s="469" t="n"/>
      <c r="C526" s="469" t="n"/>
      <c r="D526" s="469" t="n"/>
      <c r="E526" s="469" t="n"/>
      <c r="F526" s="469" t="n"/>
      <c r="G526" s="469" t="n"/>
      <c r="H526" s="469" t="n"/>
      <c r="I526" s="469" t="n"/>
      <c r="J526" s="469" t="n"/>
      <c r="K526" s="469" t="n"/>
      <c r="L526" s="469" t="n"/>
      <c r="M526" s="469" t="n"/>
      <c r="N526" s="469" t="n"/>
      <c r="O526" s="469" t="n"/>
      <c r="P526" s="471" t="n"/>
      <c r="Q526" s="469" t="n"/>
      <c r="R526" s="469" t="n"/>
      <c r="S526" s="469" t="n"/>
      <c r="T526" s="469" t="n"/>
      <c r="U526" s="469" t="n"/>
      <c r="V526" s="469" t="n"/>
      <c r="W526" s="469" t="n"/>
      <c r="X526" s="469" t="n"/>
      <c r="Y526" s="469" t="n"/>
      <c r="Z526" s="469" t="n"/>
      <c r="AA526" s="469" t="n"/>
    </row>
    <row r="527">
      <c r="A527" s="468" t="n"/>
      <c r="B527" s="469" t="n"/>
      <c r="C527" s="469" t="n"/>
      <c r="D527" s="469" t="n"/>
      <c r="E527" s="469" t="n"/>
      <c r="F527" s="469" t="n"/>
      <c r="G527" s="469" t="n"/>
      <c r="H527" s="469" t="n"/>
      <c r="I527" s="469" t="n"/>
      <c r="J527" s="469" t="n"/>
      <c r="K527" s="469" t="n"/>
      <c r="L527" s="469" t="n"/>
      <c r="M527" s="469" t="n"/>
      <c r="N527" s="469" t="n"/>
      <c r="O527" s="469" t="n"/>
      <c r="P527" s="471" t="n"/>
      <c r="Q527" s="469" t="n"/>
      <c r="R527" s="469" t="n"/>
      <c r="S527" s="469" t="n"/>
      <c r="T527" s="469" t="n"/>
      <c r="U527" s="469" t="n"/>
      <c r="V527" s="469" t="n"/>
      <c r="W527" s="469" t="n"/>
      <c r="X527" s="469" t="n"/>
      <c r="Y527" s="469" t="n"/>
      <c r="Z527" s="469" t="n"/>
      <c r="AA527" s="469" t="n"/>
    </row>
    <row r="528">
      <c r="A528" s="468" t="n"/>
      <c r="B528" s="469" t="n"/>
      <c r="C528" s="469" t="n"/>
      <c r="D528" s="469" t="n"/>
      <c r="E528" s="469" t="n"/>
      <c r="F528" s="469" t="n"/>
      <c r="G528" s="469" t="n"/>
      <c r="H528" s="469" t="n"/>
      <c r="I528" s="469" t="n"/>
      <c r="J528" s="469" t="n"/>
      <c r="K528" s="469" t="n"/>
      <c r="L528" s="469" t="n"/>
      <c r="M528" s="469" t="n"/>
      <c r="N528" s="469" t="n"/>
      <c r="O528" s="469" t="n"/>
      <c r="P528" s="471" t="n"/>
      <c r="Q528" s="469" t="n"/>
      <c r="R528" s="469" t="n"/>
      <c r="S528" s="469" t="n"/>
      <c r="T528" s="469" t="n"/>
      <c r="U528" s="469" t="n"/>
      <c r="V528" s="469" t="n"/>
      <c r="W528" s="469" t="n"/>
      <c r="X528" s="469" t="n"/>
      <c r="Y528" s="469" t="n"/>
      <c r="Z528" s="469" t="n"/>
      <c r="AA528" s="469" t="n"/>
    </row>
    <row r="529">
      <c r="A529" s="468" t="n"/>
      <c r="B529" s="469" t="n"/>
      <c r="C529" s="469" t="n"/>
      <c r="D529" s="469" t="n"/>
      <c r="E529" s="469" t="n"/>
      <c r="F529" s="469" t="n"/>
      <c r="G529" s="469" t="n"/>
      <c r="H529" s="469" t="n"/>
      <c r="I529" s="469" t="n"/>
      <c r="J529" s="469" t="n"/>
      <c r="K529" s="469" t="n"/>
      <c r="L529" s="469" t="n"/>
      <c r="M529" s="469" t="n"/>
      <c r="N529" s="469" t="n"/>
      <c r="O529" s="469" t="n"/>
      <c r="P529" s="471" t="n"/>
      <c r="Q529" s="469" t="n"/>
      <c r="R529" s="469" t="n"/>
      <c r="S529" s="469" t="n"/>
      <c r="T529" s="469" t="n"/>
      <c r="U529" s="469" t="n"/>
      <c r="V529" s="469" t="n"/>
      <c r="W529" s="469" t="n"/>
      <c r="X529" s="469" t="n"/>
      <c r="Y529" s="469" t="n"/>
      <c r="Z529" s="469" t="n"/>
      <c r="AA529" s="469" t="n"/>
    </row>
    <row r="530">
      <c r="A530" s="468" t="n"/>
      <c r="B530" s="469" t="n"/>
      <c r="C530" s="469" t="n"/>
      <c r="D530" s="469" t="n"/>
      <c r="E530" s="469" t="n"/>
      <c r="F530" s="469" t="n"/>
      <c r="G530" s="469" t="n"/>
      <c r="H530" s="469" t="n"/>
      <c r="I530" s="469" t="n"/>
      <c r="J530" s="469" t="n"/>
      <c r="K530" s="469" t="n"/>
      <c r="L530" s="469" t="n"/>
      <c r="M530" s="469" t="n"/>
      <c r="N530" s="469" t="n"/>
      <c r="O530" s="469" t="n"/>
      <c r="P530" s="471" t="n"/>
      <c r="Q530" s="469" t="n"/>
      <c r="R530" s="469" t="n"/>
      <c r="S530" s="469" t="n"/>
      <c r="T530" s="469" t="n"/>
      <c r="U530" s="469" t="n"/>
      <c r="V530" s="469" t="n"/>
      <c r="W530" s="469" t="n"/>
      <c r="X530" s="469" t="n"/>
      <c r="Y530" s="469" t="n"/>
      <c r="Z530" s="469" t="n"/>
      <c r="AA530" s="469" t="n"/>
    </row>
    <row r="531">
      <c r="A531" s="468" t="n"/>
      <c r="B531" s="469" t="n"/>
      <c r="C531" s="469" t="n"/>
      <c r="D531" s="469" t="n"/>
      <c r="E531" s="469" t="n"/>
      <c r="F531" s="469" t="n"/>
      <c r="G531" s="469" t="n"/>
      <c r="H531" s="469" t="n"/>
      <c r="I531" s="469" t="n"/>
      <c r="J531" s="469" t="n"/>
      <c r="K531" s="469" t="n"/>
      <c r="L531" s="469" t="n"/>
      <c r="M531" s="469" t="n"/>
      <c r="N531" s="469" t="n"/>
      <c r="O531" s="469" t="n"/>
      <c r="P531" s="471" t="n"/>
      <c r="Q531" s="469" t="n"/>
      <c r="R531" s="469" t="n"/>
      <c r="S531" s="469" t="n"/>
      <c r="T531" s="469" t="n"/>
      <c r="U531" s="469" t="n"/>
      <c r="V531" s="469" t="n"/>
      <c r="W531" s="469" t="n"/>
      <c r="X531" s="469" t="n"/>
      <c r="Y531" s="469" t="n"/>
      <c r="Z531" s="469" t="n"/>
      <c r="AA531" s="469" t="n"/>
    </row>
    <row r="532">
      <c r="A532" s="468" t="n"/>
      <c r="B532" s="469" t="n"/>
      <c r="C532" s="469" t="n"/>
      <c r="D532" s="469" t="n"/>
      <c r="E532" s="469" t="n"/>
      <c r="F532" s="469" t="n"/>
      <c r="G532" s="469" t="n"/>
      <c r="H532" s="469" t="n"/>
      <c r="I532" s="469" t="n"/>
      <c r="J532" s="469" t="n"/>
      <c r="K532" s="469" t="n"/>
      <c r="L532" s="469" t="n"/>
      <c r="M532" s="469" t="n"/>
      <c r="N532" s="469" t="n"/>
      <c r="O532" s="469" t="n"/>
      <c r="P532" s="471" t="n"/>
      <c r="Q532" s="469" t="n"/>
      <c r="R532" s="469" t="n"/>
      <c r="S532" s="469" t="n"/>
      <c r="T532" s="469" t="n"/>
      <c r="U532" s="469" t="n"/>
      <c r="V532" s="469" t="n"/>
      <c r="W532" s="469" t="n"/>
      <c r="X532" s="469" t="n"/>
      <c r="Y532" s="469" t="n"/>
      <c r="Z532" s="469" t="n"/>
      <c r="AA532" s="469" t="n"/>
    </row>
    <row r="533">
      <c r="A533" s="468" t="n"/>
      <c r="B533" s="469" t="n"/>
      <c r="C533" s="469" t="n"/>
      <c r="D533" s="469" t="n"/>
      <c r="E533" s="469" t="n"/>
      <c r="F533" s="469" t="n"/>
      <c r="G533" s="469" t="n"/>
      <c r="H533" s="469" t="n"/>
      <c r="I533" s="469" t="n"/>
      <c r="J533" s="469" t="n"/>
      <c r="K533" s="469" t="n"/>
      <c r="L533" s="469" t="n"/>
      <c r="M533" s="469" t="n"/>
      <c r="N533" s="469" t="n"/>
      <c r="O533" s="469" t="n"/>
      <c r="P533" s="471" t="n"/>
      <c r="Q533" s="469" t="n"/>
      <c r="R533" s="469" t="n"/>
      <c r="S533" s="469" t="n"/>
      <c r="T533" s="469" t="n"/>
      <c r="U533" s="469" t="n"/>
      <c r="V533" s="469" t="n"/>
      <c r="W533" s="469" t="n"/>
      <c r="X533" s="469" t="n"/>
      <c r="Y533" s="469" t="n"/>
      <c r="Z533" s="469" t="n"/>
      <c r="AA533" s="469" t="n"/>
    </row>
    <row r="534">
      <c r="A534" s="468" t="n"/>
      <c r="B534" s="469" t="n"/>
      <c r="C534" s="469" t="n"/>
      <c r="D534" s="469" t="n"/>
      <c r="E534" s="469" t="n"/>
      <c r="F534" s="469" t="n"/>
      <c r="G534" s="469" t="n"/>
      <c r="H534" s="469" t="n"/>
      <c r="I534" s="469" t="n"/>
      <c r="J534" s="469" t="n"/>
      <c r="K534" s="469" t="n"/>
      <c r="L534" s="469" t="n"/>
      <c r="M534" s="469" t="n"/>
      <c r="N534" s="469" t="n"/>
      <c r="O534" s="469" t="n"/>
      <c r="P534" s="471" t="n"/>
      <c r="Q534" s="469" t="n"/>
      <c r="R534" s="469" t="n"/>
      <c r="S534" s="469" t="n"/>
      <c r="T534" s="469" t="n"/>
      <c r="U534" s="469" t="n"/>
      <c r="V534" s="469" t="n"/>
      <c r="W534" s="469" t="n"/>
      <c r="X534" s="469" t="n"/>
      <c r="Y534" s="469" t="n"/>
      <c r="Z534" s="469" t="n"/>
      <c r="AA534" s="469" t="n"/>
    </row>
    <row r="535">
      <c r="A535" s="468" t="n"/>
      <c r="B535" s="469" t="n"/>
      <c r="C535" s="469" t="n"/>
      <c r="D535" s="469" t="n"/>
      <c r="E535" s="469" t="n"/>
      <c r="F535" s="469" t="n"/>
      <c r="G535" s="469" t="n"/>
      <c r="H535" s="469" t="n"/>
      <c r="I535" s="469" t="n"/>
      <c r="J535" s="469" t="n"/>
      <c r="K535" s="469" t="n"/>
      <c r="L535" s="469" t="n"/>
      <c r="M535" s="469" t="n"/>
      <c r="N535" s="469" t="n"/>
      <c r="O535" s="469" t="n"/>
      <c r="P535" s="471" t="n"/>
      <c r="Q535" s="469" t="n"/>
      <c r="R535" s="469" t="n"/>
      <c r="S535" s="469" t="n"/>
      <c r="T535" s="469" t="n"/>
      <c r="U535" s="469" t="n"/>
      <c r="V535" s="469" t="n"/>
      <c r="W535" s="469" t="n"/>
      <c r="X535" s="469" t="n"/>
      <c r="Y535" s="469" t="n"/>
      <c r="Z535" s="469" t="n"/>
      <c r="AA535" s="469" t="n"/>
    </row>
    <row r="536">
      <c r="A536" s="468" t="n"/>
      <c r="B536" s="469" t="n"/>
      <c r="C536" s="469" t="n"/>
      <c r="D536" s="469" t="n"/>
      <c r="E536" s="469" t="n"/>
      <c r="F536" s="469" t="n"/>
      <c r="G536" s="469" t="n"/>
      <c r="H536" s="469" t="n"/>
      <c r="I536" s="469" t="n"/>
      <c r="J536" s="469" t="n"/>
      <c r="K536" s="469" t="n"/>
      <c r="L536" s="469" t="n"/>
      <c r="M536" s="469" t="n"/>
      <c r="N536" s="469" t="n"/>
      <c r="O536" s="469" t="n"/>
      <c r="P536" s="471" t="n"/>
      <c r="Q536" s="469" t="n"/>
      <c r="R536" s="469" t="n"/>
      <c r="S536" s="469" t="n"/>
      <c r="T536" s="469" t="n"/>
      <c r="U536" s="469" t="n"/>
      <c r="V536" s="469" t="n"/>
      <c r="W536" s="469" t="n"/>
      <c r="X536" s="469" t="n"/>
      <c r="Y536" s="469" t="n"/>
      <c r="Z536" s="469" t="n"/>
      <c r="AA536" s="469" t="n"/>
    </row>
    <row r="537">
      <c r="A537" s="468" t="n"/>
      <c r="B537" s="469" t="n"/>
      <c r="C537" s="469" t="n"/>
      <c r="D537" s="469" t="n"/>
      <c r="E537" s="469" t="n"/>
      <c r="F537" s="469" t="n"/>
      <c r="G537" s="469" t="n"/>
      <c r="H537" s="469" t="n"/>
      <c r="I537" s="469" t="n"/>
      <c r="J537" s="469" t="n"/>
      <c r="K537" s="469" t="n"/>
      <c r="L537" s="469" t="n"/>
      <c r="M537" s="469" t="n"/>
      <c r="N537" s="469" t="n"/>
      <c r="O537" s="469" t="n"/>
      <c r="P537" s="471" t="n"/>
      <c r="Q537" s="469" t="n"/>
      <c r="R537" s="469" t="n"/>
      <c r="S537" s="469" t="n"/>
      <c r="T537" s="469" t="n"/>
      <c r="U537" s="469" t="n"/>
      <c r="V537" s="469" t="n"/>
      <c r="W537" s="469" t="n"/>
      <c r="X537" s="469" t="n"/>
      <c r="Y537" s="469" t="n"/>
      <c r="Z537" s="469" t="n"/>
      <c r="AA537" s="469" t="n"/>
    </row>
    <row r="538">
      <c r="A538" s="468" t="n"/>
      <c r="B538" s="469" t="n"/>
      <c r="C538" s="469" t="n"/>
      <c r="D538" s="469" t="n"/>
      <c r="E538" s="469" t="n"/>
      <c r="F538" s="469" t="n"/>
      <c r="G538" s="469" t="n"/>
      <c r="H538" s="469" t="n"/>
      <c r="I538" s="469" t="n"/>
      <c r="J538" s="469" t="n"/>
      <c r="K538" s="469" t="n"/>
      <c r="L538" s="469" t="n"/>
      <c r="M538" s="469" t="n"/>
      <c r="N538" s="469" t="n"/>
      <c r="O538" s="469" t="n"/>
      <c r="P538" s="471" t="n"/>
      <c r="Q538" s="469" t="n"/>
      <c r="R538" s="469" t="n"/>
      <c r="S538" s="469" t="n"/>
      <c r="T538" s="469" t="n"/>
      <c r="U538" s="469" t="n"/>
      <c r="V538" s="469" t="n"/>
      <c r="W538" s="469" t="n"/>
      <c r="X538" s="469" t="n"/>
      <c r="Y538" s="469" t="n"/>
      <c r="Z538" s="469" t="n"/>
      <c r="AA538" s="469" t="n"/>
    </row>
    <row r="539">
      <c r="A539" s="468" t="n"/>
      <c r="B539" s="469" t="n"/>
      <c r="C539" s="469" t="n"/>
      <c r="D539" s="469" t="n"/>
      <c r="E539" s="469" t="n"/>
      <c r="F539" s="469" t="n"/>
      <c r="G539" s="469" t="n"/>
      <c r="H539" s="469" t="n"/>
      <c r="I539" s="469" t="n"/>
      <c r="J539" s="469" t="n"/>
      <c r="K539" s="469" t="n"/>
      <c r="L539" s="469" t="n"/>
      <c r="M539" s="469" t="n"/>
      <c r="N539" s="469" t="n"/>
      <c r="O539" s="469" t="n"/>
      <c r="P539" s="471" t="n"/>
      <c r="Q539" s="469" t="n"/>
      <c r="R539" s="469" t="n"/>
      <c r="S539" s="469" t="n"/>
      <c r="T539" s="469" t="n"/>
      <c r="U539" s="469" t="n"/>
      <c r="V539" s="469" t="n"/>
      <c r="W539" s="469" t="n"/>
      <c r="X539" s="469" t="n"/>
      <c r="Y539" s="469" t="n"/>
      <c r="Z539" s="469" t="n"/>
      <c r="AA539" s="469" t="n"/>
    </row>
    <row r="540">
      <c r="A540" s="468" t="n"/>
      <c r="B540" s="469" t="n"/>
      <c r="C540" s="469" t="n"/>
      <c r="D540" s="469" t="n"/>
      <c r="E540" s="469" t="n"/>
      <c r="F540" s="469" t="n"/>
      <c r="G540" s="469" t="n"/>
      <c r="H540" s="469" t="n"/>
      <c r="I540" s="469" t="n"/>
      <c r="J540" s="469" t="n"/>
      <c r="K540" s="469" t="n"/>
      <c r="L540" s="469" t="n"/>
      <c r="M540" s="469" t="n"/>
      <c r="N540" s="469" t="n"/>
      <c r="O540" s="469" t="n"/>
      <c r="P540" s="471" t="n"/>
      <c r="Q540" s="469" t="n"/>
      <c r="R540" s="469" t="n"/>
      <c r="S540" s="469" t="n"/>
      <c r="T540" s="469" t="n"/>
      <c r="U540" s="469" t="n"/>
      <c r="V540" s="469" t="n"/>
      <c r="W540" s="469" t="n"/>
      <c r="X540" s="469" t="n"/>
      <c r="Y540" s="469" t="n"/>
      <c r="Z540" s="469" t="n"/>
      <c r="AA540" s="469" t="n"/>
    </row>
    <row r="541">
      <c r="A541" s="468" t="n"/>
      <c r="B541" s="469" t="n"/>
      <c r="C541" s="469" t="n"/>
      <c r="D541" s="469" t="n"/>
      <c r="E541" s="469" t="n"/>
      <c r="F541" s="469" t="n"/>
      <c r="G541" s="469" t="n"/>
      <c r="H541" s="469" t="n"/>
      <c r="I541" s="469" t="n"/>
      <c r="J541" s="469" t="n"/>
      <c r="K541" s="469" t="n"/>
      <c r="L541" s="469" t="n"/>
      <c r="M541" s="469" t="n"/>
      <c r="N541" s="469" t="n"/>
      <c r="O541" s="469" t="n"/>
      <c r="P541" s="471" t="n"/>
      <c r="Q541" s="469" t="n"/>
      <c r="R541" s="469" t="n"/>
      <c r="S541" s="469" t="n"/>
      <c r="T541" s="469" t="n"/>
      <c r="U541" s="469" t="n"/>
      <c r="V541" s="469" t="n"/>
      <c r="W541" s="469" t="n"/>
      <c r="X541" s="469" t="n"/>
      <c r="Y541" s="469" t="n"/>
      <c r="Z541" s="469" t="n"/>
      <c r="AA541" s="469" t="n"/>
    </row>
    <row r="542">
      <c r="A542" s="468" t="n"/>
      <c r="B542" s="469" t="n"/>
      <c r="C542" s="469" t="n"/>
      <c r="D542" s="469" t="n"/>
      <c r="E542" s="469" t="n"/>
      <c r="F542" s="469" t="n"/>
      <c r="G542" s="469" t="n"/>
      <c r="H542" s="469" t="n"/>
      <c r="I542" s="469" t="n"/>
      <c r="J542" s="469" t="n"/>
      <c r="K542" s="469" t="n"/>
      <c r="L542" s="469" t="n"/>
      <c r="M542" s="469" t="n"/>
      <c r="N542" s="469" t="n"/>
      <c r="O542" s="469" t="n"/>
      <c r="P542" s="471" t="n"/>
      <c r="Q542" s="469" t="n"/>
      <c r="R542" s="469" t="n"/>
      <c r="S542" s="469" t="n"/>
      <c r="T542" s="469" t="n"/>
      <c r="U542" s="469" t="n"/>
      <c r="V542" s="469" t="n"/>
      <c r="W542" s="469" t="n"/>
      <c r="X542" s="469" t="n"/>
      <c r="Y542" s="469" t="n"/>
      <c r="Z542" s="469" t="n"/>
      <c r="AA542" s="469" t="n"/>
    </row>
    <row r="543">
      <c r="A543" s="468" t="n"/>
      <c r="B543" s="469" t="n"/>
      <c r="C543" s="469" t="n"/>
      <c r="D543" s="469" t="n"/>
      <c r="E543" s="469" t="n"/>
      <c r="F543" s="469" t="n"/>
      <c r="G543" s="469" t="n"/>
      <c r="H543" s="469" t="n"/>
      <c r="I543" s="469" t="n"/>
      <c r="J543" s="469" t="n"/>
      <c r="K543" s="469" t="n"/>
      <c r="L543" s="469" t="n"/>
      <c r="M543" s="469" t="n"/>
      <c r="N543" s="469" t="n"/>
      <c r="O543" s="469" t="n"/>
      <c r="P543" s="471" t="n"/>
      <c r="Q543" s="469" t="n"/>
      <c r="R543" s="469" t="n"/>
      <c r="S543" s="469" t="n"/>
      <c r="T543" s="469" t="n"/>
      <c r="U543" s="469" t="n"/>
      <c r="V543" s="469" t="n"/>
      <c r="W543" s="469" t="n"/>
      <c r="X543" s="469" t="n"/>
      <c r="Y543" s="469" t="n"/>
      <c r="Z543" s="469" t="n"/>
      <c r="AA543" s="469" t="n"/>
    </row>
    <row r="544">
      <c r="A544" s="468" t="n"/>
      <c r="B544" s="469" t="n"/>
      <c r="C544" s="469" t="n"/>
      <c r="D544" s="469" t="n"/>
      <c r="E544" s="469" t="n"/>
      <c r="F544" s="469" t="n"/>
      <c r="G544" s="469" t="n"/>
      <c r="H544" s="469" t="n"/>
      <c r="I544" s="469" t="n"/>
      <c r="J544" s="469" t="n"/>
      <c r="K544" s="469" t="n"/>
      <c r="L544" s="469" t="n"/>
      <c r="M544" s="469" t="n"/>
      <c r="N544" s="469" t="n"/>
      <c r="O544" s="469" t="n"/>
      <c r="P544" s="471" t="n"/>
      <c r="Q544" s="469" t="n"/>
      <c r="R544" s="469" t="n"/>
      <c r="S544" s="469" t="n"/>
      <c r="T544" s="469" t="n"/>
      <c r="U544" s="469" t="n"/>
      <c r="V544" s="469" t="n"/>
      <c r="W544" s="469" t="n"/>
      <c r="X544" s="469" t="n"/>
      <c r="Y544" s="469" t="n"/>
      <c r="Z544" s="469" t="n"/>
      <c r="AA544" s="469" t="n"/>
    </row>
    <row r="545">
      <c r="A545" s="468" t="n"/>
      <c r="B545" s="469" t="n"/>
      <c r="C545" s="469" t="n"/>
      <c r="D545" s="469" t="n"/>
      <c r="E545" s="469" t="n"/>
      <c r="F545" s="469" t="n"/>
      <c r="G545" s="469" t="n"/>
      <c r="H545" s="469" t="n"/>
      <c r="I545" s="469" t="n"/>
      <c r="J545" s="469" t="n"/>
      <c r="K545" s="469" t="n"/>
      <c r="L545" s="469" t="n"/>
      <c r="M545" s="469" t="n"/>
      <c r="N545" s="469" t="n"/>
      <c r="O545" s="469" t="n"/>
      <c r="P545" s="471" t="n"/>
      <c r="Q545" s="469" t="n"/>
      <c r="R545" s="469" t="n"/>
      <c r="S545" s="469" t="n"/>
      <c r="T545" s="469" t="n"/>
      <c r="U545" s="469" t="n"/>
      <c r="V545" s="469" t="n"/>
      <c r="W545" s="469" t="n"/>
      <c r="X545" s="469" t="n"/>
      <c r="Y545" s="469" t="n"/>
      <c r="Z545" s="469" t="n"/>
      <c r="AA545" s="469" t="n"/>
    </row>
    <row r="546">
      <c r="A546" s="468" t="n"/>
      <c r="B546" s="469" t="n"/>
      <c r="C546" s="469" t="n"/>
      <c r="D546" s="469" t="n"/>
      <c r="E546" s="469" t="n"/>
      <c r="F546" s="469" t="n"/>
      <c r="G546" s="469" t="n"/>
      <c r="H546" s="469" t="n"/>
      <c r="I546" s="469" t="n"/>
      <c r="J546" s="469" t="n"/>
      <c r="K546" s="469" t="n"/>
      <c r="L546" s="469" t="n"/>
      <c r="M546" s="469" t="n"/>
      <c r="N546" s="469" t="n"/>
      <c r="O546" s="469" t="n"/>
      <c r="P546" s="471" t="n"/>
      <c r="Q546" s="469" t="n"/>
      <c r="R546" s="469" t="n"/>
      <c r="S546" s="469" t="n"/>
      <c r="T546" s="469" t="n"/>
      <c r="U546" s="469" t="n"/>
      <c r="V546" s="469" t="n"/>
      <c r="W546" s="469" t="n"/>
      <c r="X546" s="469" t="n"/>
      <c r="Y546" s="469" t="n"/>
      <c r="Z546" s="469" t="n"/>
      <c r="AA546" s="469" t="n"/>
    </row>
    <row r="547">
      <c r="A547" s="468" t="n"/>
      <c r="B547" s="469" t="n"/>
      <c r="C547" s="469" t="n"/>
      <c r="D547" s="469" t="n"/>
      <c r="E547" s="469" t="n"/>
      <c r="F547" s="469" t="n"/>
      <c r="G547" s="469" t="n"/>
      <c r="H547" s="469" t="n"/>
      <c r="I547" s="469" t="n"/>
      <c r="J547" s="469" t="n"/>
      <c r="K547" s="469" t="n"/>
      <c r="L547" s="469" t="n"/>
      <c r="M547" s="469" t="n"/>
      <c r="N547" s="469" t="n"/>
      <c r="O547" s="469" t="n"/>
      <c r="P547" s="471" t="n"/>
      <c r="Q547" s="469" t="n"/>
      <c r="R547" s="469" t="n"/>
      <c r="S547" s="469" t="n"/>
      <c r="T547" s="469" t="n"/>
      <c r="U547" s="469" t="n"/>
      <c r="V547" s="469" t="n"/>
      <c r="W547" s="469" t="n"/>
      <c r="X547" s="469" t="n"/>
      <c r="Y547" s="469" t="n"/>
      <c r="Z547" s="469" t="n"/>
      <c r="AA547" s="469" t="n"/>
    </row>
    <row r="548">
      <c r="A548" s="468" t="n"/>
      <c r="B548" s="469" t="n"/>
      <c r="C548" s="469" t="n"/>
      <c r="D548" s="469" t="n"/>
      <c r="E548" s="469" t="n"/>
      <c r="F548" s="469" t="n"/>
      <c r="G548" s="469" t="n"/>
      <c r="H548" s="469" t="n"/>
      <c r="I548" s="469" t="n"/>
      <c r="J548" s="469" t="n"/>
      <c r="K548" s="469" t="n"/>
      <c r="L548" s="469" t="n"/>
      <c r="M548" s="469" t="n"/>
      <c r="N548" s="469" t="n"/>
      <c r="O548" s="469" t="n"/>
      <c r="P548" s="471" t="n"/>
      <c r="Q548" s="469" t="n"/>
      <c r="R548" s="469" t="n"/>
      <c r="S548" s="469" t="n"/>
      <c r="T548" s="469" t="n"/>
      <c r="U548" s="469" t="n"/>
      <c r="V548" s="469" t="n"/>
      <c r="W548" s="469" t="n"/>
      <c r="X548" s="469" t="n"/>
      <c r="Y548" s="469" t="n"/>
      <c r="Z548" s="469" t="n"/>
      <c r="AA548" s="469" t="n"/>
    </row>
    <row r="549">
      <c r="A549" s="468" t="n"/>
      <c r="B549" s="469" t="n"/>
      <c r="C549" s="469" t="n"/>
      <c r="D549" s="469" t="n"/>
      <c r="E549" s="469" t="n"/>
      <c r="F549" s="469" t="n"/>
      <c r="G549" s="469" t="n"/>
      <c r="H549" s="469" t="n"/>
      <c r="I549" s="469" t="n"/>
      <c r="J549" s="469" t="n"/>
      <c r="K549" s="469" t="n"/>
      <c r="L549" s="469" t="n"/>
      <c r="M549" s="469" t="n"/>
      <c r="N549" s="469" t="n"/>
      <c r="O549" s="469" t="n"/>
      <c r="P549" s="471" t="n"/>
      <c r="Q549" s="469" t="n"/>
      <c r="R549" s="469" t="n"/>
      <c r="S549" s="469" t="n"/>
      <c r="T549" s="469" t="n"/>
      <c r="U549" s="469" t="n"/>
      <c r="V549" s="469" t="n"/>
      <c r="W549" s="469" t="n"/>
      <c r="X549" s="469" t="n"/>
      <c r="Y549" s="469" t="n"/>
      <c r="Z549" s="469" t="n"/>
      <c r="AA549" s="469" t="n"/>
    </row>
    <row r="550">
      <c r="A550" s="468" t="n"/>
      <c r="B550" s="469" t="n"/>
      <c r="C550" s="469" t="n"/>
      <c r="D550" s="469" t="n"/>
      <c r="E550" s="469" t="n"/>
      <c r="F550" s="469" t="n"/>
      <c r="G550" s="469" t="n"/>
      <c r="H550" s="469" t="n"/>
      <c r="I550" s="469" t="n"/>
      <c r="J550" s="469" t="n"/>
      <c r="K550" s="469" t="n"/>
      <c r="L550" s="469" t="n"/>
      <c r="M550" s="469" t="n"/>
      <c r="N550" s="469" t="n"/>
      <c r="O550" s="469" t="n"/>
      <c r="P550" s="471" t="n"/>
      <c r="Q550" s="469" t="n"/>
      <c r="R550" s="469" t="n"/>
      <c r="S550" s="469" t="n"/>
      <c r="T550" s="469" t="n"/>
      <c r="U550" s="469" t="n"/>
      <c r="V550" s="469" t="n"/>
      <c r="W550" s="469" t="n"/>
      <c r="X550" s="469" t="n"/>
      <c r="Y550" s="469" t="n"/>
      <c r="Z550" s="469" t="n"/>
      <c r="AA550" s="469" t="n"/>
    </row>
    <row r="551">
      <c r="A551" s="468" t="n"/>
      <c r="B551" s="469" t="n"/>
      <c r="C551" s="469" t="n"/>
      <c r="D551" s="469" t="n"/>
      <c r="E551" s="469" t="n"/>
      <c r="F551" s="469" t="n"/>
      <c r="G551" s="469" t="n"/>
      <c r="H551" s="469" t="n"/>
      <c r="I551" s="469" t="n"/>
      <c r="J551" s="469" t="n"/>
      <c r="K551" s="469" t="n"/>
      <c r="L551" s="469" t="n"/>
      <c r="M551" s="469" t="n"/>
      <c r="N551" s="469" t="n"/>
      <c r="O551" s="469" t="n"/>
      <c r="P551" s="471" t="n"/>
      <c r="Q551" s="469" t="n"/>
      <c r="R551" s="469" t="n"/>
      <c r="S551" s="469" t="n"/>
      <c r="T551" s="469" t="n"/>
      <c r="U551" s="469" t="n"/>
      <c r="V551" s="469" t="n"/>
      <c r="W551" s="469" t="n"/>
      <c r="X551" s="469" t="n"/>
      <c r="Y551" s="469" t="n"/>
      <c r="Z551" s="469" t="n"/>
      <c r="AA551" s="469" t="n"/>
    </row>
    <row r="552">
      <c r="A552" s="468" t="n"/>
      <c r="B552" s="469" t="n"/>
      <c r="C552" s="469" t="n"/>
      <c r="D552" s="469" t="n"/>
      <c r="E552" s="469" t="n"/>
      <c r="F552" s="469" t="n"/>
      <c r="G552" s="469" t="n"/>
      <c r="H552" s="469" t="n"/>
      <c r="I552" s="469" t="n"/>
      <c r="J552" s="469" t="n"/>
      <c r="K552" s="469" t="n"/>
      <c r="L552" s="469" t="n"/>
      <c r="M552" s="469" t="n"/>
      <c r="N552" s="469" t="n"/>
      <c r="O552" s="469" t="n"/>
      <c r="P552" s="471" t="n"/>
      <c r="Q552" s="469" t="n"/>
      <c r="R552" s="469" t="n"/>
      <c r="S552" s="469" t="n"/>
      <c r="T552" s="469" t="n"/>
      <c r="U552" s="469" t="n"/>
      <c r="V552" s="469" t="n"/>
      <c r="W552" s="469" t="n"/>
      <c r="X552" s="469" t="n"/>
      <c r="Y552" s="469" t="n"/>
      <c r="Z552" s="469" t="n"/>
      <c r="AA552" s="469" t="n"/>
    </row>
    <row r="553">
      <c r="A553" s="468" t="n"/>
      <c r="B553" s="469" t="n"/>
      <c r="C553" s="469" t="n"/>
      <c r="D553" s="469" t="n"/>
      <c r="E553" s="469" t="n"/>
      <c r="F553" s="469" t="n"/>
      <c r="G553" s="469" t="n"/>
      <c r="H553" s="469" t="n"/>
      <c r="I553" s="469" t="n"/>
      <c r="J553" s="469" t="n"/>
      <c r="K553" s="469" t="n"/>
      <c r="L553" s="469" t="n"/>
      <c r="M553" s="469" t="n"/>
      <c r="N553" s="469" t="n"/>
      <c r="O553" s="469" t="n"/>
      <c r="P553" s="471" t="n"/>
      <c r="Q553" s="469" t="n"/>
      <c r="R553" s="469" t="n"/>
      <c r="S553" s="469" t="n"/>
      <c r="T553" s="469" t="n"/>
      <c r="U553" s="469" t="n"/>
      <c r="V553" s="469" t="n"/>
      <c r="W553" s="469" t="n"/>
      <c r="X553" s="469" t="n"/>
      <c r="Y553" s="469" t="n"/>
      <c r="Z553" s="469" t="n"/>
      <c r="AA553" s="469" t="n"/>
    </row>
    <row r="554">
      <c r="A554" s="468" t="n"/>
      <c r="B554" s="469" t="n"/>
      <c r="C554" s="469" t="n"/>
      <c r="D554" s="469" t="n"/>
      <c r="E554" s="469" t="n"/>
      <c r="F554" s="469" t="n"/>
      <c r="G554" s="469" t="n"/>
      <c r="H554" s="469" t="n"/>
      <c r="I554" s="469" t="n"/>
      <c r="J554" s="469" t="n"/>
      <c r="K554" s="469" t="n"/>
      <c r="L554" s="469" t="n"/>
      <c r="M554" s="469" t="n"/>
      <c r="N554" s="469" t="n"/>
      <c r="O554" s="469" t="n"/>
      <c r="P554" s="471" t="n"/>
      <c r="Q554" s="469" t="n"/>
      <c r="R554" s="469" t="n"/>
      <c r="S554" s="469" t="n"/>
      <c r="T554" s="469" t="n"/>
      <c r="U554" s="469" t="n"/>
      <c r="V554" s="469" t="n"/>
      <c r="W554" s="469" t="n"/>
      <c r="X554" s="469" t="n"/>
      <c r="Y554" s="469" t="n"/>
      <c r="Z554" s="469" t="n"/>
      <c r="AA554" s="469" t="n"/>
    </row>
    <row r="555">
      <c r="A555" s="468" t="n"/>
      <c r="B555" s="469" t="n"/>
      <c r="C555" s="469" t="n"/>
      <c r="D555" s="469" t="n"/>
      <c r="E555" s="469" t="n"/>
      <c r="F555" s="469" t="n"/>
      <c r="G555" s="469" t="n"/>
      <c r="H555" s="469" t="n"/>
      <c r="I555" s="469" t="n"/>
      <c r="J555" s="469" t="n"/>
      <c r="K555" s="469" t="n"/>
      <c r="L555" s="469" t="n"/>
      <c r="M555" s="469" t="n"/>
      <c r="N555" s="469" t="n"/>
      <c r="O555" s="469" t="n"/>
      <c r="P555" s="471" t="n"/>
      <c r="Q555" s="469" t="n"/>
      <c r="R555" s="469" t="n"/>
      <c r="S555" s="469" t="n"/>
      <c r="T555" s="469" t="n"/>
      <c r="U555" s="469" t="n"/>
      <c r="V555" s="469" t="n"/>
      <c r="W555" s="469" t="n"/>
      <c r="X555" s="469" t="n"/>
      <c r="Y555" s="469" t="n"/>
      <c r="Z555" s="469" t="n"/>
      <c r="AA555" s="469" t="n"/>
    </row>
    <row r="556">
      <c r="A556" s="468" t="n"/>
      <c r="B556" s="469" t="n"/>
      <c r="C556" s="469" t="n"/>
      <c r="D556" s="469" t="n"/>
      <c r="E556" s="469" t="n"/>
      <c r="F556" s="469" t="n"/>
      <c r="G556" s="469" t="n"/>
      <c r="H556" s="469" t="n"/>
      <c r="I556" s="469" t="n"/>
      <c r="J556" s="469" t="n"/>
      <c r="K556" s="469" t="n"/>
      <c r="L556" s="469" t="n"/>
      <c r="M556" s="469" t="n"/>
      <c r="N556" s="469" t="n"/>
      <c r="O556" s="469" t="n"/>
      <c r="P556" s="471" t="n"/>
      <c r="Q556" s="469" t="n"/>
      <c r="R556" s="469" t="n"/>
      <c r="S556" s="469" t="n"/>
      <c r="T556" s="469" t="n"/>
      <c r="U556" s="469" t="n"/>
      <c r="V556" s="469" t="n"/>
      <c r="W556" s="469" t="n"/>
      <c r="X556" s="469" t="n"/>
      <c r="Y556" s="469" t="n"/>
      <c r="Z556" s="469" t="n"/>
      <c r="AA556" s="469" t="n"/>
    </row>
    <row r="557">
      <c r="A557" s="468" t="n"/>
      <c r="B557" s="469" t="n"/>
      <c r="C557" s="469" t="n"/>
      <c r="D557" s="469" t="n"/>
      <c r="E557" s="469" t="n"/>
      <c r="F557" s="469" t="n"/>
      <c r="G557" s="469" t="n"/>
      <c r="H557" s="469" t="n"/>
      <c r="I557" s="469" t="n"/>
      <c r="J557" s="469" t="n"/>
      <c r="K557" s="469" t="n"/>
      <c r="L557" s="469" t="n"/>
      <c r="M557" s="469" t="n"/>
      <c r="N557" s="469" t="n"/>
      <c r="O557" s="469" t="n"/>
      <c r="P557" s="471" t="n"/>
      <c r="Q557" s="469" t="n"/>
      <c r="R557" s="469" t="n"/>
      <c r="S557" s="469" t="n"/>
      <c r="T557" s="469" t="n"/>
      <c r="U557" s="469" t="n"/>
      <c r="V557" s="469" t="n"/>
      <c r="W557" s="469" t="n"/>
      <c r="X557" s="469" t="n"/>
      <c r="Y557" s="469" t="n"/>
      <c r="Z557" s="469" t="n"/>
      <c r="AA557" s="469" t="n"/>
    </row>
    <row r="558">
      <c r="A558" s="468" t="n"/>
      <c r="B558" s="469" t="n"/>
      <c r="C558" s="469" t="n"/>
      <c r="D558" s="469" t="n"/>
      <c r="E558" s="469" t="n"/>
      <c r="F558" s="469" t="n"/>
      <c r="G558" s="469" t="n"/>
      <c r="H558" s="469" t="n"/>
      <c r="I558" s="469" t="n"/>
      <c r="J558" s="469" t="n"/>
      <c r="K558" s="469" t="n"/>
      <c r="L558" s="469" t="n"/>
      <c r="M558" s="469" t="n"/>
      <c r="N558" s="469" t="n"/>
      <c r="O558" s="469" t="n"/>
      <c r="P558" s="471" t="n"/>
      <c r="Q558" s="469" t="n"/>
      <c r="R558" s="469" t="n"/>
      <c r="S558" s="469" t="n"/>
      <c r="T558" s="469" t="n"/>
      <c r="U558" s="469" t="n"/>
      <c r="V558" s="469" t="n"/>
      <c r="W558" s="469" t="n"/>
      <c r="X558" s="469" t="n"/>
      <c r="Y558" s="469" t="n"/>
      <c r="Z558" s="469" t="n"/>
      <c r="AA558" s="469" t="n"/>
    </row>
    <row r="559">
      <c r="A559" s="468" t="n"/>
      <c r="B559" s="469" t="n"/>
      <c r="C559" s="469" t="n"/>
      <c r="D559" s="469" t="n"/>
      <c r="E559" s="469" t="n"/>
      <c r="F559" s="469" t="n"/>
      <c r="G559" s="469" t="n"/>
      <c r="H559" s="469" t="n"/>
      <c r="I559" s="469" t="n"/>
      <c r="J559" s="469" t="n"/>
      <c r="K559" s="469" t="n"/>
      <c r="L559" s="469" t="n"/>
      <c r="M559" s="469" t="n"/>
      <c r="N559" s="469" t="n"/>
      <c r="O559" s="469" t="n"/>
      <c r="P559" s="471" t="n"/>
      <c r="Q559" s="469" t="n"/>
      <c r="R559" s="469" t="n"/>
      <c r="S559" s="469" t="n"/>
      <c r="T559" s="469" t="n"/>
      <c r="U559" s="469" t="n"/>
      <c r="V559" s="469" t="n"/>
      <c r="W559" s="469" t="n"/>
      <c r="X559" s="469" t="n"/>
      <c r="Y559" s="469" t="n"/>
      <c r="Z559" s="469" t="n"/>
      <c r="AA559" s="469" t="n"/>
    </row>
    <row r="560">
      <c r="A560" s="468" t="n"/>
      <c r="B560" s="469" t="n"/>
      <c r="C560" s="469" t="n"/>
      <c r="D560" s="469" t="n"/>
      <c r="E560" s="469" t="n"/>
      <c r="F560" s="469" t="n"/>
      <c r="G560" s="469" t="n"/>
      <c r="H560" s="469" t="n"/>
      <c r="I560" s="469" t="n"/>
      <c r="J560" s="469" t="n"/>
      <c r="K560" s="469" t="n"/>
      <c r="L560" s="469" t="n"/>
      <c r="M560" s="469" t="n"/>
      <c r="N560" s="469" t="n"/>
      <c r="O560" s="469" t="n"/>
      <c r="P560" s="471" t="n"/>
      <c r="Q560" s="469" t="n"/>
      <c r="R560" s="469" t="n"/>
      <c r="S560" s="469" t="n"/>
      <c r="T560" s="469" t="n"/>
      <c r="U560" s="469" t="n"/>
      <c r="V560" s="469" t="n"/>
      <c r="W560" s="469" t="n"/>
      <c r="X560" s="469" t="n"/>
      <c r="Y560" s="469" t="n"/>
      <c r="Z560" s="469" t="n"/>
      <c r="AA560" s="469" t="n"/>
    </row>
    <row r="561">
      <c r="A561" s="468" t="n"/>
      <c r="B561" s="469" t="n"/>
      <c r="C561" s="469" t="n"/>
      <c r="D561" s="469" t="n"/>
      <c r="E561" s="469" t="n"/>
      <c r="F561" s="469" t="n"/>
      <c r="G561" s="469" t="n"/>
      <c r="H561" s="469" t="n"/>
      <c r="I561" s="469" t="n"/>
      <c r="J561" s="469" t="n"/>
      <c r="K561" s="469" t="n"/>
      <c r="L561" s="469" t="n"/>
      <c r="M561" s="469" t="n"/>
      <c r="N561" s="469" t="n"/>
      <c r="O561" s="469" t="n"/>
      <c r="P561" s="471" t="n"/>
      <c r="Q561" s="469" t="n"/>
      <c r="R561" s="469" t="n"/>
      <c r="S561" s="469" t="n"/>
      <c r="T561" s="469" t="n"/>
      <c r="U561" s="469" t="n"/>
      <c r="V561" s="469" t="n"/>
      <c r="W561" s="469" t="n"/>
      <c r="X561" s="469" t="n"/>
      <c r="Y561" s="469" t="n"/>
      <c r="Z561" s="469" t="n"/>
      <c r="AA561" s="469" t="n"/>
    </row>
    <row r="562">
      <c r="A562" s="468" t="n"/>
      <c r="B562" s="469" t="n"/>
      <c r="C562" s="469" t="n"/>
      <c r="D562" s="469" t="n"/>
      <c r="E562" s="469" t="n"/>
      <c r="F562" s="469" t="n"/>
      <c r="G562" s="469" t="n"/>
      <c r="H562" s="469" t="n"/>
      <c r="I562" s="469" t="n"/>
      <c r="J562" s="469" t="n"/>
      <c r="K562" s="469" t="n"/>
      <c r="L562" s="469" t="n"/>
      <c r="M562" s="469" t="n"/>
      <c r="N562" s="469" t="n"/>
      <c r="O562" s="469" t="n"/>
      <c r="P562" s="471" t="n"/>
      <c r="Q562" s="469" t="n"/>
      <c r="R562" s="469" t="n"/>
      <c r="S562" s="469" t="n"/>
      <c r="T562" s="469" t="n"/>
      <c r="U562" s="469" t="n"/>
      <c r="V562" s="469" t="n"/>
      <c r="W562" s="469" t="n"/>
      <c r="X562" s="469" t="n"/>
      <c r="Y562" s="469" t="n"/>
      <c r="Z562" s="469" t="n"/>
      <c r="AA562" s="469" t="n"/>
    </row>
    <row r="563">
      <c r="A563" s="468" t="n"/>
      <c r="B563" s="469" t="n"/>
      <c r="C563" s="469" t="n"/>
      <c r="D563" s="469" t="n"/>
      <c r="E563" s="469" t="n"/>
      <c r="F563" s="469" t="n"/>
      <c r="G563" s="469" t="n"/>
      <c r="H563" s="469" t="n"/>
      <c r="I563" s="469" t="n"/>
      <c r="J563" s="469" t="n"/>
      <c r="K563" s="469" t="n"/>
      <c r="L563" s="469" t="n"/>
      <c r="M563" s="469" t="n"/>
      <c r="N563" s="469" t="n"/>
      <c r="O563" s="469" t="n"/>
      <c r="P563" s="471" t="n"/>
      <c r="Q563" s="469" t="n"/>
      <c r="R563" s="469" t="n"/>
      <c r="S563" s="469" t="n"/>
      <c r="T563" s="469" t="n"/>
      <c r="U563" s="469" t="n"/>
      <c r="V563" s="469" t="n"/>
      <c r="W563" s="469" t="n"/>
      <c r="X563" s="469" t="n"/>
      <c r="Y563" s="469" t="n"/>
      <c r="Z563" s="469" t="n"/>
      <c r="AA563" s="469" t="n"/>
    </row>
    <row r="564">
      <c r="A564" s="468" t="n"/>
      <c r="B564" s="469" t="n"/>
      <c r="C564" s="469" t="n"/>
      <c r="D564" s="469" t="n"/>
      <c r="E564" s="469" t="n"/>
      <c r="F564" s="469" t="n"/>
      <c r="G564" s="469" t="n"/>
      <c r="H564" s="469" t="n"/>
      <c r="I564" s="469" t="n"/>
      <c r="J564" s="469" t="n"/>
      <c r="K564" s="469" t="n"/>
      <c r="L564" s="469" t="n"/>
      <c r="M564" s="469" t="n"/>
      <c r="N564" s="469" t="n"/>
      <c r="O564" s="469" t="n"/>
      <c r="P564" s="471" t="n"/>
      <c r="Q564" s="469" t="n"/>
      <c r="R564" s="469" t="n"/>
      <c r="S564" s="469" t="n"/>
      <c r="T564" s="469" t="n"/>
      <c r="U564" s="469" t="n"/>
      <c r="V564" s="469" t="n"/>
      <c r="W564" s="469" t="n"/>
      <c r="X564" s="469" t="n"/>
      <c r="Y564" s="469" t="n"/>
      <c r="Z564" s="469" t="n"/>
      <c r="AA564" s="469" t="n"/>
    </row>
    <row r="565">
      <c r="A565" s="468" t="n"/>
      <c r="B565" s="469" t="n"/>
      <c r="C565" s="469" t="n"/>
      <c r="D565" s="469" t="n"/>
      <c r="E565" s="469" t="n"/>
      <c r="F565" s="469" t="n"/>
      <c r="G565" s="469" t="n"/>
      <c r="H565" s="469" t="n"/>
      <c r="I565" s="469" t="n"/>
      <c r="J565" s="469" t="n"/>
      <c r="K565" s="469" t="n"/>
      <c r="L565" s="469" t="n"/>
      <c r="M565" s="469" t="n"/>
      <c r="N565" s="469" t="n"/>
      <c r="O565" s="469" t="n"/>
      <c r="P565" s="471" t="n"/>
      <c r="Q565" s="469" t="n"/>
      <c r="R565" s="469" t="n"/>
      <c r="S565" s="469" t="n"/>
      <c r="T565" s="469" t="n"/>
      <c r="U565" s="469" t="n"/>
      <c r="V565" s="469" t="n"/>
      <c r="W565" s="469" t="n"/>
      <c r="X565" s="469" t="n"/>
      <c r="Y565" s="469" t="n"/>
      <c r="Z565" s="469" t="n"/>
      <c r="AA565" s="469" t="n"/>
    </row>
    <row r="566">
      <c r="A566" s="468" t="n"/>
      <c r="B566" s="469" t="n"/>
      <c r="C566" s="469" t="n"/>
      <c r="D566" s="469" t="n"/>
      <c r="E566" s="469" t="n"/>
      <c r="F566" s="469" t="n"/>
      <c r="G566" s="469" t="n"/>
      <c r="H566" s="469" t="n"/>
      <c r="I566" s="469" t="n"/>
      <c r="J566" s="469" t="n"/>
      <c r="K566" s="469" t="n"/>
      <c r="L566" s="469" t="n"/>
      <c r="M566" s="469" t="n"/>
      <c r="N566" s="469" t="n"/>
      <c r="O566" s="469" t="n"/>
      <c r="P566" s="471" t="n"/>
      <c r="Q566" s="469" t="n"/>
      <c r="R566" s="469" t="n"/>
      <c r="S566" s="469" t="n"/>
      <c r="T566" s="469" t="n"/>
      <c r="U566" s="469" t="n"/>
      <c r="V566" s="469" t="n"/>
      <c r="W566" s="469" t="n"/>
      <c r="X566" s="469" t="n"/>
      <c r="Y566" s="469" t="n"/>
      <c r="Z566" s="469" t="n"/>
      <c r="AA566" s="469" t="n"/>
    </row>
    <row r="567">
      <c r="A567" s="468" t="n"/>
      <c r="B567" s="469" t="n"/>
      <c r="C567" s="469" t="n"/>
      <c r="D567" s="469" t="n"/>
      <c r="E567" s="469" t="n"/>
      <c r="F567" s="469" t="n"/>
      <c r="G567" s="469" t="n"/>
      <c r="H567" s="469" t="n"/>
      <c r="I567" s="469" t="n"/>
      <c r="J567" s="469" t="n"/>
      <c r="K567" s="469" t="n"/>
      <c r="L567" s="469" t="n"/>
      <c r="M567" s="469" t="n"/>
      <c r="N567" s="469" t="n"/>
      <c r="O567" s="469" t="n"/>
      <c r="P567" s="471" t="n"/>
      <c r="Q567" s="469" t="n"/>
      <c r="R567" s="469" t="n"/>
      <c r="S567" s="469" t="n"/>
      <c r="T567" s="469" t="n"/>
      <c r="U567" s="469" t="n"/>
      <c r="V567" s="469" t="n"/>
      <c r="W567" s="469" t="n"/>
      <c r="X567" s="469" t="n"/>
      <c r="Y567" s="469" t="n"/>
      <c r="Z567" s="469" t="n"/>
      <c r="AA567" s="469" t="n"/>
    </row>
    <row r="568">
      <c r="A568" s="468" t="n"/>
      <c r="B568" s="469" t="n"/>
      <c r="C568" s="469" t="n"/>
      <c r="D568" s="469" t="n"/>
      <c r="E568" s="469" t="n"/>
      <c r="F568" s="469" t="n"/>
      <c r="G568" s="469" t="n"/>
      <c r="H568" s="469" t="n"/>
      <c r="I568" s="469" t="n"/>
      <c r="J568" s="469" t="n"/>
      <c r="K568" s="469" t="n"/>
      <c r="L568" s="469" t="n"/>
      <c r="M568" s="469" t="n"/>
      <c r="N568" s="469" t="n"/>
      <c r="O568" s="469" t="n"/>
      <c r="P568" s="471" t="n"/>
      <c r="Q568" s="469" t="n"/>
      <c r="R568" s="469" t="n"/>
      <c r="S568" s="469" t="n"/>
      <c r="T568" s="469" t="n"/>
      <c r="U568" s="469" t="n"/>
      <c r="V568" s="469" t="n"/>
      <c r="W568" s="469" t="n"/>
      <c r="X568" s="469" t="n"/>
      <c r="Y568" s="469" t="n"/>
      <c r="Z568" s="469" t="n"/>
      <c r="AA568" s="469" t="n"/>
    </row>
    <row r="569">
      <c r="A569" s="468" t="n"/>
      <c r="B569" s="469" t="n"/>
      <c r="C569" s="469" t="n"/>
      <c r="D569" s="469" t="n"/>
      <c r="E569" s="469" t="n"/>
      <c r="F569" s="469" t="n"/>
      <c r="G569" s="469" t="n"/>
      <c r="H569" s="469" t="n"/>
      <c r="I569" s="469" t="n"/>
      <c r="J569" s="469" t="n"/>
      <c r="K569" s="469" t="n"/>
      <c r="L569" s="469" t="n"/>
      <c r="M569" s="469" t="n"/>
      <c r="N569" s="469" t="n"/>
      <c r="O569" s="469" t="n"/>
      <c r="P569" s="471" t="n"/>
      <c r="Q569" s="469" t="n"/>
      <c r="R569" s="469" t="n"/>
      <c r="S569" s="469" t="n"/>
      <c r="T569" s="469" t="n"/>
      <c r="U569" s="469" t="n"/>
      <c r="V569" s="469" t="n"/>
      <c r="W569" s="469" t="n"/>
      <c r="X569" s="469" t="n"/>
      <c r="Y569" s="469" t="n"/>
      <c r="Z569" s="469" t="n"/>
      <c r="AA569" s="469" t="n"/>
    </row>
    <row r="570">
      <c r="A570" s="468" t="n"/>
      <c r="B570" s="469" t="n"/>
      <c r="C570" s="469" t="n"/>
      <c r="D570" s="469" t="n"/>
      <c r="E570" s="469" t="n"/>
      <c r="F570" s="469" t="n"/>
      <c r="G570" s="469" t="n"/>
      <c r="H570" s="469" t="n"/>
      <c r="I570" s="469" t="n"/>
      <c r="J570" s="469" t="n"/>
      <c r="K570" s="469" t="n"/>
      <c r="L570" s="469" t="n"/>
      <c r="M570" s="469" t="n"/>
      <c r="N570" s="469" t="n"/>
      <c r="O570" s="469" t="n"/>
      <c r="P570" s="471" t="n"/>
      <c r="Q570" s="469" t="n"/>
      <c r="R570" s="469" t="n"/>
      <c r="S570" s="469" t="n"/>
      <c r="T570" s="469" t="n"/>
      <c r="U570" s="469" t="n"/>
      <c r="V570" s="469" t="n"/>
      <c r="W570" s="469" t="n"/>
      <c r="X570" s="469" t="n"/>
      <c r="Y570" s="469" t="n"/>
      <c r="Z570" s="469" t="n"/>
      <c r="AA570" s="469" t="n"/>
    </row>
    <row r="571">
      <c r="A571" s="468" t="n"/>
      <c r="B571" s="469" t="n"/>
      <c r="C571" s="469" t="n"/>
      <c r="D571" s="469" t="n"/>
      <c r="E571" s="469" t="n"/>
      <c r="F571" s="469" t="n"/>
      <c r="G571" s="469" t="n"/>
      <c r="H571" s="469" t="n"/>
      <c r="I571" s="469" t="n"/>
      <c r="J571" s="469" t="n"/>
      <c r="K571" s="469" t="n"/>
      <c r="L571" s="469" t="n"/>
      <c r="M571" s="469" t="n"/>
      <c r="N571" s="469" t="n"/>
      <c r="O571" s="469" t="n"/>
      <c r="P571" s="471" t="n"/>
      <c r="Q571" s="469" t="n"/>
      <c r="R571" s="469" t="n"/>
      <c r="S571" s="469" t="n"/>
      <c r="T571" s="469" t="n"/>
      <c r="U571" s="469" t="n"/>
      <c r="V571" s="469" t="n"/>
      <c r="W571" s="469" t="n"/>
      <c r="X571" s="469" t="n"/>
      <c r="Y571" s="469" t="n"/>
      <c r="Z571" s="469" t="n"/>
      <c r="AA571" s="469" t="n"/>
    </row>
    <row r="572">
      <c r="A572" s="468" t="n"/>
      <c r="B572" s="469" t="n"/>
      <c r="C572" s="469" t="n"/>
      <c r="D572" s="469" t="n"/>
      <c r="E572" s="469" t="n"/>
      <c r="F572" s="469" t="n"/>
      <c r="G572" s="469" t="n"/>
      <c r="H572" s="469" t="n"/>
      <c r="I572" s="469" t="n"/>
      <c r="J572" s="469" t="n"/>
      <c r="K572" s="469" t="n"/>
      <c r="L572" s="469" t="n"/>
      <c r="M572" s="469" t="n"/>
      <c r="N572" s="469" t="n"/>
      <c r="O572" s="469" t="n"/>
      <c r="P572" s="471" t="n"/>
      <c r="Q572" s="469" t="n"/>
      <c r="R572" s="469" t="n"/>
      <c r="S572" s="469" t="n"/>
      <c r="T572" s="469" t="n"/>
      <c r="U572" s="469" t="n"/>
      <c r="V572" s="469" t="n"/>
      <c r="W572" s="469" t="n"/>
      <c r="X572" s="469" t="n"/>
      <c r="Y572" s="469" t="n"/>
      <c r="Z572" s="469" t="n"/>
      <c r="AA572" s="469" t="n"/>
    </row>
    <row r="573">
      <c r="A573" s="468" t="n"/>
      <c r="B573" s="469" t="n"/>
      <c r="C573" s="469" t="n"/>
      <c r="D573" s="469" t="n"/>
      <c r="E573" s="469" t="n"/>
      <c r="F573" s="469" t="n"/>
      <c r="G573" s="469" t="n"/>
      <c r="H573" s="469" t="n"/>
      <c r="I573" s="469" t="n"/>
      <c r="J573" s="469" t="n"/>
      <c r="K573" s="469" t="n"/>
      <c r="L573" s="469" t="n"/>
      <c r="M573" s="469" t="n"/>
      <c r="N573" s="469" t="n"/>
      <c r="O573" s="469" t="n"/>
      <c r="P573" s="471" t="n"/>
      <c r="Q573" s="469" t="n"/>
      <c r="R573" s="469" t="n"/>
      <c r="S573" s="469" t="n"/>
      <c r="T573" s="469" t="n"/>
      <c r="U573" s="469" t="n"/>
      <c r="V573" s="469" t="n"/>
      <c r="W573" s="469" t="n"/>
      <c r="X573" s="469" t="n"/>
      <c r="Y573" s="469" t="n"/>
      <c r="Z573" s="469" t="n"/>
      <c r="AA573" s="469" t="n"/>
    </row>
    <row r="574">
      <c r="A574" s="468" t="n"/>
      <c r="B574" s="469" t="n"/>
      <c r="C574" s="469" t="n"/>
      <c r="D574" s="469" t="n"/>
      <c r="E574" s="469" t="n"/>
      <c r="F574" s="469" t="n"/>
      <c r="G574" s="469" t="n"/>
      <c r="H574" s="469" t="n"/>
      <c r="I574" s="469" t="n"/>
      <c r="J574" s="469" t="n"/>
      <c r="K574" s="469" t="n"/>
      <c r="L574" s="469" t="n"/>
      <c r="M574" s="469" t="n"/>
      <c r="N574" s="469" t="n"/>
      <c r="O574" s="469" t="n"/>
      <c r="P574" s="471" t="n"/>
      <c r="Q574" s="469" t="n"/>
      <c r="R574" s="469" t="n"/>
      <c r="S574" s="469" t="n"/>
      <c r="T574" s="469" t="n"/>
      <c r="U574" s="469" t="n"/>
      <c r="V574" s="469" t="n"/>
      <c r="W574" s="469" t="n"/>
      <c r="X574" s="469" t="n"/>
      <c r="Y574" s="469" t="n"/>
      <c r="Z574" s="469" t="n"/>
      <c r="AA574" s="469" t="n"/>
    </row>
    <row r="575">
      <c r="A575" s="468" t="n"/>
      <c r="B575" s="469" t="n"/>
      <c r="C575" s="469" t="n"/>
      <c r="D575" s="469" t="n"/>
      <c r="E575" s="469" t="n"/>
      <c r="F575" s="469" t="n"/>
      <c r="G575" s="469" t="n"/>
      <c r="H575" s="469" t="n"/>
      <c r="I575" s="469" t="n"/>
      <c r="J575" s="469" t="n"/>
      <c r="K575" s="469" t="n"/>
      <c r="L575" s="469" t="n"/>
      <c r="M575" s="469" t="n"/>
      <c r="N575" s="469" t="n"/>
      <c r="O575" s="469" t="n"/>
      <c r="P575" s="471" t="n"/>
      <c r="Q575" s="469" t="n"/>
      <c r="R575" s="469" t="n"/>
      <c r="S575" s="469" t="n"/>
      <c r="T575" s="469" t="n"/>
      <c r="U575" s="469" t="n"/>
      <c r="V575" s="469" t="n"/>
      <c r="W575" s="469" t="n"/>
      <c r="X575" s="469" t="n"/>
      <c r="Y575" s="469" t="n"/>
      <c r="Z575" s="469" t="n"/>
      <c r="AA575" s="469" t="n"/>
    </row>
    <row r="576">
      <c r="A576" s="468" t="n"/>
      <c r="B576" s="469" t="n"/>
      <c r="C576" s="469" t="n"/>
      <c r="D576" s="469" t="n"/>
      <c r="E576" s="469" t="n"/>
      <c r="F576" s="469" t="n"/>
      <c r="G576" s="469" t="n"/>
      <c r="H576" s="469" t="n"/>
      <c r="I576" s="469" t="n"/>
      <c r="J576" s="469" t="n"/>
      <c r="K576" s="469" t="n"/>
      <c r="L576" s="469" t="n"/>
      <c r="M576" s="469" t="n"/>
      <c r="N576" s="469" t="n"/>
      <c r="O576" s="469" t="n"/>
      <c r="P576" s="471" t="n"/>
      <c r="Q576" s="469" t="n"/>
      <c r="R576" s="469" t="n"/>
      <c r="S576" s="469" t="n"/>
      <c r="T576" s="469" t="n"/>
      <c r="U576" s="469" t="n"/>
      <c r="V576" s="469" t="n"/>
      <c r="W576" s="469" t="n"/>
      <c r="X576" s="469" t="n"/>
      <c r="Y576" s="469" t="n"/>
      <c r="Z576" s="469" t="n"/>
      <c r="AA576" s="469" t="n"/>
    </row>
    <row r="577">
      <c r="A577" s="468" t="n"/>
      <c r="B577" s="469" t="n"/>
      <c r="C577" s="469" t="n"/>
      <c r="D577" s="469" t="n"/>
      <c r="E577" s="469" t="n"/>
      <c r="F577" s="469" t="n"/>
      <c r="G577" s="469" t="n"/>
      <c r="H577" s="469" t="n"/>
      <c r="I577" s="469" t="n"/>
      <c r="J577" s="469" t="n"/>
      <c r="K577" s="469" t="n"/>
      <c r="L577" s="469" t="n"/>
      <c r="M577" s="469" t="n"/>
      <c r="N577" s="469" t="n"/>
      <c r="O577" s="469" t="n"/>
      <c r="P577" s="471" t="n"/>
      <c r="Q577" s="469" t="n"/>
      <c r="R577" s="469" t="n"/>
      <c r="S577" s="469" t="n"/>
      <c r="T577" s="469" t="n"/>
      <c r="U577" s="469" t="n"/>
      <c r="V577" s="469" t="n"/>
      <c r="W577" s="469" t="n"/>
      <c r="X577" s="469" t="n"/>
      <c r="Y577" s="469" t="n"/>
      <c r="Z577" s="469" t="n"/>
      <c r="AA577" s="469" t="n"/>
    </row>
    <row r="578">
      <c r="A578" s="468" t="n"/>
      <c r="B578" s="469" t="n"/>
      <c r="C578" s="469" t="n"/>
      <c r="D578" s="469" t="n"/>
      <c r="E578" s="469" t="n"/>
      <c r="F578" s="469" t="n"/>
      <c r="G578" s="469" t="n"/>
      <c r="H578" s="469" t="n"/>
      <c r="I578" s="469" t="n"/>
      <c r="J578" s="469" t="n"/>
      <c r="K578" s="469" t="n"/>
      <c r="L578" s="469" t="n"/>
      <c r="M578" s="469" t="n"/>
      <c r="N578" s="469" t="n"/>
      <c r="O578" s="469" t="n"/>
      <c r="P578" s="471" t="n"/>
      <c r="Q578" s="469" t="n"/>
      <c r="R578" s="469" t="n"/>
      <c r="S578" s="469" t="n"/>
      <c r="T578" s="469" t="n"/>
      <c r="U578" s="469" t="n"/>
      <c r="V578" s="469" t="n"/>
      <c r="W578" s="469" t="n"/>
      <c r="X578" s="469" t="n"/>
      <c r="Y578" s="469" t="n"/>
      <c r="Z578" s="469" t="n"/>
      <c r="AA578" s="469" t="n"/>
    </row>
    <row r="579">
      <c r="A579" s="468" t="n"/>
      <c r="B579" s="469" t="n"/>
      <c r="C579" s="469" t="n"/>
      <c r="D579" s="469" t="n"/>
      <c r="E579" s="469" t="n"/>
      <c r="F579" s="469" t="n"/>
      <c r="G579" s="469" t="n"/>
      <c r="H579" s="469" t="n"/>
      <c r="I579" s="469" t="n"/>
      <c r="J579" s="469" t="n"/>
      <c r="K579" s="469" t="n"/>
      <c r="L579" s="469" t="n"/>
      <c r="M579" s="469" t="n"/>
      <c r="N579" s="469" t="n"/>
      <c r="O579" s="469" t="n"/>
      <c r="P579" s="471" t="n"/>
      <c r="Q579" s="469" t="n"/>
      <c r="R579" s="469" t="n"/>
      <c r="S579" s="469" t="n"/>
      <c r="T579" s="469" t="n"/>
      <c r="U579" s="469" t="n"/>
      <c r="V579" s="469" t="n"/>
      <c r="W579" s="469" t="n"/>
      <c r="X579" s="469" t="n"/>
      <c r="Y579" s="469" t="n"/>
      <c r="Z579" s="469" t="n"/>
      <c r="AA579" s="469" t="n"/>
    </row>
    <row r="580">
      <c r="A580" s="468" t="n"/>
      <c r="B580" s="469" t="n"/>
      <c r="C580" s="469" t="n"/>
      <c r="D580" s="469" t="n"/>
      <c r="E580" s="469" t="n"/>
      <c r="F580" s="469" t="n"/>
      <c r="G580" s="469" t="n"/>
      <c r="H580" s="469" t="n"/>
      <c r="I580" s="469" t="n"/>
      <c r="J580" s="469" t="n"/>
      <c r="K580" s="469" t="n"/>
      <c r="L580" s="469" t="n"/>
      <c r="M580" s="469" t="n"/>
      <c r="N580" s="469" t="n"/>
      <c r="O580" s="469" t="n"/>
      <c r="P580" s="471" t="n"/>
      <c r="Q580" s="469" t="n"/>
      <c r="R580" s="469" t="n"/>
      <c r="S580" s="469" t="n"/>
      <c r="T580" s="469" t="n"/>
      <c r="U580" s="469" t="n"/>
      <c r="V580" s="469" t="n"/>
      <c r="W580" s="469" t="n"/>
      <c r="X580" s="469" t="n"/>
      <c r="Y580" s="469" t="n"/>
      <c r="Z580" s="469" t="n"/>
      <c r="AA580" s="469" t="n"/>
    </row>
    <row r="581">
      <c r="A581" s="468" t="n"/>
      <c r="B581" s="469" t="n"/>
      <c r="C581" s="469" t="n"/>
      <c r="D581" s="469" t="n"/>
      <c r="E581" s="469" t="n"/>
      <c r="F581" s="469" t="n"/>
      <c r="G581" s="469" t="n"/>
      <c r="H581" s="469" t="n"/>
      <c r="I581" s="469" t="n"/>
      <c r="J581" s="469" t="n"/>
      <c r="K581" s="469" t="n"/>
      <c r="L581" s="469" t="n"/>
      <c r="M581" s="469" t="n"/>
      <c r="N581" s="469" t="n"/>
      <c r="O581" s="469" t="n"/>
      <c r="P581" s="471" t="n"/>
      <c r="Q581" s="469" t="n"/>
      <c r="R581" s="469" t="n"/>
      <c r="S581" s="469" t="n"/>
      <c r="T581" s="469" t="n"/>
      <c r="U581" s="469" t="n"/>
      <c r="V581" s="469" t="n"/>
      <c r="W581" s="469" t="n"/>
      <c r="X581" s="469" t="n"/>
      <c r="Y581" s="469" t="n"/>
      <c r="Z581" s="469" t="n"/>
      <c r="AA581" s="469" t="n"/>
    </row>
    <row r="582">
      <c r="A582" s="468" t="n"/>
      <c r="B582" s="469" t="n"/>
      <c r="C582" s="469" t="n"/>
      <c r="D582" s="469" t="n"/>
      <c r="E582" s="469" t="n"/>
      <c r="F582" s="469" t="n"/>
      <c r="G582" s="469" t="n"/>
      <c r="H582" s="469" t="n"/>
      <c r="I582" s="469" t="n"/>
      <c r="J582" s="469" t="n"/>
      <c r="K582" s="469" t="n"/>
      <c r="L582" s="469" t="n"/>
      <c r="M582" s="469" t="n"/>
      <c r="N582" s="469" t="n"/>
      <c r="O582" s="469" t="n"/>
      <c r="P582" s="471" t="n"/>
      <c r="Q582" s="469" t="n"/>
      <c r="R582" s="469" t="n"/>
      <c r="S582" s="469" t="n"/>
      <c r="T582" s="469" t="n"/>
      <c r="U582" s="469" t="n"/>
      <c r="V582" s="469" t="n"/>
      <c r="W582" s="469" t="n"/>
      <c r="X582" s="469" t="n"/>
      <c r="Y582" s="469" t="n"/>
      <c r="Z582" s="469" t="n"/>
      <c r="AA582" s="469" t="n"/>
    </row>
    <row r="583">
      <c r="A583" s="468" t="n"/>
      <c r="B583" s="469" t="n"/>
      <c r="C583" s="469" t="n"/>
      <c r="D583" s="469" t="n"/>
      <c r="E583" s="469" t="n"/>
      <c r="F583" s="469" t="n"/>
      <c r="G583" s="469" t="n"/>
      <c r="H583" s="469" t="n"/>
      <c r="I583" s="469" t="n"/>
      <c r="J583" s="469" t="n"/>
      <c r="K583" s="469" t="n"/>
      <c r="L583" s="469" t="n"/>
      <c r="M583" s="469" t="n"/>
      <c r="N583" s="469" t="n"/>
      <c r="O583" s="469" t="n"/>
      <c r="P583" s="471" t="n"/>
      <c r="Q583" s="469" t="n"/>
      <c r="R583" s="469" t="n"/>
      <c r="S583" s="469" t="n"/>
      <c r="T583" s="469" t="n"/>
      <c r="U583" s="469" t="n"/>
      <c r="V583" s="469" t="n"/>
      <c r="W583" s="469" t="n"/>
      <c r="X583" s="469" t="n"/>
      <c r="Y583" s="469" t="n"/>
      <c r="Z583" s="469" t="n"/>
      <c r="AA583" s="469" t="n"/>
    </row>
    <row r="584">
      <c r="A584" s="468" t="n"/>
      <c r="B584" s="469" t="n"/>
      <c r="C584" s="469" t="n"/>
      <c r="D584" s="469" t="n"/>
      <c r="E584" s="469" t="n"/>
      <c r="F584" s="469" t="n"/>
      <c r="G584" s="469" t="n"/>
      <c r="H584" s="469" t="n"/>
      <c r="I584" s="469" t="n"/>
      <c r="J584" s="469" t="n"/>
      <c r="K584" s="469" t="n"/>
      <c r="L584" s="469" t="n"/>
      <c r="M584" s="469" t="n"/>
      <c r="N584" s="469" t="n"/>
      <c r="O584" s="469" t="n"/>
      <c r="P584" s="471" t="n"/>
      <c r="Q584" s="469" t="n"/>
      <c r="R584" s="469" t="n"/>
      <c r="S584" s="469" t="n"/>
      <c r="T584" s="469" t="n"/>
      <c r="U584" s="469" t="n"/>
      <c r="V584" s="469" t="n"/>
      <c r="W584" s="469" t="n"/>
      <c r="X584" s="469" t="n"/>
      <c r="Y584" s="469" t="n"/>
      <c r="Z584" s="469" t="n"/>
      <c r="AA584" s="469" t="n"/>
    </row>
    <row r="585">
      <c r="A585" s="468" t="n"/>
      <c r="B585" s="469" t="n"/>
      <c r="C585" s="469" t="n"/>
      <c r="D585" s="469" t="n"/>
      <c r="E585" s="469" t="n"/>
      <c r="F585" s="469" t="n"/>
      <c r="G585" s="469" t="n"/>
      <c r="H585" s="469" t="n"/>
      <c r="I585" s="469" t="n"/>
      <c r="J585" s="469" t="n"/>
      <c r="K585" s="469" t="n"/>
      <c r="L585" s="469" t="n"/>
      <c r="M585" s="469" t="n"/>
      <c r="N585" s="469" t="n"/>
      <c r="O585" s="469" t="n"/>
      <c r="P585" s="471" t="n"/>
      <c r="Q585" s="469" t="n"/>
      <c r="R585" s="469" t="n"/>
      <c r="S585" s="469" t="n"/>
      <c r="T585" s="469" t="n"/>
      <c r="U585" s="469" t="n"/>
      <c r="V585" s="469" t="n"/>
      <c r="W585" s="469" t="n"/>
      <c r="X585" s="469" t="n"/>
      <c r="Y585" s="469" t="n"/>
      <c r="Z585" s="469" t="n"/>
      <c r="AA585" s="469" t="n"/>
    </row>
    <row r="586">
      <c r="A586" s="468" t="n"/>
      <c r="B586" s="469" t="n"/>
      <c r="C586" s="469" t="n"/>
      <c r="D586" s="469" t="n"/>
      <c r="E586" s="469" t="n"/>
      <c r="F586" s="469" t="n"/>
      <c r="G586" s="469" t="n"/>
      <c r="H586" s="469" t="n"/>
      <c r="I586" s="469" t="n"/>
      <c r="J586" s="469" t="n"/>
      <c r="K586" s="469" t="n"/>
      <c r="L586" s="469" t="n"/>
      <c r="M586" s="469" t="n"/>
      <c r="N586" s="469" t="n"/>
      <c r="O586" s="469" t="n"/>
      <c r="P586" s="471" t="n"/>
      <c r="Q586" s="469" t="n"/>
      <c r="R586" s="469" t="n"/>
      <c r="S586" s="469" t="n"/>
      <c r="T586" s="469" t="n"/>
      <c r="U586" s="469" t="n"/>
      <c r="V586" s="469" t="n"/>
      <c r="W586" s="469" t="n"/>
      <c r="X586" s="469" t="n"/>
      <c r="Y586" s="469" t="n"/>
      <c r="Z586" s="469" t="n"/>
      <c r="AA586" s="469" t="n"/>
    </row>
    <row r="587">
      <c r="A587" s="468" t="n"/>
      <c r="B587" s="469" t="n"/>
      <c r="C587" s="469" t="n"/>
      <c r="D587" s="469" t="n"/>
      <c r="E587" s="469" t="n"/>
      <c r="F587" s="469" t="n"/>
      <c r="G587" s="469" t="n"/>
      <c r="H587" s="469" t="n"/>
      <c r="I587" s="469" t="n"/>
      <c r="J587" s="469" t="n"/>
      <c r="K587" s="469" t="n"/>
      <c r="L587" s="469" t="n"/>
      <c r="M587" s="469" t="n"/>
      <c r="N587" s="469" t="n"/>
      <c r="O587" s="469" t="n"/>
      <c r="P587" s="471" t="n"/>
      <c r="Q587" s="469" t="n"/>
      <c r="R587" s="469" t="n"/>
      <c r="S587" s="469" t="n"/>
      <c r="T587" s="469" t="n"/>
      <c r="U587" s="469" t="n"/>
      <c r="V587" s="469" t="n"/>
      <c r="W587" s="469" t="n"/>
      <c r="X587" s="469" t="n"/>
      <c r="Y587" s="469" t="n"/>
      <c r="Z587" s="469" t="n"/>
      <c r="AA587" s="469" t="n"/>
    </row>
    <row r="588">
      <c r="A588" s="468" t="n"/>
      <c r="B588" s="469" t="n"/>
      <c r="C588" s="469" t="n"/>
      <c r="D588" s="469" t="n"/>
      <c r="E588" s="469" t="n"/>
      <c r="F588" s="469" t="n"/>
      <c r="G588" s="469" t="n"/>
      <c r="H588" s="469" t="n"/>
      <c r="I588" s="469" t="n"/>
      <c r="J588" s="469" t="n"/>
      <c r="K588" s="469" t="n"/>
      <c r="L588" s="469" t="n"/>
      <c r="M588" s="469" t="n"/>
      <c r="N588" s="469" t="n"/>
      <c r="O588" s="469" t="n"/>
      <c r="P588" s="471" t="n"/>
      <c r="Q588" s="469" t="n"/>
      <c r="R588" s="469" t="n"/>
      <c r="S588" s="469" t="n"/>
      <c r="T588" s="469" t="n"/>
      <c r="U588" s="469" t="n"/>
      <c r="V588" s="469" t="n"/>
      <c r="W588" s="469" t="n"/>
      <c r="X588" s="469" t="n"/>
      <c r="Y588" s="469" t="n"/>
      <c r="Z588" s="469" t="n"/>
      <c r="AA588" s="469" t="n"/>
    </row>
    <row r="589">
      <c r="A589" s="468" t="n"/>
      <c r="B589" s="469" t="n"/>
      <c r="C589" s="469" t="n"/>
      <c r="D589" s="469" t="n"/>
      <c r="E589" s="469" t="n"/>
      <c r="F589" s="469" t="n"/>
      <c r="G589" s="469" t="n"/>
      <c r="H589" s="469" t="n"/>
      <c r="I589" s="469" t="n"/>
      <c r="J589" s="469" t="n"/>
      <c r="K589" s="469" t="n"/>
      <c r="L589" s="469" t="n"/>
      <c r="M589" s="469" t="n"/>
      <c r="N589" s="469" t="n"/>
      <c r="O589" s="469" t="n"/>
      <c r="P589" s="471" t="n"/>
      <c r="Q589" s="469" t="n"/>
      <c r="R589" s="469" t="n"/>
      <c r="S589" s="469" t="n"/>
      <c r="T589" s="469" t="n"/>
      <c r="U589" s="469" t="n"/>
      <c r="V589" s="469" t="n"/>
      <c r="W589" s="469" t="n"/>
      <c r="X589" s="469" t="n"/>
      <c r="Y589" s="469" t="n"/>
      <c r="Z589" s="469" t="n"/>
      <c r="AA589" s="469" t="n"/>
    </row>
    <row r="590">
      <c r="A590" s="468" t="n"/>
      <c r="B590" s="469" t="n"/>
      <c r="C590" s="469" t="n"/>
      <c r="D590" s="469" t="n"/>
      <c r="E590" s="469" t="n"/>
      <c r="F590" s="469" t="n"/>
      <c r="G590" s="469" t="n"/>
      <c r="H590" s="469" t="n"/>
      <c r="I590" s="469" t="n"/>
      <c r="J590" s="469" t="n"/>
      <c r="K590" s="469" t="n"/>
      <c r="L590" s="469" t="n"/>
      <c r="M590" s="469" t="n"/>
      <c r="N590" s="469" t="n"/>
      <c r="O590" s="469" t="n"/>
      <c r="P590" s="471" t="n"/>
      <c r="Q590" s="469" t="n"/>
      <c r="R590" s="469" t="n"/>
      <c r="S590" s="469" t="n"/>
      <c r="T590" s="469" t="n"/>
      <c r="U590" s="469" t="n"/>
      <c r="V590" s="469" t="n"/>
      <c r="W590" s="469" t="n"/>
      <c r="X590" s="469" t="n"/>
      <c r="Y590" s="469" t="n"/>
      <c r="Z590" s="469" t="n"/>
      <c r="AA590" s="469" t="n"/>
    </row>
    <row r="591">
      <c r="A591" s="468" t="n"/>
      <c r="B591" s="469" t="n"/>
      <c r="C591" s="469" t="n"/>
      <c r="D591" s="469" t="n"/>
      <c r="E591" s="469" t="n"/>
      <c r="F591" s="469" t="n"/>
      <c r="G591" s="469" t="n"/>
      <c r="H591" s="469" t="n"/>
      <c r="I591" s="469" t="n"/>
      <c r="J591" s="469" t="n"/>
      <c r="K591" s="469" t="n"/>
      <c r="L591" s="469" t="n"/>
      <c r="M591" s="469" t="n"/>
      <c r="N591" s="469" t="n"/>
      <c r="O591" s="469" t="n"/>
      <c r="P591" s="471" t="n"/>
      <c r="Q591" s="469" t="n"/>
      <c r="R591" s="469" t="n"/>
      <c r="S591" s="469" t="n"/>
      <c r="T591" s="469" t="n"/>
      <c r="U591" s="469" t="n"/>
      <c r="V591" s="469" t="n"/>
      <c r="W591" s="469" t="n"/>
      <c r="X591" s="469" t="n"/>
      <c r="Y591" s="469" t="n"/>
      <c r="Z591" s="469" t="n"/>
      <c r="AA591" s="469" t="n"/>
    </row>
    <row r="592">
      <c r="A592" s="468" t="n"/>
      <c r="B592" s="469" t="n"/>
      <c r="C592" s="469" t="n"/>
      <c r="D592" s="469" t="n"/>
      <c r="E592" s="469" t="n"/>
      <c r="F592" s="469" t="n"/>
      <c r="G592" s="469" t="n"/>
      <c r="H592" s="469" t="n"/>
      <c r="I592" s="469" t="n"/>
      <c r="J592" s="469" t="n"/>
      <c r="K592" s="469" t="n"/>
      <c r="L592" s="469" t="n"/>
      <c r="M592" s="469" t="n"/>
      <c r="N592" s="469" t="n"/>
      <c r="O592" s="469" t="n"/>
      <c r="P592" s="471" t="n"/>
      <c r="Q592" s="469" t="n"/>
      <c r="R592" s="469" t="n"/>
      <c r="S592" s="469" t="n"/>
      <c r="T592" s="469" t="n"/>
      <c r="U592" s="469" t="n"/>
      <c r="V592" s="469" t="n"/>
      <c r="W592" s="469" t="n"/>
      <c r="X592" s="469" t="n"/>
      <c r="Y592" s="469" t="n"/>
      <c r="Z592" s="469" t="n"/>
      <c r="AA592" s="469" t="n"/>
    </row>
    <row r="593">
      <c r="A593" s="468" t="n"/>
      <c r="B593" s="469" t="n"/>
      <c r="C593" s="469" t="n"/>
      <c r="D593" s="469" t="n"/>
      <c r="E593" s="469" t="n"/>
      <c r="F593" s="469" t="n"/>
      <c r="G593" s="469" t="n"/>
      <c r="H593" s="469" t="n"/>
      <c r="I593" s="469" t="n"/>
      <c r="J593" s="469" t="n"/>
      <c r="K593" s="469" t="n"/>
      <c r="L593" s="469" t="n"/>
      <c r="M593" s="469" t="n"/>
      <c r="N593" s="469" t="n"/>
      <c r="O593" s="469" t="n"/>
      <c r="P593" s="471" t="n"/>
      <c r="Q593" s="469" t="n"/>
      <c r="R593" s="469" t="n"/>
      <c r="S593" s="469" t="n"/>
      <c r="T593" s="469" t="n"/>
      <c r="U593" s="469" t="n"/>
      <c r="V593" s="469" t="n"/>
      <c r="W593" s="469" t="n"/>
      <c r="X593" s="469" t="n"/>
      <c r="Y593" s="469" t="n"/>
      <c r="Z593" s="469" t="n"/>
      <c r="AA593" s="469" t="n"/>
    </row>
    <row r="594">
      <c r="A594" s="468" t="n"/>
      <c r="B594" s="469" t="n"/>
      <c r="C594" s="469" t="n"/>
      <c r="D594" s="469" t="n"/>
      <c r="E594" s="469" t="n"/>
      <c r="F594" s="469" t="n"/>
      <c r="G594" s="469" t="n"/>
      <c r="H594" s="469" t="n"/>
      <c r="I594" s="469" t="n"/>
      <c r="J594" s="469" t="n"/>
      <c r="K594" s="469" t="n"/>
      <c r="L594" s="469" t="n"/>
      <c r="M594" s="469" t="n"/>
      <c r="N594" s="469" t="n"/>
      <c r="O594" s="469" t="n"/>
      <c r="P594" s="471" t="n"/>
      <c r="Q594" s="469" t="n"/>
      <c r="R594" s="469" t="n"/>
      <c r="S594" s="469" t="n"/>
      <c r="T594" s="469" t="n"/>
      <c r="U594" s="469" t="n"/>
      <c r="V594" s="469" t="n"/>
      <c r="W594" s="469" t="n"/>
      <c r="X594" s="469" t="n"/>
      <c r="Y594" s="469" t="n"/>
      <c r="Z594" s="469" t="n"/>
      <c r="AA594" s="469" t="n"/>
    </row>
    <row r="595">
      <c r="A595" s="468" t="n"/>
      <c r="B595" s="469" t="n"/>
      <c r="C595" s="469" t="n"/>
      <c r="D595" s="469" t="n"/>
      <c r="E595" s="469" t="n"/>
      <c r="F595" s="469" t="n"/>
      <c r="G595" s="469" t="n"/>
      <c r="H595" s="469" t="n"/>
      <c r="I595" s="469" t="n"/>
      <c r="J595" s="469" t="n"/>
      <c r="K595" s="469" t="n"/>
      <c r="L595" s="469" t="n"/>
      <c r="M595" s="469" t="n"/>
      <c r="N595" s="469" t="n"/>
      <c r="O595" s="469" t="n"/>
      <c r="P595" s="471" t="n"/>
      <c r="Q595" s="469" t="n"/>
      <c r="R595" s="469" t="n"/>
      <c r="S595" s="469" t="n"/>
      <c r="T595" s="469" t="n"/>
      <c r="U595" s="469" t="n"/>
      <c r="V595" s="469" t="n"/>
      <c r="W595" s="469" t="n"/>
      <c r="X595" s="469" t="n"/>
      <c r="Y595" s="469" t="n"/>
      <c r="Z595" s="469" t="n"/>
      <c r="AA595" s="469" t="n"/>
    </row>
    <row r="596">
      <c r="A596" s="468" t="n"/>
      <c r="B596" s="469" t="n"/>
      <c r="C596" s="469" t="n"/>
      <c r="D596" s="469" t="n"/>
      <c r="E596" s="469" t="n"/>
      <c r="F596" s="469" t="n"/>
      <c r="G596" s="469" t="n"/>
      <c r="H596" s="469" t="n"/>
      <c r="I596" s="469" t="n"/>
      <c r="J596" s="469" t="n"/>
      <c r="K596" s="469" t="n"/>
      <c r="L596" s="469" t="n"/>
      <c r="M596" s="469" t="n"/>
      <c r="N596" s="469" t="n"/>
      <c r="O596" s="469" t="n"/>
      <c r="P596" s="471" t="n"/>
      <c r="Q596" s="469" t="n"/>
      <c r="R596" s="469" t="n"/>
      <c r="S596" s="469" t="n"/>
      <c r="T596" s="469" t="n"/>
      <c r="U596" s="469" t="n"/>
      <c r="V596" s="469" t="n"/>
      <c r="W596" s="469" t="n"/>
      <c r="X596" s="469" t="n"/>
      <c r="Y596" s="469" t="n"/>
      <c r="Z596" s="469" t="n"/>
      <c r="AA596" s="469" t="n"/>
    </row>
    <row r="597">
      <c r="A597" s="468" t="n"/>
      <c r="B597" s="469" t="n"/>
      <c r="C597" s="469" t="n"/>
      <c r="D597" s="469" t="n"/>
      <c r="E597" s="469" t="n"/>
      <c r="F597" s="469" t="n"/>
      <c r="G597" s="469" t="n"/>
      <c r="H597" s="469" t="n"/>
      <c r="I597" s="469" t="n"/>
      <c r="J597" s="469" t="n"/>
      <c r="K597" s="469" t="n"/>
      <c r="L597" s="469" t="n"/>
      <c r="M597" s="469" t="n"/>
      <c r="N597" s="469" t="n"/>
      <c r="O597" s="469" t="n"/>
      <c r="P597" s="471" t="n"/>
      <c r="Q597" s="469" t="n"/>
      <c r="R597" s="469" t="n"/>
      <c r="S597" s="469" t="n"/>
      <c r="T597" s="469" t="n"/>
      <c r="U597" s="469" t="n"/>
      <c r="V597" s="469" t="n"/>
      <c r="W597" s="469" t="n"/>
      <c r="X597" s="469" t="n"/>
      <c r="Y597" s="469" t="n"/>
      <c r="Z597" s="469" t="n"/>
      <c r="AA597" s="469" t="n"/>
    </row>
    <row r="598">
      <c r="A598" s="468" t="n"/>
      <c r="B598" s="469" t="n"/>
      <c r="C598" s="469" t="n"/>
      <c r="D598" s="469" t="n"/>
      <c r="E598" s="469" t="n"/>
      <c r="F598" s="469" t="n"/>
      <c r="G598" s="469" t="n"/>
      <c r="H598" s="469" t="n"/>
      <c r="I598" s="469" t="n"/>
      <c r="J598" s="469" t="n"/>
      <c r="K598" s="469" t="n"/>
      <c r="L598" s="469" t="n"/>
      <c r="M598" s="469" t="n"/>
      <c r="N598" s="469" t="n"/>
      <c r="O598" s="469" t="n"/>
      <c r="P598" s="471" t="n"/>
      <c r="Q598" s="469" t="n"/>
      <c r="R598" s="469" t="n"/>
      <c r="S598" s="469" t="n"/>
      <c r="T598" s="469" t="n"/>
      <c r="U598" s="469" t="n"/>
      <c r="V598" s="469" t="n"/>
      <c r="W598" s="469" t="n"/>
      <c r="X598" s="469" t="n"/>
      <c r="Y598" s="469" t="n"/>
      <c r="Z598" s="469" t="n"/>
      <c r="AA598" s="469" t="n"/>
    </row>
    <row r="599">
      <c r="A599" s="468" t="n"/>
      <c r="B599" s="469" t="n"/>
      <c r="C599" s="469" t="n"/>
      <c r="D599" s="469" t="n"/>
      <c r="E599" s="469" t="n"/>
      <c r="F599" s="469" t="n"/>
      <c r="G599" s="469" t="n"/>
      <c r="H599" s="469" t="n"/>
      <c r="I599" s="469" t="n"/>
      <c r="J599" s="469" t="n"/>
      <c r="K599" s="469" t="n"/>
      <c r="L599" s="469" t="n"/>
      <c r="M599" s="469" t="n"/>
      <c r="N599" s="469" t="n"/>
      <c r="O599" s="469" t="n"/>
      <c r="P599" s="471" t="n"/>
      <c r="Q599" s="469" t="n"/>
      <c r="R599" s="469" t="n"/>
      <c r="S599" s="469" t="n"/>
      <c r="T599" s="469" t="n"/>
      <c r="U599" s="469" t="n"/>
      <c r="V599" s="469" t="n"/>
      <c r="W599" s="469" t="n"/>
      <c r="X599" s="469" t="n"/>
      <c r="Y599" s="469" t="n"/>
      <c r="Z599" s="469" t="n"/>
      <c r="AA599" s="469" t="n"/>
    </row>
    <row r="600">
      <c r="A600" s="468" t="n"/>
      <c r="B600" s="469" t="n"/>
      <c r="C600" s="469" t="n"/>
      <c r="D600" s="469" t="n"/>
      <c r="E600" s="469" t="n"/>
      <c r="F600" s="469" t="n"/>
      <c r="G600" s="469" t="n"/>
      <c r="H600" s="469" t="n"/>
      <c r="I600" s="469" t="n"/>
      <c r="J600" s="469" t="n"/>
      <c r="K600" s="469" t="n"/>
      <c r="L600" s="469" t="n"/>
      <c r="M600" s="469" t="n"/>
      <c r="N600" s="469" t="n"/>
      <c r="O600" s="469" t="n"/>
      <c r="P600" s="471" t="n"/>
      <c r="Q600" s="469" t="n"/>
      <c r="R600" s="469" t="n"/>
      <c r="S600" s="469" t="n"/>
      <c r="T600" s="469" t="n"/>
      <c r="U600" s="469" t="n"/>
      <c r="V600" s="469" t="n"/>
      <c r="W600" s="469" t="n"/>
      <c r="X600" s="469" t="n"/>
      <c r="Y600" s="469" t="n"/>
      <c r="Z600" s="469" t="n"/>
      <c r="AA600" s="469" t="n"/>
    </row>
    <row r="601">
      <c r="A601" s="468" t="n"/>
      <c r="B601" s="469" t="n"/>
      <c r="C601" s="469" t="n"/>
      <c r="D601" s="469" t="n"/>
      <c r="E601" s="469" t="n"/>
      <c r="F601" s="469" t="n"/>
      <c r="G601" s="469" t="n"/>
      <c r="H601" s="469" t="n"/>
      <c r="I601" s="469" t="n"/>
      <c r="J601" s="469" t="n"/>
      <c r="K601" s="469" t="n"/>
      <c r="L601" s="469" t="n"/>
      <c r="M601" s="469" t="n"/>
      <c r="N601" s="469" t="n"/>
      <c r="O601" s="469" t="n"/>
      <c r="P601" s="471" t="n"/>
      <c r="Q601" s="469" t="n"/>
      <c r="R601" s="469" t="n"/>
      <c r="S601" s="469" t="n"/>
      <c r="T601" s="469" t="n"/>
      <c r="U601" s="469" t="n"/>
      <c r="V601" s="469" t="n"/>
      <c r="W601" s="469" t="n"/>
      <c r="X601" s="469" t="n"/>
      <c r="Y601" s="469" t="n"/>
      <c r="Z601" s="469" t="n"/>
      <c r="AA601" s="469" t="n"/>
    </row>
    <row r="602">
      <c r="A602" s="468" t="n"/>
      <c r="B602" s="469" t="n"/>
      <c r="C602" s="469" t="n"/>
      <c r="D602" s="469" t="n"/>
      <c r="E602" s="469" t="n"/>
      <c r="F602" s="469" t="n"/>
      <c r="G602" s="469" t="n"/>
      <c r="H602" s="469" t="n"/>
      <c r="I602" s="469" t="n"/>
      <c r="J602" s="469" t="n"/>
      <c r="K602" s="469" t="n"/>
      <c r="L602" s="469" t="n"/>
      <c r="M602" s="469" t="n"/>
      <c r="N602" s="469" t="n"/>
      <c r="O602" s="469" t="n"/>
      <c r="P602" s="471" t="n"/>
      <c r="Q602" s="469" t="n"/>
      <c r="R602" s="469" t="n"/>
      <c r="S602" s="469" t="n"/>
      <c r="T602" s="469" t="n"/>
      <c r="U602" s="469" t="n"/>
      <c r="V602" s="469" t="n"/>
      <c r="W602" s="469" t="n"/>
      <c r="X602" s="469" t="n"/>
      <c r="Y602" s="469" t="n"/>
      <c r="Z602" s="469" t="n"/>
      <c r="AA602" s="469" t="n"/>
    </row>
    <row r="603">
      <c r="A603" s="468" t="n"/>
      <c r="B603" s="469" t="n"/>
      <c r="C603" s="469" t="n"/>
      <c r="D603" s="469" t="n"/>
      <c r="E603" s="469" t="n"/>
      <c r="F603" s="469" t="n"/>
      <c r="G603" s="469" t="n"/>
      <c r="H603" s="469" t="n"/>
      <c r="I603" s="469" t="n"/>
      <c r="J603" s="469" t="n"/>
      <c r="K603" s="469" t="n"/>
      <c r="L603" s="469" t="n"/>
      <c r="M603" s="469" t="n"/>
      <c r="N603" s="469" t="n"/>
      <c r="O603" s="469" t="n"/>
      <c r="P603" s="471" t="n"/>
      <c r="Q603" s="469" t="n"/>
      <c r="R603" s="469" t="n"/>
      <c r="S603" s="469" t="n"/>
      <c r="T603" s="469" t="n"/>
      <c r="U603" s="469" t="n"/>
      <c r="V603" s="469" t="n"/>
      <c r="W603" s="469" t="n"/>
      <c r="X603" s="469" t="n"/>
      <c r="Y603" s="469" t="n"/>
      <c r="Z603" s="469" t="n"/>
      <c r="AA603" s="469" t="n"/>
    </row>
    <row r="604">
      <c r="A604" s="468" t="n"/>
      <c r="B604" s="469" t="n"/>
      <c r="C604" s="469" t="n"/>
      <c r="D604" s="469" t="n"/>
      <c r="E604" s="469" t="n"/>
      <c r="F604" s="469" t="n"/>
      <c r="G604" s="469" t="n"/>
      <c r="H604" s="469" t="n"/>
      <c r="I604" s="469" t="n"/>
      <c r="J604" s="469" t="n"/>
      <c r="K604" s="469" t="n"/>
      <c r="L604" s="469" t="n"/>
      <c r="M604" s="469" t="n"/>
      <c r="N604" s="469" t="n"/>
      <c r="O604" s="469" t="n"/>
      <c r="P604" s="471" t="n"/>
      <c r="Q604" s="469" t="n"/>
      <c r="R604" s="469" t="n"/>
      <c r="S604" s="469" t="n"/>
      <c r="T604" s="469" t="n"/>
      <c r="U604" s="469" t="n"/>
      <c r="V604" s="469" t="n"/>
      <c r="W604" s="469" t="n"/>
      <c r="X604" s="469" t="n"/>
      <c r="Y604" s="469" t="n"/>
      <c r="Z604" s="469" t="n"/>
      <c r="AA604" s="469" t="n"/>
    </row>
    <row r="605">
      <c r="A605" s="468" t="n"/>
      <c r="B605" s="469" t="n"/>
      <c r="C605" s="469" t="n"/>
      <c r="D605" s="469" t="n"/>
      <c r="E605" s="469" t="n"/>
      <c r="F605" s="469" t="n"/>
      <c r="G605" s="469" t="n"/>
      <c r="H605" s="469" t="n"/>
      <c r="I605" s="469" t="n"/>
      <c r="J605" s="469" t="n"/>
      <c r="K605" s="469" t="n"/>
      <c r="L605" s="469" t="n"/>
      <c r="M605" s="469" t="n"/>
      <c r="N605" s="469" t="n"/>
      <c r="O605" s="469" t="n"/>
      <c r="P605" s="471" t="n"/>
      <c r="Q605" s="469" t="n"/>
      <c r="R605" s="469" t="n"/>
      <c r="S605" s="469" t="n"/>
      <c r="T605" s="469" t="n"/>
      <c r="U605" s="469" t="n"/>
      <c r="V605" s="469" t="n"/>
      <c r="W605" s="469" t="n"/>
      <c r="X605" s="469" t="n"/>
      <c r="Y605" s="469" t="n"/>
      <c r="Z605" s="469" t="n"/>
      <c r="AA605" s="469" t="n"/>
    </row>
    <row r="606">
      <c r="A606" s="468" t="n"/>
      <c r="B606" s="469" t="n"/>
      <c r="C606" s="469" t="n"/>
      <c r="D606" s="469" t="n"/>
      <c r="E606" s="469" t="n"/>
      <c r="F606" s="469" t="n"/>
      <c r="G606" s="469" t="n"/>
      <c r="H606" s="469" t="n"/>
      <c r="I606" s="469" t="n"/>
      <c r="J606" s="469" t="n"/>
      <c r="K606" s="469" t="n"/>
      <c r="L606" s="469" t="n"/>
      <c r="M606" s="469" t="n"/>
      <c r="N606" s="469" t="n"/>
      <c r="O606" s="469" t="n"/>
      <c r="P606" s="471" t="n"/>
      <c r="Q606" s="469" t="n"/>
      <c r="R606" s="469" t="n"/>
      <c r="S606" s="469" t="n"/>
      <c r="T606" s="469" t="n"/>
      <c r="U606" s="469" t="n"/>
      <c r="V606" s="469" t="n"/>
      <c r="W606" s="469" t="n"/>
      <c r="X606" s="469" t="n"/>
      <c r="Y606" s="469" t="n"/>
      <c r="Z606" s="469" t="n"/>
      <c r="AA606" s="469" t="n"/>
    </row>
    <row r="607">
      <c r="A607" s="468" t="n"/>
      <c r="B607" s="469" t="n"/>
      <c r="C607" s="469" t="n"/>
      <c r="D607" s="469" t="n"/>
      <c r="E607" s="469" t="n"/>
      <c r="F607" s="469" t="n"/>
      <c r="G607" s="469" t="n"/>
      <c r="H607" s="469" t="n"/>
      <c r="I607" s="469" t="n"/>
      <c r="J607" s="469" t="n"/>
      <c r="K607" s="469" t="n"/>
      <c r="L607" s="469" t="n"/>
      <c r="M607" s="469" t="n"/>
      <c r="N607" s="469" t="n"/>
      <c r="O607" s="469" t="n"/>
      <c r="P607" s="471" t="n"/>
      <c r="Q607" s="469" t="n"/>
      <c r="R607" s="469" t="n"/>
      <c r="S607" s="469" t="n"/>
      <c r="T607" s="469" t="n"/>
      <c r="U607" s="469" t="n"/>
      <c r="V607" s="469" t="n"/>
      <c r="W607" s="469" t="n"/>
      <c r="X607" s="469" t="n"/>
      <c r="Y607" s="469" t="n"/>
      <c r="Z607" s="469" t="n"/>
      <c r="AA607" s="469" t="n"/>
    </row>
    <row r="608">
      <c r="A608" s="468" t="n"/>
      <c r="B608" s="469" t="n"/>
      <c r="C608" s="469" t="n"/>
      <c r="D608" s="469" t="n"/>
      <c r="E608" s="469" t="n"/>
      <c r="F608" s="469" t="n"/>
      <c r="G608" s="469" t="n"/>
      <c r="H608" s="469" t="n"/>
      <c r="I608" s="469" t="n"/>
      <c r="J608" s="469" t="n"/>
      <c r="K608" s="469" t="n"/>
      <c r="L608" s="469" t="n"/>
      <c r="M608" s="469" t="n"/>
      <c r="N608" s="469" t="n"/>
      <c r="O608" s="469" t="n"/>
      <c r="P608" s="471" t="n"/>
      <c r="Q608" s="469" t="n"/>
      <c r="R608" s="469" t="n"/>
      <c r="S608" s="469" t="n"/>
      <c r="T608" s="469" t="n"/>
      <c r="U608" s="469" t="n"/>
      <c r="V608" s="469" t="n"/>
      <c r="W608" s="469" t="n"/>
      <c r="X608" s="469" t="n"/>
      <c r="Y608" s="469" t="n"/>
      <c r="Z608" s="469" t="n"/>
      <c r="AA608" s="469" t="n"/>
    </row>
    <row r="609">
      <c r="A609" s="468" t="n"/>
      <c r="B609" s="469" t="n"/>
      <c r="C609" s="469" t="n"/>
      <c r="D609" s="469" t="n"/>
      <c r="E609" s="469" t="n"/>
      <c r="F609" s="469" t="n"/>
      <c r="G609" s="469" t="n"/>
      <c r="H609" s="469" t="n"/>
      <c r="I609" s="469" t="n"/>
      <c r="J609" s="469" t="n"/>
      <c r="K609" s="469" t="n"/>
      <c r="L609" s="469" t="n"/>
      <c r="M609" s="469" t="n"/>
      <c r="N609" s="469" t="n"/>
      <c r="O609" s="469" t="n"/>
      <c r="P609" s="471" t="n"/>
      <c r="Q609" s="469" t="n"/>
      <c r="R609" s="469" t="n"/>
      <c r="S609" s="469" t="n"/>
      <c r="T609" s="469" t="n"/>
      <c r="U609" s="469" t="n"/>
      <c r="V609" s="469" t="n"/>
      <c r="W609" s="469" t="n"/>
      <c r="X609" s="469" t="n"/>
      <c r="Y609" s="469" t="n"/>
      <c r="Z609" s="469" t="n"/>
      <c r="AA609" s="469" t="n"/>
    </row>
    <row r="610">
      <c r="A610" s="468" t="n"/>
      <c r="B610" s="469" t="n"/>
      <c r="C610" s="469" t="n"/>
      <c r="D610" s="469" t="n"/>
      <c r="E610" s="469" t="n"/>
      <c r="F610" s="469" t="n"/>
      <c r="G610" s="469" t="n"/>
      <c r="H610" s="469" t="n"/>
      <c r="I610" s="469" t="n"/>
      <c r="J610" s="469" t="n"/>
      <c r="K610" s="469" t="n"/>
      <c r="L610" s="469" t="n"/>
      <c r="M610" s="469" t="n"/>
      <c r="N610" s="469" t="n"/>
      <c r="O610" s="469" t="n"/>
      <c r="P610" s="471" t="n"/>
      <c r="Q610" s="469" t="n"/>
      <c r="R610" s="469" t="n"/>
      <c r="S610" s="469" t="n"/>
      <c r="T610" s="469" t="n"/>
      <c r="U610" s="469" t="n"/>
      <c r="V610" s="469" t="n"/>
      <c r="W610" s="469" t="n"/>
      <c r="X610" s="469" t="n"/>
      <c r="Y610" s="469" t="n"/>
      <c r="Z610" s="469" t="n"/>
      <c r="AA610" s="469" t="n"/>
    </row>
    <row r="611">
      <c r="A611" s="468" t="n"/>
      <c r="B611" s="469" t="n"/>
      <c r="C611" s="469" t="n"/>
      <c r="D611" s="469" t="n"/>
      <c r="E611" s="469" t="n"/>
      <c r="F611" s="469" t="n"/>
      <c r="G611" s="469" t="n"/>
      <c r="H611" s="469" t="n"/>
      <c r="I611" s="469" t="n"/>
      <c r="J611" s="469" t="n"/>
      <c r="K611" s="469" t="n"/>
      <c r="L611" s="469" t="n"/>
      <c r="M611" s="469" t="n"/>
      <c r="N611" s="469" t="n"/>
      <c r="O611" s="469" t="n"/>
      <c r="P611" s="471" t="n"/>
      <c r="Q611" s="469" t="n"/>
      <c r="R611" s="469" t="n"/>
      <c r="S611" s="469" t="n"/>
      <c r="T611" s="469" t="n"/>
      <c r="U611" s="469" t="n"/>
      <c r="V611" s="469" t="n"/>
      <c r="W611" s="469" t="n"/>
      <c r="X611" s="469" t="n"/>
      <c r="Y611" s="469" t="n"/>
      <c r="Z611" s="469" t="n"/>
      <c r="AA611" s="469" t="n"/>
    </row>
    <row r="612">
      <c r="A612" s="468" t="n"/>
      <c r="B612" s="469" t="n"/>
      <c r="C612" s="469" t="n"/>
      <c r="D612" s="469" t="n"/>
      <c r="E612" s="469" t="n"/>
      <c r="F612" s="469" t="n"/>
      <c r="G612" s="469" t="n"/>
      <c r="H612" s="469" t="n"/>
      <c r="I612" s="469" t="n"/>
      <c r="J612" s="469" t="n"/>
      <c r="K612" s="469" t="n"/>
      <c r="L612" s="469" t="n"/>
      <c r="M612" s="469" t="n"/>
      <c r="N612" s="469" t="n"/>
      <c r="O612" s="469" t="n"/>
      <c r="P612" s="471" t="n"/>
      <c r="Q612" s="469" t="n"/>
      <c r="R612" s="469" t="n"/>
      <c r="S612" s="469" t="n"/>
      <c r="T612" s="469" t="n"/>
      <c r="U612" s="469" t="n"/>
      <c r="V612" s="469" t="n"/>
      <c r="W612" s="469" t="n"/>
      <c r="X612" s="469" t="n"/>
      <c r="Y612" s="469" t="n"/>
      <c r="Z612" s="469" t="n"/>
      <c r="AA612" s="469" t="n"/>
    </row>
    <row r="613">
      <c r="A613" s="468" t="n"/>
      <c r="B613" s="469" t="n"/>
      <c r="C613" s="469" t="n"/>
      <c r="D613" s="469" t="n"/>
      <c r="E613" s="469" t="n"/>
      <c r="F613" s="469" t="n"/>
      <c r="G613" s="469" t="n"/>
      <c r="H613" s="469" t="n"/>
      <c r="I613" s="469" t="n"/>
      <c r="J613" s="469" t="n"/>
      <c r="K613" s="469" t="n"/>
      <c r="L613" s="469" t="n"/>
      <c r="M613" s="469" t="n"/>
      <c r="N613" s="469" t="n"/>
      <c r="O613" s="469" t="n"/>
      <c r="P613" s="471" t="n"/>
      <c r="Q613" s="469" t="n"/>
      <c r="R613" s="469" t="n"/>
      <c r="S613" s="469" t="n"/>
      <c r="T613" s="469" t="n"/>
      <c r="U613" s="469" t="n"/>
      <c r="V613" s="469" t="n"/>
      <c r="W613" s="469" t="n"/>
      <c r="X613" s="469" t="n"/>
      <c r="Y613" s="469" t="n"/>
      <c r="Z613" s="469" t="n"/>
      <c r="AA613" s="469" t="n"/>
    </row>
    <row r="614">
      <c r="A614" s="468" t="n"/>
      <c r="B614" s="469" t="n"/>
      <c r="C614" s="469" t="n"/>
      <c r="D614" s="469" t="n"/>
      <c r="E614" s="469" t="n"/>
      <c r="F614" s="469" t="n"/>
      <c r="G614" s="469" t="n"/>
      <c r="H614" s="469" t="n"/>
      <c r="I614" s="469" t="n"/>
      <c r="J614" s="469" t="n"/>
      <c r="K614" s="469" t="n"/>
      <c r="L614" s="469" t="n"/>
      <c r="M614" s="469" t="n"/>
      <c r="N614" s="469" t="n"/>
      <c r="O614" s="469" t="n"/>
      <c r="P614" s="471" t="n"/>
      <c r="Q614" s="469" t="n"/>
      <c r="R614" s="469" t="n"/>
      <c r="S614" s="469" t="n"/>
      <c r="T614" s="469" t="n"/>
      <c r="U614" s="469" t="n"/>
      <c r="V614" s="469" t="n"/>
      <c r="W614" s="469" t="n"/>
      <c r="X614" s="469" t="n"/>
      <c r="Y614" s="469" t="n"/>
      <c r="Z614" s="469" t="n"/>
      <c r="AA614" s="469" t="n"/>
    </row>
    <row r="615">
      <c r="A615" s="468" t="n"/>
      <c r="B615" s="469" t="n"/>
      <c r="C615" s="469" t="n"/>
      <c r="D615" s="469" t="n"/>
      <c r="E615" s="469" t="n"/>
      <c r="F615" s="469" t="n"/>
      <c r="G615" s="469" t="n"/>
      <c r="H615" s="469" t="n"/>
      <c r="I615" s="469" t="n"/>
      <c r="J615" s="469" t="n"/>
      <c r="K615" s="469" t="n"/>
      <c r="L615" s="469" t="n"/>
      <c r="M615" s="469" t="n"/>
      <c r="N615" s="469" t="n"/>
      <c r="O615" s="469" t="n"/>
      <c r="P615" s="471" t="n"/>
      <c r="Q615" s="469" t="n"/>
      <c r="R615" s="469" t="n"/>
      <c r="S615" s="469" t="n"/>
      <c r="T615" s="469" t="n"/>
      <c r="U615" s="469" t="n"/>
      <c r="V615" s="469" t="n"/>
      <c r="W615" s="469" t="n"/>
      <c r="X615" s="469" t="n"/>
      <c r="Y615" s="469" t="n"/>
      <c r="Z615" s="469" t="n"/>
      <c r="AA615" s="469" t="n"/>
    </row>
    <row r="616">
      <c r="A616" s="468" t="n"/>
      <c r="B616" s="469" t="n"/>
      <c r="C616" s="469" t="n"/>
      <c r="D616" s="469" t="n"/>
      <c r="E616" s="469" t="n"/>
      <c r="F616" s="469" t="n"/>
      <c r="G616" s="469" t="n"/>
      <c r="H616" s="469" t="n"/>
      <c r="I616" s="469" t="n"/>
      <c r="J616" s="469" t="n"/>
      <c r="K616" s="469" t="n"/>
      <c r="L616" s="469" t="n"/>
      <c r="M616" s="469" t="n"/>
      <c r="N616" s="469" t="n"/>
      <c r="O616" s="469" t="n"/>
      <c r="P616" s="471" t="n"/>
      <c r="Q616" s="469" t="n"/>
      <c r="R616" s="469" t="n"/>
      <c r="S616" s="469" t="n"/>
      <c r="T616" s="469" t="n"/>
      <c r="U616" s="469" t="n"/>
      <c r="V616" s="469" t="n"/>
      <c r="W616" s="469" t="n"/>
      <c r="X616" s="469" t="n"/>
      <c r="Y616" s="469" t="n"/>
      <c r="Z616" s="469" t="n"/>
      <c r="AA616" s="469" t="n"/>
    </row>
    <row r="617">
      <c r="A617" s="468" t="n"/>
      <c r="B617" s="469" t="n"/>
      <c r="C617" s="469" t="n"/>
      <c r="D617" s="469" t="n"/>
      <c r="E617" s="469" t="n"/>
      <c r="F617" s="469" t="n"/>
      <c r="G617" s="469" t="n"/>
      <c r="H617" s="469" t="n"/>
      <c r="I617" s="469" t="n"/>
      <c r="J617" s="469" t="n"/>
      <c r="K617" s="469" t="n"/>
      <c r="L617" s="469" t="n"/>
      <c r="M617" s="469" t="n"/>
      <c r="N617" s="469" t="n"/>
      <c r="O617" s="469" t="n"/>
      <c r="P617" s="471" t="n"/>
      <c r="Q617" s="469" t="n"/>
      <c r="R617" s="469" t="n"/>
      <c r="S617" s="469" t="n"/>
      <c r="T617" s="469" t="n"/>
      <c r="U617" s="469" t="n"/>
      <c r="V617" s="469" t="n"/>
      <c r="W617" s="469" t="n"/>
      <c r="X617" s="469" t="n"/>
      <c r="Y617" s="469" t="n"/>
      <c r="Z617" s="469" t="n"/>
      <c r="AA617" s="469" t="n"/>
    </row>
    <row r="618">
      <c r="A618" s="468" t="n"/>
      <c r="B618" s="469" t="n"/>
      <c r="C618" s="469" t="n"/>
      <c r="D618" s="469" t="n"/>
      <c r="E618" s="469" t="n"/>
      <c r="F618" s="469" t="n"/>
      <c r="G618" s="469" t="n"/>
      <c r="H618" s="469" t="n"/>
      <c r="I618" s="469" t="n"/>
      <c r="J618" s="469" t="n"/>
      <c r="K618" s="469" t="n"/>
      <c r="L618" s="469" t="n"/>
      <c r="M618" s="469" t="n"/>
      <c r="N618" s="469" t="n"/>
      <c r="O618" s="469" t="n"/>
      <c r="P618" s="471" t="n"/>
      <c r="Q618" s="469" t="n"/>
      <c r="R618" s="469" t="n"/>
      <c r="S618" s="469" t="n"/>
      <c r="T618" s="469" t="n"/>
      <c r="U618" s="469" t="n"/>
      <c r="V618" s="469" t="n"/>
      <c r="W618" s="469" t="n"/>
      <c r="X618" s="469" t="n"/>
      <c r="Y618" s="469" t="n"/>
      <c r="Z618" s="469" t="n"/>
      <c r="AA618" s="469" t="n"/>
    </row>
    <row r="619">
      <c r="A619" s="468" t="n"/>
      <c r="B619" s="469" t="n"/>
      <c r="C619" s="469" t="n"/>
      <c r="D619" s="469" t="n"/>
      <c r="E619" s="469" t="n"/>
      <c r="F619" s="469" t="n"/>
      <c r="G619" s="469" t="n"/>
      <c r="H619" s="469" t="n"/>
      <c r="I619" s="469" t="n"/>
      <c r="J619" s="469" t="n"/>
      <c r="K619" s="469" t="n"/>
      <c r="L619" s="469" t="n"/>
      <c r="M619" s="469" t="n"/>
      <c r="N619" s="469" t="n"/>
      <c r="O619" s="469" t="n"/>
      <c r="P619" s="471" t="n"/>
      <c r="Q619" s="469" t="n"/>
      <c r="R619" s="469" t="n"/>
      <c r="S619" s="469" t="n"/>
      <c r="T619" s="469" t="n"/>
      <c r="U619" s="469" t="n"/>
      <c r="V619" s="469" t="n"/>
      <c r="W619" s="469" t="n"/>
      <c r="X619" s="469" t="n"/>
      <c r="Y619" s="469" t="n"/>
      <c r="Z619" s="469" t="n"/>
      <c r="AA619" s="469" t="n"/>
    </row>
    <row r="620">
      <c r="A620" s="468" t="n"/>
      <c r="B620" s="469" t="n"/>
      <c r="C620" s="469" t="n"/>
      <c r="D620" s="469" t="n"/>
      <c r="E620" s="469" t="n"/>
      <c r="F620" s="469" t="n"/>
      <c r="G620" s="469" t="n"/>
      <c r="H620" s="469" t="n"/>
      <c r="I620" s="469" t="n"/>
      <c r="J620" s="469" t="n"/>
      <c r="K620" s="469" t="n"/>
      <c r="L620" s="469" t="n"/>
      <c r="M620" s="469" t="n"/>
      <c r="N620" s="469" t="n"/>
      <c r="O620" s="469" t="n"/>
      <c r="P620" s="471" t="n"/>
      <c r="Q620" s="469" t="n"/>
      <c r="R620" s="469" t="n"/>
      <c r="S620" s="469" t="n"/>
      <c r="T620" s="469" t="n"/>
      <c r="U620" s="469" t="n"/>
      <c r="V620" s="469" t="n"/>
      <c r="W620" s="469" t="n"/>
      <c r="X620" s="469" t="n"/>
      <c r="Y620" s="469" t="n"/>
      <c r="Z620" s="469" t="n"/>
      <c r="AA620" s="469" t="n"/>
    </row>
    <row r="621">
      <c r="A621" s="468" t="n"/>
      <c r="B621" s="469" t="n"/>
      <c r="C621" s="469" t="n"/>
      <c r="D621" s="469" t="n"/>
      <c r="E621" s="469" t="n"/>
      <c r="F621" s="469" t="n"/>
      <c r="G621" s="469" t="n"/>
      <c r="H621" s="469" t="n"/>
      <c r="I621" s="469" t="n"/>
      <c r="J621" s="469" t="n"/>
      <c r="K621" s="469" t="n"/>
      <c r="L621" s="469" t="n"/>
      <c r="M621" s="469" t="n"/>
      <c r="N621" s="469" t="n"/>
      <c r="O621" s="469" t="n"/>
      <c r="P621" s="471" t="n"/>
      <c r="Q621" s="469" t="n"/>
      <c r="R621" s="469" t="n"/>
      <c r="S621" s="469" t="n"/>
      <c r="T621" s="469" t="n"/>
      <c r="U621" s="469" t="n"/>
      <c r="V621" s="469" t="n"/>
      <c r="W621" s="469" t="n"/>
      <c r="X621" s="469" t="n"/>
      <c r="Y621" s="469" t="n"/>
      <c r="Z621" s="469" t="n"/>
      <c r="AA621" s="469" t="n"/>
    </row>
    <row r="622">
      <c r="A622" s="468" t="n"/>
      <c r="B622" s="469" t="n"/>
      <c r="C622" s="469" t="n"/>
      <c r="D622" s="469" t="n"/>
      <c r="E622" s="469" t="n"/>
      <c r="F622" s="469" t="n"/>
      <c r="G622" s="469" t="n"/>
      <c r="H622" s="469" t="n"/>
      <c r="I622" s="469" t="n"/>
      <c r="J622" s="469" t="n"/>
      <c r="K622" s="469" t="n"/>
      <c r="L622" s="469" t="n"/>
      <c r="M622" s="469" t="n"/>
      <c r="N622" s="469" t="n"/>
      <c r="O622" s="469" t="n"/>
      <c r="P622" s="471" t="n"/>
      <c r="Q622" s="469" t="n"/>
      <c r="R622" s="469" t="n"/>
      <c r="S622" s="469" t="n"/>
      <c r="T622" s="469" t="n"/>
      <c r="U622" s="469" t="n"/>
      <c r="V622" s="469" t="n"/>
      <c r="W622" s="469" t="n"/>
      <c r="X622" s="469" t="n"/>
      <c r="Y622" s="469" t="n"/>
      <c r="Z622" s="469" t="n"/>
      <c r="AA622" s="469" t="n"/>
    </row>
    <row r="623">
      <c r="A623" s="468" t="n"/>
      <c r="B623" s="469" t="n"/>
      <c r="C623" s="469" t="n"/>
      <c r="D623" s="469" t="n"/>
      <c r="E623" s="469" t="n"/>
      <c r="F623" s="469" t="n"/>
      <c r="G623" s="469" t="n"/>
      <c r="H623" s="469" t="n"/>
      <c r="I623" s="469" t="n"/>
      <c r="J623" s="469" t="n"/>
      <c r="K623" s="469" t="n"/>
      <c r="L623" s="469" t="n"/>
      <c r="M623" s="469" t="n"/>
      <c r="N623" s="469" t="n"/>
      <c r="O623" s="469" t="n"/>
      <c r="P623" s="471" t="n"/>
      <c r="Q623" s="469" t="n"/>
      <c r="R623" s="469" t="n"/>
      <c r="S623" s="469" t="n"/>
      <c r="T623" s="469" t="n"/>
      <c r="U623" s="469" t="n"/>
      <c r="V623" s="469" t="n"/>
      <c r="W623" s="469" t="n"/>
      <c r="X623" s="469" t="n"/>
      <c r="Y623" s="469" t="n"/>
      <c r="Z623" s="469" t="n"/>
      <c r="AA623" s="469" t="n"/>
    </row>
    <row r="624">
      <c r="A624" s="468" t="n"/>
      <c r="B624" s="469" t="n"/>
      <c r="C624" s="469" t="n"/>
      <c r="D624" s="469" t="n"/>
      <c r="E624" s="469" t="n"/>
      <c r="F624" s="469" t="n"/>
      <c r="G624" s="469" t="n"/>
      <c r="H624" s="469" t="n"/>
      <c r="I624" s="469" t="n"/>
      <c r="J624" s="469" t="n"/>
      <c r="K624" s="469" t="n"/>
      <c r="L624" s="469" t="n"/>
      <c r="M624" s="469" t="n"/>
      <c r="N624" s="469" t="n"/>
      <c r="O624" s="469" t="n"/>
      <c r="P624" s="471" t="n"/>
      <c r="Q624" s="469" t="n"/>
      <c r="R624" s="469" t="n"/>
      <c r="S624" s="469" t="n"/>
      <c r="T624" s="469" t="n"/>
      <c r="U624" s="469" t="n"/>
      <c r="V624" s="469" t="n"/>
      <c r="W624" s="469" t="n"/>
      <c r="X624" s="469" t="n"/>
      <c r="Y624" s="469" t="n"/>
      <c r="Z624" s="469" t="n"/>
      <c r="AA624" s="469" t="n"/>
    </row>
    <row r="625">
      <c r="A625" s="468" t="n"/>
      <c r="B625" s="469" t="n"/>
      <c r="C625" s="469" t="n"/>
      <c r="D625" s="469" t="n"/>
      <c r="E625" s="469" t="n"/>
      <c r="F625" s="469" t="n"/>
      <c r="G625" s="469" t="n"/>
      <c r="H625" s="469" t="n"/>
      <c r="I625" s="469" t="n"/>
      <c r="J625" s="469" t="n"/>
      <c r="K625" s="469" t="n"/>
      <c r="L625" s="469" t="n"/>
      <c r="M625" s="469" t="n"/>
      <c r="N625" s="469" t="n"/>
      <c r="O625" s="469" t="n"/>
      <c r="P625" s="471" t="n"/>
      <c r="Q625" s="469" t="n"/>
      <c r="R625" s="469" t="n"/>
      <c r="S625" s="469" t="n"/>
      <c r="T625" s="469" t="n"/>
      <c r="U625" s="469" t="n"/>
      <c r="V625" s="469" t="n"/>
      <c r="W625" s="469" t="n"/>
      <c r="X625" s="469" t="n"/>
      <c r="Y625" s="469" t="n"/>
      <c r="Z625" s="469" t="n"/>
      <c r="AA625" s="469" t="n"/>
    </row>
    <row r="626">
      <c r="A626" s="468" t="n"/>
      <c r="B626" s="469" t="n"/>
      <c r="C626" s="469" t="n"/>
      <c r="D626" s="469" t="n"/>
      <c r="E626" s="469" t="n"/>
      <c r="F626" s="469" t="n"/>
      <c r="G626" s="469" t="n"/>
      <c r="H626" s="469" t="n"/>
      <c r="I626" s="469" t="n"/>
      <c r="J626" s="469" t="n"/>
      <c r="K626" s="469" t="n"/>
      <c r="L626" s="469" t="n"/>
      <c r="M626" s="469" t="n"/>
      <c r="N626" s="469" t="n"/>
      <c r="O626" s="469" t="n"/>
      <c r="P626" s="471" t="n"/>
      <c r="Q626" s="469" t="n"/>
      <c r="R626" s="469" t="n"/>
      <c r="S626" s="469" t="n"/>
      <c r="T626" s="469" t="n"/>
      <c r="U626" s="469" t="n"/>
      <c r="V626" s="469" t="n"/>
      <c r="W626" s="469" t="n"/>
      <c r="X626" s="469" t="n"/>
      <c r="Y626" s="469" t="n"/>
      <c r="Z626" s="469" t="n"/>
      <c r="AA626" s="469" t="n"/>
    </row>
    <row r="627">
      <c r="A627" s="468" t="n"/>
      <c r="B627" s="469" t="n"/>
      <c r="C627" s="469" t="n"/>
      <c r="D627" s="469" t="n"/>
      <c r="E627" s="469" t="n"/>
      <c r="F627" s="469" t="n"/>
      <c r="G627" s="469" t="n"/>
      <c r="H627" s="469" t="n"/>
      <c r="I627" s="469" t="n"/>
      <c r="J627" s="469" t="n"/>
      <c r="K627" s="469" t="n"/>
      <c r="L627" s="469" t="n"/>
      <c r="M627" s="469" t="n"/>
      <c r="N627" s="469" t="n"/>
      <c r="O627" s="469" t="n"/>
      <c r="P627" s="471" t="n"/>
      <c r="Q627" s="469" t="n"/>
      <c r="R627" s="469" t="n"/>
      <c r="S627" s="469" t="n"/>
      <c r="T627" s="469" t="n"/>
      <c r="U627" s="469" t="n"/>
      <c r="V627" s="469" t="n"/>
      <c r="W627" s="469" t="n"/>
      <c r="X627" s="469" t="n"/>
      <c r="Y627" s="469" t="n"/>
      <c r="Z627" s="469" t="n"/>
      <c r="AA627" s="469" t="n"/>
    </row>
    <row r="628">
      <c r="A628" s="468" t="n"/>
      <c r="B628" s="469" t="n"/>
      <c r="C628" s="469" t="n"/>
      <c r="D628" s="469" t="n"/>
      <c r="E628" s="469" t="n"/>
      <c r="F628" s="469" t="n"/>
      <c r="G628" s="469" t="n"/>
      <c r="H628" s="469" t="n"/>
      <c r="I628" s="469" t="n"/>
      <c r="J628" s="469" t="n"/>
      <c r="K628" s="469" t="n"/>
      <c r="L628" s="469" t="n"/>
      <c r="M628" s="469" t="n"/>
      <c r="N628" s="469" t="n"/>
      <c r="O628" s="469" t="n"/>
      <c r="P628" s="471" t="n"/>
      <c r="Q628" s="469" t="n"/>
      <c r="R628" s="469" t="n"/>
      <c r="S628" s="469" t="n"/>
      <c r="T628" s="469" t="n"/>
      <c r="U628" s="469" t="n"/>
      <c r="V628" s="469" t="n"/>
      <c r="W628" s="469" t="n"/>
      <c r="X628" s="469" t="n"/>
      <c r="Y628" s="469" t="n"/>
      <c r="Z628" s="469" t="n"/>
      <c r="AA628" s="469" t="n"/>
    </row>
    <row r="629">
      <c r="A629" s="468" t="n"/>
      <c r="B629" s="469" t="n"/>
      <c r="C629" s="469" t="n"/>
      <c r="D629" s="469" t="n"/>
      <c r="E629" s="469" t="n"/>
      <c r="F629" s="469" t="n"/>
      <c r="G629" s="469" t="n"/>
      <c r="H629" s="469" t="n"/>
      <c r="I629" s="469" t="n"/>
      <c r="J629" s="469" t="n"/>
      <c r="K629" s="469" t="n"/>
      <c r="L629" s="469" t="n"/>
      <c r="M629" s="469" t="n"/>
      <c r="N629" s="469" t="n"/>
      <c r="O629" s="469" t="n"/>
      <c r="P629" s="471" t="n"/>
      <c r="Q629" s="469" t="n"/>
      <c r="R629" s="469" t="n"/>
      <c r="S629" s="469" t="n"/>
      <c r="T629" s="469" t="n"/>
      <c r="U629" s="469" t="n"/>
      <c r="V629" s="469" t="n"/>
      <c r="W629" s="469" t="n"/>
      <c r="X629" s="469" t="n"/>
      <c r="Y629" s="469" t="n"/>
      <c r="Z629" s="469" t="n"/>
      <c r="AA629" s="469" t="n"/>
    </row>
    <row r="630">
      <c r="A630" s="468" t="n"/>
      <c r="B630" s="469" t="n"/>
      <c r="C630" s="469" t="n"/>
      <c r="D630" s="469" t="n"/>
      <c r="E630" s="469" t="n"/>
      <c r="F630" s="469" t="n"/>
      <c r="G630" s="469" t="n"/>
      <c r="H630" s="469" t="n"/>
      <c r="I630" s="469" t="n"/>
      <c r="J630" s="469" t="n"/>
      <c r="K630" s="469" t="n"/>
      <c r="L630" s="469" t="n"/>
      <c r="M630" s="469" t="n"/>
      <c r="N630" s="469" t="n"/>
      <c r="O630" s="469" t="n"/>
      <c r="P630" s="471" t="n"/>
      <c r="Q630" s="469" t="n"/>
      <c r="R630" s="469" t="n"/>
      <c r="S630" s="469" t="n"/>
      <c r="T630" s="469" t="n"/>
      <c r="U630" s="469" t="n"/>
      <c r="V630" s="469" t="n"/>
      <c r="W630" s="469" t="n"/>
      <c r="X630" s="469" t="n"/>
      <c r="Y630" s="469" t="n"/>
      <c r="Z630" s="469" t="n"/>
      <c r="AA630" s="469" t="n"/>
    </row>
    <row r="631">
      <c r="A631" s="468" t="n"/>
      <c r="B631" s="469" t="n"/>
      <c r="C631" s="469" t="n"/>
      <c r="D631" s="469" t="n"/>
      <c r="E631" s="469" t="n"/>
      <c r="F631" s="469" t="n"/>
      <c r="G631" s="469" t="n"/>
      <c r="H631" s="469" t="n"/>
      <c r="I631" s="469" t="n"/>
      <c r="J631" s="469" t="n"/>
      <c r="K631" s="469" t="n"/>
      <c r="L631" s="469" t="n"/>
      <c r="M631" s="469" t="n"/>
      <c r="N631" s="469" t="n"/>
      <c r="O631" s="469" t="n"/>
      <c r="P631" s="471" t="n"/>
      <c r="Q631" s="469" t="n"/>
      <c r="R631" s="469" t="n"/>
      <c r="S631" s="469" t="n"/>
      <c r="T631" s="469" t="n"/>
      <c r="U631" s="469" t="n"/>
      <c r="V631" s="469" t="n"/>
      <c r="W631" s="469" t="n"/>
      <c r="X631" s="469" t="n"/>
      <c r="Y631" s="469" t="n"/>
      <c r="Z631" s="469" t="n"/>
      <c r="AA631" s="469" t="n"/>
    </row>
    <row r="632">
      <c r="A632" s="468" t="n"/>
      <c r="B632" s="469" t="n"/>
      <c r="C632" s="469" t="n"/>
      <c r="D632" s="469" t="n"/>
      <c r="E632" s="469" t="n"/>
      <c r="F632" s="469" t="n"/>
      <c r="G632" s="469" t="n"/>
      <c r="H632" s="469" t="n"/>
      <c r="I632" s="469" t="n"/>
      <c r="J632" s="469" t="n"/>
      <c r="K632" s="469" t="n"/>
      <c r="L632" s="469" t="n"/>
      <c r="M632" s="469" t="n"/>
      <c r="N632" s="469" t="n"/>
      <c r="O632" s="469" t="n"/>
      <c r="P632" s="471" t="n"/>
      <c r="Q632" s="469" t="n"/>
      <c r="R632" s="469" t="n"/>
      <c r="S632" s="469" t="n"/>
      <c r="T632" s="469" t="n"/>
      <c r="U632" s="469" t="n"/>
      <c r="V632" s="469" t="n"/>
      <c r="W632" s="469" t="n"/>
      <c r="X632" s="469" t="n"/>
      <c r="Y632" s="469" t="n"/>
      <c r="Z632" s="469" t="n"/>
      <c r="AA632" s="469" t="n"/>
    </row>
    <row r="633">
      <c r="A633" s="468" t="n"/>
      <c r="B633" s="469" t="n"/>
      <c r="C633" s="469" t="n"/>
      <c r="D633" s="469" t="n"/>
      <c r="E633" s="469" t="n"/>
      <c r="F633" s="469" t="n"/>
      <c r="G633" s="469" t="n"/>
      <c r="H633" s="469" t="n"/>
      <c r="I633" s="469" t="n"/>
      <c r="J633" s="469" t="n"/>
      <c r="K633" s="469" t="n"/>
      <c r="L633" s="469" t="n"/>
      <c r="M633" s="469" t="n"/>
      <c r="N633" s="469" t="n"/>
      <c r="O633" s="469" t="n"/>
      <c r="P633" s="471" t="n"/>
      <c r="Q633" s="469" t="n"/>
      <c r="R633" s="469" t="n"/>
      <c r="S633" s="469" t="n"/>
      <c r="T633" s="469" t="n"/>
      <c r="U633" s="469" t="n"/>
      <c r="V633" s="469" t="n"/>
      <c r="W633" s="469" t="n"/>
      <c r="X633" s="469" t="n"/>
      <c r="Y633" s="469" t="n"/>
      <c r="Z633" s="469" t="n"/>
      <c r="AA633" s="469" t="n"/>
    </row>
    <row r="634">
      <c r="A634" s="468" t="n"/>
      <c r="B634" s="469" t="n"/>
      <c r="C634" s="469" t="n"/>
      <c r="D634" s="469" t="n"/>
      <c r="E634" s="469" t="n"/>
      <c r="F634" s="469" t="n"/>
      <c r="G634" s="469" t="n"/>
      <c r="H634" s="469" t="n"/>
      <c r="I634" s="469" t="n"/>
      <c r="J634" s="469" t="n"/>
      <c r="K634" s="469" t="n"/>
      <c r="L634" s="469" t="n"/>
      <c r="M634" s="469" t="n"/>
      <c r="N634" s="469" t="n"/>
      <c r="O634" s="469" t="n"/>
      <c r="P634" s="471" t="n"/>
      <c r="Q634" s="469" t="n"/>
      <c r="R634" s="469" t="n"/>
      <c r="S634" s="469" t="n"/>
      <c r="T634" s="469" t="n"/>
      <c r="U634" s="469" t="n"/>
      <c r="V634" s="469" t="n"/>
      <c r="W634" s="469" t="n"/>
      <c r="X634" s="469" t="n"/>
      <c r="Y634" s="469" t="n"/>
      <c r="Z634" s="469" t="n"/>
      <c r="AA634" s="469" t="n"/>
    </row>
    <row r="635">
      <c r="A635" s="468" t="n"/>
      <c r="B635" s="469" t="n"/>
      <c r="C635" s="469" t="n"/>
      <c r="D635" s="469" t="n"/>
      <c r="E635" s="469" t="n"/>
      <c r="F635" s="469" t="n"/>
      <c r="G635" s="469" t="n"/>
      <c r="H635" s="469" t="n"/>
      <c r="I635" s="469" t="n"/>
      <c r="J635" s="469" t="n"/>
      <c r="K635" s="469" t="n"/>
      <c r="L635" s="469" t="n"/>
      <c r="M635" s="469" t="n"/>
      <c r="N635" s="469" t="n"/>
      <c r="O635" s="469" t="n"/>
      <c r="P635" s="471" t="n"/>
      <c r="Q635" s="469" t="n"/>
      <c r="R635" s="469" t="n"/>
      <c r="S635" s="469" t="n"/>
      <c r="T635" s="469" t="n"/>
      <c r="U635" s="469" t="n"/>
      <c r="V635" s="469" t="n"/>
      <c r="W635" s="469" t="n"/>
      <c r="X635" s="469" t="n"/>
      <c r="Y635" s="469" t="n"/>
      <c r="Z635" s="469" t="n"/>
      <c r="AA635" s="469" t="n"/>
    </row>
    <row r="636">
      <c r="A636" s="468" t="n"/>
      <c r="B636" s="469" t="n"/>
      <c r="C636" s="469" t="n"/>
      <c r="D636" s="469" t="n"/>
      <c r="E636" s="469" t="n"/>
      <c r="F636" s="469" t="n"/>
      <c r="G636" s="469" t="n"/>
      <c r="H636" s="469" t="n"/>
      <c r="I636" s="469" t="n"/>
      <c r="J636" s="469" t="n"/>
      <c r="K636" s="469" t="n"/>
      <c r="L636" s="469" t="n"/>
      <c r="M636" s="469" t="n"/>
      <c r="N636" s="469" t="n"/>
      <c r="O636" s="469" t="n"/>
      <c r="P636" s="471" t="n"/>
      <c r="Q636" s="469" t="n"/>
      <c r="R636" s="469" t="n"/>
      <c r="S636" s="469" t="n"/>
      <c r="T636" s="469" t="n"/>
      <c r="U636" s="469" t="n"/>
      <c r="V636" s="469" t="n"/>
      <c r="W636" s="469" t="n"/>
      <c r="X636" s="469" t="n"/>
      <c r="Y636" s="469" t="n"/>
      <c r="Z636" s="469" t="n"/>
      <c r="AA636" s="469" t="n"/>
    </row>
    <row r="637">
      <c r="A637" s="468" t="n"/>
      <c r="B637" s="469" t="n"/>
      <c r="C637" s="469" t="n"/>
      <c r="D637" s="469" t="n"/>
      <c r="E637" s="469" t="n"/>
      <c r="F637" s="469" t="n"/>
      <c r="G637" s="469" t="n"/>
      <c r="H637" s="469" t="n"/>
      <c r="I637" s="469" t="n"/>
      <c r="J637" s="469" t="n"/>
      <c r="K637" s="469" t="n"/>
      <c r="L637" s="469" t="n"/>
      <c r="M637" s="469" t="n"/>
      <c r="N637" s="469" t="n"/>
      <c r="O637" s="469" t="n"/>
      <c r="P637" s="471" t="n"/>
      <c r="Q637" s="469" t="n"/>
      <c r="R637" s="469" t="n"/>
      <c r="S637" s="469" t="n"/>
      <c r="T637" s="469" t="n"/>
      <c r="U637" s="469" t="n"/>
      <c r="V637" s="469" t="n"/>
      <c r="W637" s="469" t="n"/>
      <c r="X637" s="469" t="n"/>
      <c r="Y637" s="469" t="n"/>
      <c r="Z637" s="469" t="n"/>
      <c r="AA637" s="469" t="n"/>
    </row>
    <row r="638">
      <c r="A638" s="468" t="n"/>
      <c r="B638" s="469" t="n"/>
      <c r="C638" s="469" t="n"/>
      <c r="D638" s="469" t="n"/>
      <c r="E638" s="469" t="n"/>
      <c r="F638" s="469" t="n"/>
      <c r="G638" s="469" t="n"/>
      <c r="H638" s="469" t="n"/>
      <c r="I638" s="469" t="n"/>
      <c r="J638" s="469" t="n"/>
      <c r="K638" s="469" t="n"/>
      <c r="L638" s="469" t="n"/>
      <c r="M638" s="469" t="n"/>
      <c r="N638" s="469" t="n"/>
      <c r="O638" s="469" t="n"/>
      <c r="P638" s="471" t="n"/>
      <c r="Q638" s="469" t="n"/>
      <c r="R638" s="469" t="n"/>
      <c r="S638" s="469" t="n"/>
      <c r="T638" s="469" t="n"/>
      <c r="U638" s="469" t="n"/>
      <c r="V638" s="469" t="n"/>
      <c r="W638" s="469" t="n"/>
      <c r="X638" s="469" t="n"/>
      <c r="Y638" s="469" t="n"/>
      <c r="Z638" s="469" t="n"/>
      <c r="AA638" s="469" t="n"/>
    </row>
    <row r="639">
      <c r="A639" s="468" t="n"/>
      <c r="B639" s="469" t="n"/>
      <c r="C639" s="469" t="n"/>
      <c r="D639" s="469" t="n"/>
      <c r="E639" s="469" t="n"/>
      <c r="F639" s="469" t="n"/>
      <c r="G639" s="469" t="n"/>
      <c r="H639" s="469" t="n"/>
      <c r="I639" s="469" t="n"/>
      <c r="J639" s="469" t="n"/>
      <c r="K639" s="469" t="n"/>
      <c r="L639" s="469" t="n"/>
      <c r="M639" s="469" t="n"/>
      <c r="N639" s="469" t="n"/>
      <c r="O639" s="469" t="n"/>
      <c r="P639" s="471" t="n"/>
      <c r="Q639" s="469" t="n"/>
      <c r="R639" s="469" t="n"/>
      <c r="S639" s="469" t="n"/>
      <c r="T639" s="469" t="n"/>
      <c r="U639" s="469" t="n"/>
      <c r="V639" s="469" t="n"/>
      <c r="W639" s="469" t="n"/>
      <c r="X639" s="469" t="n"/>
      <c r="Y639" s="469" t="n"/>
      <c r="Z639" s="469" t="n"/>
      <c r="AA639" s="469" t="n"/>
    </row>
    <row r="640">
      <c r="A640" s="468" t="n"/>
      <c r="B640" s="469" t="n"/>
      <c r="C640" s="469" t="n"/>
      <c r="D640" s="469" t="n"/>
      <c r="E640" s="469" t="n"/>
      <c r="F640" s="469" t="n"/>
      <c r="G640" s="469" t="n"/>
      <c r="H640" s="469" t="n"/>
      <c r="I640" s="469" t="n"/>
      <c r="J640" s="469" t="n"/>
      <c r="K640" s="469" t="n"/>
      <c r="L640" s="469" t="n"/>
      <c r="M640" s="469" t="n"/>
      <c r="N640" s="469" t="n"/>
      <c r="O640" s="469" t="n"/>
      <c r="P640" s="471" t="n"/>
      <c r="Q640" s="469" t="n"/>
      <c r="R640" s="469" t="n"/>
      <c r="S640" s="469" t="n"/>
      <c r="T640" s="469" t="n"/>
      <c r="U640" s="469" t="n"/>
      <c r="V640" s="469" t="n"/>
      <c r="W640" s="469" t="n"/>
      <c r="X640" s="469" t="n"/>
      <c r="Y640" s="469" t="n"/>
      <c r="Z640" s="469" t="n"/>
      <c r="AA640" s="469" t="n"/>
    </row>
    <row r="641">
      <c r="A641" s="468" t="n"/>
      <c r="B641" s="469" t="n"/>
      <c r="C641" s="469" t="n"/>
      <c r="D641" s="469" t="n"/>
      <c r="E641" s="469" t="n"/>
      <c r="F641" s="469" t="n"/>
      <c r="G641" s="469" t="n"/>
      <c r="H641" s="469" t="n"/>
      <c r="I641" s="469" t="n"/>
      <c r="J641" s="469" t="n"/>
      <c r="K641" s="469" t="n"/>
      <c r="L641" s="469" t="n"/>
      <c r="M641" s="469" t="n"/>
      <c r="N641" s="469" t="n"/>
      <c r="O641" s="469" t="n"/>
      <c r="P641" s="471" t="n"/>
      <c r="Q641" s="469" t="n"/>
      <c r="R641" s="469" t="n"/>
      <c r="S641" s="469" t="n"/>
      <c r="T641" s="469" t="n"/>
      <c r="U641" s="469" t="n"/>
      <c r="V641" s="469" t="n"/>
      <c r="W641" s="469" t="n"/>
      <c r="X641" s="469" t="n"/>
      <c r="Y641" s="469" t="n"/>
      <c r="Z641" s="469" t="n"/>
      <c r="AA641" s="469" t="n"/>
    </row>
    <row r="642">
      <c r="A642" s="468" t="n"/>
      <c r="B642" s="469" t="n"/>
      <c r="C642" s="469" t="n"/>
      <c r="D642" s="469" t="n"/>
      <c r="E642" s="469" t="n"/>
      <c r="F642" s="469" t="n"/>
      <c r="G642" s="469" t="n"/>
      <c r="H642" s="469" t="n"/>
      <c r="I642" s="469" t="n"/>
      <c r="J642" s="469" t="n"/>
      <c r="K642" s="469" t="n"/>
      <c r="L642" s="469" t="n"/>
      <c r="M642" s="469" t="n"/>
      <c r="N642" s="469" t="n"/>
      <c r="O642" s="469" t="n"/>
      <c r="P642" s="471" t="n"/>
      <c r="Q642" s="469" t="n"/>
      <c r="R642" s="469" t="n"/>
      <c r="S642" s="469" t="n"/>
      <c r="T642" s="469" t="n"/>
      <c r="U642" s="469" t="n"/>
      <c r="V642" s="469" t="n"/>
      <c r="W642" s="469" t="n"/>
      <c r="X642" s="469" t="n"/>
      <c r="Y642" s="469" t="n"/>
      <c r="Z642" s="469" t="n"/>
      <c r="AA642" s="469" t="n"/>
    </row>
    <row r="643">
      <c r="A643" s="468" t="n"/>
      <c r="B643" s="469" t="n"/>
      <c r="C643" s="469" t="n"/>
      <c r="D643" s="469" t="n"/>
      <c r="E643" s="469" t="n"/>
      <c r="F643" s="469" t="n"/>
      <c r="G643" s="469" t="n"/>
      <c r="H643" s="469" t="n"/>
      <c r="I643" s="469" t="n"/>
      <c r="J643" s="469" t="n"/>
      <c r="K643" s="469" t="n"/>
      <c r="L643" s="469" t="n"/>
      <c r="M643" s="469" t="n"/>
      <c r="N643" s="469" t="n"/>
      <c r="O643" s="469" t="n"/>
      <c r="P643" s="471" t="n"/>
      <c r="Q643" s="469" t="n"/>
      <c r="R643" s="469" t="n"/>
      <c r="S643" s="469" t="n"/>
      <c r="T643" s="469" t="n"/>
      <c r="U643" s="469" t="n"/>
      <c r="V643" s="469" t="n"/>
      <c r="W643" s="469" t="n"/>
      <c r="X643" s="469" t="n"/>
      <c r="Y643" s="469" t="n"/>
      <c r="Z643" s="469" t="n"/>
      <c r="AA643" s="469" t="n"/>
    </row>
    <row r="644">
      <c r="A644" s="468" t="n"/>
      <c r="B644" s="469" t="n"/>
      <c r="C644" s="469" t="n"/>
      <c r="D644" s="469" t="n"/>
      <c r="E644" s="469" t="n"/>
      <c r="F644" s="469" t="n"/>
      <c r="G644" s="469" t="n"/>
      <c r="H644" s="469" t="n"/>
      <c r="I644" s="469" t="n"/>
      <c r="J644" s="469" t="n"/>
      <c r="K644" s="469" t="n"/>
      <c r="L644" s="469" t="n"/>
      <c r="M644" s="469" t="n"/>
      <c r="N644" s="469" t="n"/>
      <c r="O644" s="469" t="n"/>
      <c r="P644" s="471" t="n"/>
      <c r="Q644" s="469" t="n"/>
      <c r="R644" s="469" t="n"/>
      <c r="S644" s="469" t="n"/>
      <c r="T644" s="469" t="n"/>
      <c r="U644" s="469" t="n"/>
      <c r="V644" s="469" t="n"/>
      <c r="W644" s="469" t="n"/>
      <c r="X644" s="469" t="n"/>
      <c r="Y644" s="469" t="n"/>
      <c r="Z644" s="469" t="n"/>
      <c r="AA644" s="469" t="n"/>
    </row>
    <row r="645">
      <c r="A645" s="468" t="n"/>
      <c r="B645" s="469" t="n"/>
      <c r="C645" s="469" t="n"/>
      <c r="D645" s="469" t="n"/>
      <c r="E645" s="469" t="n"/>
      <c r="F645" s="469" t="n"/>
      <c r="G645" s="469" t="n"/>
      <c r="H645" s="469" t="n"/>
      <c r="I645" s="469" t="n"/>
      <c r="J645" s="469" t="n"/>
      <c r="K645" s="469" t="n"/>
      <c r="L645" s="469" t="n"/>
      <c r="M645" s="469" t="n"/>
      <c r="N645" s="469" t="n"/>
      <c r="O645" s="469" t="n"/>
      <c r="P645" s="471" t="n"/>
      <c r="Q645" s="469" t="n"/>
      <c r="R645" s="469" t="n"/>
      <c r="S645" s="469" t="n"/>
      <c r="T645" s="469" t="n"/>
      <c r="U645" s="469" t="n"/>
      <c r="V645" s="469" t="n"/>
      <c r="W645" s="469" t="n"/>
      <c r="X645" s="469" t="n"/>
      <c r="Y645" s="469" t="n"/>
      <c r="Z645" s="469" t="n"/>
      <c r="AA645" s="469" t="n"/>
    </row>
    <row r="646">
      <c r="A646" s="468" t="n"/>
      <c r="B646" s="469" t="n"/>
      <c r="C646" s="469" t="n"/>
      <c r="D646" s="469" t="n"/>
      <c r="E646" s="469" t="n"/>
      <c r="F646" s="469" t="n"/>
      <c r="G646" s="469" t="n"/>
      <c r="H646" s="469" t="n"/>
      <c r="I646" s="469" t="n"/>
      <c r="J646" s="469" t="n"/>
      <c r="K646" s="469" t="n"/>
      <c r="L646" s="469" t="n"/>
      <c r="M646" s="469" t="n"/>
      <c r="N646" s="469" t="n"/>
      <c r="O646" s="469" t="n"/>
      <c r="P646" s="471" t="n"/>
      <c r="Q646" s="469" t="n"/>
      <c r="R646" s="469" t="n"/>
      <c r="S646" s="469" t="n"/>
      <c r="T646" s="469" t="n"/>
      <c r="U646" s="469" t="n"/>
      <c r="V646" s="469" t="n"/>
      <c r="W646" s="469" t="n"/>
      <c r="X646" s="469" t="n"/>
      <c r="Y646" s="469" t="n"/>
      <c r="Z646" s="469" t="n"/>
      <c r="AA646" s="469" t="n"/>
    </row>
    <row r="647">
      <c r="A647" s="468" t="n"/>
      <c r="B647" s="469" t="n"/>
      <c r="C647" s="469" t="n"/>
      <c r="D647" s="469" t="n"/>
      <c r="E647" s="469" t="n"/>
      <c r="F647" s="469" t="n"/>
      <c r="G647" s="469" t="n"/>
      <c r="H647" s="469" t="n"/>
      <c r="I647" s="469" t="n"/>
      <c r="J647" s="469" t="n"/>
      <c r="K647" s="469" t="n"/>
      <c r="L647" s="469" t="n"/>
      <c r="M647" s="469" t="n"/>
      <c r="N647" s="469" t="n"/>
      <c r="O647" s="469" t="n"/>
      <c r="P647" s="471" t="n"/>
      <c r="Q647" s="469" t="n"/>
      <c r="R647" s="469" t="n"/>
      <c r="S647" s="469" t="n"/>
      <c r="T647" s="469" t="n"/>
      <c r="U647" s="469" t="n"/>
      <c r="V647" s="469" t="n"/>
      <c r="W647" s="469" t="n"/>
      <c r="X647" s="469" t="n"/>
      <c r="Y647" s="469" t="n"/>
      <c r="Z647" s="469" t="n"/>
      <c r="AA647" s="469" t="n"/>
    </row>
    <row r="648">
      <c r="A648" s="468" t="n"/>
      <c r="B648" s="469" t="n"/>
      <c r="C648" s="469" t="n"/>
      <c r="D648" s="469" t="n"/>
      <c r="E648" s="469" t="n"/>
      <c r="F648" s="469" t="n"/>
      <c r="G648" s="469" t="n"/>
      <c r="H648" s="469" t="n"/>
      <c r="I648" s="469" t="n"/>
      <c r="J648" s="469" t="n"/>
      <c r="K648" s="469" t="n"/>
      <c r="L648" s="469" t="n"/>
      <c r="M648" s="469" t="n"/>
      <c r="N648" s="469" t="n"/>
      <c r="O648" s="469" t="n"/>
      <c r="P648" s="471" t="n"/>
      <c r="Q648" s="469" t="n"/>
      <c r="R648" s="469" t="n"/>
      <c r="S648" s="469" t="n"/>
      <c r="T648" s="469" t="n"/>
      <c r="U648" s="469" t="n"/>
      <c r="V648" s="469" t="n"/>
      <c r="W648" s="469" t="n"/>
      <c r="X648" s="469" t="n"/>
      <c r="Y648" s="469" t="n"/>
      <c r="Z648" s="469" t="n"/>
      <c r="AA648" s="469" t="n"/>
    </row>
    <row r="649">
      <c r="A649" s="468" t="n"/>
      <c r="B649" s="469" t="n"/>
      <c r="C649" s="469" t="n"/>
      <c r="D649" s="469" t="n"/>
      <c r="E649" s="469" t="n"/>
      <c r="F649" s="469" t="n"/>
      <c r="G649" s="469" t="n"/>
      <c r="H649" s="469" t="n"/>
      <c r="I649" s="469" t="n"/>
      <c r="J649" s="469" t="n"/>
      <c r="K649" s="469" t="n"/>
      <c r="L649" s="469" t="n"/>
      <c r="M649" s="469" t="n"/>
      <c r="N649" s="469" t="n"/>
      <c r="O649" s="469" t="n"/>
      <c r="P649" s="471" t="n"/>
      <c r="Q649" s="469" t="n"/>
      <c r="R649" s="469" t="n"/>
      <c r="S649" s="469" t="n"/>
      <c r="T649" s="469" t="n"/>
      <c r="U649" s="469" t="n"/>
      <c r="V649" s="469" t="n"/>
      <c r="W649" s="469" t="n"/>
      <c r="X649" s="469" t="n"/>
      <c r="Y649" s="469" t="n"/>
      <c r="Z649" s="469" t="n"/>
      <c r="AA649" s="469" t="n"/>
    </row>
    <row r="650">
      <c r="A650" s="468" t="n"/>
      <c r="B650" s="469" t="n"/>
      <c r="C650" s="469" t="n"/>
      <c r="D650" s="469" t="n"/>
      <c r="E650" s="469" t="n"/>
      <c r="F650" s="469" t="n"/>
      <c r="G650" s="469" t="n"/>
      <c r="H650" s="469" t="n"/>
      <c r="I650" s="469" t="n"/>
      <c r="J650" s="469" t="n"/>
      <c r="K650" s="469" t="n"/>
      <c r="L650" s="469" t="n"/>
      <c r="M650" s="469" t="n"/>
      <c r="N650" s="469" t="n"/>
      <c r="O650" s="469" t="n"/>
      <c r="P650" s="471" t="n"/>
      <c r="Q650" s="469" t="n"/>
      <c r="R650" s="469" t="n"/>
      <c r="S650" s="469" t="n"/>
      <c r="T650" s="469" t="n"/>
      <c r="U650" s="469" t="n"/>
      <c r="V650" s="469" t="n"/>
      <c r="W650" s="469" t="n"/>
      <c r="X650" s="469" t="n"/>
      <c r="Y650" s="469" t="n"/>
      <c r="Z650" s="469" t="n"/>
      <c r="AA650" s="469" t="n"/>
    </row>
    <row r="651">
      <c r="A651" s="468" t="n"/>
      <c r="B651" s="469" t="n"/>
      <c r="C651" s="469" t="n"/>
      <c r="D651" s="469" t="n"/>
      <c r="E651" s="469" t="n"/>
      <c r="F651" s="469" t="n"/>
      <c r="G651" s="469" t="n"/>
      <c r="H651" s="469" t="n"/>
      <c r="I651" s="469" t="n"/>
      <c r="J651" s="469" t="n"/>
      <c r="K651" s="469" t="n"/>
      <c r="L651" s="469" t="n"/>
      <c r="M651" s="469" t="n"/>
      <c r="N651" s="469" t="n"/>
      <c r="O651" s="469" t="n"/>
      <c r="P651" s="471" t="n"/>
      <c r="Q651" s="469" t="n"/>
      <c r="R651" s="469" t="n"/>
      <c r="S651" s="469" t="n"/>
      <c r="T651" s="469" t="n"/>
      <c r="U651" s="469" t="n"/>
      <c r="V651" s="469" t="n"/>
      <c r="W651" s="469" t="n"/>
      <c r="X651" s="469" t="n"/>
      <c r="Y651" s="469" t="n"/>
      <c r="Z651" s="469" t="n"/>
      <c r="AA651" s="469" t="n"/>
    </row>
    <row r="652">
      <c r="A652" s="468" t="n"/>
      <c r="B652" s="469" t="n"/>
      <c r="C652" s="469" t="n"/>
      <c r="D652" s="469" t="n"/>
      <c r="E652" s="469" t="n"/>
      <c r="F652" s="469" t="n"/>
      <c r="G652" s="469" t="n"/>
      <c r="H652" s="469" t="n"/>
      <c r="I652" s="469" t="n"/>
      <c r="J652" s="469" t="n"/>
      <c r="K652" s="469" t="n"/>
      <c r="L652" s="469" t="n"/>
      <c r="M652" s="469" t="n"/>
      <c r="N652" s="469" t="n"/>
      <c r="O652" s="469" t="n"/>
      <c r="P652" s="471" t="n"/>
      <c r="Q652" s="469" t="n"/>
      <c r="R652" s="469" t="n"/>
      <c r="S652" s="469" t="n"/>
      <c r="T652" s="469" t="n"/>
      <c r="U652" s="469" t="n"/>
      <c r="V652" s="469" t="n"/>
      <c r="W652" s="469" t="n"/>
      <c r="X652" s="469" t="n"/>
      <c r="Y652" s="469" t="n"/>
      <c r="Z652" s="469" t="n"/>
      <c r="AA652" s="469" t="n"/>
    </row>
    <row r="653">
      <c r="A653" s="468" t="n"/>
      <c r="B653" s="469" t="n"/>
      <c r="C653" s="469" t="n"/>
      <c r="D653" s="469" t="n"/>
      <c r="E653" s="469" t="n"/>
      <c r="F653" s="469" t="n"/>
      <c r="G653" s="469" t="n"/>
      <c r="H653" s="469" t="n"/>
      <c r="I653" s="469" t="n"/>
      <c r="J653" s="469" t="n"/>
      <c r="K653" s="469" t="n"/>
      <c r="L653" s="469" t="n"/>
      <c r="M653" s="469" t="n"/>
      <c r="N653" s="469" t="n"/>
      <c r="O653" s="469" t="n"/>
      <c r="P653" s="471" t="n"/>
      <c r="Q653" s="469" t="n"/>
      <c r="R653" s="469" t="n"/>
      <c r="S653" s="469" t="n"/>
      <c r="T653" s="469" t="n"/>
      <c r="U653" s="469" t="n"/>
      <c r="V653" s="469" t="n"/>
      <c r="W653" s="469" t="n"/>
      <c r="X653" s="469" t="n"/>
      <c r="Y653" s="469" t="n"/>
      <c r="Z653" s="469" t="n"/>
      <c r="AA653" s="469" t="n"/>
    </row>
    <row r="654">
      <c r="A654" s="468" t="n"/>
      <c r="B654" s="469" t="n"/>
      <c r="C654" s="469" t="n"/>
      <c r="D654" s="469" t="n"/>
      <c r="E654" s="469" t="n"/>
      <c r="F654" s="469" t="n"/>
      <c r="G654" s="469" t="n"/>
      <c r="H654" s="469" t="n"/>
      <c r="I654" s="469" t="n"/>
      <c r="J654" s="469" t="n"/>
      <c r="K654" s="469" t="n"/>
      <c r="L654" s="469" t="n"/>
      <c r="M654" s="469" t="n"/>
      <c r="N654" s="469" t="n"/>
      <c r="O654" s="469" t="n"/>
      <c r="P654" s="471" t="n"/>
      <c r="Q654" s="469" t="n"/>
      <c r="R654" s="469" t="n"/>
      <c r="S654" s="469" t="n"/>
      <c r="T654" s="469" t="n"/>
      <c r="U654" s="469" t="n"/>
      <c r="V654" s="469" t="n"/>
      <c r="W654" s="469" t="n"/>
      <c r="X654" s="469" t="n"/>
      <c r="Y654" s="469" t="n"/>
      <c r="Z654" s="469" t="n"/>
      <c r="AA654" s="469" t="n"/>
    </row>
    <row r="655">
      <c r="A655" s="468" t="n"/>
      <c r="B655" s="469" t="n"/>
      <c r="C655" s="469" t="n"/>
      <c r="D655" s="469" t="n"/>
      <c r="E655" s="469" t="n"/>
      <c r="F655" s="469" t="n"/>
      <c r="G655" s="469" t="n"/>
      <c r="H655" s="469" t="n"/>
      <c r="I655" s="469" t="n"/>
      <c r="J655" s="469" t="n"/>
      <c r="K655" s="469" t="n"/>
      <c r="L655" s="469" t="n"/>
      <c r="M655" s="469" t="n"/>
      <c r="N655" s="469" t="n"/>
      <c r="O655" s="469" t="n"/>
      <c r="P655" s="471" t="n"/>
      <c r="Q655" s="469" t="n"/>
      <c r="R655" s="469" t="n"/>
      <c r="S655" s="469" t="n"/>
      <c r="T655" s="469" t="n"/>
      <c r="U655" s="469" t="n"/>
      <c r="V655" s="469" t="n"/>
      <c r="W655" s="469" t="n"/>
      <c r="X655" s="469" t="n"/>
      <c r="Y655" s="469" t="n"/>
      <c r="Z655" s="469" t="n"/>
      <c r="AA655" s="469" t="n"/>
    </row>
    <row r="656">
      <c r="A656" s="468" t="n"/>
      <c r="B656" s="469" t="n"/>
      <c r="C656" s="469" t="n"/>
      <c r="D656" s="469" t="n"/>
      <c r="E656" s="469" t="n"/>
      <c r="F656" s="469" t="n"/>
      <c r="G656" s="469" t="n"/>
      <c r="H656" s="469" t="n"/>
      <c r="I656" s="469" t="n"/>
      <c r="J656" s="469" t="n"/>
      <c r="K656" s="469" t="n"/>
      <c r="L656" s="469" t="n"/>
      <c r="M656" s="469" t="n"/>
      <c r="N656" s="469" t="n"/>
      <c r="O656" s="469" t="n"/>
      <c r="P656" s="471" t="n"/>
      <c r="Q656" s="469" t="n"/>
      <c r="R656" s="469" t="n"/>
      <c r="S656" s="469" t="n"/>
      <c r="T656" s="469" t="n"/>
      <c r="U656" s="469" t="n"/>
      <c r="V656" s="469" t="n"/>
      <c r="W656" s="469" t="n"/>
      <c r="X656" s="469" t="n"/>
      <c r="Y656" s="469" t="n"/>
      <c r="Z656" s="469" t="n"/>
      <c r="AA656" s="469" t="n"/>
    </row>
    <row r="657">
      <c r="A657" s="468" t="n"/>
      <c r="B657" s="469" t="n"/>
      <c r="C657" s="469" t="n"/>
      <c r="D657" s="469" t="n"/>
      <c r="E657" s="469" t="n"/>
      <c r="F657" s="469" t="n"/>
      <c r="G657" s="469" t="n"/>
      <c r="H657" s="469" t="n"/>
      <c r="I657" s="469" t="n"/>
      <c r="J657" s="469" t="n"/>
      <c r="K657" s="469" t="n"/>
      <c r="L657" s="469" t="n"/>
      <c r="M657" s="469" t="n"/>
      <c r="N657" s="469" t="n"/>
      <c r="O657" s="469" t="n"/>
      <c r="P657" s="471" t="n"/>
      <c r="Q657" s="469" t="n"/>
      <c r="R657" s="469" t="n"/>
      <c r="S657" s="469" t="n"/>
      <c r="T657" s="469" t="n"/>
      <c r="U657" s="469" t="n"/>
      <c r="V657" s="469" t="n"/>
      <c r="W657" s="469" t="n"/>
      <c r="X657" s="469" t="n"/>
      <c r="Y657" s="469" t="n"/>
      <c r="Z657" s="469" t="n"/>
      <c r="AA657" s="469" t="n"/>
    </row>
    <row r="658">
      <c r="A658" s="468" t="n"/>
      <c r="B658" s="469" t="n"/>
      <c r="C658" s="469" t="n"/>
      <c r="D658" s="469" t="n"/>
      <c r="E658" s="469" t="n"/>
      <c r="F658" s="469" t="n"/>
      <c r="G658" s="469" t="n"/>
      <c r="H658" s="469" t="n"/>
      <c r="I658" s="469" t="n"/>
      <c r="J658" s="469" t="n"/>
      <c r="K658" s="469" t="n"/>
      <c r="L658" s="469" t="n"/>
      <c r="M658" s="469" t="n"/>
      <c r="N658" s="469" t="n"/>
      <c r="O658" s="469" t="n"/>
      <c r="P658" s="471" t="n"/>
      <c r="Q658" s="469" t="n"/>
      <c r="R658" s="469" t="n"/>
      <c r="S658" s="469" t="n"/>
      <c r="T658" s="469" t="n"/>
      <c r="U658" s="469" t="n"/>
      <c r="V658" s="469" t="n"/>
      <c r="W658" s="469" t="n"/>
      <c r="X658" s="469" t="n"/>
      <c r="Y658" s="469" t="n"/>
      <c r="Z658" s="469" t="n"/>
      <c r="AA658" s="469" t="n"/>
    </row>
    <row r="659">
      <c r="A659" s="468" t="n"/>
      <c r="B659" s="469" t="n"/>
      <c r="C659" s="469" t="n"/>
      <c r="D659" s="469" t="n"/>
      <c r="E659" s="469" t="n"/>
      <c r="F659" s="469" t="n"/>
      <c r="G659" s="469" t="n"/>
      <c r="H659" s="469" t="n"/>
      <c r="I659" s="469" t="n"/>
      <c r="J659" s="469" t="n"/>
      <c r="K659" s="469" t="n"/>
      <c r="L659" s="469" t="n"/>
      <c r="M659" s="469" t="n"/>
      <c r="N659" s="469" t="n"/>
      <c r="O659" s="469" t="n"/>
      <c r="P659" s="471" t="n"/>
      <c r="Q659" s="469" t="n"/>
      <c r="R659" s="469" t="n"/>
      <c r="S659" s="469" t="n"/>
      <c r="T659" s="469" t="n"/>
      <c r="U659" s="469" t="n"/>
      <c r="V659" s="469" t="n"/>
      <c r="W659" s="469" t="n"/>
      <c r="X659" s="469" t="n"/>
      <c r="Y659" s="469" t="n"/>
      <c r="Z659" s="469" t="n"/>
      <c r="AA659" s="469" t="n"/>
    </row>
    <row r="660">
      <c r="A660" s="468" t="n"/>
      <c r="B660" s="469" t="n"/>
      <c r="C660" s="469" t="n"/>
      <c r="D660" s="469" t="n"/>
      <c r="E660" s="469" t="n"/>
      <c r="F660" s="469" t="n"/>
      <c r="G660" s="469" t="n"/>
      <c r="H660" s="469" t="n"/>
      <c r="I660" s="469" t="n"/>
      <c r="J660" s="469" t="n"/>
      <c r="K660" s="469" t="n"/>
      <c r="L660" s="469" t="n"/>
      <c r="M660" s="469" t="n"/>
      <c r="N660" s="469" t="n"/>
      <c r="O660" s="469" t="n"/>
      <c r="P660" s="471" t="n"/>
      <c r="Q660" s="469" t="n"/>
      <c r="R660" s="469" t="n"/>
      <c r="S660" s="469" t="n"/>
      <c r="T660" s="469" t="n"/>
      <c r="U660" s="469" t="n"/>
      <c r="V660" s="469" t="n"/>
      <c r="W660" s="469" t="n"/>
      <c r="X660" s="469" t="n"/>
      <c r="Y660" s="469" t="n"/>
      <c r="Z660" s="469" t="n"/>
      <c r="AA660" s="469" t="n"/>
    </row>
    <row r="661">
      <c r="A661" s="468" t="n"/>
      <c r="B661" s="469" t="n"/>
      <c r="C661" s="469" t="n"/>
      <c r="D661" s="469" t="n"/>
      <c r="E661" s="469" t="n"/>
      <c r="F661" s="469" t="n"/>
      <c r="G661" s="469" t="n"/>
      <c r="H661" s="469" t="n"/>
      <c r="I661" s="469" t="n"/>
      <c r="J661" s="469" t="n"/>
      <c r="K661" s="469" t="n"/>
      <c r="L661" s="469" t="n"/>
      <c r="M661" s="469" t="n"/>
      <c r="N661" s="469" t="n"/>
      <c r="O661" s="469" t="n"/>
      <c r="P661" s="471" t="n"/>
      <c r="Q661" s="469" t="n"/>
      <c r="R661" s="469" t="n"/>
      <c r="S661" s="469" t="n"/>
      <c r="T661" s="469" t="n"/>
      <c r="U661" s="469" t="n"/>
      <c r="V661" s="469" t="n"/>
      <c r="W661" s="469" t="n"/>
      <c r="X661" s="469" t="n"/>
      <c r="Y661" s="469" t="n"/>
      <c r="Z661" s="469" t="n"/>
      <c r="AA661" s="469" t="n"/>
    </row>
    <row r="662">
      <c r="A662" s="468" t="n"/>
      <c r="B662" s="469" t="n"/>
      <c r="C662" s="469" t="n"/>
      <c r="D662" s="469" t="n"/>
      <c r="E662" s="469" t="n"/>
      <c r="F662" s="469" t="n"/>
      <c r="G662" s="469" t="n"/>
      <c r="H662" s="469" t="n"/>
      <c r="I662" s="469" t="n"/>
      <c r="J662" s="469" t="n"/>
      <c r="K662" s="469" t="n"/>
      <c r="L662" s="469" t="n"/>
      <c r="M662" s="469" t="n"/>
      <c r="N662" s="469" t="n"/>
      <c r="O662" s="469" t="n"/>
      <c r="P662" s="471" t="n"/>
      <c r="Q662" s="469" t="n"/>
      <c r="R662" s="469" t="n"/>
      <c r="S662" s="469" t="n"/>
      <c r="T662" s="469" t="n"/>
      <c r="U662" s="469" t="n"/>
      <c r="V662" s="469" t="n"/>
      <c r="W662" s="469" t="n"/>
      <c r="X662" s="469" t="n"/>
      <c r="Y662" s="469" t="n"/>
      <c r="Z662" s="469" t="n"/>
      <c r="AA662" s="469" t="n"/>
    </row>
    <row r="663">
      <c r="A663" s="468" t="n"/>
      <c r="B663" s="469" t="n"/>
      <c r="C663" s="469" t="n"/>
      <c r="D663" s="469" t="n"/>
      <c r="E663" s="469" t="n"/>
      <c r="F663" s="469" t="n"/>
      <c r="G663" s="469" t="n"/>
      <c r="H663" s="469" t="n"/>
      <c r="I663" s="469" t="n"/>
      <c r="J663" s="469" t="n"/>
      <c r="K663" s="469" t="n"/>
      <c r="L663" s="469" t="n"/>
      <c r="M663" s="469" t="n"/>
      <c r="N663" s="469" t="n"/>
      <c r="O663" s="469" t="n"/>
      <c r="P663" s="471" t="n"/>
      <c r="Q663" s="469" t="n"/>
      <c r="R663" s="469" t="n"/>
      <c r="S663" s="469" t="n"/>
      <c r="T663" s="469" t="n"/>
      <c r="U663" s="469" t="n"/>
      <c r="V663" s="469" t="n"/>
      <c r="W663" s="469" t="n"/>
      <c r="X663" s="469" t="n"/>
      <c r="Y663" s="469" t="n"/>
      <c r="Z663" s="469" t="n"/>
      <c r="AA663" s="469" t="n"/>
    </row>
    <row r="664">
      <c r="A664" s="468" t="n"/>
      <c r="B664" s="469" t="n"/>
      <c r="C664" s="469" t="n"/>
      <c r="D664" s="469" t="n"/>
      <c r="E664" s="469" t="n"/>
      <c r="F664" s="469" t="n"/>
      <c r="G664" s="469" t="n"/>
      <c r="H664" s="469" t="n"/>
      <c r="I664" s="469" t="n"/>
      <c r="J664" s="469" t="n"/>
      <c r="K664" s="469" t="n"/>
      <c r="L664" s="469" t="n"/>
      <c r="M664" s="469" t="n"/>
      <c r="N664" s="469" t="n"/>
      <c r="O664" s="469" t="n"/>
      <c r="P664" s="471" t="n"/>
      <c r="Q664" s="469" t="n"/>
      <c r="R664" s="469" t="n"/>
      <c r="S664" s="469" t="n"/>
      <c r="T664" s="469" t="n"/>
      <c r="U664" s="469" t="n"/>
      <c r="V664" s="469" t="n"/>
      <c r="W664" s="469" t="n"/>
      <c r="X664" s="469" t="n"/>
      <c r="Y664" s="469" t="n"/>
      <c r="Z664" s="469" t="n"/>
      <c r="AA664" s="469" t="n"/>
    </row>
    <row r="665">
      <c r="A665" s="468" t="n"/>
      <c r="B665" s="469" t="n"/>
      <c r="C665" s="469" t="n"/>
      <c r="D665" s="469" t="n"/>
      <c r="E665" s="469" t="n"/>
      <c r="F665" s="469" t="n"/>
      <c r="G665" s="469" t="n"/>
      <c r="H665" s="469" t="n"/>
      <c r="I665" s="469" t="n"/>
      <c r="J665" s="469" t="n"/>
      <c r="K665" s="469" t="n"/>
      <c r="L665" s="469" t="n"/>
      <c r="M665" s="469" t="n"/>
      <c r="N665" s="469" t="n"/>
      <c r="O665" s="469" t="n"/>
      <c r="P665" s="471" t="n"/>
      <c r="Q665" s="469" t="n"/>
      <c r="R665" s="469" t="n"/>
      <c r="S665" s="469" t="n"/>
      <c r="T665" s="469" t="n"/>
      <c r="U665" s="469" t="n"/>
      <c r="V665" s="469" t="n"/>
      <c r="W665" s="469" t="n"/>
      <c r="X665" s="469" t="n"/>
      <c r="Y665" s="469" t="n"/>
      <c r="Z665" s="469" t="n"/>
      <c r="AA665" s="469" t="n"/>
    </row>
    <row r="666">
      <c r="A666" s="468" t="n"/>
      <c r="B666" s="469" t="n"/>
      <c r="C666" s="469" t="n"/>
      <c r="D666" s="469" t="n"/>
      <c r="E666" s="469" t="n"/>
      <c r="F666" s="469" t="n"/>
      <c r="G666" s="469" t="n"/>
      <c r="H666" s="469" t="n"/>
      <c r="I666" s="469" t="n"/>
      <c r="J666" s="469" t="n"/>
      <c r="K666" s="469" t="n"/>
      <c r="L666" s="469" t="n"/>
      <c r="M666" s="469" t="n"/>
      <c r="N666" s="469" t="n"/>
      <c r="O666" s="469" t="n"/>
      <c r="P666" s="471" t="n"/>
      <c r="Q666" s="469" t="n"/>
      <c r="R666" s="469" t="n"/>
      <c r="S666" s="469" t="n"/>
      <c r="T666" s="469" t="n"/>
      <c r="U666" s="469" t="n"/>
      <c r="V666" s="469" t="n"/>
      <c r="W666" s="469" t="n"/>
      <c r="X666" s="469" t="n"/>
      <c r="Y666" s="469" t="n"/>
      <c r="Z666" s="469" t="n"/>
      <c r="AA666" s="469" t="n"/>
    </row>
    <row r="667">
      <c r="A667" s="468" t="n"/>
      <c r="B667" s="469" t="n"/>
      <c r="C667" s="469" t="n"/>
      <c r="D667" s="469" t="n"/>
      <c r="E667" s="469" t="n"/>
      <c r="F667" s="469" t="n"/>
      <c r="G667" s="469" t="n"/>
      <c r="H667" s="469" t="n"/>
      <c r="I667" s="469" t="n"/>
      <c r="J667" s="469" t="n"/>
      <c r="K667" s="469" t="n"/>
      <c r="L667" s="469" t="n"/>
      <c r="M667" s="469" t="n"/>
      <c r="N667" s="469" t="n"/>
      <c r="O667" s="469" t="n"/>
      <c r="P667" s="471" t="n"/>
      <c r="Q667" s="469" t="n"/>
      <c r="R667" s="469" t="n"/>
      <c r="S667" s="469" t="n"/>
      <c r="T667" s="469" t="n"/>
      <c r="U667" s="469" t="n"/>
      <c r="V667" s="469" t="n"/>
      <c r="W667" s="469" t="n"/>
      <c r="X667" s="469" t="n"/>
      <c r="Y667" s="469" t="n"/>
      <c r="Z667" s="469" t="n"/>
      <c r="AA667" s="469" t="n"/>
    </row>
    <row r="668">
      <c r="A668" s="468" t="n"/>
      <c r="B668" s="469" t="n"/>
      <c r="C668" s="469" t="n"/>
      <c r="D668" s="469" t="n"/>
      <c r="E668" s="469" t="n"/>
      <c r="F668" s="469" t="n"/>
      <c r="G668" s="469" t="n"/>
      <c r="H668" s="469" t="n"/>
      <c r="I668" s="469" t="n"/>
      <c r="J668" s="469" t="n"/>
      <c r="K668" s="469" t="n"/>
      <c r="L668" s="469" t="n"/>
      <c r="M668" s="469" t="n"/>
      <c r="N668" s="469" t="n"/>
      <c r="O668" s="469" t="n"/>
      <c r="P668" s="471" t="n"/>
      <c r="Q668" s="469" t="n"/>
      <c r="R668" s="469" t="n"/>
      <c r="S668" s="469" t="n"/>
      <c r="T668" s="469" t="n"/>
      <c r="U668" s="469" t="n"/>
      <c r="V668" s="469" t="n"/>
      <c r="W668" s="469" t="n"/>
      <c r="X668" s="469" t="n"/>
      <c r="Y668" s="469" t="n"/>
      <c r="Z668" s="469" t="n"/>
      <c r="AA668" s="469" t="n"/>
    </row>
    <row r="669">
      <c r="A669" s="468" t="n"/>
      <c r="B669" s="469" t="n"/>
      <c r="C669" s="469" t="n"/>
      <c r="D669" s="469" t="n"/>
      <c r="E669" s="469" t="n"/>
      <c r="F669" s="469" t="n"/>
      <c r="G669" s="469" t="n"/>
      <c r="H669" s="469" t="n"/>
      <c r="I669" s="469" t="n"/>
      <c r="J669" s="469" t="n"/>
      <c r="K669" s="469" t="n"/>
      <c r="L669" s="469" t="n"/>
      <c r="M669" s="469" t="n"/>
      <c r="N669" s="469" t="n"/>
      <c r="O669" s="469" t="n"/>
      <c r="P669" s="471" t="n"/>
      <c r="Q669" s="469" t="n"/>
      <c r="R669" s="469" t="n"/>
      <c r="S669" s="469" t="n"/>
      <c r="T669" s="469" t="n"/>
      <c r="U669" s="469" t="n"/>
      <c r="V669" s="469" t="n"/>
      <c r="W669" s="469" t="n"/>
      <c r="X669" s="469" t="n"/>
      <c r="Y669" s="469" t="n"/>
      <c r="Z669" s="469" t="n"/>
      <c r="AA669" s="469" t="n"/>
    </row>
    <row r="670">
      <c r="A670" s="468" t="n"/>
      <c r="B670" s="469" t="n"/>
      <c r="C670" s="469" t="n"/>
      <c r="D670" s="469" t="n"/>
      <c r="E670" s="469" t="n"/>
      <c r="F670" s="469" t="n"/>
      <c r="G670" s="469" t="n"/>
      <c r="H670" s="469" t="n"/>
      <c r="I670" s="469" t="n"/>
      <c r="J670" s="469" t="n"/>
      <c r="K670" s="469" t="n"/>
      <c r="L670" s="469" t="n"/>
      <c r="M670" s="469" t="n"/>
      <c r="N670" s="469" t="n"/>
      <c r="O670" s="469" t="n"/>
      <c r="P670" s="471" t="n"/>
      <c r="Q670" s="469" t="n"/>
      <c r="R670" s="469" t="n"/>
      <c r="S670" s="469" t="n"/>
      <c r="T670" s="469" t="n"/>
      <c r="U670" s="469" t="n"/>
      <c r="V670" s="469" t="n"/>
      <c r="W670" s="469" t="n"/>
      <c r="X670" s="469" t="n"/>
      <c r="Y670" s="469" t="n"/>
      <c r="Z670" s="469" t="n"/>
      <c r="AA670" s="469" t="n"/>
    </row>
    <row r="671">
      <c r="A671" s="468" t="n"/>
      <c r="B671" s="469" t="n"/>
      <c r="C671" s="469" t="n"/>
      <c r="D671" s="469" t="n"/>
      <c r="E671" s="469" t="n"/>
      <c r="F671" s="469" t="n"/>
      <c r="G671" s="469" t="n"/>
      <c r="H671" s="469" t="n"/>
      <c r="I671" s="469" t="n"/>
      <c r="J671" s="469" t="n"/>
      <c r="K671" s="469" t="n"/>
      <c r="L671" s="469" t="n"/>
      <c r="M671" s="469" t="n"/>
      <c r="N671" s="469" t="n"/>
      <c r="O671" s="469" t="n"/>
      <c r="P671" s="471" t="n"/>
      <c r="Q671" s="469" t="n"/>
      <c r="R671" s="469" t="n"/>
      <c r="S671" s="469" t="n"/>
      <c r="T671" s="469" t="n"/>
      <c r="U671" s="469" t="n"/>
      <c r="V671" s="469" t="n"/>
      <c r="W671" s="469" t="n"/>
      <c r="X671" s="469" t="n"/>
      <c r="Y671" s="469" t="n"/>
      <c r="Z671" s="469" t="n"/>
      <c r="AA671" s="469" t="n"/>
    </row>
    <row r="672">
      <c r="A672" s="468" t="n"/>
      <c r="B672" s="469" t="n"/>
      <c r="C672" s="469" t="n"/>
      <c r="D672" s="469" t="n"/>
      <c r="E672" s="469" t="n"/>
      <c r="F672" s="469" t="n"/>
      <c r="G672" s="469" t="n"/>
      <c r="H672" s="469" t="n"/>
      <c r="I672" s="469" t="n"/>
      <c r="J672" s="469" t="n"/>
      <c r="K672" s="469" t="n"/>
      <c r="L672" s="469" t="n"/>
      <c r="M672" s="469" t="n"/>
      <c r="N672" s="469" t="n"/>
      <c r="O672" s="469" t="n"/>
      <c r="P672" s="471" t="n"/>
      <c r="Q672" s="469" t="n"/>
      <c r="R672" s="469" t="n"/>
      <c r="S672" s="469" t="n"/>
      <c r="T672" s="469" t="n"/>
      <c r="U672" s="469" t="n"/>
      <c r="V672" s="469" t="n"/>
      <c r="W672" s="469" t="n"/>
      <c r="X672" s="469" t="n"/>
      <c r="Y672" s="469" t="n"/>
      <c r="Z672" s="469" t="n"/>
      <c r="AA672" s="469" t="n"/>
    </row>
    <row r="673">
      <c r="A673" s="468" t="n"/>
      <c r="B673" s="469" t="n"/>
      <c r="C673" s="469" t="n"/>
      <c r="D673" s="469" t="n"/>
      <c r="E673" s="469" t="n"/>
      <c r="F673" s="469" t="n"/>
      <c r="G673" s="469" t="n"/>
      <c r="H673" s="469" t="n"/>
      <c r="I673" s="469" t="n"/>
      <c r="J673" s="469" t="n"/>
      <c r="K673" s="469" t="n"/>
      <c r="L673" s="469" t="n"/>
      <c r="M673" s="469" t="n"/>
      <c r="N673" s="469" t="n"/>
      <c r="O673" s="469" t="n"/>
      <c r="P673" s="471" t="n"/>
      <c r="Q673" s="469" t="n"/>
      <c r="R673" s="469" t="n"/>
      <c r="S673" s="469" t="n"/>
      <c r="T673" s="469" t="n"/>
      <c r="U673" s="469" t="n"/>
      <c r="V673" s="469" t="n"/>
      <c r="W673" s="469" t="n"/>
      <c r="X673" s="469" t="n"/>
      <c r="Y673" s="469" t="n"/>
      <c r="Z673" s="469" t="n"/>
      <c r="AA673" s="469" t="n"/>
    </row>
    <row r="674">
      <c r="A674" s="468" t="n"/>
      <c r="B674" s="469" t="n"/>
      <c r="C674" s="469" t="n"/>
      <c r="D674" s="469" t="n"/>
      <c r="E674" s="469" t="n"/>
      <c r="F674" s="469" t="n"/>
      <c r="G674" s="469" t="n"/>
      <c r="H674" s="469" t="n"/>
      <c r="I674" s="469" t="n"/>
      <c r="J674" s="469" t="n"/>
      <c r="K674" s="469" t="n"/>
      <c r="L674" s="469" t="n"/>
      <c r="M674" s="469" t="n"/>
      <c r="N674" s="469" t="n"/>
      <c r="O674" s="469" t="n"/>
      <c r="P674" s="471" t="n"/>
      <c r="Q674" s="469" t="n"/>
      <c r="R674" s="469" t="n"/>
      <c r="S674" s="469" t="n"/>
      <c r="T674" s="469" t="n"/>
      <c r="U674" s="469" t="n"/>
      <c r="V674" s="469" t="n"/>
      <c r="W674" s="469" t="n"/>
      <c r="X674" s="469" t="n"/>
      <c r="Y674" s="469" t="n"/>
      <c r="Z674" s="469" t="n"/>
      <c r="AA674" s="469" t="n"/>
    </row>
    <row r="675">
      <c r="A675" s="468" t="n"/>
      <c r="B675" s="469" t="n"/>
      <c r="C675" s="469" t="n"/>
      <c r="D675" s="469" t="n"/>
      <c r="E675" s="469" t="n"/>
      <c r="F675" s="469" t="n"/>
      <c r="G675" s="469" t="n"/>
      <c r="H675" s="469" t="n"/>
      <c r="I675" s="469" t="n"/>
      <c r="J675" s="469" t="n"/>
      <c r="K675" s="469" t="n"/>
      <c r="L675" s="469" t="n"/>
      <c r="M675" s="469" t="n"/>
      <c r="N675" s="469" t="n"/>
      <c r="O675" s="469" t="n"/>
      <c r="P675" s="471" t="n"/>
      <c r="Q675" s="469" t="n"/>
      <c r="R675" s="469" t="n"/>
      <c r="S675" s="469" t="n"/>
      <c r="T675" s="469" t="n"/>
      <c r="U675" s="469" t="n"/>
      <c r="V675" s="469" t="n"/>
      <c r="W675" s="469" t="n"/>
      <c r="X675" s="469" t="n"/>
      <c r="Y675" s="469" t="n"/>
      <c r="Z675" s="469" t="n"/>
      <c r="AA675" s="469" t="n"/>
    </row>
    <row r="676">
      <c r="A676" s="468" t="n"/>
      <c r="B676" s="469" t="n"/>
      <c r="C676" s="469" t="n"/>
      <c r="D676" s="469" t="n"/>
      <c r="E676" s="469" t="n"/>
      <c r="F676" s="469" t="n"/>
      <c r="G676" s="469" t="n"/>
      <c r="H676" s="469" t="n"/>
      <c r="I676" s="469" t="n"/>
      <c r="J676" s="469" t="n"/>
      <c r="K676" s="469" t="n"/>
      <c r="L676" s="469" t="n"/>
      <c r="M676" s="469" t="n"/>
      <c r="N676" s="469" t="n"/>
      <c r="O676" s="469" t="n"/>
      <c r="P676" s="471" t="n"/>
      <c r="Q676" s="469" t="n"/>
      <c r="R676" s="469" t="n"/>
      <c r="S676" s="469" t="n"/>
      <c r="T676" s="469" t="n"/>
      <c r="U676" s="469" t="n"/>
      <c r="V676" s="469" t="n"/>
      <c r="W676" s="469" t="n"/>
      <c r="X676" s="469" t="n"/>
      <c r="Y676" s="469" t="n"/>
      <c r="Z676" s="469" t="n"/>
      <c r="AA676" s="469" t="n"/>
    </row>
    <row r="677">
      <c r="A677" s="468" t="n"/>
      <c r="B677" s="469" t="n"/>
      <c r="C677" s="469" t="n"/>
      <c r="D677" s="469" t="n"/>
      <c r="E677" s="469" t="n"/>
      <c r="F677" s="469" t="n"/>
      <c r="G677" s="469" t="n"/>
      <c r="H677" s="469" t="n"/>
      <c r="I677" s="469" t="n"/>
      <c r="J677" s="469" t="n"/>
      <c r="K677" s="469" t="n"/>
      <c r="L677" s="469" t="n"/>
      <c r="M677" s="469" t="n"/>
      <c r="N677" s="469" t="n"/>
      <c r="O677" s="469" t="n"/>
      <c r="P677" s="471" t="n"/>
      <c r="Q677" s="469" t="n"/>
      <c r="R677" s="469" t="n"/>
      <c r="S677" s="469" t="n"/>
      <c r="T677" s="469" t="n"/>
      <c r="U677" s="469" t="n"/>
      <c r="V677" s="469" t="n"/>
      <c r="W677" s="469" t="n"/>
      <c r="X677" s="469" t="n"/>
      <c r="Y677" s="469" t="n"/>
      <c r="Z677" s="469" t="n"/>
      <c r="AA677" s="469" t="n"/>
    </row>
    <row r="678">
      <c r="A678" s="468" t="n"/>
      <c r="B678" s="469" t="n"/>
      <c r="C678" s="469" t="n"/>
      <c r="D678" s="469" t="n"/>
      <c r="E678" s="469" t="n"/>
      <c r="F678" s="469" t="n"/>
      <c r="G678" s="469" t="n"/>
      <c r="H678" s="469" t="n"/>
      <c r="I678" s="469" t="n"/>
      <c r="J678" s="469" t="n"/>
      <c r="K678" s="469" t="n"/>
      <c r="L678" s="469" t="n"/>
      <c r="M678" s="469" t="n"/>
      <c r="N678" s="469" t="n"/>
      <c r="O678" s="469" t="n"/>
      <c r="P678" s="471" t="n"/>
      <c r="Q678" s="469" t="n"/>
      <c r="R678" s="469" t="n"/>
      <c r="S678" s="469" t="n"/>
      <c r="T678" s="469" t="n"/>
      <c r="U678" s="469" t="n"/>
      <c r="V678" s="469" t="n"/>
      <c r="W678" s="469" t="n"/>
      <c r="X678" s="469" t="n"/>
      <c r="Y678" s="469" t="n"/>
      <c r="Z678" s="469" t="n"/>
      <c r="AA678" s="469" t="n"/>
    </row>
    <row r="679">
      <c r="A679" s="468" t="n"/>
      <c r="B679" s="469" t="n"/>
      <c r="C679" s="469" t="n"/>
      <c r="D679" s="469" t="n"/>
      <c r="E679" s="469" t="n"/>
      <c r="F679" s="469" t="n"/>
      <c r="G679" s="469" t="n"/>
      <c r="H679" s="469" t="n"/>
      <c r="I679" s="469" t="n"/>
      <c r="J679" s="469" t="n"/>
      <c r="K679" s="469" t="n"/>
      <c r="L679" s="469" t="n"/>
      <c r="M679" s="469" t="n"/>
      <c r="N679" s="469" t="n"/>
      <c r="O679" s="469" t="n"/>
      <c r="P679" s="471" t="n"/>
      <c r="Q679" s="469" t="n"/>
      <c r="R679" s="469" t="n"/>
      <c r="S679" s="469" t="n"/>
      <c r="T679" s="469" t="n"/>
      <c r="U679" s="469" t="n"/>
      <c r="V679" s="469" t="n"/>
      <c r="W679" s="469" t="n"/>
      <c r="X679" s="469" t="n"/>
      <c r="Y679" s="469" t="n"/>
      <c r="Z679" s="469" t="n"/>
      <c r="AA679" s="469" t="n"/>
    </row>
    <row r="680">
      <c r="A680" s="468" t="n"/>
      <c r="B680" s="469" t="n"/>
      <c r="C680" s="469" t="n"/>
      <c r="D680" s="469" t="n"/>
      <c r="E680" s="469" t="n"/>
      <c r="F680" s="469" t="n"/>
      <c r="G680" s="469" t="n"/>
      <c r="H680" s="469" t="n"/>
      <c r="I680" s="469" t="n"/>
      <c r="J680" s="469" t="n"/>
      <c r="K680" s="469" t="n"/>
      <c r="L680" s="469" t="n"/>
      <c r="M680" s="469" t="n"/>
      <c r="N680" s="469" t="n"/>
      <c r="O680" s="469" t="n"/>
      <c r="P680" s="471" t="n"/>
      <c r="Q680" s="469" t="n"/>
      <c r="R680" s="469" t="n"/>
      <c r="S680" s="469" t="n"/>
      <c r="T680" s="469" t="n"/>
      <c r="U680" s="469" t="n"/>
      <c r="V680" s="469" t="n"/>
      <c r="W680" s="469" t="n"/>
      <c r="X680" s="469" t="n"/>
      <c r="Y680" s="469" t="n"/>
      <c r="Z680" s="469" t="n"/>
      <c r="AA680" s="469" t="n"/>
    </row>
    <row r="681">
      <c r="A681" s="468" t="n"/>
      <c r="B681" s="469" t="n"/>
      <c r="C681" s="469" t="n"/>
      <c r="D681" s="469" t="n"/>
      <c r="E681" s="469" t="n"/>
      <c r="F681" s="469" t="n"/>
      <c r="G681" s="469" t="n"/>
      <c r="H681" s="469" t="n"/>
      <c r="I681" s="469" t="n"/>
      <c r="J681" s="469" t="n"/>
      <c r="K681" s="469" t="n"/>
      <c r="L681" s="469" t="n"/>
      <c r="M681" s="469" t="n"/>
      <c r="N681" s="469" t="n"/>
      <c r="O681" s="469" t="n"/>
      <c r="P681" s="471" t="n"/>
      <c r="Q681" s="469" t="n"/>
      <c r="R681" s="469" t="n"/>
      <c r="S681" s="469" t="n"/>
      <c r="T681" s="469" t="n"/>
      <c r="U681" s="469" t="n"/>
      <c r="V681" s="469" t="n"/>
      <c r="W681" s="469" t="n"/>
      <c r="X681" s="469" t="n"/>
      <c r="Y681" s="469" t="n"/>
      <c r="Z681" s="469" t="n"/>
      <c r="AA681" s="469" t="n"/>
    </row>
    <row r="682">
      <c r="A682" s="468" t="n"/>
      <c r="B682" s="469" t="n"/>
      <c r="C682" s="469" t="n"/>
      <c r="D682" s="469" t="n"/>
      <c r="E682" s="469" t="n"/>
      <c r="F682" s="469" t="n"/>
      <c r="G682" s="469" t="n"/>
      <c r="H682" s="469" t="n"/>
      <c r="I682" s="469" t="n"/>
      <c r="J682" s="469" t="n"/>
      <c r="K682" s="469" t="n"/>
      <c r="L682" s="469" t="n"/>
      <c r="M682" s="469" t="n"/>
      <c r="N682" s="469" t="n"/>
      <c r="O682" s="469" t="n"/>
      <c r="P682" s="471" t="n"/>
      <c r="Q682" s="469" t="n"/>
      <c r="R682" s="469" t="n"/>
      <c r="S682" s="469" t="n"/>
      <c r="T682" s="469" t="n"/>
      <c r="U682" s="469" t="n"/>
      <c r="V682" s="469" t="n"/>
      <c r="W682" s="469" t="n"/>
      <c r="X682" s="469" t="n"/>
      <c r="Y682" s="469" t="n"/>
      <c r="Z682" s="469" t="n"/>
      <c r="AA682" s="469" t="n"/>
    </row>
    <row r="683">
      <c r="A683" s="468" t="n"/>
      <c r="B683" s="469" t="n"/>
      <c r="C683" s="469" t="n"/>
      <c r="D683" s="469" t="n"/>
      <c r="E683" s="469" t="n"/>
      <c r="F683" s="469" t="n"/>
      <c r="G683" s="469" t="n"/>
      <c r="H683" s="469" t="n"/>
      <c r="I683" s="469" t="n"/>
      <c r="J683" s="469" t="n"/>
      <c r="K683" s="469" t="n"/>
      <c r="L683" s="469" t="n"/>
      <c r="M683" s="469" t="n"/>
      <c r="N683" s="469" t="n"/>
      <c r="O683" s="469" t="n"/>
      <c r="P683" s="471" t="n"/>
      <c r="Q683" s="469" t="n"/>
      <c r="R683" s="469" t="n"/>
      <c r="S683" s="469" t="n"/>
      <c r="T683" s="469" t="n"/>
      <c r="U683" s="469" t="n"/>
      <c r="V683" s="469" t="n"/>
      <c r="W683" s="469" t="n"/>
      <c r="X683" s="469" t="n"/>
      <c r="Y683" s="469" t="n"/>
      <c r="Z683" s="469" t="n"/>
      <c r="AA683" s="469" t="n"/>
    </row>
    <row r="684">
      <c r="A684" s="468" t="n"/>
      <c r="B684" s="469" t="n"/>
      <c r="C684" s="469" t="n"/>
      <c r="D684" s="469" t="n"/>
      <c r="E684" s="469" t="n"/>
      <c r="F684" s="469" t="n"/>
      <c r="G684" s="469" t="n"/>
      <c r="H684" s="469" t="n"/>
      <c r="I684" s="469" t="n"/>
      <c r="J684" s="469" t="n"/>
      <c r="K684" s="469" t="n"/>
      <c r="L684" s="469" t="n"/>
      <c r="M684" s="469" t="n"/>
      <c r="N684" s="469" t="n"/>
      <c r="O684" s="469" t="n"/>
      <c r="P684" s="471" t="n"/>
      <c r="Q684" s="469" t="n"/>
      <c r="R684" s="469" t="n"/>
      <c r="S684" s="469" t="n"/>
      <c r="T684" s="469" t="n"/>
      <c r="U684" s="469" t="n"/>
      <c r="V684" s="469" t="n"/>
      <c r="W684" s="469" t="n"/>
      <c r="X684" s="469" t="n"/>
      <c r="Y684" s="469" t="n"/>
      <c r="Z684" s="469" t="n"/>
      <c r="AA684" s="469" t="n"/>
    </row>
    <row r="685">
      <c r="A685" s="468" t="n"/>
      <c r="B685" s="469" t="n"/>
      <c r="C685" s="469" t="n"/>
      <c r="D685" s="469" t="n"/>
      <c r="E685" s="469" t="n"/>
      <c r="F685" s="469" t="n"/>
      <c r="G685" s="469" t="n"/>
      <c r="H685" s="469" t="n"/>
      <c r="I685" s="469" t="n"/>
      <c r="J685" s="469" t="n"/>
      <c r="K685" s="469" t="n"/>
      <c r="L685" s="469" t="n"/>
      <c r="M685" s="469" t="n"/>
      <c r="N685" s="469" t="n"/>
      <c r="O685" s="469" t="n"/>
      <c r="P685" s="471" t="n"/>
      <c r="Q685" s="469" t="n"/>
      <c r="R685" s="469" t="n"/>
      <c r="S685" s="469" t="n"/>
      <c r="T685" s="469" t="n"/>
      <c r="U685" s="469" t="n"/>
      <c r="V685" s="469" t="n"/>
      <c r="W685" s="469" t="n"/>
      <c r="X685" s="469" t="n"/>
      <c r="Y685" s="469" t="n"/>
      <c r="Z685" s="469" t="n"/>
      <c r="AA685" s="469" t="n"/>
    </row>
    <row r="686">
      <c r="A686" s="468" t="n"/>
      <c r="B686" s="469" t="n"/>
      <c r="C686" s="469" t="n"/>
      <c r="D686" s="469" t="n"/>
      <c r="E686" s="469" t="n"/>
      <c r="F686" s="469" t="n"/>
      <c r="G686" s="469" t="n"/>
      <c r="H686" s="469" t="n"/>
      <c r="I686" s="469" t="n"/>
      <c r="J686" s="469" t="n"/>
      <c r="K686" s="469" t="n"/>
      <c r="L686" s="469" t="n"/>
      <c r="M686" s="469" t="n"/>
      <c r="N686" s="469" t="n"/>
      <c r="O686" s="469" t="n"/>
      <c r="P686" s="471" t="n"/>
      <c r="Q686" s="469" t="n"/>
      <c r="R686" s="469" t="n"/>
      <c r="S686" s="469" t="n"/>
      <c r="T686" s="469" t="n"/>
      <c r="U686" s="469" t="n"/>
      <c r="V686" s="469" t="n"/>
      <c r="W686" s="469" t="n"/>
      <c r="X686" s="469" t="n"/>
      <c r="Y686" s="469" t="n"/>
      <c r="Z686" s="469" t="n"/>
      <c r="AA686" s="469" t="n"/>
    </row>
    <row r="687">
      <c r="A687" s="468" t="n"/>
      <c r="B687" s="469" t="n"/>
      <c r="C687" s="469" t="n"/>
      <c r="D687" s="469" t="n"/>
      <c r="E687" s="469" t="n"/>
      <c r="F687" s="469" t="n"/>
      <c r="G687" s="469" t="n"/>
      <c r="H687" s="469" t="n"/>
      <c r="I687" s="469" t="n"/>
      <c r="J687" s="469" t="n"/>
      <c r="K687" s="469" t="n"/>
      <c r="L687" s="469" t="n"/>
      <c r="M687" s="469" t="n"/>
      <c r="N687" s="469" t="n"/>
      <c r="O687" s="469" t="n"/>
      <c r="P687" s="471" t="n"/>
      <c r="Q687" s="469" t="n"/>
      <c r="R687" s="469" t="n"/>
      <c r="S687" s="469" t="n"/>
      <c r="T687" s="469" t="n"/>
      <c r="U687" s="469" t="n"/>
      <c r="V687" s="469" t="n"/>
      <c r="W687" s="469" t="n"/>
      <c r="X687" s="469" t="n"/>
      <c r="Y687" s="469" t="n"/>
      <c r="Z687" s="469" t="n"/>
      <c r="AA687" s="469" t="n"/>
    </row>
    <row r="688">
      <c r="A688" s="468" t="n"/>
      <c r="B688" s="469" t="n"/>
      <c r="C688" s="469" t="n"/>
      <c r="D688" s="469" t="n"/>
      <c r="E688" s="469" t="n"/>
      <c r="F688" s="469" t="n"/>
      <c r="G688" s="469" t="n"/>
      <c r="H688" s="469" t="n"/>
      <c r="I688" s="469" t="n"/>
      <c r="J688" s="469" t="n"/>
      <c r="K688" s="469" t="n"/>
      <c r="L688" s="469" t="n"/>
      <c r="M688" s="469" t="n"/>
      <c r="N688" s="469" t="n"/>
      <c r="O688" s="469" t="n"/>
      <c r="P688" s="471" t="n"/>
      <c r="Q688" s="469" t="n"/>
      <c r="R688" s="469" t="n"/>
      <c r="S688" s="469" t="n"/>
      <c r="T688" s="469" t="n"/>
      <c r="U688" s="469" t="n"/>
      <c r="V688" s="469" t="n"/>
      <c r="W688" s="469" t="n"/>
      <c r="X688" s="469" t="n"/>
      <c r="Y688" s="469" t="n"/>
      <c r="Z688" s="469" t="n"/>
      <c r="AA688" s="469" t="n"/>
    </row>
    <row r="689">
      <c r="A689" s="468" t="n"/>
      <c r="B689" s="469" t="n"/>
      <c r="C689" s="469" t="n"/>
      <c r="D689" s="469" t="n"/>
      <c r="E689" s="469" t="n"/>
      <c r="F689" s="469" t="n"/>
      <c r="G689" s="469" t="n"/>
      <c r="H689" s="469" t="n"/>
      <c r="I689" s="469" t="n"/>
      <c r="J689" s="469" t="n"/>
      <c r="K689" s="469" t="n"/>
      <c r="L689" s="469" t="n"/>
      <c r="M689" s="469" t="n"/>
      <c r="N689" s="469" t="n"/>
      <c r="O689" s="469" t="n"/>
      <c r="P689" s="471" t="n"/>
      <c r="Q689" s="469" t="n"/>
      <c r="R689" s="469" t="n"/>
      <c r="S689" s="469" t="n"/>
      <c r="T689" s="469" t="n"/>
      <c r="U689" s="469" t="n"/>
      <c r="V689" s="469" t="n"/>
      <c r="W689" s="469" t="n"/>
      <c r="X689" s="469" t="n"/>
      <c r="Y689" s="469" t="n"/>
      <c r="Z689" s="469" t="n"/>
      <c r="AA689" s="469" t="n"/>
    </row>
    <row r="690">
      <c r="A690" s="468" t="n"/>
      <c r="B690" s="469" t="n"/>
      <c r="C690" s="469" t="n"/>
      <c r="D690" s="469" t="n"/>
      <c r="E690" s="469" t="n"/>
      <c r="F690" s="469" t="n"/>
      <c r="G690" s="469" t="n"/>
      <c r="H690" s="469" t="n"/>
      <c r="I690" s="469" t="n"/>
      <c r="J690" s="469" t="n"/>
      <c r="K690" s="469" t="n"/>
      <c r="L690" s="469" t="n"/>
      <c r="M690" s="469" t="n"/>
      <c r="N690" s="469" t="n"/>
      <c r="O690" s="469" t="n"/>
      <c r="P690" s="471" t="n"/>
      <c r="Q690" s="469" t="n"/>
      <c r="R690" s="469" t="n"/>
      <c r="S690" s="469" t="n"/>
      <c r="T690" s="469" t="n"/>
      <c r="U690" s="469" t="n"/>
      <c r="V690" s="469" t="n"/>
      <c r="W690" s="469" t="n"/>
      <c r="X690" s="469" t="n"/>
      <c r="Y690" s="469" t="n"/>
      <c r="Z690" s="469" t="n"/>
      <c r="AA690" s="469" t="n"/>
    </row>
    <row r="691">
      <c r="A691" s="468" t="n"/>
      <c r="B691" s="469" t="n"/>
      <c r="C691" s="469" t="n"/>
      <c r="D691" s="469" t="n"/>
      <c r="E691" s="469" t="n"/>
      <c r="F691" s="469" t="n"/>
      <c r="G691" s="469" t="n"/>
      <c r="H691" s="469" t="n"/>
      <c r="I691" s="469" t="n"/>
      <c r="J691" s="469" t="n"/>
      <c r="K691" s="469" t="n"/>
      <c r="L691" s="469" t="n"/>
      <c r="M691" s="469" t="n"/>
      <c r="N691" s="469" t="n"/>
      <c r="O691" s="469" t="n"/>
      <c r="P691" s="471" t="n"/>
      <c r="Q691" s="469" t="n"/>
      <c r="R691" s="469" t="n"/>
      <c r="S691" s="469" t="n"/>
      <c r="T691" s="469" t="n"/>
      <c r="U691" s="469" t="n"/>
      <c r="V691" s="469" t="n"/>
      <c r="W691" s="469" t="n"/>
      <c r="X691" s="469" t="n"/>
      <c r="Y691" s="469" t="n"/>
      <c r="Z691" s="469" t="n"/>
      <c r="AA691" s="469" t="n"/>
    </row>
    <row r="692">
      <c r="A692" s="468" t="n"/>
      <c r="B692" s="469" t="n"/>
      <c r="C692" s="469" t="n"/>
      <c r="D692" s="469" t="n"/>
      <c r="E692" s="469" t="n"/>
      <c r="F692" s="469" t="n"/>
      <c r="G692" s="469" t="n"/>
      <c r="H692" s="469" t="n"/>
      <c r="I692" s="469" t="n"/>
      <c r="J692" s="469" t="n"/>
      <c r="K692" s="469" t="n"/>
      <c r="L692" s="469" t="n"/>
      <c r="M692" s="469" t="n"/>
      <c r="N692" s="469" t="n"/>
      <c r="O692" s="469" t="n"/>
      <c r="P692" s="471" t="n"/>
      <c r="Q692" s="469" t="n"/>
      <c r="R692" s="469" t="n"/>
      <c r="S692" s="469" t="n"/>
      <c r="T692" s="469" t="n"/>
      <c r="U692" s="469" t="n"/>
      <c r="V692" s="469" t="n"/>
      <c r="W692" s="469" t="n"/>
      <c r="X692" s="469" t="n"/>
      <c r="Y692" s="469" t="n"/>
      <c r="Z692" s="469" t="n"/>
      <c r="AA692" s="469" t="n"/>
    </row>
    <row r="693">
      <c r="A693" s="468" t="n"/>
      <c r="B693" s="469" t="n"/>
      <c r="C693" s="469" t="n"/>
      <c r="D693" s="469" t="n"/>
      <c r="E693" s="469" t="n"/>
      <c r="F693" s="469" t="n"/>
      <c r="G693" s="469" t="n"/>
      <c r="H693" s="469" t="n"/>
      <c r="I693" s="469" t="n"/>
      <c r="J693" s="469" t="n"/>
      <c r="K693" s="469" t="n"/>
      <c r="L693" s="469" t="n"/>
      <c r="M693" s="469" t="n"/>
      <c r="N693" s="469" t="n"/>
      <c r="O693" s="469" t="n"/>
      <c r="P693" s="471" t="n"/>
      <c r="Q693" s="469" t="n"/>
      <c r="R693" s="469" t="n"/>
      <c r="S693" s="469" t="n"/>
      <c r="T693" s="469" t="n"/>
      <c r="U693" s="469" t="n"/>
      <c r="V693" s="469" t="n"/>
      <c r="W693" s="469" t="n"/>
      <c r="X693" s="469" t="n"/>
      <c r="Y693" s="469" t="n"/>
      <c r="Z693" s="469" t="n"/>
      <c r="AA693" s="469" t="n"/>
    </row>
    <row r="694">
      <c r="A694" s="468" t="n"/>
      <c r="B694" s="469" t="n"/>
      <c r="C694" s="469" t="n"/>
      <c r="D694" s="469" t="n"/>
      <c r="E694" s="469" t="n"/>
      <c r="F694" s="469" t="n"/>
      <c r="G694" s="469" t="n"/>
      <c r="H694" s="469" t="n"/>
      <c r="I694" s="469" t="n"/>
      <c r="J694" s="469" t="n"/>
      <c r="K694" s="469" t="n"/>
      <c r="L694" s="469" t="n"/>
      <c r="M694" s="469" t="n"/>
      <c r="N694" s="469" t="n"/>
      <c r="O694" s="469" t="n"/>
      <c r="P694" s="471" t="n"/>
      <c r="Q694" s="469" t="n"/>
      <c r="R694" s="469" t="n"/>
      <c r="S694" s="469" t="n"/>
      <c r="T694" s="469" t="n"/>
      <c r="U694" s="469" t="n"/>
      <c r="V694" s="469" t="n"/>
      <c r="W694" s="469" t="n"/>
      <c r="X694" s="469" t="n"/>
      <c r="Y694" s="469" t="n"/>
      <c r="Z694" s="469" t="n"/>
      <c r="AA694" s="469" t="n"/>
    </row>
    <row r="695">
      <c r="A695" s="468" t="n"/>
      <c r="B695" s="469" t="n"/>
      <c r="C695" s="469" t="n"/>
      <c r="D695" s="469" t="n"/>
      <c r="E695" s="469" t="n"/>
      <c r="F695" s="469" t="n"/>
      <c r="G695" s="469" t="n"/>
      <c r="H695" s="469" t="n"/>
      <c r="I695" s="469" t="n"/>
      <c r="J695" s="469" t="n"/>
      <c r="K695" s="469" t="n"/>
      <c r="L695" s="469" t="n"/>
      <c r="M695" s="469" t="n"/>
      <c r="N695" s="469" t="n"/>
      <c r="O695" s="469" t="n"/>
      <c r="P695" s="471" t="n"/>
      <c r="Q695" s="469" t="n"/>
      <c r="R695" s="469" t="n"/>
      <c r="S695" s="469" t="n"/>
      <c r="T695" s="469" t="n"/>
      <c r="U695" s="469" t="n"/>
      <c r="V695" s="469" t="n"/>
      <c r="W695" s="469" t="n"/>
      <c r="X695" s="469" t="n"/>
      <c r="Y695" s="469" t="n"/>
      <c r="Z695" s="469" t="n"/>
      <c r="AA695" s="469" t="n"/>
    </row>
    <row r="696">
      <c r="A696" s="468" t="n"/>
      <c r="B696" s="469" t="n"/>
      <c r="C696" s="469" t="n"/>
      <c r="D696" s="469" t="n"/>
      <c r="E696" s="469" t="n"/>
      <c r="F696" s="469" t="n"/>
      <c r="G696" s="469" t="n"/>
      <c r="H696" s="469" t="n"/>
      <c r="I696" s="469" t="n"/>
      <c r="J696" s="469" t="n"/>
      <c r="K696" s="469" t="n"/>
      <c r="L696" s="469" t="n"/>
      <c r="M696" s="469" t="n"/>
      <c r="N696" s="469" t="n"/>
      <c r="O696" s="469" t="n"/>
      <c r="P696" s="471" t="n"/>
      <c r="Q696" s="469" t="n"/>
      <c r="R696" s="469" t="n"/>
      <c r="S696" s="469" t="n"/>
      <c r="T696" s="469" t="n"/>
      <c r="U696" s="469" t="n"/>
      <c r="V696" s="469" t="n"/>
      <c r="W696" s="469" t="n"/>
      <c r="X696" s="469" t="n"/>
      <c r="Y696" s="469" t="n"/>
      <c r="Z696" s="469" t="n"/>
      <c r="AA696" s="469" t="n"/>
    </row>
    <row r="697">
      <c r="A697" s="468" t="n"/>
      <c r="B697" s="469" t="n"/>
      <c r="C697" s="469" t="n"/>
      <c r="D697" s="469" t="n"/>
      <c r="E697" s="469" t="n"/>
      <c r="F697" s="469" t="n"/>
      <c r="G697" s="469" t="n"/>
      <c r="H697" s="469" t="n"/>
      <c r="I697" s="469" t="n"/>
      <c r="J697" s="469" t="n"/>
      <c r="K697" s="469" t="n"/>
      <c r="L697" s="469" t="n"/>
      <c r="M697" s="469" t="n"/>
      <c r="N697" s="469" t="n"/>
      <c r="O697" s="469" t="n"/>
      <c r="P697" s="471" t="n"/>
      <c r="Q697" s="469" t="n"/>
      <c r="R697" s="469" t="n"/>
      <c r="S697" s="469" t="n"/>
      <c r="T697" s="469" t="n"/>
      <c r="U697" s="469" t="n"/>
      <c r="V697" s="469" t="n"/>
      <c r="W697" s="469" t="n"/>
      <c r="X697" s="469" t="n"/>
      <c r="Y697" s="469" t="n"/>
      <c r="Z697" s="469" t="n"/>
      <c r="AA697" s="469" t="n"/>
    </row>
    <row r="698">
      <c r="A698" s="468" t="n"/>
      <c r="B698" s="469" t="n"/>
      <c r="C698" s="469" t="n"/>
      <c r="D698" s="469" t="n"/>
      <c r="E698" s="469" t="n"/>
      <c r="F698" s="469" t="n"/>
      <c r="G698" s="469" t="n"/>
      <c r="H698" s="469" t="n"/>
      <c r="I698" s="469" t="n"/>
      <c r="J698" s="469" t="n"/>
      <c r="K698" s="469" t="n"/>
      <c r="L698" s="469" t="n"/>
      <c r="M698" s="469" t="n"/>
      <c r="N698" s="469" t="n"/>
      <c r="O698" s="469" t="n"/>
      <c r="P698" s="471" t="n"/>
      <c r="Q698" s="469" t="n"/>
      <c r="R698" s="469" t="n"/>
      <c r="S698" s="469" t="n"/>
      <c r="T698" s="469" t="n"/>
      <c r="U698" s="469" t="n"/>
      <c r="V698" s="469" t="n"/>
      <c r="W698" s="469" t="n"/>
      <c r="X698" s="469" t="n"/>
      <c r="Y698" s="469" t="n"/>
      <c r="Z698" s="469" t="n"/>
      <c r="AA698" s="469" t="n"/>
    </row>
    <row r="699">
      <c r="A699" s="468" t="n"/>
      <c r="B699" s="469" t="n"/>
      <c r="C699" s="469" t="n"/>
      <c r="D699" s="469" t="n"/>
      <c r="E699" s="469" t="n"/>
      <c r="F699" s="469" t="n"/>
      <c r="G699" s="469" t="n"/>
      <c r="H699" s="469" t="n"/>
      <c r="I699" s="469" t="n"/>
      <c r="J699" s="469" t="n"/>
      <c r="K699" s="469" t="n"/>
      <c r="L699" s="469" t="n"/>
      <c r="M699" s="469" t="n"/>
      <c r="N699" s="469" t="n"/>
      <c r="O699" s="469" t="n"/>
      <c r="P699" s="471" t="n"/>
      <c r="Q699" s="469" t="n"/>
      <c r="R699" s="469" t="n"/>
      <c r="S699" s="469" t="n"/>
      <c r="T699" s="469" t="n"/>
      <c r="U699" s="469" t="n"/>
      <c r="V699" s="469" t="n"/>
      <c r="W699" s="469" t="n"/>
      <c r="X699" s="469" t="n"/>
      <c r="Y699" s="469" t="n"/>
      <c r="Z699" s="469" t="n"/>
      <c r="AA699" s="469" t="n"/>
    </row>
    <row r="700">
      <c r="A700" s="468" t="n"/>
      <c r="B700" s="469" t="n"/>
      <c r="C700" s="469" t="n"/>
      <c r="D700" s="469" t="n"/>
      <c r="E700" s="469" t="n"/>
      <c r="F700" s="469" t="n"/>
      <c r="G700" s="469" t="n"/>
      <c r="H700" s="469" t="n"/>
      <c r="I700" s="469" t="n"/>
      <c r="J700" s="469" t="n"/>
      <c r="K700" s="469" t="n"/>
      <c r="L700" s="469" t="n"/>
      <c r="M700" s="469" t="n"/>
      <c r="N700" s="469" t="n"/>
      <c r="O700" s="469" t="n"/>
      <c r="P700" s="471" t="n"/>
      <c r="Q700" s="469" t="n"/>
      <c r="R700" s="469" t="n"/>
      <c r="S700" s="469" t="n"/>
      <c r="T700" s="469" t="n"/>
      <c r="U700" s="469" t="n"/>
      <c r="V700" s="469" t="n"/>
      <c r="W700" s="469" t="n"/>
      <c r="X700" s="469" t="n"/>
      <c r="Y700" s="469" t="n"/>
      <c r="Z700" s="469" t="n"/>
      <c r="AA700" s="469" t="n"/>
    </row>
    <row r="701">
      <c r="A701" s="468" t="n"/>
      <c r="B701" s="469" t="n"/>
      <c r="C701" s="469" t="n"/>
      <c r="D701" s="469" t="n"/>
      <c r="E701" s="469" t="n"/>
      <c r="F701" s="469" t="n"/>
      <c r="G701" s="469" t="n"/>
      <c r="H701" s="469" t="n"/>
      <c r="I701" s="469" t="n"/>
      <c r="J701" s="469" t="n"/>
      <c r="K701" s="469" t="n"/>
      <c r="L701" s="469" t="n"/>
      <c r="M701" s="469" t="n"/>
      <c r="N701" s="469" t="n"/>
      <c r="O701" s="469" t="n"/>
      <c r="P701" s="471" t="n"/>
      <c r="Q701" s="469" t="n"/>
      <c r="R701" s="469" t="n"/>
      <c r="S701" s="469" t="n"/>
      <c r="T701" s="469" t="n"/>
      <c r="U701" s="469" t="n"/>
      <c r="V701" s="469" t="n"/>
      <c r="W701" s="469" t="n"/>
      <c r="X701" s="469" t="n"/>
      <c r="Y701" s="469" t="n"/>
      <c r="Z701" s="469" t="n"/>
      <c r="AA701" s="469" t="n"/>
    </row>
    <row r="702">
      <c r="A702" s="468" t="n"/>
      <c r="B702" s="469" t="n"/>
      <c r="C702" s="469" t="n"/>
      <c r="D702" s="469" t="n"/>
      <c r="E702" s="469" t="n"/>
      <c r="F702" s="469" t="n"/>
      <c r="G702" s="469" t="n"/>
      <c r="H702" s="469" t="n"/>
      <c r="I702" s="469" t="n"/>
      <c r="J702" s="469" t="n"/>
      <c r="K702" s="469" t="n"/>
      <c r="L702" s="469" t="n"/>
      <c r="M702" s="469" t="n"/>
      <c r="N702" s="469" t="n"/>
      <c r="O702" s="469" t="n"/>
      <c r="P702" s="471" t="n"/>
      <c r="Q702" s="469" t="n"/>
      <c r="R702" s="469" t="n"/>
      <c r="S702" s="469" t="n"/>
      <c r="T702" s="469" t="n"/>
      <c r="U702" s="469" t="n"/>
      <c r="V702" s="469" t="n"/>
      <c r="W702" s="469" t="n"/>
      <c r="X702" s="469" t="n"/>
      <c r="Y702" s="469" t="n"/>
      <c r="Z702" s="469" t="n"/>
      <c r="AA702" s="469" t="n"/>
    </row>
    <row r="703">
      <c r="A703" s="468" t="n"/>
      <c r="B703" s="469" t="n"/>
      <c r="C703" s="469" t="n"/>
      <c r="D703" s="469" t="n"/>
      <c r="E703" s="469" t="n"/>
      <c r="F703" s="469" t="n"/>
      <c r="G703" s="469" t="n"/>
      <c r="H703" s="469" t="n"/>
      <c r="I703" s="469" t="n"/>
      <c r="J703" s="469" t="n"/>
      <c r="K703" s="469" t="n"/>
      <c r="L703" s="469" t="n"/>
      <c r="M703" s="469" t="n"/>
      <c r="N703" s="469" t="n"/>
      <c r="O703" s="469" t="n"/>
      <c r="P703" s="471" t="n"/>
      <c r="Q703" s="469" t="n"/>
      <c r="R703" s="469" t="n"/>
      <c r="S703" s="469" t="n"/>
      <c r="T703" s="469" t="n"/>
      <c r="U703" s="469" t="n"/>
      <c r="V703" s="469" t="n"/>
      <c r="W703" s="469" t="n"/>
      <c r="X703" s="469" t="n"/>
      <c r="Y703" s="469" t="n"/>
      <c r="Z703" s="469" t="n"/>
      <c r="AA703" s="469" t="n"/>
    </row>
    <row r="704">
      <c r="A704" s="468" t="n"/>
      <c r="B704" s="469" t="n"/>
      <c r="C704" s="469" t="n"/>
      <c r="D704" s="469" t="n"/>
      <c r="E704" s="469" t="n"/>
      <c r="F704" s="469" t="n"/>
      <c r="G704" s="469" t="n"/>
      <c r="H704" s="469" t="n"/>
      <c r="I704" s="469" t="n"/>
      <c r="J704" s="469" t="n"/>
      <c r="K704" s="469" t="n"/>
      <c r="L704" s="469" t="n"/>
      <c r="M704" s="469" t="n"/>
      <c r="N704" s="469" t="n"/>
      <c r="O704" s="469" t="n"/>
      <c r="P704" s="471" t="n"/>
      <c r="Q704" s="469" t="n"/>
      <c r="R704" s="469" t="n"/>
      <c r="S704" s="469" t="n"/>
      <c r="T704" s="469" t="n"/>
      <c r="U704" s="469" t="n"/>
      <c r="V704" s="469" t="n"/>
      <c r="W704" s="469" t="n"/>
      <c r="X704" s="469" t="n"/>
      <c r="Y704" s="469" t="n"/>
      <c r="Z704" s="469" t="n"/>
      <c r="AA704" s="469" t="n"/>
    </row>
    <row r="705">
      <c r="A705" s="468" t="n"/>
      <c r="B705" s="469" t="n"/>
      <c r="C705" s="469" t="n"/>
      <c r="D705" s="469" t="n"/>
      <c r="E705" s="469" t="n"/>
      <c r="F705" s="469" t="n"/>
      <c r="G705" s="469" t="n"/>
      <c r="H705" s="469" t="n"/>
      <c r="I705" s="469" t="n"/>
      <c r="J705" s="469" t="n"/>
      <c r="K705" s="469" t="n"/>
      <c r="L705" s="469" t="n"/>
      <c r="M705" s="469" t="n"/>
      <c r="N705" s="469" t="n"/>
      <c r="O705" s="469" t="n"/>
      <c r="P705" s="471" t="n"/>
      <c r="Q705" s="469" t="n"/>
      <c r="R705" s="469" t="n"/>
      <c r="S705" s="469" t="n"/>
      <c r="T705" s="469" t="n"/>
      <c r="U705" s="469" t="n"/>
      <c r="V705" s="469" t="n"/>
      <c r="W705" s="469" t="n"/>
      <c r="X705" s="469" t="n"/>
      <c r="Y705" s="469" t="n"/>
      <c r="Z705" s="469" t="n"/>
      <c r="AA705" s="469" t="n"/>
    </row>
    <row r="706">
      <c r="A706" s="468" t="n"/>
      <c r="B706" s="469" t="n"/>
      <c r="C706" s="469" t="n"/>
      <c r="D706" s="469" t="n"/>
      <c r="E706" s="469" t="n"/>
      <c r="F706" s="469" t="n"/>
      <c r="G706" s="469" t="n"/>
      <c r="H706" s="469" t="n"/>
      <c r="I706" s="469" t="n"/>
      <c r="J706" s="469" t="n"/>
      <c r="K706" s="469" t="n"/>
      <c r="L706" s="469" t="n"/>
      <c r="M706" s="469" t="n"/>
      <c r="N706" s="469" t="n"/>
      <c r="O706" s="469" t="n"/>
      <c r="P706" s="471" t="n"/>
      <c r="Q706" s="469" t="n"/>
      <c r="R706" s="469" t="n"/>
      <c r="S706" s="469" t="n"/>
      <c r="T706" s="469" t="n"/>
      <c r="U706" s="469" t="n"/>
      <c r="V706" s="469" t="n"/>
      <c r="W706" s="469" t="n"/>
      <c r="X706" s="469" t="n"/>
      <c r="Y706" s="469" t="n"/>
      <c r="Z706" s="469" t="n"/>
      <c r="AA706" s="469" t="n"/>
    </row>
    <row r="707">
      <c r="A707" s="468" t="n"/>
      <c r="B707" s="469" t="n"/>
      <c r="C707" s="469" t="n"/>
      <c r="D707" s="469" t="n"/>
      <c r="E707" s="469" t="n"/>
      <c r="F707" s="469" t="n"/>
      <c r="G707" s="469" t="n"/>
      <c r="H707" s="469" t="n"/>
      <c r="I707" s="469" t="n"/>
      <c r="J707" s="469" t="n"/>
      <c r="K707" s="469" t="n"/>
      <c r="L707" s="469" t="n"/>
      <c r="M707" s="469" t="n"/>
      <c r="N707" s="469" t="n"/>
      <c r="O707" s="469" t="n"/>
      <c r="P707" s="471" t="n"/>
      <c r="Q707" s="469" t="n"/>
      <c r="R707" s="469" t="n"/>
      <c r="S707" s="469" t="n"/>
      <c r="T707" s="469" t="n"/>
      <c r="U707" s="469" t="n"/>
      <c r="V707" s="469" t="n"/>
      <c r="W707" s="469" t="n"/>
      <c r="X707" s="469" t="n"/>
      <c r="Y707" s="469" t="n"/>
      <c r="Z707" s="469" t="n"/>
      <c r="AA707" s="469" t="n"/>
    </row>
    <row r="708">
      <c r="A708" s="468" t="n"/>
      <c r="B708" s="469" t="n"/>
      <c r="C708" s="469" t="n"/>
      <c r="D708" s="469" t="n"/>
      <c r="E708" s="469" t="n"/>
      <c r="F708" s="469" t="n"/>
      <c r="G708" s="469" t="n"/>
      <c r="H708" s="469" t="n"/>
      <c r="I708" s="469" t="n"/>
      <c r="J708" s="469" t="n"/>
      <c r="K708" s="469" t="n"/>
      <c r="L708" s="469" t="n"/>
      <c r="M708" s="469" t="n"/>
      <c r="N708" s="469" t="n"/>
      <c r="O708" s="469" t="n"/>
      <c r="P708" s="471" t="n"/>
      <c r="Q708" s="469" t="n"/>
      <c r="R708" s="469" t="n"/>
      <c r="S708" s="469" t="n"/>
      <c r="T708" s="469" t="n"/>
      <c r="U708" s="469" t="n"/>
      <c r="V708" s="469" t="n"/>
      <c r="W708" s="469" t="n"/>
      <c r="X708" s="469" t="n"/>
      <c r="Y708" s="469" t="n"/>
      <c r="Z708" s="469" t="n"/>
      <c r="AA708" s="469" t="n"/>
    </row>
    <row r="709">
      <c r="A709" s="468" t="n"/>
      <c r="B709" s="469" t="n"/>
      <c r="C709" s="469" t="n"/>
      <c r="D709" s="469" t="n"/>
      <c r="E709" s="469" t="n"/>
      <c r="F709" s="469" t="n"/>
      <c r="G709" s="469" t="n"/>
      <c r="H709" s="469" t="n"/>
      <c r="I709" s="469" t="n"/>
      <c r="J709" s="469" t="n"/>
      <c r="K709" s="469" t="n"/>
      <c r="L709" s="469" t="n"/>
      <c r="M709" s="469" t="n"/>
      <c r="N709" s="469" t="n"/>
      <c r="O709" s="469" t="n"/>
      <c r="P709" s="471" t="n"/>
      <c r="Q709" s="469" t="n"/>
      <c r="R709" s="469" t="n"/>
      <c r="S709" s="469" t="n"/>
      <c r="T709" s="469" t="n"/>
      <c r="U709" s="469" t="n"/>
      <c r="V709" s="469" t="n"/>
      <c r="W709" s="469" t="n"/>
      <c r="X709" s="469" t="n"/>
      <c r="Y709" s="469" t="n"/>
      <c r="Z709" s="469" t="n"/>
      <c r="AA709" s="469" t="n"/>
    </row>
    <row r="710">
      <c r="A710" s="468" t="n"/>
      <c r="B710" s="469" t="n"/>
      <c r="C710" s="469" t="n"/>
      <c r="D710" s="469" t="n"/>
      <c r="E710" s="469" t="n"/>
      <c r="F710" s="469" t="n"/>
      <c r="G710" s="469" t="n"/>
      <c r="H710" s="469" t="n"/>
      <c r="I710" s="469" t="n"/>
      <c r="J710" s="469" t="n"/>
      <c r="K710" s="469" t="n"/>
      <c r="L710" s="469" t="n"/>
      <c r="M710" s="469" t="n"/>
      <c r="N710" s="469" t="n"/>
      <c r="O710" s="469" t="n"/>
      <c r="P710" s="471" t="n"/>
      <c r="Q710" s="469" t="n"/>
      <c r="R710" s="469" t="n"/>
      <c r="S710" s="469" t="n"/>
      <c r="T710" s="469" t="n"/>
      <c r="U710" s="469" t="n"/>
      <c r="V710" s="469" t="n"/>
      <c r="W710" s="469" t="n"/>
      <c r="X710" s="469" t="n"/>
      <c r="Y710" s="469" t="n"/>
      <c r="Z710" s="469" t="n"/>
      <c r="AA710" s="469" t="n"/>
    </row>
    <row r="711">
      <c r="A711" s="468" t="n"/>
      <c r="B711" s="469" t="n"/>
      <c r="C711" s="469" t="n"/>
      <c r="D711" s="469" t="n"/>
      <c r="E711" s="469" t="n"/>
      <c r="F711" s="469" t="n"/>
      <c r="G711" s="469" t="n"/>
      <c r="H711" s="469" t="n"/>
      <c r="I711" s="469" t="n"/>
      <c r="J711" s="469" t="n"/>
      <c r="K711" s="469" t="n"/>
      <c r="L711" s="469" t="n"/>
      <c r="M711" s="469" t="n"/>
      <c r="N711" s="469" t="n"/>
      <c r="O711" s="469" t="n"/>
      <c r="P711" s="471" t="n"/>
      <c r="Q711" s="469" t="n"/>
      <c r="R711" s="469" t="n"/>
      <c r="S711" s="469" t="n"/>
      <c r="T711" s="469" t="n"/>
      <c r="U711" s="469" t="n"/>
      <c r="V711" s="469" t="n"/>
      <c r="W711" s="469" t="n"/>
      <c r="X711" s="469" t="n"/>
      <c r="Y711" s="469" t="n"/>
      <c r="Z711" s="469" t="n"/>
      <c r="AA711" s="469" t="n"/>
    </row>
    <row r="712">
      <c r="A712" s="468" t="n"/>
      <c r="B712" s="469" t="n"/>
      <c r="C712" s="469" t="n"/>
      <c r="D712" s="469" t="n"/>
      <c r="E712" s="469" t="n"/>
      <c r="F712" s="469" t="n"/>
      <c r="G712" s="469" t="n"/>
      <c r="H712" s="469" t="n"/>
      <c r="I712" s="469" t="n"/>
      <c r="J712" s="469" t="n"/>
      <c r="K712" s="469" t="n"/>
      <c r="L712" s="469" t="n"/>
      <c r="M712" s="469" t="n"/>
      <c r="N712" s="469" t="n"/>
      <c r="O712" s="469" t="n"/>
      <c r="P712" s="471" t="n"/>
      <c r="Q712" s="469" t="n"/>
      <c r="R712" s="469" t="n"/>
      <c r="S712" s="469" t="n"/>
      <c r="T712" s="469" t="n"/>
      <c r="U712" s="469" t="n"/>
      <c r="V712" s="469" t="n"/>
      <c r="W712" s="469" t="n"/>
      <c r="X712" s="469" t="n"/>
      <c r="Y712" s="469" t="n"/>
      <c r="Z712" s="469" t="n"/>
      <c r="AA712" s="469" t="n"/>
    </row>
    <row r="713">
      <c r="A713" s="468" t="n"/>
      <c r="B713" s="469" t="n"/>
      <c r="C713" s="469" t="n"/>
      <c r="D713" s="469" t="n"/>
      <c r="E713" s="469" t="n"/>
      <c r="F713" s="469" t="n"/>
      <c r="G713" s="469" t="n"/>
      <c r="H713" s="469" t="n"/>
      <c r="I713" s="469" t="n"/>
      <c r="J713" s="469" t="n"/>
      <c r="K713" s="469" t="n"/>
      <c r="L713" s="469" t="n"/>
      <c r="M713" s="469" t="n"/>
      <c r="N713" s="469" t="n"/>
      <c r="O713" s="469" t="n"/>
      <c r="P713" s="471" t="n"/>
      <c r="Q713" s="469" t="n"/>
      <c r="R713" s="469" t="n"/>
      <c r="S713" s="469" t="n"/>
      <c r="T713" s="469" t="n"/>
      <c r="U713" s="469" t="n"/>
      <c r="V713" s="469" t="n"/>
      <c r="W713" s="469" t="n"/>
      <c r="X713" s="469" t="n"/>
      <c r="Y713" s="469" t="n"/>
      <c r="Z713" s="469" t="n"/>
      <c r="AA713" s="469" t="n"/>
    </row>
    <row r="714">
      <c r="A714" s="468" t="n"/>
      <c r="B714" s="469" t="n"/>
      <c r="C714" s="469" t="n"/>
      <c r="D714" s="469" t="n"/>
      <c r="E714" s="469" t="n"/>
      <c r="F714" s="469" t="n"/>
      <c r="G714" s="469" t="n"/>
      <c r="H714" s="469" t="n"/>
      <c r="I714" s="469" t="n"/>
      <c r="J714" s="469" t="n"/>
      <c r="K714" s="469" t="n"/>
      <c r="L714" s="469" t="n"/>
      <c r="M714" s="469" t="n"/>
      <c r="N714" s="469" t="n"/>
      <c r="O714" s="469" t="n"/>
      <c r="P714" s="471" t="n"/>
      <c r="Q714" s="469" t="n"/>
      <c r="R714" s="469" t="n"/>
      <c r="S714" s="469" t="n"/>
      <c r="T714" s="469" t="n"/>
      <c r="U714" s="469" t="n"/>
      <c r="V714" s="469" t="n"/>
      <c r="W714" s="469" t="n"/>
      <c r="X714" s="469" t="n"/>
      <c r="Y714" s="469" t="n"/>
      <c r="Z714" s="469" t="n"/>
      <c r="AA714" s="469" t="n"/>
    </row>
    <row r="715">
      <c r="A715" s="468" t="n"/>
      <c r="B715" s="469" t="n"/>
      <c r="C715" s="469" t="n"/>
      <c r="D715" s="469" t="n"/>
      <c r="E715" s="469" t="n"/>
      <c r="F715" s="469" t="n"/>
      <c r="G715" s="469" t="n"/>
      <c r="H715" s="469" t="n"/>
      <c r="I715" s="469" t="n"/>
      <c r="J715" s="469" t="n"/>
      <c r="K715" s="469" t="n"/>
      <c r="L715" s="469" t="n"/>
      <c r="M715" s="469" t="n"/>
      <c r="N715" s="469" t="n"/>
      <c r="O715" s="469" t="n"/>
      <c r="P715" s="471" t="n"/>
      <c r="Q715" s="469" t="n"/>
      <c r="R715" s="469" t="n"/>
      <c r="S715" s="469" t="n"/>
      <c r="T715" s="469" t="n"/>
      <c r="U715" s="469" t="n"/>
      <c r="V715" s="469" t="n"/>
      <c r="W715" s="469" t="n"/>
      <c r="X715" s="469" t="n"/>
      <c r="Y715" s="469" t="n"/>
      <c r="Z715" s="469" t="n"/>
      <c r="AA715" s="469" t="n"/>
    </row>
    <row r="716">
      <c r="A716" s="468" t="n"/>
      <c r="B716" s="469" t="n"/>
      <c r="C716" s="469" t="n"/>
      <c r="D716" s="469" t="n"/>
      <c r="E716" s="469" t="n"/>
      <c r="F716" s="469" t="n"/>
      <c r="G716" s="469" t="n"/>
      <c r="H716" s="469" t="n"/>
      <c r="I716" s="469" t="n"/>
      <c r="J716" s="469" t="n"/>
      <c r="K716" s="469" t="n"/>
      <c r="L716" s="469" t="n"/>
      <c r="M716" s="469" t="n"/>
      <c r="N716" s="469" t="n"/>
      <c r="O716" s="469" t="n"/>
      <c r="P716" s="471" t="n"/>
      <c r="Q716" s="469" t="n"/>
      <c r="R716" s="469" t="n"/>
      <c r="S716" s="469" t="n"/>
      <c r="T716" s="469" t="n"/>
      <c r="U716" s="469" t="n"/>
      <c r="V716" s="469" t="n"/>
      <c r="W716" s="469" t="n"/>
      <c r="X716" s="469" t="n"/>
      <c r="Y716" s="469" t="n"/>
      <c r="Z716" s="469" t="n"/>
      <c r="AA716" s="469" t="n"/>
    </row>
    <row r="717">
      <c r="A717" s="468" t="n"/>
      <c r="B717" s="469" t="n"/>
      <c r="C717" s="469" t="n"/>
      <c r="D717" s="469" t="n"/>
      <c r="E717" s="469" t="n"/>
      <c r="F717" s="469" t="n"/>
      <c r="G717" s="469" t="n"/>
      <c r="H717" s="469" t="n"/>
      <c r="I717" s="469" t="n"/>
      <c r="J717" s="469" t="n"/>
      <c r="K717" s="469" t="n"/>
      <c r="L717" s="469" t="n"/>
      <c r="M717" s="469" t="n"/>
      <c r="N717" s="469" t="n"/>
      <c r="O717" s="469" t="n"/>
      <c r="P717" s="471" t="n"/>
      <c r="Q717" s="469" t="n"/>
      <c r="R717" s="469" t="n"/>
      <c r="S717" s="469" t="n"/>
      <c r="T717" s="469" t="n"/>
      <c r="U717" s="469" t="n"/>
      <c r="V717" s="469" t="n"/>
      <c r="W717" s="469" t="n"/>
      <c r="X717" s="469" t="n"/>
      <c r="Y717" s="469" t="n"/>
      <c r="Z717" s="469" t="n"/>
      <c r="AA717" s="469" t="n"/>
    </row>
    <row r="718">
      <c r="A718" s="468" t="n"/>
      <c r="B718" s="469" t="n"/>
      <c r="C718" s="469" t="n"/>
      <c r="D718" s="469" t="n"/>
      <c r="E718" s="469" t="n"/>
      <c r="F718" s="469" t="n"/>
      <c r="G718" s="469" t="n"/>
      <c r="H718" s="469" t="n"/>
      <c r="I718" s="469" t="n"/>
      <c r="J718" s="469" t="n"/>
      <c r="K718" s="469" t="n"/>
      <c r="L718" s="469" t="n"/>
      <c r="M718" s="469" t="n"/>
      <c r="N718" s="469" t="n"/>
      <c r="O718" s="469" t="n"/>
      <c r="P718" s="471" t="n"/>
      <c r="Q718" s="469" t="n"/>
      <c r="R718" s="469" t="n"/>
      <c r="S718" s="469" t="n"/>
      <c r="T718" s="469" t="n"/>
      <c r="U718" s="469" t="n"/>
      <c r="V718" s="469" t="n"/>
      <c r="W718" s="469" t="n"/>
      <c r="X718" s="469" t="n"/>
      <c r="Y718" s="469" t="n"/>
      <c r="Z718" s="469" t="n"/>
      <c r="AA718" s="469" t="n"/>
    </row>
    <row r="719">
      <c r="A719" s="468" t="n"/>
      <c r="B719" s="469" t="n"/>
      <c r="C719" s="469" t="n"/>
      <c r="D719" s="469" t="n"/>
      <c r="E719" s="469" t="n"/>
      <c r="F719" s="469" t="n"/>
      <c r="G719" s="469" t="n"/>
      <c r="H719" s="469" t="n"/>
      <c r="I719" s="469" t="n"/>
      <c r="J719" s="469" t="n"/>
      <c r="K719" s="469" t="n"/>
      <c r="L719" s="469" t="n"/>
      <c r="M719" s="469" t="n"/>
      <c r="N719" s="469" t="n"/>
      <c r="O719" s="469" t="n"/>
      <c r="P719" s="471" t="n"/>
      <c r="Q719" s="469" t="n"/>
      <c r="R719" s="469" t="n"/>
      <c r="S719" s="469" t="n"/>
      <c r="T719" s="469" t="n"/>
      <c r="U719" s="469" t="n"/>
      <c r="V719" s="469" t="n"/>
      <c r="W719" s="469" t="n"/>
      <c r="X719" s="469" t="n"/>
      <c r="Y719" s="469" t="n"/>
      <c r="Z719" s="469" t="n"/>
      <c r="AA719" s="469" t="n"/>
    </row>
    <row r="720">
      <c r="A720" s="468" t="n"/>
      <c r="B720" s="469" t="n"/>
      <c r="C720" s="469" t="n"/>
      <c r="D720" s="469" t="n"/>
      <c r="E720" s="469" t="n"/>
      <c r="F720" s="469" t="n"/>
      <c r="G720" s="469" t="n"/>
      <c r="H720" s="469" t="n"/>
      <c r="I720" s="469" t="n"/>
      <c r="J720" s="469" t="n"/>
      <c r="K720" s="469" t="n"/>
      <c r="L720" s="469" t="n"/>
      <c r="M720" s="469" t="n"/>
      <c r="N720" s="469" t="n"/>
      <c r="O720" s="469" t="n"/>
      <c r="P720" s="471" t="n"/>
      <c r="Q720" s="469" t="n"/>
      <c r="R720" s="469" t="n"/>
      <c r="S720" s="469" t="n"/>
      <c r="T720" s="469" t="n"/>
      <c r="U720" s="469" t="n"/>
      <c r="V720" s="469" t="n"/>
      <c r="W720" s="469" t="n"/>
      <c r="X720" s="469" t="n"/>
      <c r="Y720" s="469" t="n"/>
      <c r="Z720" s="469" t="n"/>
      <c r="AA720" s="469" t="n"/>
    </row>
    <row r="721">
      <c r="A721" s="468" t="n"/>
      <c r="B721" s="469" t="n"/>
      <c r="C721" s="469" t="n"/>
      <c r="D721" s="469" t="n"/>
      <c r="E721" s="469" t="n"/>
      <c r="F721" s="469" t="n"/>
      <c r="G721" s="469" t="n"/>
      <c r="H721" s="469" t="n"/>
      <c r="I721" s="469" t="n"/>
      <c r="J721" s="469" t="n"/>
      <c r="K721" s="469" t="n"/>
      <c r="L721" s="469" t="n"/>
      <c r="M721" s="469" t="n"/>
      <c r="N721" s="469" t="n"/>
      <c r="O721" s="469" t="n"/>
      <c r="P721" s="471" t="n"/>
      <c r="Q721" s="469" t="n"/>
      <c r="R721" s="469" t="n"/>
      <c r="S721" s="469" t="n"/>
      <c r="T721" s="469" t="n"/>
      <c r="U721" s="469" t="n"/>
      <c r="V721" s="469" t="n"/>
      <c r="W721" s="469" t="n"/>
      <c r="X721" s="469" t="n"/>
      <c r="Y721" s="469" t="n"/>
      <c r="Z721" s="469" t="n"/>
      <c r="AA721" s="469" t="n"/>
    </row>
    <row r="722">
      <c r="A722" s="468" t="n"/>
      <c r="B722" s="469" t="n"/>
      <c r="C722" s="469" t="n"/>
      <c r="D722" s="469" t="n"/>
      <c r="E722" s="469" t="n"/>
      <c r="F722" s="469" t="n"/>
      <c r="G722" s="469" t="n"/>
      <c r="H722" s="469" t="n"/>
      <c r="I722" s="469" t="n"/>
      <c r="J722" s="469" t="n"/>
      <c r="K722" s="469" t="n"/>
      <c r="L722" s="469" t="n"/>
      <c r="M722" s="469" t="n"/>
      <c r="N722" s="469" t="n"/>
      <c r="O722" s="469" t="n"/>
      <c r="P722" s="471" t="n"/>
      <c r="Q722" s="469" t="n"/>
      <c r="R722" s="469" t="n"/>
      <c r="S722" s="469" t="n"/>
      <c r="T722" s="469" t="n"/>
      <c r="U722" s="469" t="n"/>
      <c r="V722" s="469" t="n"/>
      <c r="W722" s="469" t="n"/>
      <c r="X722" s="469" t="n"/>
      <c r="Y722" s="469" t="n"/>
      <c r="Z722" s="469" t="n"/>
      <c r="AA722" s="469" t="n"/>
    </row>
    <row r="723">
      <c r="A723" s="468" t="n"/>
      <c r="B723" s="469" t="n"/>
      <c r="C723" s="469" t="n"/>
      <c r="D723" s="469" t="n"/>
      <c r="E723" s="469" t="n"/>
      <c r="F723" s="469" t="n"/>
      <c r="G723" s="469" t="n"/>
      <c r="H723" s="469" t="n"/>
      <c r="I723" s="469" t="n"/>
      <c r="J723" s="469" t="n"/>
      <c r="K723" s="469" t="n"/>
      <c r="L723" s="469" t="n"/>
      <c r="M723" s="469" t="n"/>
      <c r="N723" s="469" t="n"/>
      <c r="O723" s="469" t="n"/>
      <c r="P723" s="471" t="n"/>
      <c r="Q723" s="469" t="n"/>
      <c r="R723" s="469" t="n"/>
      <c r="S723" s="469" t="n"/>
      <c r="T723" s="469" t="n"/>
      <c r="U723" s="469" t="n"/>
      <c r="V723" s="469" t="n"/>
      <c r="W723" s="469" t="n"/>
      <c r="X723" s="469" t="n"/>
      <c r="Y723" s="469" t="n"/>
      <c r="Z723" s="469" t="n"/>
      <c r="AA723" s="469" t="n"/>
    </row>
    <row r="724">
      <c r="A724" s="468" t="n"/>
      <c r="B724" s="469" t="n"/>
      <c r="C724" s="469" t="n"/>
      <c r="D724" s="469" t="n"/>
      <c r="E724" s="469" t="n"/>
      <c r="F724" s="469" t="n"/>
      <c r="G724" s="469" t="n"/>
      <c r="H724" s="469" t="n"/>
      <c r="I724" s="469" t="n"/>
      <c r="J724" s="469" t="n"/>
      <c r="K724" s="469" t="n"/>
      <c r="L724" s="469" t="n"/>
      <c r="M724" s="469" t="n"/>
      <c r="N724" s="469" t="n"/>
      <c r="O724" s="469" t="n"/>
      <c r="P724" s="471" t="n"/>
      <c r="Q724" s="469" t="n"/>
      <c r="R724" s="469" t="n"/>
      <c r="S724" s="469" t="n"/>
      <c r="T724" s="469" t="n"/>
      <c r="U724" s="469" t="n"/>
      <c r="V724" s="469" t="n"/>
      <c r="W724" s="469" t="n"/>
      <c r="X724" s="469" t="n"/>
      <c r="Y724" s="469" t="n"/>
      <c r="Z724" s="469" t="n"/>
      <c r="AA724" s="469" t="n"/>
    </row>
    <row r="725">
      <c r="A725" s="468" t="n"/>
      <c r="B725" s="469" t="n"/>
      <c r="C725" s="469" t="n"/>
      <c r="D725" s="469" t="n"/>
      <c r="E725" s="469" t="n"/>
      <c r="F725" s="469" t="n"/>
      <c r="G725" s="469" t="n"/>
      <c r="H725" s="469" t="n"/>
      <c r="I725" s="469" t="n"/>
      <c r="J725" s="469" t="n"/>
      <c r="K725" s="469" t="n"/>
      <c r="L725" s="469" t="n"/>
      <c r="M725" s="469" t="n"/>
      <c r="N725" s="469" t="n"/>
      <c r="O725" s="469" t="n"/>
      <c r="P725" s="471" t="n"/>
      <c r="Q725" s="469" t="n"/>
      <c r="R725" s="469" t="n"/>
      <c r="S725" s="469" t="n"/>
      <c r="T725" s="469" t="n"/>
      <c r="U725" s="469" t="n"/>
      <c r="V725" s="469" t="n"/>
      <c r="W725" s="469" t="n"/>
      <c r="X725" s="469" t="n"/>
      <c r="Y725" s="469" t="n"/>
      <c r="Z725" s="469" t="n"/>
      <c r="AA725" s="469" t="n"/>
    </row>
    <row r="726">
      <c r="A726" s="468" t="n"/>
      <c r="B726" s="469" t="n"/>
      <c r="C726" s="469" t="n"/>
      <c r="D726" s="469" t="n"/>
      <c r="E726" s="469" t="n"/>
      <c r="F726" s="469" t="n"/>
      <c r="G726" s="469" t="n"/>
      <c r="H726" s="469" t="n"/>
      <c r="I726" s="469" t="n"/>
      <c r="J726" s="469" t="n"/>
      <c r="K726" s="469" t="n"/>
      <c r="L726" s="469" t="n"/>
      <c r="M726" s="469" t="n"/>
      <c r="N726" s="469" t="n"/>
      <c r="O726" s="469" t="n"/>
      <c r="P726" s="471" t="n"/>
      <c r="Q726" s="469" t="n"/>
      <c r="R726" s="469" t="n"/>
      <c r="S726" s="469" t="n"/>
      <c r="T726" s="469" t="n"/>
      <c r="U726" s="469" t="n"/>
      <c r="V726" s="469" t="n"/>
      <c r="W726" s="469" t="n"/>
      <c r="X726" s="469" t="n"/>
      <c r="Y726" s="469" t="n"/>
      <c r="Z726" s="469" t="n"/>
      <c r="AA726" s="469" t="n"/>
    </row>
    <row r="727">
      <c r="A727" s="468" t="n"/>
      <c r="B727" s="469" t="n"/>
      <c r="C727" s="469" t="n"/>
      <c r="D727" s="469" t="n"/>
      <c r="E727" s="469" t="n"/>
      <c r="F727" s="469" t="n"/>
      <c r="G727" s="469" t="n"/>
      <c r="H727" s="469" t="n"/>
      <c r="I727" s="469" t="n"/>
      <c r="J727" s="469" t="n"/>
      <c r="K727" s="469" t="n"/>
      <c r="L727" s="469" t="n"/>
      <c r="M727" s="469" t="n"/>
      <c r="N727" s="469" t="n"/>
      <c r="O727" s="469" t="n"/>
      <c r="P727" s="471" t="n"/>
      <c r="Q727" s="469" t="n"/>
      <c r="R727" s="469" t="n"/>
      <c r="S727" s="469" t="n"/>
      <c r="T727" s="469" t="n"/>
      <c r="U727" s="469" t="n"/>
      <c r="V727" s="469" t="n"/>
      <c r="W727" s="469" t="n"/>
      <c r="X727" s="469" t="n"/>
      <c r="Y727" s="469" t="n"/>
      <c r="Z727" s="469" t="n"/>
      <c r="AA727" s="469" t="n"/>
    </row>
    <row r="728">
      <c r="A728" s="468" t="n"/>
      <c r="B728" s="469" t="n"/>
      <c r="C728" s="469" t="n"/>
      <c r="D728" s="469" t="n"/>
      <c r="E728" s="469" t="n"/>
      <c r="F728" s="469" t="n"/>
      <c r="G728" s="469" t="n"/>
      <c r="H728" s="469" t="n"/>
      <c r="I728" s="469" t="n"/>
      <c r="J728" s="469" t="n"/>
      <c r="K728" s="469" t="n"/>
      <c r="L728" s="469" t="n"/>
      <c r="M728" s="469" t="n"/>
      <c r="N728" s="469" t="n"/>
      <c r="O728" s="469" t="n"/>
      <c r="P728" s="471" t="n"/>
      <c r="Q728" s="469" t="n"/>
      <c r="R728" s="469" t="n"/>
      <c r="S728" s="469" t="n"/>
      <c r="T728" s="469" t="n"/>
      <c r="U728" s="469" t="n"/>
      <c r="V728" s="469" t="n"/>
      <c r="W728" s="469" t="n"/>
      <c r="X728" s="469" t="n"/>
      <c r="Y728" s="469" t="n"/>
      <c r="Z728" s="469" t="n"/>
      <c r="AA728" s="469" t="n"/>
    </row>
    <row r="729">
      <c r="A729" s="468" t="n"/>
      <c r="B729" s="469" t="n"/>
      <c r="C729" s="469" t="n"/>
      <c r="D729" s="469" t="n"/>
      <c r="E729" s="469" t="n"/>
      <c r="F729" s="469" t="n"/>
      <c r="G729" s="469" t="n"/>
      <c r="H729" s="469" t="n"/>
      <c r="I729" s="469" t="n"/>
      <c r="J729" s="469" t="n"/>
      <c r="K729" s="469" t="n"/>
      <c r="L729" s="469" t="n"/>
      <c r="M729" s="469" t="n"/>
      <c r="N729" s="469" t="n"/>
      <c r="O729" s="469" t="n"/>
      <c r="P729" s="471" t="n"/>
      <c r="Q729" s="469" t="n"/>
      <c r="R729" s="469" t="n"/>
      <c r="S729" s="469" t="n"/>
      <c r="T729" s="469" t="n"/>
      <c r="U729" s="469" t="n"/>
      <c r="V729" s="469" t="n"/>
      <c r="W729" s="469" t="n"/>
      <c r="X729" s="469" t="n"/>
      <c r="Y729" s="469" t="n"/>
      <c r="Z729" s="469" t="n"/>
      <c r="AA729" s="469" t="n"/>
    </row>
    <row r="730">
      <c r="A730" s="468" t="n"/>
      <c r="B730" s="469" t="n"/>
      <c r="C730" s="469" t="n"/>
      <c r="D730" s="469" t="n"/>
      <c r="E730" s="469" t="n"/>
      <c r="F730" s="469" t="n"/>
      <c r="G730" s="469" t="n"/>
      <c r="H730" s="469" t="n"/>
      <c r="I730" s="469" t="n"/>
      <c r="J730" s="469" t="n"/>
      <c r="K730" s="469" t="n"/>
      <c r="L730" s="469" t="n"/>
      <c r="M730" s="469" t="n"/>
      <c r="N730" s="469" t="n"/>
      <c r="O730" s="469" t="n"/>
      <c r="P730" s="471" t="n"/>
      <c r="Q730" s="469" t="n"/>
      <c r="R730" s="469" t="n"/>
      <c r="S730" s="469" t="n"/>
      <c r="T730" s="469" t="n"/>
      <c r="U730" s="469" t="n"/>
      <c r="V730" s="469" t="n"/>
      <c r="W730" s="469" t="n"/>
      <c r="X730" s="469" t="n"/>
      <c r="Y730" s="469" t="n"/>
      <c r="Z730" s="469" t="n"/>
      <c r="AA730" s="469" t="n"/>
    </row>
    <row r="731">
      <c r="A731" s="468" t="n"/>
      <c r="B731" s="469" t="n"/>
      <c r="C731" s="469" t="n"/>
      <c r="D731" s="469" t="n"/>
      <c r="E731" s="469" t="n"/>
      <c r="F731" s="469" t="n"/>
      <c r="G731" s="469" t="n"/>
      <c r="H731" s="469" t="n"/>
      <c r="I731" s="469" t="n"/>
      <c r="J731" s="469" t="n"/>
      <c r="K731" s="469" t="n"/>
      <c r="L731" s="469" t="n"/>
      <c r="M731" s="469" t="n"/>
      <c r="N731" s="469" t="n"/>
      <c r="O731" s="469" t="n"/>
      <c r="P731" s="471" t="n"/>
      <c r="Q731" s="469" t="n"/>
      <c r="R731" s="469" t="n"/>
      <c r="S731" s="469" t="n"/>
      <c r="T731" s="469" t="n"/>
      <c r="U731" s="469" t="n"/>
      <c r="V731" s="469" t="n"/>
      <c r="W731" s="469" t="n"/>
      <c r="X731" s="469" t="n"/>
      <c r="Y731" s="469" t="n"/>
      <c r="Z731" s="469" t="n"/>
      <c r="AA731" s="469" t="n"/>
    </row>
    <row r="732">
      <c r="A732" s="468" t="n"/>
      <c r="B732" s="469" t="n"/>
      <c r="C732" s="469" t="n"/>
      <c r="D732" s="469" t="n"/>
      <c r="E732" s="469" t="n"/>
      <c r="F732" s="469" t="n"/>
      <c r="G732" s="469" t="n"/>
      <c r="H732" s="469" t="n"/>
      <c r="I732" s="469" t="n"/>
      <c r="J732" s="469" t="n"/>
      <c r="K732" s="469" t="n"/>
      <c r="L732" s="469" t="n"/>
      <c r="M732" s="469" t="n"/>
      <c r="N732" s="469" t="n"/>
      <c r="O732" s="469" t="n"/>
      <c r="P732" s="471" t="n"/>
      <c r="Q732" s="469" t="n"/>
      <c r="R732" s="469" t="n"/>
      <c r="S732" s="469" t="n"/>
      <c r="T732" s="469" t="n"/>
      <c r="U732" s="469" t="n"/>
      <c r="V732" s="469" t="n"/>
      <c r="W732" s="469" t="n"/>
      <c r="X732" s="469" t="n"/>
      <c r="Y732" s="469" t="n"/>
      <c r="Z732" s="469" t="n"/>
      <c r="AA732" s="469" t="n"/>
    </row>
    <row r="733">
      <c r="A733" s="468" t="n"/>
      <c r="B733" s="469" t="n"/>
      <c r="C733" s="469" t="n"/>
      <c r="D733" s="469" t="n"/>
      <c r="E733" s="469" t="n"/>
      <c r="F733" s="469" t="n"/>
      <c r="G733" s="469" t="n"/>
      <c r="H733" s="469" t="n"/>
      <c r="I733" s="469" t="n"/>
      <c r="J733" s="469" t="n"/>
      <c r="K733" s="469" t="n"/>
      <c r="L733" s="469" t="n"/>
      <c r="M733" s="469" t="n"/>
      <c r="N733" s="469" t="n"/>
      <c r="O733" s="469" t="n"/>
      <c r="P733" s="471" t="n"/>
      <c r="Q733" s="469" t="n"/>
      <c r="R733" s="469" t="n"/>
      <c r="S733" s="469" t="n"/>
      <c r="T733" s="469" t="n"/>
      <c r="U733" s="469" t="n"/>
      <c r="V733" s="469" t="n"/>
      <c r="W733" s="469" t="n"/>
      <c r="X733" s="469" t="n"/>
      <c r="Y733" s="469" t="n"/>
      <c r="Z733" s="469" t="n"/>
      <c r="AA733" s="469" t="n"/>
    </row>
    <row r="734">
      <c r="A734" s="468" t="n"/>
      <c r="B734" s="469" t="n"/>
      <c r="C734" s="469" t="n"/>
      <c r="D734" s="469" t="n"/>
      <c r="E734" s="469" t="n"/>
      <c r="F734" s="469" t="n"/>
      <c r="G734" s="469" t="n"/>
      <c r="H734" s="469" t="n"/>
      <c r="I734" s="469" t="n"/>
      <c r="J734" s="469" t="n"/>
      <c r="K734" s="469" t="n"/>
      <c r="L734" s="469" t="n"/>
      <c r="M734" s="469" t="n"/>
      <c r="N734" s="469" t="n"/>
      <c r="O734" s="469" t="n"/>
      <c r="P734" s="471" t="n"/>
      <c r="Q734" s="469" t="n"/>
      <c r="R734" s="469" t="n"/>
      <c r="S734" s="469" t="n"/>
      <c r="T734" s="469" t="n"/>
      <c r="U734" s="469" t="n"/>
      <c r="V734" s="469" t="n"/>
      <c r="W734" s="469" t="n"/>
      <c r="X734" s="469" t="n"/>
      <c r="Y734" s="469" t="n"/>
      <c r="Z734" s="469" t="n"/>
      <c r="AA734" s="469" t="n"/>
    </row>
    <row r="735">
      <c r="A735" s="468" t="n"/>
      <c r="B735" s="469" t="n"/>
      <c r="C735" s="469" t="n"/>
      <c r="D735" s="469" t="n"/>
      <c r="E735" s="469" t="n"/>
      <c r="F735" s="469" t="n"/>
      <c r="G735" s="469" t="n"/>
      <c r="H735" s="469" t="n"/>
      <c r="I735" s="469" t="n"/>
      <c r="J735" s="469" t="n"/>
      <c r="K735" s="469" t="n"/>
      <c r="L735" s="469" t="n"/>
      <c r="M735" s="469" t="n"/>
      <c r="N735" s="469" t="n"/>
      <c r="O735" s="469" t="n"/>
      <c r="P735" s="471" t="n"/>
      <c r="Q735" s="469" t="n"/>
      <c r="R735" s="469" t="n"/>
      <c r="S735" s="469" t="n"/>
      <c r="T735" s="469" t="n"/>
      <c r="U735" s="469" t="n"/>
      <c r="V735" s="469" t="n"/>
      <c r="W735" s="469" t="n"/>
      <c r="X735" s="469" t="n"/>
      <c r="Y735" s="469" t="n"/>
      <c r="Z735" s="469" t="n"/>
      <c r="AA735" s="469" t="n"/>
    </row>
    <row r="736">
      <c r="A736" s="468" t="n"/>
      <c r="B736" s="469" t="n"/>
      <c r="C736" s="469" t="n"/>
      <c r="D736" s="469" t="n"/>
      <c r="E736" s="469" t="n"/>
      <c r="F736" s="469" t="n"/>
      <c r="G736" s="469" t="n"/>
      <c r="H736" s="469" t="n"/>
      <c r="I736" s="469" t="n"/>
      <c r="J736" s="469" t="n"/>
      <c r="K736" s="469" t="n"/>
      <c r="L736" s="469" t="n"/>
      <c r="M736" s="469" t="n"/>
      <c r="N736" s="469" t="n"/>
      <c r="O736" s="469" t="n"/>
      <c r="P736" s="471" t="n"/>
      <c r="Q736" s="469" t="n"/>
      <c r="R736" s="469" t="n"/>
      <c r="S736" s="469" t="n"/>
      <c r="T736" s="469" t="n"/>
      <c r="U736" s="469" t="n"/>
      <c r="V736" s="469" t="n"/>
      <c r="W736" s="469" t="n"/>
      <c r="X736" s="469" t="n"/>
      <c r="Y736" s="469" t="n"/>
      <c r="Z736" s="469" t="n"/>
      <c r="AA736" s="469" t="n"/>
    </row>
    <row r="737">
      <c r="A737" s="468" t="n"/>
      <c r="B737" s="469" t="n"/>
      <c r="C737" s="469" t="n"/>
      <c r="D737" s="469" t="n"/>
      <c r="E737" s="469" t="n"/>
      <c r="F737" s="469" t="n"/>
      <c r="G737" s="469" t="n"/>
      <c r="H737" s="469" t="n"/>
      <c r="I737" s="469" t="n"/>
      <c r="J737" s="469" t="n"/>
      <c r="K737" s="469" t="n"/>
      <c r="L737" s="469" t="n"/>
      <c r="M737" s="469" t="n"/>
      <c r="N737" s="469" t="n"/>
      <c r="O737" s="469" t="n"/>
      <c r="P737" s="471" t="n"/>
      <c r="Q737" s="469" t="n"/>
      <c r="R737" s="469" t="n"/>
      <c r="S737" s="469" t="n"/>
      <c r="T737" s="469" t="n"/>
      <c r="U737" s="469" t="n"/>
      <c r="V737" s="469" t="n"/>
      <c r="W737" s="469" t="n"/>
      <c r="X737" s="469" t="n"/>
      <c r="Y737" s="469" t="n"/>
      <c r="Z737" s="469" t="n"/>
      <c r="AA737" s="469" t="n"/>
    </row>
    <row r="738">
      <c r="A738" s="468" t="n"/>
      <c r="B738" s="469" t="n"/>
      <c r="C738" s="469" t="n"/>
      <c r="D738" s="469" t="n"/>
      <c r="E738" s="469" t="n"/>
      <c r="F738" s="469" t="n"/>
      <c r="G738" s="469" t="n"/>
      <c r="H738" s="469" t="n"/>
      <c r="I738" s="469" t="n"/>
      <c r="J738" s="469" t="n"/>
      <c r="K738" s="469" t="n"/>
      <c r="L738" s="469" t="n"/>
      <c r="M738" s="469" t="n"/>
      <c r="N738" s="469" t="n"/>
      <c r="O738" s="469" t="n"/>
      <c r="P738" s="471" t="n"/>
      <c r="Q738" s="469" t="n"/>
      <c r="R738" s="469" t="n"/>
      <c r="S738" s="469" t="n"/>
      <c r="T738" s="469" t="n"/>
      <c r="U738" s="469" t="n"/>
      <c r="V738" s="469" t="n"/>
      <c r="W738" s="469" t="n"/>
      <c r="X738" s="469" t="n"/>
      <c r="Y738" s="469" t="n"/>
      <c r="Z738" s="469" t="n"/>
      <c r="AA738" s="469" t="n"/>
    </row>
    <row r="739">
      <c r="A739" s="468" t="n"/>
      <c r="B739" s="469" t="n"/>
      <c r="C739" s="469" t="n"/>
      <c r="D739" s="469" t="n"/>
      <c r="E739" s="469" t="n"/>
      <c r="F739" s="469" t="n"/>
      <c r="G739" s="469" t="n"/>
      <c r="H739" s="469" t="n"/>
      <c r="I739" s="469" t="n"/>
      <c r="J739" s="469" t="n"/>
      <c r="K739" s="469" t="n"/>
      <c r="L739" s="469" t="n"/>
      <c r="M739" s="469" t="n"/>
      <c r="N739" s="469" t="n"/>
      <c r="O739" s="469" t="n"/>
      <c r="P739" s="471" t="n"/>
      <c r="Q739" s="469" t="n"/>
      <c r="R739" s="469" t="n"/>
      <c r="S739" s="469" t="n"/>
      <c r="T739" s="469" t="n"/>
      <c r="U739" s="469" t="n"/>
      <c r="V739" s="469" t="n"/>
      <c r="W739" s="469" t="n"/>
      <c r="X739" s="469" t="n"/>
      <c r="Y739" s="469" t="n"/>
      <c r="Z739" s="469" t="n"/>
      <c r="AA739" s="469" t="n"/>
    </row>
    <row r="740">
      <c r="A740" s="468" t="n"/>
      <c r="B740" s="469" t="n"/>
      <c r="C740" s="469" t="n"/>
      <c r="D740" s="469" t="n"/>
      <c r="E740" s="469" t="n"/>
      <c r="F740" s="469" t="n"/>
      <c r="G740" s="469" t="n"/>
      <c r="H740" s="469" t="n"/>
      <c r="I740" s="469" t="n"/>
      <c r="J740" s="469" t="n"/>
      <c r="K740" s="469" t="n"/>
      <c r="L740" s="469" t="n"/>
      <c r="M740" s="469" t="n"/>
      <c r="N740" s="469" t="n"/>
      <c r="O740" s="469" t="n"/>
      <c r="P740" s="471" t="n"/>
      <c r="Q740" s="469" t="n"/>
      <c r="R740" s="469" t="n"/>
      <c r="S740" s="469" t="n"/>
      <c r="T740" s="469" t="n"/>
      <c r="U740" s="469" t="n"/>
      <c r="V740" s="469" t="n"/>
      <c r="W740" s="469" t="n"/>
      <c r="X740" s="469" t="n"/>
      <c r="Y740" s="469" t="n"/>
      <c r="Z740" s="469" t="n"/>
      <c r="AA740" s="469" t="n"/>
    </row>
    <row r="741">
      <c r="A741" s="468" t="n"/>
      <c r="B741" s="469" t="n"/>
      <c r="C741" s="469" t="n"/>
      <c r="D741" s="469" t="n"/>
      <c r="E741" s="469" t="n"/>
      <c r="F741" s="469" t="n"/>
      <c r="G741" s="469" t="n"/>
      <c r="H741" s="469" t="n"/>
      <c r="I741" s="469" t="n"/>
      <c r="J741" s="469" t="n"/>
      <c r="K741" s="469" t="n"/>
      <c r="L741" s="469" t="n"/>
      <c r="M741" s="469" t="n"/>
      <c r="N741" s="469" t="n"/>
      <c r="O741" s="469" t="n"/>
      <c r="P741" s="471" t="n"/>
      <c r="Q741" s="469" t="n"/>
      <c r="R741" s="469" t="n"/>
      <c r="S741" s="469" t="n"/>
      <c r="T741" s="469" t="n"/>
      <c r="U741" s="469" t="n"/>
      <c r="V741" s="469" t="n"/>
      <c r="W741" s="469" t="n"/>
      <c r="X741" s="469" t="n"/>
      <c r="Y741" s="469" t="n"/>
      <c r="Z741" s="469" t="n"/>
      <c r="AA741" s="469" t="n"/>
    </row>
    <row r="742">
      <c r="A742" s="468" t="n"/>
      <c r="B742" s="469" t="n"/>
      <c r="C742" s="469" t="n"/>
      <c r="D742" s="469" t="n"/>
      <c r="E742" s="469" t="n"/>
      <c r="F742" s="469" t="n"/>
      <c r="G742" s="469" t="n"/>
      <c r="H742" s="469" t="n"/>
      <c r="I742" s="469" t="n"/>
      <c r="J742" s="469" t="n"/>
      <c r="K742" s="469" t="n"/>
      <c r="L742" s="469" t="n"/>
      <c r="M742" s="469" t="n"/>
      <c r="N742" s="469" t="n"/>
      <c r="O742" s="469" t="n"/>
      <c r="P742" s="471" t="n"/>
      <c r="Q742" s="469" t="n"/>
      <c r="R742" s="469" t="n"/>
      <c r="S742" s="469" t="n"/>
      <c r="T742" s="469" t="n"/>
      <c r="U742" s="469" t="n"/>
      <c r="V742" s="469" t="n"/>
      <c r="W742" s="469" t="n"/>
      <c r="X742" s="469" t="n"/>
      <c r="Y742" s="469" t="n"/>
      <c r="Z742" s="469" t="n"/>
      <c r="AA742" s="469" t="n"/>
    </row>
    <row r="743">
      <c r="A743" s="468" t="n"/>
      <c r="B743" s="469" t="n"/>
      <c r="C743" s="469" t="n"/>
      <c r="D743" s="469" t="n"/>
      <c r="E743" s="469" t="n"/>
      <c r="F743" s="469" t="n"/>
      <c r="G743" s="469" t="n"/>
      <c r="H743" s="469" t="n"/>
      <c r="I743" s="469" t="n"/>
      <c r="J743" s="469" t="n"/>
      <c r="K743" s="469" t="n"/>
      <c r="L743" s="469" t="n"/>
      <c r="M743" s="469" t="n"/>
      <c r="N743" s="469" t="n"/>
      <c r="O743" s="469" t="n"/>
      <c r="P743" s="471" t="n"/>
      <c r="Q743" s="469" t="n"/>
      <c r="R743" s="469" t="n"/>
      <c r="S743" s="469" t="n"/>
      <c r="T743" s="469" t="n"/>
      <c r="U743" s="469" t="n"/>
      <c r="V743" s="469" t="n"/>
      <c r="W743" s="469" t="n"/>
      <c r="X743" s="469" t="n"/>
      <c r="Y743" s="469" t="n"/>
      <c r="Z743" s="469" t="n"/>
      <c r="AA743" s="469" t="n"/>
    </row>
    <row r="744">
      <c r="A744" s="468" t="n"/>
      <c r="B744" s="469" t="n"/>
      <c r="C744" s="469" t="n"/>
      <c r="D744" s="469" t="n"/>
      <c r="E744" s="469" t="n"/>
      <c r="F744" s="469" t="n"/>
      <c r="G744" s="469" t="n"/>
      <c r="H744" s="469" t="n"/>
      <c r="I744" s="469" t="n"/>
      <c r="J744" s="469" t="n"/>
      <c r="K744" s="469" t="n"/>
      <c r="L744" s="469" t="n"/>
      <c r="M744" s="469" t="n"/>
      <c r="N744" s="469" t="n"/>
      <c r="O744" s="469" t="n"/>
      <c r="P744" s="471" t="n"/>
      <c r="Q744" s="469" t="n"/>
      <c r="R744" s="469" t="n"/>
      <c r="S744" s="469" t="n"/>
      <c r="T744" s="469" t="n"/>
      <c r="U744" s="469" t="n"/>
      <c r="V744" s="469" t="n"/>
      <c r="W744" s="469" t="n"/>
      <c r="X744" s="469" t="n"/>
      <c r="Y744" s="469" t="n"/>
      <c r="Z744" s="469" t="n"/>
      <c r="AA744" s="469" t="n"/>
    </row>
    <row r="745">
      <c r="A745" s="468" t="n"/>
      <c r="B745" s="469" t="n"/>
      <c r="C745" s="469" t="n"/>
      <c r="D745" s="469" t="n"/>
      <c r="E745" s="469" t="n"/>
      <c r="F745" s="469" t="n"/>
      <c r="G745" s="469" t="n"/>
      <c r="H745" s="469" t="n"/>
      <c r="I745" s="469" t="n"/>
      <c r="J745" s="469" t="n"/>
      <c r="K745" s="469" t="n"/>
      <c r="L745" s="469" t="n"/>
      <c r="M745" s="469" t="n"/>
      <c r="N745" s="469" t="n"/>
      <c r="O745" s="469" t="n"/>
      <c r="P745" s="471" t="n"/>
      <c r="Q745" s="469" t="n"/>
      <c r="R745" s="469" t="n"/>
      <c r="S745" s="469" t="n"/>
      <c r="T745" s="469" t="n"/>
      <c r="U745" s="469" t="n"/>
      <c r="V745" s="469" t="n"/>
      <c r="W745" s="469" t="n"/>
      <c r="X745" s="469" t="n"/>
      <c r="Y745" s="469" t="n"/>
      <c r="Z745" s="469" t="n"/>
      <c r="AA745" s="469" t="n"/>
    </row>
    <row r="746">
      <c r="A746" s="468" t="n"/>
      <c r="B746" s="469" t="n"/>
      <c r="C746" s="469" t="n"/>
      <c r="D746" s="469" t="n"/>
      <c r="E746" s="469" t="n"/>
      <c r="F746" s="469" t="n"/>
      <c r="G746" s="469" t="n"/>
      <c r="H746" s="469" t="n"/>
      <c r="I746" s="469" t="n"/>
      <c r="J746" s="469" t="n"/>
      <c r="K746" s="469" t="n"/>
      <c r="L746" s="469" t="n"/>
      <c r="M746" s="469" t="n"/>
      <c r="N746" s="469" t="n"/>
      <c r="O746" s="469" t="n"/>
      <c r="P746" s="471" t="n"/>
      <c r="Q746" s="469" t="n"/>
      <c r="R746" s="469" t="n"/>
      <c r="S746" s="469" t="n"/>
      <c r="T746" s="469" t="n"/>
      <c r="U746" s="469" t="n"/>
      <c r="V746" s="469" t="n"/>
      <c r="W746" s="469" t="n"/>
      <c r="X746" s="469" t="n"/>
      <c r="Y746" s="469" t="n"/>
      <c r="Z746" s="469" t="n"/>
      <c r="AA746" s="469" t="n"/>
    </row>
    <row r="747">
      <c r="A747" s="468" t="n"/>
      <c r="B747" s="469" t="n"/>
      <c r="C747" s="469" t="n"/>
      <c r="D747" s="469" t="n"/>
      <c r="E747" s="469" t="n"/>
      <c r="F747" s="469" t="n"/>
      <c r="G747" s="469" t="n"/>
      <c r="H747" s="469" t="n"/>
      <c r="I747" s="469" t="n"/>
      <c r="J747" s="469" t="n"/>
      <c r="K747" s="469" t="n"/>
      <c r="L747" s="469" t="n"/>
      <c r="M747" s="469" t="n"/>
      <c r="N747" s="469" t="n"/>
      <c r="O747" s="469" t="n"/>
      <c r="P747" s="471" t="n"/>
      <c r="Q747" s="469" t="n"/>
      <c r="R747" s="469" t="n"/>
      <c r="S747" s="469" t="n"/>
      <c r="T747" s="469" t="n"/>
      <c r="U747" s="469" t="n"/>
      <c r="V747" s="469" t="n"/>
      <c r="W747" s="469" t="n"/>
      <c r="X747" s="469" t="n"/>
      <c r="Y747" s="469" t="n"/>
      <c r="Z747" s="469" t="n"/>
      <c r="AA747" s="469" t="n"/>
    </row>
    <row r="748">
      <c r="A748" s="468" t="n"/>
      <c r="B748" s="469" t="n"/>
      <c r="C748" s="469" t="n"/>
      <c r="D748" s="469" t="n"/>
      <c r="E748" s="469" t="n"/>
      <c r="F748" s="469" t="n"/>
      <c r="G748" s="469" t="n"/>
      <c r="H748" s="469" t="n"/>
      <c r="I748" s="469" t="n"/>
      <c r="J748" s="469" t="n"/>
      <c r="K748" s="469" t="n"/>
      <c r="L748" s="469" t="n"/>
      <c r="M748" s="469" t="n"/>
      <c r="N748" s="469" t="n"/>
      <c r="O748" s="469" t="n"/>
      <c r="P748" s="471" t="n"/>
      <c r="Q748" s="469" t="n"/>
      <c r="R748" s="469" t="n"/>
      <c r="S748" s="469" t="n"/>
      <c r="T748" s="469" t="n"/>
      <c r="U748" s="469" t="n"/>
      <c r="V748" s="469" t="n"/>
      <c r="W748" s="469" t="n"/>
      <c r="X748" s="469" t="n"/>
      <c r="Y748" s="469" t="n"/>
      <c r="Z748" s="469" t="n"/>
      <c r="AA748" s="469" t="n"/>
    </row>
    <row r="749">
      <c r="A749" s="468" t="n"/>
      <c r="B749" s="469" t="n"/>
      <c r="C749" s="469" t="n"/>
      <c r="D749" s="469" t="n"/>
      <c r="E749" s="469" t="n"/>
      <c r="F749" s="469" t="n"/>
      <c r="G749" s="469" t="n"/>
      <c r="H749" s="469" t="n"/>
      <c r="I749" s="469" t="n"/>
      <c r="J749" s="469" t="n"/>
      <c r="K749" s="469" t="n"/>
      <c r="L749" s="469" t="n"/>
      <c r="M749" s="469" t="n"/>
      <c r="N749" s="469" t="n"/>
      <c r="O749" s="469" t="n"/>
      <c r="P749" s="471" t="n"/>
      <c r="Q749" s="469" t="n"/>
      <c r="R749" s="469" t="n"/>
      <c r="S749" s="469" t="n"/>
      <c r="T749" s="469" t="n"/>
      <c r="U749" s="469" t="n"/>
      <c r="V749" s="469" t="n"/>
      <c r="W749" s="469" t="n"/>
      <c r="X749" s="469" t="n"/>
      <c r="Y749" s="469" t="n"/>
      <c r="Z749" s="469" t="n"/>
      <c r="AA749" s="469" t="n"/>
    </row>
    <row r="750">
      <c r="A750" s="468" t="n"/>
      <c r="B750" s="469" t="n"/>
      <c r="C750" s="469" t="n"/>
      <c r="D750" s="469" t="n"/>
      <c r="E750" s="469" t="n"/>
      <c r="F750" s="469" t="n"/>
      <c r="G750" s="469" t="n"/>
      <c r="H750" s="469" t="n"/>
      <c r="I750" s="469" t="n"/>
      <c r="J750" s="469" t="n"/>
      <c r="K750" s="469" t="n"/>
      <c r="L750" s="469" t="n"/>
      <c r="M750" s="469" t="n"/>
      <c r="N750" s="469" t="n"/>
      <c r="O750" s="469" t="n"/>
      <c r="P750" s="471" t="n"/>
      <c r="Q750" s="469" t="n"/>
      <c r="R750" s="469" t="n"/>
      <c r="S750" s="469" t="n"/>
      <c r="T750" s="469" t="n"/>
      <c r="U750" s="469" t="n"/>
      <c r="V750" s="469" t="n"/>
      <c r="W750" s="469" t="n"/>
      <c r="X750" s="469" t="n"/>
      <c r="Y750" s="469" t="n"/>
      <c r="Z750" s="469" t="n"/>
      <c r="AA750" s="469" t="n"/>
    </row>
    <row r="751">
      <c r="A751" s="468" t="n"/>
      <c r="B751" s="469" t="n"/>
      <c r="C751" s="469" t="n"/>
      <c r="D751" s="469" t="n"/>
      <c r="E751" s="469" t="n"/>
      <c r="F751" s="469" t="n"/>
      <c r="G751" s="469" t="n"/>
      <c r="H751" s="469" t="n"/>
      <c r="I751" s="469" t="n"/>
      <c r="J751" s="469" t="n"/>
      <c r="K751" s="469" t="n"/>
      <c r="L751" s="469" t="n"/>
      <c r="M751" s="469" t="n"/>
      <c r="N751" s="469" t="n"/>
      <c r="O751" s="469" t="n"/>
      <c r="P751" s="471" t="n"/>
      <c r="Q751" s="469" t="n"/>
      <c r="R751" s="469" t="n"/>
      <c r="S751" s="469" t="n"/>
      <c r="T751" s="469" t="n"/>
      <c r="U751" s="469" t="n"/>
      <c r="V751" s="469" t="n"/>
      <c r="W751" s="469" t="n"/>
      <c r="X751" s="469" t="n"/>
      <c r="Y751" s="469" t="n"/>
      <c r="Z751" s="469" t="n"/>
      <c r="AA751" s="469" t="n"/>
    </row>
    <row r="752">
      <c r="A752" s="468" t="n"/>
      <c r="B752" s="469" t="n"/>
      <c r="C752" s="469" t="n"/>
      <c r="D752" s="469" t="n"/>
      <c r="E752" s="469" t="n"/>
      <c r="F752" s="469" t="n"/>
      <c r="G752" s="469" t="n"/>
      <c r="H752" s="469" t="n"/>
      <c r="I752" s="469" t="n"/>
      <c r="J752" s="469" t="n"/>
      <c r="K752" s="469" t="n"/>
      <c r="L752" s="469" t="n"/>
      <c r="M752" s="469" t="n"/>
      <c r="N752" s="469" t="n"/>
      <c r="O752" s="469" t="n"/>
      <c r="P752" s="471" t="n"/>
      <c r="Q752" s="469" t="n"/>
      <c r="R752" s="469" t="n"/>
      <c r="S752" s="469" t="n"/>
      <c r="T752" s="469" t="n"/>
      <c r="U752" s="469" t="n"/>
      <c r="V752" s="469" t="n"/>
      <c r="W752" s="469" t="n"/>
      <c r="X752" s="469" t="n"/>
      <c r="Y752" s="469" t="n"/>
      <c r="Z752" s="469" t="n"/>
      <c r="AA752" s="469" t="n"/>
    </row>
    <row r="753">
      <c r="A753" s="468" t="n"/>
      <c r="B753" s="469" t="n"/>
      <c r="C753" s="469" t="n"/>
      <c r="D753" s="469" t="n"/>
      <c r="E753" s="469" t="n"/>
      <c r="F753" s="469" t="n"/>
      <c r="G753" s="469" t="n"/>
      <c r="H753" s="469" t="n"/>
      <c r="I753" s="469" t="n"/>
      <c r="J753" s="469" t="n"/>
      <c r="K753" s="469" t="n"/>
      <c r="L753" s="469" t="n"/>
      <c r="M753" s="469" t="n"/>
      <c r="N753" s="469" t="n"/>
      <c r="O753" s="469" t="n"/>
      <c r="P753" s="471" t="n"/>
      <c r="Q753" s="469" t="n"/>
      <c r="R753" s="469" t="n"/>
      <c r="S753" s="469" t="n"/>
      <c r="T753" s="469" t="n"/>
      <c r="U753" s="469" t="n"/>
      <c r="V753" s="469" t="n"/>
      <c r="W753" s="469" t="n"/>
      <c r="X753" s="469" t="n"/>
      <c r="Y753" s="469" t="n"/>
      <c r="Z753" s="469" t="n"/>
      <c r="AA753" s="469" t="n"/>
    </row>
    <row r="754">
      <c r="A754" s="468" t="n"/>
      <c r="B754" s="469" t="n"/>
      <c r="C754" s="469" t="n"/>
      <c r="D754" s="469" t="n"/>
      <c r="E754" s="469" t="n"/>
      <c r="F754" s="469" t="n"/>
      <c r="G754" s="469" t="n"/>
      <c r="H754" s="469" t="n"/>
      <c r="I754" s="469" t="n"/>
      <c r="J754" s="469" t="n"/>
      <c r="K754" s="469" t="n"/>
      <c r="L754" s="469" t="n"/>
      <c r="M754" s="469" t="n"/>
      <c r="N754" s="469" t="n"/>
      <c r="O754" s="469" t="n"/>
      <c r="P754" s="471" t="n"/>
      <c r="Q754" s="469" t="n"/>
      <c r="R754" s="469" t="n"/>
      <c r="S754" s="469" t="n"/>
      <c r="T754" s="469" t="n"/>
      <c r="U754" s="469" t="n"/>
      <c r="V754" s="469" t="n"/>
      <c r="W754" s="469" t="n"/>
      <c r="X754" s="469" t="n"/>
      <c r="Y754" s="469" t="n"/>
      <c r="Z754" s="469" t="n"/>
      <c r="AA754" s="469" t="n"/>
    </row>
    <row r="755">
      <c r="A755" s="468" t="n"/>
      <c r="B755" s="469" t="n"/>
      <c r="C755" s="469" t="n"/>
      <c r="D755" s="469" t="n"/>
      <c r="E755" s="469" t="n"/>
      <c r="F755" s="469" t="n"/>
      <c r="G755" s="469" t="n"/>
      <c r="H755" s="469" t="n"/>
      <c r="I755" s="469" t="n"/>
      <c r="J755" s="469" t="n"/>
      <c r="K755" s="469" t="n"/>
      <c r="L755" s="469" t="n"/>
      <c r="M755" s="469" t="n"/>
      <c r="N755" s="469" t="n"/>
      <c r="O755" s="469" t="n"/>
      <c r="P755" s="471" t="n"/>
      <c r="Q755" s="469" t="n"/>
      <c r="R755" s="469" t="n"/>
      <c r="S755" s="469" t="n"/>
      <c r="T755" s="469" t="n"/>
      <c r="U755" s="469" t="n"/>
      <c r="V755" s="469" t="n"/>
      <c r="W755" s="469" t="n"/>
      <c r="X755" s="469" t="n"/>
      <c r="Y755" s="469" t="n"/>
      <c r="Z755" s="469" t="n"/>
      <c r="AA755" s="469" t="n"/>
    </row>
    <row r="756">
      <c r="A756" s="468" t="n"/>
      <c r="B756" s="469" t="n"/>
      <c r="C756" s="469" t="n"/>
      <c r="D756" s="469" t="n"/>
      <c r="E756" s="469" t="n"/>
      <c r="F756" s="469" t="n"/>
      <c r="G756" s="469" t="n"/>
      <c r="H756" s="469" t="n"/>
      <c r="I756" s="469" t="n"/>
      <c r="J756" s="469" t="n"/>
      <c r="K756" s="469" t="n"/>
      <c r="L756" s="469" t="n"/>
      <c r="M756" s="469" t="n"/>
      <c r="N756" s="469" t="n"/>
      <c r="O756" s="469" t="n"/>
      <c r="P756" s="471" t="n"/>
      <c r="Q756" s="469" t="n"/>
      <c r="R756" s="469" t="n"/>
      <c r="S756" s="469" t="n"/>
      <c r="T756" s="469" t="n"/>
      <c r="U756" s="469" t="n"/>
      <c r="V756" s="469" t="n"/>
      <c r="W756" s="469" t="n"/>
      <c r="X756" s="469" t="n"/>
      <c r="Y756" s="469" t="n"/>
      <c r="Z756" s="469" t="n"/>
      <c r="AA756" s="469" t="n"/>
    </row>
    <row r="757">
      <c r="A757" s="468" t="n"/>
      <c r="B757" s="469" t="n"/>
      <c r="C757" s="469" t="n"/>
      <c r="D757" s="469" t="n"/>
      <c r="E757" s="469" t="n"/>
      <c r="F757" s="469" t="n"/>
      <c r="G757" s="469" t="n"/>
      <c r="H757" s="469" t="n"/>
      <c r="I757" s="469" t="n"/>
      <c r="J757" s="469" t="n"/>
      <c r="K757" s="469" t="n"/>
      <c r="L757" s="469" t="n"/>
      <c r="M757" s="469" t="n"/>
      <c r="N757" s="469" t="n"/>
      <c r="O757" s="469" t="n"/>
      <c r="P757" s="471" t="n"/>
      <c r="Q757" s="469" t="n"/>
      <c r="R757" s="469" t="n"/>
      <c r="S757" s="469" t="n"/>
      <c r="T757" s="469" t="n"/>
      <c r="U757" s="469" t="n"/>
      <c r="V757" s="469" t="n"/>
      <c r="W757" s="469" t="n"/>
      <c r="X757" s="469" t="n"/>
      <c r="Y757" s="469" t="n"/>
      <c r="Z757" s="469" t="n"/>
      <c r="AA757" s="469" t="n"/>
    </row>
    <row r="758">
      <c r="A758" s="468" t="n"/>
      <c r="B758" s="469" t="n"/>
      <c r="C758" s="469" t="n"/>
      <c r="D758" s="469" t="n"/>
      <c r="E758" s="469" t="n"/>
      <c r="F758" s="469" t="n"/>
      <c r="G758" s="469" t="n"/>
      <c r="H758" s="469" t="n"/>
      <c r="I758" s="469" t="n"/>
      <c r="J758" s="469" t="n"/>
      <c r="K758" s="469" t="n"/>
      <c r="L758" s="469" t="n"/>
      <c r="M758" s="469" t="n"/>
      <c r="N758" s="469" t="n"/>
      <c r="O758" s="469" t="n"/>
      <c r="P758" s="471" t="n"/>
      <c r="Q758" s="469" t="n"/>
      <c r="R758" s="469" t="n"/>
      <c r="S758" s="469" t="n"/>
      <c r="T758" s="469" t="n"/>
      <c r="U758" s="469" t="n"/>
      <c r="V758" s="469" t="n"/>
      <c r="W758" s="469" t="n"/>
      <c r="X758" s="469" t="n"/>
      <c r="Y758" s="469" t="n"/>
      <c r="Z758" s="469" t="n"/>
      <c r="AA758" s="469" t="n"/>
    </row>
    <row r="759">
      <c r="A759" s="468" t="n"/>
      <c r="B759" s="469" t="n"/>
      <c r="C759" s="469" t="n"/>
      <c r="D759" s="469" t="n"/>
      <c r="E759" s="469" t="n"/>
      <c r="F759" s="469" t="n"/>
      <c r="G759" s="469" t="n"/>
      <c r="H759" s="469" t="n"/>
      <c r="I759" s="469" t="n"/>
      <c r="J759" s="469" t="n"/>
      <c r="K759" s="469" t="n"/>
      <c r="L759" s="469" t="n"/>
      <c r="M759" s="469" t="n"/>
      <c r="N759" s="469" t="n"/>
      <c r="O759" s="469" t="n"/>
      <c r="P759" s="471" t="n"/>
      <c r="Q759" s="469" t="n"/>
      <c r="R759" s="469" t="n"/>
      <c r="S759" s="469" t="n"/>
      <c r="T759" s="469" t="n"/>
      <c r="U759" s="469" t="n"/>
      <c r="V759" s="469" t="n"/>
      <c r="W759" s="469" t="n"/>
      <c r="X759" s="469" t="n"/>
      <c r="Y759" s="469" t="n"/>
      <c r="Z759" s="469" t="n"/>
      <c r="AA759" s="469" t="n"/>
    </row>
    <row r="760">
      <c r="A760" s="468" t="n"/>
      <c r="B760" s="469" t="n"/>
      <c r="C760" s="469" t="n"/>
      <c r="D760" s="469" t="n"/>
      <c r="E760" s="469" t="n"/>
      <c r="F760" s="469" t="n"/>
      <c r="G760" s="469" t="n"/>
      <c r="H760" s="469" t="n"/>
      <c r="I760" s="469" t="n"/>
      <c r="J760" s="469" t="n"/>
      <c r="K760" s="469" t="n"/>
      <c r="L760" s="469" t="n"/>
      <c r="M760" s="469" t="n"/>
      <c r="N760" s="469" t="n"/>
      <c r="O760" s="469" t="n"/>
      <c r="P760" s="471" t="n"/>
      <c r="Q760" s="469" t="n"/>
      <c r="R760" s="469" t="n"/>
      <c r="S760" s="469" t="n"/>
      <c r="T760" s="469" t="n"/>
      <c r="U760" s="469" t="n"/>
      <c r="V760" s="469" t="n"/>
      <c r="W760" s="469" t="n"/>
      <c r="X760" s="469" t="n"/>
      <c r="Y760" s="469" t="n"/>
      <c r="Z760" s="469" t="n"/>
      <c r="AA760" s="469" t="n"/>
    </row>
    <row r="761">
      <c r="A761" s="468" t="n"/>
      <c r="B761" s="469" t="n"/>
      <c r="C761" s="469" t="n"/>
      <c r="D761" s="469" t="n"/>
      <c r="E761" s="469" t="n"/>
      <c r="F761" s="469" t="n"/>
      <c r="G761" s="469" t="n"/>
      <c r="H761" s="469" t="n"/>
      <c r="I761" s="469" t="n"/>
      <c r="J761" s="469" t="n"/>
      <c r="K761" s="469" t="n"/>
      <c r="L761" s="469" t="n"/>
      <c r="M761" s="469" t="n"/>
      <c r="N761" s="469" t="n"/>
      <c r="O761" s="469" t="n"/>
      <c r="P761" s="471" t="n"/>
      <c r="Q761" s="469" t="n"/>
      <c r="R761" s="469" t="n"/>
      <c r="S761" s="469" t="n"/>
      <c r="T761" s="469" t="n"/>
      <c r="U761" s="469" t="n"/>
      <c r="V761" s="469" t="n"/>
      <c r="W761" s="469" t="n"/>
      <c r="X761" s="469" t="n"/>
      <c r="Y761" s="469" t="n"/>
      <c r="Z761" s="469" t="n"/>
      <c r="AA761" s="469" t="n"/>
    </row>
    <row r="762">
      <c r="A762" s="468" t="n"/>
      <c r="B762" s="469" t="n"/>
      <c r="C762" s="469" t="n"/>
      <c r="D762" s="469" t="n"/>
      <c r="E762" s="469" t="n"/>
      <c r="F762" s="469" t="n"/>
      <c r="G762" s="469" t="n"/>
      <c r="H762" s="469" t="n"/>
      <c r="I762" s="469" t="n"/>
      <c r="J762" s="469" t="n"/>
      <c r="K762" s="469" t="n"/>
      <c r="L762" s="469" t="n"/>
      <c r="M762" s="469" t="n"/>
      <c r="N762" s="469" t="n"/>
      <c r="O762" s="469" t="n"/>
      <c r="P762" s="471" t="n"/>
      <c r="Q762" s="469" t="n"/>
      <c r="R762" s="469" t="n"/>
      <c r="S762" s="469" t="n"/>
      <c r="T762" s="469" t="n"/>
      <c r="U762" s="469" t="n"/>
      <c r="V762" s="469" t="n"/>
      <c r="W762" s="469" t="n"/>
      <c r="X762" s="469" t="n"/>
      <c r="Y762" s="469" t="n"/>
      <c r="Z762" s="469" t="n"/>
      <c r="AA762" s="469" t="n"/>
    </row>
    <row r="763">
      <c r="A763" s="468" t="n"/>
      <c r="B763" s="469" t="n"/>
      <c r="C763" s="469" t="n"/>
      <c r="D763" s="469" t="n"/>
      <c r="E763" s="469" t="n"/>
      <c r="F763" s="469" t="n"/>
      <c r="G763" s="469" t="n"/>
      <c r="H763" s="469" t="n"/>
      <c r="I763" s="469" t="n"/>
      <c r="J763" s="469" t="n"/>
      <c r="K763" s="469" t="n"/>
      <c r="L763" s="469" t="n"/>
      <c r="M763" s="469" t="n"/>
      <c r="N763" s="469" t="n"/>
      <c r="O763" s="469" t="n"/>
      <c r="P763" s="471" t="n"/>
      <c r="Q763" s="469" t="n"/>
      <c r="R763" s="469" t="n"/>
      <c r="S763" s="469" t="n"/>
      <c r="T763" s="469" t="n"/>
      <c r="U763" s="469" t="n"/>
      <c r="V763" s="469" t="n"/>
      <c r="W763" s="469" t="n"/>
      <c r="X763" s="469" t="n"/>
      <c r="Y763" s="469" t="n"/>
      <c r="Z763" s="469" t="n"/>
      <c r="AA763" s="469" t="n"/>
    </row>
    <row r="764">
      <c r="A764" s="468" t="n"/>
      <c r="B764" s="469" t="n"/>
      <c r="C764" s="469" t="n"/>
      <c r="D764" s="469" t="n"/>
      <c r="E764" s="469" t="n"/>
      <c r="F764" s="469" t="n"/>
      <c r="G764" s="469" t="n"/>
      <c r="H764" s="469" t="n"/>
      <c r="I764" s="469" t="n"/>
      <c r="J764" s="469" t="n"/>
      <c r="K764" s="469" t="n"/>
      <c r="L764" s="469" t="n"/>
      <c r="M764" s="469" t="n"/>
      <c r="N764" s="469" t="n"/>
      <c r="O764" s="469" t="n"/>
      <c r="P764" s="471" t="n"/>
      <c r="Q764" s="469" t="n"/>
      <c r="R764" s="469" t="n"/>
      <c r="S764" s="469" t="n"/>
      <c r="T764" s="469" t="n"/>
      <c r="U764" s="469" t="n"/>
      <c r="V764" s="469" t="n"/>
      <c r="W764" s="469" t="n"/>
      <c r="X764" s="469" t="n"/>
      <c r="Y764" s="469" t="n"/>
      <c r="Z764" s="469" t="n"/>
      <c r="AA764" s="469" t="n"/>
    </row>
    <row r="765">
      <c r="A765" s="468" t="n"/>
      <c r="B765" s="469" t="n"/>
      <c r="C765" s="469" t="n"/>
      <c r="D765" s="469" t="n"/>
      <c r="E765" s="469" t="n"/>
      <c r="F765" s="469" t="n"/>
      <c r="G765" s="469" t="n"/>
      <c r="H765" s="469" t="n"/>
      <c r="I765" s="469" t="n"/>
      <c r="J765" s="469" t="n"/>
      <c r="K765" s="469" t="n"/>
      <c r="L765" s="469" t="n"/>
      <c r="M765" s="469" t="n"/>
      <c r="N765" s="469" t="n"/>
      <c r="O765" s="469" t="n"/>
      <c r="P765" s="471" t="n"/>
      <c r="Q765" s="469" t="n"/>
      <c r="R765" s="469" t="n"/>
      <c r="S765" s="469" t="n"/>
      <c r="T765" s="469" t="n"/>
      <c r="U765" s="469" t="n"/>
      <c r="V765" s="469" t="n"/>
      <c r="W765" s="469" t="n"/>
      <c r="X765" s="469" t="n"/>
      <c r="Y765" s="469" t="n"/>
      <c r="Z765" s="469" t="n"/>
      <c r="AA765" s="469" t="n"/>
    </row>
    <row r="766">
      <c r="A766" s="468" t="n"/>
      <c r="B766" s="469" t="n"/>
      <c r="C766" s="469" t="n"/>
      <c r="D766" s="469" t="n"/>
      <c r="E766" s="469" t="n"/>
      <c r="F766" s="469" t="n"/>
      <c r="G766" s="469" t="n"/>
      <c r="H766" s="469" t="n"/>
      <c r="I766" s="469" t="n"/>
      <c r="J766" s="469" t="n"/>
      <c r="K766" s="469" t="n"/>
      <c r="L766" s="469" t="n"/>
      <c r="M766" s="469" t="n"/>
      <c r="N766" s="469" t="n"/>
      <c r="O766" s="469" t="n"/>
      <c r="P766" s="471" t="n"/>
      <c r="Q766" s="469" t="n"/>
      <c r="R766" s="469" t="n"/>
      <c r="S766" s="469" t="n"/>
      <c r="T766" s="469" t="n"/>
      <c r="U766" s="469" t="n"/>
      <c r="V766" s="469" t="n"/>
      <c r="W766" s="469" t="n"/>
      <c r="X766" s="469" t="n"/>
      <c r="Y766" s="469" t="n"/>
      <c r="Z766" s="469" t="n"/>
      <c r="AA766" s="469" t="n"/>
    </row>
    <row r="767">
      <c r="A767" s="468" t="n"/>
      <c r="B767" s="469" t="n"/>
      <c r="C767" s="469" t="n"/>
      <c r="D767" s="469" t="n"/>
      <c r="E767" s="469" t="n"/>
      <c r="F767" s="469" t="n"/>
      <c r="G767" s="469" t="n"/>
      <c r="H767" s="469" t="n"/>
      <c r="I767" s="469" t="n"/>
      <c r="J767" s="469" t="n"/>
      <c r="K767" s="469" t="n"/>
      <c r="L767" s="469" t="n"/>
      <c r="M767" s="469" t="n"/>
      <c r="N767" s="469" t="n"/>
      <c r="O767" s="469" t="n"/>
      <c r="P767" s="471" t="n"/>
      <c r="Q767" s="469" t="n"/>
      <c r="R767" s="469" t="n"/>
      <c r="S767" s="469" t="n"/>
      <c r="T767" s="469" t="n"/>
      <c r="U767" s="469" t="n"/>
      <c r="V767" s="469" t="n"/>
      <c r="W767" s="469" t="n"/>
      <c r="X767" s="469" t="n"/>
      <c r="Y767" s="469" t="n"/>
      <c r="Z767" s="469" t="n"/>
      <c r="AA767" s="469" t="n"/>
    </row>
    <row r="768">
      <c r="A768" s="468" t="n"/>
      <c r="B768" s="469" t="n"/>
      <c r="C768" s="469" t="n"/>
      <c r="D768" s="469" t="n"/>
      <c r="E768" s="469" t="n"/>
      <c r="F768" s="469" t="n"/>
      <c r="G768" s="469" t="n"/>
      <c r="H768" s="469" t="n"/>
      <c r="I768" s="469" t="n"/>
      <c r="J768" s="469" t="n"/>
      <c r="K768" s="469" t="n"/>
      <c r="L768" s="469" t="n"/>
      <c r="M768" s="469" t="n"/>
      <c r="N768" s="469" t="n"/>
      <c r="O768" s="469" t="n"/>
      <c r="P768" s="471" t="n"/>
      <c r="Q768" s="469" t="n"/>
      <c r="R768" s="469" t="n"/>
      <c r="S768" s="469" t="n"/>
      <c r="T768" s="469" t="n"/>
      <c r="U768" s="469" t="n"/>
      <c r="V768" s="469" t="n"/>
      <c r="W768" s="469" t="n"/>
      <c r="X768" s="469" t="n"/>
      <c r="Y768" s="469" t="n"/>
      <c r="Z768" s="469" t="n"/>
      <c r="AA768" s="469" t="n"/>
    </row>
    <row r="769">
      <c r="A769" s="468" t="n"/>
      <c r="B769" s="469" t="n"/>
      <c r="C769" s="469" t="n"/>
      <c r="D769" s="469" t="n"/>
      <c r="E769" s="469" t="n"/>
      <c r="F769" s="469" t="n"/>
      <c r="G769" s="469" t="n"/>
      <c r="H769" s="469" t="n"/>
      <c r="I769" s="469" t="n"/>
      <c r="J769" s="469" t="n"/>
      <c r="K769" s="469" t="n"/>
      <c r="L769" s="469" t="n"/>
      <c r="M769" s="469" t="n"/>
      <c r="N769" s="469" t="n"/>
      <c r="O769" s="469" t="n"/>
      <c r="P769" s="471" t="n"/>
      <c r="Q769" s="469" t="n"/>
      <c r="R769" s="469" t="n"/>
      <c r="S769" s="469" t="n"/>
      <c r="T769" s="469" t="n"/>
      <c r="U769" s="469" t="n"/>
      <c r="V769" s="469" t="n"/>
      <c r="W769" s="469" t="n"/>
      <c r="X769" s="469" t="n"/>
      <c r="Y769" s="469" t="n"/>
      <c r="Z769" s="469" t="n"/>
      <c r="AA769" s="469" t="n"/>
    </row>
    <row r="770">
      <c r="A770" s="468" t="n"/>
      <c r="B770" s="469" t="n"/>
      <c r="C770" s="469" t="n"/>
      <c r="D770" s="469" t="n"/>
      <c r="E770" s="469" t="n"/>
      <c r="F770" s="469" t="n"/>
      <c r="G770" s="469" t="n"/>
      <c r="H770" s="469" t="n"/>
      <c r="I770" s="469" t="n"/>
      <c r="J770" s="469" t="n"/>
      <c r="K770" s="469" t="n"/>
      <c r="L770" s="469" t="n"/>
      <c r="M770" s="469" t="n"/>
      <c r="N770" s="469" t="n"/>
      <c r="O770" s="469" t="n"/>
      <c r="P770" s="471" t="n"/>
      <c r="Q770" s="469" t="n"/>
      <c r="R770" s="469" t="n"/>
      <c r="S770" s="469" t="n"/>
      <c r="T770" s="469" t="n"/>
      <c r="U770" s="469" t="n"/>
      <c r="V770" s="469" t="n"/>
      <c r="W770" s="469" t="n"/>
      <c r="X770" s="469" t="n"/>
      <c r="Y770" s="469" t="n"/>
      <c r="Z770" s="469" t="n"/>
      <c r="AA770" s="469" t="n"/>
    </row>
    <row r="771">
      <c r="A771" s="468" t="n"/>
      <c r="B771" s="469" t="n"/>
      <c r="C771" s="469" t="n"/>
      <c r="D771" s="469" t="n"/>
      <c r="E771" s="469" t="n"/>
      <c r="F771" s="469" t="n"/>
      <c r="G771" s="469" t="n"/>
      <c r="H771" s="469" t="n"/>
      <c r="I771" s="469" t="n"/>
      <c r="J771" s="469" t="n"/>
      <c r="K771" s="469" t="n"/>
      <c r="L771" s="469" t="n"/>
      <c r="M771" s="469" t="n"/>
      <c r="N771" s="469" t="n"/>
      <c r="O771" s="469" t="n"/>
      <c r="P771" s="471" t="n"/>
      <c r="Q771" s="469" t="n"/>
      <c r="R771" s="469" t="n"/>
      <c r="S771" s="469" t="n"/>
      <c r="T771" s="469" t="n"/>
      <c r="U771" s="469" t="n"/>
      <c r="V771" s="469" t="n"/>
      <c r="W771" s="469" t="n"/>
      <c r="X771" s="469" t="n"/>
      <c r="Y771" s="469" t="n"/>
      <c r="Z771" s="469" t="n"/>
      <c r="AA771" s="469" t="n"/>
    </row>
    <row r="772">
      <c r="A772" s="468" t="n"/>
      <c r="B772" s="469" t="n"/>
      <c r="C772" s="469" t="n"/>
      <c r="D772" s="469" t="n"/>
      <c r="E772" s="469" t="n"/>
      <c r="F772" s="469" t="n"/>
      <c r="G772" s="469" t="n"/>
      <c r="H772" s="469" t="n"/>
      <c r="I772" s="469" t="n"/>
      <c r="J772" s="469" t="n"/>
      <c r="K772" s="469" t="n"/>
      <c r="L772" s="469" t="n"/>
      <c r="M772" s="469" t="n"/>
      <c r="N772" s="469" t="n"/>
      <c r="O772" s="469" t="n"/>
      <c r="P772" s="471" t="n"/>
      <c r="Q772" s="469" t="n"/>
      <c r="R772" s="469" t="n"/>
      <c r="S772" s="469" t="n"/>
      <c r="T772" s="469" t="n"/>
      <c r="U772" s="469" t="n"/>
      <c r="V772" s="469" t="n"/>
      <c r="W772" s="469" t="n"/>
      <c r="X772" s="469" t="n"/>
      <c r="Y772" s="469" t="n"/>
      <c r="Z772" s="469" t="n"/>
      <c r="AA772" s="469" t="n"/>
    </row>
    <row r="773">
      <c r="A773" s="468" t="n"/>
      <c r="B773" s="469" t="n"/>
      <c r="C773" s="469" t="n"/>
      <c r="D773" s="469" t="n"/>
      <c r="E773" s="469" t="n"/>
      <c r="F773" s="469" t="n"/>
      <c r="G773" s="469" t="n"/>
      <c r="H773" s="469" t="n"/>
      <c r="I773" s="469" t="n"/>
      <c r="J773" s="469" t="n"/>
      <c r="K773" s="469" t="n"/>
      <c r="L773" s="469" t="n"/>
      <c r="M773" s="469" t="n"/>
      <c r="N773" s="469" t="n"/>
      <c r="O773" s="469" t="n"/>
      <c r="P773" s="471" t="n"/>
      <c r="Q773" s="469" t="n"/>
      <c r="R773" s="469" t="n"/>
      <c r="S773" s="469" t="n"/>
      <c r="T773" s="469" t="n"/>
      <c r="U773" s="469" t="n"/>
      <c r="V773" s="469" t="n"/>
      <c r="W773" s="469" t="n"/>
      <c r="X773" s="469" t="n"/>
      <c r="Y773" s="469" t="n"/>
      <c r="Z773" s="469" t="n"/>
      <c r="AA773" s="469" t="n"/>
    </row>
    <row r="774">
      <c r="A774" s="468" t="n"/>
      <c r="B774" s="469" t="n"/>
      <c r="C774" s="469" t="n"/>
      <c r="D774" s="469" t="n"/>
      <c r="E774" s="469" t="n"/>
      <c r="F774" s="469" t="n"/>
      <c r="G774" s="469" t="n"/>
      <c r="H774" s="469" t="n"/>
      <c r="I774" s="469" t="n"/>
      <c r="J774" s="469" t="n"/>
      <c r="K774" s="469" t="n"/>
      <c r="L774" s="469" t="n"/>
      <c r="M774" s="469" t="n"/>
      <c r="N774" s="469" t="n"/>
      <c r="O774" s="469" t="n"/>
      <c r="P774" s="471" t="n"/>
      <c r="Q774" s="469" t="n"/>
      <c r="R774" s="469" t="n"/>
      <c r="S774" s="469" t="n"/>
      <c r="T774" s="469" t="n"/>
      <c r="U774" s="469" t="n"/>
      <c r="V774" s="469" t="n"/>
      <c r="W774" s="469" t="n"/>
      <c r="X774" s="469" t="n"/>
      <c r="Y774" s="469" t="n"/>
      <c r="Z774" s="469" t="n"/>
      <c r="AA774" s="469" t="n"/>
    </row>
    <row r="775">
      <c r="A775" s="468" t="n"/>
      <c r="B775" s="469" t="n"/>
      <c r="C775" s="469" t="n"/>
      <c r="D775" s="469" t="n"/>
      <c r="E775" s="469" t="n"/>
      <c r="F775" s="469" t="n"/>
      <c r="G775" s="469" t="n"/>
      <c r="H775" s="469" t="n"/>
      <c r="I775" s="469" t="n"/>
      <c r="J775" s="469" t="n"/>
      <c r="K775" s="469" t="n"/>
      <c r="L775" s="469" t="n"/>
      <c r="M775" s="469" t="n"/>
      <c r="N775" s="469" t="n"/>
      <c r="O775" s="469" t="n"/>
      <c r="P775" s="471" t="n"/>
      <c r="Q775" s="469" t="n"/>
      <c r="R775" s="469" t="n"/>
      <c r="S775" s="469" t="n"/>
      <c r="T775" s="469" t="n"/>
      <c r="U775" s="469" t="n"/>
      <c r="V775" s="469" t="n"/>
      <c r="W775" s="469" t="n"/>
      <c r="X775" s="469" t="n"/>
      <c r="Y775" s="469" t="n"/>
      <c r="Z775" s="469" t="n"/>
      <c r="AA775" s="469" t="n"/>
    </row>
    <row r="776">
      <c r="A776" s="468" t="n"/>
      <c r="B776" s="469" t="n"/>
      <c r="C776" s="469" t="n"/>
      <c r="D776" s="469" t="n"/>
      <c r="E776" s="469" t="n"/>
      <c r="F776" s="469" t="n"/>
      <c r="G776" s="469" t="n"/>
      <c r="H776" s="469" t="n"/>
      <c r="I776" s="469" t="n"/>
      <c r="J776" s="469" t="n"/>
      <c r="K776" s="469" t="n"/>
      <c r="L776" s="469" t="n"/>
      <c r="M776" s="469" t="n"/>
      <c r="N776" s="469" t="n"/>
      <c r="O776" s="469" t="n"/>
      <c r="P776" s="471" t="n"/>
      <c r="Q776" s="469" t="n"/>
      <c r="R776" s="469" t="n"/>
      <c r="S776" s="469" t="n"/>
      <c r="T776" s="469" t="n"/>
      <c r="U776" s="469" t="n"/>
      <c r="V776" s="469" t="n"/>
      <c r="W776" s="469" t="n"/>
      <c r="X776" s="469" t="n"/>
      <c r="Y776" s="469" t="n"/>
      <c r="Z776" s="469" t="n"/>
      <c r="AA776" s="469" t="n"/>
    </row>
    <row r="777">
      <c r="A777" s="468" t="n"/>
      <c r="B777" s="469" t="n"/>
      <c r="C777" s="469" t="n"/>
      <c r="D777" s="469" t="n"/>
      <c r="E777" s="469" t="n"/>
      <c r="F777" s="469" t="n"/>
      <c r="G777" s="469" t="n"/>
      <c r="H777" s="469" t="n"/>
      <c r="I777" s="469" t="n"/>
      <c r="J777" s="469" t="n"/>
      <c r="K777" s="469" t="n"/>
      <c r="L777" s="469" t="n"/>
      <c r="M777" s="469" t="n"/>
      <c r="N777" s="469" t="n"/>
      <c r="O777" s="469" t="n"/>
      <c r="P777" s="471" t="n"/>
      <c r="Q777" s="469" t="n"/>
      <c r="R777" s="469" t="n"/>
      <c r="S777" s="469" t="n"/>
      <c r="T777" s="469" t="n"/>
      <c r="U777" s="469" t="n"/>
      <c r="V777" s="469" t="n"/>
      <c r="W777" s="469" t="n"/>
      <c r="X777" s="469" t="n"/>
      <c r="Y777" s="469" t="n"/>
      <c r="Z777" s="469" t="n"/>
      <c r="AA777" s="469" t="n"/>
    </row>
    <row r="778">
      <c r="A778" s="468" t="n"/>
      <c r="B778" s="469" t="n"/>
      <c r="C778" s="469" t="n"/>
      <c r="D778" s="469" t="n"/>
      <c r="E778" s="469" t="n"/>
      <c r="F778" s="469" t="n"/>
      <c r="G778" s="469" t="n"/>
      <c r="H778" s="469" t="n"/>
      <c r="I778" s="469" t="n"/>
      <c r="J778" s="469" t="n"/>
      <c r="K778" s="469" t="n"/>
      <c r="L778" s="469" t="n"/>
      <c r="M778" s="469" t="n"/>
      <c r="N778" s="469" t="n"/>
      <c r="O778" s="469" t="n"/>
      <c r="P778" s="471" t="n"/>
      <c r="Q778" s="469" t="n"/>
      <c r="R778" s="469" t="n"/>
      <c r="S778" s="469" t="n"/>
      <c r="T778" s="469" t="n"/>
      <c r="U778" s="469" t="n"/>
      <c r="V778" s="469" t="n"/>
      <c r="W778" s="469" t="n"/>
      <c r="X778" s="469" t="n"/>
      <c r="Y778" s="469" t="n"/>
      <c r="Z778" s="469" t="n"/>
      <c r="AA778" s="469" t="n"/>
    </row>
    <row r="779">
      <c r="A779" s="468" t="n"/>
      <c r="B779" s="469" t="n"/>
      <c r="C779" s="469" t="n"/>
      <c r="D779" s="469" t="n"/>
      <c r="E779" s="469" t="n"/>
      <c r="F779" s="469" t="n"/>
      <c r="G779" s="469" t="n"/>
      <c r="H779" s="469" t="n"/>
      <c r="I779" s="469" t="n"/>
      <c r="J779" s="469" t="n"/>
      <c r="K779" s="469" t="n"/>
      <c r="L779" s="469" t="n"/>
      <c r="M779" s="469" t="n"/>
      <c r="N779" s="469" t="n"/>
      <c r="O779" s="469" t="n"/>
      <c r="P779" s="471" t="n"/>
      <c r="Q779" s="469" t="n"/>
      <c r="R779" s="469" t="n"/>
      <c r="S779" s="469" t="n"/>
      <c r="T779" s="469" t="n"/>
      <c r="U779" s="469" t="n"/>
      <c r="V779" s="469" t="n"/>
      <c r="W779" s="469" t="n"/>
      <c r="X779" s="469" t="n"/>
      <c r="Y779" s="469" t="n"/>
      <c r="Z779" s="469" t="n"/>
      <c r="AA779" s="469" t="n"/>
    </row>
    <row r="780">
      <c r="A780" s="468" t="n"/>
      <c r="B780" s="469" t="n"/>
      <c r="C780" s="469" t="n"/>
      <c r="D780" s="469" t="n"/>
      <c r="E780" s="469" t="n"/>
      <c r="F780" s="469" t="n"/>
      <c r="G780" s="469" t="n"/>
      <c r="H780" s="469" t="n"/>
      <c r="I780" s="469" t="n"/>
      <c r="J780" s="469" t="n"/>
      <c r="K780" s="469" t="n"/>
      <c r="L780" s="469" t="n"/>
      <c r="M780" s="469" t="n"/>
      <c r="N780" s="469" t="n"/>
      <c r="O780" s="469" t="n"/>
      <c r="P780" s="471" t="n"/>
      <c r="Q780" s="469" t="n"/>
      <c r="R780" s="469" t="n"/>
      <c r="S780" s="469" t="n"/>
      <c r="T780" s="469" t="n"/>
      <c r="U780" s="469" t="n"/>
      <c r="V780" s="469" t="n"/>
      <c r="W780" s="469" t="n"/>
      <c r="X780" s="469" t="n"/>
      <c r="Y780" s="469" t="n"/>
      <c r="Z780" s="469" t="n"/>
      <c r="AA780" s="469" t="n"/>
    </row>
    <row r="781">
      <c r="A781" s="468" t="n"/>
      <c r="B781" s="469" t="n"/>
      <c r="C781" s="469" t="n"/>
      <c r="D781" s="469" t="n"/>
      <c r="E781" s="469" t="n"/>
      <c r="F781" s="469" t="n"/>
      <c r="G781" s="469" t="n"/>
      <c r="H781" s="469" t="n"/>
      <c r="I781" s="469" t="n"/>
      <c r="J781" s="469" t="n"/>
      <c r="K781" s="469" t="n"/>
      <c r="L781" s="469" t="n"/>
      <c r="M781" s="469" t="n"/>
      <c r="N781" s="469" t="n"/>
      <c r="O781" s="469" t="n"/>
      <c r="P781" s="471" t="n"/>
      <c r="Q781" s="469" t="n"/>
      <c r="R781" s="469" t="n"/>
      <c r="S781" s="469" t="n"/>
      <c r="T781" s="469" t="n"/>
      <c r="U781" s="469" t="n"/>
      <c r="V781" s="469" t="n"/>
      <c r="W781" s="469" t="n"/>
      <c r="X781" s="469" t="n"/>
      <c r="Y781" s="469" t="n"/>
      <c r="Z781" s="469" t="n"/>
      <c r="AA781" s="469" t="n"/>
    </row>
    <row r="782">
      <c r="A782" s="468" t="n"/>
      <c r="B782" s="469" t="n"/>
      <c r="C782" s="469" t="n"/>
      <c r="D782" s="469" t="n"/>
      <c r="E782" s="469" t="n"/>
      <c r="F782" s="469" t="n"/>
      <c r="G782" s="469" t="n"/>
      <c r="H782" s="469" t="n"/>
      <c r="I782" s="469" t="n"/>
      <c r="J782" s="469" t="n"/>
      <c r="K782" s="469" t="n"/>
      <c r="L782" s="469" t="n"/>
      <c r="M782" s="469" t="n"/>
      <c r="N782" s="469" t="n"/>
      <c r="O782" s="469" t="n"/>
      <c r="P782" s="471" t="n"/>
      <c r="Q782" s="469" t="n"/>
      <c r="R782" s="469" t="n"/>
      <c r="S782" s="469" t="n"/>
      <c r="T782" s="469" t="n"/>
      <c r="U782" s="469" t="n"/>
      <c r="V782" s="469" t="n"/>
      <c r="W782" s="469" t="n"/>
      <c r="X782" s="469" t="n"/>
      <c r="Y782" s="469" t="n"/>
      <c r="Z782" s="469" t="n"/>
      <c r="AA782" s="469" t="n"/>
    </row>
    <row r="783">
      <c r="A783" s="468" t="n"/>
      <c r="B783" s="469" t="n"/>
      <c r="C783" s="469" t="n"/>
      <c r="D783" s="469" t="n"/>
      <c r="E783" s="469" t="n"/>
      <c r="F783" s="469" t="n"/>
      <c r="G783" s="469" t="n"/>
      <c r="H783" s="469" t="n"/>
      <c r="I783" s="469" t="n"/>
      <c r="J783" s="469" t="n"/>
      <c r="K783" s="469" t="n"/>
      <c r="L783" s="469" t="n"/>
      <c r="M783" s="469" t="n"/>
      <c r="N783" s="469" t="n"/>
      <c r="O783" s="469" t="n"/>
      <c r="P783" s="471" t="n"/>
      <c r="Q783" s="469" t="n"/>
      <c r="R783" s="469" t="n"/>
      <c r="S783" s="469" t="n"/>
      <c r="T783" s="469" t="n"/>
      <c r="U783" s="469" t="n"/>
      <c r="V783" s="469" t="n"/>
      <c r="W783" s="469" t="n"/>
      <c r="X783" s="469" t="n"/>
      <c r="Y783" s="469" t="n"/>
      <c r="Z783" s="469" t="n"/>
      <c r="AA783" s="469" t="n"/>
    </row>
    <row r="784">
      <c r="A784" s="468" t="n"/>
      <c r="B784" s="469" t="n"/>
      <c r="C784" s="469" t="n"/>
      <c r="D784" s="469" t="n"/>
      <c r="E784" s="469" t="n"/>
      <c r="F784" s="469" t="n"/>
      <c r="G784" s="469" t="n"/>
      <c r="H784" s="469" t="n"/>
      <c r="I784" s="469" t="n"/>
      <c r="J784" s="469" t="n"/>
      <c r="K784" s="469" t="n"/>
      <c r="L784" s="469" t="n"/>
      <c r="M784" s="469" t="n"/>
      <c r="N784" s="469" t="n"/>
      <c r="O784" s="469" t="n"/>
      <c r="P784" s="471" t="n"/>
      <c r="Q784" s="469" t="n"/>
      <c r="R784" s="469" t="n"/>
      <c r="S784" s="469" t="n"/>
      <c r="T784" s="469" t="n"/>
      <c r="U784" s="469" t="n"/>
      <c r="V784" s="469" t="n"/>
      <c r="W784" s="469" t="n"/>
      <c r="X784" s="469" t="n"/>
      <c r="Y784" s="469" t="n"/>
      <c r="Z784" s="469" t="n"/>
      <c r="AA784" s="469" t="n"/>
    </row>
    <row r="785">
      <c r="A785" s="468" t="n"/>
      <c r="B785" s="469" t="n"/>
      <c r="C785" s="469" t="n"/>
      <c r="D785" s="469" t="n"/>
      <c r="E785" s="469" t="n"/>
      <c r="F785" s="469" t="n"/>
      <c r="G785" s="469" t="n"/>
      <c r="H785" s="469" t="n"/>
      <c r="I785" s="469" t="n"/>
      <c r="J785" s="469" t="n"/>
      <c r="K785" s="469" t="n"/>
      <c r="L785" s="469" t="n"/>
      <c r="M785" s="469" t="n"/>
      <c r="N785" s="469" t="n"/>
      <c r="O785" s="469" t="n"/>
      <c r="P785" s="471" t="n"/>
      <c r="Q785" s="469" t="n"/>
      <c r="R785" s="469" t="n"/>
      <c r="S785" s="469" t="n"/>
      <c r="T785" s="469" t="n"/>
      <c r="U785" s="469" t="n"/>
      <c r="V785" s="469" t="n"/>
      <c r="W785" s="469" t="n"/>
      <c r="X785" s="469" t="n"/>
      <c r="Y785" s="469" t="n"/>
      <c r="Z785" s="469" t="n"/>
      <c r="AA785" s="469" t="n"/>
    </row>
    <row r="786">
      <c r="A786" s="468" t="n"/>
      <c r="B786" s="469" t="n"/>
      <c r="C786" s="469" t="n"/>
      <c r="D786" s="469" t="n"/>
      <c r="E786" s="469" t="n"/>
      <c r="F786" s="469" t="n"/>
      <c r="G786" s="469" t="n"/>
      <c r="H786" s="469" t="n"/>
      <c r="I786" s="469" t="n"/>
      <c r="J786" s="469" t="n"/>
      <c r="K786" s="469" t="n"/>
      <c r="L786" s="469" t="n"/>
      <c r="M786" s="469" t="n"/>
      <c r="N786" s="469" t="n"/>
      <c r="O786" s="469" t="n"/>
      <c r="P786" s="471" t="n"/>
      <c r="Q786" s="469" t="n"/>
      <c r="R786" s="469" t="n"/>
      <c r="S786" s="469" t="n"/>
      <c r="T786" s="469" t="n"/>
      <c r="U786" s="469" t="n"/>
      <c r="V786" s="469" t="n"/>
      <c r="W786" s="469" t="n"/>
      <c r="X786" s="469" t="n"/>
      <c r="Y786" s="469" t="n"/>
      <c r="Z786" s="469" t="n"/>
      <c r="AA786" s="469" t="n"/>
    </row>
    <row r="787">
      <c r="A787" s="468" t="n"/>
      <c r="B787" s="469" t="n"/>
      <c r="C787" s="469" t="n"/>
      <c r="D787" s="469" t="n"/>
      <c r="E787" s="469" t="n"/>
      <c r="F787" s="469" t="n"/>
      <c r="G787" s="469" t="n"/>
      <c r="H787" s="469" t="n"/>
      <c r="I787" s="469" t="n"/>
      <c r="J787" s="469" t="n"/>
      <c r="K787" s="469" t="n"/>
      <c r="L787" s="469" t="n"/>
      <c r="M787" s="469" t="n"/>
      <c r="N787" s="469" t="n"/>
      <c r="O787" s="469" t="n"/>
      <c r="P787" s="471" t="n"/>
      <c r="Q787" s="469" t="n"/>
      <c r="R787" s="469" t="n"/>
      <c r="S787" s="469" t="n"/>
      <c r="T787" s="469" t="n"/>
      <c r="U787" s="469" t="n"/>
      <c r="V787" s="469" t="n"/>
      <c r="W787" s="469" t="n"/>
      <c r="X787" s="469" t="n"/>
      <c r="Y787" s="469" t="n"/>
      <c r="Z787" s="469" t="n"/>
      <c r="AA787" s="469" t="n"/>
    </row>
    <row r="788">
      <c r="A788" s="468" t="n"/>
      <c r="B788" s="469" t="n"/>
      <c r="C788" s="469" t="n"/>
      <c r="D788" s="469" t="n"/>
      <c r="E788" s="469" t="n"/>
      <c r="F788" s="469" t="n"/>
      <c r="G788" s="469" t="n"/>
      <c r="H788" s="469" t="n"/>
      <c r="I788" s="469" t="n"/>
      <c r="J788" s="469" t="n"/>
      <c r="K788" s="469" t="n"/>
      <c r="L788" s="469" t="n"/>
      <c r="M788" s="469" t="n"/>
      <c r="N788" s="469" t="n"/>
      <c r="O788" s="469" t="n"/>
      <c r="P788" s="471" t="n"/>
      <c r="Q788" s="469" t="n"/>
      <c r="R788" s="469" t="n"/>
      <c r="S788" s="469" t="n"/>
      <c r="T788" s="469" t="n"/>
      <c r="U788" s="469" t="n"/>
      <c r="V788" s="469" t="n"/>
      <c r="W788" s="469" t="n"/>
      <c r="X788" s="469" t="n"/>
      <c r="Y788" s="469" t="n"/>
      <c r="Z788" s="469" t="n"/>
      <c r="AA788" s="469" t="n"/>
    </row>
    <row r="789">
      <c r="A789" s="468" t="n"/>
      <c r="B789" s="469" t="n"/>
      <c r="C789" s="469" t="n"/>
      <c r="D789" s="469" t="n"/>
      <c r="E789" s="469" t="n"/>
      <c r="F789" s="469" t="n"/>
      <c r="G789" s="469" t="n"/>
      <c r="H789" s="469" t="n"/>
      <c r="I789" s="469" t="n"/>
      <c r="J789" s="469" t="n"/>
      <c r="K789" s="469" t="n"/>
      <c r="L789" s="469" t="n"/>
      <c r="M789" s="469" t="n"/>
      <c r="N789" s="469" t="n"/>
      <c r="O789" s="469" t="n"/>
      <c r="P789" s="471" t="n"/>
      <c r="Q789" s="469" t="n"/>
      <c r="R789" s="469" t="n"/>
      <c r="S789" s="469" t="n"/>
      <c r="T789" s="469" t="n"/>
      <c r="U789" s="469" t="n"/>
      <c r="V789" s="469" t="n"/>
      <c r="W789" s="469" t="n"/>
      <c r="X789" s="469" t="n"/>
      <c r="Y789" s="469" t="n"/>
      <c r="Z789" s="469" t="n"/>
      <c r="AA789" s="469" t="n"/>
    </row>
    <row r="790">
      <c r="A790" s="468" t="n"/>
      <c r="B790" s="469" t="n"/>
      <c r="C790" s="469" t="n"/>
      <c r="D790" s="469" t="n"/>
      <c r="E790" s="469" t="n"/>
      <c r="F790" s="469" t="n"/>
      <c r="G790" s="469" t="n"/>
      <c r="H790" s="469" t="n"/>
      <c r="I790" s="469" t="n"/>
      <c r="J790" s="469" t="n"/>
      <c r="K790" s="469" t="n"/>
      <c r="L790" s="469" t="n"/>
      <c r="M790" s="469" t="n"/>
      <c r="N790" s="469" t="n"/>
      <c r="O790" s="469" t="n"/>
      <c r="P790" s="471" t="n"/>
      <c r="Q790" s="469" t="n"/>
      <c r="R790" s="469" t="n"/>
      <c r="S790" s="469" t="n"/>
      <c r="T790" s="469" t="n"/>
      <c r="U790" s="469" t="n"/>
      <c r="V790" s="469" t="n"/>
      <c r="W790" s="469" t="n"/>
      <c r="X790" s="469" t="n"/>
      <c r="Y790" s="469" t="n"/>
      <c r="Z790" s="469" t="n"/>
      <c r="AA790" s="469" t="n"/>
    </row>
    <row r="791">
      <c r="A791" s="468" t="n"/>
      <c r="B791" s="469" t="n"/>
      <c r="C791" s="469" t="n"/>
      <c r="D791" s="469" t="n"/>
      <c r="E791" s="469" t="n"/>
      <c r="F791" s="469" t="n"/>
      <c r="G791" s="469" t="n"/>
      <c r="H791" s="469" t="n"/>
      <c r="I791" s="469" t="n"/>
      <c r="J791" s="469" t="n"/>
      <c r="K791" s="469" t="n"/>
      <c r="L791" s="469" t="n"/>
      <c r="M791" s="469" t="n"/>
      <c r="N791" s="469" t="n"/>
      <c r="O791" s="469" t="n"/>
      <c r="P791" s="471" t="n"/>
      <c r="Q791" s="469" t="n"/>
      <c r="R791" s="469" t="n"/>
      <c r="S791" s="469" t="n"/>
      <c r="T791" s="469" t="n"/>
      <c r="U791" s="469" t="n"/>
      <c r="V791" s="469" t="n"/>
      <c r="W791" s="469" t="n"/>
      <c r="X791" s="469" t="n"/>
      <c r="Y791" s="469" t="n"/>
      <c r="Z791" s="469" t="n"/>
      <c r="AA791" s="469" t="n"/>
    </row>
    <row r="792">
      <c r="A792" s="468" t="n"/>
      <c r="B792" s="469" t="n"/>
      <c r="C792" s="469" t="n"/>
      <c r="D792" s="469" t="n"/>
      <c r="E792" s="469" t="n"/>
      <c r="F792" s="469" t="n"/>
      <c r="G792" s="469" t="n"/>
      <c r="H792" s="469" t="n"/>
      <c r="I792" s="469" t="n"/>
      <c r="J792" s="469" t="n"/>
      <c r="K792" s="469" t="n"/>
      <c r="L792" s="469" t="n"/>
      <c r="M792" s="469" t="n"/>
      <c r="N792" s="469" t="n"/>
      <c r="O792" s="469" t="n"/>
      <c r="P792" s="471" t="n"/>
      <c r="Q792" s="469" t="n"/>
      <c r="R792" s="469" t="n"/>
      <c r="S792" s="469" t="n"/>
      <c r="T792" s="469" t="n"/>
      <c r="U792" s="469" t="n"/>
      <c r="V792" s="469" t="n"/>
      <c r="W792" s="469" t="n"/>
      <c r="X792" s="469" t="n"/>
      <c r="Y792" s="469" t="n"/>
      <c r="Z792" s="469" t="n"/>
      <c r="AA792" s="469" t="n"/>
    </row>
    <row r="793">
      <c r="A793" s="468" t="n"/>
      <c r="B793" s="469" t="n"/>
      <c r="C793" s="469" t="n"/>
      <c r="D793" s="469" t="n"/>
      <c r="E793" s="469" t="n"/>
      <c r="F793" s="469" t="n"/>
      <c r="G793" s="469" t="n"/>
      <c r="H793" s="469" t="n"/>
      <c r="I793" s="469" t="n"/>
      <c r="J793" s="469" t="n"/>
      <c r="K793" s="469" t="n"/>
      <c r="L793" s="469" t="n"/>
      <c r="M793" s="469" t="n"/>
      <c r="N793" s="469" t="n"/>
      <c r="O793" s="469" t="n"/>
      <c r="P793" s="471" t="n"/>
      <c r="Q793" s="469" t="n"/>
      <c r="R793" s="469" t="n"/>
      <c r="S793" s="469" t="n"/>
      <c r="T793" s="469" t="n"/>
      <c r="U793" s="469" t="n"/>
      <c r="V793" s="469" t="n"/>
      <c r="W793" s="469" t="n"/>
      <c r="X793" s="469" t="n"/>
      <c r="Y793" s="469" t="n"/>
      <c r="Z793" s="469" t="n"/>
      <c r="AA793" s="469" t="n"/>
    </row>
    <row r="794">
      <c r="A794" s="468" t="n"/>
      <c r="B794" s="469" t="n"/>
      <c r="C794" s="469" t="n"/>
      <c r="D794" s="469" t="n"/>
      <c r="E794" s="469" t="n"/>
      <c r="F794" s="469" t="n"/>
      <c r="G794" s="469" t="n"/>
      <c r="H794" s="469" t="n"/>
      <c r="I794" s="469" t="n"/>
      <c r="J794" s="469" t="n"/>
      <c r="K794" s="469" t="n"/>
      <c r="L794" s="469" t="n"/>
      <c r="M794" s="469" t="n"/>
      <c r="N794" s="469" t="n"/>
      <c r="O794" s="469" t="n"/>
      <c r="P794" s="471" t="n"/>
      <c r="Q794" s="469" t="n"/>
      <c r="R794" s="469" t="n"/>
      <c r="S794" s="469" t="n"/>
      <c r="T794" s="469" t="n"/>
      <c r="U794" s="469" t="n"/>
      <c r="V794" s="469" t="n"/>
      <c r="W794" s="469" t="n"/>
      <c r="X794" s="469" t="n"/>
      <c r="Y794" s="469" t="n"/>
      <c r="Z794" s="469" t="n"/>
      <c r="AA794" s="469" t="n"/>
    </row>
    <row r="795">
      <c r="A795" s="468" t="n"/>
      <c r="B795" s="469" t="n"/>
      <c r="C795" s="469" t="n"/>
      <c r="D795" s="469" t="n"/>
      <c r="E795" s="469" t="n"/>
      <c r="F795" s="469" t="n"/>
      <c r="G795" s="469" t="n"/>
      <c r="H795" s="469" t="n"/>
      <c r="I795" s="469" t="n"/>
      <c r="J795" s="469" t="n"/>
      <c r="K795" s="469" t="n"/>
      <c r="L795" s="469" t="n"/>
      <c r="M795" s="469" t="n"/>
      <c r="N795" s="469" t="n"/>
      <c r="O795" s="469" t="n"/>
      <c r="P795" s="471" t="n"/>
      <c r="Q795" s="469" t="n"/>
      <c r="R795" s="469" t="n"/>
      <c r="S795" s="469" t="n"/>
      <c r="T795" s="469" t="n"/>
      <c r="U795" s="469" t="n"/>
      <c r="V795" s="469" t="n"/>
      <c r="W795" s="469" t="n"/>
      <c r="X795" s="469" t="n"/>
      <c r="Y795" s="469" t="n"/>
      <c r="Z795" s="469" t="n"/>
      <c r="AA795" s="469" t="n"/>
    </row>
    <row r="796">
      <c r="A796" s="468" t="n"/>
      <c r="B796" s="469" t="n"/>
      <c r="C796" s="469" t="n"/>
      <c r="D796" s="469" t="n"/>
      <c r="E796" s="469" t="n"/>
      <c r="F796" s="469" t="n"/>
      <c r="G796" s="469" t="n"/>
      <c r="H796" s="469" t="n"/>
      <c r="I796" s="469" t="n"/>
      <c r="J796" s="469" t="n"/>
      <c r="K796" s="469" t="n"/>
      <c r="L796" s="469" t="n"/>
      <c r="M796" s="469" t="n"/>
      <c r="N796" s="469" t="n"/>
      <c r="O796" s="469" t="n"/>
      <c r="P796" s="471" t="n"/>
      <c r="Q796" s="469" t="n"/>
      <c r="R796" s="469" t="n"/>
      <c r="S796" s="469" t="n"/>
      <c r="T796" s="469" t="n"/>
      <c r="U796" s="469" t="n"/>
      <c r="V796" s="469" t="n"/>
      <c r="W796" s="469" t="n"/>
      <c r="X796" s="469" t="n"/>
      <c r="Y796" s="469" t="n"/>
      <c r="Z796" s="469" t="n"/>
      <c r="AA796" s="469" t="n"/>
    </row>
    <row r="797">
      <c r="A797" s="468" t="n"/>
      <c r="B797" s="469" t="n"/>
      <c r="C797" s="469" t="n"/>
      <c r="D797" s="469" t="n"/>
      <c r="E797" s="469" t="n"/>
      <c r="F797" s="469" t="n"/>
      <c r="G797" s="469" t="n"/>
      <c r="H797" s="469" t="n"/>
      <c r="I797" s="469" t="n"/>
      <c r="J797" s="469" t="n"/>
      <c r="K797" s="469" t="n"/>
      <c r="L797" s="469" t="n"/>
      <c r="M797" s="469" t="n"/>
      <c r="N797" s="469" t="n"/>
      <c r="O797" s="469" t="n"/>
      <c r="P797" s="471" t="n"/>
      <c r="Q797" s="469" t="n"/>
      <c r="R797" s="469" t="n"/>
      <c r="S797" s="469" t="n"/>
      <c r="T797" s="469" t="n"/>
      <c r="U797" s="469" t="n"/>
      <c r="V797" s="469" t="n"/>
      <c r="W797" s="469" t="n"/>
      <c r="X797" s="469" t="n"/>
      <c r="Y797" s="469" t="n"/>
      <c r="Z797" s="469" t="n"/>
      <c r="AA797" s="469" t="n"/>
    </row>
    <row r="798">
      <c r="A798" s="468" t="n"/>
      <c r="B798" s="469" t="n"/>
      <c r="C798" s="469" t="n"/>
      <c r="D798" s="469" t="n"/>
      <c r="E798" s="469" t="n"/>
      <c r="F798" s="469" t="n"/>
      <c r="G798" s="469" t="n"/>
      <c r="H798" s="469" t="n"/>
      <c r="I798" s="469" t="n"/>
      <c r="J798" s="469" t="n"/>
      <c r="K798" s="469" t="n"/>
      <c r="L798" s="469" t="n"/>
      <c r="M798" s="469" t="n"/>
      <c r="N798" s="469" t="n"/>
      <c r="O798" s="469" t="n"/>
      <c r="P798" s="471" t="n"/>
      <c r="Q798" s="469" t="n"/>
      <c r="R798" s="469" t="n"/>
      <c r="S798" s="469" t="n"/>
      <c r="T798" s="469" t="n"/>
      <c r="U798" s="469" t="n"/>
      <c r="V798" s="469" t="n"/>
      <c r="W798" s="469" t="n"/>
      <c r="X798" s="469" t="n"/>
      <c r="Y798" s="469" t="n"/>
      <c r="Z798" s="469" t="n"/>
      <c r="AA798" s="469" t="n"/>
    </row>
    <row r="799">
      <c r="A799" s="468" t="n"/>
      <c r="B799" s="469" t="n"/>
      <c r="C799" s="469" t="n"/>
      <c r="D799" s="469" t="n"/>
      <c r="E799" s="469" t="n"/>
      <c r="F799" s="469" t="n"/>
      <c r="G799" s="469" t="n"/>
      <c r="H799" s="469" t="n"/>
      <c r="I799" s="469" t="n"/>
      <c r="J799" s="469" t="n"/>
      <c r="K799" s="469" t="n"/>
      <c r="L799" s="469" t="n"/>
      <c r="M799" s="469" t="n"/>
      <c r="N799" s="469" t="n"/>
      <c r="O799" s="469" t="n"/>
      <c r="P799" s="471" t="n"/>
      <c r="Q799" s="469" t="n"/>
      <c r="R799" s="469" t="n"/>
      <c r="S799" s="469" t="n"/>
      <c r="T799" s="469" t="n"/>
      <c r="U799" s="469" t="n"/>
      <c r="V799" s="469" t="n"/>
      <c r="W799" s="469" t="n"/>
      <c r="X799" s="469" t="n"/>
      <c r="Y799" s="469" t="n"/>
      <c r="Z799" s="469" t="n"/>
      <c r="AA799" s="469" t="n"/>
    </row>
    <row r="800">
      <c r="A800" s="468" t="n"/>
      <c r="B800" s="469" t="n"/>
      <c r="C800" s="469" t="n"/>
      <c r="D800" s="469" t="n"/>
      <c r="E800" s="469" t="n"/>
      <c r="F800" s="469" t="n"/>
      <c r="G800" s="469" t="n"/>
      <c r="H800" s="469" t="n"/>
      <c r="I800" s="469" t="n"/>
      <c r="J800" s="469" t="n"/>
      <c r="K800" s="469" t="n"/>
      <c r="L800" s="469" t="n"/>
      <c r="M800" s="469" t="n"/>
      <c r="N800" s="469" t="n"/>
      <c r="O800" s="469" t="n"/>
      <c r="P800" s="471" t="n"/>
      <c r="Q800" s="469" t="n"/>
      <c r="R800" s="469" t="n"/>
      <c r="S800" s="469" t="n"/>
      <c r="T800" s="469" t="n"/>
      <c r="U800" s="469" t="n"/>
      <c r="V800" s="469" t="n"/>
      <c r="W800" s="469" t="n"/>
      <c r="X800" s="469" t="n"/>
      <c r="Y800" s="469" t="n"/>
      <c r="Z800" s="469" t="n"/>
      <c r="AA800" s="469" t="n"/>
    </row>
    <row r="801">
      <c r="A801" s="468" t="n"/>
      <c r="B801" s="469" t="n"/>
      <c r="C801" s="469" t="n"/>
      <c r="D801" s="469" t="n"/>
      <c r="E801" s="469" t="n"/>
      <c r="F801" s="469" t="n"/>
      <c r="G801" s="469" t="n"/>
      <c r="H801" s="469" t="n"/>
      <c r="I801" s="469" t="n"/>
      <c r="J801" s="469" t="n"/>
      <c r="K801" s="469" t="n"/>
      <c r="L801" s="469" t="n"/>
      <c r="M801" s="469" t="n"/>
      <c r="N801" s="469" t="n"/>
      <c r="O801" s="469" t="n"/>
      <c r="P801" s="471" t="n"/>
      <c r="Q801" s="469" t="n"/>
      <c r="R801" s="469" t="n"/>
      <c r="S801" s="469" t="n"/>
      <c r="T801" s="469" t="n"/>
      <c r="U801" s="469" t="n"/>
      <c r="V801" s="469" t="n"/>
      <c r="W801" s="469" t="n"/>
      <c r="X801" s="469" t="n"/>
      <c r="Y801" s="469" t="n"/>
      <c r="Z801" s="469" t="n"/>
      <c r="AA801" s="469" t="n"/>
    </row>
    <row r="802">
      <c r="A802" s="468" t="n"/>
      <c r="B802" s="469" t="n"/>
      <c r="C802" s="469" t="n"/>
      <c r="D802" s="469" t="n"/>
      <c r="E802" s="469" t="n"/>
      <c r="F802" s="469" t="n"/>
      <c r="G802" s="469" t="n"/>
      <c r="H802" s="469" t="n"/>
      <c r="I802" s="469" t="n"/>
      <c r="J802" s="469" t="n"/>
      <c r="K802" s="469" t="n"/>
      <c r="L802" s="469" t="n"/>
      <c r="M802" s="469" t="n"/>
      <c r="N802" s="469" t="n"/>
      <c r="O802" s="469" t="n"/>
      <c r="P802" s="471" t="n"/>
      <c r="Q802" s="469" t="n"/>
      <c r="R802" s="469" t="n"/>
      <c r="S802" s="469" t="n"/>
      <c r="T802" s="469" t="n"/>
      <c r="U802" s="469" t="n"/>
      <c r="V802" s="469" t="n"/>
      <c r="W802" s="469" t="n"/>
      <c r="X802" s="469" t="n"/>
      <c r="Y802" s="469" t="n"/>
      <c r="Z802" s="469" t="n"/>
      <c r="AA802" s="469" t="n"/>
    </row>
    <row r="803">
      <c r="A803" s="468" t="n"/>
      <c r="B803" s="469" t="n"/>
      <c r="C803" s="469" t="n"/>
      <c r="D803" s="469" t="n"/>
      <c r="E803" s="469" t="n"/>
      <c r="F803" s="469" t="n"/>
      <c r="G803" s="469" t="n"/>
      <c r="H803" s="469" t="n"/>
      <c r="I803" s="469" t="n"/>
      <c r="J803" s="469" t="n"/>
      <c r="K803" s="469" t="n"/>
      <c r="L803" s="469" t="n"/>
      <c r="M803" s="469" t="n"/>
      <c r="N803" s="469" t="n"/>
      <c r="O803" s="469" t="n"/>
      <c r="P803" s="471" t="n"/>
      <c r="Q803" s="469" t="n"/>
      <c r="R803" s="469" t="n"/>
      <c r="S803" s="469" t="n"/>
      <c r="T803" s="469" t="n"/>
      <c r="U803" s="469" t="n"/>
      <c r="V803" s="469" t="n"/>
      <c r="W803" s="469" t="n"/>
      <c r="X803" s="469" t="n"/>
      <c r="Y803" s="469" t="n"/>
      <c r="Z803" s="469" t="n"/>
      <c r="AA803" s="469" t="n"/>
    </row>
    <row r="804">
      <c r="A804" s="468" t="n"/>
      <c r="B804" s="469" t="n"/>
      <c r="C804" s="469" t="n"/>
      <c r="D804" s="469" t="n"/>
      <c r="E804" s="469" t="n"/>
      <c r="F804" s="469" t="n"/>
      <c r="G804" s="469" t="n"/>
      <c r="H804" s="469" t="n"/>
      <c r="I804" s="469" t="n"/>
      <c r="J804" s="469" t="n"/>
      <c r="K804" s="469" t="n"/>
      <c r="L804" s="469" t="n"/>
      <c r="M804" s="469" t="n"/>
      <c r="N804" s="469" t="n"/>
      <c r="O804" s="469" t="n"/>
      <c r="P804" s="471" t="n"/>
      <c r="Q804" s="469" t="n"/>
      <c r="R804" s="469" t="n"/>
      <c r="S804" s="469" t="n"/>
      <c r="T804" s="469" t="n"/>
      <c r="U804" s="469" t="n"/>
      <c r="V804" s="469" t="n"/>
      <c r="W804" s="469" t="n"/>
      <c r="X804" s="469" t="n"/>
      <c r="Y804" s="469" t="n"/>
      <c r="Z804" s="469" t="n"/>
      <c r="AA804" s="469" t="n"/>
    </row>
    <row r="805">
      <c r="A805" s="468" t="n"/>
      <c r="B805" s="469" t="n"/>
      <c r="C805" s="469" t="n"/>
      <c r="D805" s="469" t="n"/>
      <c r="E805" s="469" t="n"/>
      <c r="F805" s="469" t="n"/>
      <c r="G805" s="469" t="n"/>
      <c r="H805" s="469" t="n"/>
      <c r="I805" s="469" t="n"/>
      <c r="J805" s="469" t="n"/>
      <c r="K805" s="469" t="n"/>
      <c r="L805" s="469" t="n"/>
      <c r="M805" s="469" t="n"/>
      <c r="N805" s="469" t="n"/>
      <c r="O805" s="469" t="n"/>
      <c r="P805" s="471" t="n"/>
      <c r="Q805" s="469" t="n"/>
      <c r="R805" s="469" t="n"/>
      <c r="S805" s="469" t="n"/>
      <c r="T805" s="469" t="n"/>
      <c r="U805" s="469" t="n"/>
      <c r="V805" s="469" t="n"/>
      <c r="W805" s="469" t="n"/>
      <c r="X805" s="469" t="n"/>
      <c r="Y805" s="469" t="n"/>
      <c r="Z805" s="469" t="n"/>
      <c r="AA805" s="469" t="n"/>
    </row>
    <row r="806">
      <c r="A806" s="468" t="n"/>
      <c r="B806" s="469" t="n"/>
      <c r="C806" s="469" t="n"/>
      <c r="D806" s="469" t="n"/>
      <c r="E806" s="469" t="n"/>
      <c r="F806" s="469" t="n"/>
      <c r="G806" s="469" t="n"/>
      <c r="H806" s="469" t="n"/>
      <c r="I806" s="469" t="n"/>
      <c r="J806" s="469" t="n"/>
      <c r="K806" s="469" t="n"/>
      <c r="L806" s="469" t="n"/>
      <c r="M806" s="469" t="n"/>
      <c r="N806" s="469" t="n"/>
      <c r="O806" s="469" t="n"/>
      <c r="P806" s="471" t="n"/>
      <c r="Q806" s="469" t="n"/>
      <c r="R806" s="469" t="n"/>
      <c r="S806" s="469" t="n"/>
      <c r="T806" s="469" t="n"/>
      <c r="U806" s="469" t="n"/>
      <c r="V806" s="469" t="n"/>
      <c r="W806" s="469" t="n"/>
      <c r="X806" s="469" t="n"/>
      <c r="Y806" s="469" t="n"/>
      <c r="Z806" s="469" t="n"/>
      <c r="AA806" s="469" t="n"/>
    </row>
    <row r="807">
      <c r="A807" s="468" t="n"/>
      <c r="B807" s="469" t="n"/>
      <c r="C807" s="469" t="n"/>
      <c r="D807" s="469" t="n"/>
      <c r="E807" s="469" t="n"/>
      <c r="F807" s="469" t="n"/>
      <c r="G807" s="469" t="n"/>
      <c r="H807" s="469" t="n"/>
      <c r="I807" s="469" t="n"/>
      <c r="J807" s="469" t="n"/>
      <c r="K807" s="469" t="n"/>
      <c r="L807" s="469" t="n"/>
      <c r="M807" s="469" t="n"/>
      <c r="N807" s="469" t="n"/>
      <c r="O807" s="469" t="n"/>
      <c r="P807" s="471" t="n"/>
      <c r="Q807" s="469" t="n"/>
      <c r="R807" s="469" t="n"/>
      <c r="S807" s="469" t="n"/>
      <c r="T807" s="469" t="n"/>
      <c r="U807" s="469" t="n"/>
      <c r="V807" s="469" t="n"/>
      <c r="W807" s="469" t="n"/>
      <c r="X807" s="469" t="n"/>
      <c r="Y807" s="469" t="n"/>
      <c r="Z807" s="469" t="n"/>
      <c r="AA807" s="469" t="n"/>
    </row>
    <row r="808">
      <c r="A808" s="468" t="n"/>
      <c r="B808" s="469" t="n"/>
      <c r="C808" s="469" t="n"/>
      <c r="D808" s="469" t="n"/>
      <c r="E808" s="469" t="n"/>
      <c r="F808" s="469" t="n"/>
      <c r="G808" s="469" t="n"/>
      <c r="H808" s="469" t="n"/>
      <c r="I808" s="469" t="n"/>
      <c r="J808" s="469" t="n"/>
      <c r="K808" s="469" t="n"/>
      <c r="L808" s="469" t="n"/>
      <c r="M808" s="469" t="n"/>
      <c r="N808" s="469" t="n"/>
      <c r="O808" s="469" t="n"/>
      <c r="P808" s="471" t="n"/>
      <c r="Q808" s="469" t="n"/>
      <c r="R808" s="469" t="n"/>
      <c r="S808" s="469" t="n"/>
      <c r="T808" s="469" t="n"/>
      <c r="U808" s="469" t="n"/>
      <c r="V808" s="469" t="n"/>
      <c r="W808" s="469" t="n"/>
      <c r="X808" s="469" t="n"/>
      <c r="Y808" s="469" t="n"/>
      <c r="Z808" s="469" t="n"/>
      <c r="AA808" s="469" t="n"/>
    </row>
    <row r="809">
      <c r="A809" s="468" t="n"/>
      <c r="B809" s="469" t="n"/>
      <c r="C809" s="469" t="n"/>
      <c r="D809" s="469" t="n"/>
      <c r="E809" s="469" t="n"/>
      <c r="F809" s="469" t="n"/>
      <c r="G809" s="469" t="n"/>
      <c r="H809" s="469" t="n"/>
      <c r="I809" s="469" t="n"/>
      <c r="J809" s="469" t="n"/>
      <c r="K809" s="469" t="n"/>
      <c r="L809" s="469" t="n"/>
      <c r="M809" s="469" t="n"/>
      <c r="N809" s="469" t="n"/>
      <c r="O809" s="469" t="n"/>
      <c r="P809" s="471" t="n"/>
      <c r="Q809" s="469" t="n"/>
      <c r="R809" s="469" t="n"/>
      <c r="S809" s="469" t="n"/>
      <c r="T809" s="469" t="n"/>
      <c r="U809" s="469" t="n"/>
      <c r="V809" s="469" t="n"/>
      <c r="W809" s="469" t="n"/>
      <c r="X809" s="469" t="n"/>
      <c r="Y809" s="469" t="n"/>
      <c r="Z809" s="469" t="n"/>
      <c r="AA809" s="469" t="n"/>
    </row>
    <row r="810">
      <c r="A810" s="468" t="n"/>
      <c r="B810" s="469" t="n"/>
      <c r="C810" s="469" t="n"/>
      <c r="D810" s="469" t="n"/>
      <c r="E810" s="469" t="n"/>
      <c r="F810" s="469" t="n"/>
      <c r="G810" s="469" t="n"/>
      <c r="H810" s="469" t="n"/>
      <c r="I810" s="469" t="n"/>
      <c r="J810" s="469" t="n"/>
      <c r="K810" s="469" t="n"/>
      <c r="L810" s="469" t="n"/>
      <c r="M810" s="469" t="n"/>
      <c r="N810" s="469" t="n"/>
      <c r="O810" s="469" t="n"/>
      <c r="P810" s="471" t="n"/>
      <c r="Q810" s="469" t="n"/>
      <c r="R810" s="469" t="n"/>
      <c r="S810" s="469" t="n"/>
      <c r="T810" s="469" t="n"/>
      <c r="U810" s="469" t="n"/>
      <c r="V810" s="469" t="n"/>
      <c r="W810" s="469" t="n"/>
      <c r="X810" s="469" t="n"/>
      <c r="Y810" s="469" t="n"/>
      <c r="Z810" s="469" t="n"/>
      <c r="AA810" s="469" t="n"/>
    </row>
    <row r="811">
      <c r="A811" s="468" t="n"/>
      <c r="B811" s="469" t="n"/>
      <c r="C811" s="469" t="n"/>
      <c r="D811" s="469" t="n"/>
      <c r="E811" s="469" t="n"/>
      <c r="F811" s="469" t="n"/>
      <c r="G811" s="469" t="n"/>
      <c r="H811" s="469" t="n"/>
      <c r="I811" s="469" t="n"/>
      <c r="J811" s="469" t="n"/>
      <c r="K811" s="469" t="n"/>
      <c r="L811" s="469" t="n"/>
      <c r="M811" s="469" t="n"/>
      <c r="N811" s="469" t="n"/>
      <c r="O811" s="469" t="n"/>
      <c r="P811" s="471" t="n"/>
      <c r="Q811" s="469" t="n"/>
      <c r="R811" s="469" t="n"/>
      <c r="S811" s="469" t="n"/>
      <c r="T811" s="469" t="n"/>
      <c r="U811" s="469" t="n"/>
      <c r="V811" s="469" t="n"/>
      <c r="W811" s="469" t="n"/>
      <c r="X811" s="469" t="n"/>
      <c r="Y811" s="469" t="n"/>
      <c r="Z811" s="469" t="n"/>
      <c r="AA811" s="469" t="n"/>
    </row>
    <row r="812">
      <c r="A812" s="468" t="n"/>
      <c r="B812" s="469" t="n"/>
      <c r="C812" s="469" t="n"/>
      <c r="D812" s="469" t="n"/>
      <c r="E812" s="469" t="n"/>
      <c r="F812" s="469" t="n"/>
      <c r="G812" s="469" t="n"/>
      <c r="H812" s="469" t="n"/>
      <c r="I812" s="469" t="n"/>
      <c r="J812" s="469" t="n"/>
      <c r="K812" s="469" t="n"/>
      <c r="L812" s="469" t="n"/>
      <c r="M812" s="469" t="n"/>
      <c r="N812" s="469" t="n"/>
      <c r="O812" s="469" t="n"/>
      <c r="P812" s="471" t="n"/>
      <c r="Q812" s="469" t="n"/>
      <c r="R812" s="469" t="n"/>
      <c r="S812" s="469" t="n"/>
      <c r="T812" s="469" t="n"/>
      <c r="U812" s="469" t="n"/>
      <c r="V812" s="469" t="n"/>
      <c r="W812" s="469" t="n"/>
      <c r="X812" s="469" t="n"/>
      <c r="Y812" s="469" t="n"/>
      <c r="Z812" s="469" t="n"/>
      <c r="AA812" s="469" t="n"/>
    </row>
    <row r="813">
      <c r="A813" s="468" t="n"/>
      <c r="B813" s="469" t="n"/>
      <c r="C813" s="469" t="n"/>
      <c r="D813" s="469" t="n"/>
      <c r="E813" s="469" t="n"/>
      <c r="F813" s="469" t="n"/>
      <c r="G813" s="469" t="n"/>
      <c r="H813" s="469" t="n"/>
      <c r="I813" s="469" t="n"/>
      <c r="J813" s="469" t="n"/>
      <c r="K813" s="469" t="n"/>
      <c r="L813" s="469" t="n"/>
      <c r="M813" s="469" t="n"/>
      <c r="N813" s="469" t="n"/>
      <c r="O813" s="469" t="n"/>
      <c r="P813" s="471" t="n"/>
      <c r="Q813" s="469" t="n"/>
      <c r="R813" s="469" t="n"/>
      <c r="S813" s="469" t="n"/>
      <c r="T813" s="469" t="n"/>
      <c r="U813" s="469" t="n"/>
      <c r="V813" s="469" t="n"/>
      <c r="W813" s="469" t="n"/>
      <c r="X813" s="469" t="n"/>
      <c r="Y813" s="469" t="n"/>
      <c r="Z813" s="469" t="n"/>
      <c r="AA813" s="469" t="n"/>
    </row>
    <row r="814">
      <c r="A814" s="468" t="n"/>
      <c r="B814" s="469" t="n"/>
      <c r="C814" s="469" t="n"/>
      <c r="D814" s="469" t="n"/>
      <c r="E814" s="469" t="n"/>
      <c r="F814" s="469" t="n"/>
      <c r="G814" s="469" t="n"/>
      <c r="H814" s="469" t="n"/>
      <c r="I814" s="469" t="n"/>
      <c r="J814" s="469" t="n"/>
      <c r="K814" s="469" t="n"/>
      <c r="L814" s="469" t="n"/>
      <c r="M814" s="469" t="n"/>
      <c r="N814" s="469" t="n"/>
      <c r="O814" s="469" t="n"/>
      <c r="P814" s="471" t="n"/>
      <c r="Q814" s="469" t="n"/>
      <c r="R814" s="469" t="n"/>
      <c r="S814" s="469" t="n"/>
      <c r="T814" s="469" t="n"/>
      <c r="U814" s="469" t="n"/>
      <c r="V814" s="469" t="n"/>
      <c r="W814" s="469" t="n"/>
      <c r="X814" s="469" t="n"/>
      <c r="Y814" s="469" t="n"/>
      <c r="Z814" s="469" t="n"/>
      <c r="AA814" s="469" t="n"/>
    </row>
    <row r="815">
      <c r="A815" s="468" t="n"/>
      <c r="B815" s="469" t="n"/>
      <c r="C815" s="469" t="n"/>
      <c r="D815" s="469" t="n"/>
      <c r="E815" s="469" t="n"/>
      <c r="F815" s="469" t="n"/>
      <c r="G815" s="469" t="n"/>
      <c r="H815" s="469" t="n"/>
      <c r="I815" s="469" t="n"/>
      <c r="J815" s="469" t="n"/>
      <c r="K815" s="469" t="n"/>
      <c r="L815" s="469" t="n"/>
      <c r="M815" s="469" t="n"/>
      <c r="N815" s="469" t="n"/>
      <c r="O815" s="469" t="n"/>
      <c r="P815" s="471" t="n"/>
      <c r="Q815" s="469" t="n"/>
      <c r="R815" s="469" t="n"/>
      <c r="S815" s="469" t="n"/>
      <c r="T815" s="469" t="n"/>
      <c r="U815" s="469" t="n"/>
      <c r="V815" s="469" t="n"/>
      <c r="W815" s="469" t="n"/>
      <c r="X815" s="469" t="n"/>
      <c r="Y815" s="469" t="n"/>
      <c r="Z815" s="469" t="n"/>
      <c r="AA815" s="469" t="n"/>
    </row>
    <row r="816">
      <c r="A816" s="468" t="n"/>
      <c r="B816" s="469" t="n"/>
      <c r="C816" s="469" t="n"/>
      <c r="D816" s="469" t="n"/>
      <c r="E816" s="469" t="n"/>
      <c r="F816" s="469" t="n"/>
      <c r="G816" s="469" t="n"/>
      <c r="H816" s="469" t="n"/>
      <c r="I816" s="469" t="n"/>
      <c r="J816" s="469" t="n"/>
      <c r="K816" s="469" t="n"/>
      <c r="L816" s="469" t="n"/>
      <c r="M816" s="469" t="n"/>
      <c r="N816" s="469" t="n"/>
      <c r="O816" s="469" t="n"/>
      <c r="P816" s="471" t="n"/>
      <c r="Q816" s="469" t="n"/>
      <c r="R816" s="469" t="n"/>
      <c r="S816" s="469" t="n"/>
      <c r="T816" s="469" t="n"/>
      <c r="U816" s="469" t="n"/>
      <c r="V816" s="469" t="n"/>
      <c r="W816" s="469" t="n"/>
      <c r="X816" s="469" t="n"/>
      <c r="Y816" s="469" t="n"/>
      <c r="Z816" s="469" t="n"/>
      <c r="AA816" s="469" t="n"/>
    </row>
    <row r="817">
      <c r="A817" s="468" t="n"/>
      <c r="B817" s="469" t="n"/>
      <c r="C817" s="469" t="n"/>
      <c r="D817" s="469" t="n"/>
      <c r="E817" s="469" t="n"/>
      <c r="F817" s="469" t="n"/>
      <c r="G817" s="469" t="n"/>
      <c r="H817" s="469" t="n"/>
      <c r="I817" s="469" t="n"/>
      <c r="J817" s="469" t="n"/>
      <c r="K817" s="469" t="n"/>
      <c r="L817" s="469" t="n"/>
      <c r="M817" s="469" t="n"/>
      <c r="N817" s="469" t="n"/>
      <c r="O817" s="469" t="n"/>
      <c r="P817" s="471" t="n"/>
      <c r="Q817" s="469" t="n"/>
      <c r="R817" s="469" t="n"/>
      <c r="S817" s="469" t="n"/>
      <c r="T817" s="469" t="n"/>
      <c r="U817" s="469" t="n"/>
      <c r="V817" s="469" t="n"/>
      <c r="W817" s="469" t="n"/>
      <c r="X817" s="469" t="n"/>
      <c r="Y817" s="469" t="n"/>
      <c r="Z817" s="469" t="n"/>
      <c r="AA817" s="469" t="n"/>
    </row>
    <row r="818">
      <c r="A818" s="468" t="n"/>
      <c r="B818" s="469" t="n"/>
      <c r="C818" s="469" t="n"/>
      <c r="D818" s="469" t="n"/>
      <c r="E818" s="469" t="n"/>
      <c r="F818" s="469" t="n"/>
      <c r="G818" s="469" t="n"/>
      <c r="H818" s="469" t="n"/>
      <c r="I818" s="469" t="n"/>
      <c r="J818" s="469" t="n"/>
      <c r="K818" s="469" t="n"/>
      <c r="L818" s="469" t="n"/>
      <c r="M818" s="469" t="n"/>
      <c r="N818" s="469" t="n"/>
      <c r="O818" s="469" t="n"/>
      <c r="P818" s="471" t="n"/>
      <c r="Q818" s="469" t="n"/>
      <c r="R818" s="469" t="n"/>
      <c r="S818" s="469" t="n"/>
      <c r="T818" s="469" t="n"/>
      <c r="U818" s="469" t="n"/>
      <c r="V818" s="469" t="n"/>
      <c r="W818" s="469" t="n"/>
      <c r="X818" s="469" t="n"/>
      <c r="Y818" s="469" t="n"/>
      <c r="Z818" s="469" t="n"/>
      <c r="AA818" s="469" t="n"/>
    </row>
    <row r="819">
      <c r="A819" s="468" t="n"/>
      <c r="B819" s="469" t="n"/>
      <c r="C819" s="469" t="n"/>
      <c r="D819" s="469" t="n"/>
      <c r="E819" s="469" t="n"/>
      <c r="F819" s="469" t="n"/>
      <c r="G819" s="469" t="n"/>
      <c r="H819" s="469" t="n"/>
      <c r="I819" s="469" t="n"/>
      <c r="J819" s="469" t="n"/>
      <c r="K819" s="469" t="n"/>
      <c r="L819" s="469" t="n"/>
      <c r="M819" s="469" t="n"/>
      <c r="N819" s="469" t="n"/>
      <c r="O819" s="469" t="n"/>
      <c r="P819" s="471" t="n"/>
      <c r="Q819" s="469" t="n"/>
      <c r="R819" s="469" t="n"/>
      <c r="S819" s="469" t="n"/>
      <c r="T819" s="469" t="n"/>
      <c r="U819" s="469" t="n"/>
      <c r="V819" s="469" t="n"/>
      <c r="W819" s="469" t="n"/>
      <c r="X819" s="469" t="n"/>
      <c r="Y819" s="469" t="n"/>
      <c r="Z819" s="469" t="n"/>
      <c r="AA819" s="469" t="n"/>
    </row>
    <row r="820">
      <c r="A820" s="468" t="n"/>
      <c r="B820" s="469" t="n"/>
      <c r="C820" s="469" t="n"/>
      <c r="D820" s="469" t="n"/>
      <c r="E820" s="469" t="n"/>
      <c r="F820" s="469" t="n"/>
      <c r="G820" s="469" t="n"/>
      <c r="H820" s="469" t="n"/>
      <c r="I820" s="469" t="n"/>
      <c r="J820" s="469" t="n"/>
      <c r="K820" s="469" t="n"/>
      <c r="L820" s="469" t="n"/>
      <c r="M820" s="469" t="n"/>
      <c r="N820" s="469" t="n"/>
      <c r="O820" s="469" t="n"/>
      <c r="P820" s="471" t="n"/>
      <c r="Q820" s="469" t="n"/>
      <c r="R820" s="469" t="n"/>
      <c r="S820" s="469" t="n"/>
      <c r="T820" s="469" t="n"/>
      <c r="U820" s="469" t="n"/>
      <c r="V820" s="469" t="n"/>
      <c r="W820" s="469" t="n"/>
      <c r="X820" s="469" t="n"/>
      <c r="Y820" s="469" t="n"/>
      <c r="Z820" s="469" t="n"/>
      <c r="AA820" s="469" t="n"/>
    </row>
    <row r="821">
      <c r="A821" s="468" t="n"/>
      <c r="B821" s="469" t="n"/>
      <c r="C821" s="469" t="n"/>
      <c r="D821" s="469" t="n"/>
      <c r="E821" s="469" t="n"/>
      <c r="F821" s="469" t="n"/>
      <c r="G821" s="469" t="n"/>
      <c r="H821" s="469" t="n"/>
      <c r="I821" s="469" t="n"/>
      <c r="J821" s="469" t="n"/>
      <c r="K821" s="469" t="n"/>
      <c r="L821" s="469" t="n"/>
      <c r="M821" s="469" t="n"/>
      <c r="N821" s="469" t="n"/>
      <c r="O821" s="469" t="n"/>
      <c r="P821" s="471" t="n"/>
      <c r="Q821" s="469" t="n"/>
      <c r="R821" s="469" t="n"/>
      <c r="S821" s="469" t="n"/>
      <c r="T821" s="469" t="n"/>
      <c r="U821" s="469" t="n"/>
      <c r="V821" s="469" t="n"/>
      <c r="W821" s="469" t="n"/>
      <c r="X821" s="469" t="n"/>
      <c r="Y821" s="469" t="n"/>
      <c r="Z821" s="469" t="n"/>
      <c r="AA821" s="469" t="n"/>
    </row>
    <row r="822">
      <c r="A822" s="468" t="n"/>
      <c r="B822" s="469" t="n"/>
      <c r="C822" s="469" t="n"/>
      <c r="D822" s="469" t="n"/>
      <c r="E822" s="469" t="n"/>
      <c r="F822" s="469" t="n"/>
      <c r="G822" s="469" t="n"/>
      <c r="H822" s="469" t="n"/>
      <c r="I822" s="469" t="n"/>
      <c r="J822" s="469" t="n"/>
      <c r="K822" s="469" t="n"/>
      <c r="L822" s="469" t="n"/>
      <c r="M822" s="469" t="n"/>
      <c r="N822" s="469" t="n"/>
      <c r="O822" s="469" t="n"/>
      <c r="P822" s="471" t="n"/>
      <c r="Q822" s="469" t="n"/>
      <c r="R822" s="469" t="n"/>
      <c r="S822" s="469" t="n"/>
      <c r="T822" s="469" t="n"/>
      <c r="U822" s="469" t="n"/>
      <c r="V822" s="469" t="n"/>
      <c r="W822" s="469" t="n"/>
      <c r="X822" s="469" t="n"/>
      <c r="Y822" s="469" t="n"/>
      <c r="Z822" s="469" t="n"/>
      <c r="AA822" s="469" t="n"/>
    </row>
    <row r="823">
      <c r="A823" s="468" t="n"/>
      <c r="B823" s="469" t="n"/>
      <c r="C823" s="469" t="n"/>
      <c r="D823" s="469" t="n"/>
      <c r="E823" s="469" t="n"/>
      <c r="F823" s="469" t="n"/>
      <c r="G823" s="469" t="n"/>
      <c r="H823" s="469" t="n"/>
      <c r="I823" s="469" t="n"/>
      <c r="J823" s="469" t="n"/>
      <c r="K823" s="469" t="n"/>
      <c r="L823" s="469" t="n"/>
      <c r="M823" s="469" t="n"/>
      <c r="N823" s="469" t="n"/>
      <c r="O823" s="469" t="n"/>
      <c r="P823" s="471" t="n"/>
      <c r="Q823" s="469" t="n"/>
      <c r="R823" s="469" t="n"/>
      <c r="S823" s="469" t="n"/>
      <c r="T823" s="469" t="n"/>
      <c r="U823" s="469" t="n"/>
      <c r="V823" s="469" t="n"/>
      <c r="W823" s="469" t="n"/>
      <c r="X823" s="469" t="n"/>
      <c r="Y823" s="469" t="n"/>
      <c r="Z823" s="469" t="n"/>
      <c r="AA823" s="469" t="n"/>
    </row>
    <row r="824">
      <c r="A824" s="468" t="n"/>
      <c r="B824" s="469" t="n"/>
      <c r="C824" s="469" t="n"/>
      <c r="D824" s="469" t="n"/>
      <c r="E824" s="469" t="n"/>
      <c r="F824" s="469" t="n"/>
      <c r="G824" s="469" t="n"/>
      <c r="H824" s="469" t="n"/>
      <c r="I824" s="469" t="n"/>
      <c r="J824" s="469" t="n"/>
      <c r="K824" s="469" t="n"/>
      <c r="L824" s="469" t="n"/>
      <c r="M824" s="469" t="n"/>
      <c r="N824" s="469" t="n"/>
      <c r="O824" s="469" t="n"/>
      <c r="P824" s="471" t="n"/>
      <c r="Q824" s="469" t="n"/>
      <c r="R824" s="469" t="n"/>
      <c r="S824" s="469" t="n"/>
      <c r="T824" s="469" t="n"/>
      <c r="U824" s="469" t="n"/>
      <c r="V824" s="469" t="n"/>
      <c r="W824" s="469" t="n"/>
      <c r="X824" s="469" t="n"/>
      <c r="Y824" s="469" t="n"/>
      <c r="Z824" s="469" t="n"/>
      <c r="AA824" s="469" t="n"/>
    </row>
    <row r="825">
      <c r="A825" s="468" t="n"/>
      <c r="B825" s="469" t="n"/>
      <c r="C825" s="469" t="n"/>
      <c r="D825" s="469" t="n"/>
      <c r="E825" s="469" t="n"/>
      <c r="F825" s="469" t="n"/>
      <c r="G825" s="469" t="n"/>
      <c r="H825" s="469" t="n"/>
      <c r="I825" s="469" t="n"/>
      <c r="J825" s="469" t="n"/>
      <c r="K825" s="469" t="n"/>
      <c r="L825" s="469" t="n"/>
      <c r="M825" s="469" t="n"/>
      <c r="N825" s="469" t="n"/>
      <c r="O825" s="469" t="n"/>
      <c r="P825" s="471" t="n"/>
      <c r="Q825" s="469" t="n"/>
      <c r="R825" s="469" t="n"/>
      <c r="S825" s="469" t="n"/>
      <c r="T825" s="469" t="n"/>
      <c r="U825" s="469" t="n"/>
      <c r="V825" s="469" t="n"/>
      <c r="W825" s="469" t="n"/>
      <c r="X825" s="469" t="n"/>
      <c r="Y825" s="469" t="n"/>
      <c r="Z825" s="469" t="n"/>
      <c r="AA825" s="469" t="n"/>
    </row>
    <row r="826">
      <c r="A826" s="468" t="n"/>
      <c r="B826" s="469" t="n"/>
      <c r="C826" s="469" t="n"/>
      <c r="D826" s="469" t="n"/>
      <c r="E826" s="469" t="n"/>
      <c r="F826" s="469" t="n"/>
      <c r="G826" s="469" t="n"/>
      <c r="H826" s="469" t="n"/>
      <c r="I826" s="469" t="n"/>
      <c r="J826" s="469" t="n"/>
      <c r="K826" s="469" t="n"/>
      <c r="L826" s="469" t="n"/>
      <c r="M826" s="469" t="n"/>
      <c r="N826" s="469" t="n"/>
      <c r="O826" s="469" t="n"/>
      <c r="P826" s="471" t="n"/>
      <c r="Q826" s="469" t="n"/>
      <c r="R826" s="469" t="n"/>
      <c r="S826" s="469" t="n"/>
      <c r="T826" s="469" t="n"/>
      <c r="U826" s="469" t="n"/>
      <c r="V826" s="469" t="n"/>
      <c r="W826" s="469" t="n"/>
      <c r="X826" s="469" t="n"/>
      <c r="Y826" s="469" t="n"/>
      <c r="Z826" s="469" t="n"/>
      <c r="AA826" s="469" t="n"/>
    </row>
    <row r="827">
      <c r="A827" s="468" t="n"/>
      <c r="B827" s="469" t="n"/>
      <c r="C827" s="469" t="n"/>
      <c r="D827" s="469" t="n"/>
      <c r="E827" s="469" t="n"/>
      <c r="F827" s="469" t="n"/>
      <c r="G827" s="469" t="n"/>
      <c r="H827" s="469" t="n"/>
      <c r="I827" s="469" t="n"/>
      <c r="J827" s="469" t="n"/>
      <c r="K827" s="469" t="n"/>
      <c r="L827" s="469" t="n"/>
      <c r="M827" s="469" t="n"/>
      <c r="N827" s="469" t="n"/>
      <c r="O827" s="469" t="n"/>
      <c r="P827" s="471" t="n"/>
      <c r="Q827" s="469" t="n"/>
      <c r="R827" s="469" t="n"/>
      <c r="S827" s="469" t="n"/>
      <c r="T827" s="469" t="n"/>
      <c r="U827" s="469" t="n"/>
      <c r="V827" s="469" t="n"/>
      <c r="W827" s="469" t="n"/>
      <c r="X827" s="469" t="n"/>
      <c r="Y827" s="469" t="n"/>
      <c r="Z827" s="469" t="n"/>
      <c r="AA827" s="469" t="n"/>
    </row>
    <row r="828">
      <c r="A828" s="468" t="n"/>
      <c r="B828" s="469" t="n"/>
      <c r="C828" s="469" t="n"/>
      <c r="D828" s="469" t="n"/>
      <c r="E828" s="469" t="n"/>
      <c r="F828" s="469" t="n"/>
      <c r="G828" s="469" t="n"/>
      <c r="H828" s="469" t="n"/>
      <c r="I828" s="469" t="n"/>
      <c r="J828" s="469" t="n"/>
      <c r="K828" s="469" t="n"/>
      <c r="L828" s="469" t="n"/>
      <c r="M828" s="469" t="n"/>
      <c r="N828" s="469" t="n"/>
      <c r="O828" s="469" t="n"/>
      <c r="P828" s="471" t="n"/>
      <c r="Q828" s="469" t="n"/>
      <c r="R828" s="469" t="n"/>
      <c r="S828" s="469" t="n"/>
      <c r="T828" s="469" t="n"/>
      <c r="U828" s="469" t="n"/>
      <c r="V828" s="469" t="n"/>
      <c r="W828" s="469" t="n"/>
      <c r="X828" s="469" t="n"/>
      <c r="Y828" s="469" t="n"/>
      <c r="Z828" s="469" t="n"/>
      <c r="AA828" s="469" t="n"/>
    </row>
    <row r="829">
      <c r="A829" s="468" t="n"/>
      <c r="B829" s="469" t="n"/>
      <c r="C829" s="469" t="n"/>
      <c r="D829" s="469" t="n"/>
      <c r="E829" s="469" t="n"/>
      <c r="F829" s="469" t="n"/>
      <c r="G829" s="469" t="n"/>
      <c r="H829" s="469" t="n"/>
      <c r="I829" s="469" t="n"/>
      <c r="J829" s="469" t="n"/>
      <c r="K829" s="469" t="n"/>
      <c r="L829" s="469" t="n"/>
      <c r="M829" s="469" t="n"/>
      <c r="N829" s="469" t="n"/>
      <c r="O829" s="469" t="n"/>
      <c r="P829" s="471" t="n"/>
      <c r="Q829" s="469" t="n"/>
      <c r="R829" s="469" t="n"/>
      <c r="S829" s="469" t="n"/>
      <c r="T829" s="469" t="n"/>
      <c r="U829" s="469" t="n"/>
      <c r="V829" s="469" t="n"/>
      <c r="W829" s="469" t="n"/>
      <c r="X829" s="469" t="n"/>
      <c r="Y829" s="469" t="n"/>
      <c r="Z829" s="469" t="n"/>
      <c r="AA829" s="469" t="n"/>
    </row>
    <row r="830">
      <c r="A830" s="468" t="n"/>
      <c r="B830" s="469" t="n"/>
      <c r="C830" s="469" t="n"/>
      <c r="D830" s="469" t="n"/>
      <c r="E830" s="469" t="n"/>
      <c r="F830" s="469" t="n"/>
      <c r="G830" s="469" t="n"/>
      <c r="H830" s="469" t="n"/>
      <c r="I830" s="469" t="n"/>
      <c r="J830" s="469" t="n"/>
      <c r="K830" s="469" t="n"/>
      <c r="L830" s="469" t="n"/>
      <c r="M830" s="469" t="n"/>
      <c r="N830" s="469" t="n"/>
      <c r="O830" s="469" t="n"/>
      <c r="P830" s="471" t="n"/>
      <c r="Q830" s="469" t="n"/>
      <c r="R830" s="469" t="n"/>
      <c r="S830" s="469" t="n"/>
      <c r="T830" s="469" t="n"/>
      <c r="U830" s="469" t="n"/>
      <c r="V830" s="469" t="n"/>
      <c r="W830" s="469" t="n"/>
      <c r="X830" s="469" t="n"/>
      <c r="Y830" s="469" t="n"/>
      <c r="Z830" s="469" t="n"/>
      <c r="AA830" s="469" t="n"/>
    </row>
    <row r="831">
      <c r="A831" s="468" t="n"/>
      <c r="B831" s="469" t="n"/>
      <c r="C831" s="469" t="n"/>
      <c r="D831" s="469" t="n"/>
      <c r="E831" s="469" t="n"/>
      <c r="F831" s="469" t="n"/>
      <c r="G831" s="469" t="n"/>
      <c r="H831" s="469" t="n"/>
      <c r="I831" s="469" t="n"/>
      <c r="J831" s="469" t="n"/>
      <c r="K831" s="469" t="n"/>
      <c r="L831" s="469" t="n"/>
      <c r="M831" s="469" t="n"/>
      <c r="N831" s="469" t="n"/>
      <c r="O831" s="469" t="n"/>
      <c r="P831" s="471" t="n"/>
      <c r="Q831" s="469" t="n"/>
      <c r="R831" s="469" t="n"/>
      <c r="S831" s="469" t="n"/>
      <c r="T831" s="469" t="n"/>
      <c r="U831" s="469" t="n"/>
      <c r="V831" s="469" t="n"/>
      <c r="W831" s="469" t="n"/>
      <c r="X831" s="469" t="n"/>
      <c r="Y831" s="469" t="n"/>
      <c r="Z831" s="469" t="n"/>
      <c r="AA831" s="469" t="n"/>
    </row>
    <row r="832">
      <c r="A832" s="468" t="n"/>
      <c r="B832" s="469" t="n"/>
      <c r="C832" s="469" t="n"/>
      <c r="D832" s="469" t="n"/>
      <c r="E832" s="469" t="n"/>
      <c r="F832" s="469" t="n"/>
      <c r="G832" s="469" t="n"/>
      <c r="H832" s="469" t="n"/>
      <c r="I832" s="469" t="n"/>
      <c r="J832" s="469" t="n"/>
      <c r="K832" s="469" t="n"/>
      <c r="L832" s="469" t="n"/>
      <c r="M832" s="469" t="n"/>
      <c r="N832" s="469" t="n"/>
      <c r="O832" s="469" t="n"/>
      <c r="P832" s="471" t="n"/>
      <c r="Q832" s="469" t="n"/>
      <c r="R832" s="469" t="n"/>
      <c r="S832" s="469" t="n"/>
      <c r="T832" s="469" t="n"/>
      <c r="U832" s="469" t="n"/>
      <c r="V832" s="469" t="n"/>
      <c r="W832" s="469" t="n"/>
      <c r="X832" s="469" t="n"/>
      <c r="Y832" s="469" t="n"/>
      <c r="Z832" s="469" t="n"/>
      <c r="AA832" s="469" t="n"/>
    </row>
    <row r="833">
      <c r="A833" s="468" t="n"/>
      <c r="B833" s="469" t="n"/>
      <c r="C833" s="469" t="n"/>
      <c r="D833" s="469" t="n"/>
      <c r="E833" s="469" t="n"/>
      <c r="F833" s="469" t="n"/>
      <c r="G833" s="469" t="n"/>
      <c r="H833" s="469" t="n"/>
      <c r="I833" s="469" t="n"/>
      <c r="J833" s="469" t="n"/>
      <c r="K833" s="469" t="n"/>
      <c r="L833" s="469" t="n"/>
      <c r="M833" s="469" t="n"/>
      <c r="N833" s="469" t="n"/>
      <c r="O833" s="469" t="n"/>
      <c r="P833" s="471" t="n"/>
      <c r="Q833" s="469" t="n"/>
      <c r="R833" s="469" t="n"/>
      <c r="S833" s="469" t="n"/>
      <c r="T833" s="469" t="n"/>
      <c r="U833" s="469" t="n"/>
      <c r="V833" s="469" t="n"/>
      <c r="W833" s="469" t="n"/>
      <c r="X833" s="469" t="n"/>
      <c r="Y833" s="469" t="n"/>
      <c r="Z833" s="469" t="n"/>
      <c r="AA833" s="469" t="n"/>
    </row>
    <row r="834">
      <c r="A834" s="468" t="n"/>
      <c r="B834" s="469" t="n"/>
      <c r="C834" s="469" t="n"/>
      <c r="D834" s="469" t="n"/>
      <c r="E834" s="469" t="n"/>
      <c r="F834" s="469" t="n"/>
      <c r="G834" s="469" t="n"/>
      <c r="H834" s="469" t="n"/>
      <c r="I834" s="469" t="n"/>
      <c r="J834" s="469" t="n"/>
      <c r="K834" s="469" t="n"/>
      <c r="L834" s="469" t="n"/>
      <c r="M834" s="469" t="n"/>
      <c r="N834" s="469" t="n"/>
      <c r="O834" s="469" t="n"/>
      <c r="P834" s="471" t="n"/>
      <c r="Q834" s="469" t="n"/>
      <c r="R834" s="469" t="n"/>
      <c r="S834" s="469" t="n"/>
      <c r="T834" s="469" t="n"/>
      <c r="U834" s="469" t="n"/>
      <c r="V834" s="469" t="n"/>
      <c r="W834" s="469" t="n"/>
      <c r="X834" s="469" t="n"/>
      <c r="Y834" s="469" t="n"/>
      <c r="Z834" s="469" t="n"/>
      <c r="AA834" s="469" t="n"/>
    </row>
    <row r="835">
      <c r="A835" s="468" t="n"/>
      <c r="B835" s="469" t="n"/>
      <c r="C835" s="469" t="n"/>
      <c r="D835" s="469" t="n"/>
      <c r="E835" s="469" t="n"/>
      <c r="F835" s="469" t="n"/>
      <c r="G835" s="469" t="n"/>
      <c r="H835" s="469" t="n"/>
      <c r="I835" s="469" t="n"/>
      <c r="J835" s="469" t="n"/>
      <c r="K835" s="469" t="n"/>
      <c r="L835" s="469" t="n"/>
      <c r="M835" s="469" t="n"/>
      <c r="N835" s="469" t="n"/>
      <c r="O835" s="469" t="n"/>
      <c r="P835" s="471" t="n"/>
      <c r="Q835" s="469" t="n"/>
      <c r="R835" s="469" t="n"/>
      <c r="S835" s="469" t="n"/>
      <c r="T835" s="469" t="n"/>
      <c r="U835" s="469" t="n"/>
      <c r="V835" s="469" t="n"/>
      <c r="W835" s="469" t="n"/>
      <c r="X835" s="469" t="n"/>
      <c r="Y835" s="469" t="n"/>
      <c r="Z835" s="469" t="n"/>
      <c r="AA835" s="469" t="n"/>
    </row>
    <row r="836">
      <c r="A836" s="468" t="n"/>
      <c r="B836" s="469" t="n"/>
      <c r="C836" s="469" t="n"/>
      <c r="D836" s="469" t="n"/>
      <c r="E836" s="469" t="n"/>
      <c r="F836" s="469" t="n"/>
      <c r="G836" s="469" t="n"/>
      <c r="H836" s="469" t="n"/>
      <c r="I836" s="469" t="n"/>
      <c r="J836" s="469" t="n"/>
      <c r="K836" s="469" t="n"/>
      <c r="L836" s="469" t="n"/>
      <c r="M836" s="469" t="n"/>
      <c r="N836" s="469" t="n"/>
      <c r="O836" s="469" t="n"/>
      <c r="P836" s="471" t="n"/>
      <c r="Q836" s="469" t="n"/>
      <c r="R836" s="469" t="n"/>
      <c r="S836" s="469" t="n"/>
      <c r="T836" s="469" t="n"/>
      <c r="U836" s="469" t="n"/>
      <c r="V836" s="469" t="n"/>
      <c r="W836" s="469" t="n"/>
      <c r="X836" s="469" t="n"/>
      <c r="Y836" s="469" t="n"/>
      <c r="Z836" s="469" t="n"/>
      <c r="AA836" s="469" t="n"/>
    </row>
    <row r="837">
      <c r="A837" s="468" t="n"/>
      <c r="B837" s="469" t="n"/>
      <c r="C837" s="469" t="n"/>
      <c r="D837" s="469" t="n"/>
      <c r="E837" s="469" t="n"/>
      <c r="F837" s="469" t="n"/>
      <c r="G837" s="469" t="n"/>
      <c r="H837" s="469" t="n"/>
      <c r="I837" s="469" t="n"/>
      <c r="J837" s="469" t="n"/>
      <c r="K837" s="469" t="n"/>
      <c r="L837" s="469" t="n"/>
      <c r="M837" s="469" t="n"/>
      <c r="N837" s="469" t="n"/>
      <c r="O837" s="469" t="n"/>
      <c r="P837" s="471" t="n"/>
      <c r="Q837" s="469" t="n"/>
      <c r="R837" s="469" t="n"/>
      <c r="S837" s="469" t="n"/>
      <c r="T837" s="469" t="n"/>
      <c r="U837" s="469" t="n"/>
      <c r="V837" s="469" t="n"/>
      <c r="W837" s="469" t="n"/>
      <c r="X837" s="469" t="n"/>
      <c r="Y837" s="469" t="n"/>
      <c r="Z837" s="469" t="n"/>
      <c r="AA837" s="469" t="n"/>
    </row>
    <row r="838">
      <c r="A838" s="468" t="n"/>
      <c r="B838" s="469" t="n"/>
      <c r="C838" s="469" t="n"/>
      <c r="D838" s="469" t="n"/>
      <c r="E838" s="469" t="n"/>
      <c r="F838" s="469" t="n"/>
      <c r="G838" s="469" t="n"/>
      <c r="H838" s="469" t="n"/>
      <c r="I838" s="469" t="n"/>
      <c r="J838" s="469" t="n"/>
      <c r="K838" s="469" t="n"/>
      <c r="L838" s="469" t="n"/>
      <c r="M838" s="469" t="n"/>
      <c r="N838" s="469" t="n"/>
      <c r="O838" s="469" t="n"/>
      <c r="P838" s="471" t="n"/>
      <c r="Q838" s="469" t="n"/>
      <c r="R838" s="469" t="n"/>
      <c r="S838" s="469" t="n"/>
      <c r="T838" s="469" t="n"/>
      <c r="U838" s="469" t="n"/>
      <c r="V838" s="469" t="n"/>
      <c r="W838" s="469" t="n"/>
      <c r="X838" s="469" t="n"/>
      <c r="Y838" s="469" t="n"/>
      <c r="Z838" s="469" t="n"/>
      <c r="AA838" s="469" t="n"/>
    </row>
    <row r="839">
      <c r="A839" s="468" t="n"/>
      <c r="B839" s="469" t="n"/>
      <c r="C839" s="469" t="n"/>
      <c r="D839" s="469" t="n"/>
      <c r="E839" s="469" t="n"/>
      <c r="F839" s="469" t="n"/>
      <c r="G839" s="469" t="n"/>
      <c r="H839" s="469" t="n"/>
      <c r="I839" s="469" t="n"/>
      <c r="J839" s="469" t="n"/>
      <c r="K839" s="469" t="n"/>
      <c r="L839" s="469" t="n"/>
      <c r="M839" s="469" t="n"/>
      <c r="N839" s="469" t="n"/>
      <c r="O839" s="469" t="n"/>
      <c r="P839" s="471" t="n"/>
      <c r="Q839" s="469" t="n"/>
      <c r="R839" s="469" t="n"/>
      <c r="S839" s="469" t="n"/>
      <c r="T839" s="469" t="n"/>
      <c r="U839" s="469" t="n"/>
      <c r="V839" s="469" t="n"/>
      <c r="W839" s="469" t="n"/>
      <c r="X839" s="469" t="n"/>
      <c r="Y839" s="469" t="n"/>
      <c r="Z839" s="469" t="n"/>
      <c r="AA839" s="469" t="n"/>
    </row>
    <row r="840">
      <c r="A840" s="468" t="n"/>
      <c r="B840" s="469" t="n"/>
      <c r="C840" s="469" t="n"/>
      <c r="D840" s="469" t="n"/>
      <c r="E840" s="469" t="n"/>
      <c r="F840" s="469" t="n"/>
      <c r="G840" s="469" t="n"/>
      <c r="H840" s="469" t="n"/>
      <c r="I840" s="469" t="n"/>
      <c r="J840" s="469" t="n"/>
      <c r="K840" s="469" t="n"/>
      <c r="L840" s="469" t="n"/>
      <c r="M840" s="469" t="n"/>
      <c r="N840" s="469" t="n"/>
      <c r="O840" s="469" t="n"/>
      <c r="P840" s="471" t="n"/>
      <c r="Q840" s="469" t="n"/>
      <c r="R840" s="469" t="n"/>
      <c r="S840" s="469" t="n"/>
      <c r="T840" s="469" t="n"/>
      <c r="U840" s="469" t="n"/>
      <c r="V840" s="469" t="n"/>
      <c r="W840" s="469" t="n"/>
      <c r="X840" s="469" t="n"/>
      <c r="Y840" s="469" t="n"/>
      <c r="Z840" s="469" t="n"/>
      <c r="AA840" s="469" t="n"/>
    </row>
    <row r="841">
      <c r="A841" s="468" t="n"/>
      <c r="B841" s="469" t="n"/>
      <c r="C841" s="469" t="n"/>
      <c r="D841" s="469" t="n"/>
      <c r="E841" s="469" t="n"/>
      <c r="F841" s="469" t="n"/>
      <c r="G841" s="469" t="n"/>
      <c r="H841" s="469" t="n"/>
      <c r="I841" s="469" t="n"/>
      <c r="J841" s="469" t="n"/>
      <c r="K841" s="469" t="n"/>
      <c r="L841" s="469" t="n"/>
      <c r="M841" s="469" t="n"/>
      <c r="N841" s="469" t="n"/>
      <c r="O841" s="469" t="n"/>
      <c r="P841" s="471" t="n"/>
      <c r="Q841" s="469" t="n"/>
      <c r="R841" s="469" t="n"/>
      <c r="S841" s="469" t="n"/>
      <c r="T841" s="469" t="n"/>
      <c r="U841" s="469" t="n"/>
      <c r="V841" s="469" t="n"/>
      <c r="W841" s="469" t="n"/>
      <c r="X841" s="469" t="n"/>
      <c r="Y841" s="469" t="n"/>
      <c r="Z841" s="469" t="n"/>
      <c r="AA841" s="469" t="n"/>
    </row>
    <row r="842">
      <c r="A842" s="468" t="n"/>
      <c r="B842" s="469" t="n"/>
      <c r="C842" s="469" t="n"/>
      <c r="D842" s="469" t="n"/>
      <c r="E842" s="469" t="n"/>
      <c r="F842" s="469" t="n"/>
      <c r="G842" s="469" t="n"/>
      <c r="H842" s="469" t="n"/>
      <c r="I842" s="469" t="n"/>
      <c r="J842" s="469" t="n"/>
      <c r="K842" s="469" t="n"/>
      <c r="L842" s="469" t="n"/>
      <c r="M842" s="469" t="n"/>
      <c r="N842" s="469" t="n"/>
      <c r="O842" s="469" t="n"/>
      <c r="P842" s="471" t="n"/>
      <c r="Q842" s="469" t="n"/>
      <c r="R842" s="469" t="n"/>
      <c r="S842" s="469" t="n"/>
      <c r="T842" s="469" t="n"/>
      <c r="U842" s="469" t="n"/>
      <c r="V842" s="469" t="n"/>
      <c r="W842" s="469" t="n"/>
      <c r="X842" s="469" t="n"/>
      <c r="Y842" s="469" t="n"/>
      <c r="Z842" s="469" t="n"/>
      <c r="AA842" s="469" t="n"/>
    </row>
    <row r="843">
      <c r="A843" s="468" t="n"/>
      <c r="B843" s="469" t="n"/>
      <c r="C843" s="469" t="n"/>
      <c r="D843" s="469" t="n"/>
      <c r="E843" s="469" t="n"/>
      <c r="F843" s="469" t="n"/>
      <c r="G843" s="469" t="n"/>
      <c r="H843" s="469" t="n"/>
      <c r="I843" s="469" t="n"/>
      <c r="J843" s="469" t="n"/>
      <c r="K843" s="469" t="n"/>
      <c r="L843" s="469" t="n"/>
      <c r="M843" s="469" t="n"/>
      <c r="N843" s="469" t="n"/>
      <c r="O843" s="469" t="n"/>
      <c r="P843" s="471" t="n"/>
      <c r="Q843" s="469" t="n"/>
      <c r="R843" s="469" t="n"/>
      <c r="S843" s="469" t="n"/>
      <c r="T843" s="469" t="n"/>
      <c r="U843" s="469" t="n"/>
      <c r="V843" s="469" t="n"/>
      <c r="W843" s="469" t="n"/>
      <c r="X843" s="469" t="n"/>
      <c r="Y843" s="469" t="n"/>
      <c r="Z843" s="469" t="n"/>
      <c r="AA843" s="469" t="n"/>
    </row>
    <row r="844">
      <c r="A844" s="468" t="n"/>
      <c r="B844" s="469" t="n"/>
      <c r="C844" s="469" t="n"/>
      <c r="D844" s="469" t="n"/>
      <c r="E844" s="469" t="n"/>
      <c r="F844" s="469" t="n"/>
      <c r="G844" s="469" t="n"/>
      <c r="H844" s="469" t="n"/>
      <c r="I844" s="469" t="n"/>
      <c r="J844" s="469" t="n"/>
      <c r="K844" s="469" t="n"/>
      <c r="L844" s="469" t="n"/>
      <c r="M844" s="469" t="n"/>
      <c r="N844" s="469" t="n"/>
      <c r="O844" s="469" t="n"/>
      <c r="P844" s="471" t="n"/>
      <c r="Q844" s="469" t="n"/>
      <c r="R844" s="469" t="n"/>
      <c r="S844" s="469" t="n"/>
      <c r="T844" s="469" t="n"/>
      <c r="U844" s="469" t="n"/>
      <c r="V844" s="469" t="n"/>
      <c r="W844" s="469" t="n"/>
      <c r="X844" s="469" t="n"/>
      <c r="Y844" s="469" t="n"/>
      <c r="Z844" s="469" t="n"/>
      <c r="AA844" s="469" t="n"/>
    </row>
    <row r="845">
      <c r="A845" s="468" t="n"/>
      <c r="B845" s="469" t="n"/>
      <c r="C845" s="469" t="n"/>
      <c r="D845" s="469" t="n"/>
      <c r="E845" s="469" t="n"/>
      <c r="F845" s="469" t="n"/>
      <c r="G845" s="469" t="n"/>
      <c r="H845" s="469" t="n"/>
      <c r="I845" s="469" t="n"/>
      <c r="J845" s="469" t="n"/>
      <c r="K845" s="469" t="n"/>
      <c r="L845" s="469" t="n"/>
      <c r="M845" s="469" t="n"/>
      <c r="N845" s="469" t="n"/>
      <c r="O845" s="469" t="n"/>
      <c r="P845" s="471" t="n"/>
      <c r="Q845" s="469" t="n"/>
      <c r="R845" s="469" t="n"/>
      <c r="S845" s="469" t="n"/>
      <c r="T845" s="469" t="n"/>
      <c r="U845" s="469" t="n"/>
      <c r="V845" s="469" t="n"/>
      <c r="W845" s="469" t="n"/>
      <c r="X845" s="469" t="n"/>
      <c r="Y845" s="469" t="n"/>
      <c r="Z845" s="469" t="n"/>
      <c r="AA845" s="469" t="n"/>
    </row>
    <row r="846">
      <c r="A846" s="468" t="n"/>
      <c r="B846" s="469" t="n"/>
      <c r="C846" s="469" t="n"/>
      <c r="D846" s="469" t="n"/>
      <c r="E846" s="469" t="n"/>
      <c r="F846" s="469" t="n"/>
      <c r="G846" s="469" t="n"/>
      <c r="H846" s="469" t="n"/>
      <c r="I846" s="469" t="n"/>
      <c r="J846" s="469" t="n"/>
      <c r="K846" s="469" t="n"/>
      <c r="L846" s="469" t="n"/>
      <c r="M846" s="469" t="n"/>
      <c r="N846" s="469" t="n"/>
      <c r="O846" s="469" t="n"/>
      <c r="P846" s="471" t="n"/>
      <c r="Q846" s="469" t="n"/>
      <c r="R846" s="469" t="n"/>
      <c r="S846" s="469" t="n"/>
      <c r="T846" s="469" t="n"/>
      <c r="U846" s="469" t="n"/>
      <c r="V846" s="469" t="n"/>
      <c r="W846" s="469" t="n"/>
      <c r="X846" s="469" t="n"/>
      <c r="Y846" s="469" t="n"/>
      <c r="Z846" s="469" t="n"/>
      <c r="AA846" s="469" t="n"/>
    </row>
    <row r="847">
      <c r="A847" s="468" t="n"/>
      <c r="B847" s="469" t="n"/>
      <c r="C847" s="469" t="n"/>
      <c r="D847" s="469" t="n"/>
      <c r="E847" s="469" t="n"/>
      <c r="F847" s="469" t="n"/>
      <c r="G847" s="469" t="n"/>
      <c r="H847" s="469" t="n"/>
      <c r="I847" s="469" t="n"/>
      <c r="J847" s="469" t="n"/>
      <c r="K847" s="469" t="n"/>
      <c r="L847" s="469" t="n"/>
      <c r="M847" s="469" t="n"/>
      <c r="N847" s="469" t="n"/>
      <c r="O847" s="469" t="n"/>
      <c r="P847" s="471" t="n"/>
      <c r="Q847" s="469" t="n"/>
      <c r="R847" s="469" t="n"/>
      <c r="S847" s="469" t="n"/>
      <c r="T847" s="469" t="n"/>
      <c r="U847" s="469" t="n"/>
      <c r="V847" s="469" t="n"/>
      <c r="W847" s="469" t="n"/>
      <c r="X847" s="469" t="n"/>
      <c r="Y847" s="469" t="n"/>
      <c r="Z847" s="469" t="n"/>
      <c r="AA847" s="469" t="n"/>
    </row>
    <row r="848">
      <c r="A848" s="468" t="n"/>
      <c r="B848" s="469" t="n"/>
      <c r="C848" s="469" t="n"/>
      <c r="D848" s="469" t="n"/>
      <c r="E848" s="469" t="n"/>
      <c r="F848" s="469" t="n"/>
      <c r="G848" s="469" t="n"/>
      <c r="H848" s="469" t="n"/>
      <c r="I848" s="469" t="n"/>
      <c r="J848" s="469" t="n"/>
      <c r="K848" s="469" t="n"/>
      <c r="L848" s="469" t="n"/>
      <c r="M848" s="469" t="n"/>
      <c r="N848" s="469" t="n"/>
      <c r="O848" s="469" t="n"/>
      <c r="P848" s="471" t="n"/>
      <c r="Q848" s="469" t="n"/>
      <c r="R848" s="469" t="n"/>
      <c r="S848" s="469" t="n"/>
      <c r="T848" s="469" t="n"/>
      <c r="U848" s="469" t="n"/>
      <c r="V848" s="469" t="n"/>
      <c r="W848" s="469" t="n"/>
      <c r="X848" s="469" t="n"/>
      <c r="Y848" s="469" t="n"/>
      <c r="Z848" s="469" t="n"/>
      <c r="AA848" s="469" t="n"/>
    </row>
    <row r="849">
      <c r="A849" s="468" t="n"/>
      <c r="B849" s="469" t="n"/>
      <c r="C849" s="469" t="n"/>
      <c r="D849" s="469" t="n"/>
      <c r="E849" s="469" t="n"/>
      <c r="F849" s="469" t="n"/>
      <c r="G849" s="469" t="n"/>
      <c r="H849" s="469" t="n"/>
      <c r="I849" s="469" t="n"/>
      <c r="J849" s="469" t="n"/>
      <c r="K849" s="469" t="n"/>
      <c r="L849" s="469" t="n"/>
      <c r="M849" s="469" t="n"/>
      <c r="N849" s="469" t="n"/>
      <c r="O849" s="469" t="n"/>
      <c r="P849" s="471" t="n"/>
      <c r="Q849" s="469" t="n"/>
      <c r="R849" s="469" t="n"/>
      <c r="S849" s="469" t="n"/>
      <c r="T849" s="469" t="n"/>
      <c r="U849" s="469" t="n"/>
      <c r="V849" s="469" t="n"/>
      <c r="W849" s="469" t="n"/>
      <c r="X849" s="469" t="n"/>
      <c r="Y849" s="469" t="n"/>
      <c r="Z849" s="469" t="n"/>
      <c r="AA849" s="469" t="n"/>
    </row>
    <row r="850">
      <c r="A850" s="468" t="n"/>
      <c r="B850" s="469" t="n"/>
      <c r="C850" s="469" t="n"/>
      <c r="D850" s="469" t="n"/>
      <c r="E850" s="469" t="n"/>
      <c r="F850" s="469" t="n"/>
      <c r="G850" s="469" t="n"/>
      <c r="H850" s="469" t="n"/>
      <c r="I850" s="469" t="n"/>
      <c r="J850" s="469" t="n"/>
      <c r="K850" s="469" t="n"/>
      <c r="L850" s="469" t="n"/>
      <c r="M850" s="469" t="n"/>
      <c r="N850" s="469" t="n"/>
      <c r="O850" s="469" t="n"/>
      <c r="P850" s="471" t="n"/>
      <c r="Q850" s="469" t="n"/>
      <c r="R850" s="469" t="n"/>
      <c r="S850" s="469" t="n"/>
      <c r="T850" s="469" t="n"/>
      <c r="U850" s="469" t="n"/>
      <c r="V850" s="469" t="n"/>
      <c r="W850" s="469" t="n"/>
      <c r="X850" s="469" t="n"/>
      <c r="Y850" s="469" t="n"/>
      <c r="Z850" s="469" t="n"/>
      <c r="AA850" s="469" t="n"/>
    </row>
    <row r="851">
      <c r="A851" s="468" t="n"/>
      <c r="B851" s="469" t="n"/>
      <c r="C851" s="469" t="n"/>
      <c r="D851" s="469" t="n"/>
      <c r="E851" s="469" t="n"/>
      <c r="F851" s="469" t="n"/>
      <c r="G851" s="469" t="n"/>
      <c r="H851" s="469" t="n"/>
      <c r="I851" s="469" t="n"/>
      <c r="J851" s="469" t="n"/>
      <c r="K851" s="469" t="n"/>
      <c r="L851" s="469" t="n"/>
      <c r="M851" s="469" t="n"/>
      <c r="N851" s="469" t="n"/>
      <c r="O851" s="469" t="n"/>
      <c r="P851" s="471" t="n"/>
      <c r="Q851" s="469" t="n"/>
      <c r="R851" s="469" t="n"/>
      <c r="S851" s="469" t="n"/>
      <c r="T851" s="469" t="n"/>
      <c r="U851" s="469" t="n"/>
      <c r="V851" s="469" t="n"/>
      <c r="W851" s="469" t="n"/>
      <c r="X851" s="469" t="n"/>
      <c r="Y851" s="469" t="n"/>
      <c r="Z851" s="469" t="n"/>
      <c r="AA851" s="469" t="n"/>
    </row>
    <row r="852">
      <c r="A852" s="468" t="n"/>
      <c r="B852" s="469" t="n"/>
      <c r="C852" s="469" t="n"/>
      <c r="D852" s="469" t="n"/>
      <c r="E852" s="469" t="n"/>
      <c r="F852" s="469" t="n"/>
      <c r="G852" s="469" t="n"/>
      <c r="H852" s="469" t="n"/>
      <c r="I852" s="469" t="n"/>
      <c r="J852" s="469" t="n"/>
      <c r="K852" s="469" t="n"/>
      <c r="L852" s="469" t="n"/>
      <c r="M852" s="469" t="n"/>
      <c r="N852" s="469" t="n"/>
      <c r="O852" s="469" t="n"/>
      <c r="P852" s="471" t="n"/>
      <c r="Q852" s="469" t="n"/>
      <c r="R852" s="469" t="n"/>
      <c r="S852" s="469" t="n"/>
      <c r="T852" s="469" t="n"/>
      <c r="U852" s="469" t="n"/>
      <c r="V852" s="469" t="n"/>
      <c r="W852" s="469" t="n"/>
      <c r="X852" s="469" t="n"/>
      <c r="Y852" s="469" t="n"/>
      <c r="Z852" s="469" t="n"/>
      <c r="AA852" s="469" t="n"/>
    </row>
    <row r="853">
      <c r="A853" s="468" t="n"/>
      <c r="B853" s="469" t="n"/>
      <c r="C853" s="469" t="n"/>
      <c r="D853" s="469" t="n"/>
      <c r="E853" s="469" t="n"/>
      <c r="F853" s="469" t="n"/>
      <c r="G853" s="469" t="n"/>
      <c r="H853" s="469" t="n"/>
      <c r="I853" s="469" t="n"/>
      <c r="J853" s="469" t="n"/>
      <c r="K853" s="469" t="n"/>
      <c r="L853" s="469" t="n"/>
      <c r="M853" s="469" t="n"/>
      <c r="N853" s="469" t="n"/>
      <c r="O853" s="469" t="n"/>
      <c r="P853" s="471" t="n"/>
      <c r="Q853" s="469" t="n"/>
      <c r="R853" s="469" t="n"/>
      <c r="S853" s="469" t="n"/>
      <c r="T853" s="469" t="n"/>
      <c r="U853" s="469" t="n"/>
      <c r="V853" s="469" t="n"/>
      <c r="W853" s="469" t="n"/>
      <c r="X853" s="469" t="n"/>
      <c r="Y853" s="469" t="n"/>
      <c r="Z853" s="469" t="n"/>
      <c r="AA853" s="469" t="n"/>
    </row>
    <row r="854">
      <c r="A854" s="468" t="n"/>
      <c r="B854" s="469" t="n"/>
      <c r="C854" s="469" t="n"/>
      <c r="D854" s="469" t="n"/>
      <c r="E854" s="469" t="n"/>
      <c r="F854" s="469" t="n"/>
      <c r="G854" s="469" t="n"/>
      <c r="H854" s="469" t="n"/>
      <c r="I854" s="469" t="n"/>
      <c r="J854" s="469" t="n"/>
      <c r="K854" s="469" t="n"/>
      <c r="L854" s="469" t="n"/>
      <c r="M854" s="469" t="n"/>
      <c r="N854" s="469" t="n"/>
      <c r="O854" s="469" t="n"/>
      <c r="P854" s="471" t="n"/>
      <c r="Q854" s="469" t="n"/>
      <c r="R854" s="469" t="n"/>
      <c r="S854" s="469" t="n"/>
      <c r="T854" s="469" t="n"/>
      <c r="U854" s="469" t="n"/>
      <c r="V854" s="469" t="n"/>
      <c r="W854" s="469" t="n"/>
      <c r="X854" s="469" t="n"/>
      <c r="Y854" s="469" t="n"/>
      <c r="Z854" s="469" t="n"/>
      <c r="AA854" s="469" t="n"/>
    </row>
    <row r="855">
      <c r="A855" s="468" t="n"/>
      <c r="B855" s="469" t="n"/>
      <c r="C855" s="469" t="n"/>
      <c r="D855" s="469" t="n"/>
      <c r="E855" s="469" t="n"/>
      <c r="F855" s="469" t="n"/>
      <c r="G855" s="469" t="n"/>
      <c r="H855" s="469" t="n"/>
      <c r="I855" s="469" t="n"/>
      <c r="J855" s="469" t="n"/>
      <c r="K855" s="469" t="n"/>
      <c r="L855" s="469" t="n"/>
      <c r="M855" s="469" t="n"/>
      <c r="N855" s="469" t="n"/>
      <c r="O855" s="469" t="n"/>
      <c r="P855" s="471" t="n"/>
      <c r="Q855" s="469" t="n"/>
      <c r="R855" s="469" t="n"/>
      <c r="S855" s="469" t="n"/>
      <c r="T855" s="469" t="n"/>
      <c r="U855" s="469" t="n"/>
      <c r="V855" s="469" t="n"/>
      <c r="W855" s="469" t="n"/>
      <c r="X855" s="469" t="n"/>
      <c r="Y855" s="469" t="n"/>
      <c r="Z855" s="469" t="n"/>
      <c r="AA855" s="469" t="n"/>
    </row>
    <row r="856">
      <c r="A856" s="468" t="n"/>
      <c r="B856" s="469" t="n"/>
      <c r="C856" s="469" t="n"/>
      <c r="D856" s="469" t="n"/>
      <c r="E856" s="469" t="n"/>
      <c r="F856" s="469" t="n"/>
      <c r="G856" s="469" t="n"/>
      <c r="H856" s="469" t="n"/>
      <c r="I856" s="469" t="n"/>
      <c r="J856" s="469" t="n"/>
      <c r="K856" s="469" t="n"/>
      <c r="L856" s="469" t="n"/>
      <c r="M856" s="469" t="n"/>
      <c r="N856" s="469" t="n"/>
      <c r="O856" s="469" t="n"/>
      <c r="P856" s="471" t="n"/>
      <c r="Q856" s="469" t="n"/>
      <c r="R856" s="469" t="n"/>
      <c r="S856" s="469" t="n"/>
      <c r="T856" s="469" t="n"/>
      <c r="U856" s="469" t="n"/>
      <c r="V856" s="469" t="n"/>
      <c r="W856" s="469" t="n"/>
      <c r="X856" s="469" t="n"/>
      <c r="Y856" s="469" t="n"/>
      <c r="Z856" s="469" t="n"/>
      <c r="AA856" s="469" t="n"/>
    </row>
    <row r="857">
      <c r="A857" s="468" t="n"/>
      <c r="B857" s="469" t="n"/>
      <c r="C857" s="469" t="n"/>
      <c r="D857" s="469" t="n"/>
      <c r="E857" s="469" t="n"/>
      <c r="F857" s="469" t="n"/>
      <c r="G857" s="469" t="n"/>
      <c r="H857" s="469" t="n"/>
      <c r="I857" s="469" t="n"/>
      <c r="J857" s="469" t="n"/>
      <c r="K857" s="469" t="n"/>
      <c r="L857" s="469" t="n"/>
      <c r="M857" s="469" t="n"/>
      <c r="N857" s="469" t="n"/>
      <c r="O857" s="469" t="n"/>
      <c r="P857" s="471" t="n"/>
      <c r="Q857" s="469" t="n"/>
      <c r="R857" s="469" t="n"/>
      <c r="S857" s="469" t="n"/>
      <c r="T857" s="469" t="n"/>
      <c r="U857" s="469" t="n"/>
      <c r="V857" s="469" t="n"/>
      <c r="W857" s="469" t="n"/>
      <c r="X857" s="469" t="n"/>
      <c r="Y857" s="469" t="n"/>
      <c r="Z857" s="469" t="n"/>
      <c r="AA857" s="469" t="n"/>
    </row>
    <row r="858">
      <c r="A858" s="468" t="n"/>
      <c r="B858" s="469" t="n"/>
      <c r="C858" s="469" t="n"/>
      <c r="D858" s="469" t="n"/>
      <c r="E858" s="469" t="n"/>
      <c r="F858" s="469" t="n"/>
      <c r="G858" s="469" t="n"/>
      <c r="H858" s="469" t="n"/>
      <c r="I858" s="469" t="n"/>
      <c r="J858" s="469" t="n"/>
      <c r="K858" s="469" t="n"/>
      <c r="L858" s="469" t="n"/>
      <c r="M858" s="469" t="n"/>
      <c r="N858" s="469" t="n"/>
      <c r="O858" s="469" t="n"/>
      <c r="P858" s="471" t="n"/>
      <c r="Q858" s="469" t="n"/>
      <c r="R858" s="469" t="n"/>
      <c r="S858" s="469" t="n"/>
      <c r="T858" s="469" t="n"/>
      <c r="U858" s="469" t="n"/>
      <c r="V858" s="469" t="n"/>
      <c r="W858" s="469" t="n"/>
      <c r="X858" s="469" t="n"/>
      <c r="Y858" s="469" t="n"/>
      <c r="Z858" s="469" t="n"/>
      <c r="AA858" s="469" t="n"/>
    </row>
    <row r="859">
      <c r="A859" s="468" t="n"/>
      <c r="B859" s="469" t="n"/>
      <c r="C859" s="469" t="n"/>
      <c r="D859" s="469" t="n"/>
      <c r="E859" s="469" t="n"/>
      <c r="F859" s="469" t="n"/>
      <c r="G859" s="469" t="n"/>
      <c r="H859" s="469" t="n"/>
      <c r="I859" s="469" t="n"/>
      <c r="J859" s="469" t="n"/>
      <c r="K859" s="469" t="n"/>
      <c r="L859" s="469" t="n"/>
      <c r="M859" s="469" t="n"/>
      <c r="N859" s="469" t="n"/>
      <c r="O859" s="469" t="n"/>
      <c r="P859" s="471" t="n"/>
      <c r="Q859" s="469" t="n"/>
      <c r="R859" s="469" t="n"/>
      <c r="S859" s="469" t="n"/>
      <c r="T859" s="469" t="n"/>
      <c r="U859" s="469" t="n"/>
      <c r="V859" s="469" t="n"/>
      <c r="W859" s="469" t="n"/>
      <c r="X859" s="469" t="n"/>
      <c r="Y859" s="469" t="n"/>
      <c r="Z859" s="469" t="n"/>
      <c r="AA859" s="469" t="n"/>
    </row>
    <row r="860">
      <c r="A860" s="468" t="n"/>
      <c r="B860" s="469" t="n"/>
      <c r="C860" s="469" t="n"/>
      <c r="D860" s="469" t="n"/>
      <c r="E860" s="469" t="n"/>
      <c r="F860" s="469" t="n"/>
      <c r="G860" s="469" t="n"/>
      <c r="H860" s="469" t="n"/>
      <c r="I860" s="469" t="n"/>
      <c r="J860" s="469" t="n"/>
      <c r="K860" s="469" t="n"/>
      <c r="L860" s="469" t="n"/>
      <c r="M860" s="469" t="n"/>
      <c r="N860" s="469" t="n"/>
      <c r="O860" s="469" t="n"/>
      <c r="P860" s="471" t="n"/>
      <c r="Q860" s="469" t="n"/>
      <c r="R860" s="469" t="n"/>
      <c r="S860" s="469" t="n"/>
      <c r="T860" s="469" t="n"/>
      <c r="U860" s="469" t="n"/>
      <c r="V860" s="469" t="n"/>
      <c r="W860" s="469" t="n"/>
      <c r="X860" s="469" t="n"/>
      <c r="Y860" s="469" t="n"/>
      <c r="Z860" s="469" t="n"/>
      <c r="AA860" s="469" t="n"/>
    </row>
    <row r="861">
      <c r="A861" s="468" t="n"/>
      <c r="B861" s="469" t="n"/>
      <c r="C861" s="469" t="n"/>
      <c r="D861" s="469" t="n"/>
      <c r="E861" s="469" t="n"/>
      <c r="F861" s="469" t="n"/>
      <c r="G861" s="469" t="n"/>
      <c r="H861" s="469" t="n"/>
      <c r="I861" s="469" t="n"/>
      <c r="J861" s="469" t="n"/>
      <c r="K861" s="469" t="n"/>
      <c r="L861" s="469" t="n"/>
      <c r="M861" s="469" t="n"/>
      <c r="N861" s="469" t="n"/>
      <c r="O861" s="469" t="n"/>
      <c r="P861" s="471" t="n"/>
      <c r="Q861" s="469" t="n"/>
      <c r="R861" s="469" t="n"/>
      <c r="S861" s="469" t="n"/>
      <c r="T861" s="469" t="n"/>
      <c r="U861" s="469" t="n"/>
      <c r="V861" s="469" t="n"/>
      <c r="W861" s="469" t="n"/>
      <c r="X861" s="469" t="n"/>
      <c r="Y861" s="469" t="n"/>
      <c r="Z861" s="469" t="n"/>
      <c r="AA861" s="469" t="n"/>
    </row>
    <row r="862">
      <c r="A862" s="468" t="n"/>
      <c r="B862" s="469" t="n"/>
      <c r="C862" s="469" t="n"/>
      <c r="D862" s="469" t="n"/>
      <c r="E862" s="469" t="n"/>
      <c r="F862" s="469" t="n"/>
      <c r="G862" s="469" t="n"/>
      <c r="H862" s="469" t="n"/>
      <c r="I862" s="469" t="n"/>
      <c r="J862" s="469" t="n"/>
      <c r="K862" s="469" t="n"/>
      <c r="L862" s="469" t="n"/>
      <c r="M862" s="469" t="n"/>
      <c r="N862" s="469" t="n"/>
      <c r="O862" s="469" t="n"/>
      <c r="P862" s="471" t="n"/>
      <c r="Q862" s="469" t="n"/>
      <c r="R862" s="469" t="n"/>
      <c r="S862" s="469" t="n"/>
      <c r="T862" s="469" t="n"/>
      <c r="U862" s="469" t="n"/>
      <c r="V862" s="469" t="n"/>
      <c r="W862" s="469" t="n"/>
      <c r="X862" s="469" t="n"/>
      <c r="Y862" s="469" t="n"/>
      <c r="Z862" s="469" t="n"/>
      <c r="AA862" s="469" t="n"/>
    </row>
    <row r="863">
      <c r="A863" s="468" t="n"/>
      <c r="B863" s="469" t="n"/>
      <c r="C863" s="469" t="n"/>
      <c r="D863" s="469" t="n"/>
      <c r="E863" s="469" t="n"/>
      <c r="F863" s="469" t="n"/>
      <c r="G863" s="469" t="n"/>
      <c r="H863" s="469" t="n"/>
      <c r="I863" s="469" t="n"/>
      <c r="J863" s="469" t="n"/>
      <c r="K863" s="469" t="n"/>
      <c r="L863" s="469" t="n"/>
      <c r="M863" s="469" t="n"/>
      <c r="N863" s="469" t="n"/>
      <c r="O863" s="469" t="n"/>
      <c r="P863" s="471" t="n"/>
      <c r="Q863" s="469" t="n"/>
      <c r="R863" s="469" t="n"/>
      <c r="S863" s="469" t="n"/>
      <c r="T863" s="469" t="n"/>
      <c r="U863" s="469" t="n"/>
      <c r="V863" s="469" t="n"/>
      <c r="W863" s="469" t="n"/>
      <c r="X863" s="469" t="n"/>
      <c r="Y863" s="469" t="n"/>
      <c r="Z863" s="469" t="n"/>
      <c r="AA863" s="469" t="n"/>
    </row>
    <row r="864">
      <c r="A864" s="468" t="n"/>
      <c r="B864" s="469" t="n"/>
      <c r="C864" s="469" t="n"/>
      <c r="D864" s="469" t="n"/>
      <c r="E864" s="469" t="n"/>
      <c r="F864" s="469" t="n"/>
      <c r="G864" s="469" t="n"/>
      <c r="H864" s="469" t="n"/>
      <c r="I864" s="469" t="n"/>
      <c r="J864" s="469" t="n"/>
      <c r="K864" s="469" t="n"/>
      <c r="L864" s="469" t="n"/>
      <c r="M864" s="469" t="n"/>
      <c r="N864" s="469" t="n"/>
      <c r="O864" s="469" t="n"/>
      <c r="P864" s="471" t="n"/>
      <c r="Q864" s="469" t="n"/>
      <c r="R864" s="469" t="n"/>
      <c r="S864" s="469" t="n"/>
      <c r="T864" s="469" t="n"/>
      <c r="U864" s="469" t="n"/>
      <c r="V864" s="469" t="n"/>
      <c r="W864" s="469" t="n"/>
      <c r="X864" s="469" t="n"/>
      <c r="Y864" s="469" t="n"/>
      <c r="Z864" s="469" t="n"/>
      <c r="AA864" s="469" t="n"/>
    </row>
    <row r="865">
      <c r="A865" s="468" t="n"/>
      <c r="B865" s="469" t="n"/>
      <c r="C865" s="469" t="n"/>
      <c r="D865" s="469" t="n"/>
      <c r="E865" s="469" t="n"/>
      <c r="F865" s="469" t="n"/>
      <c r="G865" s="469" t="n"/>
      <c r="H865" s="469" t="n"/>
      <c r="I865" s="469" t="n"/>
      <c r="J865" s="469" t="n"/>
      <c r="K865" s="469" t="n"/>
      <c r="L865" s="469" t="n"/>
      <c r="M865" s="469" t="n"/>
      <c r="N865" s="469" t="n"/>
      <c r="O865" s="469" t="n"/>
      <c r="P865" s="471" t="n"/>
      <c r="Q865" s="469" t="n"/>
      <c r="R865" s="469" t="n"/>
      <c r="S865" s="469" t="n"/>
      <c r="T865" s="469" t="n"/>
      <c r="U865" s="469" t="n"/>
      <c r="V865" s="469" t="n"/>
      <c r="W865" s="469" t="n"/>
      <c r="X865" s="469" t="n"/>
      <c r="Y865" s="469" t="n"/>
      <c r="Z865" s="469" t="n"/>
      <c r="AA865" s="469" t="n"/>
    </row>
    <row r="866">
      <c r="A866" s="468" t="n"/>
      <c r="B866" s="469" t="n"/>
      <c r="C866" s="469" t="n"/>
      <c r="D866" s="469" t="n"/>
      <c r="E866" s="469" t="n"/>
      <c r="F866" s="469" t="n"/>
      <c r="G866" s="469" t="n"/>
      <c r="H866" s="469" t="n"/>
      <c r="I866" s="469" t="n"/>
      <c r="J866" s="469" t="n"/>
      <c r="K866" s="469" t="n"/>
      <c r="L866" s="469" t="n"/>
      <c r="M866" s="469" t="n"/>
      <c r="N866" s="469" t="n"/>
      <c r="O866" s="469" t="n"/>
      <c r="P866" s="471" t="n"/>
      <c r="Q866" s="469" t="n"/>
      <c r="R866" s="469" t="n"/>
      <c r="S866" s="469" t="n"/>
      <c r="T866" s="469" t="n"/>
      <c r="U866" s="469" t="n"/>
      <c r="V866" s="469" t="n"/>
      <c r="W866" s="469" t="n"/>
      <c r="X866" s="469" t="n"/>
      <c r="Y866" s="469" t="n"/>
      <c r="Z866" s="469" t="n"/>
      <c r="AA866" s="469" t="n"/>
    </row>
    <row r="867">
      <c r="A867" s="468" t="n"/>
      <c r="B867" s="469" t="n"/>
      <c r="C867" s="469" t="n"/>
      <c r="D867" s="469" t="n"/>
      <c r="E867" s="469" t="n"/>
      <c r="F867" s="469" t="n"/>
      <c r="G867" s="469" t="n"/>
      <c r="H867" s="469" t="n"/>
      <c r="I867" s="469" t="n"/>
      <c r="J867" s="469" t="n"/>
      <c r="K867" s="469" t="n"/>
      <c r="L867" s="469" t="n"/>
      <c r="M867" s="469" t="n"/>
      <c r="N867" s="469" t="n"/>
      <c r="O867" s="469" t="n"/>
      <c r="P867" s="471" t="n"/>
      <c r="Q867" s="469" t="n"/>
      <c r="R867" s="469" t="n"/>
      <c r="S867" s="469" t="n"/>
      <c r="T867" s="469" t="n"/>
      <c r="U867" s="469" t="n"/>
      <c r="V867" s="469" t="n"/>
      <c r="W867" s="469" t="n"/>
      <c r="X867" s="469" t="n"/>
      <c r="Y867" s="469" t="n"/>
      <c r="Z867" s="469" t="n"/>
      <c r="AA867" s="469" t="n"/>
    </row>
    <row r="868">
      <c r="A868" s="468" t="n"/>
      <c r="B868" s="469" t="n"/>
      <c r="C868" s="469" t="n"/>
      <c r="D868" s="469" t="n"/>
      <c r="E868" s="469" t="n"/>
      <c r="F868" s="469" t="n"/>
      <c r="G868" s="469" t="n"/>
      <c r="H868" s="469" t="n"/>
      <c r="I868" s="469" t="n"/>
      <c r="J868" s="469" t="n"/>
      <c r="K868" s="469" t="n"/>
      <c r="L868" s="469" t="n"/>
      <c r="M868" s="469" t="n"/>
      <c r="N868" s="469" t="n"/>
      <c r="O868" s="469" t="n"/>
      <c r="P868" s="471" t="n"/>
      <c r="Q868" s="469" t="n"/>
      <c r="R868" s="469" t="n"/>
      <c r="S868" s="469" t="n"/>
      <c r="T868" s="469" t="n"/>
      <c r="U868" s="469" t="n"/>
      <c r="V868" s="469" t="n"/>
      <c r="W868" s="469" t="n"/>
      <c r="X868" s="469" t="n"/>
      <c r="Y868" s="469" t="n"/>
      <c r="Z868" s="469" t="n"/>
      <c r="AA868" s="469" t="n"/>
    </row>
    <row r="869">
      <c r="A869" s="468" t="n"/>
      <c r="B869" s="469" t="n"/>
      <c r="C869" s="469" t="n"/>
      <c r="D869" s="469" t="n"/>
      <c r="E869" s="469" t="n"/>
      <c r="F869" s="469" t="n"/>
      <c r="G869" s="469" t="n"/>
      <c r="H869" s="469" t="n"/>
      <c r="I869" s="469" t="n"/>
      <c r="J869" s="469" t="n"/>
      <c r="K869" s="469" t="n"/>
      <c r="L869" s="469" t="n"/>
      <c r="M869" s="469" t="n"/>
      <c r="N869" s="469" t="n"/>
      <c r="O869" s="469" t="n"/>
      <c r="P869" s="471" t="n"/>
      <c r="Q869" s="469" t="n"/>
      <c r="R869" s="469" t="n"/>
      <c r="S869" s="469" t="n"/>
      <c r="T869" s="469" t="n"/>
      <c r="U869" s="469" t="n"/>
      <c r="V869" s="469" t="n"/>
      <c r="W869" s="469" t="n"/>
      <c r="X869" s="469" t="n"/>
      <c r="Y869" s="469" t="n"/>
      <c r="Z869" s="469" t="n"/>
      <c r="AA869" s="469" t="n"/>
    </row>
    <row r="870">
      <c r="A870" s="468" t="n"/>
      <c r="B870" s="469" t="n"/>
      <c r="C870" s="469" t="n"/>
      <c r="D870" s="469" t="n"/>
      <c r="E870" s="469" t="n"/>
      <c r="F870" s="469" t="n"/>
      <c r="G870" s="469" t="n"/>
      <c r="H870" s="469" t="n"/>
      <c r="I870" s="469" t="n"/>
      <c r="J870" s="469" t="n"/>
      <c r="K870" s="469" t="n"/>
      <c r="L870" s="469" t="n"/>
      <c r="M870" s="469" t="n"/>
      <c r="N870" s="469" t="n"/>
      <c r="O870" s="469" t="n"/>
      <c r="P870" s="471" t="n"/>
      <c r="Q870" s="469" t="n"/>
      <c r="R870" s="469" t="n"/>
      <c r="S870" s="469" t="n"/>
      <c r="T870" s="469" t="n"/>
      <c r="U870" s="469" t="n"/>
      <c r="V870" s="469" t="n"/>
      <c r="W870" s="469" t="n"/>
      <c r="X870" s="469" t="n"/>
      <c r="Y870" s="469" t="n"/>
      <c r="Z870" s="469" t="n"/>
      <c r="AA870" s="469" t="n"/>
    </row>
    <row r="871">
      <c r="A871" s="468" t="n"/>
      <c r="B871" s="469" t="n"/>
      <c r="C871" s="469" t="n"/>
      <c r="D871" s="469" t="n"/>
      <c r="E871" s="469" t="n"/>
      <c r="F871" s="469" t="n"/>
      <c r="G871" s="469" t="n"/>
      <c r="H871" s="469" t="n"/>
      <c r="I871" s="469" t="n"/>
      <c r="J871" s="469" t="n"/>
      <c r="K871" s="469" t="n"/>
      <c r="L871" s="469" t="n"/>
      <c r="M871" s="469" t="n"/>
      <c r="N871" s="469" t="n"/>
      <c r="O871" s="469" t="n"/>
      <c r="P871" s="471" t="n"/>
      <c r="Q871" s="469" t="n"/>
      <c r="R871" s="469" t="n"/>
      <c r="S871" s="469" t="n"/>
      <c r="T871" s="469" t="n"/>
      <c r="U871" s="469" t="n"/>
      <c r="V871" s="469" t="n"/>
      <c r="W871" s="469" t="n"/>
      <c r="X871" s="469" t="n"/>
      <c r="Y871" s="469" t="n"/>
      <c r="Z871" s="469" t="n"/>
      <c r="AA871" s="469" t="n"/>
    </row>
    <row r="872">
      <c r="A872" s="468" t="n"/>
      <c r="B872" s="469" t="n"/>
      <c r="C872" s="469" t="n"/>
      <c r="D872" s="469" t="n"/>
      <c r="E872" s="469" t="n"/>
      <c r="F872" s="469" t="n"/>
      <c r="G872" s="469" t="n"/>
      <c r="H872" s="469" t="n"/>
      <c r="I872" s="469" t="n"/>
      <c r="J872" s="469" t="n"/>
      <c r="K872" s="469" t="n"/>
      <c r="L872" s="469" t="n"/>
      <c r="M872" s="469" t="n"/>
      <c r="N872" s="469" t="n"/>
      <c r="O872" s="469" t="n"/>
      <c r="P872" s="471" t="n"/>
      <c r="Q872" s="469" t="n"/>
      <c r="R872" s="469" t="n"/>
      <c r="S872" s="469" t="n"/>
      <c r="T872" s="469" t="n"/>
      <c r="U872" s="469" t="n"/>
      <c r="V872" s="469" t="n"/>
      <c r="W872" s="469" t="n"/>
      <c r="X872" s="469" t="n"/>
      <c r="Y872" s="469" t="n"/>
      <c r="Z872" s="469" t="n"/>
      <c r="AA872" s="469" t="n"/>
    </row>
    <row r="873">
      <c r="A873" s="468" t="n"/>
      <c r="B873" s="469" t="n"/>
      <c r="C873" s="469" t="n"/>
      <c r="D873" s="469" t="n"/>
      <c r="E873" s="469" t="n"/>
      <c r="F873" s="469" t="n"/>
      <c r="G873" s="469" t="n"/>
      <c r="H873" s="469" t="n"/>
      <c r="I873" s="469" t="n"/>
      <c r="J873" s="469" t="n"/>
      <c r="K873" s="469" t="n"/>
      <c r="L873" s="469" t="n"/>
      <c r="M873" s="469" t="n"/>
      <c r="N873" s="469" t="n"/>
      <c r="O873" s="469" t="n"/>
      <c r="P873" s="471" t="n"/>
      <c r="Q873" s="469" t="n"/>
      <c r="R873" s="469" t="n"/>
      <c r="S873" s="469" t="n"/>
      <c r="T873" s="469" t="n"/>
      <c r="U873" s="469" t="n"/>
      <c r="V873" s="469" t="n"/>
      <c r="W873" s="469" t="n"/>
      <c r="X873" s="469" t="n"/>
      <c r="Y873" s="469" t="n"/>
      <c r="Z873" s="469" t="n"/>
      <c r="AA873" s="469" t="n"/>
    </row>
    <row r="874">
      <c r="A874" s="468" t="n"/>
      <c r="B874" s="469" t="n"/>
      <c r="C874" s="469" t="n"/>
      <c r="D874" s="469" t="n"/>
      <c r="E874" s="469" t="n"/>
      <c r="F874" s="469" t="n"/>
      <c r="G874" s="469" t="n"/>
      <c r="H874" s="469" t="n"/>
      <c r="I874" s="469" t="n"/>
      <c r="J874" s="469" t="n"/>
      <c r="K874" s="469" t="n"/>
      <c r="L874" s="469" t="n"/>
      <c r="M874" s="469" t="n"/>
      <c r="N874" s="469" t="n"/>
      <c r="O874" s="469" t="n"/>
      <c r="P874" s="471" t="n"/>
      <c r="Q874" s="469" t="n"/>
      <c r="R874" s="469" t="n"/>
      <c r="S874" s="469" t="n"/>
      <c r="T874" s="469" t="n"/>
      <c r="U874" s="469" t="n"/>
      <c r="V874" s="469" t="n"/>
      <c r="W874" s="469" t="n"/>
      <c r="X874" s="469" t="n"/>
      <c r="Y874" s="469" t="n"/>
      <c r="Z874" s="469" t="n"/>
      <c r="AA874" s="469" t="n"/>
    </row>
    <row r="875">
      <c r="A875" s="468" t="n"/>
      <c r="B875" s="469" t="n"/>
      <c r="C875" s="469" t="n"/>
      <c r="D875" s="469" t="n"/>
      <c r="E875" s="469" t="n"/>
      <c r="F875" s="469" t="n"/>
      <c r="G875" s="469" t="n"/>
      <c r="H875" s="469" t="n"/>
      <c r="I875" s="469" t="n"/>
      <c r="J875" s="469" t="n"/>
      <c r="K875" s="469" t="n"/>
      <c r="L875" s="469" t="n"/>
      <c r="M875" s="469" t="n"/>
      <c r="N875" s="469" t="n"/>
      <c r="O875" s="469" t="n"/>
      <c r="P875" s="471" t="n"/>
      <c r="Q875" s="469" t="n"/>
      <c r="R875" s="469" t="n"/>
      <c r="S875" s="469" t="n"/>
      <c r="T875" s="469" t="n"/>
      <c r="U875" s="469" t="n"/>
      <c r="V875" s="469" t="n"/>
      <c r="W875" s="469" t="n"/>
      <c r="X875" s="469" t="n"/>
      <c r="Y875" s="469" t="n"/>
      <c r="Z875" s="469" t="n"/>
      <c r="AA875" s="469" t="n"/>
    </row>
    <row r="876">
      <c r="A876" s="468" t="n"/>
      <c r="B876" s="469" t="n"/>
      <c r="C876" s="469" t="n"/>
      <c r="D876" s="469" t="n"/>
      <c r="E876" s="469" t="n"/>
      <c r="F876" s="469" t="n"/>
      <c r="G876" s="469" t="n"/>
      <c r="H876" s="469" t="n"/>
      <c r="I876" s="469" t="n"/>
      <c r="J876" s="469" t="n"/>
      <c r="K876" s="469" t="n"/>
      <c r="L876" s="469" t="n"/>
      <c r="M876" s="469" t="n"/>
      <c r="N876" s="469" t="n"/>
      <c r="O876" s="469" t="n"/>
      <c r="P876" s="471" t="n"/>
      <c r="Q876" s="469" t="n"/>
      <c r="R876" s="469" t="n"/>
      <c r="S876" s="469" t="n"/>
      <c r="T876" s="469" t="n"/>
      <c r="U876" s="469" t="n"/>
      <c r="V876" s="469" t="n"/>
      <c r="W876" s="469" t="n"/>
      <c r="X876" s="469" t="n"/>
      <c r="Y876" s="469" t="n"/>
      <c r="Z876" s="469" t="n"/>
      <c r="AA876" s="469" t="n"/>
    </row>
    <row r="877">
      <c r="A877" s="468" t="n"/>
      <c r="B877" s="469" t="n"/>
      <c r="C877" s="469" t="n"/>
      <c r="D877" s="469" t="n"/>
      <c r="E877" s="469" t="n"/>
      <c r="F877" s="469" t="n"/>
      <c r="G877" s="469" t="n"/>
      <c r="H877" s="469" t="n"/>
      <c r="I877" s="469" t="n"/>
      <c r="J877" s="469" t="n"/>
      <c r="K877" s="469" t="n"/>
      <c r="L877" s="469" t="n"/>
      <c r="M877" s="469" t="n"/>
      <c r="N877" s="469" t="n"/>
      <c r="O877" s="469" t="n"/>
      <c r="P877" s="471" t="n"/>
      <c r="Q877" s="469" t="n"/>
      <c r="R877" s="469" t="n"/>
      <c r="S877" s="469" t="n"/>
      <c r="T877" s="469" t="n"/>
      <c r="U877" s="469" t="n"/>
      <c r="V877" s="469" t="n"/>
      <c r="W877" s="469" t="n"/>
      <c r="X877" s="469" t="n"/>
      <c r="Y877" s="469" t="n"/>
      <c r="Z877" s="469" t="n"/>
      <c r="AA877" s="469" t="n"/>
    </row>
    <row r="878">
      <c r="A878" s="468" t="n"/>
      <c r="B878" s="469" t="n"/>
      <c r="C878" s="469" t="n"/>
      <c r="D878" s="469" t="n"/>
      <c r="E878" s="469" t="n"/>
      <c r="F878" s="469" t="n"/>
      <c r="G878" s="469" t="n"/>
      <c r="H878" s="469" t="n"/>
      <c r="I878" s="469" t="n"/>
      <c r="J878" s="469" t="n"/>
      <c r="K878" s="469" t="n"/>
      <c r="L878" s="469" t="n"/>
      <c r="M878" s="469" t="n"/>
      <c r="N878" s="469" t="n"/>
      <c r="O878" s="469" t="n"/>
      <c r="P878" s="471" t="n"/>
      <c r="Q878" s="469" t="n"/>
      <c r="R878" s="469" t="n"/>
      <c r="S878" s="469" t="n"/>
      <c r="T878" s="469" t="n"/>
      <c r="U878" s="469" t="n"/>
      <c r="V878" s="469" t="n"/>
      <c r="W878" s="469" t="n"/>
      <c r="X878" s="469" t="n"/>
      <c r="Y878" s="469" t="n"/>
      <c r="Z878" s="469" t="n"/>
      <c r="AA878" s="469" t="n"/>
    </row>
    <row r="879">
      <c r="A879" s="468" t="n"/>
      <c r="B879" s="469" t="n"/>
      <c r="C879" s="469" t="n"/>
      <c r="D879" s="469" t="n"/>
      <c r="E879" s="469" t="n"/>
      <c r="F879" s="469" t="n"/>
      <c r="G879" s="469" t="n"/>
      <c r="H879" s="469" t="n"/>
      <c r="I879" s="469" t="n"/>
      <c r="J879" s="469" t="n"/>
      <c r="K879" s="469" t="n"/>
      <c r="L879" s="469" t="n"/>
      <c r="M879" s="469" t="n"/>
      <c r="N879" s="469" t="n"/>
      <c r="O879" s="469" t="n"/>
      <c r="P879" s="471" t="n"/>
      <c r="Q879" s="469" t="n"/>
      <c r="R879" s="469" t="n"/>
      <c r="S879" s="469" t="n"/>
      <c r="T879" s="469" t="n"/>
      <c r="U879" s="469" t="n"/>
      <c r="V879" s="469" t="n"/>
      <c r="W879" s="469" t="n"/>
      <c r="X879" s="469" t="n"/>
      <c r="Y879" s="469" t="n"/>
      <c r="Z879" s="469" t="n"/>
      <c r="AA879" s="469" t="n"/>
    </row>
    <row r="880">
      <c r="A880" s="468" t="n"/>
      <c r="B880" s="469" t="n"/>
      <c r="C880" s="469" t="n"/>
      <c r="D880" s="469" t="n"/>
      <c r="E880" s="469" t="n"/>
      <c r="F880" s="469" t="n"/>
      <c r="G880" s="469" t="n"/>
      <c r="H880" s="469" t="n"/>
      <c r="I880" s="469" t="n"/>
      <c r="J880" s="469" t="n"/>
      <c r="K880" s="469" t="n"/>
      <c r="L880" s="469" t="n"/>
      <c r="M880" s="469" t="n"/>
      <c r="N880" s="469" t="n"/>
      <c r="O880" s="469" t="n"/>
      <c r="P880" s="471" t="n"/>
      <c r="Q880" s="469" t="n"/>
      <c r="R880" s="469" t="n"/>
      <c r="S880" s="469" t="n"/>
      <c r="T880" s="469" t="n"/>
      <c r="U880" s="469" t="n"/>
      <c r="V880" s="469" t="n"/>
      <c r="W880" s="469" t="n"/>
      <c r="X880" s="469" t="n"/>
      <c r="Y880" s="469" t="n"/>
      <c r="Z880" s="469" t="n"/>
      <c r="AA880" s="469" t="n"/>
    </row>
    <row r="881">
      <c r="A881" s="468" t="n"/>
      <c r="B881" s="469" t="n"/>
      <c r="C881" s="469" t="n"/>
      <c r="D881" s="469" t="n"/>
      <c r="E881" s="469" t="n"/>
      <c r="F881" s="469" t="n"/>
      <c r="G881" s="469" t="n"/>
      <c r="H881" s="469" t="n"/>
      <c r="I881" s="469" t="n"/>
      <c r="J881" s="469" t="n"/>
      <c r="K881" s="469" t="n"/>
      <c r="L881" s="469" t="n"/>
      <c r="M881" s="469" t="n"/>
      <c r="N881" s="469" t="n"/>
      <c r="O881" s="469" t="n"/>
      <c r="P881" s="471" t="n"/>
      <c r="Q881" s="469" t="n"/>
      <c r="R881" s="469" t="n"/>
      <c r="S881" s="469" t="n"/>
      <c r="T881" s="469" t="n"/>
      <c r="U881" s="469" t="n"/>
      <c r="V881" s="469" t="n"/>
      <c r="W881" s="469" t="n"/>
      <c r="X881" s="469" t="n"/>
      <c r="Y881" s="469" t="n"/>
      <c r="Z881" s="469" t="n"/>
      <c r="AA881" s="469" t="n"/>
    </row>
    <row r="882">
      <c r="A882" s="468" t="n"/>
      <c r="B882" s="469" t="n"/>
      <c r="C882" s="469" t="n"/>
      <c r="D882" s="469" t="n"/>
      <c r="E882" s="469" t="n"/>
      <c r="F882" s="469" t="n"/>
      <c r="G882" s="469" t="n"/>
      <c r="H882" s="469" t="n"/>
      <c r="I882" s="469" t="n"/>
      <c r="J882" s="469" t="n"/>
      <c r="K882" s="469" t="n"/>
      <c r="L882" s="469" t="n"/>
      <c r="M882" s="469" t="n"/>
      <c r="N882" s="469" t="n"/>
      <c r="O882" s="469" t="n"/>
      <c r="P882" s="471" t="n"/>
      <c r="Q882" s="469" t="n"/>
      <c r="R882" s="469" t="n"/>
      <c r="S882" s="469" t="n"/>
      <c r="T882" s="469" t="n"/>
      <c r="U882" s="469" t="n"/>
      <c r="V882" s="469" t="n"/>
      <c r="W882" s="469" t="n"/>
      <c r="X882" s="469" t="n"/>
      <c r="Y882" s="469" t="n"/>
      <c r="Z882" s="469" t="n"/>
      <c r="AA882" s="469" t="n"/>
    </row>
    <row r="883">
      <c r="A883" s="468" t="n"/>
      <c r="B883" s="469" t="n"/>
      <c r="C883" s="469" t="n"/>
      <c r="D883" s="469" t="n"/>
      <c r="E883" s="469" t="n"/>
      <c r="F883" s="469" t="n"/>
      <c r="G883" s="469" t="n"/>
      <c r="H883" s="469" t="n"/>
      <c r="I883" s="469" t="n"/>
      <c r="J883" s="469" t="n"/>
      <c r="K883" s="469" t="n"/>
      <c r="L883" s="469" t="n"/>
      <c r="M883" s="469" t="n"/>
      <c r="N883" s="469" t="n"/>
      <c r="O883" s="469" t="n"/>
      <c r="P883" s="471" t="n"/>
      <c r="Q883" s="469" t="n"/>
      <c r="R883" s="469" t="n"/>
      <c r="S883" s="469" t="n"/>
      <c r="T883" s="469" t="n"/>
      <c r="U883" s="469" t="n"/>
      <c r="V883" s="469" t="n"/>
      <c r="W883" s="469" t="n"/>
      <c r="X883" s="469" t="n"/>
      <c r="Y883" s="469" t="n"/>
      <c r="Z883" s="469" t="n"/>
      <c r="AA883" s="469" t="n"/>
    </row>
    <row r="884">
      <c r="A884" s="468" t="n"/>
      <c r="B884" s="469" t="n"/>
      <c r="C884" s="469" t="n"/>
      <c r="D884" s="469" t="n"/>
      <c r="E884" s="469" t="n"/>
      <c r="F884" s="469" t="n"/>
      <c r="G884" s="469" t="n"/>
      <c r="H884" s="469" t="n"/>
      <c r="I884" s="469" t="n"/>
      <c r="J884" s="469" t="n"/>
      <c r="K884" s="469" t="n"/>
      <c r="L884" s="469" t="n"/>
      <c r="M884" s="469" t="n"/>
      <c r="N884" s="469" t="n"/>
      <c r="O884" s="469" t="n"/>
      <c r="P884" s="471" t="n"/>
      <c r="Q884" s="469" t="n"/>
      <c r="R884" s="469" t="n"/>
      <c r="S884" s="469" t="n"/>
      <c r="T884" s="469" t="n"/>
      <c r="U884" s="469" t="n"/>
      <c r="V884" s="469" t="n"/>
      <c r="W884" s="469" t="n"/>
      <c r="X884" s="469" t="n"/>
      <c r="Y884" s="469" t="n"/>
      <c r="Z884" s="469" t="n"/>
      <c r="AA884" s="469" t="n"/>
    </row>
    <row r="885">
      <c r="A885" s="468" t="n"/>
      <c r="B885" s="469" t="n"/>
      <c r="C885" s="469" t="n"/>
      <c r="D885" s="469" t="n"/>
      <c r="E885" s="469" t="n"/>
      <c r="F885" s="469" t="n"/>
      <c r="G885" s="469" t="n"/>
      <c r="H885" s="469" t="n"/>
      <c r="I885" s="469" t="n"/>
      <c r="J885" s="469" t="n"/>
      <c r="K885" s="469" t="n"/>
      <c r="L885" s="469" t="n"/>
      <c r="M885" s="469" t="n"/>
      <c r="N885" s="469" t="n"/>
      <c r="O885" s="469" t="n"/>
      <c r="P885" s="471" t="n"/>
      <c r="Q885" s="469" t="n"/>
      <c r="R885" s="469" t="n"/>
      <c r="S885" s="469" t="n"/>
      <c r="T885" s="469" t="n"/>
      <c r="U885" s="469" t="n"/>
      <c r="V885" s="469" t="n"/>
      <c r="W885" s="469" t="n"/>
      <c r="X885" s="469" t="n"/>
      <c r="Y885" s="469" t="n"/>
      <c r="Z885" s="469" t="n"/>
      <c r="AA885" s="469" t="n"/>
    </row>
    <row r="886">
      <c r="A886" s="468" t="n"/>
      <c r="B886" s="469" t="n"/>
      <c r="C886" s="469" t="n"/>
      <c r="D886" s="469" t="n"/>
      <c r="E886" s="469" t="n"/>
      <c r="F886" s="469" t="n"/>
      <c r="G886" s="469" t="n"/>
      <c r="H886" s="469" t="n"/>
      <c r="I886" s="469" t="n"/>
      <c r="J886" s="469" t="n"/>
      <c r="K886" s="469" t="n"/>
      <c r="L886" s="469" t="n"/>
      <c r="M886" s="469" t="n"/>
      <c r="N886" s="469" t="n"/>
      <c r="O886" s="469" t="n"/>
      <c r="P886" s="471" t="n"/>
      <c r="Q886" s="469" t="n"/>
      <c r="R886" s="469" t="n"/>
      <c r="S886" s="469" t="n"/>
      <c r="T886" s="469" t="n"/>
      <c r="U886" s="469" t="n"/>
      <c r="V886" s="469" t="n"/>
      <c r="W886" s="469" t="n"/>
      <c r="X886" s="469" t="n"/>
      <c r="Y886" s="469" t="n"/>
      <c r="Z886" s="469" t="n"/>
      <c r="AA886" s="469" t="n"/>
    </row>
    <row r="887">
      <c r="A887" s="468" t="n"/>
      <c r="B887" s="469" t="n"/>
      <c r="C887" s="469" t="n"/>
      <c r="D887" s="469" t="n"/>
      <c r="E887" s="469" t="n"/>
      <c r="F887" s="469" t="n"/>
      <c r="G887" s="469" t="n"/>
      <c r="H887" s="469" t="n"/>
      <c r="I887" s="469" t="n"/>
      <c r="J887" s="469" t="n"/>
      <c r="K887" s="469" t="n"/>
      <c r="L887" s="469" t="n"/>
      <c r="M887" s="469" t="n"/>
      <c r="N887" s="469" t="n"/>
      <c r="O887" s="469" t="n"/>
      <c r="P887" s="471" t="n"/>
      <c r="Q887" s="469" t="n"/>
      <c r="R887" s="469" t="n"/>
      <c r="S887" s="469" t="n"/>
      <c r="T887" s="469" t="n"/>
      <c r="U887" s="469" t="n"/>
      <c r="V887" s="469" t="n"/>
      <c r="W887" s="469" t="n"/>
      <c r="X887" s="469" t="n"/>
      <c r="Y887" s="469" t="n"/>
      <c r="Z887" s="469" t="n"/>
      <c r="AA887" s="469" t="n"/>
    </row>
    <row r="888">
      <c r="A888" s="468" t="n"/>
      <c r="B888" s="469" t="n"/>
      <c r="C888" s="469" t="n"/>
      <c r="D888" s="469" t="n"/>
      <c r="E888" s="469" t="n"/>
      <c r="F888" s="469" t="n"/>
      <c r="G888" s="469" t="n"/>
      <c r="H888" s="469" t="n"/>
      <c r="I888" s="469" t="n"/>
      <c r="J888" s="469" t="n"/>
      <c r="K888" s="469" t="n"/>
      <c r="L888" s="469" t="n"/>
      <c r="M888" s="469" t="n"/>
      <c r="N888" s="469" t="n"/>
      <c r="O888" s="469" t="n"/>
      <c r="P888" s="471" t="n"/>
      <c r="Q888" s="469" t="n"/>
      <c r="R888" s="469" t="n"/>
      <c r="S888" s="469" t="n"/>
      <c r="T888" s="469" t="n"/>
      <c r="U888" s="469" t="n"/>
      <c r="V888" s="469" t="n"/>
      <c r="W888" s="469" t="n"/>
      <c r="X888" s="469" t="n"/>
      <c r="Y888" s="469" t="n"/>
      <c r="Z888" s="469" t="n"/>
      <c r="AA888" s="469" t="n"/>
    </row>
    <row r="889">
      <c r="A889" s="468" t="n"/>
      <c r="B889" s="469" t="n"/>
      <c r="C889" s="469" t="n"/>
      <c r="D889" s="469" t="n"/>
      <c r="E889" s="469" t="n"/>
      <c r="F889" s="469" t="n"/>
      <c r="G889" s="469" t="n"/>
      <c r="H889" s="469" t="n"/>
      <c r="I889" s="469" t="n"/>
      <c r="J889" s="469" t="n"/>
      <c r="K889" s="469" t="n"/>
      <c r="L889" s="469" t="n"/>
      <c r="M889" s="469" t="n"/>
      <c r="N889" s="469" t="n"/>
      <c r="O889" s="469" t="n"/>
      <c r="P889" s="471" t="n"/>
      <c r="Q889" s="469" t="n"/>
      <c r="R889" s="469" t="n"/>
      <c r="S889" s="469" t="n"/>
      <c r="T889" s="469" t="n"/>
      <c r="U889" s="469" t="n"/>
      <c r="V889" s="469" t="n"/>
      <c r="W889" s="469" t="n"/>
      <c r="X889" s="469" t="n"/>
      <c r="Y889" s="469" t="n"/>
      <c r="Z889" s="469" t="n"/>
      <c r="AA889" s="469" t="n"/>
    </row>
    <row r="890">
      <c r="A890" s="468" t="n"/>
      <c r="B890" s="469" t="n"/>
      <c r="C890" s="469" t="n"/>
      <c r="D890" s="469" t="n"/>
      <c r="E890" s="469" t="n"/>
      <c r="F890" s="469" t="n"/>
      <c r="G890" s="469" t="n"/>
      <c r="H890" s="469" t="n"/>
      <c r="I890" s="469" t="n"/>
      <c r="J890" s="469" t="n"/>
      <c r="K890" s="469" t="n"/>
      <c r="L890" s="469" t="n"/>
      <c r="M890" s="469" t="n"/>
      <c r="N890" s="469" t="n"/>
      <c r="O890" s="469" t="n"/>
      <c r="P890" s="471" t="n"/>
      <c r="Q890" s="469" t="n"/>
      <c r="R890" s="469" t="n"/>
      <c r="S890" s="469" t="n"/>
      <c r="T890" s="469" t="n"/>
      <c r="U890" s="469" t="n"/>
      <c r="V890" s="469" t="n"/>
      <c r="W890" s="469" t="n"/>
      <c r="X890" s="469" t="n"/>
      <c r="Y890" s="469" t="n"/>
      <c r="Z890" s="469" t="n"/>
      <c r="AA890" s="469" t="n"/>
    </row>
    <row r="891">
      <c r="A891" s="468" t="n"/>
      <c r="B891" s="469" t="n"/>
      <c r="C891" s="469" t="n"/>
      <c r="D891" s="469" t="n"/>
      <c r="E891" s="469" t="n"/>
      <c r="F891" s="469" t="n"/>
      <c r="G891" s="469" t="n"/>
      <c r="H891" s="469" t="n"/>
      <c r="I891" s="469" t="n"/>
      <c r="J891" s="469" t="n"/>
      <c r="K891" s="469" t="n"/>
      <c r="L891" s="469" t="n"/>
      <c r="M891" s="469" t="n"/>
      <c r="N891" s="469" t="n"/>
      <c r="O891" s="469" t="n"/>
      <c r="P891" s="471" t="n"/>
      <c r="Q891" s="469" t="n"/>
      <c r="R891" s="469" t="n"/>
      <c r="S891" s="469" t="n"/>
      <c r="T891" s="469" t="n"/>
      <c r="U891" s="469" t="n"/>
      <c r="V891" s="469" t="n"/>
      <c r="W891" s="469" t="n"/>
      <c r="X891" s="469" t="n"/>
      <c r="Y891" s="469" t="n"/>
      <c r="Z891" s="469" t="n"/>
      <c r="AA891" s="469" t="n"/>
    </row>
    <row r="892">
      <c r="A892" s="468" t="n"/>
      <c r="B892" s="469" t="n"/>
      <c r="C892" s="469" t="n"/>
      <c r="D892" s="469" t="n"/>
      <c r="E892" s="469" t="n"/>
      <c r="F892" s="469" t="n"/>
      <c r="G892" s="469" t="n"/>
      <c r="H892" s="469" t="n"/>
      <c r="I892" s="469" t="n"/>
      <c r="J892" s="469" t="n"/>
      <c r="K892" s="469" t="n"/>
      <c r="L892" s="469" t="n"/>
      <c r="M892" s="469" t="n"/>
      <c r="N892" s="469" t="n"/>
      <c r="O892" s="469" t="n"/>
      <c r="P892" s="471" t="n"/>
      <c r="Q892" s="469" t="n"/>
      <c r="R892" s="469" t="n"/>
      <c r="S892" s="469" t="n"/>
      <c r="T892" s="469" t="n"/>
      <c r="U892" s="469" t="n"/>
      <c r="V892" s="469" t="n"/>
      <c r="W892" s="469" t="n"/>
      <c r="X892" s="469" t="n"/>
      <c r="Y892" s="469" t="n"/>
      <c r="Z892" s="469" t="n"/>
      <c r="AA892" s="469" t="n"/>
    </row>
    <row r="893">
      <c r="A893" s="468" t="n"/>
      <c r="B893" s="469" t="n"/>
      <c r="C893" s="469" t="n"/>
      <c r="D893" s="469" t="n"/>
      <c r="E893" s="469" t="n"/>
      <c r="F893" s="469" t="n"/>
      <c r="G893" s="469" t="n"/>
      <c r="H893" s="469" t="n"/>
      <c r="I893" s="469" t="n"/>
      <c r="J893" s="469" t="n"/>
      <c r="K893" s="469" t="n"/>
      <c r="L893" s="469" t="n"/>
      <c r="M893" s="469" t="n"/>
      <c r="N893" s="469" t="n"/>
      <c r="O893" s="469" t="n"/>
      <c r="P893" s="471" t="n"/>
      <c r="Q893" s="469" t="n"/>
      <c r="R893" s="469" t="n"/>
      <c r="S893" s="469" t="n"/>
      <c r="T893" s="469" t="n"/>
      <c r="U893" s="469" t="n"/>
      <c r="V893" s="469" t="n"/>
      <c r="W893" s="469" t="n"/>
      <c r="X893" s="469" t="n"/>
      <c r="Y893" s="469" t="n"/>
      <c r="Z893" s="469" t="n"/>
      <c r="AA893" s="469" t="n"/>
    </row>
    <row r="894">
      <c r="A894" s="468" t="n"/>
      <c r="B894" s="469" t="n"/>
      <c r="C894" s="469" t="n"/>
      <c r="D894" s="469" t="n"/>
      <c r="E894" s="469" t="n"/>
      <c r="F894" s="469" t="n"/>
      <c r="G894" s="469" t="n"/>
      <c r="H894" s="469" t="n"/>
      <c r="I894" s="469" t="n"/>
      <c r="J894" s="469" t="n"/>
      <c r="K894" s="469" t="n"/>
      <c r="L894" s="469" t="n"/>
      <c r="M894" s="469" t="n"/>
      <c r="N894" s="469" t="n"/>
      <c r="O894" s="469" t="n"/>
      <c r="P894" s="471" t="n"/>
      <c r="Q894" s="469" t="n"/>
      <c r="R894" s="469" t="n"/>
      <c r="S894" s="469" t="n"/>
      <c r="T894" s="469" t="n"/>
      <c r="U894" s="469" t="n"/>
      <c r="V894" s="469" t="n"/>
      <c r="W894" s="469" t="n"/>
      <c r="X894" s="469" t="n"/>
      <c r="Y894" s="469" t="n"/>
      <c r="Z894" s="469" t="n"/>
      <c r="AA894" s="469" t="n"/>
    </row>
    <row r="895">
      <c r="A895" s="468" t="n"/>
      <c r="B895" s="469" t="n"/>
      <c r="C895" s="469" t="n"/>
      <c r="D895" s="469" t="n"/>
      <c r="E895" s="469" t="n"/>
      <c r="F895" s="469" t="n"/>
      <c r="G895" s="469" t="n"/>
      <c r="H895" s="469" t="n"/>
      <c r="I895" s="469" t="n"/>
      <c r="J895" s="469" t="n"/>
      <c r="K895" s="469" t="n"/>
      <c r="L895" s="469" t="n"/>
      <c r="M895" s="469" t="n"/>
      <c r="N895" s="469" t="n"/>
      <c r="O895" s="469" t="n"/>
      <c r="P895" s="471" t="n"/>
      <c r="Q895" s="469" t="n"/>
      <c r="R895" s="469" t="n"/>
      <c r="S895" s="469" t="n"/>
      <c r="T895" s="469" t="n"/>
      <c r="U895" s="469" t="n"/>
      <c r="V895" s="469" t="n"/>
      <c r="W895" s="469" t="n"/>
      <c r="X895" s="469" t="n"/>
      <c r="Y895" s="469" t="n"/>
      <c r="Z895" s="469" t="n"/>
      <c r="AA895" s="469" t="n"/>
    </row>
    <row r="896">
      <c r="A896" s="468" t="n"/>
      <c r="B896" s="469" t="n"/>
      <c r="C896" s="469" t="n"/>
      <c r="D896" s="469" t="n"/>
      <c r="E896" s="469" t="n"/>
      <c r="F896" s="469" t="n"/>
      <c r="G896" s="469" t="n"/>
      <c r="H896" s="469" t="n"/>
      <c r="I896" s="469" t="n"/>
      <c r="J896" s="469" t="n"/>
      <c r="K896" s="469" t="n"/>
      <c r="L896" s="469" t="n"/>
      <c r="M896" s="469" t="n"/>
      <c r="N896" s="469" t="n"/>
      <c r="O896" s="469" t="n"/>
      <c r="P896" s="471" t="n"/>
      <c r="Q896" s="469" t="n"/>
      <c r="R896" s="469" t="n"/>
      <c r="S896" s="469" t="n"/>
      <c r="T896" s="469" t="n"/>
      <c r="U896" s="469" t="n"/>
      <c r="V896" s="469" t="n"/>
      <c r="W896" s="469" t="n"/>
      <c r="X896" s="469" t="n"/>
      <c r="Y896" s="469" t="n"/>
      <c r="Z896" s="469" t="n"/>
      <c r="AA896" s="469" t="n"/>
    </row>
    <row r="897">
      <c r="A897" s="468" t="n"/>
      <c r="B897" s="469" t="n"/>
      <c r="C897" s="469" t="n"/>
      <c r="D897" s="469" t="n"/>
      <c r="E897" s="469" t="n"/>
      <c r="F897" s="469" t="n"/>
      <c r="G897" s="469" t="n"/>
      <c r="H897" s="469" t="n"/>
      <c r="I897" s="469" t="n"/>
      <c r="J897" s="469" t="n"/>
      <c r="K897" s="469" t="n"/>
      <c r="L897" s="469" t="n"/>
      <c r="M897" s="469" t="n"/>
      <c r="N897" s="469" t="n"/>
      <c r="O897" s="469" t="n"/>
      <c r="P897" s="471" t="n"/>
      <c r="Q897" s="469" t="n"/>
      <c r="R897" s="469" t="n"/>
      <c r="S897" s="469" t="n"/>
      <c r="T897" s="469" t="n"/>
      <c r="U897" s="469" t="n"/>
      <c r="V897" s="469" t="n"/>
      <c r="W897" s="469" t="n"/>
      <c r="X897" s="469" t="n"/>
      <c r="Y897" s="469" t="n"/>
      <c r="Z897" s="469" t="n"/>
      <c r="AA897" s="469" t="n"/>
    </row>
    <row r="898">
      <c r="A898" s="468" t="n"/>
      <c r="B898" s="469" t="n"/>
      <c r="C898" s="469" t="n"/>
      <c r="D898" s="469" t="n"/>
      <c r="E898" s="469" t="n"/>
      <c r="F898" s="469" t="n"/>
      <c r="G898" s="469" t="n"/>
      <c r="H898" s="469" t="n"/>
      <c r="I898" s="469" t="n"/>
      <c r="J898" s="469" t="n"/>
      <c r="K898" s="469" t="n"/>
      <c r="L898" s="469" t="n"/>
      <c r="M898" s="469" t="n"/>
      <c r="N898" s="469" t="n"/>
      <c r="O898" s="469" t="n"/>
      <c r="P898" s="471" t="n"/>
      <c r="Q898" s="469" t="n"/>
      <c r="R898" s="469" t="n"/>
      <c r="S898" s="469" t="n"/>
      <c r="T898" s="469" t="n"/>
      <c r="U898" s="469" t="n"/>
      <c r="V898" s="469" t="n"/>
      <c r="W898" s="469" t="n"/>
      <c r="X898" s="469" t="n"/>
      <c r="Y898" s="469" t="n"/>
      <c r="Z898" s="469" t="n"/>
      <c r="AA898" s="469" t="n"/>
    </row>
    <row r="899">
      <c r="A899" s="468" t="n"/>
      <c r="B899" s="469" t="n"/>
      <c r="C899" s="469" t="n"/>
      <c r="D899" s="469" t="n"/>
      <c r="E899" s="469" t="n"/>
      <c r="F899" s="469" t="n"/>
      <c r="G899" s="469" t="n"/>
      <c r="H899" s="469" t="n"/>
      <c r="I899" s="469" t="n"/>
      <c r="J899" s="469" t="n"/>
      <c r="K899" s="469" t="n"/>
      <c r="L899" s="469" t="n"/>
      <c r="M899" s="469" t="n"/>
      <c r="N899" s="469" t="n"/>
      <c r="O899" s="469" t="n"/>
      <c r="P899" s="471" t="n"/>
      <c r="Q899" s="469" t="n"/>
      <c r="R899" s="469" t="n"/>
      <c r="S899" s="469" t="n"/>
      <c r="T899" s="469" t="n"/>
      <c r="U899" s="469" t="n"/>
      <c r="V899" s="469" t="n"/>
      <c r="W899" s="469" t="n"/>
      <c r="X899" s="469" t="n"/>
      <c r="Y899" s="469" t="n"/>
      <c r="Z899" s="469" t="n"/>
      <c r="AA899" s="469" t="n"/>
    </row>
    <row r="900">
      <c r="A900" s="468" t="n"/>
      <c r="B900" s="469" t="n"/>
      <c r="C900" s="469" t="n"/>
      <c r="D900" s="469" t="n"/>
      <c r="E900" s="469" t="n"/>
      <c r="F900" s="469" t="n"/>
      <c r="G900" s="469" t="n"/>
      <c r="H900" s="469" t="n"/>
      <c r="I900" s="469" t="n"/>
      <c r="J900" s="469" t="n"/>
      <c r="K900" s="469" t="n"/>
      <c r="L900" s="469" t="n"/>
      <c r="M900" s="469" t="n"/>
      <c r="N900" s="469" t="n"/>
      <c r="O900" s="469" t="n"/>
      <c r="P900" s="471" t="n"/>
      <c r="Q900" s="469" t="n"/>
      <c r="R900" s="469" t="n"/>
      <c r="S900" s="469" t="n"/>
      <c r="T900" s="469" t="n"/>
      <c r="U900" s="469" t="n"/>
      <c r="V900" s="469" t="n"/>
      <c r="W900" s="469" t="n"/>
      <c r="X900" s="469" t="n"/>
      <c r="Y900" s="469" t="n"/>
      <c r="Z900" s="469" t="n"/>
      <c r="AA900" s="469" t="n"/>
    </row>
    <row r="901">
      <c r="A901" s="468" t="n"/>
      <c r="B901" s="469" t="n"/>
      <c r="C901" s="469" t="n"/>
      <c r="D901" s="469" t="n"/>
      <c r="E901" s="469" t="n"/>
      <c r="F901" s="469" t="n"/>
      <c r="G901" s="469" t="n"/>
      <c r="H901" s="469" t="n"/>
      <c r="I901" s="469" t="n"/>
      <c r="J901" s="469" t="n"/>
      <c r="K901" s="469" t="n"/>
      <c r="L901" s="469" t="n"/>
      <c r="M901" s="469" t="n"/>
      <c r="N901" s="469" t="n"/>
      <c r="O901" s="469" t="n"/>
      <c r="P901" s="471" t="n"/>
      <c r="Q901" s="469" t="n"/>
      <c r="R901" s="469" t="n"/>
      <c r="S901" s="469" t="n"/>
      <c r="T901" s="469" t="n"/>
      <c r="U901" s="469" t="n"/>
      <c r="V901" s="469" t="n"/>
      <c r="W901" s="469" t="n"/>
      <c r="X901" s="469" t="n"/>
      <c r="Y901" s="469" t="n"/>
      <c r="Z901" s="469" t="n"/>
      <c r="AA901" s="469" t="n"/>
    </row>
    <row r="902">
      <c r="A902" s="468" t="n"/>
      <c r="B902" s="469" t="n"/>
      <c r="C902" s="469" t="n"/>
      <c r="D902" s="469" t="n"/>
      <c r="E902" s="469" t="n"/>
      <c r="F902" s="469" t="n"/>
      <c r="G902" s="469" t="n"/>
      <c r="H902" s="469" t="n"/>
      <c r="I902" s="469" t="n"/>
      <c r="J902" s="469" t="n"/>
      <c r="K902" s="469" t="n"/>
      <c r="L902" s="469" t="n"/>
      <c r="M902" s="469" t="n"/>
      <c r="N902" s="469" t="n"/>
      <c r="O902" s="469" t="n"/>
      <c r="P902" s="471" t="n"/>
      <c r="Q902" s="469" t="n"/>
      <c r="R902" s="469" t="n"/>
      <c r="S902" s="469" t="n"/>
      <c r="T902" s="469" t="n"/>
      <c r="U902" s="469" t="n"/>
      <c r="V902" s="469" t="n"/>
      <c r="W902" s="469" t="n"/>
      <c r="X902" s="469" t="n"/>
      <c r="Y902" s="469" t="n"/>
      <c r="Z902" s="469" t="n"/>
      <c r="AA902" s="469" t="n"/>
    </row>
    <row r="903">
      <c r="A903" s="468" t="n"/>
      <c r="B903" s="469" t="n"/>
      <c r="C903" s="469" t="n"/>
      <c r="D903" s="469" t="n"/>
      <c r="E903" s="469" t="n"/>
      <c r="F903" s="469" t="n"/>
      <c r="G903" s="469" t="n"/>
      <c r="H903" s="469" t="n"/>
      <c r="I903" s="469" t="n"/>
      <c r="J903" s="469" t="n"/>
      <c r="K903" s="469" t="n"/>
      <c r="L903" s="469" t="n"/>
      <c r="M903" s="469" t="n"/>
      <c r="N903" s="469" t="n"/>
      <c r="O903" s="469" t="n"/>
      <c r="P903" s="471" t="n"/>
      <c r="Q903" s="469" t="n"/>
      <c r="R903" s="469" t="n"/>
      <c r="S903" s="469" t="n"/>
      <c r="T903" s="469" t="n"/>
      <c r="U903" s="469" t="n"/>
      <c r="V903" s="469" t="n"/>
      <c r="W903" s="469" t="n"/>
      <c r="X903" s="469" t="n"/>
      <c r="Y903" s="469" t="n"/>
      <c r="Z903" s="469" t="n"/>
      <c r="AA903" s="469" t="n"/>
    </row>
    <row r="904">
      <c r="A904" s="468" t="n"/>
      <c r="B904" s="469" t="n"/>
      <c r="C904" s="469" t="n"/>
      <c r="D904" s="469" t="n"/>
      <c r="E904" s="469" t="n"/>
      <c r="F904" s="469" t="n"/>
      <c r="G904" s="469" t="n"/>
      <c r="H904" s="469" t="n"/>
      <c r="I904" s="469" t="n"/>
      <c r="J904" s="469" t="n"/>
      <c r="K904" s="469" t="n"/>
      <c r="L904" s="469" t="n"/>
      <c r="M904" s="469" t="n"/>
      <c r="N904" s="469" t="n"/>
      <c r="O904" s="469" t="n"/>
      <c r="P904" s="471" t="n"/>
      <c r="Q904" s="469" t="n"/>
      <c r="R904" s="469" t="n"/>
      <c r="S904" s="469" t="n"/>
      <c r="T904" s="469" t="n"/>
      <c r="U904" s="469" t="n"/>
      <c r="V904" s="469" t="n"/>
      <c r="W904" s="469" t="n"/>
      <c r="X904" s="469" t="n"/>
      <c r="Y904" s="469" t="n"/>
      <c r="Z904" s="469" t="n"/>
      <c r="AA904" s="469" t="n"/>
    </row>
    <row r="905">
      <c r="A905" s="468" t="n"/>
      <c r="B905" s="469" t="n"/>
      <c r="C905" s="469" t="n"/>
      <c r="D905" s="469" t="n"/>
      <c r="E905" s="469" t="n"/>
      <c r="F905" s="469" t="n"/>
      <c r="G905" s="469" t="n"/>
      <c r="H905" s="469" t="n"/>
      <c r="I905" s="469" t="n"/>
      <c r="J905" s="469" t="n"/>
      <c r="K905" s="469" t="n"/>
      <c r="L905" s="469" t="n"/>
      <c r="M905" s="469" t="n"/>
      <c r="N905" s="469" t="n"/>
      <c r="O905" s="469" t="n"/>
      <c r="P905" s="471" t="n"/>
      <c r="Q905" s="469" t="n"/>
      <c r="R905" s="469" t="n"/>
      <c r="S905" s="469" t="n"/>
      <c r="T905" s="469" t="n"/>
      <c r="U905" s="469" t="n"/>
      <c r="V905" s="469" t="n"/>
      <c r="W905" s="469" t="n"/>
      <c r="X905" s="469" t="n"/>
      <c r="Y905" s="469" t="n"/>
      <c r="Z905" s="469" t="n"/>
      <c r="AA905" s="469" t="n"/>
    </row>
    <row r="906">
      <c r="A906" s="468" t="n"/>
      <c r="B906" s="469" t="n"/>
      <c r="C906" s="469" t="n"/>
      <c r="D906" s="469" t="n"/>
      <c r="E906" s="469" t="n"/>
      <c r="F906" s="469" t="n"/>
      <c r="G906" s="469" t="n"/>
      <c r="H906" s="469" t="n"/>
      <c r="I906" s="469" t="n"/>
      <c r="J906" s="469" t="n"/>
      <c r="K906" s="469" t="n"/>
      <c r="L906" s="469" t="n"/>
      <c r="M906" s="469" t="n"/>
      <c r="N906" s="469" t="n"/>
      <c r="O906" s="469" t="n"/>
      <c r="P906" s="471" t="n"/>
      <c r="Q906" s="469" t="n"/>
      <c r="R906" s="469" t="n"/>
      <c r="S906" s="469" t="n"/>
      <c r="T906" s="469" t="n"/>
      <c r="U906" s="469" t="n"/>
      <c r="V906" s="469" t="n"/>
      <c r="W906" s="469" t="n"/>
      <c r="X906" s="469" t="n"/>
      <c r="Y906" s="469" t="n"/>
      <c r="Z906" s="469" t="n"/>
      <c r="AA906" s="469" t="n"/>
    </row>
    <row r="907">
      <c r="A907" s="468" t="n"/>
      <c r="B907" s="469" t="n"/>
      <c r="C907" s="469" t="n"/>
      <c r="D907" s="469" t="n"/>
      <c r="E907" s="469" t="n"/>
      <c r="F907" s="469" t="n"/>
      <c r="G907" s="469" t="n"/>
      <c r="H907" s="469" t="n"/>
      <c r="I907" s="469" t="n"/>
      <c r="J907" s="469" t="n"/>
      <c r="K907" s="469" t="n"/>
      <c r="L907" s="469" t="n"/>
      <c r="M907" s="469" t="n"/>
      <c r="N907" s="469" t="n"/>
      <c r="O907" s="469" t="n"/>
      <c r="P907" s="471" t="n"/>
      <c r="Q907" s="469" t="n"/>
      <c r="R907" s="469" t="n"/>
      <c r="S907" s="469" t="n"/>
      <c r="T907" s="469" t="n"/>
      <c r="U907" s="469" t="n"/>
      <c r="V907" s="469" t="n"/>
      <c r="W907" s="469" t="n"/>
      <c r="X907" s="469" t="n"/>
      <c r="Y907" s="469" t="n"/>
      <c r="Z907" s="469" t="n"/>
      <c r="AA907" s="469" t="n"/>
    </row>
    <row r="908">
      <c r="A908" s="468" t="n"/>
      <c r="B908" s="469" t="n"/>
      <c r="C908" s="469" t="n"/>
      <c r="D908" s="469" t="n"/>
      <c r="E908" s="469" t="n"/>
      <c r="F908" s="469" t="n"/>
      <c r="G908" s="469" t="n"/>
      <c r="H908" s="469" t="n"/>
      <c r="I908" s="469" t="n"/>
      <c r="J908" s="469" t="n"/>
      <c r="K908" s="469" t="n"/>
      <c r="L908" s="469" t="n"/>
      <c r="M908" s="469" t="n"/>
      <c r="N908" s="469" t="n"/>
      <c r="O908" s="469" t="n"/>
      <c r="P908" s="471" t="n"/>
      <c r="Q908" s="469" t="n"/>
      <c r="R908" s="469" t="n"/>
      <c r="S908" s="469" t="n"/>
      <c r="T908" s="469" t="n"/>
      <c r="U908" s="469" t="n"/>
      <c r="V908" s="469" t="n"/>
      <c r="W908" s="469" t="n"/>
      <c r="X908" s="469" t="n"/>
      <c r="Y908" s="469" t="n"/>
      <c r="Z908" s="469" t="n"/>
      <c r="AA908" s="469" t="n"/>
    </row>
    <row r="909">
      <c r="A909" s="468" t="n"/>
      <c r="B909" s="469" t="n"/>
      <c r="C909" s="469" t="n"/>
      <c r="D909" s="469" t="n"/>
      <c r="E909" s="469" t="n"/>
      <c r="F909" s="469" t="n"/>
      <c r="G909" s="469" t="n"/>
      <c r="H909" s="469" t="n"/>
      <c r="I909" s="469" t="n"/>
      <c r="J909" s="469" t="n"/>
      <c r="K909" s="469" t="n"/>
      <c r="L909" s="469" t="n"/>
      <c r="M909" s="469" t="n"/>
      <c r="N909" s="469" t="n"/>
      <c r="O909" s="469" t="n"/>
      <c r="P909" s="471" t="n"/>
      <c r="Q909" s="469" t="n"/>
      <c r="R909" s="469" t="n"/>
      <c r="S909" s="469" t="n"/>
      <c r="T909" s="469" t="n"/>
      <c r="U909" s="469" t="n"/>
      <c r="V909" s="469" t="n"/>
      <c r="W909" s="469" t="n"/>
      <c r="X909" s="469" t="n"/>
      <c r="Y909" s="469" t="n"/>
      <c r="Z909" s="469" t="n"/>
      <c r="AA909" s="469" t="n"/>
    </row>
    <row r="910">
      <c r="A910" s="468" t="n"/>
      <c r="B910" s="469" t="n"/>
      <c r="C910" s="469" t="n"/>
      <c r="D910" s="469" t="n"/>
      <c r="E910" s="469" t="n"/>
      <c r="F910" s="469" t="n"/>
      <c r="G910" s="469" t="n"/>
      <c r="H910" s="469" t="n"/>
      <c r="I910" s="469" t="n"/>
      <c r="J910" s="469" t="n"/>
      <c r="K910" s="469" t="n"/>
      <c r="L910" s="469" t="n"/>
      <c r="M910" s="469" t="n"/>
      <c r="N910" s="469" t="n"/>
      <c r="O910" s="469" t="n"/>
      <c r="P910" s="471" t="n"/>
      <c r="Q910" s="469" t="n"/>
      <c r="R910" s="469" t="n"/>
      <c r="S910" s="469" t="n"/>
      <c r="T910" s="469" t="n"/>
      <c r="U910" s="469" t="n"/>
      <c r="V910" s="469" t="n"/>
      <c r="W910" s="469" t="n"/>
      <c r="X910" s="469" t="n"/>
      <c r="Y910" s="469" t="n"/>
      <c r="Z910" s="469" t="n"/>
      <c r="AA910" s="469" t="n"/>
    </row>
    <row r="911">
      <c r="A911" s="468" t="n"/>
      <c r="B911" s="469" t="n"/>
      <c r="C911" s="469" t="n"/>
      <c r="D911" s="469" t="n"/>
      <c r="E911" s="469" t="n"/>
      <c r="F911" s="469" t="n"/>
      <c r="G911" s="469" t="n"/>
      <c r="H911" s="469" t="n"/>
      <c r="I911" s="469" t="n"/>
      <c r="J911" s="469" t="n"/>
      <c r="K911" s="469" t="n"/>
      <c r="L911" s="469" t="n"/>
      <c r="M911" s="469" t="n"/>
      <c r="N911" s="469" t="n"/>
      <c r="O911" s="469" t="n"/>
      <c r="P911" s="471" t="n"/>
      <c r="Q911" s="469" t="n"/>
      <c r="R911" s="469" t="n"/>
      <c r="S911" s="469" t="n"/>
      <c r="T911" s="469" t="n"/>
      <c r="U911" s="469" t="n"/>
      <c r="V911" s="469" t="n"/>
      <c r="W911" s="469" t="n"/>
      <c r="X911" s="469" t="n"/>
      <c r="Y911" s="469" t="n"/>
      <c r="Z911" s="469" t="n"/>
      <c r="AA911" s="469" t="n"/>
    </row>
    <row r="912">
      <c r="A912" s="468" t="n"/>
      <c r="B912" s="469" t="n"/>
      <c r="C912" s="469" t="n"/>
      <c r="D912" s="469" t="n"/>
      <c r="E912" s="469" t="n"/>
      <c r="F912" s="469" t="n"/>
      <c r="G912" s="469" t="n"/>
      <c r="H912" s="469" t="n"/>
      <c r="I912" s="469" t="n"/>
      <c r="J912" s="469" t="n"/>
      <c r="K912" s="469" t="n"/>
      <c r="L912" s="469" t="n"/>
      <c r="M912" s="469" t="n"/>
      <c r="N912" s="469" t="n"/>
      <c r="O912" s="469" t="n"/>
      <c r="P912" s="471" t="n"/>
      <c r="Q912" s="469" t="n"/>
      <c r="R912" s="469" t="n"/>
      <c r="S912" s="469" t="n"/>
      <c r="T912" s="469" t="n"/>
      <c r="U912" s="469" t="n"/>
      <c r="V912" s="469" t="n"/>
      <c r="W912" s="469" t="n"/>
      <c r="X912" s="469" t="n"/>
      <c r="Y912" s="469" t="n"/>
      <c r="Z912" s="469" t="n"/>
      <c r="AA912" s="469" t="n"/>
    </row>
    <row r="913">
      <c r="A913" s="468" t="n"/>
      <c r="B913" s="469" t="n"/>
      <c r="C913" s="469" t="n"/>
      <c r="D913" s="469" t="n"/>
      <c r="E913" s="469" t="n"/>
      <c r="F913" s="469" t="n"/>
      <c r="G913" s="469" t="n"/>
      <c r="H913" s="469" t="n"/>
      <c r="I913" s="469" t="n"/>
      <c r="J913" s="469" t="n"/>
      <c r="K913" s="469" t="n"/>
      <c r="L913" s="469" t="n"/>
      <c r="M913" s="469" t="n"/>
      <c r="N913" s="469" t="n"/>
      <c r="O913" s="469" t="n"/>
      <c r="P913" s="471" t="n"/>
      <c r="Q913" s="469" t="n"/>
      <c r="R913" s="469" t="n"/>
      <c r="S913" s="469" t="n"/>
      <c r="T913" s="469" t="n"/>
      <c r="U913" s="469" t="n"/>
      <c r="V913" s="469" t="n"/>
      <c r="W913" s="469" t="n"/>
      <c r="X913" s="469" t="n"/>
      <c r="Y913" s="469" t="n"/>
      <c r="Z913" s="469" t="n"/>
      <c r="AA913" s="469" t="n"/>
    </row>
    <row r="914">
      <c r="A914" s="468" t="n"/>
      <c r="B914" s="469" t="n"/>
      <c r="C914" s="469" t="n"/>
      <c r="D914" s="469" t="n"/>
      <c r="E914" s="469" t="n"/>
      <c r="F914" s="469" t="n"/>
      <c r="G914" s="469" t="n"/>
      <c r="H914" s="469" t="n"/>
      <c r="I914" s="469" t="n"/>
      <c r="J914" s="469" t="n"/>
      <c r="K914" s="469" t="n"/>
      <c r="L914" s="469" t="n"/>
      <c r="M914" s="469" t="n"/>
      <c r="N914" s="469" t="n"/>
      <c r="O914" s="469" t="n"/>
      <c r="P914" s="471" t="n"/>
      <c r="Q914" s="469" t="n"/>
      <c r="R914" s="469" t="n"/>
      <c r="S914" s="469" t="n"/>
      <c r="T914" s="469" t="n"/>
      <c r="U914" s="469" t="n"/>
      <c r="V914" s="469" t="n"/>
      <c r="W914" s="469" t="n"/>
      <c r="X914" s="469" t="n"/>
      <c r="Y914" s="469" t="n"/>
      <c r="Z914" s="469" t="n"/>
      <c r="AA914" s="469" t="n"/>
    </row>
    <row r="915">
      <c r="A915" s="468" t="n"/>
      <c r="B915" s="469" t="n"/>
      <c r="C915" s="469" t="n"/>
      <c r="D915" s="469" t="n"/>
      <c r="E915" s="469" t="n"/>
      <c r="F915" s="469" t="n"/>
      <c r="G915" s="469" t="n"/>
      <c r="H915" s="469" t="n"/>
      <c r="I915" s="469" t="n"/>
      <c r="J915" s="469" t="n"/>
      <c r="K915" s="469" t="n"/>
      <c r="L915" s="469" t="n"/>
      <c r="M915" s="469" t="n"/>
      <c r="N915" s="469" t="n"/>
      <c r="O915" s="469" t="n"/>
      <c r="P915" s="471" t="n"/>
      <c r="Q915" s="469" t="n"/>
      <c r="R915" s="469" t="n"/>
      <c r="S915" s="469" t="n"/>
      <c r="T915" s="469" t="n"/>
      <c r="U915" s="469" t="n"/>
      <c r="V915" s="469" t="n"/>
      <c r="W915" s="469" t="n"/>
      <c r="X915" s="469" t="n"/>
      <c r="Y915" s="469" t="n"/>
      <c r="Z915" s="469" t="n"/>
      <c r="AA915" s="469" t="n"/>
    </row>
    <row r="916">
      <c r="A916" s="468" t="n"/>
      <c r="B916" s="469" t="n"/>
      <c r="C916" s="469" t="n"/>
      <c r="D916" s="469" t="n"/>
      <c r="E916" s="469" t="n"/>
      <c r="F916" s="469" t="n"/>
      <c r="G916" s="469" t="n"/>
      <c r="H916" s="469" t="n"/>
      <c r="I916" s="469" t="n"/>
      <c r="J916" s="469" t="n"/>
      <c r="K916" s="469" t="n"/>
      <c r="L916" s="469" t="n"/>
      <c r="M916" s="469" t="n"/>
      <c r="N916" s="469" t="n"/>
      <c r="O916" s="469" t="n"/>
      <c r="P916" s="471" t="n"/>
      <c r="Q916" s="469" t="n"/>
      <c r="R916" s="469" t="n"/>
      <c r="S916" s="469" t="n"/>
      <c r="T916" s="469" t="n"/>
      <c r="U916" s="469" t="n"/>
      <c r="V916" s="469" t="n"/>
      <c r="W916" s="469" t="n"/>
      <c r="X916" s="469" t="n"/>
      <c r="Y916" s="469" t="n"/>
      <c r="Z916" s="469" t="n"/>
      <c r="AA916" s="469" t="n"/>
    </row>
    <row r="917">
      <c r="A917" s="468" t="n"/>
      <c r="B917" s="469" t="n"/>
      <c r="C917" s="469" t="n"/>
      <c r="D917" s="469" t="n"/>
      <c r="E917" s="469" t="n"/>
      <c r="F917" s="469" t="n"/>
      <c r="G917" s="469" t="n"/>
      <c r="H917" s="469" t="n"/>
      <c r="I917" s="469" t="n"/>
      <c r="J917" s="469" t="n"/>
      <c r="K917" s="469" t="n"/>
      <c r="L917" s="469" t="n"/>
      <c r="M917" s="469" t="n"/>
      <c r="N917" s="469" t="n"/>
      <c r="O917" s="469" t="n"/>
      <c r="P917" s="471" t="n"/>
      <c r="Q917" s="469" t="n"/>
      <c r="R917" s="469" t="n"/>
      <c r="S917" s="469" t="n"/>
      <c r="T917" s="469" t="n"/>
      <c r="U917" s="469" t="n"/>
      <c r="V917" s="469" t="n"/>
      <c r="W917" s="469" t="n"/>
      <c r="X917" s="469" t="n"/>
      <c r="Y917" s="469" t="n"/>
      <c r="Z917" s="469" t="n"/>
      <c r="AA917" s="469" t="n"/>
    </row>
    <row r="918">
      <c r="A918" s="468" t="n"/>
      <c r="B918" s="469" t="n"/>
      <c r="C918" s="469" t="n"/>
      <c r="D918" s="469" t="n"/>
      <c r="E918" s="469" t="n"/>
      <c r="F918" s="469" t="n"/>
      <c r="G918" s="469" t="n"/>
      <c r="H918" s="469" t="n"/>
      <c r="I918" s="469" t="n"/>
      <c r="J918" s="469" t="n"/>
      <c r="K918" s="469" t="n"/>
      <c r="L918" s="469" t="n"/>
      <c r="M918" s="469" t="n"/>
      <c r="N918" s="469" t="n"/>
      <c r="O918" s="469" t="n"/>
      <c r="P918" s="471" t="n"/>
      <c r="Q918" s="469" t="n"/>
      <c r="R918" s="469" t="n"/>
      <c r="S918" s="469" t="n"/>
      <c r="T918" s="469" t="n"/>
      <c r="U918" s="469" t="n"/>
      <c r="V918" s="469" t="n"/>
      <c r="W918" s="469" t="n"/>
      <c r="X918" s="469" t="n"/>
      <c r="Y918" s="469" t="n"/>
      <c r="Z918" s="469" t="n"/>
      <c r="AA918" s="469" t="n"/>
    </row>
    <row r="919">
      <c r="A919" s="468" t="n"/>
      <c r="B919" s="469" t="n"/>
      <c r="C919" s="469" t="n"/>
      <c r="D919" s="469" t="n"/>
      <c r="E919" s="469" t="n"/>
      <c r="F919" s="469" t="n"/>
      <c r="G919" s="469" t="n"/>
      <c r="H919" s="469" t="n"/>
      <c r="I919" s="469" t="n"/>
      <c r="J919" s="469" t="n"/>
      <c r="K919" s="469" t="n"/>
      <c r="L919" s="469" t="n"/>
      <c r="M919" s="469" t="n"/>
      <c r="N919" s="469" t="n"/>
      <c r="O919" s="469" t="n"/>
      <c r="P919" s="471" t="n"/>
      <c r="Q919" s="469" t="n"/>
      <c r="R919" s="469" t="n"/>
      <c r="S919" s="469" t="n"/>
      <c r="T919" s="469" t="n"/>
      <c r="U919" s="469" t="n"/>
      <c r="V919" s="469" t="n"/>
      <c r="W919" s="469" t="n"/>
      <c r="X919" s="469" t="n"/>
      <c r="Y919" s="469" t="n"/>
      <c r="Z919" s="469" t="n"/>
      <c r="AA919" s="469" t="n"/>
    </row>
    <row r="920">
      <c r="A920" s="468" t="n"/>
      <c r="B920" s="469" t="n"/>
      <c r="C920" s="469" t="n"/>
      <c r="D920" s="469" t="n"/>
      <c r="E920" s="469" t="n"/>
      <c r="F920" s="469" t="n"/>
      <c r="G920" s="469" t="n"/>
      <c r="H920" s="469" t="n"/>
      <c r="I920" s="469" t="n"/>
      <c r="J920" s="469" t="n"/>
      <c r="K920" s="469" t="n"/>
      <c r="L920" s="469" t="n"/>
      <c r="M920" s="469" t="n"/>
      <c r="N920" s="469" t="n"/>
      <c r="O920" s="469" t="n"/>
      <c r="P920" s="471" t="n"/>
      <c r="Q920" s="469" t="n"/>
      <c r="R920" s="469" t="n"/>
      <c r="S920" s="469" t="n"/>
      <c r="T920" s="469" t="n"/>
      <c r="U920" s="469" t="n"/>
      <c r="V920" s="469" t="n"/>
      <c r="W920" s="469" t="n"/>
      <c r="X920" s="469" t="n"/>
      <c r="Y920" s="469" t="n"/>
      <c r="Z920" s="469" t="n"/>
      <c r="AA920" s="469" t="n"/>
    </row>
    <row r="921">
      <c r="A921" s="468" t="n"/>
      <c r="B921" s="469" t="n"/>
      <c r="C921" s="469" t="n"/>
      <c r="D921" s="469" t="n"/>
      <c r="E921" s="469" t="n"/>
      <c r="F921" s="469" t="n"/>
      <c r="G921" s="469" t="n"/>
      <c r="H921" s="469" t="n"/>
      <c r="I921" s="469" t="n"/>
      <c r="J921" s="469" t="n"/>
      <c r="K921" s="469" t="n"/>
      <c r="L921" s="469" t="n"/>
      <c r="M921" s="469" t="n"/>
      <c r="N921" s="469" t="n"/>
      <c r="O921" s="469" t="n"/>
      <c r="P921" s="471" t="n"/>
      <c r="Q921" s="469" t="n"/>
      <c r="R921" s="469" t="n"/>
      <c r="S921" s="469" t="n"/>
      <c r="T921" s="469" t="n"/>
      <c r="U921" s="469" t="n"/>
      <c r="V921" s="469" t="n"/>
      <c r="W921" s="469" t="n"/>
      <c r="X921" s="469" t="n"/>
      <c r="Y921" s="469" t="n"/>
      <c r="Z921" s="469" t="n"/>
      <c r="AA921" s="469" t="n"/>
    </row>
    <row r="922">
      <c r="A922" s="468" t="n"/>
      <c r="B922" s="469" t="n"/>
      <c r="C922" s="469" t="n"/>
      <c r="D922" s="469" t="n"/>
      <c r="E922" s="469" t="n"/>
      <c r="F922" s="469" t="n"/>
      <c r="G922" s="469" t="n"/>
      <c r="H922" s="469" t="n"/>
      <c r="I922" s="469" t="n"/>
      <c r="J922" s="469" t="n"/>
      <c r="K922" s="469" t="n"/>
      <c r="L922" s="469" t="n"/>
      <c r="M922" s="469" t="n"/>
      <c r="N922" s="469" t="n"/>
      <c r="O922" s="469" t="n"/>
      <c r="P922" s="471" t="n"/>
      <c r="Q922" s="469" t="n"/>
      <c r="R922" s="469" t="n"/>
      <c r="S922" s="469" t="n"/>
      <c r="T922" s="469" t="n"/>
      <c r="U922" s="469" t="n"/>
      <c r="V922" s="469" t="n"/>
      <c r="W922" s="469" t="n"/>
      <c r="X922" s="469" t="n"/>
      <c r="Y922" s="469" t="n"/>
      <c r="Z922" s="469" t="n"/>
      <c r="AA922" s="469" t="n"/>
    </row>
    <row r="923">
      <c r="A923" s="468" t="n"/>
      <c r="B923" s="469" t="n"/>
      <c r="C923" s="469" t="n"/>
      <c r="D923" s="469" t="n"/>
      <c r="E923" s="469" t="n"/>
      <c r="F923" s="469" t="n"/>
      <c r="G923" s="469" t="n"/>
      <c r="H923" s="469" t="n"/>
      <c r="I923" s="469" t="n"/>
      <c r="J923" s="469" t="n"/>
      <c r="K923" s="469" t="n"/>
      <c r="L923" s="469" t="n"/>
      <c r="M923" s="469" t="n"/>
      <c r="N923" s="469" t="n"/>
      <c r="O923" s="469" t="n"/>
      <c r="P923" s="471" t="n"/>
      <c r="Q923" s="469" t="n"/>
      <c r="R923" s="469" t="n"/>
      <c r="S923" s="469" t="n"/>
      <c r="T923" s="469" t="n"/>
      <c r="U923" s="469" t="n"/>
      <c r="V923" s="469" t="n"/>
      <c r="W923" s="469" t="n"/>
      <c r="X923" s="469" t="n"/>
      <c r="Y923" s="469" t="n"/>
      <c r="Z923" s="469" t="n"/>
      <c r="AA923" s="469" t="n"/>
    </row>
    <row r="924">
      <c r="A924" s="468" t="n"/>
      <c r="B924" s="469" t="n"/>
      <c r="C924" s="469" t="n"/>
      <c r="D924" s="469" t="n"/>
      <c r="E924" s="469" t="n"/>
      <c r="F924" s="469" t="n"/>
      <c r="G924" s="469" t="n"/>
      <c r="H924" s="469" t="n"/>
      <c r="I924" s="469" t="n"/>
      <c r="J924" s="469" t="n"/>
      <c r="K924" s="469" t="n"/>
      <c r="L924" s="469" t="n"/>
      <c r="M924" s="469" t="n"/>
      <c r="N924" s="469" t="n"/>
      <c r="O924" s="469" t="n"/>
      <c r="P924" s="471" t="n"/>
      <c r="Q924" s="469" t="n"/>
      <c r="R924" s="469" t="n"/>
      <c r="S924" s="469" t="n"/>
      <c r="T924" s="469" t="n"/>
      <c r="U924" s="469" t="n"/>
      <c r="V924" s="469" t="n"/>
      <c r="W924" s="469" t="n"/>
      <c r="X924" s="469" t="n"/>
      <c r="Y924" s="469" t="n"/>
      <c r="Z924" s="469" t="n"/>
      <c r="AA924" s="469" t="n"/>
    </row>
    <row r="925">
      <c r="A925" s="468" t="n"/>
      <c r="B925" s="469" t="n"/>
      <c r="C925" s="469" t="n"/>
      <c r="D925" s="469" t="n"/>
      <c r="E925" s="469" t="n"/>
      <c r="F925" s="469" t="n"/>
      <c r="G925" s="469" t="n"/>
      <c r="H925" s="469" t="n"/>
      <c r="I925" s="469" t="n"/>
      <c r="J925" s="469" t="n"/>
      <c r="K925" s="469" t="n"/>
      <c r="L925" s="469" t="n"/>
      <c r="M925" s="469" t="n"/>
      <c r="N925" s="469" t="n"/>
      <c r="O925" s="469" t="n"/>
      <c r="P925" s="471" t="n"/>
      <c r="Q925" s="469" t="n"/>
      <c r="R925" s="469" t="n"/>
      <c r="S925" s="469" t="n"/>
      <c r="T925" s="469" t="n"/>
      <c r="U925" s="469" t="n"/>
      <c r="V925" s="469" t="n"/>
      <c r="W925" s="469" t="n"/>
      <c r="X925" s="469" t="n"/>
      <c r="Y925" s="469" t="n"/>
      <c r="Z925" s="469" t="n"/>
      <c r="AA925" s="469" t="n"/>
    </row>
    <row r="926">
      <c r="A926" s="468" t="n"/>
      <c r="B926" s="469" t="n"/>
      <c r="C926" s="469" t="n"/>
      <c r="D926" s="469" t="n"/>
      <c r="E926" s="469" t="n"/>
      <c r="F926" s="469" t="n"/>
      <c r="G926" s="469" t="n"/>
      <c r="H926" s="469" t="n"/>
      <c r="I926" s="469" t="n"/>
      <c r="J926" s="469" t="n"/>
      <c r="K926" s="469" t="n"/>
      <c r="L926" s="469" t="n"/>
      <c r="M926" s="469" t="n"/>
      <c r="N926" s="469" t="n"/>
      <c r="O926" s="469" t="n"/>
      <c r="P926" s="471" t="n"/>
      <c r="Q926" s="469" t="n"/>
      <c r="R926" s="469" t="n"/>
      <c r="S926" s="469" t="n"/>
      <c r="T926" s="469" t="n"/>
      <c r="U926" s="469" t="n"/>
      <c r="V926" s="469" t="n"/>
      <c r="W926" s="469" t="n"/>
      <c r="X926" s="469" t="n"/>
      <c r="Y926" s="469" t="n"/>
      <c r="Z926" s="469" t="n"/>
      <c r="AA926" s="469" t="n"/>
    </row>
    <row r="927">
      <c r="A927" s="468" t="n"/>
      <c r="B927" s="469" t="n"/>
      <c r="C927" s="469" t="n"/>
      <c r="D927" s="469" t="n"/>
      <c r="E927" s="469" t="n"/>
      <c r="F927" s="469" t="n"/>
      <c r="G927" s="469" t="n"/>
      <c r="H927" s="469" t="n"/>
      <c r="I927" s="469" t="n"/>
      <c r="J927" s="469" t="n"/>
      <c r="K927" s="469" t="n"/>
      <c r="L927" s="469" t="n"/>
      <c r="M927" s="469" t="n"/>
      <c r="N927" s="469" t="n"/>
      <c r="O927" s="469" t="n"/>
      <c r="P927" s="471" t="n"/>
      <c r="Q927" s="469" t="n"/>
      <c r="R927" s="469" t="n"/>
      <c r="S927" s="469" t="n"/>
      <c r="T927" s="469" t="n"/>
      <c r="U927" s="469" t="n"/>
      <c r="V927" s="469" t="n"/>
      <c r="W927" s="469" t="n"/>
      <c r="X927" s="469" t="n"/>
      <c r="Y927" s="469" t="n"/>
      <c r="Z927" s="469" t="n"/>
      <c r="AA927" s="469" t="n"/>
    </row>
    <row r="928">
      <c r="A928" s="468" t="n"/>
      <c r="B928" s="469" t="n"/>
      <c r="C928" s="469" t="n"/>
      <c r="D928" s="469" t="n"/>
      <c r="E928" s="469" t="n"/>
      <c r="F928" s="469" t="n"/>
      <c r="G928" s="469" t="n"/>
      <c r="H928" s="469" t="n"/>
      <c r="I928" s="469" t="n"/>
      <c r="J928" s="469" t="n"/>
      <c r="K928" s="469" t="n"/>
      <c r="L928" s="469" t="n"/>
      <c r="M928" s="469" t="n"/>
      <c r="N928" s="469" t="n"/>
      <c r="O928" s="469" t="n"/>
      <c r="P928" s="471" t="n"/>
      <c r="Q928" s="469" t="n"/>
      <c r="R928" s="469" t="n"/>
      <c r="S928" s="469" t="n"/>
      <c r="T928" s="469" t="n"/>
      <c r="U928" s="469" t="n"/>
      <c r="V928" s="469" t="n"/>
      <c r="W928" s="469" t="n"/>
      <c r="X928" s="469" t="n"/>
      <c r="Y928" s="469" t="n"/>
      <c r="Z928" s="469" t="n"/>
      <c r="AA928" s="469" t="n"/>
    </row>
    <row r="929">
      <c r="A929" s="468" t="n"/>
      <c r="B929" s="469" t="n"/>
      <c r="C929" s="469" t="n"/>
      <c r="D929" s="469" t="n"/>
      <c r="E929" s="469" t="n"/>
      <c r="F929" s="469" t="n"/>
      <c r="G929" s="469" t="n"/>
      <c r="H929" s="469" t="n"/>
      <c r="I929" s="469" t="n"/>
      <c r="J929" s="469" t="n"/>
      <c r="K929" s="469" t="n"/>
      <c r="L929" s="469" t="n"/>
      <c r="M929" s="469" t="n"/>
      <c r="N929" s="469" t="n"/>
      <c r="O929" s="469" t="n"/>
      <c r="P929" s="471" t="n"/>
      <c r="Q929" s="469" t="n"/>
      <c r="R929" s="469" t="n"/>
      <c r="S929" s="469" t="n"/>
      <c r="T929" s="469" t="n"/>
      <c r="U929" s="469" t="n"/>
      <c r="V929" s="469" t="n"/>
      <c r="W929" s="469" t="n"/>
      <c r="X929" s="469" t="n"/>
      <c r="Y929" s="469" t="n"/>
      <c r="Z929" s="469" t="n"/>
      <c r="AA929" s="469" t="n"/>
    </row>
    <row r="930">
      <c r="A930" s="468" t="n"/>
      <c r="B930" s="469" t="n"/>
      <c r="C930" s="469" t="n"/>
      <c r="D930" s="469" t="n"/>
      <c r="E930" s="469" t="n"/>
      <c r="F930" s="469" t="n"/>
      <c r="G930" s="469" t="n"/>
      <c r="H930" s="469" t="n"/>
      <c r="I930" s="469" t="n"/>
      <c r="J930" s="469" t="n"/>
      <c r="K930" s="469" t="n"/>
      <c r="L930" s="469" t="n"/>
      <c r="M930" s="469" t="n"/>
      <c r="N930" s="469" t="n"/>
      <c r="O930" s="469" t="n"/>
      <c r="P930" s="471" t="n"/>
      <c r="Q930" s="469" t="n"/>
      <c r="R930" s="469" t="n"/>
      <c r="S930" s="469" t="n"/>
      <c r="T930" s="469" t="n"/>
      <c r="U930" s="469" t="n"/>
      <c r="V930" s="469" t="n"/>
      <c r="W930" s="469" t="n"/>
      <c r="X930" s="469" t="n"/>
      <c r="Y930" s="469" t="n"/>
      <c r="Z930" s="469" t="n"/>
      <c r="AA930" s="469" t="n"/>
    </row>
    <row r="931">
      <c r="A931" s="468" t="n"/>
      <c r="B931" s="469" t="n"/>
      <c r="C931" s="469" t="n"/>
      <c r="D931" s="469" t="n"/>
      <c r="E931" s="469" t="n"/>
      <c r="F931" s="469" t="n"/>
      <c r="G931" s="469" t="n"/>
      <c r="H931" s="469" t="n"/>
      <c r="I931" s="469" t="n"/>
      <c r="J931" s="469" t="n"/>
      <c r="K931" s="469" t="n"/>
      <c r="L931" s="469" t="n"/>
      <c r="M931" s="469" t="n"/>
      <c r="N931" s="469" t="n"/>
      <c r="O931" s="469" t="n"/>
      <c r="P931" s="471" t="n"/>
      <c r="Q931" s="469" t="n"/>
      <c r="R931" s="469" t="n"/>
      <c r="S931" s="469" t="n"/>
      <c r="T931" s="469" t="n"/>
      <c r="U931" s="469" t="n"/>
      <c r="V931" s="469" t="n"/>
      <c r="W931" s="469" t="n"/>
      <c r="X931" s="469" t="n"/>
      <c r="Y931" s="469" t="n"/>
      <c r="Z931" s="469" t="n"/>
      <c r="AA931" s="469" t="n"/>
    </row>
    <row r="932">
      <c r="A932" s="468" t="n"/>
      <c r="B932" s="469" t="n"/>
      <c r="C932" s="469" t="n"/>
      <c r="D932" s="469" t="n"/>
      <c r="E932" s="469" t="n"/>
      <c r="F932" s="469" t="n"/>
      <c r="G932" s="469" t="n"/>
      <c r="H932" s="469" t="n"/>
      <c r="I932" s="469" t="n"/>
      <c r="J932" s="469" t="n"/>
      <c r="K932" s="469" t="n"/>
      <c r="L932" s="469" t="n"/>
      <c r="M932" s="469" t="n"/>
      <c r="N932" s="469" t="n"/>
      <c r="O932" s="469" t="n"/>
      <c r="P932" s="471" t="n"/>
      <c r="Q932" s="469" t="n"/>
      <c r="R932" s="469" t="n"/>
      <c r="S932" s="469" t="n"/>
      <c r="T932" s="469" t="n"/>
      <c r="U932" s="469" t="n"/>
      <c r="V932" s="469" t="n"/>
      <c r="W932" s="469" t="n"/>
      <c r="X932" s="469" t="n"/>
      <c r="Y932" s="469" t="n"/>
      <c r="Z932" s="469" t="n"/>
      <c r="AA932" s="469" t="n"/>
    </row>
    <row r="933">
      <c r="A933" s="468" t="n"/>
      <c r="B933" s="469" t="n"/>
      <c r="C933" s="469" t="n"/>
      <c r="D933" s="469" t="n"/>
      <c r="E933" s="469" t="n"/>
      <c r="F933" s="469" t="n"/>
      <c r="G933" s="469" t="n"/>
      <c r="H933" s="469" t="n"/>
      <c r="I933" s="469" t="n"/>
      <c r="J933" s="469" t="n"/>
      <c r="K933" s="469" t="n"/>
      <c r="L933" s="469" t="n"/>
      <c r="M933" s="469" t="n"/>
      <c r="N933" s="469" t="n"/>
      <c r="O933" s="469" t="n"/>
      <c r="P933" s="471" t="n"/>
      <c r="Q933" s="469" t="n"/>
      <c r="R933" s="469" t="n"/>
      <c r="S933" s="469" t="n"/>
      <c r="T933" s="469" t="n"/>
      <c r="U933" s="469" t="n"/>
      <c r="V933" s="469" t="n"/>
      <c r="W933" s="469" t="n"/>
      <c r="X933" s="469" t="n"/>
      <c r="Y933" s="469" t="n"/>
      <c r="Z933" s="469" t="n"/>
      <c r="AA933" s="469" t="n"/>
    </row>
    <row r="934">
      <c r="A934" s="468" t="n"/>
      <c r="B934" s="469" t="n"/>
      <c r="C934" s="469" t="n"/>
      <c r="D934" s="469" t="n"/>
      <c r="E934" s="469" t="n"/>
      <c r="F934" s="469" t="n"/>
      <c r="G934" s="469" t="n"/>
      <c r="H934" s="469" t="n"/>
      <c r="I934" s="469" t="n"/>
      <c r="J934" s="469" t="n"/>
      <c r="K934" s="469" t="n"/>
      <c r="L934" s="469" t="n"/>
      <c r="M934" s="469" t="n"/>
      <c r="N934" s="469" t="n"/>
      <c r="O934" s="469" t="n"/>
      <c r="P934" s="471" t="n"/>
      <c r="Q934" s="469" t="n"/>
      <c r="R934" s="469" t="n"/>
      <c r="S934" s="469" t="n"/>
      <c r="T934" s="469" t="n"/>
      <c r="U934" s="469" t="n"/>
      <c r="V934" s="469" t="n"/>
      <c r="W934" s="469" t="n"/>
      <c r="X934" s="469" t="n"/>
      <c r="Y934" s="469" t="n"/>
      <c r="Z934" s="469" t="n"/>
      <c r="AA934" s="469" t="n"/>
    </row>
    <row r="935">
      <c r="A935" s="468" t="n"/>
      <c r="B935" s="469" t="n"/>
      <c r="C935" s="469" t="n"/>
      <c r="D935" s="469" t="n"/>
      <c r="E935" s="469" t="n"/>
      <c r="F935" s="469" t="n"/>
      <c r="G935" s="469" t="n"/>
      <c r="H935" s="469" t="n"/>
      <c r="I935" s="469" t="n"/>
      <c r="J935" s="469" t="n"/>
      <c r="K935" s="469" t="n"/>
      <c r="L935" s="469" t="n"/>
      <c r="M935" s="469" t="n"/>
      <c r="N935" s="469" t="n"/>
      <c r="O935" s="469" t="n"/>
      <c r="P935" s="471" t="n"/>
      <c r="Q935" s="469" t="n"/>
      <c r="R935" s="469" t="n"/>
      <c r="S935" s="469" t="n"/>
      <c r="T935" s="469" t="n"/>
      <c r="U935" s="469" t="n"/>
      <c r="V935" s="469" t="n"/>
      <c r="W935" s="469" t="n"/>
      <c r="X935" s="469" t="n"/>
      <c r="Y935" s="469" t="n"/>
      <c r="Z935" s="469" t="n"/>
      <c r="AA935" s="469" t="n"/>
    </row>
    <row r="936">
      <c r="A936" s="468" t="n"/>
      <c r="B936" s="469" t="n"/>
      <c r="C936" s="469" t="n"/>
      <c r="D936" s="469" t="n"/>
      <c r="E936" s="469" t="n"/>
      <c r="F936" s="469" t="n"/>
      <c r="G936" s="469" t="n"/>
      <c r="H936" s="469" t="n"/>
      <c r="I936" s="469" t="n"/>
      <c r="J936" s="469" t="n"/>
      <c r="K936" s="469" t="n"/>
      <c r="L936" s="469" t="n"/>
      <c r="M936" s="469" t="n"/>
      <c r="N936" s="469" t="n"/>
      <c r="O936" s="469" t="n"/>
      <c r="P936" s="471" t="n"/>
      <c r="Q936" s="469" t="n"/>
      <c r="R936" s="469" t="n"/>
      <c r="S936" s="469" t="n"/>
      <c r="T936" s="469" t="n"/>
      <c r="U936" s="469" t="n"/>
      <c r="V936" s="469" t="n"/>
      <c r="W936" s="469" t="n"/>
      <c r="X936" s="469" t="n"/>
      <c r="Y936" s="469" t="n"/>
      <c r="Z936" s="469" t="n"/>
      <c r="AA936" s="469" t="n"/>
    </row>
    <row r="937">
      <c r="A937" s="468" t="n"/>
      <c r="B937" s="469" t="n"/>
      <c r="C937" s="469" t="n"/>
      <c r="D937" s="469" t="n"/>
      <c r="E937" s="469" t="n"/>
      <c r="F937" s="469" t="n"/>
      <c r="G937" s="469" t="n"/>
      <c r="H937" s="469" t="n"/>
      <c r="I937" s="469" t="n"/>
      <c r="J937" s="469" t="n"/>
      <c r="K937" s="469" t="n"/>
      <c r="L937" s="469" t="n"/>
      <c r="M937" s="469" t="n"/>
      <c r="N937" s="469" t="n"/>
      <c r="O937" s="469" t="n"/>
      <c r="P937" s="471" t="n"/>
      <c r="Q937" s="469" t="n"/>
      <c r="R937" s="469" t="n"/>
      <c r="S937" s="469" t="n"/>
      <c r="T937" s="469" t="n"/>
      <c r="U937" s="469" t="n"/>
      <c r="V937" s="469" t="n"/>
      <c r="W937" s="469" t="n"/>
      <c r="X937" s="469" t="n"/>
      <c r="Y937" s="469" t="n"/>
      <c r="Z937" s="469" t="n"/>
      <c r="AA937" s="469" t="n"/>
    </row>
    <row r="938">
      <c r="A938" s="468" t="n"/>
      <c r="B938" s="469" t="n"/>
      <c r="C938" s="469" t="n"/>
      <c r="D938" s="469" t="n"/>
      <c r="E938" s="469" t="n"/>
      <c r="F938" s="469" t="n"/>
      <c r="G938" s="469" t="n"/>
      <c r="H938" s="469" t="n"/>
      <c r="I938" s="469" t="n"/>
      <c r="J938" s="469" t="n"/>
      <c r="K938" s="469" t="n"/>
      <c r="L938" s="469" t="n"/>
      <c r="M938" s="469" t="n"/>
      <c r="N938" s="469" t="n"/>
      <c r="O938" s="469" t="n"/>
      <c r="P938" s="471" t="n"/>
      <c r="Q938" s="469" t="n"/>
      <c r="R938" s="469" t="n"/>
      <c r="S938" s="469" t="n"/>
      <c r="T938" s="469" t="n"/>
      <c r="U938" s="469" t="n"/>
      <c r="V938" s="469" t="n"/>
      <c r="W938" s="469" t="n"/>
      <c r="X938" s="469" t="n"/>
      <c r="Y938" s="469" t="n"/>
      <c r="Z938" s="469" t="n"/>
      <c r="AA938" s="469" t="n"/>
    </row>
    <row r="939">
      <c r="A939" s="468" t="n"/>
      <c r="B939" s="469" t="n"/>
      <c r="C939" s="469" t="n"/>
      <c r="D939" s="469" t="n"/>
      <c r="E939" s="469" t="n"/>
      <c r="F939" s="469" t="n"/>
      <c r="G939" s="469" t="n"/>
      <c r="H939" s="469" t="n"/>
      <c r="I939" s="469" t="n"/>
      <c r="J939" s="469" t="n"/>
      <c r="K939" s="469" t="n"/>
      <c r="L939" s="469" t="n"/>
      <c r="M939" s="469" t="n"/>
      <c r="N939" s="469" t="n"/>
      <c r="O939" s="469" t="n"/>
      <c r="P939" s="471" t="n"/>
      <c r="Q939" s="469" t="n"/>
      <c r="R939" s="469" t="n"/>
      <c r="S939" s="469" t="n"/>
      <c r="T939" s="469" t="n"/>
      <c r="U939" s="469" t="n"/>
      <c r="V939" s="469" t="n"/>
      <c r="W939" s="469" t="n"/>
      <c r="X939" s="469" t="n"/>
      <c r="Y939" s="469" t="n"/>
      <c r="Z939" s="469" t="n"/>
      <c r="AA939" s="469" t="n"/>
    </row>
    <row r="940">
      <c r="A940" s="468" t="n"/>
      <c r="B940" s="469" t="n"/>
      <c r="C940" s="469" t="n"/>
      <c r="D940" s="469" t="n"/>
      <c r="E940" s="469" t="n"/>
      <c r="F940" s="469" t="n"/>
      <c r="G940" s="469" t="n"/>
      <c r="H940" s="469" t="n"/>
      <c r="I940" s="469" t="n"/>
      <c r="J940" s="469" t="n"/>
      <c r="K940" s="469" t="n"/>
      <c r="L940" s="469" t="n"/>
      <c r="M940" s="469" t="n"/>
      <c r="N940" s="469" t="n"/>
      <c r="O940" s="469" t="n"/>
      <c r="P940" s="471" t="n"/>
      <c r="Q940" s="469" t="n"/>
      <c r="R940" s="469" t="n"/>
      <c r="S940" s="469" t="n"/>
      <c r="T940" s="469" t="n"/>
      <c r="U940" s="469" t="n"/>
      <c r="V940" s="469" t="n"/>
      <c r="W940" s="469" t="n"/>
      <c r="X940" s="469" t="n"/>
      <c r="Y940" s="469" t="n"/>
      <c r="Z940" s="469" t="n"/>
      <c r="AA940" s="469" t="n"/>
    </row>
    <row r="941">
      <c r="A941" s="468" t="n"/>
      <c r="B941" s="469" t="n"/>
      <c r="C941" s="469" t="n"/>
      <c r="D941" s="469" t="n"/>
      <c r="E941" s="469" t="n"/>
      <c r="F941" s="469" t="n"/>
      <c r="G941" s="469" t="n"/>
      <c r="H941" s="469" t="n"/>
      <c r="I941" s="469" t="n"/>
      <c r="J941" s="469" t="n"/>
      <c r="K941" s="469" t="n"/>
      <c r="L941" s="469" t="n"/>
      <c r="M941" s="469" t="n"/>
      <c r="N941" s="469" t="n"/>
      <c r="O941" s="469" t="n"/>
      <c r="P941" s="471" t="n"/>
      <c r="Q941" s="469" t="n"/>
      <c r="R941" s="469" t="n"/>
      <c r="S941" s="469" t="n"/>
      <c r="T941" s="469" t="n"/>
      <c r="U941" s="469" t="n"/>
      <c r="V941" s="469" t="n"/>
      <c r="W941" s="469" t="n"/>
      <c r="X941" s="469" t="n"/>
      <c r="Y941" s="469" t="n"/>
      <c r="Z941" s="469" t="n"/>
      <c r="AA941" s="469" t="n"/>
    </row>
    <row r="942">
      <c r="A942" s="468" t="n"/>
      <c r="B942" s="469" t="n"/>
      <c r="C942" s="469" t="n"/>
      <c r="D942" s="469" t="n"/>
      <c r="E942" s="469" t="n"/>
      <c r="F942" s="469" t="n"/>
      <c r="G942" s="469" t="n"/>
      <c r="H942" s="469" t="n"/>
      <c r="I942" s="469" t="n"/>
      <c r="J942" s="469" t="n"/>
      <c r="K942" s="469" t="n"/>
      <c r="L942" s="469" t="n"/>
      <c r="M942" s="469" t="n"/>
      <c r="N942" s="469" t="n"/>
      <c r="O942" s="469" t="n"/>
      <c r="P942" s="471" t="n"/>
      <c r="Q942" s="469" t="n"/>
      <c r="R942" s="469" t="n"/>
      <c r="S942" s="469" t="n"/>
      <c r="T942" s="469" t="n"/>
      <c r="U942" s="469" t="n"/>
      <c r="V942" s="469" t="n"/>
      <c r="W942" s="469" t="n"/>
      <c r="X942" s="469" t="n"/>
      <c r="Y942" s="469" t="n"/>
      <c r="Z942" s="469" t="n"/>
      <c r="AA942" s="469" t="n"/>
    </row>
    <row r="943">
      <c r="A943" s="468" t="n"/>
      <c r="B943" s="469" t="n"/>
      <c r="C943" s="469" t="n"/>
      <c r="D943" s="469" t="n"/>
      <c r="E943" s="469" t="n"/>
      <c r="F943" s="469" t="n"/>
      <c r="G943" s="469" t="n"/>
      <c r="H943" s="469" t="n"/>
      <c r="I943" s="469" t="n"/>
      <c r="J943" s="469" t="n"/>
      <c r="K943" s="469" t="n"/>
      <c r="L943" s="469" t="n"/>
      <c r="M943" s="469" t="n"/>
      <c r="N943" s="469" t="n"/>
      <c r="O943" s="469" t="n"/>
      <c r="P943" s="471" t="n"/>
      <c r="Q943" s="469" t="n"/>
      <c r="R943" s="469" t="n"/>
      <c r="S943" s="469" t="n"/>
      <c r="T943" s="469" t="n"/>
      <c r="U943" s="469" t="n"/>
      <c r="V943" s="469" t="n"/>
      <c r="W943" s="469" t="n"/>
      <c r="X943" s="469" t="n"/>
      <c r="Y943" s="469" t="n"/>
      <c r="Z943" s="469" t="n"/>
      <c r="AA943" s="469" t="n"/>
    </row>
    <row r="944">
      <c r="A944" s="468" t="n"/>
      <c r="B944" s="469" t="n"/>
      <c r="C944" s="469" t="n"/>
      <c r="D944" s="469" t="n"/>
      <c r="E944" s="469" t="n"/>
      <c r="F944" s="469" t="n"/>
      <c r="G944" s="469" t="n"/>
      <c r="H944" s="469" t="n"/>
      <c r="I944" s="469" t="n"/>
      <c r="J944" s="469" t="n"/>
      <c r="K944" s="469" t="n"/>
      <c r="L944" s="469" t="n"/>
      <c r="M944" s="469" t="n"/>
      <c r="N944" s="469" t="n"/>
      <c r="O944" s="469" t="n"/>
      <c r="P944" s="471" t="n"/>
      <c r="Q944" s="469" t="n"/>
      <c r="R944" s="469" t="n"/>
      <c r="S944" s="469" t="n"/>
      <c r="T944" s="469" t="n"/>
      <c r="U944" s="469" t="n"/>
      <c r="V944" s="469" t="n"/>
      <c r="W944" s="469" t="n"/>
      <c r="X944" s="469" t="n"/>
      <c r="Y944" s="469" t="n"/>
      <c r="Z944" s="469" t="n"/>
      <c r="AA944" s="469" t="n"/>
    </row>
    <row r="945">
      <c r="A945" s="468" t="n"/>
      <c r="B945" s="469" t="n"/>
      <c r="C945" s="469" t="n"/>
      <c r="D945" s="469" t="n"/>
      <c r="E945" s="469" t="n"/>
      <c r="F945" s="469" t="n"/>
      <c r="G945" s="469" t="n"/>
      <c r="H945" s="469" t="n"/>
      <c r="I945" s="469" t="n"/>
      <c r="J945" s="469" t="n"/>
      <c r="K945" s="469" t="n"/>
      <c r="L945" s="469" t="n"/>
      <c r="M945" s="469" t="n"/>
      <c r="N945" s="469" t="n"/>
      <c r="O945" s="469" t="n"/>
      <c r="P945" s="471" t="n"/>
      <c r="Q945" s="469" t="n"/>
      <c r="R945" s="469" t="n"/>
      <c r="S945" s="469" t="n"/>
      <c r="T945" s="469" t="n"/>
      <c r="U945" s="469" t="n"/>
      <c r="V945" s="469" t="n"/>
      <c r="W945" s="469" t="n"/>
      <c r="X945" s="469" t="n"/>
      <c r="Y945" s="469" t="n"/>
      <c r="Z945" s="469" t="n"/>
      <c r="AA945" s="469" t="n"/>
    </row>
    <row r="946">
      <c r="A946" s="468" t="n"/>
      <c r="B946" s="469" t="n"/>
      <c r="C946" s="469" t="n"/>
      <c r="D946" s="469" t="n"/>
      <c r="E946" s="469" t="n"/>
      <c r="F946" s="469" t="n"/>
      <c r="G946" s="469" t="n"/>
      <c r="H946" s="469" t="n"/>
      <c r="I946" s="469" t="n"/>
      <c r="J946" s="469" t="n"/>
      <c r="K946" s="469" t="n"/>
      <c r="L946" s="469" t="n"/>
      <c r="M946" s="469" t="n"/>
      <c r="N946" s="469" t="n"/>
      <c r="O946" s="469" t="n"/>
      <c r="P946" s="471" t="n"/>
      <c r="Q946" s="469" t="n"/>
      <c r="R946" s="469" t="n"/>
      <c r="S946" s="469" t="n"/>
      <c r="T946" s="469" t="n"/>
      <c r="U946" s="469" t="n"/>
      <c r="V946" s="469" t="n"/>
      <c r="W946" s="469" t="n"/>
      <c r="X946" s="469" t="n"/>
      <c r="Y946" s="469" t="n"/>
      <c r="Z946" s="469" t="n"/>
      <c r="AA946" s="469" t="n"/>
    </row>
    <row r="947">
      <c r="A947" s="468" t="n"/>
      <c r="B947" s="469" t="n"/>
      <c r="C947" s="469" t="n"/>
      <c r="D947" s="469" t="n"/>
      <c r="E947" s="469" t="n"/>
      <c r="F947" s="469" t="n"/>
      <c r="G947" s="469" t="n"/>
      <c r="H947" s="469" t="n"/>
      <c r="I947" s="469" t="n"/>
      <c r="J947" s="469" t="n"/>
      <c r="K947" s="469" t="n"/>
      <c r="L947" s="469" t="n"/>
      <c r="M947" s="469" t="n"/>
      <c r="N947" s="469" t="n"/>
      <c r="O947" s="469" t="n"/>
      <c r="P947" s="471" t="n"/>
      <c r="Q947" s="469" t="n"/>
      <c r="R947" s="469" t="n"/>
      <c r="S947" s="469" t="n"/>
      <c r="T947" s="469" t="n"/>
      <c r="U947" s="469" t="n"/>
      <c r="V947" s="469" t="n"/>
      <c r="W947" s="469" t="n"/>
      <c r="X947" s="469" t="n"/>
      <c r="Y947" s="469" t="n"/>
      <c r="Z947" s="469" t="n"/>
      <c r="AA947" s="469" t="n"/>
    </row>
    <row r="948">
      <c r="A948" s="468" t="n"/>
      <c r="B948" s="469" t="n"/>
      <c r="C948" s="469" t="n"/>
      <c r="D948" s="469" t="n"/>
      <c r="E948" s="469" t="n"/>
      <c r="F948" s="469" t="n"/>
      <c r="G948" s="469" t="n"/>
      <c r="H948" s="469" t="n"/>
      <c r="I948" s="469" t="n"/>
      <c r="J948" s="469" t="n"/>
      <c r="K948" s="469" t="n"/>
      <c r="L948" s="469" t="n"/>
      <c r="M948" s="469" t="n"/>
      <c r="N948" s="469" t="n"/>
      <c r="O948" s="469" t="n"/>
      <c r="P948" s="471" t="n"/>
      <c r="Q948" s="469" t="n"/>
      <c r="R948" s="469" t="n"/>
      <c r="S948" s="469" t="n"/>
      <c r="T948" s="469" t="n"/>
      <c r="U948" s="469" t="n"/>
      <c r="V948" s="469" t="n"/>
      <c r="W948" s="469" t="n"/>
      <c r="X948" s="469" t="n"/>
      <c r="Y948" s="469" t="n"/>
      <c r="Z948" s="469" t="n"/>
      <c r="AA948" s="469" t="n"/>
    </row>
    <row r="949">
      <c r="A949" s="468" t="n"/>
      <c r="B949" s="469" t="n"/>
      <c r="C949" s="469" t="n"/>
      <c r="D949" s="469" t="n"/>
      <c r="E949" s="469" t="n"/>
      <c r="F949" s="469" t="n"/>
      <c r="G949" s="469" t="n"/>
      <c r="H949" s="469" t="n"/>
      <c r="I949" s="469" t="n"/>
      <c r="J949" s="469" t="n"/>
      <c r="K949" s="469" t="n"/>
      <c r="L949" s="469" t="n"/>
      <c r="M949" s="469" t="n"/>
      <c r="N949" s="469" t="n"/>
      <c r="O949" s="469" t="n"/>
      <c r="P949" s="471" t="n"/>
      <c r="Q949" s="469" t="n"/>
      <c r="R949" s="469" t="n"/>
      <c r="S949" s="469" t="n"/>
      <c r="T949" s="469" t="n"/>
      <c r="U949" s="469" t="n"/>
      <c r="V949" s="469" t="n"/>
      <c r="W949" s="469" t="n"/>
      <c r="X949" s="469" t="n"/>
      <c r="Y949" s="469" t="n"/>
      <c r="Z949" s="469" t="n"/>
      <c r="AA949" s="469" t="n"/>
    </row>
    <row r="950">
      <c r="A950" s="468" t="n"/>
      <c r="B950" s="469" t="n"/>
      <c r="C950" s="469" t="n"/>
      <c r="D950" s="469" t="n"/>
      <c r="E950" s="469" t="n"/>
      <c r="F950" s="469" t="n"/>
      <c r="G950" s="469" t="n"/>
      <c r="H950" s="469" t="n"/>
      <c r="I950" s="469" t="n"/>
      <c r="J950" s="469" t="n"/>
      <c r="K950" s="469" t="n"/>
      <c r="L950" s="469" t="n"/>
      <c r="M950" s="469" t="n"/>
      <c r="N950" s="469" t="n"/>
      <c r="O950" s="469" t="n"/>
      <c r="P950" s="471" t="n"/>
      <c r="Q950" s="469" t="n"/>
      <c r="R950" s="469" t="n"/>
      <c r="S950" s="469" t="n"/>
      <c r="T950" s="469" t="n"/>
      <c r="U950" s="469" t="n"/>
      <c r="V950" s="469" t="n"/>
      <c r="W950" s="469" t="n"/>
      <c r="X950" s="469" t="n"/>
      <c r="Y950" s="469" t="n"/>
      <c r="Z950" s="469" t="n"/>
      <c r="AA950" s="469" t="n"/>
    </row>
    <row r="951">
      <c r="A951" s="468" t="n"/>
      <c r="B951" s="469" t="n"/>
      <c r="C951" s="469" t="n"/>
      <c r="D951" s="469" t="n"/>
      <c r="E951" s="469" t="n"/>
      <c r="F951" s="469" t="n"/>
      <c r="G951" s="469" t="n"/>
      <c r="H951" s="469" t="n"/>
      <c r="I951" s="469" t="n"/>
      <c r="J951" s="469" t="n"/>
      <c r="K951" s="469" t="n"/>
      <c r="L951" s="469" t="n"/>
      <c r="M951" s="469" t="n"/>
      <c r="N951" s="469" t="n"/>
      <c r="O951" s="469" t="n"/>
      <c r="P951" s="471" t="n"/>
      <c r="Q951" s="469" t="n"/>
      <c r="R951" s="469" t="n"/>
      <c r="S951" s="469" t="n"/>
      <c r="T951" s="469" t="n"/>
      <c r="U951" s="469" t="n"/>
      <c r="V951" s="469" t="n"/>
      <c r="W951" s="469" t="n"/>
      <c r="X951" s="469" t="n"/>
      <c r="Y951" s="469" t="n"/>
      <c r="Z951" s="469" t="n"/>
      <c r="AA951" s="469" t="n"/>
    </row>
    <row r="952">
      <c r="A952" s="468" t="n"/>
      <c r="B952" s="469" t="n"/>
      <c r="C952" s="469" t="n"/>
      <c r="D952" s="469" t="n"/>
      <c r="E952" s="469" t="n"/>
      <c r="F952" s="469" t="n"/>
      <c r="G952" s="469" t="n"/>
      <c r="H952" s="469" t="n"/>
      <c r="I952" s="469" t="n"/>
      <c r="J952" s="469" t="n"/>
      <c r="K952" s="469" t="n"/>
      <c r="L952" s="469" t="n"/>
      <c r="M952" s="469" t="n"/>
      <c r="N952" s="469" t="n"/>
      <c r="O952" s="469" t="n"/>
      <c r="P952" s="471" t="n"/>
      <c r="Q952" s="469" t="n"/>
      <c r="R952" s="469" t="n"/>
      <c r="S952" s="469" t="n"/>
      <c r="T952" s="469" t="n"/>
      <c r="U952" s="469" t="n"/>
      <c r="V952" s="469" t="n"/>
      <c r="W952" s="469" t="n"/>
      <c r="X952" s="469" t="n"/>
      <c r="Y952" s="469" t="n"/>
      <c r="Z952" s="469" t="n"/>
      <c r="AA952" s="469" t="n"/>
    </row>
    <row r="953">
      <c r="A953" s="468" t="n"/>
      <c r="B953" s="469" t="n"/>
      <c r="C953" s="469" t="n"/>
      <c r="D953" s="469" t="n"/>
      <c r="E953" s="469" t="n"/>
      <c r="F953" s="469" t="n"/>
      <c r="G953" s="469" t="n"/>
      <c r="H953" s="469" t="n"/>
      <c r="I953" s="469" t="n"/>
      <c r="J953" s="469" t="n"/>
      <c r="K953" s="469" t="n"/>
      <c r="L953" s="469" t="n"/>
      <c r="M953" s="469" t="n"/>
      <c r="N953" s="469" t="n"/>
      <c r="O953" s="469" t="n"/>
      <c r="P953" s="471" t="n"/>
      <c r="Q953" s="469" t="n"/>
      <c r="R953" s="469" t="n"/>
      <c r="S953" s="469" t="n"/>
      <c r="T953" s="469" t="n"/>
      <c r="U953" s="469" t="n"/>
      <c r="V953" s="469" t="n"/>
      <c r="W953" s="469" t="n"/>
      <c r="X953" s="469" t="n"/>
      <c r="Y953" s="469" t="n"/>
      <c r="Z953" s="469" t="n"/>
      <c r="AA953" s="469" t="n"/>
    </row>
    <row r="954">
      <c r="A954" s="468" t="n"/>
      <c r="B954" s="469" t="n"/>
      <c r="C954" s="469" t="n"/>
      <c r="D954" s="469" t="n"/>
      <c r="E954" s="469" t="n"/>
      <c r="F954" s="469" t="n"/>
      <c r="G954" s="469" t="n"/>
      <c r="H954" s="469" t="n"/>
      <c r="I954" s="469" t="n"/>
      <c r="J954" s="469" t="n"/>
      <c r="K954" s="469" t="n"/>
      <c r="L954" s="469" t="n"/>
      <c r="M954" s="469" t="n"/>
      <c r="N954" s="469" t="n"/>
      <c r="O954" s="469" t="n"/>
      <c r="P954" s="471" t="n"/>
      <c r="Q954" s="469" t="n"/>
      <c r="R954" s="469" t="n"/>
      <c r="S954" s="469" t="n"/>
      <c r="T954" s="469" t="n"/>
      <c r="U954" s="469" t="n"/>
      <c r="V954" s="469" t="n"/>
      <c r="W954" s="469" t="n"/>
      <c r="X954" s="469" t="n"/>
      <c r="Y954" s="469" t="n"/>
      <c r="Z954" s="469" t="n"/>
      <c r="AA954" s="469" t="n"/>
    </row>
    <row r="955">
      <c r="A955" s="468" t="n"/>
      <c r="B955" s="469" t="n"/>
      <c r="C955" s="469" t="n"/>
      <c r="D955" s="469" t="n"/>
      <c r="E955" s="469" t="n"/>
      <c r="F955" s="469" t="n"/>
      <c r="G955" s="469" t="n"/>
      <c r="H955" s="469" t="n"/>
      <c r="I955" s="469" t="n"/>
      <c r="J955" s="469" t="n"/>
      <c r="K955" s="469" t="n"/>
      <c r="L955" s="469" t="n"/>
      <c r="M955" s="469" t="n"/>
      <c r="N955" s="469" t="n"/>
      <c r="O955" s="469" t="n"/>
      <c r="P955" s="471" t="n"/>
      <c r="Q955" s="469" t="n"/>
      <c r="R955" s="469" t="n"/>
      <c r="S955" s="469" t="n"/>
      <c r="T955" s="469" t="n"/>
      <c r="U955" s="469" t="n"/>
      <c r="V955" s="469" t="n"/>
      <c r="W955" s="469" t="n"/>
      <c r="X955" s="469" t="n"/>
      <c r="Y955" s="469" t="n"/>
      <c r="Z955" s="469" t="n"/>
      <c r="AA955" s="469" t="n"/>
    </row>
    <row r="956">
      <c r="A956" s="468" t="n"/>
      <c r="B956" s="469" t="n"/>
      <c r="C956" s="469" t="n"/>
      <c r="D956" s="469" t="n"/>
      <c r="E956" s="469" t="n"/>
      <c r="F956" s="469" t="n"/>
      <c r="G956" s="469" t="n"/>
      <c r="H956" s="469" t="n"/>
      <c r="I956" s="469" t="n"/>
      <c r="J956" s="469" t="n"/>
      <c r="K956" s="469" t="n"/>
      <c r="L956" s="469" t="n"/>
      <c r="M956" s="469" t="n"/>
      <c r="N956" s="469" t="n"/>
      <c r="O956" s="469" t="n"/>
      <c r="P956" s="471" t="n"/>
      <c r="Q956" s="469" t="n"/>
      <c r="R956" s="469" t="n"/>
      <c r="S956" s="469" t="n"/>
      <c r="T956" s="469" t="n"/>
      <c r="U956" s="469" t="n"/>
      <c r="V956" s="469" t="n"/>
      <c r="W956" s="469" t="n"/>
      <c r="X956" s="469" t="n"/>
      <c r="Y956" s="469" t="n"/>
      <c r="Z956" s="469" t="n"/>
      <c r="AA956" s="469" t="n"/>
    </row>
    <row r="957">
      <c r="A957" s="468" t="n"/>
      <c r="B957" s="469" t="n"/>
      <c r="C957" s="469" t="n"/>
      <c r="D957" s="469" t="n"/>
      <c r="E957" s="469" t="n"/>
      <c r="F957" s="469" t="n"/>
      <c r="G957" s="469" t="n"/>
      <c r="H957" s="469" t="n"/>
      <c r="I957" s="469" t="n"/>
      <c r="J957" s="469" t="n"/>
      <c r="K957" s="469" t="n"/>
      <c r="L957" s="469" t="n"/>
      <c r="M957" s="469" t="n"/>
      <c r="N957" s="469" t="n"/>
      <c r="O957" s="469" t="n"/>
      <c r="P957" s="471" t="n"/>
      <c r="Q957" s="469" t="n"/>
      <c r="R957" s="469" t="n"/>
      <c r="S957" s="469" t="n"/>
      <c r="T957" s="469" t="n"/>
      <c r="U957" s="469" t="n"/>
      <c r="V957" s="469" t="n"/>
      <c r="W957" s="469" t="n"/>
      <c r="X957" s="469" t="n"/>
      <c r="Y957" s="469" t="n"/>
      <c r="Z957" s="469" t="n"/>
      <c r="AA957" s="469" t="n"/>
    </row>
    <row r="958">
      <c r="A958" s="468" t="n"/>
      <c r="B958" s="469" t="n"/>
      <c r="C958" s="469" t="n"/>
      <c r="D958" s="469" t="n"/>
      <c r="E958" s="469" t="n"/>
      <c r="F958" s="469" t="n"/>
      <c r="G958" s="469" t="n"/>
      <c r="H958" s="469" t="n"/>
      <c r="I958" s="469" t="n"/>
      <c r="J958" s="469" t="n"/>
      <c r="K958" s="469" t="n"/>
      <c r="L958" s="469" t="n"/>
      <c r="M958" s="469" t="n"/>
      <c r="N958" s="469" t="n"/>
      <c r="O958" s="469" t="n"/>
      <c r="P958" s="471" t="n"/>
      <c r="Q958" s="469" t="n"/>
      <c r="R958" s="469" t="n"/>
      <c r="S958" s="469" t="n"/>
      <c r="T958" s="469" t="n"/>
      <c r="U958" s="469" t="n"/>
      <c r="V958" s="469" t="n"/>
      <c r="W958" s="469" t="n"/>
      <c r="X958" s="469" t="n"/>
      <c r="Y958" s="469" t="n"/>
      <c r="Z958" s="469" t="n"/>
      <c r="AA958" s="469" t="n"/>
    </row>
    <row r="959">
      <c r="A959" s="468" t="n"/>
      <c r="B959" s="469" t="n"/>
      <c r="C959" s="469" t="n"/>
      <c r="D959" s="469" t="n"/>
      <c r="E959" s="469" t="n"/>
      <c r="F959" s="469" t="n"/>
      <c r="G959" s="469" t="n"/>
      <c r="H959" s="469" t="n"/>
      <c r="I959" s="469" t="n"/>
      <c r="J959" s="469" t="n"/>
      <c r="K959" s="469" t="n"/>
      <c r="L959" s="469" t="n"/>
      <c r="M959" s="469" t="n"/>
      <c r="N959" s="469" t="n"/>
      <c r="O959" s="469" t="n"/>
      <c r="P959" s="471" t="n"/>
      <c r="Q959" s="469" t="n"/>
      <c r="R959" s="469" t="n"/>
      <c r="S959" s="469" t="n"/>
      <c r="T959" s="469" t="n"/>
      <c r="U959" s="469" t="n"/>
      <c r="V959" s="469" t="n"/>
      <c r="W959" s="469" t="n"/>
      <c r="X959" s="469" t="n"/>
      <c r="Y959" s="469" t="n"/>
      <c r="Z959" s="469" t="n"/>
      <c r="AA959" s="469" t="n"/>
    </row>
    <row r="960">
      <c r="A960" s="468" t="n"/>
      <c r="B960" s="469" t="n"/>
      <c r="C960" s="469" t="n"/>
      <c r="D960" s="469" t="n"/>
      <c r="E960" s="469" t="n"/>
      <c r="F960" s="469" t="n"/>
      <c r="G960" s="469" t="n"/>
      <c r="H960" s="469" t="n"/>
      <c r="I960" s="469" t="n"/>
      <c r="J960" s="469" t="n"/>
      <c r="K960" s="469" t="n"/>
      <c r="L960" s="469" t="n"/>
      <c r="M960" s="469" t="n"/>
      <c r="N960" s="469" t="n"/>
      <c r="O960" s="469" t="n"/>
      <c r="P960" s="471" t="n"/>
      <c r="Q960" s="469" t="n"/>
      <c r="R960" s="469" t="n"/>
      <c r="S960" s="469" t="n"/>
      <c r="T960" s="469" t="n"/>
      <c r="U960" s="469" t="n"/>
      <c r="V960" s="469" t="n"/>
      <c r="W960" s="469" t="n"/>
      <c r="X960" s="469" t="n"/>
      <c r="Y960" s="469" t="n"/>
      <c r="Z960" s="469" t="n"/>
      <c r="AA960" s="469" t="n"/>
    </row>
    <row r="961">
      <c r="A961" s="468" t="n"/>
      <c r="B961" s="469" t="n"/>
      <c r="C961" s="469" t="n"/>
      <c r="D961" s="469" t="n"/>
      <c r="E961" s="469" t="n"/>
      <c r="F961" s="469" t="n"/>
      <c r="G961" s="469" t="n"/>
      <c r="H961" s="469" t="n"/>
      <c r="I961" s="469" t="n"/>
      <c r="J961" s="469" t="n"/>
      <c r="K961" s="469" t="n"/>
      <c r="L961" s="469" t="n"/>
      <c r="M961" s="469" t="n"/>
      <c r="N961" s="469" t="n"/>
      <c r="O961" s="469" t="n"/>
      <c r="P961" s="471" t="n"/>
      <c r="Q961" s="469" t="n"/>
      <c r="R961" s="469" t="n"/>
      <c r="S961" s="469" t="n"/>
      <c r="T961" s="469" t="n"/>
      <c r="U961" s="469" t="n"/>
      <c r="V961" s="469" t="n"/>
      <c r="W961" s="469" t="n"/>
      <c r="X961" s="469" t="n"/>
      <c r="Y961" s="469" t="n"/>
      <c r="Z961" s="469" t="n"/>
      <c r="AA961" s="469" t="n"/>
    </row>
    <row r="962">
      <c r="A962" s="468" t="n"/>
      <c r="B962" s="469" t="n"/>
      <c r="C962" s="469" t="n"/>
      <c r="D962" s="469" t="n"/>
      <c r="E962" s="469" t="n"/>
      <c r="F962" s="469" t="n"/>
      <c r="G962" s="469" t="n"/>
      <c r="H962" s="469" t="n"/>
      <c r="I962" s="469" t="n"/>
      <c r="J962" s="469" t="n"/>
      <c r="K962" s="469" t="n"/>
      <c r="L962" s="469" t="n"/>
      <c r="M962" s="469" t="n"/>
      <c r="N962" s="469" t="n"/>
      <c r="O962" s="469" t="n"/>
      <c r="P962" s="471" t="n"/>
      <c r="Q962" s="469" t="n"/>
      <c r="R962" s="469" t="n"/>
      <c r="S962" s="469" t="n"/>
      <c r="T962" s="469" t="n"/>
      <c r="U962" s="469" t="n"/>
      <c r="V962" s="469" t="n"/>
      <c r="W962" s="469" t="n"/>
      <c r="X962" s="469" t="n"/>
      <c r="Y962" s="469" t="n"/>
      <c r="Z962" s="469" t="n"/>
      <c r="AA962" s="469" t="n"/>
    </row>
    <row r="963">
      <c r="A963" s="468" t="n"/>
      <c r="B963" s="469" t="n"/>
      <c r="C963" s="469" t="n"/>
      <c r="D963" s="469" t="n"/>
      <c r="E963" s="469" t="n"/>
      <c r="F963" s="469" t="n"/>
      <c r="G963" s="469" t="n"/>
      <c r="H963" s="469" t="n"/>
      <c r="I963" s="469" t="n"/>
      <c r="J963" s="469" t="n"/>
      <c r="K963" s="469" t="n"/>
      <c r="L963" s="469" t="n"/>
      <c r="M963" s="469" t="n"/>
      <c r="N963" s="469" t="n"/>
      <c r="O963" s="469" t="n"/>
      <c r="P963" s="471" t="n"/>
      <c r="Q963" s="469" t="n"/>
      <c r="R963" s="469" t="n"/>
      <c r="S963" s="469" t="n"/>
      <c r="T963" s="469" t="n"/>
      <c r="U963" s="469" t="n"/>
      <c r="V963" s="469" t="n"/>
      <c r="W963" s="469" t="n"/>
      <c r="X963" s="469" t="n"/>
      <c r="Y963" s="469" t="n"/>
      <c r="Z963" s="469" t="n"/>
      <c r="AA963" s="469" t="n"/>
    </row>
    <row r="964">
      <c r="A964" s="468" t="n"/>
      <c r="B964" s="469" t="n"/>
      <c r="C964" s="469" t="n"/>
      <c r="D964" s="469" t="n"/>
      <c r="E964" s="469" t="n"/>
      <c r="F964" s="469" t="n"/>
      <c r="G964" s="469" t="n"/>
      <c r="H964" s="469" t="n"/>
      <c r="I964" s="469" t="n"/>
      <c r="J964" s="469" t="n"/>
      <c r="K964" s="469" t="n"/>
      <c r="L964" s="469" t="n"/>
      <c r="M964" s="469" t="n"/>
      <c r="N964" s="469" t="n"/>
      <c r="O964" s="469" t="n"/>
      <c r="P964" s="471" t="n"/>
      <c r="Q964" s="469" t="n"/>
      <c r="R964" s="469" t="n"/>
      <c r="S964" s="469" t="n"/>
      <c r="T964" s="469" t="n"/>
      <c r="U964" s="469" t="n"/>
      <c r="V964" s="469" t="n"/>
      <c r="W964" s="469" t="n"/>
      <c r="X964" s="469" t="n"/>
      <c r="Y964" s="469" t="n"/>
      <c r="Z964" s="469" t="n"/>
      <c r="AA964" s="469" t="n"/>
    </row>
    <row r="965">
      <c r="A965" s="468" t="n"/>
      <c r="B965" s="469" t="n"/>
      <c r="C965" s="469" t="n"/>
      <c r="D965" s="469" t="n"/>
      <c r="E965" s="469" t="n"/>
      <c r="F965" s="469" t="n"/>
      <c r="G965" s="469" t="n"/>
      <c r="H965" s="469" t="n"/>
      <c r="I965" s="469" t="n"/>
      <c r="J965" s="469" t="n"/>
      <c r="K965" s="469" t="n"/>
      <c r="L965" s="469" t="n"/>
      <c r="M965" s="469" t="n"/>
      <c r="N965" s="469" t="n"/>
      <c r="O965" s="469" t="n"/>
      <c r="P965" s="471" t="n"/>
      <c r="Q965" s="469" t="n"/>
      <c r="R965" s="469" t="n"/>
      <c r="S965" s="469" t="n"/>
      <c r="T965" s="469" t="n"/>
      <c r="U965" s="469" t="n"/>
      <c r="V965" s="469" t="n"/>
      <c r="W965" s="469" t="n"/>
      <c r="X965" s="469" t="n"/>
      <c r="Y965" s="469" t="n"/>
      <c r="Z965" s="469" t="n"/>
      <c r="AA965" s="469" t="n"/>
    </row>
    <row r="966">
      <c r="A966" s="468" t="n"/>
      <c r="B966" s="469" t="n"/>
      <c r="C966" s="469" t="n"/>
      <c r="D966" s="469" t="n"/>
      <c r="E966" s="469" t="n"/>
      <c r="F966" s="469" t="n"/>
      <c r="G966" s="469" t="n"/>
      <c r="H966" s="469" t="n"/>
      <c r="I966" s="469" t="n"/>
      <c r="J966" s="469" t="n"/>
      <c r="K966" s="469" t="n"/>
      <c r="L966" s="469" t="n"/>
      <c r="M966" s="469" t="n"/>
      <c r="N966" s="469" t="n"/>
      <c r="O966" s="469" t="n"/>
      <c r="P966" s="471" t="n"/>
      <c r="Q966" s="469" t="n"/>
      <c r="R966" s="469" t="n"/>
      <c r="S966" s="469" t="n"/>
      <c r="T966" s="469" t="n"/>
      <c r="U966" s="469" t="n"/>
      <c r="V966" s="469" t="n"/>
      <c r="W966" s="469" t="n"/>
      <c r="X966" s="469" t="n"/>
      <c r="Y966" s="469" t="n"/>
      <c r="Z966" s="469" t="n"/>
      <c r="AA966" s="469" t="n"/>
    </row>
    <row r="967">
      <c r="A967" s="468" t="n"/>
      <c r="B967" s="469" t="n"/>
      <c r="C967" s="469" t="n"/>
      <c r="D967" s="469" t="n"/>
      <c r="E967" s="469" t="n"/>
      <c r="F967" s="469" t="n"/>
      <c r="G967" s="469" t="n"/>
      <c r="H967" s="469" t="n"/>
      <c r="I967" s="469" t="n"/>
      <c r="J967" s="469" t="n"/>
      <c r="K967" s="469" t="n"/>
      <c r="L967" s="469" t="n"/>
      <c r="M967" s="469" t="n"/>
      <c r="N967" s="469" t="n"/>
      <c r="O967" s="469" t="n"/>
      <c r="P967" s="471" t="n"/>
      <c r="Q967" s="469" t="n"/>
      <c r="R967" s="469" t="n"/>
      <c r="S967" s="469" t="n"/>
      <c r="T967" s="469" t="n"/>
      <c r="U967" s="469" t="n"/>
      <c r="V967" s="469" t="n"/>
      <c r="W967" s="469" t="n"/>
      <c r="X967" s="469" t="n"/>
      <c r="Y967" s="469" t="n"/>
      <c r="Z967" s="469" t="n"/>
      <c r="AA967" s="469" t="n"/>
    </row>
    <row r="968">
      <c r="A968" s="468" t="n"/>
      <c r="B968" s="469" t="n"/>
      <c r="C968" s="469" t="n"/>
      <c r="D968" s="469" t="n"/>
      <c r="E968" s="469" t="n"/>
      <c r="F968" s="469" t="n"/>
      <c r="G968" s="469" t="n"/>
      <c r="H968" s="469" t="n"/>
      <c r="I968" s="469" t="n"/>
      <c r="J968" s="469" t="n"/>
      <c r="K968" s="469" t="n"/>
      <c r="L968" s="469" t="n"/>
      <c r="M968" s="469" t="n"/>
      <c r="N968" s="469" t="n"/>
      <c r="O968" s="469" t="n"/>
      <c r="P968" s="471" t="n"/>
      <c r="Q968" s="469" t="n"/>
      <c r="R968" s="469" t="n"/>
      <c r="S968" s="469" t="n"/>
      <c r="T968" s="469" t="n"/>
      <c r="U968" s="469" t="n"/>
      <c r="V968" s="469" t="n"/>
      <c r="W968" s="469" t="n"/>
      <c r="X968" s="469" t="n"/>
      <c r="Y968" s="469" t="n"/>
      <c r="Z968" s="469" t="n"/>
      <c r="AA968" s="469" t="n"/>
    </row>
    <row r="969">
      <c r="A969" s="468" t="n"/>
      <c r="B969" s="469" t="n"/>
      <c r="C969" s="469" t="n"/>
      <c r="D969" s="469" t="n"/>
      <c r="E969" s="469" t="n"/>
      <c r="F969" s="469" t="n"/>
      <c r="G969" s="469" t="n"/>
      <c r="H969" s="469" t="n"/>
      <c r="I969" s="469" t="n"/>
      <c r="J969" s="469" t="n"/>
      <c r="K969" s="469" t="n"/>
      <c r="L969" s="469" t="n"/>
      <c r="M969" s="469" t="n"/>
      <c r="N969" s="469" t="n"/>
      <c r="O969" s="469" t="n"/>
      <c r="P969" s="471" t="n"/>
      <c r="Q969" s="469" t="n"/>
      <c r="R969" s="469" t="n"/>
      <c r="S969" s="469" t="n"/>
      <c r="T969" s="469" t="n"/>
      <c r="U969" s="469" t="n"/>
      <c r="V969" s="469" t="n"/>
      <c r="W969" s="469" t="n"/>
      <c r="X969" s="469" t="n"/>
      <c r="Y969" s="469" t="n"/>
      <c r="Z969" s="469" t="n"/>
      <c r="AA969" s="469" t="n"/>
    </row>
    <row r="970">
      <c r="A970" s="468" t="n"/>
      <c r="B970" s="469" t="n"/>
      <c r="C970" s="469" t="n"/>
      <c r="D970" s="469" t="n"/>
      <c r="E970" s="469" t="n"/>
      <c r="F970" s="469" t="n"/>
      <c r="G970" s="469" t="n"/>
      <c r="H970" s="469" t="n"/>
      <c r="I970" s="469" t="n"/>
      <c r="J970" s="469" t="n"/>
      <c r="K970" s="469" t="n"/>
      <c r="L970" s="469" t="n"/>
      <c r="M970" s="469" t="n"/>
      <c r="N970" s="469" t="n"/>
      <c r="O970" s="469" t="n"/>
      <c r="P970" s="471" t="n"/>
      <c r="Q970" s="469" t="n"/>
      <c r="R970" s="469" t="n"/>
      <c r="S970" s="469" t="n"/>
      <c r="T970" s="469" t="n"/>
      <c r="U970" s="469" t="n"/>
      <c r="V970" s="469" t="n"/>
      <c r="W970" s="469" t="n"/>
      <c r="X970" s="469" t="n"/>
      <c r="Y970" s="469" t="n"/>
      <c r="Z970" s="469" t="n"/>
      <c r="AA970" s="469" t="n"/>
    </row>
    <row r="971">
      <c r="A971" s="468" t="n"/>
      <c r="B971" s="469" t="n"/>
      <c r="C971" s="469" t="n"/>
      <c r="D971" s="469" t="n"/>
      <c r="E971" s="469" t="n"/>
      <c r="F971" s="469" t="n"/>
      <c r="G971" s="469" t="n"/>
      <c r="H971" s="469" t="n"/>
      <c r="I971" s="469" t="n"/>
      <c r="J971" s="469" t="n"/>
      <c r="K971" s="469" t="n"/>
      <c r="L971" s="469" t="n"/>
      <c r="M971" s="469" t="n"/>
      <c r="N971" s="469" t="n"/>
      <c r="O971" s="469" t="n"/>
      <c r="P971" s="471" t="n"/>
      <c r="Q971" s="469" t="n"/>
      <c r="R971" s="469" t="n"/>
      <c r="S971" s="469" t="n"/>
      <c r="T971" s="469" t="n"/>
      <c r="U971" s="469" t="n"/>
      <c r="V971" s="469" t="n"/>
      <c r="W971" s="469" t="n"/>
      <c r="X971" s="469" t="n"/>
      <c r="Y971" s="469" t="n"/>
      <c r="Z971" s="469" t="n"/>
      <c r="AA971" s="469" t="n"/>
    </row>
    <row r="972">
      <c r="A972" s="468" t="n"/>
      <c r="B972" s="469" t="n"/>
      <c r="C972" s="469" t="n"/>
      <c r="D972" s="469" t="n"/>
      <c r="E972" s="469" t="n"/>
      <c r="F972" s="469" t="n"/>
      <c r="G972" s="469" t="n"/>
      <c r="H972" s="469" t="n"/>
      <c r="I972" s="469" t="n"/>
      <c r="J972" s="469" t="n"/>
      <c r="K972" s="469" t="n"/>
      <c r="L972" s="469" t="n"/>
      <c r="M972" s="469" t="n"/>
      <c r="N972" s="469" t="n"/>
      <c r="O972" s="469" t="n"/>
      <c r="P972" s="471" t="n"/>
      <c r="Q972" s="469" t="n"/>
      <c r="R972" s="469" t="n"/>
      <c r="S972" s="469" t="n"/>
      <c r="T972" s="469" t="n"/>
      <c r="U972" s="469" t="n"/>
      <c r="V972" s="469" t="n"/>
      <c r="W972" s="469" t="n"/>
      <c r="X972" s="469" t="n"/>
      <c r="Y972" s="469" t="n"/>
      <c r="Z972" s="469" t="n"/>
      <c r="AA972" s="469" t="n"/>
    </row>
    <row r="973">
      <c r="A973" s="468" t="n"/>
      <c r="B973" s="469" t="n"/>
      <c r="C973" s="469" t="n"/>
      <c r="D973" s="469" t="n"/>
      <c r="E973" s="469" t="n"/>
      <c r="F973" s="469" t="n"/>
      <c r="G973" s="469" t="n"/>
      <c r="H973" s="469" t="n"/>
      <c r="I973" s="469" t="n"/>
      <c r="J973" s="469" t="n"/>
      <c r="K973" s="469" t="n"/>
      <c r="L973" s="469" t="n"/>
      <c r="M973" s="469" t="n"/>
      <c r="N973" s="469" t="n"/>
      <c r="O973" s="469" t="n"/>
      <c r="P973" s="471" t="n"/>
      <c r="Q973" s="469" t="n"/>
      <c r="R973" s="469" t="n"/>
      <c r="S973" s="469" t="n"/>
      <c r="T973" s="469" t="n"/>
      <c r="U973" s="469" t="n"/>
      <c r="V973" s="469" t="n"/>
      <c r="W973" s="469" t="n"/>
      <c r="X973" s="469" t="n"/>
      <c r="Y973" s="469" t="n"/>
      <c r="Z973" s="469" t="n"/>
      <c r="AA973" s="469" t="n"/>
    </row>
    <row r="974">
      <c r="A974" s="468" t="n"/>
      <c r="B974" s="469" t="n"/>
      <c r="C974" s="469" t="n"/>
      <c r="D974" s="469" t="n"/>
      <c r="E974" s="469" t="n"/>
      <c r="F974" s="469" t="n"/>
      <c r="G974" s="469" t="n"/>
      <c r="H974" s="469" t="n"/>
      <c r="I974" s="469" t="n"/>
      <c r="J974" s="469" t="n"/>
      <c r="K974" s="469" t="n"/>
      <c r="L974" s="469" t="n"/>
      <c r="M974" s="469" t="n"/>
      <c r="N974" s="469" t="n"/>
      <c r="O974" s="469" t="n"/>
      <c r="P974" s="471" t="n"/>
      <c r="Q974" s="469" t="n"/>
      <c r="R974" s="469" t="n"/>
      <c r="S974" s="469" t="n"/>
      <c r="T974" s="469" t="n"/>
      <c r="U974" s="469" t="n"/>
      <c r="V974" s="469" t="n"/>
      <c r="W974" s="469" t="n"/>
      <c r="X974" s="469" t="n"/>
      <c r="Y974" s="469" t="n"/>
      <c r="Z974" s="469" t="n"/>
      <c r="AA974" s="469" t="n"/>
    </row>
    <row r="975">
      <c r="A975" s="468" t="n"/>
      <c r="B975" s="469" t="n"/>
      <c r="C975" s="469" t="n"/>
      <c r="D975" s="469" t="n"/>
      <c r="E975" s="469" t="n"/>
      <c r="F975" s="469" t="n"/>
      <c r="G975" s="469" t="n"/>
      <c r="H975" s="469" t="n"/>
      <c r="I975" s="469" t="n"/>
      <c r="J975" s="469" t="n"/>
      <c r="K975" s="469" t="n"/>
      <c r="L975" s="469" t="n"/>
      <c r="M975" s="469" t="n"/>
      <c r="N975" s="469" t="n"/>
      <c r="O975" s="469" t="n"/>
      <c r="P975" s="471" t="n"/>
      <c r="Q975" s="469" t="n"/>
      <c r="R975" s="469" t="n"/>
      <c r="S975" s="469" t="n"/>
      <c r="T975" s="469" t="n"/>
      <c r="U975" s="469" t="n"/>
      <c r="V975" s="469" t="n"/>
      <c r="W975" s="469" t="n"/>
      <c r="X975" s="469" t="n"/>
      <c r="Y975" s="469" t="n"/>
      <c r="Z975" s="469" t="n"/>
      <c r="AA975" s="469" t="n"/>
    </row>
    <row r="976">
      <c r="A976" s="468" t="n"/>
      <c r="B976" s="469" t="n"/>
      <c r="C976" s="469" t="n"/>
      <c r="D976" s="469" t="n"/>
      <c r="E976" s="469" t="n"/>
      <c r="F976" s="469" t="n"/>
      <c r="G976" s="469" t="n"/>
      <c r="H976" s="469" t="n"/>
      <c r="I976" s="469" t="n"/>
      <c r="J976" s="469" t="n"/>
      <c r="K976" s="469" t="n"/>
      <c r="L976" s="469" t="n"/>
      <c r="M976" s="469" t="n"/>
      <c r="N976" s="469" t="n"/>
      <c r="O976" s="469" t="n"/>
      <c r="P976" s="471" t="n"/>
      <c r="Q976" s="469" t="n"/>
      <c r="R976" s="469" t="n"/>
      <c r="S976" s="469" t="n"/>
      <c r="T976" s="469" t="n"/>
      <c r="U976" s="469" t="n"/>
      <c r="V976" s="469" t="n"/>
      <c r="W976" s="469" t="n"/>
      <c r="X976" s="469" t="n"/>
      <c r="Y976" s="469" t="n"/>
      <c r="Z976" s="469" t="n"/>
      <c r="AA976" s="469" t="n"/>
    </row>
    <row r="977">
      <c r="A977" s="468" t="n"/>
      <c r="B977" s="469" t="n"/>
      <c r="C977" s="469" t="n"/>
      <c r="D977" s="469" t="n"/>
      <c r="E977" s="469" t="n"/>
      <c r="F977" s="469" t="n"/>
      <c r="G977" s="469" t="n"/>
      <c r="H977" s="469" t="n"/>
      <c r="I977" s="469" t="n"/>
      <c r="J977" s="469" t="n"/>
      <c r="K977" s="469" t="n"/>
      <c r="L977" s="469" t="n"/>
      <c r="M977" s="469" t="n"/>
      <c r="N977" s="469" t="n"/>
      <c r="O977" s="469" t="n"/>
      <c r="P977" s="471" t="n"/>
      <c r="Q977" s="469" t="n"/>
      <c r="R977" s="469" t="n"/>
      <c r="S977" s="469" t="n"/>
      <c r="T977" s="469" t="n"/>
      <c r="U977" s="469" t="n"/>
      <c r="V977" s="469" t="n"/>
      <c r="W977" s="469" t="n"/>
      <c r="X977" s="469" t="n"/>
      <c r="Y977" s="469" t="n"/>
      <c r="Z977" s="469" t="n"/>
      <c r="AA977" s="469" t="n"/>
    </row>
    <row r="978">
      <c r="A978" s="468" t="n"/>
      <c r="B978" s="469" t="n"/>
      <c r="C978" s="469" t="n"/>
      <c r="D978" s="469" t="n"/>
      <c r="E978" s="469" t="n"/>
      <c r="F978" s="469" t="n"/>
      <c r="G978" s="469" t="n"/>
      <c r="H978" s="469" t="n"/>
      <c r="I978" s="469" t="n"/>
      <c r="J978" s="469" t="n"/>
      <c r="K978" s="469" t="n"/>
      <c r="L978" s="469" t="n"/>
      <c r="M978" s="469" t="n"/>
      <c r="N978" s="469" t="n"/>
      <c r="O978" s="469" t="n"/>
      <c r="P978" s="471" t="n"/>
      <c r="Q978" s="469" t="n"/>
      <c r="R978" s="469" t="n"/>
      <c r="S978" s="469" t="n"/>
      <c r="T978" s="469" t="n"/>
      <c r="U978" s="469" t="n"/>
      <c r="V978" s="469" t="n"/>
      <c r="W978" s="469" t="n"/>
      <c r="X978" s="469" t="n"/>
      <c r="Y978" s="469" t="n"/>
      <c r="Z978" s="469" t="n"/>
      <c r="AA978" s="469" t="n"/>
    </row>
    <row r="979">
      <c r="A979" s="468" t="n"/>
      <c r="B979" s="469" t="n"/>
      <c r="C979" s="469" t="n"/>
      <c r="D979" s="469" t="n"/>
      <c r="E979" s="469" t="n"/>
      <c r="F979" s="469" t="n"/>
      <c r="G979" s="469" t="n"/>
      <c r="H979" s="469" t="n"/>
      <c r="I979" s="469" t="n"/>
      <c r="J979" s="469" t="n"/>
      <c r="K979" s="469" t="n"/>
      <c r="L979" s="469" t="n"/>
      <c r="M979" s="469" t="n"/>
      <c r="N979" s="469" t="n"/>
      <c r="O979" s="469" t="n"/>
      <c r="P979" s="471" t="n"/>
      <c r="Q979" s="469" t="n"/>
      <c r="R979" s="469" t="n"/>
      <c r="S979" s="469" t="n"/>
      <c r="T979" s="469" t="n"/>
      <c r="U979" s="469" t="n"/>
      <c r="V979" s="469" t="n"/>
      <c r="W979" s="469" t="n"/>
      <c r="X979" s="469" t="n"/>
      <c r="Y979" s="469" t="n"/>
      <c r="Z979" s="469" t="n"/>
      <c r="AA979" s="469" t="n"/>
    </row>
    <row r="980">
      <c r="A980" s="468" t="n"/>
      <c r="B980" s="469" t="n"/>
      <c r="C980" s="469" t="n"/>
      <c r="D980" s="469" t="n"/>
      <c r="E980" s="469" t="n"/>
      <c r="F980" s="469" t="n"/>
      <c r="G980" s="469" t="n"/>
      <c r="H980" s="469" t="n"/>
      <c r="I980" s="469" t="n"/>
      <c r="J980" s="469" t="n"/>
      <c r="K980" s="469" t="n"/>
      <c r="L980" s="469" t="n"/>
      <c r="M980" s="469" t="n"/>
      <c r="N980" s="469" t="n"/>
      <c r="O980" s="469" t="n"/>
      <c r="P980" s="471" t="n"/>
      <c r="Q980" s="469" t="n"/>
      <c r="R980" s="469" t="n"/>
      <c r="S980" s="469" t="n"/>
      <c r="T980" s="469" t="n"/>
      <c r="U980" s="469" t="n"/>
      <c r="V980" s="469" t="n"/>
      <c r="W980" s="469" t="n"/>
      <c r="X980" s="469" t="n"/>
      <c r="Y980" s="469" t="n"/>
      <c r="Z980" s="469" t="n"/>
      <c r="AA980" s="469" t="n"/>
    </row>
    <row r="981">
      <c r="A981" s="468" t="n"/>
      <c r="B981" s="469" t="n"/>
      <c r="C981" s="469" t="n"/>
      <c r="D981" s="469" t="n"/>
      <c r="E981" s="469" t="n"/>
      <c r="F981" s="469" t="n"/>
      <c r="G981" s="469" t="n"/>
      <c r="H981" s="469" t="n"/>
      <c r="I981" s="469" t="n"/>
      <c r="J981" s="469" t="n"/>
      <c r="K981" s="469" t="n"/>
      <c r="L981" s="469" t="n"/>
      <c r="M981" s="469" t="n"/>
      <c r="N981" s="469" t="n"/>
      <c r="O981" s="469" t="n"/>
      <c r="P981" s="471" t="n"/>
      <c r="Q981" s="469" t="n"/>
      <c r="R981" s="469" t="n"/>
      <c r="S981" s="469" t="n"/>
      <c r="T981" s="469" t="n"/>
      <c r="U981" s="469" t="n"/>
      <c r="V981" s="469" t="n"/>
      <c r="W981" s="469" t="n"/>
      <c r="X981" s="469" t="n"/>
      <c r="Y981" s="469" t="n"/>
      <c r="Z981" s="469" t="n"/>
      <c r="AA981" s="469" t="n"/>
    </row>
    <row r="982">
      <c r="A982" s="468" t="n"/>
      <c r="B982" s="469" t="n"/>
      <c r="C982" s="469" t="n"/>
      <c r="D982" s="469" t="n"/>
      <c r="E982" s="469" t="n"/>
      <c r="F982" s="469" t="n"/>
      <c r="G982" s="469" t="n"/>
      <c r="H982" s="469" t="n"/>
      <c r="I982" s="469" t="n"/>
      <c r="J982" s="469" t="n"/>
      <c r="K982" s="469" t="n"/>
      <c r="L982" s="469" t="n"/>
      <c r="M982" s="469" t="n"/>
      <c r="N982" s="469" t="n"/>
      <c r="O982" s="469" t="n"/>
      <c r="P982" s="471" t="n"/>
      <c r="Q982" s="469" t="n"/>
      <c r="R982" s="469" t="n"/>
      <c r="S982" s="469" t="n"/>
      <c r="T982" s="469" t="n"/>
      <c r="U982" s="469" t="n"/>
      <c r="V982" s="469" t="n"/>
      <c r="W982" s="469" t="n"/>
      <c r="X982" s="469" t="n"/>
      <c r="Y982" s="469" t="n"/>
      <c r="Z982" s="469" t="n"/>
      <c r="AA982" s="469" t="n"/>
    </row>
    <row r="983">
      <c r="A983" s="468" t="n"/>
      <c r="B983" s="469" t="n"/>
      <c r="C983" s="469" t="n"/>
      <c r="D983" s="469" t="n"/>
      <c r="E983" s="469" t="n"/>
      <c r="F983" s="469" t="n"/>
      <c r="G983" s="469" t="n"/>
      <c r="H983" s="469" t="n"/>
      <c r="I983" s="469" t="n"/>
      <c r="J983" s="469" t="n"/>
      <c r="K983" s="469" t="n"/>
      <c r="L983" s="469" t="n"/>
      <c r="M983" s="469" t="n"/>
      <c r="N983" s="469" t="n"/>
      <c r="O983" s="469" t="n"/>
      <c r="P983" s="471" t="n"/>
      <c r="Q983" s="469" t="n"/>
      <c r="R983" s="469" t="n"/>
      <c r="S983" s="469" t="n"/>
      <c r="T983" s="469" t="n"/>
      <c r="U983" s="469" t="n"/>
      <c r="V983" s="469" t="n"/>
      <c r="W983" s="469" t="n"/>
      <c r="X983" s="469" t="n"/>
      <c r="Y983" s="469" t="n"/>
      <c r="Z983" s="469" t="n"/>
      <c r="AA983" s="469" t="n"/>
    </row>
    <row r="984">
      <c r="A984" s="468" t="n"/>
      <c r="B984" s="469" t="n"/>
      <c r="C984" s="469" t="n"/>
      <c r="D984" s="469" t="n"/>
      <c r="E984" s="469" t="n"/>
      <c r="F984" s="469" t="n"/>
      <c r="G984" s="469" t="n"/>
      <c r="H984" s="469" t="n"/>
      <c r="I984" s="469" t="n"/>
      <c r="J984" s="469" t="n"/>
      <c r="K984" s="469" t="n"/>
      <c r="L984" s="469" t="n"/>
      <c r="M984" s="469" t="n"/>
      <c r="N984" s="469" t="n"/>
      <c r="O984" s="469" t="n"/>
      <c r="P984" s="471" t="n"/>
      <c r="Q984" s="469" t="n"/>
      <c r="R984" s="469" t="n"/>
      <c r="S984" s="469" t="n"/>
      <c r="T984" s="469" t="n"/>
      <c r="U984" s="469" t="n"/>
      <c r="V984" s="469" t="n"/>
      <c r="W984" s="469" t="n"/>
      <c r="X984" s="469" t="n"/>
      <c r="Y984" s="469" t="n"/>
      <c r="Z984" s="469" t="n"/>
      <c r="AA984" s="469" t="n"/>
    </row>
    <row r="985">
      <c r="A985" s="468" t="n"/>
      <c r="B985" s="469" t="n"/>
      <c r="C985" s="469" t="n"/>
      <c r="D985" s="469" t="n"/>
      <c r="E985" s="469" t="n"/>
      <c r="F985" s="469" t="n"/>
      <c r="G985" s="469" t="n"/>
      <c r="H985" s="469" t="n"/>
      <c r="I985" s="469" t="n"/>
      <c r="J985" s="469" t="n"/>
      <c r="K985" s="469" t="n"/>
      <c r="L985" s="469" t="n"/>
      <c r="M985" s="469" t="n"/>
      <c r="N985" s="469" t="n"/>
      <c r="O985" s="469" t="n"/>
      <c r="P985" s="471" t="n"/>
      <c r="Q985" s="469" t="n"/>
      <c r="R985" s="469" t="n"/>
      <c r="S985" s="469" t="n"/>
      <c r="T985" s="469" t="n"/>
      <c r="U985" s="469" t="n"/>
      <c r="V985" s="469" t="n"/>
      <c r="W985" s="469" t="n"/>
      <c r="X985" s="469" t="n"/>
      <c r="Y985" s="469" t="n"/>
      <c r="Z985" s="469" t="n"/>
      <c r="AA985" s="469" t="n"/>
    </row>
    <row r="986">
      <c r="A986" s="468" t="n"/>
      <c r="B986" s="469" t="n"/>
      <c r="C986" s="469" t="n"/>
      <c r="D986" s="469" t="n"/>
      <c r="E986" s="469" t="n"/>
      <c r="F986" s="469" t="n"/>
      <c r="G986" s="469" t="n"/>
      <c r="H986" s="469" t="n"/>
      <c r="I986" s="469" t="n"/>
      <c r="J986" s="469" t="n"/>
      <c r="K986" s="469" t="n"/>
      <c r="L986" s="469" t="n"/>
      <c r="M986" s="469" t="n"/>
      <c r="N986" s="469" t="n"/>
      <c r="O986" s="469" t="n"/>
      <c r="P986" s="471" t="n"/>
      <c r="Q986" s="469" t="n"/>
      <c r="R986" s="469" t="n"/>
      <c r="S986" s="469" t="n"/>
      <c r="T986" s="469" t="n"/>
      <c r="U986" s="469" t="n"/>
      <c r="V986" s="469" t="n"/>
      <c r="W986" s="469" t="n"/>
      <c r="X986" s="469" t="n"/>
      <c r="Y986" s="469" t="n"/>
      <c r="Z986" s="469" t="n"/>
      <c r="AA986" s="469" t="n"/>
    </row>
    <row r="987">
      <c r="A987" s="468" t="n"/>
      <c r="B987" s="469" t="n"/>
      <c r="C987" s="469" t="n"/>
      <c r="D987" s="469" t="n"/>
      <c r="E987" s="469" t="n"/>
      <c r="F987" s="469" t="n"/>
      <c r="G987" s="469" t="n"/>
      <c r="H987" s="469" t="n"/>
      <c r="I987" s="469" t="n"/>
      <c r="J987" s="469" t="n"/>
      <c r="K987" s="469" t="n"/>
      <c r="L987" s="469" t="n"/>
      <c r="M987" s="469" t="n"/>
      <c r="N987" s="469" t="n"/>
      <c r="O987" s="469" t="n"/>
      <c r="P987" s="471" t="n"/>
      <c r="Q987" s="469" t="n"/>
      <c r="R987" s="469" t="n"/>
      <c r="S987" s="469" t="n"/>
      <c r="T987" s="469" t="n"/>
      <c r="U987" s="469" t="n"/>
      <c r="V987" s="469" t="n"/>
      <c r="W987" s="469" t="n"/>
      <c r="X987" s="469" t="n"/>
      <c r="Y987" s="469" t="n"/>
      <c r="Z987" s="469" t="n"/>
      <c r="AA987" s="469" t="n"/>
    </row>
    <row r="988">
      <c r="A988" s="468" t="n"/>
      <c r="B988" s="469" t="n"/>
      <c r="C988" s="469" t="n"/>
      <c r="D988" s="469" t="n"/>
      <c r="E988" s="469" t="n"/>
      <c r="F988" s="469" t="n"/>
      <c r="G988" s="469" t="n"/>
      <c r="H988" s="469" t="n"/>
      <c r="I988" s="469" t="n"/>
      <c r="J988" s="469" t="n"/>
      <c r="K988" s="469" t="n"/>
      <c r="L988" s="469" t="n"/>
      <c r="M988" s="469" t="n"/>
      <c r="N988" s="469" t="n"/>
      <c r="O988" s="469" t="n"/>
      <c r="P988" s="471" t="n"/>
      <c r="Q988" s="469" t="n"/>
      <c r="R988" s="469" t="n"/>
      <c r="S988" s="469" t="n"/>
      <c r="T988" s="469" t="n"/>
      <c r="U988" s="469" t="n"/>
      <c r="V988" s="469" t="n"/>
      <c r="W988" s="469" t="n"/>
      <c r="X988" s="469" t="n"/>
      <c r="Y988" s="469" t="n"/>
      <c r="Z988" s="469" t="n"/>
      <c r="AA988" s="469" t="n"/>
    </row>
    <row r="989">
      <c r="A989" s="468" t="n"/>
      <c r="B989" s="469" t="n"/>
      <c r="C989" s="469" t="n"/>
      <c r="D989" s="469" t="n"/>
      <c r="E989" s="469" t="n"/>
      <c r="F989" s="469" t="n"/>
      <c r="G989" s="469" t="n"/>
      <c r="H989" s="469" t="n"/>
      <c r="I989" s="469" t="n"/>
      <c r="J989" s="469" t="n"/>
      <c r="K989" s="469" t="n"/>
      <c r="L989" s="469" t="n"/>
      <c r="M989" s="469" t="n"/>
      <c r="N989" s="469" t="n"/>
      <c r="O989" s="469" t="n"/>
      <c r="P989" s="471" t="n"/>
      <c r="Q989" s="469" t="n"/>
      <c r="R989" s="469" t="n"/>
      <c r="S989" s="469" t="n"/>
      <c r="T989" s="469" t="n"/>
      <c r="U989" s="469" t="n"/>
      <c r="V989" s="469" t="n"/>
      <c r="W989" s="469" t="n"/>
      <c r="X989" s="469" t="n"/>
      <c r="Y989" s="469" t="n"/>
      <c r="Z989" s="469" t="n"/>
      <c r="AA989" s="469" t="n"/>
    </row>
    <row r="990">
      <c r="A990" s="468" t="n"/>
      <c r="B990" s="469" t="n"/>
      <c r="C990" s="469" t="n"/>
      <c r="D990" s="469" t="n"/>
      <c r="E990" s="469" t="n"/>
      <c r="F990" s="469" t="n"/>
      <c r="G990" s="469" t="n"/>
      <c r="H990" s="469" t="n"/>
      <c r="I990" s="469" t="n"/>
      <c r="J990" s="469" t="n"/>
      <c r="K990" s="469" t="n"/>
      <c r="L990" s="469" t="n"/>
      <c r="M990" s="469" t="n"/>
      <c r="N990" s="469" t="n"/>
      <c r="O990" s="469" t="n"/>
      <c r="P990" s="471" t="n"/>
      <c r="Q990" s="469" t="n"/>
      <c r="R990" s="469" t="n"/>
      <c r="S990" s="469" t="n"/>
      <c r="T990" s="469" t="n"/>
      <c r="U990" s="469" t="n"/>
      <c r="V990" s="469" t="n"/>
      <c r="W990" s="469" t="n"/>
      <c r="X990" s="469" t="n"/>
      <c r="Y990" s="469" t="n"/>
      <c r="Z990" s="469" t="n"/>
      <c r="AA990" s="469" t="n"/>
    </row>
    <row r="991">
      <c r="A991" s="468" t="n"/>
      <c r="B991" s="469" t="n"/>
      <c r="C991" s="469" t="n"/>
      <c r="D991" s="469" t="n"/>
      <c r="E991" s="469" t="n"/>
      <c r="F991" s="469" t="n"/>
      <c r="G991" s="469" t="n"/>
      <c r="H991" s="469" t="n"/>
      <c r="I991" s="469" t="n"/>
      <c r="J991" s="469" t="n"/>
      <c r="K991" s="469" t="n"/>
      <c r="L991" s="469" t="n"/>
      <c r="M991" s="469" t="n"/>
      <c r="N991" s="469" t="n"/>
      <c r="O991" s="469" t="n"/>
      <c r="P991" s="471" t="n"/>
      <c r="Q991" s="469" t="n"/>
      <c r="R991" s="469" t="n"/>
      <c r="S991" s="469" t="n"/>
      <c r="T991" s="469" t="n"/>
      <c r="U991" s="469" t="n"/>
      <c r="V991" s="469" t="n"/>
      <c r="W991" s="469" t="n"/>
      <c r="X991" s="469" t="n"/>
      <c r="Y991" s="469" t="n"/>
      <c r="Z991" s="469" t="n"/>
      <c r="AA991" s="469" t="n"/>
    </row>
    <row r="992">
      <c r="A992" s="468" t="n"/>
      <c r="B992" s="469" t="n"/>
      <c r="C992" s="469" t="n"/>
      <c r="D992" s="469" t="n"/>
      <c r="E992" s="469" t="n"/>
      <c r="F992" s="469" t="n"/>
      <c r="G992" s="469" t="n"/>
      <c r="H992" s="469" t="n"/>
      <c r="I992" s="469" t="n"/>
      <c r="J992" s="469" t="n"/>
      <c r="K992" s="469" t="n"/>
      <c r="L992" s="469" t="n"/>
      <c r="M992" s="469" t="n"/>
      <c r="N992" s="469" t="n"/>
      <c r="O992" s="469" t="n"/>
      <c r="P992" s="471" t="n"/>
      <c r="Q992" s="469" t="n"/>
      <c r="R992" s="469" t="n"/>
      <c r="S992" s="469" t="n"/>
      <c r="T992" s="469" t="n"/>
      <c r="U992" s="469" t="n"/>
      <c r="V992" s="469" t="n"/>
      <c r="W992" s="469" t="n"/>
      <c r="X992" s="469" t="n"/>
      <c r="Y992" s="469" t="n"/>
      <c r="Z992" s="469" t="n"/>
      <c r="AA992" s="469" t="n"/>
    </row>
    <row r="993">
      <c r="A993" s="468" t="n"/>
      <c r="B993" s="469" t="n"/>
      <c r="C993" s="469" t="n"/>
      <c r="D993" s="469" t="n"/>
      <c r="E993" s="469" t="n"/>
      <c r="F993" s="469" t="n"/>
      <c r="G993" s="469" t="n"/>
      <c r="H993" s="469" t="n"/>
      <c r="I993" s="469" t="n"/>
      <c r="J993" s="469" t="n"/>
      <c r="K993" s="469" t="n"/>
      <c r="L993" s="469" t="n"/>
      <c r="M993" s="469" t="n"/>
      <c r="N993" s="469" t="n"/>
      <c r="O993" s="469" t="n"/>
      <c r="P993" s="471" t="n"/>
      <c r="Q993" s="469" t="n"/>
      <c r="R993" s="469" t="n"/>
      <c r="S993" s="469" t="n"/>
      <c r="T993" s="469" t="n"/>
      <c r="U993" s="469" t="n"/>
      <c r="V993" s="469" t="n"/>
      <c r="W993" s="469" t="n"/>
      <c r="X993" s="469" t="n"/>
      <c r="Y993" s="469" t="n"/>
      <c r="Z993" s="469" t="n"/>
      <c r="AA993" s="469" t="n"/>
    </row>
    <row r="994">
      <c r="A994" s="468" t="n"/>
      <c r="B994" s="469" t="n"/>
      <c r="C994" s="469" t="n"/>
      <c r="D994" s="469" t="n"/>
      <c r="E994" s="469" t="n"/>
      <c r="F994" s="469" t="n"/>
      <c r="G994" s="469" t="n"/>
      <c r="H994" s="469" t="n"/>
      <c r="I994" s="469" t="n"/>
      <c r="J994" s="469" t="n"/>
      <c r="K994" s="469" t="n"/>
      <c r="L994" s="469" t="n"/>
      <c r="M994" s="469" t="n"/>
      <c r="N994" s="469" t="n"/>
      <c r="O994" s="469" t="n"/>
      <c r="P994" s="471" t="n"/>
      <c r="Q994" s="469" t="n"/>
      <c r="R994" s="469" t="n"/>
      <c r="S994" s="469" t="n"/>
      <c r="T994" s="469" t="n"/>
      <c r="U994" s="469" t="n"/>
      <c r="V994" s="469" t="n"/>
      <c r="W994" s="469" t="n"/>
      <c r="X994" s="469" t="n"/>
      <c r="Y994" s="469" t="n"/>
      <c r="Z994" s="469" t="n"/>
      <c r="AA994" s="469" t="n"/>
    </row>
    <row r="995">
      <c r="A995" s="468" t="n"/>
      <c r="B995" s="469" t="n"/>
      <c r="C995" s="469" t="n"/>
      <c r="D995" s="469" t="n"/>
      <c r="E995" s="469" t="n"/>
      <c r="F995" s="469" t="n"/>
      <c r="G995" s="469" t="n"/>
      <c r="H995" s="469" t="n"/>
      <c r="I995" s="469" t="n"/>
      <c r="J995" s="469" t="n"/>
      <c r="K995" s="469" t="n"/>
      <c r="L995" s="469" t="n"/>
      <c r="M995" s="469" t="n"/>
      <c r="N995" s="469" t="n"/>
      <c r="O995" s="469" t="n"/>
      <c r="P995" s="471" t="n"/>
      <c r="Q995" s="469" t="n"/>
      <c r="R995" s="469" t="n"/>
      <c r="S995" s="469" t="n"/>
      <c r="T995" s="469" t="n"/>
      <c r="U995" s="469" t="n"/>
      <c r="V995" s="469" t="n"/>
      <c r="W995" s="469" t="n"/>
      <c r="X995" s="469" t="n"/>
      <c r="Y995" s="469" t="n"/>
      <c r="Z995" s="469" t="n"/>
      <c r="AA995" s="469" t="n"/>
    </row>
    <row r="996">
      <c r="A996" s="468" t="n"/>
      <c r="B996" s="469" t="n"/>
      <c r="C996" s="469" t="n"/>
      <c r="D996" s="469" t="n"/>
      <c r="E996" s="469" t="n"/>
      <c r="F996" s="469" t="n"/>
      <c r="G996" s="469" t="n"/>
      <c r="H996" s="469" t="n"/>
      <c r="I996" s="469" t="n"/>
      <c r="J996" s="469" t="n"/>
      <c r="K996" s="469" t="n"/>
      <c r="L996" s="469" t="n"/>
      <c r="M996" s="469" t="n"/>
      <c r="N996" s="469" t="n"/>
      <c r="O996" s="469" t="n"/>
      <c r="P996" s="471" t="n"/>
      <c r="Q996" s="469" t="n"/>
      <c r="R996" s="469" t="n"/>
      <c r="S996" s="469" t="n"/>
      <c r="T996" s="469" t="n"/>
      <c r="U996" s="469" t="n"/>
      <c r="V996" s="469" t="n"/>
      <c r="W996" s="469" t="n"/>
      <c r="X996" s="469" t="n"/>
      <c r="Y996" s="469" t="n"/>
      <c r="Z996" s="469" t="n"/>
      <c r="AA996" s="469" t="n"/>
    </row>
    <row r="997">
      <c r="A997" s="468" t="n"/>
      <c r="B997" s="469" t="n"/>
      <c r="C997" s="469" t="n"/>
      <c r="D997" s="469" t="n"/>
      <c r="E997" s="469" t="n"/>
      <c r="F997" s="469" t="n"/>
      <c r="G997" s="469" t="n"/>
      <c r="H997" s="469" t="n"/>
      <c r="I997" s="469" t="n"/>
      <c r="J997" s="469" t="n"/>
      <c r="K997" s="469" t="n"/>
      <c r="L997" s="469" t="n"/>
      <c r="M997" s="469" t="n"/>
      <c r="N997" s="469" t="n"/>
      <c r="O997" s="469" t="n"/>
      <c r="P997" s="471" t="n"/>
      <c r="Q997" s="469" t="n"/>
      <c r="R997" s="469" t="n"/>
      <c r="S997" s="469" t="n"/>
      <c r="T997" s="469" t="n"/>
      <c r="U997" s="469" t="n"/>
      <c r="V997" s="469" t="n"/>
      <c r="W997" s="469" t="n"/>
      <c r="X997" s="469" t="n"/>
      <c r="Y997" s="469" t="n"/>
      <c r="Z997" s="469" t="n"/>
      <c r="AA997" s="469" t="n"/>
    </row>
    <row r="998">
      <c r="A998" s="468" t="n"/>
      <c r="B998" s="469" t="n"/>
      <c r="C998" s="469" t="n"/>
      <c r="D998" s="469" t="n"/>
      <c r="E998" s="469" t="n"/>
      <c r="F998" s="469" t="n"/>
      <c r="G998" s="469" t="n"/>
      <c r="H998" s="469" t="n"/>
      <c r="I998" s="469" t="n"/>
      <c r="J998" s="469" t="n"/>
      <c r="K998" s="469" t="n"/>
      <c r="L998" s="469" t="n"/>
      <c r="M998" s="469" t="n"/>
      <c r="N998" s="469" t="n"/>
      <c r="O998" s="469" t="n"/>
      <c r="P998" s="471" t="n"/>
      <c r="Q998" s="469" t="n"/>
      <c r="R998" s="469" t="n"/>
      <c r="S998" s="469" t="n"/>
      <c r="T998" s="469" t="n"/>
      <c r="U998" s="469" t="n"/>
      <c r="V998" s="469" t="n"/>
      <c r="W998" s="469" t="n"/>
      <c r="X998" s="469" t="n"/>
      <c r="Y998" s="469" t="n"/>
      <c r="Z998" s="469" t="n"/>
      <c r="AA998" s="469" t="n"/>
    </row>
    <row r="999">
      <c r="A999" s="468" t="n"/>
      <c r="B999" s="469" t="n"/>
      <c r="C999" s="469" t="n"/>
      <c r="D999" s="469" t="n"/>
      <c r="E999" s="469" t="n"/>
      <c r="F999" s="469" t="n"/>
      <c r="G999" s="469" t="n"/>
      <c r="H999" s="469" t="n"/>
      <c r="I999" s="469" t="n"/>
      <c r="J999" s="469" t="n"/>
      <c r="K999" s="469" t="n"/>
      <c r="L999" s="469" t="n"/>
      <c r="M999" s="469" t="n"/>
      <c r="N999" s="469" t="n"/>
      <c r="O999" s="469" t="n"/>
      <c r="P999" s="471" t="n"/>
      <c r="Q999" s="469" t="n"/>
      <c r="R999" s="469" t="n"/>
      <c r="S999" s="469" t="n"/>
      <c r="T999" s="469" t="n"/>
      <c r="U999" s="469" t="n"/>
      <c r="V999" s="469" t="n"/>
      <c r="W999" s="469" t="n"/>
      <c r="X999" s="469" t="n"/>
      <c r="Y999" s="469" t="n"/>
      <c r="Z999" s="469" t="n"/>
      <c r="AA999" s="469" t="n"/>
    </row>
    <row r="1000">
      <c r="A1000" s="474" t="n"/>
      <c r="B1000" s="475" t="n"/>
      <c r="C1000" s="475" t="n"/>
      <c r="D1000" s="475" t="n"/>
      <c r="E1000" s="475" t="n"/>
      <c r="F1000" s="475" t="n"/>
      <c r="G1000" s="475" t="n"/>
      <c r="H1000" s="475" t="n"/>
      <c r="I1000" s="475" t="n"/>
      <c r="J1000" s="475" t="n"/>
      <c r="K1000" s="475" t="n"/>
      <c r="L1000" s="475" t="n"/>
      <c r="M1000" s="475" t="n"/>
      <c r="N1000" s="475" t="n"/>
      <c r="O1000" s="475" t="n"/>
      <c r="P1000" s="476" t="n"/>
      <c r="Q1000" s="469" t="n"/>
      <c r="R1000" s="469" t="n"/>
      <c r="S1000" s="469" t="n"/>
      <c r="T1000" s="469" t="n"/>
      <c r="U1000" s="469" t="n"/>
      <c r="V1000" s="469" t="n"/>
      <c r="W1000" s="469" t="n"/>
      <c r="X1000" s="469" t="n"/>
      <c r="Y1000" s="469" t="n"/>
      <c r="Z1000" s="469" t="n"/>
      <c r="AA1000" s="469" t="n"/>
    </row>
  </sheetData>
  <hyperlinks>
    <hyperlink xmlns:r="http://schemas.openxmlformats.org/officeDocument/2006/relationships" ref="F12" r:id="rId1"/>
    <hyperlink xmlns:r="http://schemas.openxmlformats.org/officeDocument/2006/relationships" ref="F13" r:id="rId2"/>
    <hyperlink xmlns:r="http://schemas.openxmlformats.org/officeDocument/2006/relationships" ref="F14" r:id="rId3"/>
    <hyperlink xmlns:r="http://schemas.openxmlformats.org/officeDocument/2006/relationships" ref="F15" r:id="rId4"/>
    <hyperlink xmlns:r="http://schemas.openxmlformats.org/officeDocument/2006/relationships" ref="F16" r:id="rId5"/>
    <hyperlink xmlns:r="http://schemas.openxmlformats.org/officeDocument/2006/relationships" ref="F17" r:id="rId6"/>
    <hyperlink xmlns:r="http://schemas.openxmlformats.org/officeDocument/2006/relationships" ref="F18" r:id="rId7"/>
    <hyperlink xmlns:r="http://schemas.openxmlformats.org/officeDocument/2006/relationships" ref="F20" r:id="rId8"/>
    <hyperlink xmlns:r="http://schemas.openxmlformats.org/officeDocument/2006/relationships" ref="F21" r:id="rId9"/>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2026-02-28T05:12:28Z</dcterms:created>
  <dcterms:modified xsi:type="dcterms:W3CDTF">2026-02-28T05:12:29Z</dcterms:modified>
</cp:coreProperties>
</file>